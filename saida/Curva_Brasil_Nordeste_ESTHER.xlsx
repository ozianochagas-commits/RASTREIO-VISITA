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Planilha1" sheetId="1" r:id="rId1"/>
    <sheet name="Pedido ESTHER" sheetId="2" r:id="rId10"/>
  </sheets>
  <externalReferences>
    <externalReference r:id="rId5"/>
    <externalReference r:id="rId6"/>
  </externalReferences>
  <definedNames>
    <definedName name="_xlnm._FilterDatabase" localSheetId="0" hidden="1">Planilha1!$A$1:$J$2</definedName>
    <definedName name="Slicer_Classe">#N/A</definedName>
    <definedName name="Slicer_Familia">#N/A</definedName>
    <definedName name="Slicer_Montadora">#N/A</definedName>
  </definedNames>
  <calcPr calcId="19102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3"/>
        <x14:slicerCache r:id="rId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<sst xmlns="http://schemas.openxmlformats.org/spreadsheetml/2006/main" count="8138" uniqueCount="3663">
  <si>
    <t>CURVA ABC POR CÓDIGO</t>
  </si>
  <si>
    <t>Itens consolidados por código, ordenados pelo volume total do histórico.</t>
  </si>
  <si>
    <t>Código</t>
  </si>
  <si>
    <t>Produto</t>
  </si>
  <si>
    <t>Representada</t>
  </si>
  <si>
    <t>Total</t>
  </si>
  <si>
    <t>% Total</t>
  </si>
  <si>
    <t>% Acumulado</t>
  </si>
  <si>
    <t>Classe</t>
  </si>
  <si>
    <t>Familia</t>
  </si>
  <si>
    <t>Cross</t>
  </si>
  <si>
    <t>Montadora</t>
  </si>
  <si>
    <t>SSC3020</t>
  </si>
  <si>
    <t>CILINDRO AUXILIAR DE EMBREAGEM HYUNDAI</t>
  </si>
  <si>
    <t>CILINDRO AUXILIAR DE EMBREAGEM</t>
  </si>
  <si>
    <t>HYUNDAI</t>
  </si>
  <si>
    <t>SCC2064</t>
  </si>
  <si>
    <t>CILINDRO MESTRE DE EMBREAGEM HYUNDAI</t>
  </si>
  <si>
    <t>CILINDRO MESTRE DE EMBREAGEM</t>
  </si>
  <si>
    <t>SBC1000</t>
  </si>
  <si>
    <t>CILINDRO MESTRE DE FREIO VW</t>
  </si>
  <si>
    <t>CILINDRO MESTRE DE FREIO</t>
  </si>
  <si>
    <t>5109 (ATE) | C2003 (CONTROIL) | RCCM23314 (TRW)</t>
  </si>
  <si>
    <t>VOLKSWAGEN</t>
  </si>
  <si>
    <t>SBC1090A</t>
  </si>
  <si>
    <t>CILINDRO MESTRE FREIO VW</t>
  </si>
  <si>
    <t>SBC1001</t>
  </si>
  <si>
    <t>CILINDRO MESTRE DE FREIO RENAULT</t>
  </si>
  <si>
    <t>0986AB8673 (BOSCH) | 7701205740 (OEM) | 7701205815 (OEM) | C2096 (CONTROIL)</t>
  </si>
  <si>
    <t>RENAULT</t>
  </si>
  <si>
    <t>SBC1137</t>
  </si>
  <si>
    <t>CILIDNRO MESTRE DE FREIO FIAT</t>
  </si>
  <si>
    <t>0204798525 (BOSCH)</t>
  </si>
  <si>
    <t>FIAT</t>
  </si>
  <si>
    <t>SCC2017</t>
  </si>
  <si>
    <t>CILINDRO MESTRE DE EMBREAGEM HONDA</t>
  </si>
  <si>
    <t>HONDA</t>
  </si>
  <si>
    <t>SBC1068</t>
  </si>
  <si>
    <t>CILINDRO MESTRE DE FREIO FORD</t>
  </si>
  <si>
    <t>2S652140CA (OEM) | 6168 (ATE) | C2155 (CONTROIL)</t>
  </si>
  <si>
    <t>FORD</t>
  </si>
  <si>
    <t>SBC1123</t>
  </si>
  <si>
    <t>CILINDRO MESTRE DE FREIO GM</t>
  </si>
  <si>
    <t>6989 (ATE) | 94756709 (OEM) | C2220 (CONTROIL)</t>
  </si>
  <si>
    <t>GM</t>
  </si>
  <si>
    <t>SBC1087</t>
  </si>
  <si>
    <t>460118760R (OEM) | 6001551613 (OEM) | 6967 (ATE) | C-2178 (CONTROIL)</t>
  </si>
  <si>
    <t>SCC2060</t>
  </si>
  <si>
    <t>CILINDRO MESTRE DE EMBREAGEM RENAULT</t>
  </si>
  <si>
    <t>NISSAN / RENAULT</t>
  </si>
  <si>
    <t>SBC1014</t>
  </si>
  <si>
    <t>CILINDRO MESTRE DE FREIO FIAT</t>
  </si>
  <si>
    <t>5785 (ATE) | 7079433 (OEM) | C2075 (CONTROIL) | RCCD01530 (TRW)</t>
  </si>
  <si>
    <t>SBC1007</t>
  </si>
  <si>
    <t>0986AB8644 (BOSCH) | 5991 (ATE) | 93289332 (OEM) | C2082 (CONTROIL) | RCCD01620 (TRW)</t>
  </si>
  <si>
    <t>SBC1011</t>
  </si>
  <si>
    <t>CILINDRO MESTRE DE FREIO PEUGEOT</t>
  </si>
  <si>
    <t>0986AB8648 (BOSCH) | 4601F8 (OEM) | 6071 (ATE) | C2130 (CONTROIL) | PMF494 (TRW)</t>
  </si>
  <si>
    <t>PEUGEOT</t>
  </si>
  <si>
    <t>SBC1085</t>
  </si>
  <si>
    <t>7087530 (OEM) | 7402 (ATE) | C2225 (CONTROIL)</t>
  </si>
  <si>
    <t>SBC1135</t>
  </si>
  <si>
    <t>CILINDRO MESTRE DE FREIO CITROEN/PEUGEOT</t>
  </si>
  <si>
    <t>1613317680 (OEM) | C2260 (CONTROIL)</t>
  </si>
  <si>
    <t>CITROEN / PEUGEOT</t>
  </si>
  <si>
    <t>SBC1021</t>
  </si>
  <si>
    <t>5766 (ATE) | 7074619 (OEM) | C2033 (CONTROIL) | RCCD00890 (TRW)</t>
  </si>
  <si>
    <t>SBC1134</t>
  </si>
  <si>
    <t>0204798374 (BOSCH) | 460119216R (OEM) | C2263 (CONTROIL)</t>
  </si>
  <si>
    <t>SBC1090</t>
  </si>
  <si>
    <t>SBC1081</t>
  </si>
  <si>
    <t>0986AB8572 (BOSCH) | 5Z0611019N (OEM) | C2160 (CONTROIL)</t>
  </si>
  <si>
    <t>SWC5006</t>
  </si>
  <si>
    <t>CILINDRO DE RODA LE/LD RENAULT/VW</t>
  </si>
  <si>
    <t>CILINDRO DE RODA</t>
  </si>
  <si>
    <t>0986AB8653 (BOSCH) | 6001551410 (OEM) | C3537 (CONTROIL) | CCR92250 (FORTEC) | RCCR03580 (TRW)</t>
  </si>
  <si>
    <t>RENAULT / VOLKSWAGEN</t>
  </si>
  <si>
    <t>SWC5015</t>
  </si>
  <si>
    <t>CILINDRO DE RODA LE/LD GM</t>
  </si>
  <si>
    <t>0986AB8667 (BOSCH) | 7630 (ATE) | 93313891 (OEM) | C3521 (CONTROIL) | CCR92241 (FORTEC) | CR2202 (BOSCH)</t>
  </si>
  <si>
    <t>SVP6031</t>
  </si>
  <si>
    <t>BOMBA DE VÁCUO FIAT/JEEP</t>
  </si>
  <si>
    <t>BOMBA DE VÁCUO</t>
  </si>
  <si>
    <t>FIAT / JEEP</t>
  </si>
  <si>
    <t>SCC2029</t>
  </si>
  <si>
    <t>306107623R (RENAULT)</t>
  </si>
  <si>
    <t>SBC1097</t>
  </si>
  <si>
    <t>460114036R (OEM) | 6371 (ATE) | 6966 (ATE) | C2204 (CONTROIL)</t>
  </si>
  <si>
    <t>SBC1027</t>
  </si>
  <si>
    <t>C2061 (CONTROIL) | RCCD00910 (TRW)</t>
  </si>
  <si>
    <t>SWC5032</t>
  </si>
  <si>
    <t>CILINDRO DE RODA LE/LD FIAT</t>
  </si>
  <si>
    <t>0986AB8658 (BOSCH) | 5684 (ATE) | 71737949 (OEM) | 71737950 (OEM) | 7729634 (OEM) | 7757604 (OEM) | C3411 (CONTROIL) | CCR9230 (FORTEC) | CR1687 (BOSCH) | RCCR02120 (TRW)</t>
  </si>
  <si>
    <t>SCC2073</t>
  </si>
  <si>
    <t>SBC1005</t>
  </si>
  <si>
    <t>0986AB8602 (BOSCH) | 30561101513 (OEM) | 5849 (ATE) | C2000 (CONTROIL) | RCCD00680 (TRW)</t>
  </si>
  <si>
    <t>SBC1042</t>
  </si>
  <si>
    <t>SWC5011</t>
  </si>
  <si>
    <t>0986AB8656 (BOSCH) | 95018639 (OEM) | 95231320 (OEM) | BWD6000 (TRW) | C3426 (CONTROIL) | CCR92267 (FORTEC)</t>
  </si>
  <si>
    <t>SSC3024</t>
  </si>
  <si>
    <t>CILINDRO AUXILIAR DE EMBREAGEM JAC</t>
  </si>
  <si>
    <t>JAC MOTORS</t>
  </si>
  <si>
    <t>SCC2083</t>
  </si>
  <si>
    <t>CILINDRO MESTRE DE EMBREAGEM GM</t>
  </si>
  <si>
    <t>SWC5013</t>
  </si>
  <si>
    <t>6987 (ATE) | 7088827 (OEM) | C3429 (CONTROIL) | CCR92283 (FORTEC)</t>
  </si>
  <si>
    <t>SBC1099</t>
  </si>
  <si>
    <t>0986AB8570 (BOSCH) | 6476 (ATE) | 94735981 (OEM) | C-2174 (CONTROIL) | PMF6000 (TRW)</t>
  </si>
  <si>
    <t>SCC2058</t>
  </si>
  <si>
    <t>6001548446 (RENAULT) | 8200424004 (RENAULT) | 8200424007 (RENAULT)</t>
  </si>
  <si>
    <t>SOC9000</t>
  </si>
  <si>
    <t>RESFRIADOR OLEO FIAT</t>
  </si>
  <si>
    <t>RESFRIADOR DE ÓLEO CÂMBIO</t>
  </si>
  <si>
    <t>7089720 (OEM)</t>
  </si>
  <si>
    <t>BMW / FIAT / JEEP / MINI</t>
  </si>
  <si>
    <t>SBS8000</t>
  </si>
  <si>
    <t>SAPATA DE FREIO FIAT</t>
  </si>
  <si>
    <t>SAPATA DE FREIO</t>
  </si>
  <si>
    <t>0504CPA (COBREQ) | 203001 (SYL) | BPSA0090138 (MAZZICAR) | FI97CP (FRAS-LE) | HQJ502 (JURID)</t>
  </si>
  <si>
    <t>SBC1117</t>
  </si>
  <si>
    <t>6953 (ATE) | 94766501 (OEM) | C2221 (CONTROIL)</t>
  </si>
  <si>
    <t>SCC2028</t>
  </si>
  <si>
    <t>CILINDRO MESTRE DE EMBREAGEM FIAT</t>
  </si>
  <si>
    <t>CITROEN / FIAT / PEUGEOT</t>
  </si>
  <si>
    <t>SWC5034</t>
  </si>
  <si>
    <t>CILINDRO DE RODA LE/LD VW</t>
  </si>
  <si>
    <t>0986AB8498 (BOSCH) | 5U0611053A (OEM) | 5U0611053C (OEM) | 7600 (ATE) | C3527 (CONTROIL) | CCR92261 (FORTEC) | RCCR03510 (TRW)</t>
  </si>
  <si>
    <t>SBC1083</t>
  </si>
  <si>
    <t>CILINDRO MESTRE DE FREIO HYUNDA</t>
  </si>
  <si>
    <t>585101S300 (OEM) | 7661 (ATE) | C2244 (CONTROIL)</t>
  </si>
  <si>
    <t>SSC3034</t>
  </si>
  <si>
    <t>CILINDRO AUXILIAR DE EMBREAGEM VW</t>
  </si>
  <si>
    <t>SVP6029</t>
  </si>
  <si>
    <t>BOMBA DE VÁCUO GM</t>
  </si>
  <si>
    <t>SCC2066</t>
  </si>
  <si>
    <t>CILINDRO MESTRE DE EMBREAGEM JAC</t>
  </si>
  <si>
    <t>SCC2065</t>
  </si>
  <si>
    <t>46920SNAA02 (OEM) | C2679 (CONTROIL)</t>
  </si>
  <si>
    <t>SBS8019</t>
  </si>
  <si>
    <t>203020 (SYL) | 2717CPA (COBREQ) | BPSA0090146 (MAZZICAR) | FI219CPA (FRAS-LE)</t>
  </si>
  <si>
    <t>SVP6028</t>
  </si>
  <si>
    <t>SCS4031</t>
  </si>
  <si>
    <t>ATUADOR DE EMBREAGEM NISSAN/RENAULT</t>
  </si>
  <si>
    <t>ATUADOR DE EMBREAGEM</t>
  </si>
  <si>
    <t>1100930 (VALEO) | 510009710 (LUK) | ZA300741 (FTE)</t>
  </si>
  <si>
    <t>SWC5003R</t>
  </si>
  <si>
    <t>CILINDRO DE RODA LD PEUGEOT</t>
  </si>
  <si>
    <t>0986AB8039 (BOSCH) | 440298 (OEM) | 7602 (ATE) | 95668068 (OEM) | C3512 (CONTROIL) | CCR92236 (FORTEC) | CR2728 (BOSCH) | RCCR02960 (TRW)</t>
  </si>
  <si>
    <t>SBC1122B</t>
  </si>
  <si>
    <t>SBS8001</t>
  </si>
  <si>
    <t>SAPATA DE FREIO FORD/GM</t>
  </si>
  <si>
    <t>201705 (SYL) | 2615CPA (COBREQ) | BPSA0097175 (MAZZICAR) | FD61CPA (FRAS-LE) | HQJ508A (JURID) | RRSA00710 (TRW)</t>
  </si>
  <si>
    <t>FORD / GM</t>
  </si>
  <si>
    <t>SBS8018</t>
  </si>
  <si>
    <t>SAPATA DE FREIO GM</t>
  </si>
  <si>
    <t>201711 (SYL) | 2715CPA (COBREQ) | BPSA0094680 (MAZZICAR) | CB416CPA (FRAS-LE)</t>
  </si>
  <si>
    <t>SBC1077</t>
  </si>
  <si>
    <t>CILINDRO MESTE FREIO HYUNDAI</t>
  </si>
  <si>
    <t>HYUNDAI / KIA</t>
  </si>
  <si>
    <t>SSC3006</t>
  </si>
  <si>
    <t>C2732 (CONTROIL) | KN2005471 (FTE) | RCCE01630 (TRW)</t>
  </si>
  <si>
    <t>SBC1142</t>
  </si>
  <si>
    <t>CILINDRO MESTRE DE FREIO TOYOTA</t>
  </si>
  <si>
    <t>0204054841 (BOSCH) | CM4841CR (BOSCH)</t>
  </si>
  <si>
    <t>TOYOTA</t>
  </si>
  <si>
    <t>SSC3021</t>
  </si>
  <si>
    <t>CILINDRO AUXILIAR DE EMBREAGEM HONDA</t>
  </si>
  <si>
    <t>46930SNAA41 (OEM) | C2699 (CONTROIL) | D161023 (FTE)</t>
  </si>
  <si>
    <t>SWC5000</t>
  </si>
  <si>
    <t>CILINDRO DE RODA LE/LD FORD/VW</t>
  </si>
  <si>
    <t>0986AB8659 (BOSCH) | 3096110531 (OEM) | 5346 (ATE) | 5841 (ATE) | 6N0611053 (OEM) | 6QE611053 (OEM) | C3356 (CONTROIL) | CCR9213 (FORTEC) | CR9167 (BOSCH) | RCCR02930 (TRW)</t>
  </si>
  <si>
    <t>FORD / VOLKSWAGEN</t>
  </si>
  <si>
    <t>SBS8007</t>
  </si>
  <si>
    <t>201703 (SYL) | 2649CPA (COBREQ) | BPSA0094660 (MAZZICAR) | CB49CPA (FRAS-LE) | HQJ509A (JURID) | RRSA00694 (TRW)</t>
  </si>
  <si>
    <t>SWC5012</t>
  </si>
  <si>
    <t>6996 (ATE) | 7088679 (OEM) | C3427 (CONTROIL)</t>
  </si>
  <si>
    <t>SBC1152</t>
  </si>
  <si>
    <t>CILINDRO MESTRE DE FREIO HONDA</t>
  </si>
  <si>
    <t>SCC2038</t>
  </si>
  <si>
    <t>CILINDRO MESTRE DE EMBREAGEM FORD</t>
  </si>
  <si>
    <t>C2684 (CONTROIL) | KG19009501 (FTE) | RCCE01080 (TRW) | VKCH4745 (SKF)</t>
  </si>
  <si>
    <t>SWP232H</t>
  </si>
  <si>
    <t>BOMBA ÁGUA MINI</t>
  </si>
  <si>
    <t>BOMBA D'ÁGUA</t>
  </si>
  <si>
    <t>114504 (INDISA)</t>
  </si>
  <si>
    <t>FIAT / JEEP / MINI</t>
  </si>
  <si>
    <t>SBS8034</t>
  </si>
  <si>
    <t>203012 (SYL) | 2782CPA (COBREQ) | BPSA0090137 (MAZZICAR) | FI330CPA (FRAS-LE)</t>
  </si>
  <si>
    <t>SSC3029</t>
  </si>
  <si>
    <t>41700-4F000 (HYUNDAI)</t>
  </si>
  <si>
    <t>SBC1094</t>
  </si>
  <si>
    <t>6360 (ATE) | 7N152140AA (OEM)</t>
  </si>
  <si>
    <t>SWP283</t>
  </si>
  <si>
    <t>BOMBA ÁGUA RENAULT</t>
  </si>
  <si>
    <t>NKBA09826 (NAKATA)</t>
  </si>
  <si>
    <t>SBC1144</t>
  </si>
  <si>
    <t>6490 (ATE) | 94741181 (OEM) | C2207 (CONTROIL) | PMF6011 (TRW)</t>
  </si>
  <si>
    <t>SBC1161</t>
  </si>
  <si>
    <t>0986AB8672 (BOSCH) | 93249824 (OEM) | C2214 (CONTROIL) | CM2593 (BOSCH)</t>
  </si>
  <si>
    <t>SBC1190</t>
  </si>
  <si>
    <t>CILINDRO MESTRE DE FREIO NISSAN</t>
  </si>
  <si>
    <t>NISSAN</t>
  </si>
  <si>
    <t>SBC1069</t>
  </si>
  <si>
    <t>0986AB8569 (BOSCH) | 5Z0611019P (OEM) | 5Z1614105G (OEM) | 5Z1614105P (OEM) | 5Z2614105J (OEM)</t>
  </si>
  <si>
    <t>SSC3004</t>
  </si>
  <si>
    <t>CILINDRO AUXILIAR DE EMBREAGEM GM</t>
  </si>
  <si>
    <t>C2625 (CONTROIL) | D151017 (FTE) | RCCE01230 (TRW) | VKCH151017 (SKF)</t>
  </si>
  <si>
    <t>SWC5019</t>
  </si>
  <si>
    <t>CILINDRO DE RODA LE/LD RENAULT</t>
  </si>
  <si>
    <t>0986AB8579 (BOSCH) | 6001549707 (OEM) | 7687 (ATE) | C3431 (CONTROIL) | CCR92268 (FORTEC)</t>
  </si>
  <si>
    <t>SBC1023</t>
  </si>
  <si>
    <t>CILINDRO MESTRE DE FREIO AUDI/VW</t>
  </si>
  <si>
    <t>0986AB8595 (BOSCH) | 1J1614019 (OEM) | 6350 (ATE) | C2095 (CONTROIL) | PMK491 (TRW)</t>
  </si>
  <si>
    <t>AUDI / VOLKSWAGEN</t>
  </si>
  <si>
    <t>SCS4003</t>
  </si>
  <si>
    <t>ATUADOR DE EMBREAGEM RENAULT</t>
  </si>
  <si>
    <t>SWC5003L</t>
  </si>
  <si>
    <t>CILINDRO DE RODA LE PEUGEOT</t>
  </si>
  <si>
    <t>0986AB8040 (BOSCH) | 440297 (OEM) | 7612 (ATE) | 95668067 (OEM) | C3511 (CONTROIL) | CCR92237 (FORTEC) | CR2727 (BOSCH) | RCCR02950 (TRW)</t>
  </si>
  <si>
    <t>SOC9014</t>
  </si>
  <si>
    <t>RESFRIADOR OLEO NISSAN</t>
  </si>
  <si>
    <t>RESFRIADOR DE ÓLEO MOTOR</t>
  </si>
  <si>
    <t>213053566R (OEM)</t>
  </si>
  <si>
    <t>SBC1036</t>
  </si>
  <si>
    <t>0986AB8646 (BOSCH) | 5825 (ATE) | 93235560 (OEM) | C2041 (CONTROIL) | RCCD01610 (TRW)</t>
  </si>
  <si>
    <t>SCS4034</t>
  </si>
  <si>
    <t>ATUADOR DE EMBREAGEM GM</t>
  </si>
  <si>
    <t>SCC2062</t>
  </si>
  <si>
    <t>41600-4F000 (HYUNDAI) | C2730 (CONTROIL)</t>
  </si>
  <si>
    <t>SBC1095</t>
  </si>
  <si>
    <t>0204051923 (BOSCH) | CM1923 (BOSCH)</t>
  </si>
  <si>
    <t>SSC3009</t>
  </si>
  <si>
    <t>C2656 (CONTROIL) | KN1903042 (FTE) | RCCE01310 (TRW) | VKCH19030 (SKF)</t>
  </si>
  <si>
    <t>SBC1041</t>
  </si>
  <si>
    <t>C2060 (CONTROIL) | RCCD00140 (TRW)</t>
  </si>
  <si>
    <t>FORD / TROLLER / VOLKSWAGEN</t>
  </si>
  <si>
    <t>SSC3019</t>
  </si>
  <si>
    <t>CILINDRO AUXILIAR DE EMBREAGEM FIAT</t>
  </si>
  <si>
    <t>KN2007371 (FTE)</t>
  </si>
  <si>
    <t>SBC1141</t>
  </si>
  <si>
    <t>CILINDRO MESTRE DE FREIO MITSUBISHI</t>
  </si>
  <si>
    <t>MITSUBISHI</t>
  </si>
  <si>
    <t>SBC1002</t>
  </si>
  <si>
    <t>6342 (ATE) | C2067 (CONTROIL)</t>
  </si>
  <si>
    <t>FIAT / VOLKSWAGEN</t>
  </si>
  <si>
    <t>SBC1017</t>
  </si>
  <si>
    <t>SCC2027</t>
  </si>
  <si>
    <t>SBC1046</t>
  </si>
  <si>
    <t>0986AB8616 (BOSCH) | 377611015A (OEM) | 6041 (ATE) | C2058 (CONTROIL) | RCCD00180 (TRW)</t>
  </si>
  <si>
    <t>SWC5002</t>
  </si>
  <si>
    <t>CILINDRO DE RODA LE/LD FORD</t>
  </si>
  <si>
    <t>0986AB8497 (BOSCH) | 7684 (ATE) | 8V5Z2261A (OEM) | C3430 (CONTROIL) | E3B12261AA (OEM)</t>
  </si>
  <si>
    <t>SBC1032</t>
  </si>
  <si>
    <t>6220 (ATE) | 93385740 (OEM) | C2092 (CONTROIL) | RCCD00970 (TRW)</t>
  </si>
  <si>
    <t>SSC3001</t>
  </si>
  <si>
    <t>C2651 (CONTROIL) | KN1901749 (FTE) | RCCE01280 (TRW) | VKCH4748 (SKF)</t>
  </si>
  <si>
    <t>SWC5020</t>
  </si>
  <si>
    <t>C3567 (CONTROIL) | CCR92300 (FORTEC)</t>
  </si>
  <si>
    <t>SCC2061</t>
  </si>
  <si>
    <t>CILINDRO MESTRE DE EMBREAGEM NISSAN</t>
  </si>
  <si>
    <t>30610EA000 (OEM) | C2725 (CONTROIL)</t>
  </si>
  <si>
    <t>SBC1126A</t>
  </si>
  <si>
    <t>SBS8002</t>
  </si>
  <si>
    <t>SAPATA DE FREIO FORD</t>
  </si>
  <si>
    <t>203102 (SYL) | 2621CPA (COBREQ) | BPSA0090151 (MAZZICAR) | FD98CP (FRAS-LE) | HQJ501A (JURID)</t>
  </si>
  <si>
    <t>SWC5007</t>
  </si>
  <si>
    <t>CILINDRO DE RODA LE/LD CITROEN</t>
  </si>
  <si>
    <t>0986AB8655 (BOSCH) | 4402F9 (OEM) | 7718 (ATE) | C3538 (CONTROIL) | CCR92279 (FORTEC)</t>
  </si>
  <si>
    <t>CITROEN</t>
  </si>
  <si>
    <t>SCC2044</t>
  </si>
  <si>
    <t>C2674 (CONTROIL) | D111001 (FTE)</t>
  </si>
  <si>
    <t>SWC5018</t>
  </si>
  <si>
    <t>0986AB8584 (BOSCH) | 6M342261AB (OEM) | 7685 (ATE) | BWK6001 (TRW) | C3555 (CONTROIL) | CCR92275 (FORTEC)</t>
  </si>
  <si>
    <t>FORD / TROLLER</t>
  </si>
  <si>
    <t>SSC3002</t>
  </si>
  <si>
    <t>CILINDRO AUXILIAR DE EMBREAGEM CITROEN</t>
  </si>
  <si>
    <t>C2682 (CONTROIL) | KN19021A1 (FTE) | RCCE01300 (TRW) | VKCH4892 (SKF)</t>
  </si>
  <si>
    <t>SBC1044</t>
  </si>
  <si>
    <t>C2183 (CONTROIL) | PMD731 (TRW)</t>
  </si>
  <si>
    <t>SBC1031</t>
  </si>
  <si>
    <t>CILINDRO MESTRE DE FREIO CHERY</t>
  </si>
  <si>
    <t>CHERY</t>
  </si>
  <si>
    <t>SCC2086</t>
  </si>
  <si>
    <t>CILINDRO MESTRE DE EMBREAGEM MITSUBISHI</t>
  </si>
  <si>
    <t>SBC1048</t>
  </si>
  <si>
    <t>6345 (ATE) | 96FB2140DE (OEM) | C2091 (CONTROIL) | RCCD00920 (TRW)</t>
  </si>
  <si>
    <t>SBC1075</t>
  </si>
  <si>
    <t>CILINDRO MESTRE DE FREIO AUDI</t>
  </si>
  <si>
    <t>SBC1131</t>
  </si>
  <si>
    <t>CILNDRO MESTRE DE FREIO NISSAN</t>
  </si>
  <si>
    <t>SBC1122A</t>
  </si>
  <si>
    <t>SCC2090</t>
  </si>
  <si>
    <t>SWP027</t>
  </si>
  <si>
    <t>BOMBA ÁGUA FIAT/JEEP</t>
  </si>
  <si>
    <t>SCS4017</t>
  </si>
  <si>
    <t>ATUADOR DE EMBREAGEM MITSUBISHI</t>
  </si>
  <si>
    <t>DODGE / FIAT / MITSUBISHI</t>
  </si>
  <si>
    <t>SBC1034</t>
  </si>
  <si>
    <t>C2097 (CONTROIL) | RCCD00960 (TRW)</t>
  </si>
  <si>
    <t>SBS8030</t>
  </si>
  <si>
    <t>SAPATA DE FREIO RENAULT</t>
  </si>
  <si>
    <t>207609 (SYL) | 2763CPA (COBREQ) | BPSA0097480 (MAZZICAR) | RN325CPA (FRAS-LE)</t>
  </si>
  <si>
    <t>SBC1080</t>
  </si>
  <si>
    <t>SCC2025A</t>
  </si>
  <si>
    <t>SBC1160</t>
  </si>
  <si>
    <t>0986AB8601 (BOSCH) | 2116110152 (OEM) | 6091 (ATE) | C2018 (CONTROIL) | CM9220 (BOSCH) | RCCD00500 (TRW)</t>
  </si>
  <si>
    <t>SBC1128</t>
  </si>
  <si>
    <t>7420 (ATE) | C2262 (CONTROIL) | E3B12004AA (OEM)</t>
  </si>
  <si>
    <t>SCC2079</t>
  </si>
  <si>
    <t>D701095 (FTE)</t>
  </si>
  <si>
    <t>SVP6011</t>
  </si>
  <si>
    <t>BOMBA DE VÁCUO FORD</t>
  </si>
  <si>
    <t>BOMBA DE VÁCUO ALTERNADOR</t>
  </si>
  <si>
    <t>FORD / GM / LAND ROVER / MERCEDES-BENZ</t>
  </si>
  <si>
    <t>SWC5004</t>
  </si>
  <si>
    <t>CILINDRO DE RODA LE/LD CHERY</t>
  </si>
  <si>
    <t>C3556 (CONTROIL)</t>
  </si>
  <si>
    <t>SSC3030</t>
  </si>
  <si>
    <t>CILINDRO AUXILIAR DE EMBREAGEM TOYOTA</t>
  </si>
  <si>
    <t>SCC2007</t>
  </si>
  <si>
    <t>KG1508547 (FTE) | VKCH1508547 (SKF)</t>
  </si>
  <si>
    <t>SWC5016</t>
  </si>
  <si>
    <t>CILINDRO DE RODA LE/LD NISSAN</t>
  </si>
  <si>
    <t>44100ET000 (OEM) | 7635 (ATE) | C3423 (CONTROIL) | CCR92282 (FORTEC)</t>
  </si>
  <si>
    <t>SBS8027</t>
  </si>
  <si>
    <t>203112 (SYL) | 2751CPA (COBREQ) | BPSA0097180 (MAZZICAR) | FD152CPA (FRAS-LE)</t>
  </si>
  <si>
    <t>SBS8014</t>
  </si>
  <si>
    <t>SAPATA DE FREIO FORD VW</t>
  </si>
  <si>
    <t>208000 (SYL) | 2677CPA (COBREQ) | BPSA0096830 (MAZZICAR) | VW276CPA (FRAS-LE)</t>
  </si>
  <si>
    <t>SOC9003</t>
  </si>
  <si>
    <t>RESFRIADOR OLEO VW</t>
  </si>
  <si>
    <t>03L115389C (OEM) | 03L117021B (OEM) | 03P115389 (OEM)</t>
  </si>
  <si>
    <t>SBS8031</t>
  </si>
  <si>
    <t>207613 (SYL) | 2766CPA (COBREQ) | BPSA0090105 (MAZZICAR) | RN329CPA (FRAS-LE)</t>
  </si>
  <si>
    <t>SWP297</t>
  </si>
  <si>
    <t>BOMBA ÁGUA GM</t>
  </si>
  <si>
    <t>254561 (INDISA)</t>
  </si>
  <si>
    <t>SBC1115</t>
  </si>
  <si>
    <t>SWC5022</t>
  </si>
  <si>
    <t>CILINDRO DE RODA LE/LD TOYOTA</t>
  </si>
  <si>
    <t>4755009070 (OEM) | 4755009090 (OEM) | 7362 (ATE) | BWH906 (TRW) | C3531 (CONTROIL) | CCR92249 (FORTEC) | F026A06012 (BOSCH)</t>
  </si>
  <si>
    <t>SBS8026</t>
  </si>
  <si>
    <t>SAPATA DE FREIO HYUNDAI</t>
  </si>
  <si>
    <t>204003 (SYL) | 2741CPA (COBREQ) | BPSA0096065 (MAZZICAR) | HY418CPA (FRAS-LE)</t>
  </si>
  <si>
    <t>SCC2087</t>
  </si>
  <si>
    <t>5110329100 (LUK)</t>
  </si>
  <si>
    <t>SCC2052</t>
  </si>
  <si>
    <t>8200673232 (OEM) | C2718 (CONTROIL) | KG15007971 (FTE)</t>
  </si>
  <si>
    <t>SCC2010</t>
  </si>
  <si>
    <t>CILINDRO MESTRE DE EMBREAGEM TOYOTA</t>
  </si>
  <si>
    <t>C2673 (CONTROIL) | KG15007471 (FTE)</t>
  </si>
  <si>
    <t>SBC1151</t>
  </si>
  <si>
    <t>CILINDRO MESTRE DR FREIO GM</t>
  </si>
  <si>
    <t>RCCD28227 (TRW)</t>
  </si>
  <si>
    <t>SWC5021</t>
  </si>
  <si>
    <t>CILINDRO DE RODA LE/LD MITSUBISHI</t>
  </si>
  <si>
    <t>0986AB8135 (BOSCH) | 4610A009 (OEM) | BWH818 (TRW) | C3455 (CONTROIL) | CCR92262 (FORTEC)</t>
  </si>
  <si>
    <t>SBC1147</t>
  </si>
  <si>
    <t>CILINDRO MESTRE DE FREIO M BENZ</t>
  </si>
  <si>
    <t>MERCEDES-BENZ</t>
  </si>
  <si>
    <t>SWC5017</t>
  </si>
  <si>
    <t>0986AB8643 (BOSCH) | 6446 (ATE) | 7701044681 (OEM) | C3490 (CONTROIL) | CCR92118 (FORTEC) | CR3013 (BOSCH) | RCCR02910 (TRW)</t>
  </si>
  <si>
    <t>SWP240A</t>
  </si>
  <si>
    <t>BOMBA ÁGUA FORD</t>
  </si>
  <si>
    <t>SCC2082</t>
  </si>
  <si>
    <t>CILINDRO MESTRE DE EMBREAGEM VW</t>
  </si>
  <si>
    <t>SBC1116</t>
  </si>
  <si>
    <t>SBC1076</t>
  </si>
  <si>
    <t>5723 (ATE) | 7078627 (OEM) | C2046 (CONTROIL) | RCCD0100 (TRW)</t>
  </si>
  <si>
    <t>SCC2033</t>
  </si>
  <si>
    <t>SBC1121</t>
  </si>
  <si>
    <t>460110032R (OEM) | C2242 (CONTROIL)</t>
  </si>
  <si>
    <t>SSC3022</t>
  </si>
  <si>
    <t>CILINDRO AUXILIAR DE EMBREAGEM NISSAN</t>
  </si>
  <si>
    <t>30620U7000 (NISSAN) | PJD165 (TRW)</t>
  </si>
  <si>
    <t>SBC1113</t>
  </si>
  <si>
    <t>CILLINDRO MESTRE DE FREIO VW</t>
  </si>
  <si>
    <t>6459 (ATE) | C2173 (CONTROIL) | RCCD01800 (TRW)</t>
  </si>
  <si>
    <t>SCS4020</t>
  </si>
  <si>
    <t>ATUADOR DE EMBREAGEM M BENZ</t>
  </si>
  <si>
    <t>SSC3041</t>
  </si>
  <si>
    <t>CILINDRO AUXILIAR DE EMBREAGEM SUZUKI</t>
  </si>
  <si>
    <t>GM / SUZUKI</t>
  </si>
  <si>
    <t>SWC5053</t>
  </si>
  <si>
    <t>0986AB8577 (BOSCH) | 475500D070 (OEM) | C3544 (CONTROIL) | CCR92284 (FORTEC) | RCCR03610 (TRW)</t>
  </si>
  <si>
    <t>SBC1022</t>
  </si>
  <si>
    <t>C-2161 (CONTROIL)</t>
  </si>
  <si>
    <t>SBC1114</t>
  </si>
  <si>
    <t>CILINDRO MESTRE DE FREIO IVECO</t>
  </si>
  <si>
    <t>42556837 (OEM) | C2261 (CONTROIL)</t>
  </si>
  <si>
    <t>IVECO</t>
  </si>
  <si>
    <t>SPF5002K</t>
  </si>
  <si>
    <t>KIT CILINDRO EMBREAGEM FORD</t>
  </si>
  <si>
    <t>KIT CILINDRO DE EMBREAGEM</t>
  </si>
  <si>
    <t>D701048 (FTE)</t>
  </si>
  <si>
    <t>SBC1136</t>
  </si>
  <si>
    <t>4601V0 (OEM) | 4601Y3 (OEM) | 7678 (ATE) | C2194 (CONTROIL) | PMK902 (TRW)</t>
  </si>
  <si>
    <t>SWC5023</t>
  </si>
  <si>
    <t>CILINDRO DE RODA LE/LD</t>
  </si>
  <si>
    <t>7636 (ATE) | 95018640 (OEM) | BWF6000 (TRW) | C3432 (CONTROIL) | CCR92285 (FORTEC)</t>
  </si>
  <si>
    <t>SVP6023</t>
  </si>
  <si>
    <t>SCC2016</t>
  </si>
  <si>
    <t>CILINDRO MESTRE DE EMBREAGEM SUZUKI</t>
  </si>
  <si>
    <t>SBC1080B</t>
  </si>
  <si>
    <t>SBC1139</t>
  </si>
  <si>
    <t>0204807231 (BOSCH)</t>
  </si>
  <si>
    <t>SBC1122M</t>
  </si>
  <si>
    <t>SBC1129</t>
  </si>
  <si>
    <t>CILINDRO MESTRE DE FREIO JAC</t>
  </si>
  <si>
    <t>SBC1005R</t>
  </si>
  <si>
    <t>SBC1086</t>
  </si>
  <si>
    <t>6001551314 (OEM) | 7671 (ATE) | C2209 (CONTROIL)</t>
  </si>
  <si>
    <t>SWC5009</t>
  </si>
  <si>
    <t>CILINDRO DE RODA LE/LD FIAT/RENAULT</t>
  </si>
  <si>
    <t>0986AB8461 (BOSCH) | 6274 (ATE) | 7086715 (OEM) | 7701041021 (OEM) | C3478 (CONTROIL) | CCR92115 (FORTEC) | CR3016 (BOSCH) | RCCR02860 (TRW)</t>
  </si>
  <si>
    <t>CITROEN / FIAT / PEUGEOT / RENAULT</t>
  </si>
  <si>
    <t>SBC1126M</t>
  </si>
  <si>
    <t>SBS8033</t>
  </si>
  <si>
    <t>SAPATA DE FREIO VW</t>
  </si>
  <si>
    <t>209002 (SYL) | 2776CPA (COBREQ) | BPSA0096850 (MAZZICAR) | VW486CPA (FRAS-LE)</t>
  </si>
  <si>
    <t>SOC9001</t>
  </si>
  <si>
    <t>RESFRIADOR OLEO GM</t>
  </si>
  <si>
    <t>12992593 (OEM) | 55355603 (OEM) | 93186324 (OEM)</t>
  </si>
  <si>
    <t>SCC2002</t>
  </si>
  <si>
    <t>C2662 (CONTROIL) | KG1503901 (FTE) | RCCE00940 (TRW) | VKCH1503901 (SKF)</t>
  </si>
  <si>
    <t>SBS8043</t>
  </si>
  <si>
    <t>SAPATA DE FREIO CITROEN</t>
  </si>
  <si>
    <t>BPSA0090240 (MAZZICAR) | CI430CPA (FRAS-LE)</t>
  </si>
  <si>
    <t>SCS4019</t>
  </si>
  <si>
    <t>D151187 (FTE) | VKCH151187 (SKF)</t>
  </si>
  <si>
    <t>SOC9011</t>
  </si>
  <si>
    <t>RESFRIADOR OLEO FORD</t>
  </si>
  <si>
    <t>7S7G6B856BA (OEM) | 7S7G6B856CA (OEM) | 7S7GB856A4A (OEM)</t>
  </si>
  <si>
    <t>SCS4013</t>
  </si>
  <si>
    <t>510007310 (LUK) | RCAC00050 (TRW) | VKCH3102 (SKF) | ZA310241 (FTE)</t>
  </si>
  <si>
    <t>SNB1466</t>
  </si>
  <si>
    <t>RESPIRO ATUADOR EMBREAGEM MITSUBISHI</t>
  </si>
  <si>
    <t>RESPIRO ATUADOR EMBREAGEM</t>
  </si>
  <si>
    <t>SWC5055</t>
  </si>
  <si>
    <t>441004843R (OEM) | BWB1012 (TRW) | C3434 (CONTROIL) | CCR92292 (FORTEC)</t>
  </si>
  <si>
    <t>SCS4029</t>
  </si>
  <si>
    <t>ATUADOR DE EMBREAGEM FIAT/JEEP</t>
  </si>
  <si>
    <t>SBC1120</t>
  </si>
  <si>
    <t>6248 (ATE) | 7085011 (OEM) | C2189 (CONTROIL) | PMH6005 (TRW)</t>
  </si>
  <si>
    <t>SCC2054</t>
  </si>
  <si>
    <t>SCC2071</t>
  </si>
  <si>
    <t>CILINDRO MESTRE DE EMBREAGEM KIA/HYUNDAI</t>
  </si>
  <si>
    <t>SCC2057</t>
  </si>
  <si>
    <t>511029910 (LUK) | 5110299100 (LUK)</t>
  </si>
  <si>
    <t>SCC2031</t>
  </si>
  <si>
    <t>306101HB0A (OEM) | C2733 (CONTROIL)</t>
  </si>
  <si>
    <t>SWC5036</t>
  </si>
  <si>
    <t>94770079 (OEM) | BWK6000 (TRW) | C3554 (CONTROIL)</t>
  </si>
  <si>
    <t>SCC2003</t>
  </si>
  <si>
    <t>6Q0721388 (OEM) | 6Q0721388A (OEM) | 6Q0721388C (OEM) | 6Q0721388D (OEM) | C2657 (CONTROIL) | KG15010941 (FTE) | RCCE00930 (TRW) | VKCH4747 (SKF)</t>
  </si>
  <si>
    <t>SBS8090</t>
  </si>
  <si>
    <t>BPSA0090108 (MAZZICAR)</t>
  </si>
  <si>
    <t>SBS8102</t>
  </si>
  <si>
    <t>203004 (SYL) | 2637CPA (COBREQ) | BPSA0090143 (MAZZICAR) | FI91CPA (FRAS-LE) | HQ505A (JURID)</t>
  </si>
  <si>
    <t>SCC2012</t>
  </si>
  <si>
    <t>CILINDRO MESTRE DE EMBREAGEM CITROEN</t>
  </si>
  <si>
    <t>C2681 (CONTROIL) | KG1504044 (FTE) | RCCE00970 (TRW) | VKCH4889 (SKF)</t>
  </si>
  <si>
    <t>SBC1089</t>
  </si>
  <si>
    <t>7404 (ATE)</t>
  </si>
  <si>
    <t>SBC1108</t>
  </si>
  <si>
    <t>0986AB8684 (BOSCH) | 6330 (ATE) | 93217723 (OEM) | C2073 (CONTROIL) | PML6000 (TRW) | RCCD00990 (TRW)</t>
  </si>
  <si>
    <t>GM / TROLLER</t>
  </si>
  <si>
    <t>SBC1101</t>
  </si>
  <si>
    <t>SWP292</t>
  </si>
  <si>
    <t>BOMBA ÁGUA VW</t>
  </si>
  <si>
    <t>SPF5001K</t>
  </si>
  <si>
    <t>KIT CILINDRO EMBREAGEM IVECO</t>
  </si>
  <si>
    <t>5802008238 (LUK)</t>
  </si>
  <si>
    <t>SWP296</t>
  </si>
  <si>
    <t>BOMBA ÁGUA NISSAN</t>
  </si>
  <si>
    <t>SBC1078</t>
  </si>
  <si>
    <t>CILINDRO MESTRE FREIO HYUNDAI</t>
  </si>
  <si>
    <t>SBC1155</t>
  </si>
  <si>
    <t>0986AB8598 (BOSCH) | 7657 (ATE) | 7701205742 (OEM) | C2202 (CONTROIL)</t>
  </si>
  <si>
    <t>SBC1109</t>
  </si>
  <si>
    <t>0986ab8679 (BOSCH) | C2129 (CONTROIL) | CM2824 (BOSCH) | F87A2A032CC (OEM) | F87Z2140CA (OEM)</t>
  </si>
  <si>
    <t>SBC1073</t>
  </si>
  <si>
    <t>C2163 (CONTROIL)</t>
  </si>
  <si>
    <t>SCC2040</t>
  </si>
  <si>
    <t>AB397A543AD (OEM) | C2727 (CONTROIL) | KG19020271 (FTE)</t>
  </si>
  <si>
    <t>SBS8098</t>
  </si>
  <si>
    <t>201706 (SYL) | 2618CPA (COBREQ) | BPSA0097200 (MAZZICAR) | CB46CPA (FRAS-LE) | HQ512A (JURID) | LS3500 (BOSCH)</t>
  </si>
  <si>
    <t>SOC9026</t>
  </si>
  <si>
    <t>RESFRIADOR OLEO RENAULT</t>
  </si>
  <si>
    <t>8200806731 (OEM)</t>
  </si>
  <si>
    <t>SCC2076</t>
  </si>
  <si>
    <t>KG15001271 (FTE)</t>
  </si>
  <si>
    <t>SSC3010</t>
  </si>
  <si>
    <t>KN19020B1 (FTE) | RCCE01290 (TRW) | VKCH4894 (SKF)</t>
  </si>
  <si>
    <t>SWP141</t>
  </si>
  <si>
    <t>BOMBA ÁGUA CITROEN</t>
  </si>
  <si>
    <t>VKPC83812 (SKF)</t>
  </si>
  <si>
    <t>BMW / CITROEN / MINI / PEUGEOT</t>
  </si>
  <si>
    <t>SBC1118A</t>
  </si>
  <si>
    <t>6377 (ATE) | 7086770 (OEM) | C2188 (CONTROIL)</t>
  </si>
  <si>
    <t>SWC5044R</t>
  </si>
  <si>
    <t>CILINDRO DE RODA LD SUZUKI</t>
  </si>
  <si>
    <t>5340165D00 (OEM) | C3533 (CONTROIL)</t>
  </si>
  <si>
    <t>SWC5044L</t>
  </si>
  <si>
    <t>CILINDRO DE RODA LE SUZUKI</t>
  </si>
  <si>
    <t>5340265D00 (OEM) | C3532 (CONTROIL)</t>
  </si>
  <si>
    <t>SWC5029</t>
  </si>
  <si>
    <t>44100EB30A (OEM) | 44100EB360 (OEM) | C3536 (CONTROIL) | CCR92246 (FORTEC)</t>
  </si>
  <si>
    <t>SCC2063</t>
  </si>
  <si>
    <t>MR132298 (MITSUBISHI) | PNB459 (TRW)</t>
  </si>
  <si>
    <t>SWC5026</t>
  </si>
  <si>
    <t>CILINDRO DE RODA LE/LD HYUNDAI</t>
  </si>
  <si>
    <t>583301G000 (OEM) | C3545 (CONTROIL) | CCR92264 (FORTEC)</t>
  </si>
  <si>
    <t>SBS8085</t>
  </si>
  <si>
    <t>207610 (SYL) | 2851CPA (COBREQ) | BPSA0097470 (MAZZICAR) | RN446CPA (FRAS-LE)</t>
  </si>
  <si>
    <t>SSC3007</t>
  </si>
  <si>
    <t>CILINDRO AUXILIAR DE EMBREAGEM M BENZ</t>
  </si>
  <si>
    <t>C2631 (CONTROIL) | KN22056D1 (FTE) | RCCE01330 (TRW) | VKCH22056 (SKF)</t>
  </si>
  <si>
    <t>SWP318</t>
  </si>
  <si>
    <t>SBC1112</t>
  </si>
  <si>
    <t>6366 (ATE) | 6S652140AA (OEM) | C2198 (CONTROIL)</t>
  </si>
  <si>
    <t>SBS8079</t>
  </si>
  <si>
    <t>SAPATA DE FREIO NISSAN</t>
  </si>
  <si>
    <t>BPSA0090160 (MAZZICAR) | NI441CPA (FRAS-LE)</t>
  </si>
  <si>
    <t>SBC1003</t>
  </si>
  <si>
    <t>SBS8024</t>
  </si>
  <si>
    <t>201709 (SYL) | 2733CPA (COBREQ) | BPSA0094690 (MAZZICAR) | CB417CPA (FRAS-LE)</t>
  </si>
  <si>
    <t>SBC1096</t>
  </si>
  <si>
    <t>CILINDRO MESTRE DE FREIO CITROEN</t>
  </si>
  <si>
    <t>4601.L7 (OEM) | C-2172 (CONTROIL)</t>
  </si>
  <si>
    <t>SBC1119</t>
  </si>
  <si>
    <t>SCC2014</t>
  </si>
  <si>
    <t>KG19013544 (FTE) | RCCE01480 (TRW) | VKCH1903544 (SKF)</t>
  </si>
  <si>
    <t>SCS4030</t>
  </si>
  <si>
    <t>ATUADOR DE EMBREAGEM FORD</t>
  </si>
  <si>
    <t>SBC1040</t>
  </si>
  <si>
    <t>PMF917 (TRW)</t>
  </si>
  <si>
    <t>SWP245</t>
  </si>
  <si>
    <t>BOMBA ÁGUA HYUNDAI</t>
  </si>
  <si>
    <t>7000854500 (INDISA)</t>
  </si>
  <si>
    <t>SCC2051</t>
  </si>
  <si>
    <t>KG1506901 (FTE)</t>
  </si>
  <si>
    <t>SWC5030</t>
  </si>
  <si>
    <t>CILINDRO DE RODA LE/LD HONDA</t>
  </si>
  <si>
    <t>C3413 (CONTROIL) | CCR92248 (FORTEC) | RCCR03700 (TRW)</t>
  </si>
  <si>
    <t>SSC3042</t>
  </si>
  <si>
    <t>SWC5054</t>
  </si>
  <si>
    <t>CILINDRO DE RODA E/D FIAT</t>
  </si>
  <si>
    <t>7090575 (OEM) | C3571 (CONTROIL)</t>
  </si>
  <si>
    <t>SCC2085</t>
  </si>
  <si>
    <t>SBC1149</t>
  </si>
  <si>
    <t>SBS8086</t>
  </si>
  <si>
    <t>207611 (SYL) | 2808CP (COBREQ) | BPSA0097477 (MAZZICAR) | RN489CP (FRAS-LE)</t>
  </si>
  <si>
    <t>SCC2074</t>
  </si>
  <si>
    <t>SBC1153</t>
  </si>
  <si>
    <t>SBC1029</t>
  </si>
  <si>
    <t>C2094 (CONTROIL) | RCCD00950 (TRW)</t>
  </si>
  <si>
    <t>SBC1042NR</t>
  </si>
  <si>
    <t>52075430 (OEM) | 7665 (ATE) | C2201 (CONTROIL)</t>
  </si>
  <si>
    <t>SBC1084</t>
  </si>
  <si>
    <t>SWC5035</t>
  </si>
  <si>
    <t>0986AB8665 (BOSCH) | 1136110551 (OEM) | 5102 (ATE) | C3352 (CONTROIL) | CCR9222 (FORTEC) | CR9874 (BOSCH) | RCCR23805 (TRW)</t>
  </si>
  <si>
    <t>SBC1091</t>
  </si>
  <si>
    <t>SOC9022</t>
  </si>
  <si>
    <t>24586601 (OEM) | 55488257 (OEM) | 554897969 (OEM)</t>
  </si>
  <si>
    <t>SOC9027</t>
  </si>
  <si>
    <t>RESFRIADOR OLEO JEEP</t>
  </si>
  <si>
    <t>05048119AA (OEM) | 5047370AA (OEM) | 5047370AB (OEM)</t>
  </si>
  <si>
    <t>DODGE / FIAT / JEEP</t>
  </si>
  <si>
    <t>SCC2070</t>
  </si>
  <si>
    <t>CILINDRO MESTRE DE EMBREAGEM HYUNDAI/KIA</t>
  </si>
  <si>
    <t>SBS8044</t>
  </si>
  <si>
    <t>207002 (SYL) | BPSA0090245 (MAZZICAR) | CI344CPA (FRAS-LE)</t>
  </si>
  <si>
    <t>SOC9009</t>
  </si>
  <si>
    <t>RESFRIADOR OLEO AUDI/VW</t>
  </si>
  <si>
    <t>028117021L (OEM) | 068117021B (OEM) | 078117021A (OEM)</t>
  </si>
  <si>
    <t>AUDI / FORD / VOLKSWAGEN</t>
  </si>
  <si>
    <t>SBC1183</t>
  </si>
  <si>
    <t>SBC1179</t>
  </si>
  <si>
    <t>SBC1194A</t>
  </si>
  <si>
    <t>SCC2032</t>
  </si>
  <si>
    <t>SBC1093</t>
  </si>
  <si>
    <t>C2199 (CONTROIL) | CN152140BA (OEM)</t>
  </si>
  <si>
    <t>SWC5010</t>
  </si>
  <si>
    <t>43300T5RA01 (OEM) | 7651 (ATE) | C3579 (CONTROIL) | CCR92293 (FORTEC)</t>
  </si>
  <si>
    <t>SVP6021</t>
  </si>
  <si>
    <t>BOMBA DE VÁCUO FREIO</t>
  </si>
  <si>
    <t>SBC1082</t>
  </si>
  <si>
    <t>CILINDRO MESTRE DE FREIO HYUNDAI</t>
  </si>
  <si>
    <t>SBC1100</t>
  </si>
  <si>
    <t>RCCD01470 (TRW)</t>
  </si>
  <si>
    <t>SVP6018</t>
  </si>
  <si>
    <t>167006-S300 (OEM) | 7002657C1 (OEM) | 7002661C1 (OEM) | 98500126 (OEM)</t>
  </si>
  <si>
    <t>GM / NISSAN / TROLLER</t>
  </si>
  <si>
    <t>SWP297A</t>
  </si>
  <si>
    <t>254562 (INDISA)</t>
  </si>
  <si>
    <t>SBS8009</t>
  </si>
  <si>
    <t>207604 (SYL) | 2660CPA (COBREQ) | BPSA0097490 (MAZZICAR) | LS3549 (BOSCH) | RN324CPA (FRAS-LE)</t>
  </si>
  <si>
    <t>SBS8008</t>
  </si>
  <si>
    <t>203013 (SYL) | 2652CPA (COBREQ) | BPSA0090145 (MAZZICAR) | FI136CPA (FRAS-LE) | HQJ511A (JURID)</t>
  </si>
  <si>
    <t>FIAT / GM</t>
  </si>
  <si>
    <t>SWP263</t>
  </si>
  <si>
    <t>BOMBA ÁGUA AUDI/VW</t>
  </si>
  <si>
    <t>SBC1064</t>
  </si>
  <si>
    <t>6331 (ATE) | C2002 (CONTROIL) | RCCD00700 (TRW)</t>
  </si>
  <si>
    <t>SNB1465A</t>
  </si>
  <si>
    <t>RESPIRO ATUADOR EMBREAGEM VW</t>
  </si>
  <si>
    <t>SBC1026</t>
  </si>
  <si>
    <t>0986AB8589 (BOSCH) | 93332850 (OEM) | C2143 (CONTROIL) | RCCD01460 (TRW)</t>
  </si>
  <si>
    <t>SSC3031</t>
  </si>
  <si>
    <t>SCS4018</t>
  </si>
  <si>
    <t>510003710 (LUK) | D751112 (FTE) | RCAC00020 (TRW) | VKCH151112 (SKF)</t>
  </si>
  <si>
    <t>SOC9020D</t>
  </si>
  <si>
    <t>RESFRIADOR DE ÓLEO MOTOR FIAT</t>
  </si>
  <si>
    <t>55246619 (OEM)</t>
  </si>
  <si>
    <t>SWC5037</t>
  </si>
  <si>
    <t>2116110473 (OEM) | 5269 (ATE) | C3366 (CONTROIL) | CCR9210 (FORTEC) | CR9294 (BOSCH) | RCCR00767 (TRW)</t>
  </si>
  <si>
    <t>SBC1004</t>
  </si>
  <si>
    <t>0986AB8611 (BOSCH) | 1136110156 (OEM) | 5111 (ATE) | C2007 (CONTROIL) | RCCD24061 (TRW)</t>
  </si>
  <si>
    <t>SBS8035</t>
  </si>
  <si>
    <t>208000 (SYL) | 2795CPA (COBREQ) | BPSA0096840 (MAZZICAR) | VW281CPA (FRAS-LE)</t>
  </si>
  <si>
    <t>CHERY / VOLKSWAGEN</t>
  </si>
  <si>
    <t>SBS8016</t>
  </si>
  <si>
    <t>206503 (SYL) | 2700CP (COBREQ) | BPSA95280 (MAZZICAR) | MI370CP (FRAS-LE)</t>
  </si>
  <si>
    <t>GM / MITSUBISHI</t>
  </si>
  <si>
    <t>SBS8050</t>
  </si>
  <si>
    <t>SAPATA DE FREIO TOYOTA</t>
  </si>
  <si>
    <t>208807 (SYL) | 2744CPA (COBREQ) | BPSA0094585 (MAZZICAR) | TY481CPA (FRAS-LE)</t>
  </si>
  <si>
    <t>JAC MOTORS / TOYOTA</t>
  </si>
  <si>
    <t>SBS8003</t>
  </si>
  <si>
    <t>SAPATA DE FREIO PEUGEOT</t>
  </si>
  <si>
    <t>207000 (SYL) | 2625CPA (COBREQ) | BPSA0091337 (MAZZICAR) | HQJ506A (JURID) | PG202CP (FRAS-LE)</t>
  </si>
  <si>
    <t>SBC1028</t>
  </si>
  <si>
    <t>6335 (ATE) | C2038 (CONTROIL) | RCCD28170 (TRW)</t>
  </si>
  <si>
    <t>SBC1106</t>
  </si>
  <si>
    <t>CILINDRO MESTRE FREIO NISSAN</t>
  </si>
  <si>
    <t>SSC3025</t>
  </si>
  <si>
    <t>SCC2019</t>
  </si>
  <si>
    <t>D111007 (FTE)</t>
  </si>
  <si>
    <t>SSC3032</t>
  </si>
  <si>
    <t>SBC1188</t>
  </si>
  <si>
    <t>SVP6003</t>
  </si>
  <si>
    <t>BOMBA DE VÁCUO LAND ROVER/VOLVO</t>
  </si>
  <si>
    <t>724807650 (PIERBURG)</t>
  </si>
  <si>
    <t>FORD / JAGUAR / LAND ROVER / VOLVO</t>
  </si>
  <si>
    <t>SBS8089</t>
  </si>
  <si>
    <t>2628CPA (COBREQ) | BPSA0090135 (MAZZICAR)</t>
  </si>
  <si>
    <t>SBS8095</t>
  </si>
  <si>
    <t>201713 (SYL) | 2809CPA (COBREQ) | BPSA0094685 (MAZZICAR) | CB508CPA (FRAS-LE)</t>
  </si>
  <si>
    <t>SCC2069</t>
  </si>
  <si>
    <t>55257322 (OEM) | 55272342 (OEM) | C2735 (CONTROIL) | KG15013842 (FTE) | VKCH4919 (SKF)</t>
  </si>
  <si>
    <t>SBC1154</t>
  </si>
  <si>
    <t>SBS8096</t>
  </si>
  <si>
    <t>204610 (SYL) | BPSA0096071 (MAZZICAR)</t>
  </si>
  <si>
    <t>SWP310</t>
  </si>
  <si>
    <t>SCC2006</t>
  </si>
  <si>
    <t>C2644 (CONTROIL) | KG1504401 (FTE) | RCCE00990 (TRW) | VKCH4739 (SKF)</t>
  </si>
  <si>
    <t>SBC1191A</t>
  </si>
  <si>
    <t>SBS8023</t>
  </si>
  <si>
    <t>203113 (SYL) | 2730CP (COBREQ) | BPSA0090163 (MAZZICAR) | NI443CP (FRAS-LE)</t>
  </si>
  <si>
    <t>FORD / NISSAN</t>
  </si>
  <si>
    <t>SBC1148</t>
  </si>
  <si>
    <t>SOC9015</t>
  </si>
  <si>
    <t>504375378 (OEM) | 5801555580 (OEM) | 5801630224 (OEM)</t>
  </si>
  <si>
    <t>CITROEN / FIAT / IVECO / PEUGEOT</t>
  </si>
  <si>
    <t>SBS8039</t>
  </si>
  <si>
    <t>2818CPA (COBREQ) | BPSA0096846 (MAZZICAR)</t>
  </si>
  <si>
    <t>SBC1024</t>
  </si>
  <si>
    <t>SCC2056</t>
  </si>
  <si>
    <t>CILINDRO MESTRE DE EMBREAGEM LAND ROVER</t>
  </si>
  <si>
    <t>RCCE01100 (TRW)</t>
  </si>
  <si>
    <t>LAND ROVER</t>
  </si>
  <si>
    <t>SCC2011</t>
  </si>
  <si>
    <t>CILINDRO MESTRE DE EMBREAGEM M BENZ</t>
  </si>
  <si>
    <t>C2630 (CONTROIL) | KG19005401 (FTE) | RCCE01040 (TRW) | VKCH190054 (SKF)</t>
  </si>
  <si>
    <t>SBS8040</t>
  </si>
  <si>
    <t>SAPATA DE FREIO HONDA</t>
  </si>
  <si>
    <t>2824CP (COBREQ) | BPSA0091260 (MAZZICAR)</t>
  </si>
  <si>
    <t>SVP6016</t>
  </si>
  <si>
    <t>703800050 (PIERBURG)</t>
  </si>
  <si>
    <t>SWP237</t>
  </si>
  <si>
    <t>BOMBA ÁGUA CHERY</t>
  </si>
  <si>
    <t>SSC3017</t>
  </si>
  <si>
    <t>46930SAA013 (OEM) | 6283600146 (SACHS) | C2698 (CONTROIL) | PJH700 (TRW)</t>
  </si>
  <si>
    <t>SBS8010</t>
  </si>
  <si>
    <t>207602 (SYL) | 2663CPA (COBREQ) | BPSA0091319 (MAZZICAR) | LS3536 (BOSCH) | RN131CPA (FRAS-LE)</t>
  </si>
  <si>
    <t>SSC3012</t>
  </si>
  <si>
    <t>4171039A00 (OEM) | C2754 (CONTROIL) | D161007 (FTE) | PJA114 (TRW)</t>
  </si>
  <si>
    <t>SBC1150</t>
  </si>
  <si>
    <t>C2010 (CONTROIL) | RCCD00284 (TRW)</t>
  </si>
  <si>
    <t>SWC5005</t>
  </si>
  <si>
    <t>CILINDRO DE RODA LE/LD CITROEN/PEUGEOT</t>
  </si>
  <si>
    <t>0986AB8654 (BOSCH) | 4402C8 (OEM) | 7712 (ATE) | C3535 (CONTROIL) | CCR92271 (FORTEC)</t>
  </si>
  <si>
    <t>SWP092</t>
  </si>
  <si>
    <t>BOMBA ÁGUA LAND ROVER/VOLVO</t>
  </si>
  <si>
    <t>LAND ROVER / VOLVO</t>
  </si>
  <si>
    <t>SOC9029</t>
  </si>
  <si>
    <t>RESFRIADOR OLEO HONDA</t>
  </si>
  <si>
    <t>124100-7821 (OEM)</t>
  </si>
  <si>
    <t>SWC5025R</t>
  </si>
  <si>
    <t>CILINDRO DE RODA LD HYUNDAI/KIA</t>
  </si>
  <si>
    <t>583804F100 (OEM) | C3425 (CONTROIL) | CCR92254 (FORTEC)</t>
  </si>
  <si>
    <t>SBC1020</t>
  </si>
  <si>
    <t>SSC3036</t>
  </si>
  <si>
    <t>46930TR0L41 (OEM) | C2680 (CONTROIL)</t>
  </si>
  <si>
    <t>SWP220</t>
  </si>
  <si>
    <t>BOMBA ÁGUA MITSUBISHI</t>
  </si>
  <si>
    <t>DODGE / FIAT / JEEP / KIA / MITSUBISHI</t>
  </si>
  <si>
    <t>SBC1184</t>
  </si>
  <si>
    <t>26315212 (OEM) | C2227 (CONTROIL)</t>
  </si>
  <si>
    <t>SWP172</t>
  </si>
  <si>
    <t>BOMBA ÁGUA SUZUKI</t>
  </si>
  <si>
    <t>7000804501 (INDISA)</t>
  </si>
  <si>
    <t>SWP030H1</t>
  </si>
  <si>
    <t>452561 (INDISA)</t>
  </si>
  <si>
    <t>SWC5045L</t>
  </si>
  <si>
    <t>CILINDRO DE RODA LE NISSAN</t>
  </si>
  <si>
    <t>441005RB0B (OEM) | 441015RB0A (OEM) | C3560 (CONTROIL)</t>
  </si>
  <si>
    <t>SCC2067</t>
  </si>
  <si>
    <t>D111006 (FTE) | RCCE01660 (TRW)</t>
  </si>
  <si>
    <t>SWP248</t>
  </si>
  <si>
    <t>BOMBA ÁGUA HYUNDAI/KIA</t>
  </si>
  <si>
    <t>7000854513 (INDISA) | UB0421 (URBA)</t>
  </si>
  <si>
    <t>SWC5024</t>
  </si>
  <si>
    <t>0986AB8578 (BOSCH) | 6995 (ATE) | C3546 (CONTROIL) | CN152261AA (OEM)</t>
  </si>
  <si>
    <t>SBC1013</t>
  </si>
  <si>
    <t>13286445 (OEM) | 7637 (ATE) | C2210 (CONTROIL)</t>
  </si>
  <si>
    <t>SWC5025L</t>
  </si>
  <si>
    <t>CILINDRO DE RODA LE HYUNDAI/KIA</t>
  </si>
  <si>
    <t>583304F100 (OEM) | C3424 (CONTROIL) | CCR92253 (FORTEC) | CR1459 (BOSCH) | NKF12435 (NAKATA)</t>
  </si>
  <si>
    <t>SSC3011</t>
  </si>
  <si>
    <t>512017410 (LUK) | C2648 (CONTROIL) | KN2209171 (FTE) | KN2209172 (FTE) | RCCE01430 (TRW) | VKCH4723 (SKF)</t>
  </si>
  <si>
    <t>SWP301</t>
  </si>
  <si>
    <t>SVP6017</t>
  </si>
  <si>
    <t>BOMBA DE VÁCUO BMW</t>
  </si>
  <si>
    <t>701366060 (PIERBURG)</t>
  </si>
  <si>
    <t>SBC1098</t>
  </si>
  <si>
    <t>6920 (ATE) | 7087904 (OEM) | PMH6006 (TRW)</t>
  </si>
  <si>
    <t>SSC3033</t>
  </si>
  <si>
    <t>CILINDRO AUXILIAR DE EMBREAGEM FORD</t>
  </si>
  <si>
    <t>3C117A508AB (OEM) | C2728 (CONTROIL)</t>
  </si>
  <si>
    <t>SWC5045R</t>
  </si>
  <si>
    <t>CILINDRO DE RODA LD NISSAN</t>
  </si>
  <si>
    <t>441005RB0A (OEM) | 441015RB0B (OEM) | C3561 (CONTROIL)</t>
  </si>
  <si>
    <t>SBS8082</t>
  </si>
  <si>
    <t>BPSA0090166 (MAZZICAR) | NI488CP (FRAS-LE)</t>
  </si>
  <si>
    <t>SOC9020</t>
  </si>
  <si>
    <t>55246619 (OEM) | 55273044 (OEM)</t>
  </si>
  <si>
    <t>SWP266</t>
  </si>
  <si>
    <t>BOMBA ÁGUA M BENZ</t>
  </si>
  <si>
    <t>SWC5103</t>
  </si>
  <si>
    <t>6013 (ATE) | 90443261 (OEM) | 90498300 (OEM) | 93284550 (OEM) | 93330205 (OEM) | C3410 (CONTROIL) | CR2754 (BOSCH) | RCCR01305 (TRW)</t>
  </si>
  <si>
    <t>SCC2075</t>
  </si>
  <si>
    <t>KG15018571 (FTE)</t>
  </si>
  <si>
    <t>SWC5090</t>
  </si>
  <si>
    <t>7088134 (OEM) | C3562 (CONTROIL)</t>
  </si>
  <si>
    <t>SBC1019</t>
  </si>
  <si>
    <t>6153 (ATE) | 7089438 (OEM) | C2205 (CONTROIL) | PMH6003 (TRW)</t>
  </si>
  <si>
    <t>SBC1065</t>
  </si>
  <si>
    <t>6024 (ATE) | C2014 (CONTROIL) | RCCD27891 (TRW)</t>
  </si>
  <si>
    <t>SBC1124</t>
  </si>
  <si>
    <t>CILINDRO MESTRE DE FREIO FIAT/JEEP</t>
  </si>
  <si>
    <t>0204819119 (BOSCH) | 7660 (ATE) | CM9119 (BOSCH)</t>
  </si>
  <si>
    <t>SCC2025</t>
  </si>
  <si>
    <t>SWP030H</t>
  </si>
  <si>
    <t>SBS8022</t>
  </si>
  <si>
    <t>201708 (SYL) | 2727CPA (COBREQ) | BPSA0094670 (MAZZICAR) | CB153CPA (FRAS-LE)</t>
  </si>
  <si>
    <t>SVP6000</t>
  </si>
  <si>
    <t>BOMBA DE VÁCUO VW</t>
  </si>
  <si>
    <t>704303050 (PIERBURG)</t>
  </si>
  <si>
    <t>SOC9005</t>
  </si>
  <si>
    <t>RESFRIADOR OLEO CITROEN</t>
  </si>
  <si>
    <t>1103N3 (OEM) | 3221470 (OEM) | 5989070251 (OEM)</t>
  </si>
  <si>
    <t>SWP308</t>
  </si>
  <si>
    <t>SWP314</t>
  </si>
  <si>
    <t>BOMBA ÁGUA CITROEN/PEUGEOT</t>
  </si>
  <si>
    <t>BOMBA D'ÁGUA ELÉTRICA</t>
  </si>
  <si>
    <t>SVP6022</t>
  </si>
  <si>
    <t>BOMBA DE VÁCUO HYUNDAI/KIA</t>
  </si>
  <si>
    <t>SWC5031</t>
  </si>
  <si>
    <t>CILINDRO DE RODA LE/LD M BENZ</t>
  </si>
  <si>
    <t>SBS8101</t>
  </si>
  <si>
    <t>203017 (SYL) | BPSA0090136 (MAZZICAR) | FI431CPA (FRAS-LE)</t>
  </si>
  <si>
    <t>SBS8055</t>
  </si>
  <si>
    <t>BPSA0096890 (MAZZICAR) | CB176CP (FRAS-LE)</t>
  </si>
  <si>
    <t>SOC9050</t>
  </si>
  <si>
    <t>RESFRIADOR DE ÓLEO CÂMBIO RENAULT</t>
  </si>
  <si>
    <t>7700873354 (OEM)</t>
  </si>
  <si>
    <t>SBC1088</t>
  </si>
  <si>
    <t>SCC2080</t>
  </si>
  <si>
    <t>SBC1167</t>
  </si>
  <si>
    <t>SBS8133</t>
  </si>
  <si>
    <t>BPSA0090248 (MAZZICAR)</t>
  </si>
  <si>
    <t>SWC5001</t>
  </si>
  <si>
    <t>441003HA0A (OEM) | 7641 (ATE) | C3558 (CONTROIL) | CCR92287 (FORTEC)</t>
  </si>
  <si>
    <t>SBC1176</t>
  </si>
  <si>
    <t>1K1614019M (OEM) | C2238 (CONTROIL)</t>
  </si>
  <si>
    <t>SBC1039</t>
  </si>
  <si>
    <t>0986480998 (BOSCH) | PMK593 (TRW)</t>
  </si>
  <si>
    <t>SWP203</t>
  </si>
  <si>
    <t>20218 (SCHADEK) | 7000952006 (INDISA) | NKBA08807 (NAKATA) | UB0807 (URBA) | VKPC83644 (SKF)</t>
  </si>
  <si>
    <t>SSC3039</t>
  </si>
  <si>
    <t>3103420 (VALEO) | KN2006041 (FTE) | VKCH2002241 (SKF)</t>
  </si>
  <si>
    <t>SOC9047</t>
  </si>
  <si>
    <t>55282257 (OEM)</t>
  </si>
  <si>
    <t>SBC1055</t>
  </si>
  <si>
    <t>SOC9023</t>
  </si>
  <si>
    <t>RESFRIADOR OLEO M BENZ</t>
  </si>
  <si>
    <t>6511800610 (OEM) | 6511800810 (OEM) | 651180130 (OEM)</t>
  </si>
  <si>
    <t>SCC2005</t>
  </si>
  <si>
    <t>C2643 (CONTROIL) | KG19009601 (FTE) | RCCE01090 (TRW) | VKCH4728 (SKF)</t>
  </si>
  <si>
    <t>SWP269</t>
  </si>
  <si>
    <t>BOMBA ÁGUA BMW</t>
  </si>
  <si>
    <t>BMW / MINI</t>
  </si>
  <si>
    <t>SSC3040</t>
  </si>
  <si>
    <t>CILINDRO AUXILIAR DE EMBREAGEM MITSUBISHI</t>
  </si>
  <si>
    <t>SCC2037</t>
  </si>
  <si>
    <t>C2641 (CONTROIL) | KG19009401 (FTE) | RCCE01070 (TRW) | VKCH4727 (SKF)</t>
  </si>
  <si>
    <t>SBC1178</t>
  </si>
  <si>
    <t>SBS8046</t>
  </si>
  <si>
    <t>203015 (SYL) | 2832CPA (COBREQ) | BPSA0097158 (MAZZICAR) | FI485CPA (FRAS-LE)</t>
  </si>
  <si>
    <t>SCS4012</t>
  </si>
  <si>
    <t>510007310 (LUK) | RCAC00060 (TRW) | VKCH3102 (SKF) | ZA3103B2 (FTE)</t>
  </si>
  <si>
    <t>SCC2078</t>
  </si>
  <si>
    <t>SCS4032</t>
  </si>
  <si>
    <t>ATUADOR DE EMBREAGEM VW</t>
  </si>
  <si>
    <t>SWP178</t>
  </si>
  <si>
    <t>BOMBA ÁGUA HONDA</t>
  </si>
  <si>
    <t>7000752005 (INDISA) | NKBA12605 (NAKATA)</t>
  </si>
  <si>
    <t>SWP284</t>
  </si>
  <si>
    <t>SBS8100PB</t>
  </si>
  <si>
    <t>SAPATA DE FREIO DE MÃO</t>
  </si>
  <si>
    <t>BPSA0096750 (MAZZICAR)</t>
  </si>
  <si>
    <t>SBC1118</t>
  </si>
  <si>
    <t>6380 (ATE) | 70866769 (OEM) | C2187 (CONTROIL) | PMH6014 (TRW)</t>
  </si>
  <si>
    <t>SBC1058</t>
  </si>
  <si>
    <t>SCC2022</t>
  </si>
  <si>
    <t>CILINDRO MESTRE DE EMBREAGEM AUDI/VW</t>
  </si>
  <si>
    <t>C2650 (CONTROIL) | KG1503201 (FTE) | RCCE00920 (TRW) | VKCH15032 (SKF)</t>
  </si>
  <si>
    <t>SBC1102</t>
  </si>
  <si>
    <t>SWC5050</t>
  </si>
  <si>
    <t>0986AB8583 (BOSCH) | 2H0611053 (OEM) | 7964 (ATE) | C3543 (CONTROIL) | RCCR03590 (TRW)</t>
  </si>
  <si>
    <t>SBC1143</t>
  </si>
  <si>
    <t>0986AB8647 (BOSCH) | 6954 (ATE) | 94766502 (OEM) | C2203 (CONTROIL)</t>
  </si>
  <si>
    <t>SBC1110</t>
  </si>
  <si>
    <t>C2132 (CONTROIL) | F57Z2140B (OEM) | F67Z2140JA (OEM) | ZZM543990 (OEM) | ZZM843990 (OEM)</t>
  </si>
  <si>
    <t>SBC1192</t>
  </si>
  <si>
    <t>SWP123A</t>
  </si>
  <si>
    <t>702522 (INDISA) | VKPC86810 (SKF)</t>
  </si>
  <si>
    <t>SOC9008</t>
  </si>
  <si>
    <t>A2711801210 (OEM)</t>
  </si>
  <si>
    <t>SBS8084</t>
  </si>
  <si>
    <t>207612 (SYL) | BPSA0090107 (MAZZICAR) | RN445CPA (FRAS-LE)</t>
  </si>
  <si>
    <t>SWP187A</t>
  </si>
  <si>
    <t>SBS8103</t>
  </si>
  <si>
    <t>209000 (SYL) | 2769CPA (COBREQ) | BPSA0096825 (MAZZICAR) | VW280CPA (FRAS-LE)</t>
  </si>
  <si>
    <t>SCC2093</t>
  </si>
  <si>
    <t>SWC5040</t>
  </si>
  <si>
    <t>0986475751 (BOSCH) | 6263 (ATE) | 93BB2261DC (OEM) | 93BB2261DD (OEM) | 97FB2261BB (OEM) | C3470 (CONTROIL) | CR3014 (BOSCH) | NKF12470 (NAKATA) | RCCR02010 (TRW)</t>
  </si>
  <si>
    <t>SCS4023</t>
  </si>
  <si>
    <t>ZA300841 (FTE)</t>
  </si>
  <si>
    <t>SVP6007</t>
  </si>
  <si>
    <t>724808020 (PIERBURG)</t>
  </si>
  <si>
    <t>FORD / LAND ROVER</t>
  </si>
  <si>
    <t>SSC3005</t>
  </si>
  <si>
    <t>D161035 (FTE)</t>
  </si>
  <si>
    <t>SWP342</t>
  </si>
  <si>
    <t>155254067 (OEM) | 1628941780 (OEM) | 1638159580 (OEM)</t>
  </si>
  <si>
    <t>SBC1168</t>
  </si>
  <si>
    <t>SWP293</t>
  </si>
  <si>
    <t>SBC1156</t>
  </si>
  <si>
    <t>SBC1025</t>
  </si>
  <si>
    <t>CILINdRO MESTRE DE FREIO RENAULT</t>
  </si>
  <si>
    <t>C2192 (CONTROIL)</t>
  </si>
  <si>
    <t>SBC1132</t>
  </si>
  <si>
    <t>SVP6032</t>
  </si>
  <si>
    <t>BOMBA DE VÁCUO FIAT</t>
  </si>
  <si>
    <t>SBC1164</t>
  </si>
  <si>
    <t>SBC1012</t>
  </si>
  <si>
    <t>C2131 (CONTROIL) | MB534480 (OEM) | MB699830 (OEM) | MR307964 (OEM) | MR449476 (OEM)</t>
  </si>
  <si>
    <t>HYUNDAI / MITSUBISHI</t>
  </si>
  <si>
    <t>SBS8099PB</t>
  </si>
  <si>
    <t>BPSA0090155 (MAZZICAR)</t>
  </si>
  <si>
    <t>FORD / SSANGYONG</t>
  </si>
  <si>
    <t>SBS8021</t>
  </si>
  <si>
    <t>209001 (SYL) | 2723CPA (COBREQ) | BPSA0096860 (MAZZICAR) | VW282CPA (FRAS-LE)</t>
  </si>
  <si>
    <t>SBS8060</t>
  </si>
  <si>
    <t>SAPATA DE FREIO M BENZ</t>
  </si>
  <si>
    <t>206002 (SYL) | BPSA0090115 (MAZZICAR) | LS3531 (BOSCH) | MB169CPA (FRAS-LE)</t>
  </si>
  <si>
    <t>SCC2045</t>
  </si>
  <si>
    <t>KG15004771 (FTE)</t>
  </si>
  <si>
    <t>SWP372</t>
  </si>
  <si>
    <t>BOMBA D'ÁGUA AUXILIAR</t>
  </si>
  <si>
    <t>52076512 (OEM)</t>
  </si>
  <si>
    <t>SWC5082</t>
  </si>
  <si>
    <t>0986BB3011 (BOSCH) | 1608512780 (OEM) | 2S652261BA (OEM) | 6098 (ATE) | 7081424 (OEM) | 7084405 (OEM) | C3496 (CONTROIL) | CR3011 (BOSCH) | RCCR03440 (TRW)</t>
  </si>
  <si>
    <t>CITROEN / FIAT / FORD / PEUGEOT</t>
  </si>
  <si>
    <t>SWP103</t>
  </si>
  <si>
    <t>BOMBA ÁGUA PORSCHE/VW</t>
  </si>
  <si>
    <t>454540 (INDISA) | VLBA0330552 (VILLA FRANCA)</t>
  </si>
  <si>
    <t>PORSCHE / VOLKSWAGEN</t>
  </si>
  <si>
    <t>SCS4021</t>
  </si>
  <si>
    <t>510002610 (LUK) | D751103 (FTE) | RCAC00010 (TRW) | VKCH151103 (SKF)</t>
  </si>
  <si>
    <t>SCS4027</t>
  </si>
  <si>
    <t>ATUADOR DE EMBREAGEM NISSAN</t>
  </si>
  <si>
    <t>510015610 (LUK) | D151127 (FTE) | RCAC00030 (TRW) | VKCH151127 (SKF)</t>
  </si>
  <si>
    <t>SOC9030</t>
  </si>
  <si>
    <t>09G409061 (OEM)</t>
  </si>
  <si>
    <t>SBS8087PB</t>
  </si>
  <si>
    <t>208805 (SYL) | BPSA0094550 (MAZZICAR) | TY328CPA (FRAS-LE)</t>
  </si>
  <si>
    <t>SBC1052</t>
  </si>
  <si>
    <t>SBC1140</t>
  </si>
  <si>
    <t>0204817551 (BOSCH)</t>
  </si>
  <si>
    <t>SBS8052</t>
  </si>
  <si>
    <t>SAPATA DE FREIO SUZUKI</t>
  </si>
  <si>
    <t>203803 (SYL) | BPSA0096870 (MAZZICAR) | HO507CP (FRAS-LE)</t>
  </si>
  <si>
    <t>SUZUKI</t>
  </si>
  <si>
    <t>SBC1057</t>
  </si>
  <si>
    <t>SCC2000</t>
  </si>
  <si>
    <t>C2661 (CONTROIL) | KG19013471 (FTE) | RCCE01120 (TRW) | VKCH4729 (SKF)</t>
  </si>
  <si>
    <t>SBS8045</t>
  </si>
  <si>
    <t>203014 (SYL) | 2829CPA (COBREQ) | BPSA0097157 (MAZZICAR) | FI484CPA (FRAS-LE)</t>
  </si>
  <si>
    <t>SWP336</t>
  </si>
  <si>
    <t>BOMBA ÁGUA LAND ROVER</t>
  </si>
  <si>
    <t>LR092953 (OEM) | LR123392 (OEM) | LR154597 (OEM)</t>
  </si>
  <si>
    <t>JAGUAR / LAND ROVER</t>
  </si>
  <si>
    <t>SBC1204</t>
  </si>
  <si>
    <t>SSC3044</t>
  </si>
  <si>
    <t>3103919 (VALEO) | 46930S5A013 (OEM) | C2693 (CONTROIL) | D161004 (FTE)</t>
  </si>
  <si>
    <t>SBS8056</t>
  </si>
  <si>
    <t>201701 (SYL) | 2785CP (COBREQ) | BPSA0090199 (MAZZICAR) | CB175CP (FRAS-LE) | LS3542 (BOSCH)</t>
  </si>
  <si>
    <t>SOC9016</t>
  </si>
  <si>
    <t>RESFRIADOR OLEO BMW</t>
  </si>
  <si>
    <t>11428511391 (OEM) | 11428585235 (OEM)</t>
  </si>
  <si>
    <t>SOC9010</t>
  </si>
  <si>
    <t>RESFRIADOR OLEO MITSUBISHI</t>
  </si>
  <si>
    <t>2920A017 (OEM) | 2920A097 (OEM)</t>
  </si>
  <si>
    <t>SCC2004</t>
  </si>
  <si>
    <t>511015510 (LUK) | C2647 (CONTROIL) | KG1509471 (FTE) | RCCE01420 (TRW) | VKCH4726 (SKF)</t>
  </si>
  <si>
    <t>SBS8070PB</t>
  </si>
  <si>
    <t>BPSA0096068 (MAZZICAR) | HY340CP (FRAS-LE)</t>
  </si>
  <si>
    <t>SWP140</t>
  </si>
  <si>
    <t>7000854512 (INDISA)</t>
  </si>
  <si>
    <t>SVP6042</t>
  </si>
  <si>
    <t>BOMBA DE VÁCUO NISSAN</t>
  </si>
  <si>
    <t>SOC9028</t>
  </si>
  <si>
    <t>09G409061F (OEM)</t>
  </si>
  <si>
    <t>SBS8112</t>
  </si>
  <si>
    <t>203016 (SYL) | 7089579 (OEM) | BPSA0090147 (MAZZICAR) | FI432CPA (FRAS-LE)</t>
  </si>
  <si>
    <t>SCS4007</t>
  </si>
  <si>
    <t>510006511 (LUK) | RCAC00110 (TRW) | VKCH4750 (SKF) | ZA2802415 (FTE)</t>
  </si>
  <si>
    <t>SSC3023</t>
  </si>
  <si>
    <t>C2697 (CONTROIL) | MR165177 (OEM) | PJD260 (TRW)</t>
  </si>
  <si>
    <t>SWC5014L</t>
  </si>
  <si>
    <t>CILINDRO DE RODA LE MITSUBISHI</t>
  </si>
  <si>
    <t>0986475920 (BOSCH) | BWK160 (TRW) | C3528 (CONTROIL) | MB500738 (OEM)</t>
  </si>
  <si>
    <t>SCS4033</t>
  </si>
  <si>
    <t>ATUADOR DE EMBREAGEM FIAT</t>
  </si>
  <si>
    <t>SBS8091</t>
  </si>
  <si>
    <t>BPSA0090149 (MAZZICAR)</t>
  </si>
  <si>
    <t>SCS4006</t>
  </si>
  <si>
    <t>510009210 (LUK) | ZA34011831 (FTE)</t>
  </si>
  <si>
    <t>SBC1037</t>
  </si>
  <si>
    <t>1K1614019F (OEM)</t>
  </si>
  <si>
    <t>SBS8037</t>
  </si>
  <si>
    <t>SAPATA DE FREIO CHERY</t>
  </si>
  <si>
    <t>BPSA0097461 (MAZZICAR) | CB506CPA (FRAS-LE)</t>
  </si>
  <si>
    <t>SWP312</t>
  </si>
  <si>
    <t>BOMBA ÁGUA ELÉTRICA M BENZ</t>
  </si>
  <si>
    <t>SWP267</t>
  </si>
  <si>
    <t>BOMBA ÁGUA JAC</t>
  </si>
  <si>
    <t>UB0490 (URBA)</t>
  </si>
  <si>
    <t>SWC5095</t>
  </si>
  <si>
    <t>2S652261AA (OEM) | 5958 (ATE) | 7081423 (OEM) | 7081575 (OEM) | 7084406 (OEM) | C3472 (CONTROIL) | CR3009 (BOSCH) | RCCR02880 (TRW)</t>
  </si>
  <si>
    <t>FIAT / FORD</t>
  </si>
  <si>
    <t>SOC9017</t>
  </si>
  <si>
    <t>9807979380 (OEM)</t>
  </si>
  <si>
    <t>SBC1067</t>
  </si>
  <si>
    <t>C2057 (CONTROIL)</t>
  </si>
  <si>
    <t>SCC2105</t>
  </si>
  <si>
    <t>SWP242H1</t>
  </si>
  <si>
    <t>452560 (INDISA)</t>
  </si>
  <si>
    <t>SBC1066</t>
  </si>
  <si>
    <t>5799 (ATE) | C2032 (CONTROIL)</t>
  </si>
  <si>
    <t>SBC1177</t>
  </si>
  <si>
    <t>SOC9052</t>
  </si>
  <si>
    <t>RESFRIADOR DE ÓLEO CÂMBIO HONDA</t>
  </si>
  <si>
    <t>25560R3W (OEM)</t>
  </si>
  <si>
    <t>SBC1018</t>
  </si>
  <si>
    <t>SWP279</t>
  </si>
  <si>
    <t>BOMBA ÁGUA SUZIKI</t>
  </si>
  <si>
    <t>SWP302</t>
  </si>
  <si>
    <t>SCC2068</t>
  </si>
  <si>
    <t>SBC1016</t>
  </si>
  <si>
    <t>PMF918 (TRW)</t>
  </si>
  <si>
    <t>SBC1169</t>
  </si>
  <si>
    <t>SBC1054</t>
  </si>
  <si>
    <t>4601F9 (OEM) | 4601J3 (OEM) | 6072 (ATE) | C2138 (CONTROIL)</t>
  </si>
  <si>
    <t>SCC2009</t>
  </si>
  <si>
    <t>C2646 (CONTROIL) | D101153 (FTE) | RCCE00880 (TRW) | VKCH101153 (SKF)</t>
  </si>
  <si>
    <t>SCC2018</t>
  </si>
  <si>
    <t>C2638 (CONTROIL) | D101097 (FTE) | RCCE00820 (TRW) | VKCH101097 (SKF)</t>
  </si>
  <si>
    <t>SBS8017</t>
  </si>
  <si>
    <t>207602 (SYL) | 2709CPA (COBREQ) | BPSA0091338 (MAZZICAR) | PG209CPA (FRAS-LE)</t>
  </si>
  <si>
    <t>SVP6010</t>
  </si>
  <si>
    <t>BOMBA DE VÁCUO LAND ROVER</t>
  </si>
  <si>
    <t>SBS8005</t>
  </si>
  <si>
    <t>201700 (SYL) | 2640CP (COBREQ) | BPSA0090168 (MAZZICAR) | CB132CP (FRAS-LE) | HQJ517A (JURID)</t>
  </si>
  <si>
    <t>SBC1142B</t>
  </si>
  <si>
    <t>0204838280 (BOSCH)</t>
  </si>
  <si>
    <t>SBC1146</t>
  </si>
  <si>
    <t>0986AB8585 (BOSCH) | 6901 (ATE) | 7087526 (OEM) | C2182 (CONTROIL)</t>
  </si>
  <si>
    <t>SBS8012</t>
  </si>
  <si>
    <t>208802 (SYL) | 2673CP (COBREQ) | BPSA0096740 (MAZZICAR) | HQJ524 (JURID) | TY327CP (FRAS-LE)</t>
  </si>
  <si>
    <t>MAHINDRA / TOYOTA</t>
  </si>
  <si>
    <t>SOC9002</t>
  </si>
  <si>
    <t>068105583AB (OEM) | 068105583AC (OEM) | 068105583AE (OEM)</t>
  </si>
  <si>
    <t>DODGE / JEEP</t>
  </si>
  <si>
    <t>SBC1163</t>
  </si>
  <si>
    <t>SBS8054</t>
  </si>
  <si>
    <t>203108 (SYL) | 2754CPA (COBREQ) | BPSA0097380 (MAZZICAR) | FD138CPA (FRAS-LE) | LS3512 (BOSCH)</t>
  </si>
  <si>
    <t>SVP6030</t>
  </si>
  <si>
    <t>SWP307</t>
  </si>
  <si>
    <t>BOMBA ÁGUA M BENZ/RENAULT</t>
  </si>
  <si>
    <t>MERCEDES-BENZ / RENAULT</t>
  </si>
  <si>
    <t>SSC3050</t>
  </si>
  <si>
    <t>512007010 (LUK)</t>
  </si>
  <si>
    <t>SCC2041</t>
  </si>
  <si>
    <t>C2649 (CONTROIL) | D101128 (FTE) | RCCE00860 (TRW) | VKCH101128 (SKF)</t>
  </si>
  <si>
    <t>SBS8061PB</t>
  </si>
  <si>
    <t>BPSA0096080 (MAZZICAR)</t>
  </si>
  <si>
    <t>SBC1080A</t>
  </si>
  <si>
    <t>SCC2081</t>
  </si>
  <si>
    <t>SSC3026</t>
  </si>
  <si>
    <t>CILINDRO AXILIAR DE EMBREAGEM TOYOTA</t>
  </si>
  <si>
    <t>SBC1195</t>
  </si>
  <si>
    <t>SBC1141B</t>
  </si>
  <si>
    <t>SCC2072</t>
  </si>
  <si>
    <t>55270043 (OEM) | C2734 (CONTROIL)</t>
  </si>
  <si>
    <t>SWP208</t>
  </si>
  <si>
    <t>7000204500 (INDISA) | VKPC84217 (SKF)</t>
  </si>
  <si>
    <t>SWP334</t>
  </si>
  <si>
    <t>7H0965561 (OEM)</t>
  </si>
  <si>
    <t>SBS8053PB</t>
  </si>
  <si>
    <t>203018 (SYL) | 2800CP (COBREQ) | BPSA0097140 (MAZZICAR) | FI322CP (FRAS-LE) | LS3544 (BOSCH)</t>
  </si>
  <si>
    <t>SBC1172</t>
  </si>
  <si>
    <t>SBS8104</t>
  </si>
  <si>
    <t>PG627CPA (FRAS-LE)</t>
  </si>
  <si>
    <t>SWC5052L</t>
  </si>
  <si>
    <t>CILINDRO DE RODA LE RENAULT</t>
  </si>
  <si>
    <t>441004731R (OEM) | C3565 (CONTROIL)</t>
  </si>
  <si>
    <t>SWP239</t>
  </si>
  <si>
    <t>CHERY / RELY</t>
  </si>
  <si>
    <t>SBC1194M</t>
  </si>
  <si>
    <t>SOC9032</t>
  </si>
  <si>
    <t>RESFRIADOR DE ÓLEO MOTOR VW</t>
  </si>
  <si>
    <t>059117015K (OEM)</t>
  </si>
  <si>
    <t>STC12054</t>
  </si>
  <si>
    <t>VÁLVULA TERMOSTÁTICA FIAT</t>
  </si>
  <si>
    <t>VÁLVULA TERMOSTÁTICA</t>
  </si>
  <si>
    <t>1155.88 (VALCLEI) | 55202176 (OEM)</t>
  </si>
  <si>
    <t>SWP097</t>
  </si>
  <si>
    <t>7000952505 (INDISA)</t>
  </si>
  <si>
    <t>SWP384</t>
  </si>
  <si>
    <t>52076422 (OEM) | 52113825 (OEM) | 52148813 (OEM)</t>
  </si>
  <si>
    <t>SBC1079</t>
  </si>
  <si>
    <t>SOC9007</t>
  </si>
  <si>
    <t>RESFRIADOR DE ÓLEO MOTOR M BENZ</t>
  </si>
  <si>
    <t>2701800500 (OEM) | 2701800810 (OEM) | A2701800810 (OEM)</t>
  </si>
  <si>
    <t>SWC5047R</t>
  </si>
  <si>
    <t>CILINDRO DE RODA LD GM</t>
  </si>
  <si>
    <t>0986AB8496 (BOSCH) | 6261 (ATE) | 9233868 (OEM) | 93233870 (OEM) | C3418 (CONTROIL) | CR2409 (BOSCH) | RCCR01980 (TRW)</t>
  </si>
  <si>
    <t>SBC1092</t>
  </si>
  <si>
    <t>SWP244H1</t>
  </si>
  <si>
    <t>BOMBA ÁGUA FORD/TROLLER</t>
  </si>
  <si>
    <t>SOC9006</t>
  </si>
  <si>
    <t>06J117021D (OEM) | 06J117021J (OEM) | 06J117021P (OEM)</t>
  </si>
  <si>
    <t>SWC5052R</t>
  </si>
  <si>
    <t>CILINDRO DE RODA LD RENAULT</t>
  </si>
  <si>
    <t>441006176R (OEM) | C3566 (CONTROIL)</t>
  </si>
  <si>
    <t>SBC1009</t>
  </si>
  <si>
    <t>SWP157</t>
  </si>
  <si>
    <t>BOMBA ÁGUA MAXION</t>
  </si>
  <si>
    <t>20186 (SCHADEK) | 7000204014 (INDISA) | UB0342 (URBA)</t>
  </si>
  <si>
    <t>SSC3027</t>
  </si>
  <si>
    <t>CILINDRO AUXILIAR DE EMBREAGEM SCANIA</t>
  </si>
  <si>
    <t>1355979 (SCANIA) | 1754943 (SCANIA) | 1756460 (SCANIA) | KN3801735 (FTE)</t>
  </si>
  <si>
    <t>SCANIA</t>
  </si>
  <si>
    <t>SBC1165</t>
  </si>
  <si>
    <t>SBS8020</t>
  </si>
  <si>
    <t>207605 (SYL) | 2720CPA (COBREQ) | BPSA0090148 (MAZZICAR) | FI220CPA (FRAS-LE)</t>
  </si>
  <si>
    <t>SCC2047</t>
  </si>
  <si>
    <t>C2671 (CONTROIL) | KG15001171 (FTE)</t>
  </si>
  <si>
    <t>SBS8006</t>
  </si>
  <si>
    <t>201702 (SYL) | 2643CPA (COBREQ) | BPSA0090179 (MAZZICAR) | CB51CP (FRAS-LE) | HQJ518A (JURID)</t>
  </si>
  <si>
    <t>SBS8025</t>
  </si>
  <si>
    <t>203806 (SYL) | 2737CPA (COBREQ) | BPSA0091270 (MAZZICAR) | HO334CPA (FRAS-LE)</t>
  </si>
  <si>
    <t>SBC1125</t>
  </si>
  <si>
    <t>0986AB8599 (BOSCH) | 6908 (ATE) | 7087529 (OEM) | C2181 (CONTROIL) | PMH6004 (TRW)</t>
  </si>
  <si>
    <t>SWC5014R</t>
  </si>
  <si>
    <t>CILINDRO DE RODA LD MITSUBISHI</t>
  </si>
  <si>
    <t>0986475919 (BOSCH) | BWK161 (TRW) | C3529 (CONTROIL) | MB500739 (OEM)</t>
  </si>
  <si>
    <t>SVP6014</t>
  </si>
  <si>
    <t>BOMBA DE VÁCUO TOYOTA</t>
  </si>
  <si>
    <t>SBC1056</t>
  </si>
  <si>
    <t>SWP189</t>
  </si>
  <si>
    <t>7000702008 (INDISA) | UB0814 (URBA) | VLBA0330140 (VILLA FRANCA)</t>
  </si>
  <si>
    <t>SOC9013</t>
  </si>
  <si>
    <t>RESFRIADOR OLEO VOLVO</t>
  </si>
  <si>
    <t>6G917A095 (OEM) | LR002916 (OEM)</t>
  </si>
  <si>
    <t>JAGUAR / LAND ROVER / VOLVO</t>
  </si>
  <si>
    <t>SWC5093</t>
  </si>
  <si>
    <t>6447 (ATE) | 93306552 (OEM) | 93306553 (OEM) | C3500 (CONTROIL) | CR3010 (BOSCH) | RCCR02890 (TRW)</t>
  </si>
  <si>
    <t>SCC2039</t>
  </si>
  <si>
    <t>C2645 (CONTROIL) | KG19009301 (FTE) | RCCE01060 (TRW) | VKCH4744 (SKF)</t>
  </si>
  <si>
    <t>SHP11015</t>
  </si>
  <si>
    <t>BOMBA DE ALTA PRESSÃO GM</t>
  </si>
  <si>
    <t>BOMBA DE ALTA PRESSÃO GDI</t>
  </si>
  <si>
    <t>12686830 (OEM)</t>
  </si>
  <si>
    <t>SWP247</t>
  </si>
  <si>
    <t>UB0956 (URBA)</t>
  </si>
  <si>
    <t>SBS8047</t>
  </si>
  <si>
    <t>203801 (SYL) | BPSA0091250 (MAZZICAR) | HO197CPA (FRAS-LE) | LS3526 (BOSCH)</t>
  </si>
  <si>
    <t>SOC9004</t>
  </si>
  <si>
    <t>21606-1XF0A (OEM)</t>
  </si>
  <si>
    <t>SOC9021</t>
  </si>
  <si>
    <t>RESFRIADRO DE ÓLEO MOTOR VW</t>
  </si>
  <si>
    <t>04E117021B (OEM) | 04E117021C (OEM) | 04E117021K (OEM)</t>
  </si>
  <si>
    <t>SWP338</t>
  </si>
  <si>
    <t>BOMBA D'ÁGUA HYUNDAI</t>
  </si>
  <si>
    <t>2510004050 (OEM) | 854522 (INDISA)</t>
  </si>
  <si>
    <t>SWC5008L</t>
  </si>
  <si>
    <t>CILINDRO DE RODA LE HONDA</t>
  </si>
  <si>
    <t>BWD6002 (TRW) | C3513 (CONTROIL) | CCR92233 (FORTEC)</t>
  </si>
  <si>
    <t>SBC1049</t>
  </si>
  <si>
    <t>RCCD00350 (TRW)</t>
  </si>
  <si>
    <t>SWC5008R</t>
  </si>
  <si>
    <t>CILINDRO DE RODA LD HONDA</t>
  </si>
  <si>
    <t>BWD6001 (TRW) | C3514 (CONTROIL) | CCR92234 (FORTEC)</t>
  </si>
  <si>
    <t>SBS8041</t>
  </si>
  <si>
    <t>201908 (SYL) | BPSA0090230 (MAZZICAR) | CI321CPA (FRAS-LE) | LS3543 (BOSCH)</t>
  </si>
  <si>
    <t>SVP6034</t>
  </si>
  <si>
    <t>SWP313</t>
  </si>
  <si>
    <t>BMW</t>
  </si>
  <si>
    <t>SBS8059PB</t>
  </si>
  <si>
    <t>206006 (SYL) | BPSA0090117 (MAZZICAR) | MB516CP (FRAS-LE)</t>
  </si>
  <si>
    <t>SOC9058</t>
  </si>
  <si>
    <t>RESFRIADOR DE ÓLEO MOTOR HYUNDAI</t>
  </si>
  <si>
    <t>2641004501 (OEM)</t>
  </si>
  <si>
    <t>SBS8065</t>
  </si>
  <si>
    <t>203114 (SYL) | 2848CPA (COBREQ) | BPSA0090153 (MAZZICAR) | FD480CPA (FRAS-LE)</t>
  </si>
  <si>
    <t>SCC2023</t>
  </si>
  <si>
    <t>KG190117.4.1 (FTE)</t>
  </si>
  <si>
    <t>SBS8110</t>
  </si>
  <si>
    <t>0504CPA (COBREQ) | 203011 (SYL) | 7078585 (OEM) | 7081572 (OEM) | 7087516 (OEM) | BPSA0090139 (MAZZICAR) | FI97CPA (FRAS-LE) | GS9016 (TRW) | LS3516 (BOSCH)</t>
  </si>
  <si>
    <t>SBC1074</t>
  </si>
  <si>
    <t>SBC1127M</t>
  </si>
  <si>
    <t>SOC9048</t>
  </si>
  <si>
    <t>RESFRIADOR DE ÓLEO MOTOR CITROEN</t>
  </si>
  <si>
    <t>1103N0 (OEM)</t>
  </si>
  <si>
    <t>SWP286</t>
  </si>
  <si>
    <t>BOMBA ÁGUA JEEP</t>
  </si>
  <si>
    <t>SBS8032</t>
  </si>
  <si>
    <t>2772CPA (COBREQ) | BPSA0096741 (MAZZICAR) | TY327CPA (FRAS-LE)</t>
  </si>
  <si>
    <t>SBC1033</t>
  </si>
  <si>
    <t>0204122140 (BOSCH) | C2167 (CONTROIL) | H2593401 (FTE) | PML424 (TRW)</t>
  </si>
  <si>
    <t>SSC3018</t>
  </si>
  <si>
    <t>CILINDRO AUXILIAR DE EMBREAGEM KIA</t>
  </si>
  <si>
    <t>C2635 (CONTROIL) | PJD138 (TRW)</t>
  </si>
  <si>
    <t>KIA</t>
  </si>
  <si>
    <t>SBS8038</t>
  </si>
  <si>
    <t>209003 (SYL) | 2821CPA (COBREQ) | BPSA0096845 (MAZZICAR) | VW523CPA (FRAS-LE)</t>
  </si>
  <si>
    <t>SBS8094PB</t>
  </si>
  <si>
    <t>203021 (SYL) | BPSA0097150 (MAZZICAR)</t>
  </si>
  <si>
    <t>SWC5047L</t>
  </si>
  <si>
    <t>CILINDRO DE RODA LE GM</t>
  </si>
  <si>
    <t>0986AB8495 (BOSCH) | 6262 (ATE) | 93233867 (OEM) | 93233869 (OEM) | C3417 (CONTROIL) | CR2408 (BOSCH) | RCCR01970 (TRW)</t>
  </si>
  <si>
    <t>SBC1127A</t>
  </si>
  <si>
    <t>SWP254</t>
  </si>
  <si>
    <t>BOMBA ÁGUA CHANA</t>
  </si>
  <si>
    <t>CHANA / EFFA MOTORS / HAFEI</t>
  </si>
  <si>
    <t>SOC9018</t>
  </si>
  <si>
    <t>RESFRIADOR OLEO HYUNDAI</t>
  </si>
  <si>
    <t>264214A700 (OEM)</t>
  </si>
  <si>
    <t>SWP244</t>
  </si>
  <si>
    <t>SBC1061</t>
  </si>
  <si>
    <t>SBC1173</t>
  </si>
  <si>
    <t>CILINDRO MESTRE DE FREIO L ROVER</t>
  </si>
  <si>
    <t>SBC1166</t>
  </si>
  <si>
    <t>SWP185</t>
  </si>
  <si>
    <t>7000854010 (INDISA) | UB0420 (URBA)</t>
  </si>
  <si>
    <t>SBS8081</t>
  </si>
  <si>
    <t>206804 (SYL) | BPSA0090164 (MAZZICAR) | NI176CP (FRAS-LE)</t>
  </si>
  <si>
    <t>SBS8051</t>
  </si>
  <si>
    <t>206806 (SYL) | 2825CP (COBREQ) | BPSA0095710 (MAZZICAR) | NI528CP (FRAS-LE)</t>
  </si>
  <si>
    <t>SOC9083</t>
  </si>
  <si>
    <t>RESFRIADOR DE ÓLEO FORD</t>
  </si>
  <si>
    <t>J7BZ7095D (OEM) | J7BZ7A095D (OEM)</t>
  </si>
  <si>
    <t>SBS8080</t>
  </si>
  <si>
    <t>206803 (SYL) | BPSA0090162 (MAZZICAR) | NI442CP (FRAS-LE)</t>
  </si>
  <si>
    <t>SVP6008</t>
  </si>
  <si>
    <t>BOMBA DE VÁCUO MERCEDES-BENZ</t>
  </si>
  <si>
    <t>702551260 (PIERBURG)</t>
  </si>
  <si>
    <t>SOC9020C</t>
  </si>
  <si>
    <t>K68275310AA (OEM)</t>
  </si>
  <si>
    <t>STC12075</t>
  </si>
  <si>
    <t>VÁLVULA TERMOSTÁTICA HYUNDAI</t>
  </si>
  <si>
    <t>1161.82 (VALCLEI) | 25500-23001 (OEM)</t>
  </si>
  <si>
    <t>SCC2125</t>
  </si>
  <si>
    <t>CILINDRO MESTRE DE EMBREAGEM PEUGEOT</t>
  </si>
  <si>
    <t>982425540 (OEM)</t>
  </si>
  <si>
    <t>SCC2091</t>
  </si>
  <si>
    <t>C2675 (CONTROIL) | MR995034 (OEM)</t>
  </si>
  <si>
    <t>SBC1138</t>
  </si>
  <si>
    <t>SBC1182</t>
  </si>
  <si>
    <t>SCC2095</t>
  </si>
  <si>
    <t>C2652 (CONTROIL) | MR267829 (OEM)</t>
  </si>
  <si>
    <t>SBC1072</t>
  </si>
  <si>
    <t>C2164 (CONTROIL)</t>
  </si>
  <si>
    <t>SBS8049</t>
  </si>
  <si>
    <t>SAPATA DE FREIO JAC</t>
  </si>
  <si>
    <t>BPSA0090173 (MAZZICAR)</t>
  </si>
  <si>
    <t>SBC1059</t>
  </si>
  <si>
    <t>SBC1157</t>
  </si>
  <si>
    <t>6340 (ATE) | C2068 (CONTROIL) | RCCD00292 (TRW)</t>
  </si>
  <si>
    <t>SCC2084</t>
  </si>
  <si>
    <t>SWP238</t>
  </si>
  <si>
    <t>SBC1219</t>
  </si>
  <si>
    <t>7616 (ATE) | RCCM22377 (TRW)</t>
  </si>
  <si>
    <t>SSC3013</t>
  </si>
  <si>
    <t>C2678 (CONTROIL) | D161011 (FTE)</t>
  </si>
  <si>
    <t>SBC1175</t>
  </si>
  <si>
    <t>94S4Z2140B (OEM) | C2218 (CONTROIL)</t>
  </si>
  <si>
    <t>SCS4028</t>
  </si>
  <si>
    <t>SWP037</t>
  </si>
  <si>
    <t>20160 (SCHADEK) | 7000702003 (INDISA) | NKBA09820 (NAKATA) | UB0820 (URBA) | VKPC86416 (SKF)</t>
  </si>
  <si>
    <t>SWP224</t>
  </si>
  <si>
    <t>SCC2026</t>
  </si>
  <si>
    <t>SCC2020</t>
  </si>
  <si>
    <t>D111023 (FTE)</t>
  </si>
  <si>
    <t>SBC1159</t>
  </si>
  <si>
    <t>0204838259 (BOSCH) | 4720109870 (OEM)</t>
  </si>
  <si>
    <t>SBS8058PB</t>
  </si>
  <si>
    <t>SAPATA DE FREIO MITSUBISHI</t>
  </si>
  <si>
    <t>SWP187</t>
  </si>
  <si>
    <t>7000404504 (INDISA) | VLBA0010472 (VILLA FRANCA)</t>
  </si>
  <si>
    <t>SBC1035</t>
  </si>
  <si>
    <t>0986AB8645 (BOSCH) | 6152 (ATE) | 7082215 (OEM) | C2139 (CONTROIL) | RCCD01810 (TRW)</t>
  </si>
  <si>
    <t>SSC3000</t>
  </si>
  <si>
    <t>D151065 (FTE) | RCCE01270 (TRW) | VKCH151065 (SKF)</t>
  </si>
  <si>
    <t>SWC5101</t>
  </si>
  <si>
    <t>CILINDRO DE RODA LE/LD VW - IGUAL SWC5083</t>
  </si>
  <si>
    <t>171611053 (OEM) | 1H0611053B (OEM) | 3056110514 (OEM) | 5345 (ATE) | C3350 (CONTROIL) | CR2002 (BOSCH) | RCCR00384 (TRW)</t>
  </si>
  <si>
    <t>SCC2042</t>
  </si>
  <si>
    <t>KG19018771 (FTE)</t>
  </si>
  <si>
    <t>SBC1051</t>
  </si>
  <si>
    <t>C2148 (CONTROIL)</t>
  </si>
  <si>
    <t>SBC1208</t>
  </si>
  <si>
    <t>7669 (ATE) | 935390407 (OEM)</t>
  </si>
  <si>
    <t>SCC2015</t>
  </si>
  <si>
    <t>C2668 (CONTROIL) | KG1504402 (FTE) | RCCE01000 (TRW) | VKCH4740 (SKF)</t>
  </si>
  <si>
    <t>SBS8092</t>
  </si>
  <si>
    <t>2812CPA (COBREQ) | BPSA0094693 (MAZZICAR) | CB419CPA (FRAS-LE)</t>
  </si>
  <si>
    <t>SWP257</t>
  </si>
  <si>
    <t>BOMBA ÁGUA VOLVO</t>
  </si>
  <si>
    <t>SWC5083</t>
  </si>
  <si>
    <t>CILINDRO DE RODA LE/LD VW - IGUAL SWC5101</t>
  </si>
  <si>
    <t>SWC5060</t>
  </si>
  <si>
    <t>CILINDRO DE RODA GM - IGUAL SWC5084</t>
  </si>
  <si>
    <t>26276611 (OEM) | C3572 (CONTROIL)</t>
  </si>
  <si>
    <t>SBS8075</t>
  </si>
  <si>
    <t>SAPATA DE FREIO KIA</t>
  </si>
  <si>
    <t>BPSA0096073 (MAZZICAR)</t>
  </si>
  <si>
    <t>SOC9055</t>
  </si>
  <si>
    <t>2641025402 (OEM) | 264102G000 (OEM)</t>
  </si>
  <si>
    <t>SBC1218</t>
  </si>
  <si>
    <t>1S614105D (OEM)</t>
  </si>
  <si>
    <t>SOC9054</t>
  </si>
  <si>
    <t>216063JX2B (OEM)</t>
  </si>
  <si>
    <t>SBC1038</t>
  </si>
  <si>
    <t>93743542 (OEM) | C2234 (CONTROIL)</t>
  </si>
  <si>
    <t>SWC5028L</t>
  </si>
  <si>
    <t>6270 (ATE) | C3498 (CONTROIL) | CCR92230 (FORTEC) | MB238828 (OEM) | RCCR03020 (TRW)</t>
  </si>
  <si>
    <t>SVP6009</t>
  </si>
  <si>
    <t>724807300 (PIERBURG)</t>
  </si>
  <si>
    <t>SOC9025</t>
  </si>
  <si>
    <t>RESFRIADRO DE ÓLEO MOTOR RENAULT</t>
  </si>
  <si>
    <t>8201005241 (OEM)</t>
  </si>
  <si>
    <t>SCC2089</t>
  </si>
  <si>
    <t>SVP6013</t>
  </si>
  <si>
    <t>SCS4025</t>
  </si>
  <si>
    <t>ATUADOR DE EMBREAGEM CITROEN</t>
  </si>
  <si>
    <t>CITROEN / MINI / PEUGEOT</t>
  </si>
  <si>
    <t>SCC2055</t>
  </si>
  <si>
    <t>SWP101</t>
  </si>
  <si>
    <t>BOMBA ÁGUA JINBEI</t>
  </si>
  <si>
    <t>JINBEI</t>
  </si>
  <si>
    <t>SWC5062</t>
  </si>
  <si>
    <t>CILINDRO DE RODA VW</t>
  </si>
  <si>
    <t>2QB611053B (OEM) | C3576 (CONTROIL)</t>
  </si>
  <si>
    <t>SWP004</t>
  </si>
  <si>
    <t>CHRYSLER / DODGE / JEEP</t>
  </si>
  <si>
    <t>SWC5080</t>
  </si>
  <si>
    <t>CILINDRO DE RODA LE/LD PEUGEOT</t>
  </si>
  <si>
    <t>1607138880 (OEM) | C3575 (CONTROIL)</t>
  </si>
  <si>
    <t>SBC1206A</t>
  </si>
  <si>
    <t>STC12059</t>
  </si>
  <si>
    <t>VÁLVULA TERMOSTÁTICA RENAULT</t>
  </si>
  <si>
    <t>1289.89 (VALCLEI) | 2120006394R (OEM) | 4119200089 (OEM)</t>
  </si>
  <si>
    <t>SOC9049</t>
  </si>
  <si>
    <t>1103P7 (OEM) | 1103T5 (OEM) | 1103T7 (OEM) | 11427552687 (OEM) | V864374580 (OEM)</t>
  </si>
  <si>
    <t>SWP156</t>
  </si>
  <si>
    <t>BOMBA ÁGUA TOYOTA</t>
  </si>
  <si>
    <t>7000904507 (INDISA) | NKBA16703 (NAKATA) | UB0703 (URBA)</t>
  </si>
  <si>
    <t>LIFAN / TOYOTA</t>
  </si>
  <si>
    <t>SVP6019</t>
  </si>
  <si>
    <t>BOMBA DE VÁCUO MITSUBISHI</t>
  </si>
  <si>
    <t>SWP151</t>
  </si>
  <si>
    <t>BOMBA ÁGUA LIFAN</t>
  </si>
  <si>
    <t>SVP6015</t>
  </si>
  <si>
    <t>BOMBA DE VÁCUO RENAULT</t>
  </si>
  <si>
    <t>SBC1024B</t>
  </si>
  <si>
    <t>CILINDRO MESTRE DE FREIO KIA</t>
  </si>
  <si>
    <t>58510-2E000 (OEM)</t>
  </si>
  <si>
    <t>SBC1092C</t>
  </si>
  <si>
    <t>STC12067</t>
  </si>
  <si>
    <t>1100.82 (VALCLEI) | 25500-2B000 (OEM)</t>
  </si>
  <si>
    <t>SWP209</t>
  </si>
  <si>
    <t>7000504505 (INDISA) | UB0822 (URBA)</t>
  </si>
  <si>
    <t>SOC9057</t>
  </si>
  <si>
    <t>RESFRIADOR DE ÓLEO CÂMBIO CITROEN</t>
  </si>
  <si>
    <t>2275.71 (OEM)</t>
  </si>
  <si>
    <t>SCC2106</t>
  </si>
  <si>
    <t>306104007R (OEM)</t>
  </si>
  <si>
    <t>SWC5028R</t>
  </si>
  <si>
    <t>6271 (ATE) | C3499 (CONTROIL) | CCR92231 (FORTEC) | MB238829 (OEM) | RCCR03030 (TRW)</t>
  </si>
  <si>
    <t>SBS8048</t>
  </si>
  <si>
    <t>2815CPA (COBREQ) | BPSA0096067 (MAZZICAR) | HY487CPA (FRAS-LE)</t>
  </si>
  <si>
    <t>SBC1030</t>
  </si>
  <si>
    <t>RCCD01730 (TRW)</t>
  </si>
  <si>
    <t>SBC1257</t>
  </si>
  <si>
    <t>93354203 (OEM) | C2168 (CONTROIL) | RCCD01670 (TRW)</t>
  </si>
  <si>
    <t>SCA8022FR</t>
  </si>
  <si>
    <t>BANDEJA COMPLETA LD RENAULT</t>
  </si>
  <si>
    <t>BANDEJA INFERIOR</t>
  </si>
  <si>
    <t>5442364 (MONROE) | BDJ5226 (PERFECT) | NBJ6010DP (NAKATA) | RN4054CGG (GRAZZIMETAL) | SB8148DP (SAMPEL)</t>
  </si>
  <si>
    <t>SCC2088</t>
  </si>
  <si>
    <t>SCC2049</t>
  </si>
  <si>
    <t>KG1504047 (FTE) | RCCE00980 (TRW) | VKCH4891 (SKF)</t>
  </si>
  <si>
    <t>SWP146</t>
  </si>
  <si>
    <t>20211 (SCHADEK) | 7000204501 (INDISA) | UB0955 (URBA)</t>
  </si>
  <si>
    <t>SBS8036</t>
  </si>
  <si>
    <t>201600 (SYL) | BPSA0097460 (MAZZICAR) | CH524CP (FRAS-LE)</t>
  </si>
  <si>
    <t>SWP150</t>
  </si>
  <si>
    <t>20219 (SCHADEK) | 7000952500 (INDISA) | UB0808 (URBA) | VKPC83430 (SKF)</t>
  </si>
  <si>
    <t>SWP065</t>
  </si>
  <si>
    <t>7000114001 (INDISA)</t>
  </si>
  <si>
    <t>SBC1205</t>
  </si>
  <si>
    <t>SCS4035</t>
  </si>
  <si>
    <t>AT013GU (ELPER)</t>
  </si>
  <si>
    <t>SBS8093PB</t>
  </si>
  <si>
    <t>BPSA0095720 (MAZZICAR)</t>
  </si>
  <si>
    <t>SCS4026</t>
  </si>
  <si>
    <t>ATUADOR DE EMBREAGEM TOYOTA</t>
  </si>
  <si>
    <t>5100133100 (LUK)</t>
  </si>
  <si>
    <t>SCC2097</t>
  </si>
  <si>
    <t>SBC1198</t>
  </si>
  <si>
    <t>SSC3043</t>
  </si>
  <si>
    <t>CILINDRO AUXILIAR DE EMBREAGEM IVECO</t>
  </si>
  <si>
    <t>29126 (LNG)</t>
  </si>
  <si>
    <t>SVP6020</t>
  </si>
  <si>
    <t>CITROEN / FIAT / IVECO</t>
  </si>
  <si>
    <t>SOC9099</t>
  </si>
  <si>
    <t>RESFRIADOR DE ÓLEO BMW</t>
  </si>
  <si>
    <t>11428580414 (OEM) | 11428580415 (OEM) | 11428651710 (OEM)</t>
  </si>
  <si>
    <t>SCA8022FL</t>
  </si>
  <si>
    <t>BANDEJA COMPLETA LE RENAULT</t>
  </si>
  <si>
    <t>5442365 (MONROE) | BDJ5225 (PERFECT) | NBJ6010EP (NAKATA) | RN4053CGG (GRAZZIMETAL) | SB8148EP (SAMPEL)</t>
  </si>
  <si>
    <t>SWP324</t>
  </si>
  <si>
    <t>2742000107 (OEM)</t>
  </si>
  <si>
    <t>SWP029</t>
  </si>
  <si>
    <t>7000904500 (INDISA)</t>
  </si>
  <si>
    <t>SOC9046</t>
  </si>
  <si>
    <t>RESFRIADOR DE ÓLEO MOTOR FORD</t>
  </si>
  <si>
    <t>BB3Q6B624EA (OEM)</t>
  </si>
  <si>
    <t>STC12019</t>
  </si>
  <si>
    <t>1277.88 (VALCLEI) | 55241404 (OEM)</t>
  </si>
  <si>
    <t>STC12044</t>
  </si>
  <si>
    <t>VÁLVULA TERMOSTÁTICA FORD</t>
  </si>
  <si>
    <t>1200.92 (VALCLEI) | CM5G61J20AA (OEM) | CM5G9K478FA (OEM) | CM5Z8592A (OEM)</t>
  </si>
  <si>
    <t>SSC3014</t>
  </si>
  <si>
    <t>CILINDRO AUXILIAR DE EMBREAGEM AUDI/VW</t>
  </si>
  <si>
    <t>KN1903141 (FTE)</t>
  </si>
  <si>
    <t>SBS8071PB</t>
  </si>
  <si>
    <t>BPSA0096083 (MAZZICAR)</t>
  </si>
  <si>
    <t>SWP011</t>
  </si>
  <si>
    <t>20198 (SCHADEK) | 7000254008 (INDISA) | NKBA03341 (NAKATA) | UB0341 (URBA) | VKPC4899 (SKF)</t>
  </si>
  <si>
    <t>SBC1115B</t>
  </si>
  <si>
    <t>STC12041</t>
  </si>
  <si>
    <t>46346508 (OEM)</t>
  </si>
  <si>
    <t>STC12055</t>
  </si>
  <si>
    <t>GN1G9K478BA (OEM)</t>
  </si>
  <si>
    <t>SCA8035FR</t>
  </si>
  <si>
    <t>BDJ0640 (PERFECT) | NBJ6014DP (NAKATA) | RN4100C (GRAZZIMETAL) | SB8198DP (SAMPEL)</t>
  </si>
  <si>
    <t>STC12006</t>
  </si>
  <si>
    <t>VÁLVULA TERMOSTÁTICA CITROEN</t>
  </si>
  <si>
    <t>9803549480 (OEM) | 9850364680 (OEM)</t>
  </si>
  <si>
    <t>SCA8035FL</t>
  </si>
  <si>
    <t>BDJ0641 (PERFECT) | NBJ6014EP (NAKATA) | RN4101C (GRAZZIMETAL) | SB8198EP (SAMPEL)</t>
  </si>
  <si>
    <t>SBC1181</t>
  </si>
  <si>
    <t>0986AB8674 (BOSCH) | YC352A032AA (OEM)</t>
  </si>
  <si>
    <t>SBC1133</t>
  </si>
  <si>
    <t>SBS8076PB</t>
  </si>
  <si>
    <t>BPSA0095200 (MAZZICAR) | MI439CP (FRAS-LE)</t>
  </si>
  <si>
    <t>SBC1227</t>
  </si>
  <si>
    <t>460111914R (OEM)</t>
  </si>
  <si>
    <t>SWP323</t>
  </si>
  <si>
    <t>31368419 (OEM)</t>
  </si>
  <si>
    <t>VOLVO</t>
  </si>
  <si>
    <t>SOC9012</t>
  </si>
  <si>
    <t>02E409061B (OEM)</t>
  </si>
  <si>
    <t>SOC9070</t>
  </si>
  <si>
    <t>RESFRIADOR DE ÓLEO MOTOR RENAULT</t>
  </si>
  <si>
    <t>8200969622 (OEM)</t>
  </si>
  <si>
    <t>SBS8029</t>
  </si>
  <si>
    <t>206501 (SYL) | 2760CP (COBREQ) | BPSA0095250 (MAZZICAR) | LS3533 (BOSCH) | MI198CP (FRAS-LE)</t>
  </si>
  <si>
    <t>SWP210</t>
  </si>
  <si>
    <t>SHP11014</t>
  </si>
  <si>
    <t>BOMBA DE ALTA PRESSÃO AUDI/VW</t>
  </si>
  <si>
    <t>04E127026AA (OEM) | 04E127026AG (OEM) | 04E127026BC (OEM) | 04E127026BD (OEM) | 04E127026BJ (OEM)</t>
  </si>
  <si>
    <t>SWC5094</t>
  </si>
  <si>
    <t>204011571 (OEM) | C3542 (CONTROIL) | RCCR03600 (TRW)</t>
  </si>
  <si>
    <t>SBS8067</t>
  </si>
  <si>
    <t>201714 (SYL) | BPSA0090180 (MAZZICAR) | CB51CPA (FRAS-LE)</t>
  </si>
  <si>
    <t>SVP6001</t>
  </si>
  <si>
    <t>724807220 (PIERBURG)</t>
  </si>
  <si>
    <t>SWP285</t>
  </si>
  <si>
    <t>951004 (INDISA)</t>
  </si>
  <si>
    <t>SOC9063</t>
  </si>
  <si>
    <t>RESFRIADOR DE OLEO TOYOTA</t>
  </si>
  <si>
    <t>2241001731 (OEM) | 2241001741 (OEM)</t>
  </si>
  <si>
    <t>SBC1216</t>
  </si>
  <si>
    <t>SBC1193</t>
  </si>
  <si>
    <t>ASIA / KIA</t>
  </si>
  <si>
    <t>SWP183</t>
  </si>
  <si>
    <t>7000114500 (INDISA)</t>
  </si>
  <si>
    <t>SWP204</t>
  </si>
  <si>
    <t>SCC2050</t>
  </si>
  <si>
    <t>KG1504004 (FTE) | RCCE00960 (TRW) | VKCH4893 (SKF)</t>
  </si>
  <si>
    <t>SBS8004</t>
  </si>
  <si>
    <t>203103 (SYL) | 2628CPA (COBREQ) | BPSA0090152 (MAZZICAR) | FD130CPA (FRAS-LE) | HQJ513A (JURID) | RRSA00770 (TRW)</t>
  </si>
  <si>
    <t>SBC1092B</t>
  </si>
  <si>
    <t>AB312004WA (OEM)</t>
  </si>
  <si>
    <t>SCC2021</t>
  </si>
  <si>
    <t>C2690 (CONTROIL) | KG19013741 (FTE) | RCCE01450 (TRW) | VKCH19013741 (SKF)</t>
  </si>
  <si>
    <t>SBC1209</t>
  </si>
  <si>
    <t>SBC1186</t>
  </si>
  <si>
    <t>46010ET010 (OEM) | 7638 (ATE)</t>
  </si>
  <si>
    <t>SCC2102</t>
  </si>
  <si>
    <t>C2721 (CONTROIL) | MR374499 (OEM)</t>
  </si>
  <si>
    <t>SSC3049</t>
  </si>
  <si>
    <t>SBC1071</t>
  </si>
  <si>
    <t>58510-07000 (OEM)</t>
  </si>
  <si>
    <t>SWP199</t>
  </si>
  <si>
    <t>SWP058</t>
  </si>
  <si>
    <t>BOMBA ÁGUA SUBARU</t>
  </si>
  <si>
    <t>7000774000 (INDISA)</t>
  </si>
  <si>
    <t>SUBARU</t>
  </si>
  <si>
    <t>SBS8069PB</t>
  </si>
  <si>
    <t>BPSA0096084 (MAZZICAR)</t>
  </si>
  <si>
    <t>SSC3048</t>
  </si>
  <si>
    <t>C2722 (CONTROIL) | MR410188 (OEM)</t>
  </si>
  <si>
    <t>SCC2096</t>
  </si>
  <si>
    <t>SBC1043</t>
  </si>
  <si>
    <t>6338 (ATE) | C-2081 (CONTROIL) | RCCD00940 (TRW)</t>
  </si>
  <si>
    <t>SBS8064PB</t>
  </si>
  <si>
    <t>BPSA0095230 (MAZZICAR) | CI525CP (FRAS-LE)</t>
  </si>
  <si>
    <t>JEEP / MITSUBISHI</t>
  </si>
  <si>
    <t>SBS8072PB</t>
  </si>
  <si>
    <t>BPSA0096066 (MAZZICAR)</t>
  </si>
  <si>
    <t>SWP177</t>
  </si>
  <si>
    <t>SWP108</t>
  </si>
  <si>
    <t>7000854005 (INDISA)</t>
  </si>
  <si>
    <t>MITSUBISHI / VOLVO</t>
  </si>
  <si>
    <t>SBC1246</t>
  </si>
  <si>
    <t>CILINDRO MESTRE FREIO M BENZ</t>
  </si>
  <si>
    <t>0204032412 (BOSCH) | 0986AB8613 (BOSCH) | 3084307001 (OEM) | C2069 (CONTROIL) | RCCM00047 (TRW)</t>
  </si>
  <si>
    <t>SWP370</t>
  </si>
  <si>
    <t>925164GA0A (OEM)</t>
  </si>
  <si>
    <t>SBC1210</t>
  </si>
  <si>
    <t>58510-2S101 (OEM)</t>
  </si>
  <si>
    <t>SWP335</t>
  </si>
  <si>
    <t>LR013164 (OEM) | LR061982 (OEM) | LR089625 (OEM)</t>
  </si>
  <si>
    <t>SBC1185</t>
  </si>
  <si>
    <t>CILINDRO MESTRE DE FREIO DODGE</t>
  </si>
  <si>
    <t>68144664AA (OEM)</t>
  </si>
  <si>
    <t>DODGE</t>
  </si>
  <si>
    <t>SOC9096</t>
  </si>
  <si>
    <t>RESFRIADOR DE ÓLEO GM</t>
  </si>
  <si>
    <t>55509822 (OEM)</t>
  </si>
  <si>
    <t>SWP252</t>
  </si>
  <si>
    <t>SWP061</t>
  </si>
  <si>
    <t>20206 (SCHADEK) | 7000702001 (INDISA) | NKBA09805 (NAKATA) | UB0805 (URBA) | VKPC86215 (SKF)</t>
  </si>
  <si>
    <t>SCC2001</t>
  </si>
  <si>
    <t>D101126 (FTE) | RCCE00850 (TRW) | VKCH101126 (SKF)</t>
  </si>
  <si>
    <t>SOC9053</t>
  </si>
  <si>
    <t>RESFRIADOR DE ÓLEO CÂMBIO NISSAN</t>
  </si>
  <si>
    <t>21606X481A (OEM)</t>
  </si>
  <si>
    <t>SOC9033</t>
  </si>
  <si>
    <t>SUPORTE RESFRIADOR DE ÓLEO MOTOR</t>
  </si>
  <si>
    <t>07K115397D (OEM)</t>
  </si>
  <si>
    <t>SVP6024</t>
  </si>
  <si>
    <t>BOMBA DE VÁCUO AUDI/VW</t>
  </si>
  <si>
    <t>701341030 (PIERBURG)</t>
  </si>
  <si>
    <t>SVP6012</t>
  </si>
  <si>
    <t>SWP120</t>
  </si>
  <si>
    <t>20069 (SCHADEK) | 7000404000 (INDISA) | NKBA04340 (NAKATA) | UB0340 (URBA) | VKPC84425A (SKF)</t>
  </si>
  <si>
    <t>SWC5059</t>
  </si>
  <si>
    <t>95910900 (OEM) | C3573 (CONTROIL)</t>
  </si>
  <si>
    <t>SWC5071</t>
  </si>
  <si>
    <t>5727 (ATE) | 7078624 (OEM) | C3437 (CONTROIL) | CR9291 (BOSCH) | RCCR01990 (TRW)</t>
  </si>
  <si>
    <t>SWP167</t>
  </si>
  <si>
    <t>BOMBA ÁGUA PEUGEOT</t>
  </si>
  <si>
    <t>7000952501 (INDISA)</t>
  </si>
  <si>
    <t>SWP282</t>
  </si>
  <si>
    <t>BOMBA AGUA LAND ROVER</t>
  </si>
  <si>
    <t>STC12069</t>
  </si>
  <si>
    <t>VÁLVULA TERMOSTÁTICA TOYOTA</t>
  </si>
  <si>
    <t>9091603093 (OEM)</t>
  </si>
  <si>
    <t>SCC2034</t>
  </si>
  <si>
    <t>KG1504801 (FTE) | RCCE01010 (TRW) | VKCH4890 (SKF)</t>
  </si>
  <si>
    <t>SWP131</t>
  </si>
  <si>
    <t>7000752502 (INDISA) | UB0616 (URBA)</t>
  </si>
  <si>
    <t>SBS8083PB</t>
  </si>
  <si>
    <t>BPSA0096737 (MAZZICAR)</t>
  </si>
  <si>
    <t>NISSAN / TOYOTA</t>
  </si>
  <si>
    <t>SOC9067</t>
  </si>
  <si>
    <t>06L117021C (OEM) | 06L117021E (OEM)</t>
  </si>
  <si>
    <t>SBC1229</t>
  </si>
  <si>
    <t>460111659R (OEM)</t>
  </si>
  <si>
    <t>SCC2024</t>
  </si>
  <si>
    <t>SHP11005</t>
  </si>
  <si>
    <t>BOMBA DE ALTA PRESSÃO LAND ROVER</t>
  </si>
  <si>
    <t>1682260 (OEM) | 31359675 (OEM) | 5162174 (OEM) | AG9E9D376AA (OEM) | AG9E9D376AB (OEM) | AG9G9350BB (OEM) | LR025599 (OEM)</t>
  </si>
  <si>
    <t>SBC1063</t>
  </si>
  <si>
    <t>6S4Z2140AA (OEM) | C2146 (CONTROIL) | PMK602 (TRW) | YS4Z2004AA (OEM)</t>
  </si>
  <si>
    <t>SBC1107</t>
  </si>
  <si>
    <t>CILINDRO MESTRE FREIO FORD</t>
  </si>
  <si>
    <t>7739 (ATE) | C2240 (CONTROIL) | GN152004AA (OEM)</t>
  </si>
  <si>
    <t>SWP117</t>
  </si>
  <si>
    <t>BOMBA ÁGUA MWM</t>
  </si>
  <si>
    <t>20164 (SCHADEK)</t>
  </si>
  <si>
    <t>SWP343</t>
  </si>
  <si>
    <t>BOMBA ÁGUA EFFA</t>
  </si>
  <si>
    <t>9052806 (OEM)</t>
  </si>
  <si>
    <t>EFFA MOTORS</t>
  </si>
  <si>
    <t>STC12074</t>
  </si>
  <si>
    <t>VÁLVULA TERMOSTÁTICA NISSAN</t>
  </si>
  <si>
    <t>110604371R (OEM) | 1106100Q2B (OEM) | 1300.83 (VALCLEI)</t>
  </si>
  <si>
    <t>SWP132</t>
  </si>
  <si>
    <t>20187 (SCHADEK) | 452007 (INDISA) | NKBA07636 (NAKATA) | UB0636 (URBA) | VKPC4604 (SKF)</t>
  </si>
  <si>
    <t>SBC1174</t>
  </si>
  <si>
    <t>CIILNDRO MESTRE DE FREIO FORD</t>
  </si>
  <si>
    <t>SBS8028</t>
  </si>
  <si>
    <t>206500 (SYL) | 2757CP (COBREQ) | BPSA0095240 (MAZZICAR) | LS3532 (BOSCH) | MI139CP (FRAS-LE)</t>
  </si>
  <si>
    <t>SCC2077</t>
  </si>
  <si>
    <t>5110326100 (LUK)</t>
  </si>
  <si>
    <t>SCC2092</t>
  </si>
  <si>
    <t>2106015 (VALEO) | KG15010547 (FTE)</t>
  </si>
  <si>
    <t>SBC1045</t>
  </si>
  <si>
    <t>C2090 (CONTROIL) | RCCD01010 (TRW)</t>
  </si>
  <si>
    <t>SWP253</t>
  </si>
  <si>
    <t>SVP6036</t>
  </si>
  <si>
    <t>BOMBA DE VÁCUO HYUNDAI</t>
  </si>
  <si>
    <t>SVP6033</t>
  </si>
  <si>
    <t>SVP6043</t>
  </si>
  <si>
    <t>BOMBA DE VÁCUO CITROEN</t>
  </si>
  <si>
    <t>SCS4036</t>
  </si>
  <si>
    <t>30151 (ELPER) | 306202899R (OEM) | 306204287R (OEM) | 306205626R (OEM) | 8200987124 (OEM)</t>
  </si>
  <si>
    <t>SWP126</t>
  </si>
  <si>
    <t>7000404001 (INDISA) | UB0376 (URBA) | VKPC88850 (SKF)</t>
  </si>
  <si>
    <t>SOC9024</t>
  </si>
  <si>
    <t>21305-5M301 (OEM)</t>
  </si>
  <si>
    <t>SBC1194B</t>
  </si>
  <si>
    <t>46100-T9A-P01 (OEM)</t>
  </si>
  <si>
    <t>SOC9036</t>
  </si>
  <si>
    <t>RESFRIADOR DE ÓLEO CÂMBIO BMW</t>
  </si>
  <si>
    <t>17217529499 (OEM)</t>
  </si>
  <si>
    <t>STC12070</t>
  </si>
  <si>
    <t>1113.82 (VALCLEI) | 9091603097 (OEM) | 9091603118 (OEM)</t>
  </si>
  <si>
    <t>HYUNDAI / KIA / TOYOTA</t>
  </si>
  <si>
    <t>SVP6035</t>
  </si>
  <si>
    <t>SBC1103</t>
  </si>
  <si>
    <t>58510-2K800 (OEM)</t>
  </si>
  <si>
    <t>SBS8068PB</t>
  </si>
  <si>
    <t>BPSA0096081 (MAZZICAR)</t>
  </si>
  <si>
    <t>SWP164</t>
  </si>
  <si>
    <t>UB0821 (URBA) | VKPC92939 (SKF)</t>
  </si>
  <si>
    <t>SSC3046</t>
  </si>
  <si>
    <t>SWC5091</t>
  </si>
  <si>
    <t>CILINDRO DE RODA LE/LD NISSAN - SUBSTITUI SWC5001</t>
  </si>
  <si>
    <t>SBC1203</t>
  </si>
  <si>
    <t>13486143 (OEM) | 7666 (ATE) | C2228 (CONTROIL)</t>
  </si>
  <si>
    <t>STC12040</t>
  </si>
  <si>
    <t>VÁLVULA TERMOSTÁTICA GM</t>
  </si>
  <si>
    <t>12650241 (OEM) | 1299.95 (VALCLEI)</t>
  </si>
  <si>
    <t>SWC5089</t>
  </si>
  <si>
    <t>5760 (ATE) | 5987896 (OEM) | 7077174 (OEM) | 790833 (OEM) | C3353 (CONTROIL) | RCCR01400 (TRW)</t>
  </si>
  <si>
    <t>SWP339</t>
  </si>
  <si>
    <t>BOMBA D'ÁGUA BMW</t>
  </si>
  <si>
    <t>11518482250 (OEM) | 11518650988 (OEM)</t>
  </si>
  <si>
    <t>SCA8031FL</t>
  </si>
  <si>
    <t>BANDEJA COMPLETA LE FIAT</t>
  </si>
  <si>
    <t>BDJ9015 (PERFECT) | FI315C (GRAZZIMETAL) | NBJ4010EP (NAKATA)</t>
  </si>
  <si>
    <t>SBC1170</t>
  </si>
  <si>
    <t>SWP317</t>
  </si>
  <si>
    <t>SCA8021FL</t>
  </si>
  <si>
    <t>BANDEJA COMPLETA LE PEUGEOT</t>
  </si>
  <si>
    <t>540008V (VIEMAR) | BJC17014M (COFAP) | BRA2060 (PERFECT) | NBJ5002DP (NAKATA) | PG5002C (GRAZZIMETAL)</t>
  </si>
  <si>
    <t>SWP143</t>
  </si>
  <si>
    <t>854515 (INDISA)</t>
  </si>
  <si>
    <t>SWP256</t>
  </si>
  <si>
    <t>SCS4014</t>
  </si>
  <si>
    <t>510018010 (LUK) | VKCH3404831 (SKF) | ZA3404831 (FTE)</t>
  </si>
  <si>
    <t>SOC9068</t>
  </si>
  <si>
    <t>06K117021B (OEM)</t>
  </si>
  <si>
    <t>SCA8027FL</t>
  </si>
  <si>
    <t>BDJ0639 (PERFECT) | NBJ6011EP (NAKATA) | RN4091C (GRAZZIMETAL)</t>
  </si>
  <si>
    <t>SCA8027FR</t>
  </si>
  <si>
    <t>BDJ0638 (PERFECT) | NBJ6011DP (NAKATA) | RN4090C (GRAZZIMETAL)</t>
  </si>
  <si>
    <t>SCS4010</t>
  </si>
  <si>
    <t>ATUADOR DE EMBREAGEM CHERY</t>
  </si>
  <si>
    <t>SWP145</t>
  </si>
  <si>
    <t>7000702500 (INDISA) | UB0816 (URBA)</t>
  </si>
  <si>
    <t>SOC9035</t>
  </si>
  <si>
    <t>RESFRIADOR DE ÓLEO MOTOR BMW</t>
  </si>
  <si>
    <t>11427525333 (OEM)</t>
  </si>
  <si>
    <t>SCA8031FR</t>
  </si>
  <si>
    <t>BANDEJA COMPLETA LD FIAT</t>
  </si>
  <si>
    <t>BDJ9016 (PERFECT) | FI314C (GRAZZIMETAL) | NBJ4010DP (NAKATA)</t>
  </si>
  <si>
    <t>SBC1171</t>
  </si>
  <si>
    <t>CILINDRO MESTRE DE FREIO BMW</t>
  </si>
  <si>
    <t>SBS8015</t>
  </si>
  <si>
    <t>208800 (SYL) | 2691CP (COBREQ) | BPSA0090169 (MAZZICAR) | BPSA0096710 (MAZZICAR) | HQJ525 (JURID) | TY326CP (FRAS-LE)</t>
  </si>
  <si>
    <t>SWP109</t>
  </si>
  <si>
    <t>BOMBA ÁGUA FIAT</t>
  </si>
  <si>
    <t>20248 (SCHADEK) | 354504 (INDISA)</t>
  </si>
  <si>
    <t>SWP056</t>
  </si>
  <si>
    <t>7000404002 (INDISA) | NKBA059021 (NAKATA)</t>
  </si>
  <si>
    <t>SWP300</t>
  </si>
  <si>
    <t>SBC1206M</t>
  </si>
  <si>
    <t>STC12073</t>
  </si>
  <si>
    <t>1150.88 (VALCLEI) | XS7Q8575AA (OEM)</t>
  </si>
  <si>
    <t>SCC2112</t>
  </si>
  <si>
    <t>2T721405 (OEM) | 2TO721405 (OEM) | 2VB721405 (OEM) | C2720 (CONTROIL) | RCCE00700 (TRW)</t>
  </si>
  <si>
    <t>SCC2008</t>
  </si>
  <si>
    <t>C2624 (CONTROIL) | D101008 (FTE) | RCCE00800 (TRW) | VKCH101008 (SKF)</t>
  </si>
  <si>
    <t>SWC5033</t>
  </si>
  <si>
    <t>4755029265 (OEM) | BWH266 (TRW) | C3534 (CONTROIL)</t>
  </si>
  <si>
    <t>STC12066</t>
  </si>
  <si>
    <t>VÁLVULA TERMOSTÁTICA CHERY</t>
  </si>
  <si>
    <t>SBC1254</t>
  </si>
  <si>
    <t>SWP329</t>
  </si>
  <si>
    <t>03L965561A (OEM) | 454700 (INDISA) | 706740130 (PIERBURG) | UB0655 (URBA)</t>
  </si>
  <si>
    <t>SSC3008</t>
  </si>
  <si>
    <t>KN23027C1 (FTE) | RCCE01314 (TRW) | VKCH23027 (SKF)</t>
  </si>
  <si>
    <t>SWP066</t>
  </si>
  <si>
    <t>20232 (SCHADEK) | 7000854000 (INDISA) | NKBA179004 (NAKATA) | VKPC95404 (SKF)</t>
  </si>
  <si>
    <t>SBC1008</t>
  </si>
  <si>
    <t>RCCD27506 (TRW)</t>
  </si>
  <si>
    <t>SBC1092A</t>
  </si>
  <si>
    <t>AB12004EC (OEM)</t>
  </si>
  <si>
    <t>SWC5084</t>
  </si>
  <si>
    <t>CILINDRO DE RODA LE/LD GM - IGUAL SWC5060</t>
  </si>
  <si>
    <t>SCA8021FR</t>
  </si>
  <si>
    <t>BANDEJA COMPLETA LD PEUGEOT</t>
  </si>
  <si>
    <t>540009V (VIEMAR) | BJC17013M (COFAP) | BRA2061 (PERFECT) | NBJ5002EP (NAKATA) | PG5003C (GRAZZIMETAL)</t>
  </si>
  <si>
    <t>SBC1207A</t>
  </si>
  <si>
    <t>SWP006</t>
  </si>
  <si>
    <t>7000254007 (INDISA)</t>
  </si>
  <si>
    <t>SOC9038</t>
  </si>
  <si>
    <t>RESFRIADOR DE ÓLEO MOTOR VOLVO</t>
  </si>
  <si>
    <t>31339939 (OEM) | 5989070283 (OEM) | 8G9N6A642AA (OEM) | LR041422 (OEM)</t>
  </si>
  <si>
    <t>SCA8024FL</t>
  </si>
  <si>
    <t>BANDEJA LE VW</t>
  </si>
  <si>
    <t>BDJ1029 (PERFECT) | BJC01045M (COFAP) | NBJ1011E (NAKATA) | VW1205B (GRAZZIMETAL)</t>
  </si>
  <si>
    <t>SWP055</t>
  </si>
  <si>
    <t>20110 (SCHADEK) | 7000952002 (INDISA) | NKBA089018 (NAKATA) | VKPC83205 (SKF)</t>
  </si>
  <si>
    <t>SCA8024FR</t>
  </si>
  <si>
    <t>BANDEJA LD VW</t>
  </si>
  <si>
    <t>BDJ1028 (PERFECT) | BJC01044M (COFAP) | NBJ1011D (NAKATA) | VW1204B (GRAZZIMETAL)</t>
  </si>
  <si>
    <t>SWP091</t>
  </si>
  <si>
    <t>20233 (SCHADEK) | 7000854008 (INDISA) | NKBA179011 (NAKATA) | VKPC95800 (SKF)</t>
  </si>
  <si>
    <t>HYUNDAI / KIA / MITSUBISHI</t>
  </si>
  <si>
    <t>SCC2030</t>
  </si>
  <si>
    <t>CILINDRO MESTRE DE EMBREAGEM CHERY</t>
  </si>
  <si>
    <t>SBS8077</t>
  </si>
  <si>
    <t>BPSA0095210 (MAZZICAR)</t>
  </si>
  <si>
    <t>SFC7020</t>
  </si>
  <si>
    <t>POLIA VISCOSA NISSAN</t>
  </si>
  <si>
    <t>POLIA VISCOSA</t>
  </si>
  <si>
    <t>VPV039 (VETOR)</t>
  </si>
  <si>
    <t>SBS8013</t>
  </si>
  <si>
    <t>204603 (SYL) | 2676CP (COBREQ) | BPSA0096085 (MAZZICAR) | KI144CP (FRAS-LE)</t>
  </si>
  <si>
    <t>ASIA / HYUNDAI / KIA</t>
  </si>
  <si>
    <t>SWP163</t>
  </si>
  <si>
    <t>7000404006 (INDISA)</t>
  </si>
  <si>
    <t>SWP125</t>
  </si>
  <si>
    <t>BOMBA ÁGUA PORSCHE</t>
  </si>
  <si>
    <t>VLBA0010214 (VILLA FRANCA)</t>
  </si>
  <si>
    <t>PORSCHE</t>
  </si>
  <si>
    <t>SHP11008</t>
  </si>
  <si>
    <t>06J127025C (OEM) | 06J127025F (OEM) | 06J127025G (OEM) | 06J127025J (OEM) | 706032100 (PIERBURG) | HFS0345131 (HITACHI)</t>
  </si>
  <si>
    <t>SWP003</t>
  </si>
  <si>
    <t>SCC2059</t>
  </si>
  <si>
    <t>SWP288</t>
  </si>
  <si>
    <t>SWP291</t>
  </si>
  <si>
    <t>354512 (INDISA) | NKBA01774 (NAKATA)</t>
  </si>
  <si>
    <t>SCC2036</t>
  </si>
  <si>
    <t>KG15001671 (FTE)</t>
  </si>
  <si>
    <t>SWC5079</t>
  </si>
  <si>
    <t>4402G0 (OEM) | 7735 (ATE) | C3547 (CONTROIL)</t>
  </si>
  <si>
    <t>SVP6005</t>
  </si>
  <si>
    <t>724807290 (PIERBURG)</t>
  </si>
  <si>
    <t>SWP259</t>
  </si>
  <si>
    <t>SHP11009</t>
  </si>
  <si>
    <t>BOMBA DE ALTA PRESSÃO FORD</t>
  </si>
  <si>
    <t>CM5E9D376CB (OEM) | CM5Z9350CA (OEM)</t>
  </si>
  <si>
    <t>SBC1247</t>
  </si>
  <si>
    <t>211611011J (OEM) | C2084 (CONTROIL) | RCCM22946 (TRW)</t>
  </si>
  <si>
    <t>SHP11011</t>
  </si>
  <si>
    <t>06L127025K (OEM) | 06L127025M (OEM) | 06L127025N (OEM) | 06L127025P (OEM) | 06L127025Q (OEM) | 06L127025R (OEM) | 06L127025T (OEM)</t>
  </si>
  <si>
    <t>SBC1255</t>
  </si>
  <si>
    <t>5Q1611021A (OEM) | C2237 (CONTROIL)</t>
  </si>
  <si>
    <t>SVP6041</t>
  </si>
  <si>
    <t>SBC1199</t>
  </si>
  <si>
    <t>SCC2100</t>
  </si>
  <si>
    <t>CILINDRO MESTRE DE EMBREAGEM KIA</t>
  </si>
  <si>
    <t>416004E000 (OEM) | C2731 (CONTROIL)</t>
  </si>
  <si>
    <t>SWP284A</t>
  </si>
  <si>
    <t>SCA8025FR</t>
  </si>
  <si>
    <t>BDJ9000 (PERFECT) | FI194M (GRAZZIMETAL)</t>
  </si>
  <si>
    <t>SBC1180</t>
  </si>
  <si>
    <t>C2076 (CONTROIL) | RCCM00209 (TRW) | RCCM00240 (TRW)</t>
  </si>
  <si>
    <t>SWP130</t>
  </si>
  <si>
    <t>7000752004 (INDISA) | UB0604 (URBA) | VKPC93603 (SKF)</t>
  </si>
  <si>
    <t>SWP014</t>
  </si>
  <si>
    <t>BOMBA ÁGUA DODGE/JEEP</t>
  </si>
  <si>
    <t>7000054000 (INDISA)</t>
  </si>
  <si>
    <t>SWP162</t>
  </si>
  <si>
    <t>SVP6038</t>
  </si>
  <si>
    <t>SWP255</t>
  </si>
  <si>
    <t>SWP261</t>
  </si>
  <si>
    <t>SOC9039</t>
  </si>
  <si>
    <t>RESFRIADOR DE ÓLEO MOTOR L ROVER</t>
  </si>
  <si>
    <t>5989070371 (OEM) | 9X2Q6B624BB (OEM) | LR013149 (OEM) | LR040738 (OEM)</t>
  </si>
  <si>
    <t>STC12072</t>
  </si>
  <si>
    <t>VÁLVULA TERMOSTÁTICA PEUGEOT</t>
  </si>
  <si>
    <t>1336T9 (OEM) | 3371.89 (VALCLEI) | 8200660882 (OEM)</t>
  </si>
  <si>
    <t>NISSAN / PEUGEOT / RENAULT</t>
  </si>
  <si>
    <t>SBS8109</t>
  </si>
  <si>
    <t>201716 (SYL) | 2863CPA (COBREQ)</t>
  </si>
  <si>
    <t>SVP6039</t>
  </si>
  <si>
    <t>SCC2048</t>
  </si>
  <si>
    <t>KG15065418 (FTE)</t>
  </si>
  <si>
    <t>SCS4001</t>
  </si>
  <si>
    <t>3342 (ZF) | 510003510 (LUK) | RCAC00090 (TRW) | VKCH4844 (SKF) | ZA360832P (FTE)</t>
  </si>
  <si>
    <t>SBC1217</t>
  </si>
  <si>
    <t>STC12011</t>
  </si>
  <si>
    <t>VÁLVULA TERMOSTÁTICA M BENZ</t>
  </si>
  <si>
    <t>A2702000415 (OEM) | A2702000615 (OEM)</t>
  </si>
  <si>
    <t>SCC2099</t>
  </si>
  <si>
    <t>0S08941400 (OEM) | 0S08941990 (OEM) | C2634 (CONTROIL) | PNB171 (TRW) | RCCE00740 (TRW)</t>
  </si>
  <si>
    <t>SWP111</t>
  </si>
  <si>
    <t>20111 (SCHADEK) | 7000953000 (INDISA)</t>
  </si>
  <si>
    <t>SWP104A</t>
  </si>
  <si>
    <t>SWC5077</t>
  </si>
  <si>
    <t>0986475433 (BOSCH) | 1H0611053 (OEM) | 3086110531 (OEM) | 6279 (ATE) | C3440 (CONTROIL) | RCCR27860 (TRW)</t>
  </si>
  <si>
    <t>SCA8025FL</t>
  </si>
  <si>
    <t>BDJ9001 (PERFECT) | FI195M (GRAZZIMETAL)</t>
  </si>
  <si>
    <t>SCA8026FL</t>
  </si>
  <si>
    <t>BANDEJA COMPLETA LE NISSAN</t>
  </si>
  <si>
    <t>BDJ2045 (PERFECT) | BJC29017M (COFAP) | NBJ6003EP (NAKATA) | SB8291EP (SAMPEL)</t>
  </si>
  <si>
    <t>SOC9040</t>
  </si>
  <si>
    <t>4R8Q6C711DB (OEM) | LR009570 (OEM)</t>
  </si>
  <si>
    <t>STC12023</t>
  </si>
  <si>
    <t>F4J16-1306110 (OEM)</t>
  </si>
  <si>
    <t>STC12029</t>
  </si>
  <si>
    <t>1101.103 (VALCLEI) | 1336Z2 (OEM) | 9650926280 (OEM)</t>
  </si>
  <si>
    <t>STC12064</t>
  </si>
  <si>
    <t>2S6G8A586D1C (OEM) | 4402.82 (VALCLEI)</t>
  </si>
  <si>
    <t>SBC1231</t>
  </si>
  <si>
    <t>4601R9 (OEM) | 7677 (ATE)</t>
  </si>
  <si>
    <t>SSC3052</t>
  </si>
  <si>
    <t>41710-23020 (OEM)</t>
  </si>
  <si>
    <t>SCA8026FR</t>
  </si>
  <si>
    <t>BANDEJA COMPLETA LD NISSAN</t>
  </si>
  <si>
    <t>BDJ2046 (PERFECT) | BJC29016M (COFAP) | NBJ6003DP (NAKATA) | SB8291DP (SAMPEL)</t>
  </si>
  <si>
    <t>STC12014</t>
  </si>
  <si>
    <t>VÁLVULA TERMOSTÁTICA VW</t>
  </si>
  <si>
    <t>059121111BM (OEM) | 059121111CR (OEM)</t>
  </si>
  <si>
    <t>SBS8073PB</t>
  </si>
  <si>
    <t>SAPATA DE FREIO IVECO</t>
  </si>
  <si>
    <t>BSPA0097118 (MAZZICAR) | IV435CP (FRAS-LE)</t>
  </si>
  <si>
    <t>SCC2046</t>
  </si>
  <si>
    <t>KG1501641 (FTE)</t>
  </si>
  <si>
    <t>SWP144</t>
  </si>
  <si>
    <t>SVP6004</t>
  </si>
  <si>
    <t>BOMBA DE VÁCUO M BENZ</t>
  </si>
  <si>
    <t>724807070 (PIERBURG)</t>
  </si>
  <si>
    <t>JEEP / MERCEDES-BENZ</t>
  </si>
  <si>
    <t>SOC9042</t>
  </si>
  <si>
    <t>31316639 (OEM) | AG9G6A642BC (OEM) | LR025515 (OEM)</t>
  </si>
  <si>
    <t>SBS8113</t>
  </si>
  <si>
    <t>203005 (SYL) | 2601CP (COBREQ) | 7083041 (OEM) | BPSA0090144 (MAZZICAR) | FI136CP (FRAS-LE) | LS3521 (BOSCH)</t>
  </si>
  <si>
    <t>STC12024</t>
  </si>
  <si>
    <t>D4G15B-1306110 (OEM)</t>
  </si>
  <si>
    <t>STC12030</t>
  </si>
  <si>
    <t>1137.89 (VALCLEI) | 1336Z0 (OEM) | 9647265980 (OEM)</t>
  </si>
  <si>
    <t>SWP311</t>
  </si>
  <si>
    <t>SWP299</t>
  </si>
  <si>
    <t>BOMBA ÁGUA ELÉTRICA TOYOTA</t>
  </si>
  <si>
    <t>SOC9072</t>
  </si>
  <si>
    <t>6541805700 (OEM)</t>
  </si>
  <si>
    <t>SBS8132</t>
  </si>
  <si>
    <t>CI626CPA (FRAS-LE)</t>
  </si>
  <si>
    <t>SWP274</t>
  </si>
  <si>
    <t>BOMBA AGUA AUDI</t>
  </si>
  <si>
    <t>SWP363</t>
  </si>
  <si>
    <t>354506 (INDISA) | 55243968 (OEM) | UB0774 (URBA) | VKPC4994 (SKF)</t>
  </si>
  <si>
    <t>SWP242H</t>
  </si>
  <si>
    <t>SBC1053</t>
  </si>
  <si>
    <t>CILIDNRO MESTRE DE FREIO GM</t>
  </si>
  <si>
    <t>SOC9056</t>
  </si>
  <si>
    <t>264102B740 (OEM)</t>
  </si>
  <si>
    <t>SOC9069</t>
  </si>
  <si>
    <t>9801622280 (OEM)</t>
  </si>
  <si>
    <t>SBC1226</t>
  </si>
  <si>
    <t>7701207697 (OEM) | C2184 (CONTROIL)</t>
  </si>
  <si>
    <t>SWP293H</t>
  </si>
  <si>
    <t>SHP11013</t>
  </si>
  <si>
    <t>03H127025C (OEM) | 706032140 (PIERBURG) | 95511031600 (OEM) | HFS85303B (HITACHI)</t>
  </si>
  <si>
    <t>AUDI / PORSCHE / VOLKSWAGEN</t>
  </si>
  <si>
    <t>SWP158</t>
  </si>
  <si>
    <t>20214 (SCHADEK) | 7000904508 (INDISA)</t>
  </si>
  <si>
    <t>SCC2103</t>
  </si>
  <si>
    <t>SBC1158</t>
  </si>
  <si>
    <t>SCA8047FL</t>
  </si>
  <si>
    <t>BDJ3301 (PERFECT) | NBJ0613EP (NAKATA) | NS21039C (GRAZZIMETAL)</t>
  </si>
  <si>
    <t>SWP123</t>
  </si>
  <si>
    <t>20207 (SCHADEK) | 7000702007 (INDISA) | NKBA09800 (NAKATA) | UB0800 (URBA)</t>
  </si>
  <si>
    <t>SBS8062</t>
  </si>
  <si>
    <t>SAPATA DE FREIO JINBEI</t>
  </si>
  <si>
    <t>BPSA0095530 (MAZZICAR) | JI437CP (FRAS-LE)</t>
  </si>
  <si>
    <t>SCS4016</t>
  </si>
  <si>
    <t>ZA3405742 (FTE)</t>
  </si>
  <si>
    <t>SWP193</t>
  </si>
  <si>
    <t>7000204520 (INDISA)</t>
  </si>
  <si>
    <t>SOC9073</t>
  </si>
  <si>
    <t>RESFRIADOR DE ÓLEO CÂMBIO FORD</t>
  </si>
  <si>
    <t>JB3G7A095BA (OEM)</t>
  </si>
  <si>
    <t>SWP341</t>
  </si>
  <si>
    <t>GK3Z8501B (OEM)</t>
  </si>
  <si>
    <t>SCA8042FL</t>
  </si>
  <si>
    <t>BANDEJA COMPLETA LE TOYOTA</t>
  </si>
  <si>
    <t>BDJ0703 (PERFECT) | NBJ7011EP (NAKATA) | TT14041C (GRAZZIMETAL)</t>
  </si>
  <si>
    <t>SCA8040FL</t>
  </si>
  <si>
    <t>BANDEJA COMPLETA LE GM</t>
  </si>
  <si>
    <t>BDJ9855 (PERFECT) | BJC04157M (COFAP) | GM2277CGG (GRAZZIMETAL) | NBJ3016EP (NAKATA)</t>
  </si>
  <si>
    <t>SCC2035</t>
  </si>
  <si>
    <t>KG15098.2.1 (FTE) | RCCE01430 (TRW)</t>
  </si>
  <si>
    <t>SWP331</t>
  </si>
  <si>
    <t>1K0965561G (OEM) | 454711 (INDISA) | 702074500 (PIERBURG)</t>
  </si>
  <si>
    <t>SBC1200</t>
  </si>
  <si>
    <t>SWP074</t>
  </si>
  <si>
    <t>7000854004 (INDISA)</t>
  </si>
  <si>
    <t>SWP340</t>
  </si>
  <si>
    <t>JDE40023 (OEM) | L4P38501AD (OEM) | LR115260 (OEM)</t>
  </si>
  <si>
    <t>SWC5099</t>
  </si>
  <si>
    <t>1517558 (OEM) | 5516 (ATE) | 5517 (ATE) | 5727 (ATE) | 93305403 (OEM) | 93336460 (OEM) | C3439 (CONTROIL) | CR3001 (BOSCH) | CR9858 (BOSCH) | CR9859 (BOSCH) | RCCCR00945 (TRW) | RCCR00953 (TRW) | RCCR01910 (TRW) | XS512261AA (OEM)</t>
  </si>
  <si>
    <t>SBC1233</t>
  </si>
  <si>
    <t>CILINDRO MESTRE DE FREIO JEEP</t>
  </si>
  <si>
    <t>68347156AC (OEM) | C2270 (CONTROIL)</t>
  </si>
  <si>
    <t>JEEP</t>
  </si>
  <si>
    <t>SCA8101FL</t>
  </si>
  <si>
    <t>BANDEJA COMPLETA LE CHERY</t>
  </si>
  <si>
    <t>SCC2094</t>
  </si>
  <si>
    <t>SWC5061L</t>
  </si>
  <si>
    <t>6260 (ATE) | 93260019 (OEM) | BWH6001 (TRW) | C3456 (CONTROIL) | CR2955 (BOSCH)</t>
  </si>
  <si>
    <t>SCA8047FR</t>
  </si>
  <si>
    <t>BDJ3300 (PERFECT) | NBJ6013DP (NAKATA) | NS21038C (GRAZZIMETAL)</t>
  </si>
  <si>
    <t>SCA8086FL</t>
  </si>
  <si>
    <t>BANDEJA COMPLETA LE FORD</t>
  </si>
  <si>
    <t>BDJ0267 (PERFECT) | NBJ2029EP (NAKATA)</t>
  </si>
  <si>
    <t>SCA8110FL</t>
  </si>
  <si>
    <t>BANDEJA COMPLETA LE HYUNDAI</t>
  </si>
  <si>
    <t>BDJ2199 (PERFECT)</t>
  </si>
  <si>
    <t>SWP216</t>
  </si>
  <si>
    <t>7000254500 (INDISA) | NKBA03826 (NAKATA) | UB0165 (URBA) | VKPC85312 (SKF)</t>
  </si>
  <si>
    <t>SWP020</t>
  </si>
  <si>
    <t>BOMBA ÁGUA AUDI</t>
  </si>
  <si>
    <t>7000454005 (INDISA) | UB0632 (URBA)</t>
  </si>
  <si>
    <t>SWP227</t>
  </si>
  <si>
    <t>7000254501 (INDISA) | UB0169 (URBA)</t>
  </si>
  <si>
    <t>SCA8042FR</t>
  </si>
  <si>
    <t>BANDEJA COMPLETA LD TOYOTA</t>
  </si>
  <si>
    <t>BDJ0702 (PERFECT) | NBJ7011DP (NAKATA) | TT14040C (GRAZZIMETAL)</t>
  </si>
  <si>
    <t>SWP315</t>
  </si>
  <si>
    <t>SBC1201</t>
  </si>
  <si>
    <t>SCC2101</t>
  </si>
  <si>
    <t>SHP11006</t>
  </si>
  <si>
    <t>BOMBA DE ALTA PRESSÃO CITROEN</t>
  </si>
  <si>
    <t>0261520433 (BOSCH) | 9815930180 (OEM)</t>
  </si>
  <si>
    <t>SCA8010FR</t>
  </si>
  <si>
    <t>BANDEJA COMPLETA LD CITROEN</t>
  </si>
  <si>
    <t>BDJ0208 (PERFECT) | CT6002MAC (GRAZZIMETAL) | SB8063DP (SAMPEL)</t>
  </si>
  <si>
    <t>SCA8036FR</t>
  </si>
  <si>
    <t>BANDEJA COMPLETA LD FORD</t>
  </si>
  <si>
    <t>BDJ9872 (PERFECT) | FO3210C (GRAZZIMETAL) | NBJ2011DP (NAKATA)</t>
  </si>
  <si>
    <t>SCA8051FR</t>
  </si>
  <si>
    <t>BDJ0842 (PERFECT) | BJC17018M (COFAP) | NBJ5008D (NAKATA) | PG5012 (GRAZZIMETAL)</t>
  </si>
  <si>
    <t>SCA8100FL</t>
  </si>
  <si>
    <t>BDJ0150 (PERFECT)</t>
  </si>
  <si>
    <t>SCA8100FR</t>
  </si>
  <si>
    <t>BDJ0151 (PERFECT)</t>
  </si>
  <si>
    <t>SBC1197</t>
  </si>
  <si>
    <t>SWP060</t>
  </si>
  <si>
    <t>20177 (SCHADEK) | 7000702002 (INDISA) | NKBA09815 (NAKATA) | UB0815 (URBA) | VKPC86415 (SKF)</t>
  </si>
  <si>
    <t>SOC9037</t>
  </si>
  <si>
    <t>11428596283 (OEM)</t>
  </si>
  <si>
    <t>SOC9051</t>
  </si>
  <si>
    <t>7200756 (OEM)</t>
  </si>
  <si>
    <t>SCA8072FR</t>
  </si>
  <si>
    <t>BANDEJA COMPLETA LD VW</t>
  </si>
  <si>
    <t>BDJ0800 (PERFECT) | VW1292C (GRAZZIMETAL)</t>
  </si>
  <si>
    <t>SCA8049FLR</t>
  </si>
  <si>
    <t>BRALO OSCILANTE LE/LD FORD</t>
  </si>
  <si>
    <t>BRAÇO OSCILANTE</t>
  </si>
  <si>
    <t>BRA0230 (PERFECT) | NBJ2026P (NAKATA)</t>
  </si>
  <si>
    <t>SCA8070FLR</t>
  </si>
  <si>
    <t>BANDEJA COMPLETA LE/LD CHERY</t>
  </si>
  <si>
    <t>BRA9871 (PERFECT) | CY36006 (GRAZZIMETAL) | NBJ9007P (NAKATA)</t>
  </si>
  <si>
    <t>SCA8086FR</t>
  </si>
  <si>
    <t>BDJ0266 (PERFECT) | NBJ2029DP (NAKATA)</t>
  </si>
  <si>
    <t>SCA8110FR</t>
  </si>
  <si>
    <t>BANDEJA COMPLETA LD HYUNDAI</t>
  </si>
  <si>
    <t>BDJ2198 (PERFECT)</t>
  </si>
  <si>
    <t>SCS4009</t>
  </si>
  <si>
    <t>510002310 (LUK) | RCAC00070 (TRW) | VKCH4746 (SKF) | ZA3209A1 (FTE)</t>
  </si>
  <si>
    <t>SVP6027</t>
  </si>
  <si>
    <t>SWP244H</t>
  </si>
  <si>
    <t>SWP262</t>
  </si>
  <si>
    <t>SWP268</t>
  </si>
  <si>
    <t>SHP11000</t>
  </si>
  <si>
    <t>0261520055 (OEM) | 0261520472 (BOSCH) | 06h127025E (OEM) | 06H127025G (OEM) | 06H127025K (OEM) | 06H127025M (OEM) | 06H127025N (OEM) | 06H127025Q (OEM) | 06H127025R (OEM)</t>
  </si>
  <si>
    <t>SWP350</t>
  </si>
  <si>
    <t>BOMBA ÁGUA IVECO</t>
  </si>
  <si>
    <t>5801931331 (OEM)</t>
  </si>
  <si>
    <t>SWP351</t>
  </si>
  <si>
    <t>20228 (SCHADEK) | 202281 (SCHADEK) | 500356553 (OEM) | 758504 (INDISA)</t>
  </si>
  <si>
    <t>FORD / IVECO</t>
  </si>
  <si>
    <t>STC12015</t>
  </si>
  <si>
    <t>2742000115 (OEM) | 2742003100 (OEM)</t>
  </si>
  <si>
    <t>STC12028</t>
  </si>
  <si>
    <t>5530.95 (VALCLEI) | 6512000615 (OEM) | 6512001215 (OEM) | A6512002800 (OEM)</t>
  </si>
  <si>
    <t>SCA8036FL</t>
  </si>
  <si>
    <t>BDJ9873 (PERFECT) | FO3211C (GRAZZIMETAL) | NBJ2011EP (NAKATA)</t>
  </si>
  <si>
    <t>SCA8101FR</t>
  </si>
  <si>
    <t>BANDEJA COMPLETA LD CHERY</t>
  </si>
  <si>
    <t>STC12045</t>
  </si>
  <si>
    <t>1249.83 (VALCLEI) | 9676409580 (OEM)</t>
  </si>
  <si>
    <t>SCA8104FR</t>
  </si>
  <si>
    <t>BANDJA COMPLETA LD BYD</t>
  </si>
  <si>
    <t>BYD</t>
  </si>
  <si>
    <t>SBC1189</t>
  </si>
  <si>
    <t>SWP218</t>
  </si>
  <si>
    <t>7000254502 (INDISA)</t>
  </si>
  <si>
    <t>SWP138</t>
  </si>
  <si>
    <t>20094 (SCHADEK) | 7000254006 (INDISA) | NKBA03160 (NAKATA) | UB0160 (URBA)</t>
  </si>
  <si>
    <t>SBC1211</t>
  </si>
  <si>
    <t>47028-42070 (OEM)</t>
  </si>
  <si>
    <t>SBC1213</t>
  </si>
  <si>
    <t>46100-SWAA01 (OEM)</t>
  </si>
  <si>
    <t>STC12049</t>
  </si>
  <si>
    <t>1291.82 (VALCLEI) | 504017209 (OEM) | 504029725 (OEM)</t>
  </si>
  <si>
    <t>STC12050</t>
  </si>
  <si>
    <t>5802386464 (OEM)</t>
  </si>
  <si>
    <t>STC12058</t>
  </si>
  <si>
    <t>5047263AB (OEM) | 5047263AC (OEM) | K05047861AC (OEM) | K05047861AD (OEM)</t>
  </si>
  <si>
    <t>STC12061</t>
  </si>
  <si>
    <t>46338853 (OEM)</t>
  </si>
  <si>
    <t>FIAT / JEEP / RAM</t>
  </si>
  <si>
    <t>STC12062</t>
  </si>
  <si>
    <t>110600260R (OEM) | 110609301R (OEM)</t>
  </si>
  <si>
    <t>SCA8018FLR</t>
  </si>
  <si>
    <t>BRAÇO OSCILANTE DIANT COMPLETO LE/LD FIAT</t>
  </si>
  <si>
    <t>54001 (VIEMAR) | BJC03029M (COFAP) | BRA3029 (PERFECT) | FI217B (GRAZZIMETAL) | NBJ4001P (NAKATA)</t>
  </si>
  <si>
    <t>SCA8029FR</t>
  </si>
  <si>
    <t>BDJ9868 (PERFECT) | NBJ6009DP (NAKATA) | SB8185DP (SAMPEL)</t>
  </si>
  <si>
    <t>SBC1207M</t>
  </si>
  <si>
    <t>SVP6040</t>
  </si>
  <si>
    <t>SCA8104FL</t>
  </si>
  <si>
    <t>BANDEJA COMPLETA LE BYD</t>
  </si>
  <si>
    <t>SWP114</t>
  </si>
  <si>
    <t>7000904000 (INDISA)</t>
  </si>
  <si>
    <t>SBC1104M</t>
  </si>
  <si>
    <t>CILINDRO MESTRE DE FREIO SUZUKI</t>
  </si>
  <si>
    <t>CILINDRO MESTRE DUPLO</t>
  </si>
  <si>
    <t>51100-65J10 (OEM)</t>
  </si>
  <si>
    <t>SBC1214</t>
  </si>
  <si>
    <t>46100-T0TH01 (OEM)</t>
  </si>
  <si>
    <t>STC12001</t>
  </si>
  <si>
    <t>VÁLVULA TERMOSTÁTICA BMW</t>
  </si>
  <si>
    <t>11538642560 (OEM)</t>
  </si>
  <si>
    <t>STC12025</t>
  </si>
  <si>
    <t>1106100Q1K (OEM) | 1391.81 (VALCLEI) | 8200978549 (OEM)</t>
  </si>
  <si>
    <t>SCA8072FL</t>
  </si>
  <si>
    <t>BANDEJA COMPLETA LE VW</t>
  </si>
  <si>
    <t>BDJ0801 (PERFECT) | VW1293C (GRAZZIMETAL)</t>
  </si>
  <si>
    <t>SFC7014</t>
  </si>
  <si>
    <t>POLIA VISCOSA HYUNDAI</t>
  </si>
  <si>
    <t>VPV049 (VETOR)</t>
  </si>
  <si>
    <t>STC12042</t>
  </si>
  <si>
    <t>1106100Q0F (OEM) | 1106100QAK (OEM)</t>
  </si>
  <si>
    <t>SCA8029FL</t>
  </si>
  <si>
    <t>BDJ9867 (PERFECT) | NBJ6009EP (NAKATA) | SB8185EP (SAMPEL)</t>
  </si>
  <si>
    <t>SCA8051FL</t>
  </si>
  <si>
    <t>BANDEJA COMPLETA LE CITROEN</t>
  </si>
  <si>
    <t>BDJ0841 (PERFECT) | BJC17017M (COFAP) | NBJ5008E (NAKATA) | PG5011 (GRAZZIMETAL)</t>
  </si>
  <si>
    <t>SWP305</t>
  </si>
  <si>
    <t>SWP205</t>
  </si>
  <si>
    <t>7000854504 (INDISA)</t>
  </si>
  <si>
    <t>SWP287</t>
  </si>
  <si>
    <t>952511 (INDISA)</t>
  </si>
  <si>
    <t>SBC1244</t>
  </si>
  <si>
    <t>94769766 (OEM) | C2230 (CONTROIL)</t>
  </si>
  <si>
    <t>SBC1187</t>
  </si>
  <si>
    <t>SWP298</t>
  </si>
  <si>
    <t>SWP044</t>
  </si>
  <si>
    <t>20161 (SCHADEK) | 7000452005 (INDISA) | VKPC81408 (SKF)</t>
  </si>
  <si>
    <t>SWP107</t>
  </si>
  <si>
    <t>904522 (INDISA)</t>
  </si>
  <si>
    <t>SWP149</t>
  </si>
  <si>
    <t>VLBA0010469 (VILLA FRANCA)</t>
  </si>
  <si>
    <t>STC12052</t>
  </si>
  <si>
    <t>1107.98 (VALCLEI) | 1S7G8575AF (OEM) | 1S7G8575AK (OEM)</t>
  </si>
  <si>
    <t>SWC5048R</t>
  </si>
  <si>
    <t>CILINDRO DE RODA LD EFFA</t>
  </si>
  <si>
    <t>HAFEI</t>
  </si>
  <si>
    <t>SBC1010</t>
  </si>
  <si>
    <t>CILINDRO MESTRE DE FREIO JINBEI</t>
  </si>
  <si>
    <t>SWP234</t>
  </si>
  <si>
    <t>BOMBA ÁGUA CHRYSLER</t>
  </si>
  <si>
    <t>CHRYSLER / DODGE</t>
  </si>
  <si>
    <t>SOC9034</t>
  </si>
  <si>
    <t>RESFRIADOR DE ÓLEO CÂMBIO M BENZ</t>
  </si>
  <si>
    <t>2465010501 (OEM) | A2465010501 (OEM)</t>
  </si>
  <si>
    <t>SWC5074R</t>
  </si>
  <si>
    <t>CILINDRO DE RODA LD KIA</t>
  </si>
  <si>
    <t>583801Y000 (OEM) | C3602 (CONTROIL)</t>
  </si>
  <si>
    <t>SWP032</t>
  </si>
  <si>
    <t>7000752001 (INDISA) | VKPC93000 (SKF)</t>
  </si>
  <si>
    <t>SCA8112FR</t>
  </si>
  <si>
    <t>BDJ2194 (PERFECT)</t>
  </si>
  <si>
    <t>SCA8103FR</t>
  </si>
  <si>
    <t>BANDEJA COMPLETA LD BYD</t>
  </si>
  <si>
    <t>SWP034</t>
  </si>
  <si>
    <t>20108 (SCHADEK) | 352004 (INDISA) | NKBA01756 (NAKATA) | UB0756 (URBA) | VKPC82441A (SKF)</t>
  </si>
  <si>
    <t>SWP167H</t>
  </si>
  <si>
    <t>UB0811 (URBA)</t>
  </si>
  <si>
    <t>SWP053</t>
  </si>
  <si>
    <t>7000952004 (INDISA) | VKPC83636 (SKF)</t>
  </si>
  <si>
    <t>SWP148</t>
  </si>
  <si>
    <t>BOMBA ÁGUA AUDI/PORSCHE</t>
  </si>
  <si>
    <t>VLBA0330550 (VILLA FRANCA)</t>
  </si>
  <si>
    <t>AUDI / PORSCHE</t>
  </si>
  <si>
    <t>STC12007</t>
  </si>
  <si>
    <t>9804160380 (OEM)</t>
  </si>
  <si>
    <t>STC12056</t>
  </si>
  <si>
    <t>1261.77-95 (VALCLEI) | 68003583AA (OEM) | K55111016AA (OEM) | K55111017AD (OEM)</t>
  </si>
  <si>
    <t>SBC1235</t>
  </si>
  <si>
    <t>204788316 (OEM)</t>
  </si>
  <si>
    <t>SWC5061R</t>
  </si>
  <si>
    <t>6259 (ATE) | 93260020 (OEM) | BWH6000 (TRW) | C3457 (CONTROIL) | CR2956 (BOSCH)</t>
  </si>
  <si>
    <t>SCA8040FR</t>
  </si>
  <si>
    <t>BANDEJA COMPLETA LD GM</t>
  </si>
  <si>
    <t>BDJ9854 (PERFECT) | BJC04156M (COFAP) | GM2276CGG (GRAZZIMETAL) | NBJ3016DP (NAKATA)</t>
  </si>
  <si>
    <t>SWP077</t>
  </si>
  <si>
    <t>SWP024</t>
  </si>
  <si>
    <t>7000752000 (INDISA) | VKPC93601 (SKF)</t>
  </si>
  <si>
    <t>SWP198</t>
  </si>
  <si>
    <t>7000404005 (INDISA)</t>
  </si>
  <si>
    <t>SWP240</t>
  </si>
  <si>
    <t>SWP088</t>
  </si>
  <si>
    <t>20202 (SCHADEK) | 7000204008 (INDISA) | NKBA02950 (NAKATA) | UB0950 (URBA) | VKPC84415A (SKF)</t>
  </si>
  <si>
    <t>SOC9031</t>
  </si>
  <si>
    <t>RESFRIADOR DE ÓLEO RENAULT</t>
  </si>
  <si>
    <t>8200709764 (OEM)</t>
  </si>
  <si>
    <t>SBC1202</t>
  </si>
  <si>
    <t>SWP043</t>
  </si>
  <si>
    <t>20134 (SCHADEK) | 7000452006 (INDISA) | NKBA07633 (NAKATA) | UB0633 (URBA) | VKPC81620 (SKF)</t>
  </si>
  <si>
    <t>SHP11003</t>
  </si>
  <si>
    <t>BOMBA DE ALTA PRESSÃO BMW</t>
  </si>
  <si>
    <t>0261520281 (BOSCH) | 0261520282 (BOSCH) | 13518604229 (OEM)</t>
  </si>
  <si>
    <t>SWP342H</t>
  </si>
  <si>
    <t>1628941780 (OEM)</t>
  </si>
  <si>
    <t>STC12012</t>
  </si>
  <si>
    <t>A2712000115 (OEM) | A2712000215 (OEM) | A2712000315 (OEM)</t>
  </si>
  <si>
    <t>SBC1258</t>
  </si>
  <si>
    <t>47201-02860 (OEM) | 47201-12C30 (OEM)</t>
  </si>
  <si>
    <t>SWP316</t>
  </si>
  <si>
    <t>BOMBA D'ÁGUA TOYOTA</t>
  </si>
  <si>
    <t>SWP063</t>
  </si>
  <si>
    <t>SWP222</t>
  </si>
  <si>
    <t>7000454503 (INDISA)</t>
  </si>
  <si>
    <t>SVP6006</t>
  </si>
  <si>
    <t>702551190 (PIERBURG)</t>
  </si>
  <si>
    <t>SBS8057</t>
  </si>
  <si>
    <t>SAPATA DE FREIO HAFFEI</t>
  </si>
  <si>
    <t>200702 (SYL) | BPSA0097450 (MAZZICAR) | HA380CPA (FRAS-LE)</t>
  </si>
  <si>
    <t>SOC9064</t>
  </si>
  <si>
    <t>A2741880101 (OEM)</t>
  </si>
  <si>
    <t>SWP128</t>
  </si>
  <si>
    <t>BOMBA ÁGUA KIA</t>
  </si>
  <si>
    <t>7000004002 (INDISA) | NKBA189017 (NAKATA)</t>
  </si>
  <si>
    <t>SWP028</t>
  </si>
  <si>
    <t>20185 (SCHADEK) | 7000904001 (INDISA) | NKBA169014 (NAKATA) | VKPC91607A (SKF)</t>
  </si>
  <si>
    <t>SCA8019FLR</t>
  </si>
  <si>
    <t>BANDEJA LE/LD VW</t>
  </si>
  <si>
    <t>BDJ1027 (PERFECT) | BJC01027M (COFAP) | NBJ1003 (NAKATA) | VW1005B (GRAZZIMETAL)</t>
  </si>
  <si>
    <t>SBC1060</t>
  </si>
  <si>
    <t>SWP362</t>
  </si>
  <si>
    <t>JB3Z8501 (OEM)</t>
  </si>
  <si>
    <t>SWP364</t>
  </si>
  <si>
    <t>SCA8044FL</t>
  </si>
  <si>
    <t>BDJ5227 (PERFECT) | BJC18159M (COFAP) | NBJ6007EP (NAKATA) | RN4001C (GRAZZIMETAL)</t>
  </si>
  <si>
    <t>SVP6046</t>
  </si>
  <si>
    <t>BOMBA DE VÁCUO FORD/VW</t>
  </si>
  <si>
    <t>23B145209 (OEM) | 5270422 (OEM) | 5270423 (OEM) | 5282085 (OEM) | 9140300120 (OEM) | 9149050114 (OEM)</t>
  </si>
  <si>
    <t>AGRALE / FORD / FOTON / JAC MOTORS / MARCOPOLO / VOLKSWAGEN</t>
  </si>
  <si>
    <t>SHP11012</t>
  </si>
  <si>
    <t>06F127025A (OEM) | 06F127025D (OEM) | 06F127025N (OEM)</t>
  </si>
  <si>
    <t>SWP392</t>
  </si>
  <si>
    <t>354600 (INDISA) | 55243966 (OEM) | UB0778 (URBA)</t>
  </si>
  <si>
    <t>SCA8010FL</t>
  </si>
  <si>
    <t>BDJ0207 (PERFECT) | CT6003MAC (GRAZZIMETAL) | SB8063EP (SAMPEL)</t>
  </si>
  <si>
    <t>SWP062</t>
  </si>
  <si>
    <t>20249 (SCHADEK)</t>
  </si>
  <si>
    <t>SVP6026</t>
  </si>
  <si>
    <t>SHP11004</t>
  </si>
  <si>
    <t>0261520287 (BOSCH) | 0261520288 (BOSCH) | 13518605103 (OEM)</t>
  </si>
  <si>
    <t>SCA8012FR</t>
  </si>
  <si>
    <t>BDJ0904 (PERFECT) | CT6003MC (GRAZZIMETAL)</t>
  </si>
  <si>
    <t>SWP241H1</t>
  </si>
  <si>
    <t>SBS8078PB</t>
  </si>
  <si>
    <t>BPSA0095220 (MAZZICAR)</t>
  </si>
  <si>
    <t>MITSUBISHI / SUBARU</t>
  </si>
  <si>
    <t>SFC7001</t>
  </si>
  <si>
    <t>POLIA VISCOSA GM/NISSAN</t>
  </si>
  <si>
    <t>VPV001 (VETOR)</t>
  </si>
  <si>
    <t>STC12071</t>
  </si>
  <si>
    <t>VÁLVULA TERMOSTÁTICA HONDA</t>
  </si>
  <si>
    <t>19301REA305 (OEM) | 19301RNA315 (OEM)</t>
  </si>
  <si>
    <t>SBS8130</t>
  </si>
  <si>
    <t>2835CPA (COBREQ) | 5U0698525C (OEM) | BPSA0096820 (MAZZICAR) | HQJ587A (JURID)</t>
  </si>
  <si>
    <t>SBS8131</t>
  </si>
  <si>
    <t>1608512680 (OEM) | 201910 (SYL) | 2872CPA (COBREQ) | BPSA0090235 (MAZZICAR) | PG444CPA (FRAS-LE)</t>
  </si>
  <si>
    <t>SWC5073</t>
  </si>
  <si>
    <t>CILINDRO DE RODA LE/LD KIA</t>
  </si>
  <si>
    <t>58330-0700 (OEM) | C3540 (CONTROIL)</t>
  </si>
  <si>
    <t>SBC1259</t>
  </si>
  <si>
    <t>D6010-5EE0A (OEM)</t>
  </si>
  <si>
    <t>SCC2043</t>
  </si>
  <si>
    <t>KG1504141 (FTE) | RCCE01460 (TRW) | VKCH1504141 (SKF)</t>
  </si>
  <si>
    <t>SBS8063PB</t>
  </si>
  <si>
    <t>SAPATA DE FREIO BMW</t>
  </si>
  <si>
    <t>201300 (SYL) | BPSA0091229 (MAZZICAR)</t>
  </si>
  <si>
    <t>SBS8074PB</t>
  </si>
  <si>
    <t>204302 (SYL) | BPSA0097119 (MAZZICAR) | IV436CP (FRAS-LE)</t>
  </si>
  <si>
    <t>SWP180</t>
  </si>
  <si>
    <t>BOMBA ÁGUA ASIA</t>
  </si>
  <si>
    <t>ASIA</t>
  </si>
  <si>
    <t>SWP142</t>
  </si>
  <si>
    <t>STC12051</t>
  </si>
  <si>
    <t>VÁLVULA TERMOSTÁTICA IVECO</t>
  </si>
  <si>
    <t>504045799 (OEM) | 504084365 (OEM)</t>
  </si>
  <si>
    <t>SOC9090</t>
  </si>
  <si>
    <t>RESFRIADOR DE ÓLEO NISSAN</t>
  </si>
  <si>
    <t>21606-50X1B (OEM)</t>
  </si>
  <si>
    <t>SCS4037</t>
  </si>
  <si>
    <t>100230 (VALEO) | 306206620R (OEM)</t>
  </si>
  <si>
    <t>SBC1252</t>
  </si>
  <si>
    <t>CILINDRO MESTRE DE FREIO MERCEDES BENZ</t>
  </si>
  <si>
    <t>6884307801 (OEM) | C2169 (CONTROIL) | RCCM00030 (TRW)</t>
  </si>
  <si>
    <t>SCA8064FL</t>
  </si>
  <si>
    <t>BRAÇO OSCILANTE DIANT COMPLETO LE FORD</t>
  </si>
  <si>
    <t>BRA0231 (PERFECT) | FO3197 (GRAZZIMETAL) | NBJ2025EP (NAKATA)</t>
  </si>
  <si>
    <t>SCA8064FR</t>
  </si>
  <si>
    <t>BRAÇO OSCILANTE DIANT COMPLETO LD FORD</t>
  </si>
  <si>
    <t>BRA0232 (PERFECT) | FO3198 (GRAZZIMETAL) | NBJ2025DP (NAKATA)</t>
  </si>
  <si>
    <t>SWC5048L</t>
  </si>
  <si>
    <t>CILINDRO DE RODA LE EFFA</t>
  </si>
  <si>
    <t>SCA8012FL</t>
  </si>
  <si>
    <t>BDJ0903 (PERFECT) | CT6002MC (GRAZZIMETAL)</t>
  </si>
  <si>
    <t>SCA8052FL</t>
  </si>
  <si>
    <t>BDJ2402 (PERFECT) | JP23016C (GRAZZIMETAL)</t>
  </si>
  <si>
    <t>SWP246</t>
  </si>
  <si>
    <t>SWP179</t>
  </si>
  <si>
    <t>7000904514 (INDISA) | BDTO21 (TAKAO)</t>
  </si>
  <si>
    <t>SBC1105B</t>
  </si>
  <si>
    <t>58510-1Y000 (OEM)</t>
  </si>
  <si>
    <t>STC12065</t>
  </si>
  <si>
    <t>03L121111AB (OEM) | 03L121111H (OEM) | 4454.87 (VALCLEI)</t>
  </si>
  <si>
    <t>SCA8052FR</t>
  </si>
  <si>
    <t>BDJ2403 (PERFECT) | JP23017C (GRAZZIMETAL)</t>
  </si>
  <si>
    <t>SWP270</t>
  </si>
  <si>
    <t>SCA8111FR</t>
  </si>
  <si>
    <t>BDJ0306 (PERFECT) | NBJ3031DP (NAKATA)</t>
  </si>
  <si>
    <t>SCA8099FR</t>
  </si>
  <si>
    <t>BANDEJA COMPLETA LD HONDA</t>
  </si>
  <si>
    <t>BDJ0430C (PERFECT)</t>
  </si>
  <si>
    <t>SCC2104</t>
  </si>
  <si>
    <t>SOC9086</t>
  </si>
  <si>
    <t>RESFRIADOR DE ÓLEO CHERY</t>
  </si>
  <si>
    <t>E4T15B-101310 (OEM)</t>
  </si>
  <si>
    <t>SCA8068FL</t>
  </si>
  <si>
    <t>BDJ2029 (PERFECT) | HY9035C (GRAZZIMETAL) | NBJ8003EP (NAKATA)</t>
  </si>
  <si>
    <t>SSC3047</t>
  </si>
  <si>
    <t>SWP054</t>
  </si>
  <si>
    <t>20093 (SCHADEK) | 7000105002 (INDISA) | NKBA06577 (NAKATA) | UB0577 (URBA)</t>
  </si>
  <si>
    <t>FORD / GM / NISSAN / TROLLER</t>
  </si>
  <si>
    <t>SWP265</t>
  </si>
  <si>
    <t>SBS8117</t>
  </si>
  <si>
    <t>583502FA00 (OEM) | 583502KA00 (OEM) | BPSA0090191 (MAZZICAR) | KI362CPA (FRAS-LE)</t>
  </si>
  <si>
    <t>SWP371</t>
  </si>
  <si>
    <t>144B06803R (OEM)</t>
  </si>
  <si>
    <t>STC12053</t>
  </si>
  <si>
    <t>4M5G8575EA (OEM) | 4M5G8575EB (OEM)</t>
  </si>
  <si>
    <t>FORD / LAND ROVER / VOLVO</t>
  </si>
  <si>
    <t>SBC1240</t>
  </si>
  <si>
    <t>C2212 (CONTROIL) | D3BC2004AA (OEM)</t>
  </si>
  <si>
    <t>SWP309</t>
  </si>
  <si>
    <t>SCA8103FL</t>
  </si>
  <si>
    <t>SWP016</t>
  </si>
  <si>
    <t>7000052001 (INDISA) | NKBA139003 (NAKATA) | VKPC4896 (SKF)</t>
  </si>
  <si>
    <t>SWP270H</t>
  </si>
  <si>
    <t>SWP104</t>
  </si>
  <si>
    <t>904520 (INDISA)</t>
  </si>
  <si>
    <t>SBS8126PB</t>
  </si>
  <si>
    <t>58305-2BA00 (OEM) | 58305-3LA00 (OEM) | BPSA0096075 (MAZZICAR)</t>
  </si>
  <si>
    <t>SWC5074L</t>
  </si>
  <si>
    <t>CILINDRO DE RODA LE KIA</t>
  </si>
  <si>
    <t>583301Y000 (OEM) | C3601 (CONTROIL)</t>
  </si>
  <si>
    <t>SBC1260</t>
  </si>
  <si>
    <t>D6010-5EE0B (OEM)</t>
  </si>
  <si>
    <t>SCA8112FL</t>
  </si>
  <si>
    <t>BDJ2195 (PERFECT)</t>
  </si>
  <si>
    <t>SWP226</t>
  </si>
  <si>
    <t>VKPC91826 (SKF)</t>
  </si>
  <si>
    <t>SWP385</t>
  </si>
  <si>
    <t>E4T15B1118050 (OEM)</t>
  </si>
  <si>
    <t>SOC9098</t>
  </si>
  <si>
    <t>F4J16-1013010 (OEM) | F4J16-1013010AB (OEM)</t>
  </si>
  <si>
    <t>SWC5081</t>
  </si>
  <si>
    <t>CILINDRO DE RODA LE/LD JAC</t>
  </si>
  <si>
    <t>S3500L22042-00003</t>
  </si>
  <si>
    <t>SCA8062FL</t>
  </si>
  <si>
    <t>BANDEJA COMPLETA LE MITSUBISHI</t>
  </si>
  <si>
    <t>BDJ2039 (PERFECT) | MT17029C (GRAZZIMETAL) | NBJ9002EP (NAKATA)</t>
  </si>
  <si>
    <t>SCA8062FR</t>
  </si>
  <si>
    <t>BANDEJA COMPLETA LD MITSUBISHI</t>
  </si>
  <si>
    <t>BDJ2038 (PERFECT) | MT17030C (GRAZZIMETAL) | NBJ9002DP (NAKATA)</t>
  </si>
  <si>
    <t>STC12020</t>
  </si>
  <si>
    <t>9808647180 (OEM)</t>
  </si>
  <si>
    <t>SBC1237</t>
  </si>
  <si>
    <t>4625A213 (OEM)</t>
  </si>
  <si>
    <t>SWP294</t>
  </si>
  <si>
    <t>SFC7006</t>
  </si>
  <si>
    <t>POLIA VISCOSA FORD</t>
  </si>
  <si>
    <t>VPV040 (VETOR)</t>
  </si>
  <si>
    <t>SBS8066</t>
  </si>
  <si>
    <t>203111 (SYL) | 2696CP (COBREQ) | BPSA0090200 (MAZZICAR) | FD101CP (FRAS-LE) | HQJ520 (JURID)</t>
  </si>
  <si>
    <t>SWP161A</t>
  </si>
  <si>
    <t>SOC9060</t>
  </si>
  <si>
    <t>2711880401 (OEM)</t>
  </si>
  <si>
    <t>SWC5072</t>
  </si>
  <si>
    <t>43300SAAG01 (OEM) | 7256 (ATE) | C3520 (CONTROIL) | CR3012 (BOSCH) | RCCR03380 (TRW)</t>
  </si>
  <si>
    <t>SCS4005</t>
  </si>
  <si>
    <t>510000110 (LUK) | ZA320631 (FTE)</t>
  </si>
  <si>
    <t>SWP013</t>
  </si>
  <si>
    <t>7000054002 (INDISA)</t>
  </si>
  <si>
    <t>CHRYSLER</t>
  </si>
  <si>
    <t>SOC9043</t>
  </si>
  <si>
    <t>BBDG927A095AD (OEM) | DG937A095 (OEM)</t>
  </si>
  <si>
    <t>SHP11010</t>
  </si>
  <si>
    <t>0261520572 (BOSCH) | 04E127025A (OEM) | 04E127025B (OEM) | 04E127025D (OEM) | 04E127026F (OEM) | 04E127026K (OEM)</t>
  </si>
  <si>
    <t>SOC9082</t>
  </si>
  <si>
    <t>RESFRIADOR DE OLEO GM</t>
  </si>
  <si>
    <t>12640136 (OEM) | 126401869 (OEM) | 12678774 (OEM)</t>
  </si>
  <si>
    <t>SBS8115PB</t>
  </si>
  <si>
    <t>206006 (SYL) | A9064200320 (OEM) | A9104202600 (OEM) | BPSA0090117 (MAZZICAR) | MB516CP (FRAS-LE)</t>
  </si>
  <si>
    <t>SBC1105A</t>
  </si>
  <si>
    <t>58510-1Y920 (OEM)</t>
  </si>
  <si>
    <t>SCA8111FL</t>
  </si>
  <si>
    <t>BDJ0307 (PERFECT) | NBJ3031EP (NAKATA)</t>
  </si>
  <si>
    <t>SWP100</t>
  </si>
  <si>
    <t>7000854502 (INDISA)</t>
  </si>
  <si>
    <t>SWP233</t>
  </si>
  <si>
    <t>7000774500 (INDISA)</t>
  </si>
  <si>
    <t>STC12046</t>
  </si>
  <si>
    <t>9812131480 (OEM)</t>
  </si>
  <si>
    <t>SBC1224</t>
  </si>
  <si>
    <t>0204032603 (BOSCH) | 0986AB8677 (BOSCH) | 472010W030 (OEM)</t>
  </si>
  <si>
    <t>SCA8068FR</t>
  </si>
  <si>
    <t>BDJ2028 (PERFECT) | HY9036C (GRAZZIMETAL) | NBJ8003DP (NAKATA)</t>
  </si>
  <si>
    <t>SCA8069FL</t>
  </si>
  <si>
    <t>BDJ0381 (PERFECT) | BJC04161M (COFAP) | GM2341C (GRAZZIMETAL) | NBJ3026EP (NAKATA)</t>
  </si>
  <si>
    <t>SWP311H</t>
  </si>
  <si>
    <t>SCA8044FR</t>
  </si>
  <si>
    <t>BDJ5228 (PERFECT) | BJC18158M (COFAP) | NBJ6007DP (NAKATA) | RN4000C (GRAZZIMETAL)</t>
  </si>
  <si>
    <t>SWP251</t>
  </si>
  <si>
    <t>758503 (INDISA) | VBD704 (VETORE)</t>
  </si>
  <si>
    <t>SBS8108PB</t>
  </si>
  <si>
    <t>583051MA00 (OEM) | 583501GA00 (OEM) | BPSA0096074 (MAZZICAR)</t>
  </si>
  <si>
    <t>SWC5078L</t>
  </si>
  <si>
    <t>CILINDRO DE RODA LE CITROEN</t>
  </si>
  <si>
    <t>0986475907 (BOSCH) | 4402.E1 (OEM) | 4402.E9 (OEM) | C3524 (CONTROIL)</t>
  </si>
  <si>
    <t>SCA8048FR</t>
  </si>
  <si>
    <t>BDJ0139 (PERFECT) | FI357BC (GRAZZIMETAL) | NBJ4018EP (NAKATA)</t>
  </si>
  <si>
    <t>SCA8099FL</t>
  </si>
  <si>
    <t>BANDEJA COMPLETA LE HONDA</t>
  </si>
  <si>
    <t>BDJ0429C (PERFECT)</t>
  </si>
  <si>
    <t>SWP243</t>
  </si>
  <si>
    <t>LEXUS / TOYOTA</t>
  </si>
  <si>
    <t>SCC2098</t>
  </si>
  <si>
    <t>SWP103A</t>
  </si>
  <si>
    <t>SOC9061</t>
  </si>
  <si>
    <t>31293761 (OEM)</t>
  </si>
  <si>
    <t>SOC9071</t>
  </si>
  <si>
    <t>0995001100 (OEM) | 0995002300 (OEM)</t>
  </si>
  <si>
    <t>SHP11007</t>
  </si>
  <si>
    <t>BOMBA DE ALTA PRESSÃO M BENZ</t>
  </si>
  <si>
    <t>0261520215 (BOSCH) | A2740700401 (OEM) | A2740700501 (OEM)</t>
  </si>
  <si>
    <t>SHP11016</t>
  </si>
  <si>
    <t>BOMBA DE ALTA PRESSÃO HONDA</t>
  </si>
  <si>
    <t>1679059B003 (OEM)</t>
  </si>
  <si>
    <t>SBC1215</t>
  </si>
  <si>
    <t>1K0945459A (OEM)</t>
  </si>
  <si>
    <t>SBC1124NR</t>
  </si>
  <si>
    <t>68263298AA (OEM) | C2245 (CONTROIL)</t>
  </si>
  <si>
    <t>SWP229</t>
  </si>
  <si>
    <t>BOMBA ÁGUA FIAT/IVECO</t>
  </si>
  <si>
    <t>7000354500 (INDISA) | UB0777 (URBA)</t>
  </si>
  <si>
    <t>SWP119</t>
  </si>
  <si>
    <t>BDMI30A (TAKAO) | VLBA0010402 (VILLA FRANCA)</t>
  </si>
  <si>
    <t>SWP110</t>
  </si>
  <si>
    <t>7000354501 (INDISA) | UB0775 (URBA)</t>
  </si>
  <si>
    <t>SOC9044</t>
  </si>
  <si>
    <t>7T4Z6A642A (OEM) | 8A8E6A642AA (OEM)</t>
  </si>
  <si>
    <t>SOC9045</t>
  </si>
  <si>
    <t>6C1Q6B624BA (OEM) | 7C1Q6B624BB (OEM) | LR029928 (OEM)</t>
  </si>
  <si>
    <t>SHP11002</t>
  </si>
  <si>
    <t>0261520147 (BOSCH) | 0261520148 (BOSCH) | 13517584461 (OEM)</t>
  </si>
  <si>
    <t>SOC9080</t>
  </si>
  <si>
    <t>RESFRIADOR DE OLEO MITSUBISHI</t>
  </si>
  <si>
    <t>2920A400 (OEM)</t>
  </si>
  <si>
    <t>SOC9093</t>
  </si>
  <si>
    <t>RESFRIADOR DE ÓLEO TOYOTA</t>
  </si>
  <si>
    <t>15071-0E010 (OEM) | 15071-11010 (OEM)</t>
  </si>
  <si>
    <t>SWC5066R</t>
  </si>
  <si>
    <t>CILINDRO DE RODA LD FORD</t>
  </si>
  <si>
    <t>5L552261AA (OEM) | 6280 (ATE) | C3467 (CONTROIL) | CR2588 (BOSCH) | RCCR00990 (TRW)</t>
  </si>
  <si>
    <t>FORD / MERCEDES-BENZ</t>
  </si>
  <si>
    <t>SCA8087FL</t>
  </si>
  <si>
    <t>BDJ0643 (PERFECT) | RN4097C (GRAZZIMETAL)</t>
  </si>
  <si>
    <t>SWP304</t>
  </si>
  <si>
    <t>SOC9041</t>
  </si>
  <si>
    <t>LR004287 (OEM) | LR006653 (OEM)</t>
  </si>
  <si>
    <t>SOC9065</t>
  </si>
  <si>
    <t>17217593856 (OEM)</t>
  </si>
  <si>
    <t>SWP361</t>
  </si>
  <si>
    <t>BOMBA ÁGUA RAM</t>
  </si>
  <si>
    <t>68445352AA (OEM) | 68569196AA (OEM) | K68445352AA (OEM) | K68569196AA (OEM)</t>
  </si>
  <si>
    <t>RAM</t>
  </si>
  <si>
    <t>SBC1253</t>
  </si>
  <si>
    <t>SWP236</t>
  </si>
  <si>
    <t>BOMBA ÁGUA SSANGYOUNG</t>
  </si>
  <si>
    <t>SSANGYONG</t>
  </si>
  <si>
    <t>SWP345</t>
  </si>
  <si>
    <t>11518678905 (OEM)</t>
  </si>
  <si>
    <t>SCA8069FR</t>
  </si>
  <si>
    <t>BDJ0382 (PERFECT) | BJC04160M (COFAP) | GM2342C (GRAZZIMETAL) | NBJ3026DP (NAKATA)</t>
  </si>
  <si>
    <t>SCA8048FL</t>
  </si>
  <si>
    <t>BDJ0138 (PERFECT) | FI356BC (GRAZZIMETAL) | NBJ4018D (NAKATA)</t>
  </si>
  <si>
    <t>SWP017</t>
  </si>
  <si>
    <t>SWP271</t>
  </si>
  <si>
    <t>UB0179 (URBA)</t>
  </si>
  <si>
    <t>SBC1047</t>
  </si>
  <si>
    <t>STC12068</t>
  </si>
  <si>
    <t>255104A700 (OEM) | 255104A750 (OEM)</t>
  </si>
  <si>
    <t>SBC1222</t>
  </si>
  <si>
    <t>6341 (ATE) | 85TU2140B (OEM) | C2039 (CONTROIL) | RCCD00160 (TRW)</t>
  </si>
  <si>
    <t>SWC5078R</t>
  </si>
  <si>
    <t>CILINDRO DE RODA LD CITROEN</t>
  </si>
  <si>
    <t>0986475908 (BOSCH) | 4402.E2 (OEM) | 4402.E9 (OEM) | C3525 (CONTROIL)</t>
  </si>
  <si>
    <t>SCA8059FR</t>
  </si>
  <si>
    <t>BANDEJA SUPERIOR</t>
  </si>
  <si>
    <t>BDJ3194 (PERFECT) | BJC01844M (COFAP) | FO3194C (GRAZZIMETAL) | NBJ2027DP (NAKATA)</t>
  </si>
  <si>
    <t>SBS8111</t>
  </si>
  <si>
    <t>BG2T2200AA (OEM) | BPSA0090210 (MAZZICAR)</t>
  </si>
  <si>
    <t>SWC5066L</t>
  </si>
  <si>
    <t>CILINDRO DE RODA LE FORD</t>
  </si>
  <si>
    <t>5L552262AA (OEM) | 6281 (ATE) | C3466 (CONTROIL) | CR2587 (BOSCH) | RCCR00980 (TRW)</t>
  </si>
  <si>
    <t>SCA8028FR</t>
  </si>
  <si>
    <t>BDJ2107 (PERFECT) | HY9078C (GRAZZIMETAL) | NBJ9004DP (NAKATA)</t>
  </si>
  <si>
    <t>SBC1196</t>
  </si>
  <si>
    <t>SBC1212</t>
  </si>
  <si>
    <t>0K72A43400A (OEM) | 0K72B43400 (OEM) | C2162 (CONTROIL) | PMZ718 (TRW)</t>
  </si>
  <si>
    <t>SCA8060FR</t>
  </si>
  <si>
    <t>BDJ2400 (PERFECT) | FI346C (GRAZZIMETAL)</t>
  </si>
  <si>
    <t>SBC1070</t>
  </si>
  <si>
    <t>CILINDRO MESTRE DE FREIO EFFA</t>
  </si>
  <si>
    <t>SVP6055</t>
  </si>
  <si>
    <t>GK2Q2A451AD (OEM) | GK2Q2A451AE (OEM)</t>
  </si>
  <si>
    <t>STC12063</t>
  </si>
  <si>
    <t>VÁLVULA TERMOSTÁTICA VOLVO</t>
  </si>
  <si>
    <t>LR006071 (OEM)</t>
  </si>
  <si>
    <t>SWP212</t>
  </si>
  <si>
    <t>7000904511 (INDISA)</t>
  </si>
  <si>
    <t>SOC9066</t>
  </si>
  <si>
    <t>17217600553 (OEM)</t>
  </si>
  <si>
    <t>STC12000</t>
  </si>
  <si>
    <t>11537644811 (OEM)</t>
  </si>
  <si>
    <t>SWC5092</t>
  </si>
  <si>
    <t>1006016 (OEM) | 1104132 (OEM) | 1484750 (OEM) | 547611051A (OEM) | 6014 (ATE) | 72GB2261AA (OEM) | C3412 (CONTROIL) | RCCR01283 (TRW)</t>
  </si>
  <si>
    <t>SCA8087FR</t>
  </si>
  <si>
    <t>BDJ0642 (PERFECT) | RN4098C (GRAZZIMETAL)</t>
  </si>
  <si>
    <t>SWP326</t>
  </si>
  <si>
    <t>114704 (INDISA) | 11518616992 (OEM) | 704125210 (PIERBURG)</t>
  </si>
  <si>
    <t>SWP036</t>
  </si>
  <si>
    <t>20175 (SCHADEK) | 7000702006 (INDISA) | VKPC86206A (SKF)</t>
  </si>
  <si>
    <t>STC12018</t>
  </si>
  <si>
    <t>11437633477 (OEM) | 11537588257 (OEM)</t>
  </si>
  <si>
    <t>STC12031</t>
  </si>
  <si>
    <t>VÁLVULA TERMOSTÁTICA L ROVER</t>
  </si>
  <si>
    <t>JDE40346 (OEM) | LR073694 (OEM) | LR105975 (OEM)</t>
  </si>
  <si>
    <t>STC12035</t>
  </si>
  <si>
    <t>LR073372 (OEM)</t>
  </si>
  <si>
    <t>SBC1232</t>
  </si>
  <si>
    <t>D6010-5JW2A (OEM)</t>
  </si>
  <si>
    <t>SBB13080</t>
  </si>
  <si>
    <t>SERVO FREIO TOYOTA</t>
  </si>
  <si>
    <t>SERVO FREIO</t>
  </si>
  <si>
    <t>44610-09290 (OEM)</t>
  </si>
  <si>
    <t>SBB13084</t>
  </si>
  <si>
    <t>SERVO FREIO CHEVROLET</t>
  </si>
  <si>
    <t>0204032381 (BOSCH) | 0204032382 (BOSCH) | 02040C2062 (BOSCH) | 7908449963821 (OEM) | SF2062 (BOSCH) | SF5610S (BOSCH)</t>
  </si>
  <si>
    <t>SCA8011FR</t>
  </si>
  <si>
    <t>BANDEJA LD CITROEN</t>
  </si>
  <si>
    <t>BDJ0208SP (PERFECT) | BJC55000M (COFAP) | NBJ5004D (NAKATA)</t>
  </si>
  <si>
    <t>SCA8060FL</t>
  </si>
  <si>
    <t>BDJ2401 (PERFECT) | FI347C (GRAZZIMETAL)</t>
  </si>
  <si>
    <t>SBC1006</t>
  </si>
  <si>
    <t>SWP225</t>
  </si>
  <si>
    <t>7000952007 (INDISA)</t>
  </si>
  <si>
    <t>SBS8116PB</t>
  </si>
  <si>
    <t>9064200220 (OEM) | 9064200420 (OEM) | A9064200220 (OEM) | A9064200420 (OEM) | BPSA0090118 (MAZZICAR)</t>
  </si>
  <si>
    <t>SCA8034FR</t>
  </si>
  <si>
    <t>BDJ0734 (PERFECT) | BJC03062M (COFAP) | FI302C (GRAZZIMETAL)</t>
  </si>
  <si>
    <t>SCA8054FR</t>
  </si>
  <si>
    <t>BANDEJA LD TOYOTA</t>
  </si>
  <si>
    <t>BDJ2034 (PERFECT) | BJC22008M (COFAP) | NBJ7002D (NAKATA) | SB8229AD (SAMPEL) | TT14027B (GRAZZIMETAL)</t>
  </si>
  <si>
    <t>SWP137</t>
  </si>
  <si>
    <t>SFC7005</t>
  </si>
  <si>
    <t>POLIA VISCOSA GM</t>
  </si>
  <si>
    <t>VPV047 (VETOR)</t>
  </si>
  <si>
    <t>SBS8011PB</t>
  </si>
  <si>
    <t>58350-3JA00 (OEM) | 58350-4HA00 (OEM) | BPSA0096060 (MAZZICAR)</t>
  </si>
  <si>
    <t>SBS8118</t>
  </si>
  <si>
    <t>3M512200BB (OEM) | BPSA0097370 (MAZZICAR) | FD102CPA (FRAS-LE)</t>
  </si>
  <si>
    <t>SBB13034</t>
  </si>
  <si>
    <t>SERVO FREIO FIAT</t>
  </si>
  <si>
    <t>204032385 (BOSCH) | 6027 (ATE) | 6031 (ATE) | 7081979 (OEM) | 7082042 (OEM) | C5656 (CONTROIL) | SF2622 (BOSCH)</t>
  </si>
  <si>
    <t>SWP188</t>
  </si>
  <si>
    <t>SVP6025</t>
  </si>
  <si>
    <t>BOMBA DE VÁCIO M BENZ</t>
  </si>
  <si>
    <t>SWP373</t>
  </si>
  <si>
    <t>11517643949 (OEM) | 11518605322 (OEM)</t>
  </si>
  <si>
    <t>SCA8028FL</t>
  </si>
  <si>
    <t>BDJ2108 (PERFECT) | HY9079C (GRAZZIMETAL) | NBJ9004EP (NAKATA)</t>
  </si>
  <si>
    <t>SWP171</t>
  </si>
  <si>
    <t>904515 (INDISA)</t>
  </si>
  <si>
    <t>SWP052</t>
  </si>
  <si>
    <t>7000952005 (INDISA) | VKPC83635 (SKF)</t>
  </si>
  <si>
    <t>SVP6044</t>
  </si>
  <si>
    <t>SWP365</t>
  </si>
  <si>
    <t>BOMBA ÁGUA GWM</t>
  </si>
  <si>
    <t>GWM</t>
  </si>
  <si>
    <t>STC12034</t>
  </si>
  <si>
    <t>LR001312 (OEM)</t>
  </si>
  <si>
    <t>SWC5065R</t>
  </si>
  <si>
    <t>2S4611050 (OEM) | 85TU/2261/D (OEM) | C3377 (CONTROIL) | CR2058 (BOSCH) | RCCR01259 (TRW)</t>
  </si>
  <si>
    <t>SCA8063FR</t>
  </si>
  <si>
    <t>BDJ9012 (PERFECT) | FI296C (GRAZZIMETAL)</t>
  </si>
  <si>
    <t>SWP211H</t>
  </si>
  <si>
    <t>BOMBA AGUA KIA</t>
  </si>
  <si>
    <t>KIA / SUZUKI</t>
  </si>
  <si>
    <t>SFC7010</t>
  </si>
  <si>
    <t>VPV053 (VETOR)</t>
  </si>
  <si>
    <t>FORD / MAZDA</t>
  </si>
  <si>
    <t>SBS8076</t>
  </si>
  <si>
    <t>SWP386</t>
  </si>
  <si>
    <t>111100001AA (OEM)</t>
  </si>
  <si>
    <t>SWP026</t>
  </si>
  <si>
    <t>7000752003 (INDISA)</t>
  </si>
  <si>
    <t>SSC3045</t>
  </si>
  <si>
    <t>SWP344</t>
  </si>
  <si>
    <t>06M121012C (OEM) | 06M121013D (OEM)</t>
  </si>
  <si>
    <t>STC12022</t>
  </si>
  <si>
    <t>1336Z6 (OEM) | 9810916980 (OEM)</t>
  </si>
  <si>
    <t>STC12026</t>
  </si>
  <si>
    <t>31293912 (OEM) | 31439968 (OEM) | 31686560 (OEM)</t>
  </si>
  <si>
    <t>SWC5088</t>
  </si>
  <si>
    <t>4402.C6 (OEM) | 4402.E8 (OEM) | 7215 (ATE) | C3505 (CONTROIL) | CR3015 (BOSCH) | RCCR02920 (TRW)</t>
  </si>
  <si>
    <t>SCA8059FL</t>
  </si>
  <si>
    <t>BDJ3195 (PERFECT) | BJC08145M (COFAP) | FO3195C (GRAZZIMETAL) | NBJ2027EP (NAKATA)</t>
  </si>
  <si>
    <t>SCA8063FL</t>
  </si>
  <si>
    <t>BDJ9011 (PERFECT) | FI297C (GRAZZIMETAL) | SB1083EP (SAMPEL)</t>
  </si>
  <si>
    <t>SCA8054FL</t>
  </si>
  <si>
    <t>BANDEJA LE TOYOTA</t>
  </si>
  <si>
    <t>BDJ2035 (PERFECT) | BJC22009M (COFAP) | NBJ7002E (NAKATA) | SB8229AE (SAMPEL) | TT14028B (GRAZZIMETAL)</t>
  </si>
  <si>
    <t>SVP6002</t>
  </si>
  <si>
    <t>724807200 (PIERBURG)</t>
  </si>
  <si>
    <t>STC12033</t>
  </si>
  <si>
    <t>AJ813902 (OEM) | AJ814048 (OEM) | LR107288 (OEM) | LR117568 (OEM)</t>
  </si>
  <si>
    <t>SWC5085</t>
  </si>
  <si>
    <t>0986475039 (OEM) | 357611053B (OEM) | 376611051 (OEM) | 6215 (ATE) | 6U0611053 (OEM) | C3471 (CONTROIL) | CR2905 (BOSCH) | RCCR03300 (TRW)</t>
  </si>
  <si>
    <t>SCA8033FR</t>
  </si>
  <si>
    <t>BANDEJA LD GM</t>
  </si>
  <si>
    <t>BJC04118M (COFAP) | BRA4118 (PERFECT) | GM2150M (GRAZZIMETAL) | NBJ3001D (NAKATA)</t>
  </si>
  <si>
    <t>SWP035</t>
  </si>
  <si>
    <t>116001 (INDISA)</t>
  </si>
  <si>
    <t>HYUNDAI / JAC MOTORS / KIA</t>
  </si>
  <si>
    <t>SCA8091FL</t>
  </si>
  <si>
    <t>BANDEJA COMPLETA LE M BENZ</t>
  </si>
  <si>
    <t>BDJ3001 (PERFECT) | NBJ9013EP (NAKATA)</t>
  </si>
  <si>
    <t>SCA8038FL</t>
  </si>
  <si>
    <t>BDJ2055 (PERFECT) | NBJ7003EP (NAKATA) | TT14033C (GRAZZIMETAL)</t>
  </si>
  <si>
    <t>SCA8088FL</t>
  </si>
  <si>
    <t>BANDEJA COMPLETA LE L ROVER</t>
  </si>
  <si>
    <t>BDJ2701 (PERFECT) | BJC36005M (COFAP) | NBJ9012EP (NAKATA)</t>
  </si>
  <si>
    <t>SCA8088FR</t>
  </si>
  <si>
    <t>BANDEJA COMPLETA LD L ROVER</t>
  </si>
  <si>
    <t>BDJ2700 (PERFECT) | BJC36004M (COFAP) | NBJ9012DP (NAKATA)</t>
  </si>
  <si>
    <t>SCC2053</t>
  </si>
  <si>
    <t>SHP11001</t>
  </si>
  <si>
    <t>0261520149 (BOSCH) | 0261520150 (BOSCH) | 13517607159 (OEM)</t>
  </si>
  <si>
    <t>SBS8134PB</t>
  </si>
  <si>
    <t>52125707 (OEM) | BPSA0096900 (MAZZICAR)</t>
  </si>
  <si>
    <t>SBC1225</t>
  </si>
  <si>
    <t>4601L3 (OEM)</t>
  </si>
  <si>
    <t>SCA8093K</t>
  </si>
  <si>
    <t>KIT BRAÇO OSC DIANT SUP/INF COMPLETO LE/LD M BENZ</t>
  </si>
  <si>
    <t>SCA8095K</t>
  </si>
  <si>
    <t>KIT BRAÇO OSC DIANT SUP/INF COMPLETO LE/LD BMW</t>
  </si>
  <si>
    <t>SCA8097K</t>
  </si>
  <si>
    <t>KIT BRAÇO OSC DIANT INFERIOR COMPLETO LE/LD BMW</t>
  </si>
  <si>
    <t>SCA8030FL</t>
  </si>
  <si>
    <t>540012 (VIEMAR) | BJC08111M (COFAP) | BRA3803 (PERFECT) | FO3137 (GRAZZIMETAL) | NBJ2004EP (NAKATA)</t>
  </si>
  <si>
    <t>SCA8030FR</t>
  </si>
  <si>
    <t>540013 (VIEMAR) | BJC08110M (COFAP) | BRA2803 (PERFECT) | NBJ2004DP (NAKATA)</t>
  </si>
  <si>
    <t>SCA8071FL</t>
  </si>
  <si>
    <t>BDJ9857 (PERFECT) | BJC04123M (COFAP) | GM2275C (GRAZZIMETAL) | NBJ3022EP (NAKATA)</t>
  </si>
  <si>
    <t>SCA8071FR</t>
  </si>
  <si>
    <t>BDJ9856 (PERFECT) | BJC04122M (COFAP) | GM2274C (GRAZZIMETAL) | NBJ3022DP (NAKATA)</t>
  </si>
  <si>
    <t>SFC7000</t>
  </si>
  <si>
    <t>POLIA VISCOSA SUZUKI</t>
  </si>
  <si>
    <t>VPV044 (VETOR)</t>
  </si>
  <si>
    <t>SWC5096</t>
  </si>
  <si>
    <t>58380-2E500 (OEM) | 58380-2E510 (OEM) | C3559 (CONTROIL)</t>
  </si>
  <si>
    <t>SBC1241</t>
  </si>
  <si>
    <t>DGY04340Z (OEM)</t>
  </si>
  <si>
    <t>SBB13137</t>
  </si>
  <si>
    <t>HIDROBOOSTER FORD</t>
  </si>
  <si>
    <t>HIDROBOOSTER</t>
  </si>
  <si>
    <t>1C3Z2005AA (OEM) | 5C7Z2005B (OEM) | 7C3Z2005A (OEM)</t>
  </si>
  <si>
    <t>SCA8074FL</t>
  </si>
  <si>
    <t>BDJ0815 (PERFECT) | BJC01071M (COFAP) | NBJ1012EP (NAKATA) | VW1251C (GRAZZIMETAL)</t>
  </si>
  <si>
    <t>SCA8033FL</t>
  </si>
  <si>
    <t>BANDEJA LE GM</t>
  </si>
  <si>
    <t>BJC04119M (COFAP) | BRA4119 (PERFECT) | GM2151M (GRAZZIMETAL) | NBJ3001E (NAKATA)</t>
  </si>
  <si>
    <t>SCA8107FL</t>
  </si>
  <si>
    <t>BDJ3310 (PERFECT)</t>
  </si>
  <si>
    <t>SWP094</t>
  </si>
  <si>
    <t>20100 (SCHADEK) | 7000354007 (INDISA) | NKBA01780 (NAKATA) | UB0780 (URBA) | VKPC82652 (SKF)</t>
  </si>
  <si>
    <t>SWP196</t>
  </si>
  <si>
    <t>7000404008 (INDISA)</t>
  </si>
  <si>
    <t>MERCEDES-BENZ / SSANGYONG</t>
  </si>
  <si>
    <t>SWC5104</t>
  </si>
  <si>
    <t>4402A3 (OEM) | 9945891 (OEM) | CCR9228 (FORTEC)</t>
  </si>
  <si>
    <t>SBC1221</t>
  </si>
  <si>
    <t>93229039 (OEM)</t>
  </si>
  <si>
    <t>SWC5064L</t>
  </si>
  <si>
    <t>0204072272 (BOSCH) | 0986AB8454 (BOSCH) | 7229 (ATE) | BF8T2261A (OEM) | C3494 (CONTROIL) | RCCR03340 (TRW)</t>
  </si>
  <si>
    <t>SCA8011FL</t>
  </si>
  <si>
    <t>BANDEJA LE CITROEN</t>
  </si>
  <si>
    <t>BDJ0207SP (PERFECT) | BJC55001M (COFAP) | CT6003AB (GRAZZIMETAL) | NKBJ5004E (NAKATA)</t>
  </si>
  <si>
    <t>SCA8091FR</t>
  </si>
  <si>
    <t>BANDEJA COMPLETA LD M BENZ</t>
  </si>
  <si>
    <t>BDJ3000 (PERFECT) | NBJ9013DP (NAKATA)</t>
  </si>
  <si>
    <t>SWP235A</t>
  </si>
  <si>
    <t>854516 (INDISA)</t>
  </si>
  <si>
    <t>SFC7013</t>
  </si>
  <si>
    <t>VPV048 (VETOR)</t>
  </si>
  <si>
    <t>SWP273</t>
  </si>
  <si>
    <t>SWP039</t>
  </si>
  <si>
    <t>PEUGEOT / RENAULT</t>
  </si>
  <si>
    <t>SFC7012</t>
  </si>
  <si>
    <t>POLIA VISCOSA TOYOTA</t>
  </si>
  <si>
    <t>SWP388</t>
  </si>
  <si>
    <t>11518651288 (OEM)</t>
  </si>
  <si>
    <t>SWP391</t>
  </si>
  <si>
    <t>1603224010 (OEM)</t>
  </si>
  <si>
    <t>STC12002</t>
  </si>
  <si>
    <t>11537536655 (OEM) | 11537544788 (OEM) | 11537549476 (OEM)</t>
  </si>
  <si>
    <t>SBC1243</t>
  </si>
  <si>
    <t>C-2179 (CONTROIL) | MB618717 (OEM)</t>
  </si>
  <si>
    <t>SBC1245</t>
  </si>
  <si>
    <t>3256110156 (OEM) | 7679 (ATE)</t>
  </si>
  <si>
    <t>SWC5065L</t>
  </si>
  <si>
    <t>2S4611049 (OEM) | 85TU2262D (OEM) | C3376 (CONTROIL) | CR2057 (BOSCH) | RCCR01240 (TRW)</t>
  </si>
  <si>
    <t>SWP170</t>
  </si>
  <si>
    <t>VLBA0010470 (VILLA FRANCA)</t>
  </si>
  <si>
    <t>SWP106</t>
  </si>
  <si>
    <t>7000852000 (INDISA)</t>
  </si>
  <si>
    <t>CHRYSLER / MITSUBISHI</t>
  </si>
  <si>
    <t>SWP250</t>
  </si>
  <si>
    <t>SOC9081</t>
  </si>
  <si>
    <t>RESFRIADOR DE OLEO HYUNDAI</t>
  </si>
  <si>
    <t>264004A700 (OEM) | 264214A700 (OEM) | 264214A701 (OEM)</t>
  </si>
  <si>
    <t>STC12047</t>
  </si>
  <si>
    <t>9812113780 (OEM)</t>
  </si>
  <si>
    <t>SWC5064R</t>
  </si>
  <si>
    <t>0204072273 (BOSCH) | 0986AB8426 (BOSCH) | 7230 (ATE) | BF8T2261B (OEM) | C3495 (CONTROIL) | RCCR03360 (TRW)</t>
  </si>
  <si>
    <t>SBB13017</t>
  </si>
  <si>
    <t>SERVO FREIO VOLKSWAGEN</t>
  </si>
  <si>
    <t>5X0612105 (OEM) | C5661 (CONTROIL) | RCSF01510 (TRW) | SF2833 (BOSCH)</t>
  </si>
  <si>
    <t>SWP073</t>
  </si>
  <si>
    <t>SWP217</t>
  </si>
  <si>
    <t>SWP089</t>
  </si>
  <si>
    <t>700054505 (INDISA)</t>
  </si>
  <si>
    <t>SWP182</t>
  </si>
  <si>
    <t>20178 (SCHADEK) | 7000702005 (INDISA) | UB0825 (URBA) | VKPC86209A (SKF)</t>
  </si>
  <si>
    <t>SWP223</t>
  </si>
  <si>
    <t>7000854009 (INDISA)</t>
  </si>
  <si>
    <t>SSC3016</t>
  </si>
  <si>
    <t>STC12057</t>
  </si>
  <si>
    <t>1153.92 (VALCLEI) | 24435102 (OEM)</t>
  </si>
  <si>
    <t>SSC3063</t>
  </si>
  <si>
    <t>31470-98001C (OEM) | 6413 (ATE) | C2617 (CONTROIL) | RCCE21731 (TRW)</t>
  </si>
  <si>
    <t>TOYOTA / TROLLER</t>
  </si>
  <si>
    <t>SCA8083FL</t>
  </si>
  <si>
    <t>BDJ0305 (PERFECT)</t>
  </si>
  <si>
    <t>SCA8089FL</t>
  </si>
  <si>
    <t>BRAÇO OSCILANTE DIANT INF COMPLETO LE M BENZ</t>
  </si>
  <si>
    <t>BRA3007 (PERFECT) | NBJ9018EP (NAKATA)</t>
  </si>
  <si>
    <t>SCA8090FL</t>
  </si>
  <si>
    <t>BRA3008 (PERFECT) | NBJ9019EP (NAKATA)</t>
  </si>
  <si>
    <t>SCA8085FL</t>
  </si>
  <si>
    <t>BANDEJA COMPLETA LE JAC</t>
  </si>
  <si>
    <t>BDJ0205 (PERFECT)</t>
  </si>
  <si>
    <t>SWP241</t>
  </si>
  <si>
    <t>SWP202</t>
  </si>
  <si>
    <t>7000752500 (INDISA) | VKPC93614 (SKF)</t>
  </si>
  <si>
    <t>SWP015</t>
  </si>
  <si>
    <t>7000854002 (INDISA)</t>
  </si>
  <si>
    <t>SWC5086</t>
  </si>
  <si>
    <t>CILINDRO DE RODA LE/LD RENAULT - IGUAL SWC5098</t>
  </si>
  <si>
    <t>7701043913 (OEM) | C3526 (CONTROIL) | CR1272 (BOSCH) | RCCR03570 (TRW)</t>
  </si>
  <si>
    <t>SCA8020FL</t>
  </si>
  <si>
    <t>SUPORTE DIANTEIRO LE GM</t>
  </si>
  <si>
    <t>SUPORTE DIANTEIRO</t>
  </si>
  <si>
    <t>BRA2153 (PERFECT) | GM2153A (GRAZZIMETAL) | NBJ3010E (NAKATA) | STC04127M (COFAP)</t>
  </si>
  <si>
    <t>SCA8020FR</t>
  </si>
  <si>
    <t>SUPORTE DIANTEIRO LD GM</t>
  </si>
  <si>
    <t>BRA2152 (PERFECT) | GM2152A (GRAZZIMETAL) | NBJ3010D (NAKATA) | STC04126M (COFAP)</t>
  </si>
  <si>
    <t>SCA8075FL</t>
  </si>
  <si>
    <t>BDJ0425 (PERFECT) | HD13063C (GRAZZIMETAL)</t>
  </si>
  <si>
    <t>SCA8075FR</t>
  </si>
  <si>
    <t>BDJ0426 (PERFECT) | HD13062C (GRAZZIMETAL)</t>
  </si>
  <si>
    <t>SWP260</t>
  </si>
  <si>
    <t>702851200 (PIERBURG)</t>
  </si>
  <si>
    <t>SCA8106FR</t>
  </si>
  <si>
    <t>BDJ3313 (PERFECT) | NBJ6018EP (NAKATA)</t>
  </si>
  <si>
    <t>SWP197</t>
  </si>
  <si>
    <t>7000404004 (INDISA)</t>
  </si>
  <si>
    <t>SFC7004</t>
  </si>
  <si>
    <t>POLIA VISCOSA MERCEDES-BENZ</t>
  </si>
  <si>
    <t>VPV007 (VETOR)</t>
  </si>
  <si>
    <t>SBS8105PB</t>
  </si>
  <si>
    <t>SAPATA DE FREIO JEEP</t>
  </si>
  <si>
    <t>4560176AA (OEM) | BPSA0090223 (MAZZICAR)</t>
  </si>
  <si>
    <t>SWP382</t>
  </si>
  <si>
    <t>0PC121005 (OEM) | 0PC121005A (OEM) | 9A210605001 (OEM) | 9A210605002 (OEM) | 9A210605003 (OEM)</t>
  </si>
  <si>
    <t>SCC2123</t>
  </si>
  <si>
    <t>6418 (ATE) | C2606 (CONTROIL) | RCCE00690 (TRW)</t>
  </si>
  <si>
    <t>SCA8034FL</t>
  </si>
  <si>
    <t>BDJ0735 (PERFECT) | BJC03061M (COFAP) | FI301C (GRAZZIMETAL)</t>
  </si>
  <si>
    <t>SCA8053FL</t>
  </si>
  <si>
    <t>BDJ0238 (PERFECT) | FO3247C (GRAZZIMETAL) | NBJ2016EP (NAKATA)</t>
  </si>
  <si>
    <t>SCA8081FL</t>
  </si>
  <si>
    <t>BDJ9863 (PERFECT) | BJC01058M (COFAP) | NBJ1015E (NAKATA) | VW1239B (GRAZZIMETAL)</t>
  </si>
  <si>
    <t>SCA8081FR</t>
  </si>
  <si>
    <t>BCJ01059M (COFAP) | BDJ9864 (PERFECT) | NBJ1015D (NAKATA) | VW1238B (GRAZZIMETAL)</t>
  </si>
  <si>
    <t>SCA8113FR</t>
  </si>
  <si>
    <t>SFC7018</t>
  </si>
  <si>
    <t>POLIA VISCOSA COM HÉLICE</t>
  </si>
  <si>
    <t>SFC7016</t>
  </si>
  <si>
    <t>POLIA VISCOSA MITSUBISHI</t>
  </si>
  <si>
    <t>VPV055 (VETOR)</t>
  </si>
  <si>
    <t>SWP306</t>
  </si>
  <si>
    <t>SVP6049</t>
  </si>
  <si>
    <t>AJ811465 (OEM) | AJ813786 (OEM) | C2Z28245 (OEM) | C2Z29984 (OEM) | LR010690 (OEM) | LR048796 (OEM) | LR060475 (OEM) | LR082226 (OEM)</t>
  </si>
  <si>
    <t>SBS8119PB</t>
  </si>
  <si>
    <t>SAPATA DE FREIO LAND ROVER</t>
  </si>
  <si>
    <t>BPSA0090827 (MAZZICAR) | LR021877 (OEM) | LR025151 (OEM)</t>
  </si>
  <si>
    <t>STC12060</t>
  </si>
  <si>
    <t>1221.92AL (VALCLEI) | 96984103 (OEM)</t>
  </si>
  <si>
    <t>SBB13002</t>
  </si>
  <si>
    <t>897001582 (OEM) | C5683 (CONTROIL)</t>
  </si>
  <si>
    <t>SCA8079FR</t>
  </si>
  <si>
    <t>BJC8072 (COFAP) | FO3023AH (GRAZZIMETAL) | NBJ2001DP (NAKATA)</t>
  </si>
  <si>
    <t>SCA8066FL</t>
  </si>
  <si>
    <t>BDJ1057 (PERFECT) | NBJ6012EP (NAKATA) | NS21007C (GRAZZIMETAL) | SB8329EP (SAMPEL)</t>
  </si>
  <si>
    <t>SCA8066FR</t>
  </si>
  <si>
    <t>BDJ1056 (PERFECT) | NBJ6012DP (NAKATA) | NS21006C (GRAZZIMETAL) | SB8329DP (SAMPEL)</t>
  </si>
  <si>
    <t>SWP206</t>
  </si>
  <si>
    <t>7000854501 (INDISA)</t>
  </si>
  <si>
    <t>STC12027</t>
  </si>
  <si>
    <t>31293767 (OEM) | 31474800 (OEM) | 31686046 (OEM)</t>
  </si>
  <si>
    <t>SBS8106PB</t>
  </si>
  <si>
    <t>SAPATA DE FREIO DODGE RAM</t>
  </si>
  <si>
    <t>5179334AA (OEM) | 5179334AB (OEM) | 5C3Z2648AA (OEM) | 68049116AA (OEM) | 8C3Z2648A (OEM) | BPSA0090182 (MAZZICAR)</t>
  </si>
  <si>
    <t>SSC3053</t>
  </si>
  <si>
    <t>CILINDRO AUXILIAR DE EMBREAGEM MERCEDES BENZ</t>
  </si>
  <si>
    <t>0022951407 (OEM) | KN28031B1 (FTE)</t>
  </si>
  <si>
    <t>SCA8008FL</t>
  </si>
  <si>
    <t>BANDEJA COMPLETA LE EFFA</t>
  </si>
  <si>
    <t>CH38001C (GRAZZIMETAL)</t>
  </si>
  <si>
    <t>SCA8053FR</t>
  </si>
  <si>
    <t>BDJ0237 (PERFECT) | FO3248C (GRAZZIMETAL) | NBJ2016DP (NAKATA)</t>
  </si>
  <si>
    <t>SCA8108FR</t>
  </si>
  <si>
    <t>BANDEJA COMPLETA LD VOLVO</t>
  </si>
  <si>
    <t>SWP251A</t>
  </si>
  <si>
    <t>758509 (INDISA)                          VKPC4927 (SKF)</t>
  </si>
  <si>
    <t>SWP002</t>
  </si>
  <si>
    <t>20089 (SCHADEK) | 452001 (INDISA) | NKBA07630 (NAKATA) | UB0630 (URBA) | VKPC81210A (SKF)</t>
  </si>
  <si>
    <t>SWP174</t>
  </si>
  <si>
    <t>7000204503 (INDISA)</t>
  </si>
  <si>
    <t>SWP228</t>
  </si>
  <si>
    <t>7000454502 (INDISA)</t>
  </si>
  <si>
    <t>SWP258</t>
  </si>
  <si>
    <t>SVP6056</t>
  </si>
  <si>
    <t>14650-4KV0A (OEM)</t>
  </si>
  <si>
    <t>SCA8083FR</t>
  </si>
  <si>
    <t>BDJ0304 (PERFECT)</t>
  </si>
  <si>
    <t>SCA8089FR</t>
  </si>
  <si>
    <t>BRAÇO OSCILANTE DIANT INF COMPLETO LD M BENZ</t>
  </si>
  <si>
    <t>BRA3006 (PERFECT) | NBJ9018DP (NAKATA)</t>
  </si>
  <si>
    <t>SCA8013FL</t>
  </si>
  <si>
    <t>CT6223 (GRAZZIMETAL)</t>
  </si>
  <si>
    <t>SCA8085FR</t>
  </si>
  <si>
    <t>BANDEJA COMPLETA LD JAC</t>
  </si>
  <si>
    <t>BDJ0206 (PERFECT)</t>
  </si>
  <si>
    <t>SCA8102FL</t>
  </si>
  <si>
    <t>BDJ0439 (PERFECT)</t>
  </si>
  <si>
    <t>SCS4015</t>
  </si>
  <si>
    <t>ATUADOR DE EMBREAGEM SUZUKI</t>
  </si>
  <si>
    <t>ZA34023A1 (FTE)</t>
  </si>
  <si>
    <t>SWP022</t>
  </si>
  <si>
    <t>7000752507 (INDISA) | UB0616 (URBA)</t>
  </si>
  <si>
    <t>SWP211</t>
  </si>
  <si>
    <t>7000004500 (INDISA)</t>
  </si>
  <si>
    <t>SFC7019</t>
  </si>
  <si>
    <t>VPV038 (VETOR)</t>
  </si>
  <si>
    <t>SBS8128PB</t>
  </si>
  <si>
    <t>43154SFEJ02 (OEM) | BPSA0091248 (MAZZICAR) | HO503CP (FRAS-LE)</t>
  </si>
  <si>
    <t>SWC5087</t>
  </si>
  <si>
    <t>204116504 (BOSCH) | 6296 (ATE) | 72GB2261CA (OEM) | 91AB2261AA (OEM) | C3462 (CONTROIL) | RCCR01920 (TRW) | YS4Z2261AA (OEM)</t>
  </si>
  <si>
    <t>SCA8045FL</t>
  </si>
  <si>
    <t>BDJ2033 (PERFECT) | HD13027C (GRAZZIMETAL) | NBJ7006EP (NAKATA) | SB8317EP (SAMPEL)</t>
  </si>
  <si>
    <t>SCA8013FR</t>
  </si>
  <si>
    <t>CT6222 (GRAZZIMETAL)</t>
  </si>
  <si>
    <t>SCA8017FL</t>
  </si>
  <si>
    <t>CY36019C (GRAZZIMETAL)</t>
  </si>
  <si>
    <t>SCA8017FR</t>
  </si>
  <si>
    <t>CY36020C (GRAZZIMETAL)</t>
  </si>
  <si>
    <t>SWP337</t>
  </si>
  <si>
    <t>SWP086</t>
  </si>
  <si>
    <t>7000054001 (INDISA)</t>
  </si>
  <si>
    <t>SWP241H</t>
  </si>
  <si>
    <t>SWP278</t>
  </si>
  <si>
    <t>BOMBA AGUA FORD</t>
  </si>
  <si>
    <t>204013 (INDISA) | VKPC84626 (SKF)</t>
  </si>
  <si>
    <t>FORD / JAGUAR / MAZDA</t>
  </si>
  <si>
    <t>SFC7007</t>
  </si>
  <si>
    <t>VPV041 (VETOR)</t>
  </si>
  <si>
    <t>STC12013</t>
  </si>
  <si>
    <t>2642001501 (OEM) | 2642003901 (OEM)</t>
  </si>
  <si>
    <t>STC12043</t>
  </si>
  <si>
    <t>8200790911 (OEM) | 8200978542 (OEM)</t>
  </si>
  <si>
    <t>SWC5069L</t>
  </si>
  <si>
    <t>BD2Y2062A (OEM) | C3307 (CONTROIL) | CR6078 (BOSCH)</t>
  </si>
  <si>
    <t>AGRALE / FORD</t>
  </si>
  <si>
    <t>SWP166</t>
  </si>
  <si>
    <t>SCA8079FL</t>
  </si>
  <si>
    <t>BDJ9853 (PERFECT) | FO3024AH (GRAZZIMETAL) | NBJ2001EP (NAKATA)</t>
  </si>
  <si>
    <t>SCA8014FL</t>
  </si>
  <si>
    <t>CY36007C (GRAZZIMETAL)</t>
  </si>
  <si>
    <t>SCA8065FR</t>
  </si>
  <si>
    <t>BDJ0136 (PERFECT) | FI356C (GRAZZIMETAL)</t>
  </si>
  <si>
    <t>SCA8078FL</t>
  </si>
  <si>
    <t>BDJ0265 (PERFECT)</t>
  </si>
  <si>
    <t>SWP070H</t>
  </si>
  <si>
    <t>BOMBA AGUA VW</t>
  </si>
  <si>
    <t>SCA8107FR</t>
  </si>
  <si>
    <t>BDJ3311 (PERFECT)</t>
  </si>
  <si>
    <t>SFC7017</t>
  </si>
  <si>
    <t>SVP6018A</t>
  </si>
  <si>
    <t>STC12036</t>
  </si>
  <si>
    <t>VÁLVULA TERMOSTÁTICA AUDI</t>
  </si>
  <si>
    <t>06M121115G (OEM) | 06M121115H (OEM) | 06M121115J (OEM)</t>
  </si>
  <si>
    <t>STC12038</t>
  </si>
  <si>
    <t>VÁLVULA TERMOSTÁTICA PORSCHE</t>
  </si>
  <si>
    <t>94810603401 (OEM)</t>
  </si>
  <si>
    <t>STC12039</t>
  </si>
  <si>
    <t>03H121113A (OEM) | 03H121113B (OEM) | 95810612600 (OEM)</t>
  </si>
  <si>
    <t>SBS8123</t>
  </si>
  <si>
    <t>201700 (SYL) | 2640CPA (COBREQ) | 93260021 (OEM) | BPSA0090167 (MAZZICAR) | CB132CPA (FRAS-LE) | HQJ517A (JURID)</t>
  </si>
  <si>
    <t>SBC1223</t>
  </si>
  <si>
    <t>58510-2S201 (OEM) | 7642 (ATE)</t>
  </si>
  <si>
    <t>SCA8074FR</t>
  </si>
  <si>
    <t>BDJ0816 (PERFECT) | BJC01070M (COFAP) | NBJ1012DP (NAKATA) | VW1250C (GRAZZIMETAL)</t>
  </si>
  <si>
    <t>SCA8002FR</t>
  </si>
  <si>
    <t>BANDEJA COMPLETA LD KIA</t>
  </si>
  <si>
    <t>AK8056C (GRAZZIMETAL) | BDJ2508 (PERFECT)</t>
  </si>
  <si>
    <t>SCA8014FR</t>
  </si>
  <si>
    <t>CY36008C (GRAZZIMETAL)</t>
  </si>
  <si>
    <t>SCA8065FL</t>
  </si>
  <si>
    <t>BDJ0137 (PERFECT) | FI357C (GRAZZIMETAL)</t>
  </si>
  <si>
    <t>SWP113</t>
  </si>
  <si>
    <t>7000804001 (INDISA) | VKPC9602 (SKF)</t>
  </si>
  <si>
    <t>STC12016</t>
  </si>
  <si>
    <t>2822030175 (OEM)</t>
  </si>
  <si>
    <t>SOC9089</t>
  </si>
  <si>
    <t>5318533 (OEM)</t>
  </si>
  <si>
    <t>SOC9095</t>
  </si>
  <si>
    <t>2130500Q0B (OEM) | 213055917R (OEM)</t>
  </si>
  <si>
    <t>SCC2118</t>
  </si>
  <si>
    <t>6412 (ATE) | C2608 (CONTROIL) | RCCE00149 (TRW) | T00721405 (OEM)</t>
  </si>
  <si>
    <t>SCA8002FL</t>
  </si>
  <si>
    <t>BANDEJA COMPLETA LE KIA</t>
  </si>
  <si>
    <t>AK8055C (GRAZZIMETAL) | BDJ2507 (PERFECT)</t>
  </si>
  <si>
    <t>SCA8090FR</t>
  </si>
  <si>
    <t>BRA3008 (PERFECT) | NBJ9019DP (NAKATA)</t>
  </si>
  <si>
    <t>SCA8055FL</t>
  </si>
  <si>
    <t>BDJ0869 (PERFECT) | VW1253C (GRAZZIMETAL)</t>
  </si>
  <si>
    <t>SCA8106FL</t>
  </si>
  <si>
    <t>BDJ3312 (PERFECT) | NBJ6018DP (NAKATA)</t>
  </si>
  <si>
    <t>SWP040</t>
  </si>
  <si>
    <t>7000114000 (INDISA)</t>
  </si>
  <si>
    <t>STC12021</t>
  </si>
  <si>
    <t>1336CC (OEM) | 9808647080 (OEM)</t>
  </si>
  <si>
    <t>SBC1249</t>
  </si>
  <si>
    <t>2116110112 (OEM) | 6344 (ATE) | C2017 (CONTROIL) | RCCM27778 (TRW)</t>
  </si>
  <si>
    <t>SCA8082FL</t>
  </si>
  <si>
    <t>BDJ0375 (PERFECT) | BJC04149M (COFAP) | GM2302C (GRAZZIMETAL)</t>
  </si>
  <si>
    <t>SCA8001FL</t>
  </si>
  <si>
    <t>AK8037C (GRAZZIMETAL) | BDJ2509 (PERFECT)</t>
  </si>
  <si>
    <t>SCA8038FR</t>
  </si>
  <si>
    <t>BDJ2054 (PERFECT) | NBJ7003DP (NAKATA) | TT14032C (GRAZZIMETAL)</t>
  </si>
  <si>
    <t>SCA8055FR</t>
  </si>
  <si>
    <t>BDJ0868 (PERFECT) | VW1252C (GRAZZIMETAL)</t>
  </si>
  <si>
    <t>SCA8102FR</t>
  </si>
  <si>
    <t>BDJ0438 (PERFECT)</t>
  </si>
  <si>
    <t>SCA8113FL</t>
  </si>
  <si>
    <t>SWP333</t>
  </si>
  <si>
    <t>454709 (INDISA) | 5G0965567A (OEM) | UB0656 (URBA)</t>
  </si>
  <si>
    <t>SWP295</t>
  </si>
  <si>
    <t>SVP6047</t>
  </si>
  <si>
    <t>BOMBA DE VÁCUO VOLVO</t>
  </si>
  <si>
    <t>31219778 (OEM) | 31401152 (OEM) | LR002573 (OEM) | LR009388 (OEM)</t>
  </si>
  <si>
    <t>STC12048</t>
  </si>
  <si>
    <t>03C121026M (OEM) | 03C121110AA (OEM) | 03C121110J (OEM)</t>
  </si>
  <si>
    <t>AUDI</t>
  </si>
  <si>
    <t>SBS8125PB</t>
  </si>
  <si>
    <t>4833A-34010 (OEM) | 583052PA00 (OEM) | BPSA0096061 (MAZZICAR)</t>
  </si>
  <si>
    <t>SOC9087</t>
  </si>
  <si>
    <t>21305-EB300 (OEM) | 21305-EB305 (OEM)</t>
  </si>
  <si>
    <t>SBC1256</t>
  </si>
  <si>
    <t>7075444 (OEM) | 7077696 (OEM) | 71739127 (OEM) | C2035 (CONTROIL) | CM2594S (BOSCH)</t>
  </si>
  <si>
    <t>SCA8045FR</t>
  </si>
  <si>
    <t>BDJ2032 (PERFECT) | HD13026C (GRAZZIMETAL) | NBJ7006DP (NAKATA)</t>
  </si>
  <si>
    <t>SCA8082FR</t>
  </si>
  <si>
    <t>BDJ0374 (PERFECT) | BJC04150M (COFAP) | GM2303C (GRAZZIMETAL)</t>
  </si>
  <si>
    <t>SCA8032FR</t>
  </si>
  <si>
    <t>BDJ0241 (PERFECT) | FO3249C (GRAZZIMETAL) | NBJ2023EP (NAKATA)</t>
  </si>
  <si>
    <t>SWP219</t>
  </si>
  <si>
    <t>7000204013 (INDISA)</t>
  </si>
  <si>
    <t>SWP332</t>
  </si>
  <si>
    <t>5Q0965567 (OEM)</t>
  </si>
  <si>
    <t>SWP249</t>
  </si>
  <si>
    <t>BOMBA ÁGUA SMART</t>
  </si>
  <si>
    <t>SMART</t>
  </si>
  <si>
    <t>SVP6045</t>
  </si>
  <si>
    <t>06E145100AA (OEM) | 06E145100K (OEM) | 06E145100M (OEM) | 06E145100R (OEM) | 724807750 (PIERBURG)</t>
  </si>
  <si>
    <t>STC12003</t>
  </si>
  <si>
    <t>11537642854 (OEM)</t>
  </si>
  <si>
    <t>STC12032</t>
  </si>
  <si>
    <t>02JDE40345 (OEM) | G4D38575AF (OEM) | JDE38476 (OEM) | JDE40345 (OEM) | LR105974 (OEM)</t>
  </si>
  <si>
    <t>SBC1242</t>
  </si>
  <si>
    <t>DGY14340Z (OEM)</t>
  </si>
  <si>
    <t>SVP6037</t>
  </si>
  <si>
    <t>SCA8001FR</t>
  </si>
  <si>
    <t>AK8037C (GRAZZIMETAL) | BDJ2510 (PERFECT)</t>
  </si>
  <si>
    <t>SCA8005FR</t>
  </si>
  <si>
    <t>BDJ2129 (PERFECT) | HY9095C (GRAZZIMETAL) | SB8171EP (SAMPEL)</t>
  </si>
  <si>
    <t>SCA8009FR</t>
  </si>
  <si>
    <t>BDJ2018 (PERFECT)</t>
  </si>
  <si>
    <t>SCA8078FR</t>
  </si>
  <si>
    <t>BDJ0264 (PERFECT)</t>
  </si>
  <si>
    <t>SWP181</t>
  </si>
  <si>
    <t>VLBA0330551 (VILLA FRANCA)</t>
  </si>
  <si>
    <t>SWP093</t>
  </si>
  <si>
    <t>SFC7008</t>
  </si>
  <si>
    <t>POLIA VISCOSA GM/FORD</t>
  </si>
  <si>
    <t>VPV006 (VETOR)</t>
  </si>
  <si>
    <t>SFC7015</t>
  </si>
  <si>
    <t>VPV010 (VETOR)</t>
  </si>
  <si>
    <t>SWP378</t>
  </si>
  <si>
    <t>BOMBA ÁGUA L ROVER</t>
  </si>
  <si>
    <t>LR121418 (OEM) | T4A41037 (OEM)</t>
  </si>
  <si>
    <t>SBS8129PB</t>
  </si>
  <si>
    <t>201601 (SYL) | 44060W020P (OEM) | 4800A082 (OEM) | BPSA0097462 (MAZZICAR) | T11-3502170 (OEM)</t>
  </si>
  <si>
    <t>CHERY / MITSUBISHI / TOYOTA</t>
  </si>
  <si>
    <t>SWC5098</t>
  </si>
  <si>
    <t>CILINDRO DE RODA LE/LD RENAULT - IGUAL SWC5086</t>
  </si>
  <si>
    <t>SWP124</t>
  </si>
  <si>
    <t>20145 (SCHADEK) | 252008 (INDISA) | NKBA03162 (NAKATA) | UB0162 (URBA) | VKPC4602 (SKF)</t>
  </si>
  <si>
    <t>SWP277</t>
  </si>
  <si>
    <t>BOMBA AGUA SUZUKI</t>
  </si>
  <si>
    <t>804000 (INDISA)</t>
  </si>
  <si>
    <t>SWP195</t>
  </si>
  <si>
    <t>7000004000 (INDISA)</t>
  </si>
  <si>
    <t>SBC1236</t>
  </si>
  <si>
    <t>68038556AA (OEM) | 68100294AA (OEM) | 68100365AA (OEM)</t>
  </si>
  <si>
    <t>SWP290</t>
  </si>
  <si>
    <t>054504 (INDISA)</t>
  </si>
  <si>
    <t>SWP021</t>
  </si>
  <si>
    <t>7000904502 (INDISA)</t>
  </si>
  <si>
    <t>SVP6051</t>
  </si>
  <si>
    <t>703799050 (PIERBURG) | BK3Q2A451FA (OEM) | BK3Q2A451FB (OEM) | BK3Q2A451FC (OEM)</t>
  </si>
  <si>
    <t>SWP387</t>
  </si>
  <si>
    <t>LR039070 (OEM) | T4N8150 (OEM)</t>
  </si>
  <si>
    <t>SCA8046FR</t>
  </si>
  <si>
    <t>BDJ7166 (PERFECT) | BJC39018M (COFAP) | MT17038C (GRAZZIMETAL) | NBJ9001DP (NAKATA)</t>
  </si>
  <si>
    <t>SWP325</t>
  </si>
  <si>
    <t>114705 (INDISA) | 11517629916 (OEM) | 704077340 (PIERBURG)</t>
  </si>
  <si>
    <t>SWP328</t>
  </si>
  <si>
    <t>2118350364 (OEM)</t>
  </si>
  <si>
    <t>SWP115</t>
  </si>
  <si>
    <t>SWP121</t>
  </si>
  <si>
    <t>BDK25A (TAKAO) | VLBA0010554 (VILLA FRANCA)</t>
  </si>
  <si>
    <t>SWP112</t>
  </si>
  <si>
    <t>7000804500 (INDISA)</t>
  </si>
  <si>
    <t>SWP025</t>
  </si>
  <si>
    <t>7000854003 (INDISA)</t>
  </si>
  <si>
    <t>SFC7011</t>
  </si>
  <si>
    <t>VPV019 (VETOR)</t>
  </si>
  <si>
    <t>SWP184</t>
  </si>
  <si>
    <t>7000204505 (INDISA)</t>
  </si>
  <si>
    <t>SVP6048</t>
  </si>
  <si>
    <t>BOMOBA DE VÁCUO VOLVO</t>
  </si>
  <si>
    <t>31316143 (OEM) | 31480558 (OEM)</t>
  </si>
  <si>
    <t>SWP389</t>
  </si>
  <si>
    <t>11518651287 (OEM)</t>
  </si>
  <si>
    <t>SCA8046FL</t>
  </si>
  <si>
    <t>BDJ7167 (PERFECT) | BJC39019M (COFAP) | MT17037C (GRAZZIMETAL) | NBJ9001EP (NAKATA)</t>
  </si>
  <si>
    <t>SCA8005FL</t>
  </si>
  <si>
    <t>BDJ2128 (PERFECT) | HY9094C (GRAZZIMETAL) | SB8171DP (SAMPEL)</t>
  </si>
  <si>
    <t>SCA8077FR</t>
  </si>
  <si>
    <t>BDJ3100 (PERFECT) | MT17058C (GRAZZIMETAL) | NBJ9008DP (NAKATA) | SB8382DP (SAMPEL)</t>
  </si>
  <si>
    <t>SCA8109FR</t>
  </si>
  <si>
    <t>BDJ0786 (PERFECT)</t>
  </si>
  <si>
    <t>SWP236H</t>
  </si>
  <si>
    <t>SWP048</t>
  </si>
  <si>
    <t>SCS4024</t>
  </si>
  <si>
    <t>510007419 (LUK) | RCTB00080 (TRW) | ZA3105532 (FTE)</t>
  </si>
  <si>
    <t>SWP381</t>
  </si>
  <si>
    <t>LR125488 (OEM)</t>
  </si>
  <si>
    <t>SWC5100</t>
  </si>
  <si>
    <t>24322017213 (ATE) | 986475927 (BOSCH) | C3539 (CONTROIL)</t>
  </si>
  <si>
    <t>SWC5056R</t>
  </si>
  <si>
    <t>6272 (ATE) | 94606707 (OEM) | C3362 (CONTROIL) | CR7924 (BOSCH) | RCCR00856 (TRW)</t>
  </si>
  <si>
    <t>SWC5075</t>
  </si>
  <si>
    <t>0986475877 (BOSCH) | 47550-35210 (OEM) | BWL203 (TRW) | C3517 (CONTROIL)</t>
  </si>
  <si>
    <t>SBB13012</t>
  </si>
  <si>
    <t>6442 (ATE) | 94632228 (OEM) | C5621 (CONTROIL) | RCSF00060 (TRW) | SF3646 (BOSCH)</t>
  </si>
  <si>
    <t>AGRALE / GM</t>
  </si>
  <si>
    <t>SBB13030</t>
  </si>
  <si>
    <t>51934114 (OEM) | C5678 (CONTROIL)</t>
  </si>
  <si>
    <t>SCA8077FL</t>
  </si>
  <si>
    <t>BDJ3101 (PERFECT) | MT17059C (GRAZZIMETAL) | NBJ9008EP (NAKATA) | SB8382EP (SAMPEL)</t>
  </si>
  <si>
    <t>SSC3058</t>
  </si>
  <si>
    <t>31470-30221 (OEM) | 31470-30222 (OEM) | C2676 (CONTROIL)</t>
  </si>
  <si>
    <t>SBC1251</t>
  </si>
  <si>
    <t>204123373 (BOSCH) | 4601.H9 (OEM) | 6070 (ATE) | C2171 (CONTROIL)</t>
  </si>
  <si>
    <t>SBB13001</t>
  </si>
  <si>
    <t>52019450 (OEM) | C5677 (CONTROIL)</t>
  </si>
  <si>
    <t>SCA8016FR</t>
  </si>
  <si>
    <t>CY36014C (GRAZZIMETAL)</t>
  </si>
  <si>
    <t>SCA8039FL</t>
  </si>
  <si>
    <t>BDJ2121 (PERFECT) | GM2283C (GRAZZIMETAL)</t>
  </si>
  <si>
    <t>SWP173</t>
  </si>
  <si>
    <t>52000 (INDISA)</t>
  </si>
  <si>
    <t>SWP215</t>
  </si>
  <si>
    <t>7000904501 (INDISA)</t>
  </si>
  <si>
    <t>SWP235</t>
  </si>
  <si>
    <t>SBS8042PB</t>
  </si>
  <si>
    <t>SAPATA DE FREIO MERCEDES BENZ</t>
  </si>
  <si>
    <t>0442008620 (OEM) | A0044208620 (OEM) | BPSA0090120 (MAZZICAR)</t>
  </si>
  <si>
    <t>SWC5102</t>
  </si>
  <si>
    <t>311611067/1 (OEM) | C3583 (CONTROIL) | RCCR23457 (TRW)</t>
  </si>
  <si>
    <t>SBC1220</t>
  </si>
  <si>
    <t>CILINDRO MESTRE DE FREIO DODGE RAM</t>
  </si>
  <si>
    <t>5179892AA (OEM)</t>
  </si>
  <si>
    <t>SCA8008FR</t>
  </si>
  <si>
    <t>BANDEJA COMPLETA LD EFFA</t>
  </si>
  <si>
    <t>CH38000C (GRAZZIMETAL)</t>
  </si>
  <si>
    <t>SCA8056FLR</t>
  </si>
  <si>
    <t>BDJ7151 (PERFECT) | BJC01038M (COFAP) | NBJ1009 (NAKATA) | SB4893A (SAMPEL) | VW1146 (GRAZZIMETAL)</t>
  </si>
  <si>
    <t>SCA8098K</t>
  </si>
  <si>
    <t>KIT BRAÇO OSC DIANT INF COMPLETO LE/LD M BENZ</t>
  </si>
  <si>
    <t>SWP231H</t>
  </si>
  <si>
    <t>SWP084</t>
  </si>
  <si>
    <t>7000452004 (INDISA)</t>
  </si>
  <si>
    <t>SWP038</t>
  </si>
  <si>
    <t>7000952502 (INDISA)</t>
  </si>
  <si>
    <t>CITROEN / PEUGEOT / RENAULT</t>
  </si>
  <si>
    <t>SBS8124PB</t>
  </si>
  <si>
    <t>BPSA0090198 (MAZZICAR)</t>
  </si>
  <si>
    <t>SBB13000</t>
  </si>
  <si>
    <t>SERVO FREIO FORD</t>
  </si>
  <si>
    <t>1035528 (OEM) | 97KB2005AA (OEM) | 97KB2005AB (OEM) | 97KB2005AE (OEM) | 97KU2005AA (OEM) | 97KU2005AB (OEM) | C5638 (CONTROIL) | RCSF00970 (TRW)</t>
  </si>
  <si>
    <t>SCA8061FR</t>
  </si>
  <si>
    <t>BDJ0234 (PERFECT) | NBJ6005DP (NAKATA) | NS21020C (GRAZZIMETAL)</t>
  </si>
  <si>
    <t>SCA8004FL</t>
  </si>
  <si>
    <t>AK8065C (GRAZZIMETAL)</t>
  </si>
  <si>
    <t>SWP231</t>
  </si>
  <si>
    <t>SWP078</t>
  </si>
  <si>
    <t>20036 (SCHADEK) | 252003 (INDISA) | NKBA03152 (NAKATA) | UB0152 (URBA) | VKPC85409A (SKF)</t>
  </si>
  <si>
    <t>SWP127</t>
  </si>
  <si>
    <t>20075 (SCHADEK) | 7000654000 (INDISA) | UB0845 (URBA) | VKPC4587 (SKF)</t>
  </si>
  <si>
    <t>SWP369</t>
  </si>
  <si>
    <t>A0005001386 (OEM) | A0005002686 (OEM)</t>
  </si>
  <si>
    <t>SCC2113</t>
  </si>
  <si>
    <t>5110155190 (LUK) | 55196183 (OEM) | VKCH4917 (SKF)</t>
  </si>
  <si>
    <t>SWC5056L</t>
  </si>
  <si>
    <t>6273 (ATE) | 94606708 (OEM) | C3363 (CONTROIL) | CR7925 (BOSCH) | RCCR00864 (TRW)</t>
  </si>
  <si>
    <t>SWC5058R</t>
  </si>
  <si>
    <t>6266 (ATE) | 93215634 (OEM) | C3442 (CONTROIL) | CR2916 (BOSCH) | RCCR02090 (TRW)</t>
  </si>
  <si>
    <t>SCC2120</t>
  </si>
  <si>
    <t>CILINDRO MESTRE DE EMBREAGEM MERCEDES BENZ</t>
  </si>
  <si>
    <t>6932957006 (OEM) | 7613 (ATE) | C2655 (CONTROIL) | RCCE00710 (TRW)</t>
  </si>
  <si>
    <t>SBB13031</t>
  </si>
  <si>
    <t>SERVO FREIO RENAULT</t>
  </si>
  <si>
    <t>472103385R (OEM) | C5687 (CONTROIL)</t>
  </si>
  <si>
    <t>SWP050</t>
  </si>
  <si>
    <t>20109 (SCHADEK) | 7000952000 (INDISA) | VKPC83615A (SKF)</t>
  </si>
  <si>
    <t>SWP186</t>
  </si>
  <si>
    <t>7000752504 (INDISA) | VKPC93604 (SKF)</t>
  </si>
  <si>
    <t>SCS4008</t>
  </si>
  <si>
    <t>ZA3106631 (FTE)</t>
  </si>
  <si>
    <t>SWP046</t>
  </si>
  <si>
    <t>7000452505 (INDISA)</t>
  </si>
  <si>
    <t>SWP116</t>
  </si>
  <si>
    <t>VLBA0000835 (VILLA FRANCA)</t>
  </si>
  <si>
    <t>SBS8122PB</t>
  </si>
  <si>
    <t>SAPATA DE FREIO PORSCHE</t>
  </si>
  <si>
    <t>7P0698525 (OEM) | 95835292500 (OEM) | BPSA0091232 (MAZZICAR)</t>
  </si>
  <si>
    <t>SWP377</t>
  </si>
  <si>
    <t>A2642000100 (OEM) | A2642000301 (OEM)</t>
  </si>
  <si>
    <t>SWP380</t>
  </si>
  <si>
    <t>BOMBA ÁGUA BYD</t>
  </si>
  <si>
    <t>SA3HE1307100 (OEM)</t>
  </si>
  <si>
    <t>SBS8114</t>
  </si>
  <si>
    <t>BPSA0097360 (MAZZICAR) | BV612200AC (OEM) | BV612200BB (OEM) | FD433CPA (FRAS-LE)</t>
  </si>
  <si>
    <t>SCC2109</t>
  </si>
  <si>
    <t>0012959106 (OEM) | 2100220 (VALEO) | 6283600580 (SACHS) | A0012959106 (OEM) | KG2000108 (FTE) | RCCE01130 (TRW) | VKCH4924 (SKF)</t>
  </si>
  <si>
    <t>SBB13070</t>
  </si>
  <si>
    <t>6202 (ATE) | 7081966 (OEM) | C5649 (CONTROIL)</t>
  </si>
  <si>
    <t>SCA8004FR</t>
  </si>
  <si>
    <t>AK8064C (GRAZZIMETAL)</t>
  </si>
  <si>
    <t>SCA8016FL</t>
  </si>
  <si>
    <t>CY36013C (GRAZZIMETAL)</t>
  </si>
  <si>
    <t>SCA8039FR</t>
  </si>
  <si>
    <t>BDJ2120 (PERFECT) | GM2282C (GRAZZIMETAL)</t>
  </si>
  <si>
    <t>SCA8006FR</t>
  </si>
  <si>
    <t>BDJ2504 (PERFECT)</t>
  </si>
  <si>
    <t>SCA8032FL</t>
  </si>
  <si>
    <t>SCA8050FR</t>
  </si>
  <si>
    <t>BDJ7950 (PERFECT) | HD13016C (GRAZZIMETAL) | NBJ7005DP (NAKATA) | SB8231DP (SAMPEL)</t>
  </si>
  <si>
    <t>SCA8108FL</t>
  </si>
  <si>
    <t>BANDEJA COMPLETA LE VOLVO</t>
  </si>
  <si>
    <t>SWP159</t>
  </si>
  <si>
    <t>7000054502 (INDISA)</t>
  </si>
  <si>
    <t>SOC9084</t>
  </si>
  <si>
    <t>RESFRIADOR DE ÓLEO AUDI</t>
  </si>
  <si>
    <t>0BH317019 (OEM)</t>
  </si>
  <si>
    <t>SBC1250</t>
  </si>
  <si>
    <t>C2013 (CONTROIL) | RCCD00120 (TRW)</t>
  </si>
  <si>
    <t>SBB13018</t>
  </si>
  <si>
    <t>204032347 (BOSCH) | 5558 (ATE) | 5764 (ATE) | 7074724 (OEM) | 7075450 (OEM) | C5613 (CONTROIL)</t>
  </si>
  <si>
    <t>SBB13032</t>
  </si>
  <si>
    <t>472104244R (OEM)</t>
  </si>
  <si>
    <t>SBB13061</t>
  </si>
  <si>
    <t>6029 (ATE) | 6033 (ATE) | 6365 (ATE) | 7082044 (OEM) | C5657 (CONTROIL)</t>
  </si>
  <si>
    <t>SCA8109FL</t>
  </si>
  <si>
    <t>BDJ0785 (PERFECT)</t>
  </si>
  <si>
    <t>SWP118</t>
  </si>
  <si>
    <t>BOMBA ÁGUA CUMMINS</t>
  </si>
  <si>
    <t>20080 (SCHADEK) | 7000452002 (INDISA) | NKBA10731 (NAKATA) | UB0731 (URBA) | VKPC4697 (SKF)</t>
  </si>
  <si>
    <t>SCS4004</t>
  </si>
  <si>
    <t>SWP161</t>
  </si>
  <si>
    <t>SCS4022</t>
  </si>
  <si>
    <t>ZA3105531 (FTE)</t>
  </si>
  <si>
    <t>SFC7003</t>
  </si>
  <si>
    <t>POLIA VISCOSA GM/SUZUKI</t>
  </si>
  <si>
    <t>VPV042 (VETOR)</t>
  </si>
  <si>
    <t>STC12009</t>
  </si>
  <si>
    <t>A2762000015 (OEM) | A2762000115 (OEM) | A2762000515 (OEM)</t>
  </si>
  <si>
    <t>STC12037</t>
  </si>
  <si>
    <t>0P2121115 (OEM) | 0P2121115A (OEM) | 0P2121115B (OEM)</t>
  </si>
  <si>
    <t>SBC1234</t>
  </si>
  <si>
    <t>558102 (OEM)</t>
  </si>
  <si>
    <t>SWC5058L</t>
  </si>
  <si>
    <t>6267 (ATE) | 93215633 (OEM) | C3441 (CONTROIL) | CR2915 (BOSCH) | RCCR02080 (TRW)</t>
  </si>
  <si>
    <t>SBB13021</t>
  </si>
  <si>
    <t>6433 (ATE) | 89EU2055AA (OEM) | BE1M2005B (OEM) | BF0E2005A (OEM) | C5601 (CONTROIL) | RCSF00180 (TRW)</t>
  </si>
  <si>
    <t>SBB13049</t>
  </si>
  <si>
    <t>5Z1612105N (OEM) | 5Z1614105H (OEM) | C5675 (CONTROIL)</t>
  </si>
  <si>
    <t>SCA8094K</t>
  </si>
  <si>
    <t>KIT BRAÇO OSC DIANT SUP/INF COMPLETO LE/LD AUDI</t>
  </si>
  <si>
    <t>SCA8006FL</t>
  </si>
  <si>
    <t>BDJ2505 (PERFECT)</t>
  </si>
  <si>
    <t>SWP272</t>
  </si>
  <si>
    <t>SWP276</t>
  </si>
  <si>
    <t>804502 (INDISA)</t>
  </si>
  <si>
    <t>STC12017</t>
  </si>
  <si>
    <t>A2742000715 (OEM) | A2742003400 (OEM)</t>
  </si>
  <si>
    <t>SOC9088</t>
  </si>
  <si>
    <t>RESFRIADOR DE ÓLEO MITSUBISHI</t>
  </si>
  <si>
    <t>2920A141 (OEM) | 68025160AA (OEM)</t>
  </si>
  <si>
    <t>SHP11022</t>
  </si>
  <si>
    <t>12633115 (OEM) | 706032520 (PIERBURG) | GI1023 (GAUSS)</t>
  </si>
  <si>
    <t>SCA8015FR</t>
  </si>
  <si>
    <t>BDJ0634 (PERFECT)</t>
  </si>
  <si>
    <t>CHERY / LIFAN</t>
  </si>
  <si>
    <t>SCA8043FR</t>
  </si>
  <si>
    <t>BDJ2058 (PERFECT) | NBJ1007E (NAKATA) | VW1222B (GRAZZIMETAL)</t>
  </si>
  <si>
    <t>SCA8067FR</t>
  </si>
  <si>
    <t>BDJ1014 (PERFECT) | NBJ6004DP (NAKATA) | NS21014C (GRAZZIMETAL) | SB8329ADP (SAMPEL)</t>
  </si>
  <si>
    <t>SWP083</t>
  </si>
  <si>
    <t>SFC7002</t>
  </si>
  <si>
    <t>VPV054 (VETOR)</t>
  </si>
  <si>
    <t>SWP260A</t>
  </si>
  <si>
    <t>SCC2117</t>
  </si>
  <si>
    <t>CILINDRO MESTRE DE EMBREAGEM IVECO</t>
  </si>
  <si>
    <t>2100231 (VALEO) | KG310601 (FTE) | RCCE001180 (TRW)</t>
  </si>
  <si>
    <t>SBB13048</t>
  </si>
  <si>
    <t>377612103H (OEM) | 377612103K (OEM) | C5658 (CONTROIL) | SF2613 (BOSCH) | SF5399S (BOSCH)</t>
  </si>
  <si>
    <t>SWP072</t>
  </si>
  <si>
    <t>SCA8061FL</t>
  </si>
  <si>
    <t>BDJ0233 (PERFECT) | NBJ6005EP (NAKATA) | NS21019C (GRAZZIMETAL)</t>
  </si>
  <si>
    <t>SCA8003FR</t>
  </si>
  <si>
    <t>AK8062C (GRAZZIMETAL) | BDJ2500 (PERFECT)</t>
  </si>
  <si>
    <t>SCA8050FL</t>
  </si>
  <si>
    <t>BDJ7951 (PERFECT) | HD13017C (GRAZZIMETAL) | NBJ7005EP (NAKATA) | SB8231EP (SAMPEL)</t>
  </si>
  <si>
    <t>SCA8067FL</t>
  </si>
  <si>
    <t>BDJ1013 (PERFECT) | NBJ6004EP (NAKATA) | NS21013C (GRAZZIMETAL) | SB8329AEP (SAMPEL)</t>
  </si>
  <si>
    <t>SWP042</t>
  </si>
  <si>
    <t>7000454004 (INDISA) | VKPC8161 (SKF)</t>
  </si>
  <si>
    <t>SBC1015</t>
  </si>
  <si>
    <t>SWP376</t>
  </si>
  <si>
    <t>DS7E8C419CA (OEM) | DS7E8C419CB (OEM) | DS7Z8C419B (OEM) | DS7Z8C419D (OEM)</t>
  </si>
  <si>
    <t>SWP383</t>
  </si>
  <si>
    <t>0PB121005A (OEM) | 0PB121005C (OEM) | 0PB121005E (OEM) | 9A210604902 (OEM)</t>
  </si>
  <si>
    <t>SBC1239</t>
  </si>
  <si>
    <t>6M512140BB (OEM) | 6M512140BC (OEM) | C2185 (CONTROIL)</t>
  </si>
  <si>
    <t>SHP11020</t>
  </si>
  <si>
    <t>12641740 (OEM) | GI1022 (GAUSS)</t>
  </si>
  <si>
    <t>SBB13046</t>
  </si>
  <si>
    <t>93289378 (OEM) | C5641 (CONTROIL) | NKF10041 (NAKATA)</t>
  </si>
  <si>
    <t>SBB13060</t>
  </si>
  <si>
    <t>204125733 (BOSCH) | 7701205741 (OEM) | C5662 (CONTROIL) | SF2621 (BOSCH)</t>
  </si>
  <si>
    <t>SWP041</t>
  </si>
  <si>
    <t>20176 (SCHADEK) | 7000704001 (INDISA) | NKBA09813 (NAKATA) | UB0813 (URBA) | VKPC86413A (SKF)</t>
  </si>
  <si>
    <t>RENAULT / SUZUKI / VOLVO</t>
  </si>
  <si>
    <t>SCA8003FL</t>
  </si>
  <si>
    <t>AK8063C (GRAZZIMETAL) | BDJ2501 (PERFECT)</t>
  </si>
  <si>
    <t>SCA8015FL</t>
  </si>
  <si>
    <t>BDJ0635 (PERFECT)</t>
  </si>
  <si>
    <t>SCA8092FL</t>
  </si>
  <si>
    <t>BDJ3901 (PERFECT)</t>
  </si>
  <si>
    <t>SCA8096K</t>
  </si>
  <si>
    <t>SCA8009FL</t>
  </si>
  <si>
    <t>BDJ2019 (PERFECT)</t>
  </si>
  <si>
    <t>SWP009</t>
  </si>
  <si>
    <t>7000254011 (INDISA)</t>
  </si>
  <si>
    <t>SWP067</t>
  </si>
  <si>
    <t>20102 (SCHADEK) | 204009 (INDISA) | NKBA02947 (NAKATA) | UB0947 (URBA) | VKPC84419A (SKF)</t>
  </si>
  <si>
    <t>SWP330</t>
  </si>
  <si>
    <t>06H965561 (OEM) | 454703 (INDISA) | 702074900 (PIERBURG)</t>
  </si>
  <si>
    <t>SWP374</t>
  </si>
  <si>
    <t>11517566335 (OEM)</t>
  </si>
  <si>
    <t>SBS8097PB</t>
  </si>
  <si>
    <t>0054203620 (OEM) | 2124200120 (OEM) | A0054203620 (OEM) | A2124200120 (OEM) | BPSA0090125 (MAZZICAR)</t>
  </si>
  <si>
    <t>SBB13015</t>
  </si>
  <si>
    <t>93354199 (OEM) | C5668 (CONTROIL) | RCSF01550 (TRW)</t>
  </si>
  <si>
    <t>SBB13033</t>
  </si>
  <si>
    <t>SERVO FREIO PEUGEOT</t>
  </si>
  <si>
    <t>204125605 (BOSCH) | 4535J2 (OEM) | 6065 (ATE) | C5664 (CONTROIL)</t>
  </si>
  <si>
    <t>SBB13042</t>
  </si>
  <si>
    <t>93332849 (OEM) | C5666 (CONTROIL) | RCSF00260 (TRW)</t>
  </si>
  <si>
    <t>SBB13052</t>
  </si>
  <si>
    <t>2N152005DA (OEM) | 2S652005AA (OEM) | 6162 (ATE) | 6164 (ATE) | C5667 (CONTROIL)</t>
  </si>
  <si>
    <t>SBB13069</t>
  </si>
  <si>
    <t>3056120513 (OEM) | 5258 (ATE) | 5847 (ATE) | C5600 (CONTROIL) | NKF10000 (NAKATA) | RCSF00018 (TRW) | RCSF00170 (TRW) | SF9170 (BOSCH)</t>
  </si>
  <si>
    <t>SBB13146</t>
  </si>
  <si>
    <t>472100453R (OEM) | 472109102R (OEM)</t>
  </si>
  <si>
    <t>SCA8041FL</t>
  </si>
  <si>
    <t>BDJ2093 (PERFECT) | GM2093GG (GRAZZIMETAL) | NBJ3027EP (NAKATA)</t>
  </si>
  <si>
    <t>SCA8092FR</t>
  </si>
  <si>
    <t>BDJ3900 (PERFECT)</t>
  </si>
  <si>
    <t>SWP192</t>
  </si>
  <si>
    <t>SBC1062</t>
  </si>
  <si>
    <t>CILINDRO MESTRE DE FREIO CHRYSLER</t>
  </si>
  <si>
    <t>SWP191</t>
  </si>
  <si>
    <t>7000114503 (INDISA)</t>
  </si>
  <si>
    <t>SSC3015</t>
  </si>
  <si>
    <t>SWP348</t>
  </si>
  <si>
    <t>5269784 (OEM) | 5269897 (OEM) | 5333148 (OEM)</t>
  </si>
  <si>
    <t>SWP368</t>
  </si>
  <si>
    <t>0P2121014C (OEM) | 0P2121014D (OEM) | 0P2121014E (OEM) | 9A712101402 (OEM) | 9A7712101403 (OEM)</t>
  </si>
  <si>
    <t>STC12010</t>
  </si>
  <si>
    <t>A2762000315 (OEM)</t>
  </si>
  <si>
    <t>SOC9097</t>
  </si>
  <si>
    <t>RESFRIADOR DE ÓLEO FIAT</t>
  </si>
  <si>
    <t>9823532380 (OEM)</t>
  </si>
  <si>
    <t>SBB13008</t>
  </si>
  <si>
    <t>52256123 (OEM) | 52286809 (OEM) | 6436 (ATE) | C5614 (CONTROIL) | NKF10014 (NAKATA) | RCSF00611 (TRW) | SF3956 (BOSCH)</t>
  </si>
  <si>
    <t>SBB13045</t>
  </si>
  <si>
    <t>94766503 (OEM) | C5681 (CONTROIL)</t>
  </si>
  <si>
    <t>SCA8043FL</t>
  </si>
  <si>
    <t>BDJ2059 (PERFECT) | NBJ1007EP (NAKATA) | VW1223B (GRAZZIMETAL)</t>
  </si>
  <si>
    <t>SCA8000FR</t>
  </si>
  <si>
    <t>BANDEJA COMPLETA LD AUDI</t>
  </si>
  <si>
    <t>AD12014C (GRAZZIMETAL)</t>
  </si>
  <si>
    <t>SCA8057FL</t>
  </si>
  <si>
    <t>BDJ9869 (PERFECT) | RN4071C (GRAZZIMETAL)</t>
  </si>
  <si>
    <t>SWP322</t>
  </si>
  <si>
    <t>SVP6050</t>
  </si>
  <si>
    <t>11667625260 (OEM) | 704625030 (PIERBURG)</t>
  </si>
  <si>
    <t>SBS8127</t>
  </si>
  <si>
    <t>204605 (SYL) | 58305-44A60 (OEM) | 58305-4FA01 (OEM) | BPSA0096087 (MAZZICAR) | HY338CP (FRAS-LE)</t>
  </si>
  <si>
    <t>SOC9094</t>
  </si>
  <si>
    <t>11427508967 (OEM)</t>
  </si>
  <si>
    <t>SHP11028</t>
  </si>
  <si>
    <t>BOMBA DE ALTA PRESSÃO VW</t>
  </si>
  <si>
    <t>06A127026A (OEM) | 06A127026B (OEM) | 06A127026D (OEM) | 06K127028C (OEM) | 06K127028E (OEM) | 06K127028F (OEM) | GI1033 (GAUSS)</t>
  </si>
  <si>
    <t>SBB13013</t>
  </si>
  <si>
    <t>7893049567138 (OEM) | C5671 (CONTROIL)</t>
  </si>
  <si>
    <t>SWP064</t>
  </si>
  <si>
    <t>7000204006 (INDISA) | UB0951 (URBA) | VKPC84407 (SKF)</t>
  </si>
  <si>
    <t>SWP095</t>
  </si>
  <si>
    <t>7000758506 (INDISA)</t>
  </si>
  <si>
    <t>SCA8058FR</t>
  </si>
  <si>
    <t>BDJ7170 (PERFECT)</t>
  </si>
  <si>
    <t>SCA8000FL</t>
  </si>
  <si>
    <t>BANDEJA COMPLETA LE AUDI</t>
  </si>
  <si>
    <t>AD12015C (GRAZZIMETAL)</t>
  </si>
  <si>
    <t>SCA8057FR</t>
  </si>
  <si>
    <t>BDJ9870 (PERFECT) | RN4072C (GRAZZIMETAL)</t>
  </si>
  <si>
    <t>SWP175</t>
  </si>
  <si>
    <t>7000204504 (INDISA)</t>
  </si>
  <si>
    <t>SWP347</t>
  </si>
  <si>
    <t>BOMBA ÁGUA DAF</t>
  </si>
  <si>
    <t>1912939 (OEM) | 1912939R (OEM)</t>
  </si>
  <si>
    <t>DAF</t>
  </si>
  <si>
    <t>SWP390</t>
  </si>
  <si>
    <t>1603225010 (OEM) | 16032F0010 (OEM)</t>
  </si>
  <si>
    <t>STC12008</t>
  </si>
  <si>
    <t>11537601158 (OEM)</t>
  </si>
  <si>
    <t>SBC1228</t>
  </si>
  <si>
    <t>CILINDTO MESTRE DE FREIO AUDI</t>
  </si>
  <si>
    <t>6R6111019A (OEM)</t>
  </si>
  <si>
    <t>SWC5076</t>
  </si>
  <si>
    <t>47550-26110 (OEM) | 47550-35200 (OEM) | 6264 (ATE) | C3483 (CONTROIL) | CR3003 (BOSCH) | RCCR02000 (TRW)</t>
  </si>
  <si>
    <t>SSC3061</t>
  </si>
  <si>
    <t>6408 (ATE) | C2612 (CONTROIL) | RCCE00157 (TRW) | T11721261 (OEM)</t>
  </si>
  <si>
    <t>SFC7024</t>
  </si>
  <si>
    <t>52123271 (OEM) | VPV063 (VETOR)</t>
  </si>
  <si>
    <t>SBB13011</t>
  </si>
  <si>
    <t>2252624 (OEM) | 2253417 (OEM) | 94622158 (OEM) | C5602 (CONTROIL) | SF3417 (BOSCH)</t>
  </si>
  <si>
    <t>SBB13016</t>
  </si>
  <si>
    <t>5868 (ATE) | 7078632 (OEM) | C5651 (CONTROIL)</t>
  </si>
  <si>
    <t>SBB13050</t>
  </si>
  <si>
    <t>6440 (ATE) | 9300514 (OEM) | C5618 (CONTROIL) | NKF10018 (NAKATA) | SF3245 (BOSCH)</t>
  </si>
  <si>
    <t>SBB13082</t>
  </si>
  <si>
    <t>SERVO FREIO MITSUBISHI</t>
  </si>
  <si>
    <t>MR449474 (OEM)</t>
  </si>
  <si>
    <t>SBB13143</t>
  </si>
  <si>
    <t>SERVO FREIO MERCEDES BENZ</t>
  </si>
  <si>
    <t>9064301408 (OEM) | A9064301408 (OEM) | A9064301408Q9 (OEM)</t>
  </si>
  <si>
    <t>SCA8007RLR</t>
  </si>
  <si>
    <t>BANDEJA TRASEIRA LE/LD KIA</t>
  </si>
  <si>
    <t>BANDEJA TRASEIRA</t>
  </si>
  <si>
    <t>AK8087 (GRAZZIMETAL)</t>
  </si>
  <si>
    <t>SCA8037FR</t>
  </si>
  <si>
    <t>BDJ2118 (PERFECT) | GM2118CP (GRAZZIMETAL) | NBJ3015DP (NAKATA)</t>
  </si>
  <si>
    <t>SWP176</t>
  </si>
  <si>
    <t>7000604002 (INDISA)</t>
  </si>
  <si>
    <t>RENAULT / VOLVO</t>
  </si>
  <si>
    <t>SVP6053</t>
  </si>
  <si>
    <t>11667622380 (OEM) | 702551180 (PIERBURG)</t>
  </si>
  <si>
    <t>SVP6054</t>
  </si>
  <si>
    <t>11667558344 (OEM) | 724807330 (PIERBURG)</t>
  </si>
  <si>
    <t>BMW / BYD</t>
  </si>
  <si>
    <t>SSC3057</t>
  </si>
  <si>
    <t>RCCE00033 (TRW)</t>
  </si>
  <si>
    <t>SWC5057L</t>
  </si>
  <si>
    <t>6289 (ATE) | 94606705 (OEM) | C3444 (CONTROIL) | CR7798 (BOSCH) | RCCR01420 (TRW)</t>
  </si>
  <si>
    <t>SSC3051</t>
  </si>
  <si>
    <t>CILINDRO AUXILIA DE EMBREAGEM FORD</t>
  </si>
  <si>
    <t>2SL721261 (OEM) | 6401 (ATE) | C2613 (CONTROIL) | RCCE00470 (TRW)</t>
  </si>
  <si>
    <t>SCC2115</t>
  </si>
  <si>
    <t>2SL721261 (OEM) | 6423 (ATE) | C-2629 (CONTROIL) | RCCE00500 (TRW)</t>
  </si>
  <si>
    <t>SSC3066</t>
  </si>
  <si>
    <t>3082957006 (OEM) | 6405 (ATE) | C2600 (CONTROIL) | RCCE00041 (TRW)</t>
  </si>
  <si>
    <t>SHP11026</t>
  </si>
  <si>
    <t>0261520339 (BOSCH) | 04E127026N (OEM) | GI1016 (GAUSS)</t>
  </si>
  <si>
    <t>SBB13037</t>
  </si>
  <si>
    <t>6938 (ATE) | 6S652005AB (OEM) | C5680 (CONTROIL)</t>
  </si>
  <si>
    <t>SBB13039</t>
  </si>
  <si>
    <t>6443 (ATE) | 96FB2005EF (OEM) | 97FU2005AA (OEM) | 97FU2005AB (OEM) | 986485129 (BOSCH) | C5635 (CONTROIL) | RCSF00960 (TRW)</t>
  </si>
  <si>
    <t>SCA8058FL</t>
  </si>
  <si>
    <t>BDJ7171 (PERFECT)</t>
  </si>
  <si>
    <t>SCA8080FL</t>
  </si>
  <si>
    <t>BDJ2110 (PERFECT) | HY9049C (GRAZZIMETAL) | NBJ9006EP (NAKATA)</t>
  </si>
  <si>
    <t>SCA8080FR</t>
  </si>
  <si>
    <t>BDJ2109 (PERFECT) | HY9050C (GRAZZIMETAL) | NBJ9006DP (NAKATA)</t>
  </si>
  <si>
    <t>SWP327</t>
  </si>
  <si>
    <t>114701 (INDISA) | 64116951549 (OEM) | 702078390 (PIERBURG)</t>
  </si>
  <si>
    <t>SWP207</t>
  </si>
  <si>
    <t>7000354013 (INDISA) | UB0773 (URBA)</t>
  </si>
  <si>
    <t>SWC5067L</t>
  </si>
  <si>
    <t>2SH611049 (OEM) | C3337 (CONTROIL) | CR2387 (BOSCH)</t>
  </si>
  <si>
    <t>SWC5068L</t>
  </si>
  <si>
    <t>SHP11021</t>
  </si>
  <si>
    <t>0261520203 (BOSCH) | A1330700001 (OEM)</t>
  </si>
  <si>
    <t>SBB13020</t>
  </si>
  <si>
    <t>SERVO FREIO HONDA</t>
  </si>
  <si>
    <t>01469SAAG50 (OEM) | C5679 (CONTROIL)</t>
  </si>
  <si>
    <t>SBB13044</t>
  </si>
  <si>
    <t>4535T3 (OEM) | 4535T4 (OEM) | 6069 (ATE) | C5670 (CONTROIL)</t>
  </si>
  <si>
    <t>SBB13059</t>
  </si>
  <si>
    <t>5694 (ATE) | 7077141 (OEM) | 7077392 (OEM) | 7078822 (OEM) | C5629 (CONTROIL) | NKF10029 (NAKATA) | SF2608 (BOSCH) | SF5261 (BOSCH)</t>
  </si>
  <si>
    <t>SBB13139</t>
  </si>
  <si>
    <t>MR370642 (OEM)</t>
  </si>
  <si>
    <t>SBB13142</t>
  </si>
  <si>
    <t>SERVO FREIO HYUNDAI</t>
  </si>
  <si>
    <t>586104F010 (OEM)</t>
  </si>
  <si>
    <t>SCA8084FL</t>
  </si>
  <si>
    <t>BJC10013M (COFAP) | HD13077B (GRAZZIMETAL) | NBJ7010E (NAKATA) | SB8341E (SAMPEL)</t>
  </si>
  <si>
    <t>SWP250H</t>
  </si>
  <si>
    <t>SWP375</t>
  </si>
  <si>
    <t>4H0965567 (OEM) | 4H0965567A (OEM) | 4H0965569 (OEM) | 4H0965569A (OEM)</t>
  </si>
  <si>
    <t>SHP11027</t>
  </si>
  <si>
    <t>06F127025L (OEM) | GI1027 (GAUSS) | HFS853102 (HITACHI)</t>
  </si>
  <si>
    <t>SHP11029</t>
  </si>
  <si>
    <t>0261520257 (BOSCH) | 13517642466 (OEM)</t>
  </si>
  <si>
    <t>SBB13006</t>
  </si>
  <si>
    <t>C5665 (CONTROIL) | SF2623 (BOSCH)</t>
  </si>
  <si>
    <t>SBB13026</t>
  </si>
  <si>
    <t>C5663 (CONTROIL) | MB618976 (OEM)</t>
  </si>
  <si>
    <t>SBB13035</t>
  </si>
  <si>
    <t>3492871 (OEM) | C5642 (CONTROIL)</t>
  </si>
  <si>
    <t>SBB13040</t>
  </si>
  <si>
    <t>204125153 (BOSCH) | 7701204854 (OEM) | 7701204857 (OEM) | 7702217954 (OEM) | C5655 (CONTROIL)</t>
  </si>
  <si>
    <t>SBB13147</t>
  </si>
  <si>
    <t>7701208175 (OEM) | 8200883919 (OEM)</t>
  </si>
  <si>
    <t>SCA8084FR</t>
  </si>
  <si>
    <t>BJC10012M (COFAP) | HD13078B (GRAZZIMETAL) | NBJ7010D (NAKATA) | SB8341D (SAMPEL)</t>
  </si>
  <si>
    <t>SBS8121PB</t>
  </si>
  <si>
    <t>34411156962 (OEM) | 34411165962 (OEM) | 7L6698525 (OEM) | BPSA0091230 (MAZZICAR)</t>
  </si>
  <si>
    <t>SWP352</t>
  </si>
  <si>
    <t>20217 (SCHADEK) | 500350785T (OEM) | 758501 (INDISA) | 98479675 (OEM) | 99445447 (OEM) | UB0212 (URBA) | VBD703 (VETORE)</t>
  </si>
  <si>
    <t>SWC5068R</t>
  </si>
  <si>
    <t>85TU2261A (OEM) | C3306 (CONTROIL) | CR9792 (BOSCH) | RCCR01940 (TRW)</t>
  </si>
  <si>
    <t>SBB13041</t>
  </si>
  <si>
    <t>5957 (ATE) | 93289336 (OEM) | C5646 (CONTROIL)</t>
  </si>
  <si>
    <t>SBB13057</t>
  </si>
  <si>
    <t>93288930 (OEM) | 93364004 (OEM) | C5660 (CONTROIL) | RCSF00230 (TRW)</t>
  </si>
  <si>
    <t>SBB13068</t>
  </si>
  <si>
    <t>52256133 (OEM) | 52286810 (OEM) | 6437 (ATE) | C5610 (CONTROIL) | NKF10010 (NAKATA) | RCSF00621 (TRW) | SF3950 (BOSCH)</t>
  </si>
  <si>
    <t>SBB13125</t>
  </si>
  <si>
    <t>6949 (ATE) | 94757697 (OEM)</t>
  </si>
  <si>
    <t>SBB13145</t>
  </si>
  <si>
    <t>0004311827 (OEM) | A0004311827 (OEM) | A0014300008 (OEM) | A0014300308 (OEM)</t>
  </si>
  <si>
    <t>SCA8041FR</t>
  </si>
  <si>
    <t>BDJ2094 (PERFECT) | GM2094GG (GRAZZIMETAL)</t>
  </si>
  <si>
    <t>SWP096</t>
  </si>
  <si>
    <t>SWP272A</t>
  </si>
  <si>
    <t>BOMBA ÁGUA FORD MUSTANG</t>
  </si>
  <si>
    <t>SOC9091</t>
  </si>
  <si>
    <t>RESFRIADOR DE ÓLEO DODGE</t>
  </si>
  <si>
    <t>04892368AD (OEM) | 04892377AB (OEM)</t>
  </si>
  <si>
    <t>SWC5057R</t>
  </si>
  <si>
    <t>6288 (ATE) | 94606706 (OEM) | C3445 (CONTROIL) | CR7799 (BOSCH) | RCCR00880 (TRW)</t>
  </si>
  <si>
    <t>SWC5069R</t>
  </si>
  <si>
    <t>BD2Y2061A (OEM) | C3308 (CONTROIL) | CR6079 (BOSCH)</t>
  </si>
  <si>
    <t>SSC3062</t>
  </si>
  <si>
    <t>CILINDRO AUXILIAR DE EMBREAGEM AGRALE</t>
  </si>
  <si>
    <t>2SL721261 (OEM) | C2613 (CONTROIL) | RCCE00440 (TRW)</t>
  </si>
  <si>
    <t>SHP11023</t>
  </si>
  <si>
    <t>BOMBA DE ALTA PRESSÃO PORSCHE</t>
  </si>
  <si>
    <t>0261520303 (BOSCH) | 0261520304 (BOSCH) | 94611031560 (OEM) | 94611031561 (OEM)</t>
  </si>
  <si>
    <t>SBB13005</t>
  </si>
  <si>
    <t>5420 (ATE) | 5798 (ATE) | 94656135 (OEM) | C5616 (CONTROIL)</t>
  </si>
  <si>
    <t>SBB13010</t>
  </si>
  <si>
    <t>C5686 (CONTROIL) | NM230V74 (OEM)</t>
  </si>
  <si>
    <t>SBB13036</t>
  </si>
  <si>
    <t>5922 (ATE) | 5979 (ATE) | 7079575 (OEM) | 7081252 (OEM) | C5636 (CONTROIL) | SF9388 (BOSCH)</t>
  </si>
  <si>
    <t>SBB13058</t>
  </si>
  <si>
    <t>5644 (ATE) | 5824 (ATE) | 93235561 (OEM) | C5622 (CONTROIL) | NKF10022 (NAKATA)</t>
  </si>
  <si>
    <t>SBB13089</t>
  </si>
  <si>
    <t>SERVO FREIO NISSAN</t>
  </si>
  <si>
    <t>0204844200 (BOSCH) | 47210-JR80A (OEM)</t>
  </si>
  <si>
    <t>SBB13141</t>
  </si>
  <si>
    <t>01469TR8M00 (OEM)</t>
  </si>
  <si>
    <t>SWP030</t>
  </si>
  <si>
    <t>SFC7009</t>
  </si>
  <si>
    <t>VPV009 (VETOR)</t>
  </si>
  <si>
    <t>SVP6052</t>
  </si>
  <si>
    <t>BOMBA DE VÁCUO MINI</t>
  </si>
  <si>
    <t>11667270813 (OEM) | 11667559463 (OEM) | 701490090 (PIERBURG)</t>
  </si>
  <si>
    <t>MINI</t>
  </si>
  <si>
    <t>SWC5063R</t>
  </si>
  <si>
    <t>BC9A2061A (OEM) | C3310 (CONTROIL) | CR9984 (BOSCH) | RCCR24801 (TRW)</t>
  </si>
  <si>
    <t>SBB13047</t>
  </si>
  <si>
    <t>5Z1614105AN (OEM) | C5676 (CONTROIL)</t>
  </si>
  <si>
    <t>SBB13055</t>
  </si>
  <si>
    <t>52273077 (OEM) | C5619 (CONTROIL) | SF3842 (BOSCH)</t>
  </si>
  <si>
    <t>SBB13056</t>
  </si>
  <si>
    <t>SERVO FREIO FORD/VOLKSWAGEN</t>
  </si>
  <si>
    <t>0986485102 (BOSCH) | 3256121072 (OEM) | 3256121077 (OEM) | 3256121078 (OEM) | 3316121071 (OEM) | 6435 (ATE) | C5608 (CONTROIL) | NKF10008 (NAKATA) | RCSF00565 (TRW)</t>
  </si>
  <si>
    <t>SBB13063</t>
  </si>
  <si>
    <t>6001549118 (OEM) | C5673 (CONTROIL)</t>
  </si>
  <si>
    <t>SBB13064</t>
  </si>
  <si>
    <t>7087525 (OEM) | C5674 (CONTROIL)</t>
  </si>
  <si>
    <t>SBB13140</t>
  </si>
  <si>
    <t>BA1Z2005A (OEM)</t>
  </si>
  <si>
    <t>SWP019</t>
  </si>
  <si>
    <t>20070 (SCHADEK) | 7000204007 (INDISA) | UB0948 (URBA) | VKPC84215 (SKF)</t>
  </si>
  <si>
    <t>SWP221</t>
  </si>
  <si>
    <t>SWP007</t>
  </si>
  <si>
    <t>BOMBA ÁGUA FORD/MAZDA</t>
  </si>
  <si>
    <t>7000004004 (INDISA) | BDMA022 (TAKAO) | UB9007 (URBA) | VLBA0010354 (VILLA FRANCA) | VLBA0010542 (VILLA FRANCA)</t>
  </si>
  <si>
    <t>FORD / HYSTER / KIA / MAZDA / YALE</t>
  </si>
  <si>
    <t>SWP051</t>
  </si>
  <si>
    <t>20179 (SCHADEK) | 7000952001 (INDISA) | VKPC83420A (SKF)</t>
  </si>
  <si>
    <t>CITROEN / LADA / PEUGEOT / SUZUKI</t>
  </si>
  <si>
    <t>SWP353</t>
  </si>
  <si>
    <t>BOMBA ÁGUA MAN/VW</t>
  </si>
  <si>
    <t>51065006675 (OEM) | 51065006694 (OEM)</t>
  </si>
  <si>
    <t>MAN / VW</t>
  </si>
  <si>
    <t>SOC9085</t>
  </si>
  <si>
    <t>RESFRIADOR DE ÓLEO PORSCHE</t>
  </si>
  <si>
    <t>94810727103 (OEM)</t>
  </si>
  <si>
    <t>SOC9092</t>
  </si>
  <si>
    <t>RESFRIADOR DE ÓLEO MERCEDES-BENZ</t>
  </si>
  <si>
    <t>A2711801010 (OEM) | A2711880301 (OEM)</t>
  </si>
  <si>
    <t>SHP11024</t>
  </si>
  <si>
    <t>BOMBA DE ALTA PRESSÃO KIA</t>
  </si>
  <si>
    <t>0261520307 (BOSCH) | 35320-2G740 (OEM) | GI1019 (GAUSS)</t>
  </si>
  <si>
    <t>SBB13043</t>
  </si>
  <si>
    <t>377612103B (OEM) | 377612103G (OEM) | C5650 (CONTROIL) | SF5342S (BOSCH)</t>
  </si>
  <si>
    <t>SBB13083</t>
  </si>
  <si>
    <t>4630A173 (OEM)</t>
  </si>
  <si>
    <t>SWP085</t>
  </si>
  <si>
    <t>SWP139</t>
  </si>
  <si>
    <t>7000702009 (INDISA) | UB0824 (URBA) | VLBA0330514 (VILLA FRANCA)</t>
  </si>
  <si>
    <t>SCA8037FL</t>
  </si>
  <si>
    <t>BDJ2119 (PERFECT) | GM2119CP (GRAZZIMETAL) | NBJ3015EP (NAKATA)</t>
  </si>
  <si>
    <t>SCA8073FL</t>
  </si>
  <si>
    <t>BDJ2689 (PERFECT) | NBJ6001EP (NAKATA)</t>
  </si>
  <si>
    <t>SCA8073FR</t>
  </si>
  <si>
    <t>BDJ2690 (PERFECT) | NBJ6001DP (NAKATA)</t>
  </si>
  <si>
    <t>SCA8076FL</t>
  </si>
  <si>
    <t>BDJ0239 (PERFECT) | FO3251C (GRAZZIMETAL) | NBJ2015EP (NAKATA)</t>
  </si>
  <si>
    <t>SCA8076FR</t>
  </si>
  <si>
    <t>BDJ0240 (PERFECT) | FO3252C (GRAZZIMETAL) | NBJ2015DP (NAKATA)</t>
  </si>
  <si>
    <t>SWP090</t>
  </si>
  <si>
    <t>SWP242</t>
  </si>
  <si>
    <t>SWP346</t>
  </si>
  <si>
    <t>1639196 (OEM) | 1644762 (OEM) | 1778280 (OEM) | 1828141 (OEM)</t>
  </si>
  <si>
    <t>SWC5063L</t>
  </si>
  <si>
    <t>BC9A2062A (OEM) | C3309 (CONTROIL) | CR9983 (BOSCH) | RCCR24798 (TRW)</t>
  </si>
  <si>
    <t>SCC2107</t>
  </si>
  <si>
    <t>CILINDRO MESTRE EMBREAGEM M BENZ</t>
  </si>
  <si>
    <t>3842957006 (OEM) | 6402 (ATE) | C2607 (CONTROIL) | RCCE00335 (TRW)</t>
  </si>
  <si>
    <t>SSC3056</t>
  </si>
  <si>
    <t>3452957007 (OEM) | 6406 (ATE) | C2614 (CONTROIL) | RCCE00246 (TRW)</t>
  </si>
  <si>
    <t>SWC5097</t>
  </si>
  <si>
    <t>5465 (ATE) | 7074617 (OEM) | C3404 (CONTROIL) | RCCR00899 (TRW)</t>
  </si>
  <si>
    <t>SHP11025</t>
  </si>
  <si>
    <t>0261520143 (BOSCH) | 13517595339 (OEM) | 13517595350 (OEM) | 13537547603 (OEM) | GI1008 (GAUSS)</t>
  </si>
  <si>
    <t>SBB13029</t>
  </si>
  <si>
    <t>547612907A (OEM) | C5623 (CONTROIL) | RCSF00816 (TRW)</t>
  </si>
  <si>
    <t>SBB13054</t>
  </si>
  <si>
    <t>547612907 (OEM) | 6444 (ATE) | C5624 (CONTROIL) | NKF10024 (NAKATA) | RCSF00816 (TRW) | SF5099S (BOSCH) | SF5102 (BOSCH)</t>
  </si>
  <si>
    <t>SBB13067</t>
  </si>
  <si>
    <t>6221 (ATE) | 93281897 (OEM) | C5659 (CONTROIL) | RCSF00980 (TRW)</t>
  </si>
  <si>
    <t>SBB13113</t>
  </si>
  <si>
    <t>6475 (ATE) | 94736008 (OEM) | C5672 (CONTROIL)</t>
  </si>
  <si>
    <t>SWP012</t>
  </si>
  <si>
    <t>SFC7021</t>
  </si>
  <si>
    <t>21082-4JA0D                             21082-4JA0E</t>
  </si>
  <si>
    <t>SWP275</t>
  </si>
  <si>
    <t>BOMBA AGUA CHERY</t>
  </si>
  <si>
    <t>SWP230</t>
  </si>
  <si>
    <t>SWC5067R</t>
  </si>
  <si>
    <t>2SH611050 (OEM) | C3338 (CONTROIL) | CR2388 (BOSCH)</t>
  </si>
  <si>
    <t>SBC1248</t>
  </si>
  <si>
    <t>C2154 (CONTROIL) | RCCM00063 (TRW)</t>
  </si>
  <si>
    <t>SSC3060</t>
  </si>
  <si>
    <t>RCCE00640 (TRW)</t>
  </si>
  <si>
    <t>SFC7030</t>
  </si>
  <si>
    <t>252374A855 (OEM)</t>
  </si>
  <si>
    <t>SBB13007</t>
  </si>
  <si>
    <t>204125262 (BOSCH) | 6K161207F (OEM) | 6K161207G (OEM) | 6K1612107G (OEM) | C5643 (CONTROIL)</t>
  </si>
  <si>
    <t>SEAT / VOLKSWAGEN</t>
  </si>
  <si>
    <t>SBB13027</t>
  </si>
  <si>
    <t>5938 (ATE) | 93272823 (OEM) | C5647 (CONTROIL)</t>
  </si>
  <si>
    <t>SBB13028</t>
  </si>
  <si>
    <t>2265406S (OEM) | C5652 (CONTROIL) | SF5406S (BOSCH)</t>
  </si>
  <si>
    <t>SBB13053</t>
  </si>
  <si>
    <t>5702 (ATE) | 90297374 (OEM) | 90487038 (OEM) | 986485108 (BOSCH) | 986485125 (BOSCH) | C5632 (CONTROIL) | NKF10032 (NAKATA)</t>
  </si>
  <si>
    <t>SBB13088</t>
  </si>
  <si>
    <t>0204125857 (BOSCH) | 0204774973 (BOSCH) | 0204774975 (BOSCH) | 6C112005BE (OEM) | SF4975 (BOSCH)</t>
  </si>
  <si>
    <t>SWP049</t>
  </si>
  <si>
    <t>SWP098</t>
  </si>
  <si>
    <t>SWP289</t>
  </si>
  <si>
    <t>SWP213</t>
  </si>
  <si>
    <t>SSC3054</t>
  </si>
  <si>
    <t>3842957207 (OEM) | 6410 (ATE) | C2611 (CONTROIL) | KN28022D1 (FTE) | RCCE00114 (TRW)</t>
  </si>
  <si>
    <t>SCC2121</t>
  </si>
  <si>
    <t>6411 (ATE) | C2604 (CONTROIL) | E5HT7A543BA (OEM) | RCCE00680 (TRW)</t>
  </si>
  <si>
    <t>SCC2114</t>
  </si>
  <si>
    <t>6013003011001 (OEM) | C2639 (CONTROIL)</t>
  </si>
  <si>
    <t>AGRALE</t>
  </si>
  <si>
    <t>SCC2124</t>
  </si>
  <si>
    <t>3452957006 (OEM) | 6403 (ATE) | C2603 (CONTROIL) | RCCE00238 (TRW)</t>
  </si>
  <si>
    <t>SSC3065</t>
  </si>
  <si>
    <t>3862957007 (OEM) | 6414 (ATE) | C2615 (CONTROIL) | RCCE00319 (TRW)</t>
  </si>
  <si>
    <t>SBC1238</t>
  </si>
  <si>
    <t>CILINDRO MESTRE DE FREIO GMC</t>
  </si>
  <si>
    <t>8-97108712-1 (OEM) | 97315166 (OEM)</t>
  </si>
  <si>
    <t>GMC</t>
  </si>
  <si>
    <t>SBB13019</t>
  </si>
  <si>
    <t>44610-98001C (OEM) | C5633 (CONTROIL) | RCSF00719 (TRW)</t>
  </si>
  <si>
    <t>SBB13062</t>
  </si>
  <si>
    <t>94FB2005AA (OEM) | 986485120 (BOSCH) | C5644 (CONTROIL)</t>
  </si>
  <si>
    <t>SWP122</t>
  </si>
  <si>
    <t>20099 (SCHADEK) | 7000352007 (INDISA) | NKBA01770 (NAKATA) | UB0770 (URBA) | VKPC82646 (SKF)</t>
  </si>
  <si>
    <t>ALFA ROMEO / FIAT</t>
  </si>
  <si>
    <t>SWP264H</t>
  </si>
  <si>
    <t>SWP129</t>
  </si>
  <si>
    <t>20171 (SCHADEK) | 7000352008 (INDISA) | NKBA01771 (NAKATA) | UB0771 (URBA) | VKPC82645A (SKF)</t>
  </si>
  <si>
    <t>SWP358</t>
  </si>
  <si>
    <t>BOMBA ÁGUA SCANIA</t>
  </si>
  <si>
    <t>1380897 (OEM) | 1510490 (OEM) | 20155 (SCHADEK) | 552500 (INDISA) | UB0988 (URBA) | VBD990 (VETORE) | VKPC4909 (SKF)</t>
  </si>
  <si>
    <t>SWP360</t>
  </si>
  <si>
    <t>20212 (SCHADEK) | 20744939 (OEM) | 604003 (INDISA) | 80744939 (OEM) | UB0113 (URBA) | VKPC4926 (SKF)</t>
  </si>
  <si>
    <t>SCC2110</t>
  </si>
  <si>
    <t>22950206 (OEM) | 82703 (SACHS) | A0022950206 (OEM) | RCCE01050 (TRW)</t>
  </si>
  <si>
    <t>SCC2116</t>
  </si>
  <si>
    <t>CILINDRO MESTRE DE EMBREAGEM VOLVO</t>
  </si>
  <si>
    <t>205535588 (OEM) | 20557337 (OEM) | 20835246 (OEM) | 2100628 (VALEO) | KG2801942 (FTE)</t>
  </si>
  <si>
    <t>SWP355</t>
  </si>
  <si>
    <t>20246 (SCHADEK) | 401022 (INDISA) | 5412001101 (OEM) | 5412001201 (OEM) | 5412001401 (OEM) | VBD510 (VETORE)</t>
  </si>
  <si>
    <t>SWP356</t>
  </si>
  <si>
    <t>1353072 (OEM) | 1450153 (OEM) | 1508533 (OEM) | 1896752 (OEM) | 20144 (SCHADEK) | 552000 (INDISA) | UB0980 (URBA) | VBD0988 (VETORE) | VKPC4908 (SKF)</t>
  </si>
  <si>
    <t>SWP359</t>
  </si>
  <si>
    <t>154188 (OEM) | 20195 (SCHADEK) | 552001 (INDISA) | UB0981 (URBA) | VBD991 (VETORE)</t>
  </si>
  <si>
    <t>SCC2111</t>
  </si>
  <si>
    <t>0002950406 (OEM) | 0012959306 (OEM) | 0012959506 (OEM) | 0022950306 (OEM) | 0022950406 (OEM)</t>
  </si>
  <si>
    <t>SCC2119</t>
  </si>
  <si>
    <t>3882957006 (OEM) | 6012003022000 (OEM) | 6419 (ATE) | C2621 (CONTROIL) | RCCE00361 (TRW)</t>
  </si>
  <si>
    <t>AGRALE / MERCEDES-BENZ</t>
  </si>
  <si>
    <t>SSC3055</t>
  </si>
  <si>
    <t>2R721405 (OEM) | 2SP/721261 (OEM) | 6007003334009 (OEM) | C2613 (CONTROIL) | RCCE00790 (TRW)</t>
  </si>
  <si>
    <t>AGRALE / FORD / VOLKSWAGEN</t>
  </si>
  <si>
    <t>SFC7026</t>
  </si>
  <si>
    <t>XC358A616CB (OEM)</t>
  </si>
  <si>
    <t>SFC7027</t>
  </si>
  <si>
    <t>MD359040 (OEM)</t>
  </si>
  <si>
    <t>SFC7029</t>
  </si>
  <si>
    <t>POLIA VISCOSA FORD/VW</t>
  </si>
  <si>
    <t>2TC121431A (OEM) | 98HU8A616AA (OEM) | A2TC121431A (OEM) | TMG121431 (OEM)</t>
  </si>
  <si>
    <t>AGRALE / FORD / IVECO / MAN / VW / MARCOPOLO</t>
  </si>
  <si>
    <t>SFC7034</t>
  </si>
  <si>
    <t>POLIA VISCOSA CASE</t>
  </si>
  <si>
    <t>87340008 (OEM)</t>
  </si>
  <si>
    <t>CASE / NEW HOLLAND</t>
  </si>
  <si>
    <t>SWP010</t>
  </si>
  <si>
    <t>SWP280</t>
  </si>
  <si>
    <t>BOMBA AGUA GM</t>
  </si>
  <si>
    <t>ISUZU</t>
  </si>
  <si>
    <t>SWP354</t>
  </si>
  <si>
    <t>104001 (INDISA) | 20035 (SCHADEK) | 922907310015 (OEM) | 922987310036 (OEM) | UB0578 (URBA) | VBD578 (VETORE) | VKPC4935 (SKF)</t>
  </si>
  <si>
    <t>FORD / VALTRA / VOLKSWAGEN</t>
  </si>
  <si>
    <t>SWP357</t>
  </si>
  <si>
    <t>1314406 (OEM) | 1672680 (OEM) | 292761 (OEM) | 524866 (OEM)</t>
  </si>
  <si>
    <t>CASE / SCANIA</t>
  </si>
  <si>
    <t>SWC5070L</t>
  </si>
  <si>
    <t>BD9T2262A (OEM) | C3315 (CONTROIL) | CR7782 (BOSCH)</t>
  </si>
  <si>
    <t>SWC5070R</t>
  </si>
  <si>
    <t>BD9T/2261/A (OEM) | C3316 (CONTROIL) | CR7783 (BOSCH)</t>
  </si>
  <si>
    <t>SCC2108</t>
  </si>
  <si>
    <t>3882957106 (OEM) | C2602 (CONTROIL) | RCCE00122 (TRW)</t>
  </si>
  <si>
    <t>SSC3064</t>
  </si>
  <si>
    <t>SFC7031</t>
  </si>
  <si>
    <t>POLIA VISCOSA DAF</t>
  </si>
  <si>
    <t>1677080 (OEM) | 1916597 (OEM) | 2293637 (OEM)</t>
  </si>
  <si>
    <t>SWP147</t>
  </si>
  <si>
    <t>BOMBA ÁGUA</t>
  </si>
  <si>
    <t>SSC3059</t>
  </si>
  <si>
    <t>CILINDRO AUXILIAR DE EMBREAGEM VOLVO</t>
  </si>
  <si>
    <t>1581209 (OEM) | 1581209-2 (OEM) | 1614351 (OEM) | 1614351-3 (OEM) | 1620462 (OEM) | 1620462-0 (OEM) | 1669488 (OEM) | 1669488-7 (OEM) | 6428 (ATE) | 8126730 (OEM) | C2637 (CONTROIL) | KG2801411 (FTE) | KG2801611 (FTE) | RCCE00650 (TRW)</t>
  </si>
  <si>
    <t>SCC2122</t>
  </si>
  <si>
    <t>2SL721405 (OEM) | 6007003333001 (OEM) | 6409 (ATE) | C2605 (CONTROIL) | RCCE00297 (TRW) | TAR721405 (OEM) | TF3721405 (OEM)</t>
  </si>
  <si>
    <t>SFC7025</t>
  </si>
  <si>
    <t>VPV016 (VETOR) | XC358A616AB (OEM)</t>
  </si>
  <si>
    <t>SFC7028</t>
  </si>
  <si>
    <t>98HU8A616BA (OEM) | VPV015 (VETOR)</t>
  </si>
  <si>
    <t>FORD / MAN / VW</t>
  </si>
  <si>
    <t>SFC7032</t>
  </si>
  <si>
    <t>POLIA VISCOSA VW</t>
  </si>
  <si>
    <t>2U121302A (OEM)</t>
  </si>
  <si>
    <t>SFC7033</t>
  </si>
  <si>
    <t>POLIA VISCOSA VOLVO</t>
  </si>
  <si>
    <t>21666250 (OEM)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</si>
</sst>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0.00_);[Red]\(0.00\)"/>
    <numFmt numFmtId="181" formatCode="0.0%"/>
  </numFmts>
  <fonts count="24">
    <font>
      <sz val="10"/>
      <name val="Arial"/>
      <charset val="0"/>
    </font>
    <font>
      <b/>
      <sz val="16"/>
      <color rgb="FFFFFFFF"/>
      <name val="Arial"/>
      <charset val="0"/>
    </font>
    <font>
      <i/>
      <sz val="10"/>
      <color rgb="FF666666"/>
      <name val="Arial"/>
      <charset val="0"/>
    </font>
    <font>
      <b/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CDCD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/>
    <xf numFmtId="177" fontId="0" fillId="0" borderId="0"/>
    <xf numFmtId="9" fontId="0" fillId="0" borderId="0"/>
    <xf numFmtId="178" fontId="0" fillId="0" borderId="0"/>
    <xf numFmtId="179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34" borderId="1">
      <alignment horizontal="center" vertical="center" wrapText="1"/>
    </xf>
    <xf numFmtId="0" fontId="3" fillId="34" borderId="1">
      <alignment horizontal="left" vertical="center" wrapText="1"/>
    </xf>
    <xf numFmtId="0" fontId="3" fillId="34" borderId="1">
      <alignment horizontal="right" vertical="center" wrapText="1"/>
    </xf>
    <xf numFmtId="0" fontId="0" fillId="0" borderId="1">
      <alignment horizontal="center" vertical="center"/>
    </xf>
    <xf numFmtId="0" fontId="0" fillId="0" borderId="1">
      <alignment horizontal="left" vertical="center"/>
    </xf>
    <xf numFmtId="3" fontId="0" fillId="0" borderId="1">
      <alignment horizontal="right" vertical="center"/>
    </xf>
    <xf numFmtId="0" fontId="3" fillId="34" borderId="1">
      <alignment horizontal="left" vertical="center"/>
    </xf>
    <xf numFmtId="3" fontId="3" fillId="34" borderId="1">
      <alignment horizontal="right" vertical="center"/>
    </xf>
    <xf numFmtId="0" fontId="3" fillId="34" borderId="1">
      <alignment horizontal="center" vertical="center"/>
    </xf>
  </cellStyleXfs>
  <cellXfs count="13">
    <xf numFmtId="0" fontId="0" fillId="0" borderId="0" xfId="0"/>
    <xf numFmtId="180" fontId="0" fillId="0" borderId="0" xfId="0" applyNumberFormat="1"/>
    <xf numFmtId="180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180" fontId="2" fillId="0" borderId="0" xfId="0" applyNumberFormat="1" applyFont="1"/>
    <xf numFmtId="0" fontId="2" fillId="0" borderId="0" xfId="0" applyFont="1"/>
    <xf numFmtId="18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0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181" fontId="0" fillId="3" borderId="1" xfId="0" applyNumberForma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58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GridViewCellStyle(IsEmpty: False, BackColor: Color [Gainsboro], TextColor: , TextAlign: Center, TextWrap: True, FontBold: True, Format: )" xfId="49"/>
    <cellStyle name="GridViewCellStyle(IsEmpty: False, BackColor: Color [Gainsboro], TextColor: , TextAlign: Left, TextWrap: True, FontBold: True, Format: )" xfId="50"/>
    <cellStyle name="GridViewCellStyle(IsEmpty: False, BackColor: Color [Gainsboro], TextColor: , TextAlign: Right, TextWrap: True, FontBold: True, Format: )" xfId="51"/>
    <cellStyle name="GridViewCellStyle(IsEmpty: False, BackColor: Color [Empty], TextColor: Color [Empty], TextAlign: Center, TextWrap: , FontBold: False, Format: Text)" xfId="52"/>
    <cellStyle name="GridViewCellStyle(IsEmpty: False, BackColor: Color [Empty], TextColor: Color [Empty], TextAlign: Left, TextWrap: , FontBold: False, Format: Text)" xfId="53"/>
    <cellStyle name="GridViewCellStyle(IsEmpty: False, BackColor: Color [Empty], TextColor: Color [Empty], TextAlign: Right, TextWrap: , FontBold: False, Format: Decimal0)" xfId="54"/>
    <cellStyle name="GridViewCellStyle(IsEmpty: False, BackColor: Color [Gainsboro], TextColor: Color [Empty], TextAlign: Left, TextWrap: , FontBold: True, Format: Text)" xfId="55"/>
    <cellStyle name="GridViewCellStyle(IsEmpty: False, BackColor: Color [Gainsboro], TextColor: Color [Empty], TextAlign: Right, TextWrap: , FontBold: True, Format: Decimal0)" xfId="56"/>
    <cellStyle name="GridViewCellStyle(IsEmpty: False, BackColor: Color [Gainsboro], TextColor: Color [Empty], TextAlign: Center, TextWrap: , FontBold: True, Format: Text)" xfId="57"/>
  </cellStyles>
  <dxfs count="11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microsoft.com/office/2007/relationships/slicerCache" Target="slicerCaches/slicerCache3.xml"/><Relationship Id="rId3" Type="http://schemas.microsoft.com/office/2007/relationships/slicerCache" Target="slicerCaches/slicerCache2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10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65405</xdr:colOff>
      <xdr:row>1</xdr:row>
      <xdr:rowOff>205740</xdr:rowOff>
    </xdr:from>
    <xdr:to>
      <xdr:col>7</xdr:col>
      <xdr:colOff>0</xdr:colOff>
      <xdr:row>2</xdr:row>
      <xdr:rowOff>1231265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Famil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05" y="586740"/>
              <a:ext cx="8910955" cy="211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65405</xdr:colOff>
      <xdr:row>2</xdr:row>
      <xdr:rowOff>1209040</xdr:rowOff>
    </xdr:from>
    <xdr:to>
      <xdr:col>7</xdr:col>
      <xdr:colOff>0</xdr:colOff>
      <xdr:row>4</xdr:row>
      <xdr:rowOff>59055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Montador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ad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05" y="2682240"/>
              <a:ext cx="8910955" cy="3549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59055</xdr:colOff>
      <xdr:row>1</xdr:row>
      <xdr:rowOff>198120</xdr:rowOff>
    </xdr:from>
    <xdr:to>
      <xdr:col>7</xdr:col>
      <xdr:colOff>1887855</xdr:colOff>
      <xdr:row>2</xdr:row>
      <xdr:rowOff>277495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Class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5415" y="57912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ziano.chagas\Downloads\CURVA%20BRASIL%20STARKE%20SET26%20(version%201).xls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sta%20de%20Trabalho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Dashboard"/>
      <sheetName val="ABC Código"/>
      <sheetName val="ABC Produto"/>
      <sheetName val="Relatório"/>
      <sheetName val="Apoio Dashboard"/>
    </sheetNames>
    <sheetDataSet>
      <sheetData sheetId="0"/>
      <sheetData sheetId="1"/>
      <sheetData sheetId="2"/>
      <sheetData sheetId="3"/>
      <sheetData sheetId="4">
        <row r="2">
          <cell r="A2" t="str">
            <v>SSC3020</v>
          </cell>
        </row>
        <row r="2">
          <cell r="AK2">
            <v>9169</v>
          </cell>
        </row>
        <row r="3">
          <cell r="A3" t="str">
            <v>SCC2064</v>
          </cell>
        </row>
        <row r="3">
          <cell r="AK3">
            <v>8838</v>
          </cell>
        </row>
        <row r="4">
          <cell r="A4" t="str">
            <v>SBC1001</v>
          </cell>
        </row>
        <row r="4">
          <cell r="AK4">
            <v>4924</v>
          </cell>
        </row>
        <row r="5">
          <cell r="A5" t="str">
            <v>SBC1087</v>
          </cell>
        </row>
        <row r="5">
          <cell r="AK5">
            <v>3768</v>
          </cell>
        </row>
        <row r="6">
          <cell r="A6" t="str">
            <v>SBC1068</v>
          </cell>
        </row>
        <row r="6">
          <cell r="AK6">
            <v>3485</v>
          </cell>
        </row>
        <row r="7">
          <cell r="A7" t="str">
            <v>SBC1000</v>
          </cell>
        </row>
        <row r="7">
          <cell r="AK7">
            <v>3454</v>
          </cell>
        </row>
        <row r="8">
          <cell r="A8" t="str">
            <v>SBC1135</v>
          </cell>
        </row>
        <row r="8">
          <cell r="AK8">
            <v>3315</v>
          </cell>
        </row>
        <row r="9">
          <cell r="A9" t="str">
            <v>SBC1090A</v>
          </cell>
        </row>
        <row r="9">
          <cell r="AK9">
            <v>2941</v>
          </cell>
        </row>
        <row r="10">
          <cell r="A10" t="str">
            <v>SBC1007</v>
          </cell>
        </row>
        <row r="10">
          <cell r="AK10">
            <v>2731</v>
          </cell>
        </row>
        <row r="11">
          <cell r="A11" t="str">
            <v>SBC1014</v>
          </cell>
        </row>
        <row r="11">
          <cell r="AK11">
            <v>2656</v>
          </cell>
        </row>
        <row r="12">
          <cell r="A12" t="str">
            <v>SBC1011</v>
          </cell>
        </row>
        <row r="12">
          <cell r="AK12">
            <v>2620</v>
          </cell>
        </row>
        <row r="13">
          <cell r="A13" t="str">
            <v>SBC1085</v>
          </cell>
        </row>
        <row r="13">
          <cell r="AK13">
            <v>2617</v>
          </cell>
        </row>
        <row r="14">
          <cell r="A14" t="str">
            <v>SBC1081</v>
          </cell>
        </row>
        <row r="14">
          <cell r="AK14">
            <v>2466</v>
          </cell>
        </row>
        <row r="15">
          <cell r="A15" t="str">
            <v>SBC1090</v>
          </cell>
        </row>
        <row r="15">
          <cell r="AK15">
            <v>2420</v>
          </cell>
        </row>
        <row r="16">
          <cell r="A16" t="str">
            <v>SCC2060</v>
          </cell>
        </row>
        <row r="16">
          <cell r="AK16">
            <v>2392</v>
          </cell>
        </row>
        <row r="17">
          <cell r="A17" t="str">
            <v>SCC2017</v>
          </cell>
        </row>
        <row r="17">
          <cell r="AK17">
            <v>2364</v>
          </cell>
        </row>
        <row r="18">
          <cell r="A18" t="str">
            <v>SBC1123</v>
          </cell>
        </row>
        <row r="18">
          <cell r="AK18">
            <v>2273</v>
          </cell>
        </row>
        <row r="19">
          <cell r="A19" t="str">
            <v>SBC1021</v>
          </cell>
        </row>
        <row r="19">
          <cell r="AK19">
            <v>2232</v>
          </cell>
        </row>
        <row r="20">
          <cell r="A20" t="str">
            <v>SBC1027</v>
          </cell>
        </row>
        <row r="20">
          <cell r="AK20">
            <v>2083</v>
          </cell>
        </row>
        <row r="21">
          <cell r="A21" t="str">
            <v>SBC1137</v>
          </cell>
        </row>
        <row r="21">
          <cell r="AK21">
            <v>1912</v>
          </cell>
        </row>
        <row r="22">
          <cell r="A22" t="str">
            <v>SBC1005</v>
          </cell>
        </row>
        <row r="22">
          <cell r="AK22">
            <v>1906</v>
          </cell>
        </row>
        <row r="23">
          <cell r="A23" t="str">
            <v>SWC5032</v>
          </cell>
        </row>
        <row r="23">
          <cell r="AK23">
            <v>1887</v>
          </cell>
        </row>
        <row r="24">
          <cell r="A24" t="str">
            <v>SBC1083</v>
          </cell>
        </row>
        <row r="24">
          <cell r="AK24">
            <v>1858</v>
          </cell>
        </row>
        <row r="25">
          <cell r="A25" t="str">
            <v>SBC1099</v>
          </cell>
        </row>
        <row r="25">
          <cell r="AK25">
            <v>1852</v>
          </cell>
        </row>
        <row r="26">
          <cell r="A26" t="str">
            <v>SWC5006</v>
          </cell>
        </row>
        <row r="26">
          <cell r="AK26">
            <v>1824</v>
          </cell>
        </row>
        <row r="27">
          <cell r="A27" t="str">
            <v>SBC1097</v>
          </cell>
        </row>
        <row r="27">
          <cell r="AK27">
            <v>1754</v>
          </cell>
        </row>
        <row r="28">
          <cell r="A28" t="str">
            <v>SCC2028</v>
          </cell>
        </row>
        <row r="28">
          <cell r="AK28">
            <v>1715</v>
          </cell>
        </row>
        <row r="29">
          <cell r="A29" t="str">
            <v>SWC5015</v>
          </cell>
        </row>
        <row r="29">
          <cell r="AK29">
            <v>1667</v>
          </cell>
        </row>
        <row r="30">
          <cell r="A30" t="str">
            <v>SBC1042</v>
          </cell>
        </row>
        <row r="30">
          <cell r="AK30">
            <v>1619</v>
          </cell>
        </row>
        <row r="31">
          <cell r="A31" t="str">
            <v>SCC2029</v>
          </cell>
        </row>
        <row r="31">
          <cell r="AK31">
            <v>1529</v>
          </cell>
        </row>
        <row r="32">
          <cell r="A32" t="str">
            <v>SBC1134</v>
          </cell>
        </row>
        <row r="32">
          <cell r="AK32">
            <v>1529</v>
          </cell>
        </row>
        <row r="33">
          <cell r="A33" t="str">
            <v>SSC3029</v>
          </cell>
        </row>
        <row r="33">
          <cell r="AK33">
            <v>1498</v>
          </cell>
        </row>
        <row r="34">
          <cell r="A34" t="str">
            <v>SBC1117</v>
          </cell>
        </row>
        <row r="34">
          <cell r="AK34">
            <v>1465</v>
          </cell>
        </row>
        <row r="35">
          <cell r="A35" t="str">
            <v>SBC1144</v>
          </cell>
        </row>
        <row r="35">
          <cell r="AK35">
            <v>1382</v>
          </cell>
        </row>
        <row r="36">
          <cell r="A36" t="str">
            <v>SWC5011</v>
          </cell>
        </row>
        <row r="36">
          <cell r="AK36">
            <v>1360</v>
          </cell>
        </row>
        <row r="37">
          <cell r="A37" t="str">
            <v>SWC5003R</v>
          </cell>
        </row>
        <row r="37">
          <cell r="AK37">
            <v>1337</v>
          </cell>
        </row>
        <row r="38">
          <cell r="A38" t="str">
            <v>SCC2073</v>
          </cell>
        </row>
        <row r="38">
          <cell r="AK38">
            <v>1295</v>
          </cell>
        </row>
        <row r="39">
          <cell r="A39" t="str">
            <v>SWC5013</v>
          </cell>
        </row>
        <row r="39">
          <cell r="AK39">
            <v>1292</v>
          </cell>
        </row>
        <row r="40">
          <cell r="A40" t="str">
            <v>SCS4031</v>
          </cell>
        </row>
        <row r="40">
          <cell r="AK40">
            <v>1286</v>
          </cell>
        </row>
        <row r="41">
          <cell r="A41" t="str">
            <v>SCC2058</v>
          </cell>
        </row>
        <row r="41">
          <cell r="AK41">
            <v>1250</v>
          </cell>
        </row>
        <row r="42">
          <cell r="A42" t="str">
            <v>SBC1046</v>
          </cell>
        </row>
        <row r="42">
          <cell r="AK42">
            <v>1249</v>
          </cell>
        </row>
        <row r="43">
          <cell r="A43" t="str">
            <v>SBC1017</v>
          </cell>
        </row>
        <row r="43">
          <cell r="AK43">
            <v>1208</v>
          </cell>
        </row>
        <row r="44">
          <cell r="A44" t="str">
            <v>SSC3024</v>
          </cell>
        </row>
        <row r="44">
          <cell r="AK44">
            <v>1189</v>
          </cell>
        </row>
        <row r="45">
          <cell r="A45" t="str">
            <v>SBC1077</v>
          </cell>
        </row>
        <row r="45">
          <cell r="AK45">
            <v>1177</v>
          </cell>
        </row>
        <row r="46">
          <cell r="A46" t="str">
            <v>SCC2038</v>
          </cell>
        </row>
        <row r="46">
          <cell r="AK46">
            <v>1169</v>
          </cell>
        </row>
        <row r="47">
          <cell r="A47" t="str">
            <v>SSC3034</v>
          </cell>
        </row>
        <row r="47">
          <cell r="AK47">
            <v>1169</v>
          </cell>
        </row>
        <row r="48">
          <cell r="A48" t="str">
            <v>SBC1094</v>
          </cell>
        </row>
        <row r="48">
          <cell r="AK48">
            <v>1160</v>
          </cell>
        </row>
        <row r="49">
          <cell r="A49" t="str">
            <v>SBC1095</v>
          </cell>
        </row>
        <row r="49">
          <cell r="AK49">
            <v>1135</v>
          </cell>
        </row>
        <row r="50">
          <cell r="A50" t="str">
            <v>SBC1023</v>
          </cell>
        </row>
        <row r="50">
          <cell r="AK50">
            <v>1114</v>
          </cell>
        </row>
        <row r="51">
          <cell r="A51" t="str">
            <v>SBC1034</v>
          </cell>
        </row>
        <row r="51">
          <cell r="AK51">
            <v>1082</v>
          </cell>
        </row>
        <row r="52">
          <cell r="A52" t="str">
            <v>SCC2065</v>
          </cell>
        </row>
        <row r="52">
          <cell r="AK52">
            <v>1081</v>
          </cell>
        </row>
        <row r="53">
          <cell r="A53" t="str">
            <v>SSC3006</v>
          </cell>
        </row>
        <row r="53">
          <cell r="AK53">
            <v>1074</v>
          </cell>
        </row>
        <row r="54">
          <cell r="A54" t="str">
            <v>SWC5000</v>
          </cell>
        </row>
        <row r="54">
          <cell r="AK54">
            <v>1072</v>
          </cell>
        </row>
        <row r="55">
          <cell r="A55" t="str">
            <v>SBC1032</v>
          </cell>
        </row>
        <row r="55">
          <cell r="AK55">
            <v>1057</v>
          </cell>
        </row>
        <row r="56">
          <cell r="A56" t="str">
            <v>SWC5020</v>
          </cell>
        </row>
        <row r="56">
          <cell r="AK56">
            <v>1040</v>
          </cell>
        </row>
        <row r="57">
          <cell r="A57" t="str">
            <v>SSC3021</v>
          </cell>
        </row>
        <row r="57">
          <cell r="AK57">
            <v>1019</v>
          </cell>
        </row>
        <row r="58">
          <cell r="A58" t="str">
            <v>SCC2066</v>
          </cell>
        </row>
        <row r="58">
          <cell r="AK58">
            <v>1017</v>
          </cell>
        </row>
        <row r="59">
          <cell r="A59" t="str">
            <v>SWC5034</v>
          </cell>
        </row>
        <row r="59">
          <cell r="AK59">
            <v>1000</v>
          </cell>
        </row>
        <row r="60">
          <cell r="A60" t="str">
            <v>SBC1080</v>
          </cell>
        </row>
        <row r="60">
          <cell r="AK60">
            <v>999</v>
          </cell>
        </row>
        <row r="61">
          <cell r="A61" t="str">
            <v>SBC1048</v>
          </cell>
        </row>
        <row r="61">
          <cell r="AK61">
            <v>989</v>
          </cell>
        </row>
        <row r="62">
          <cell r="A62" t="str">
            <v>SBC1036</v>
          </cell>
        </row>
        <row r="62">
          <cell r="AK62">
            <v>982</v>
          </cell>
        </row>
        <row r="63">
          <cell r="A63" t="str">
            <v>SBC1069</v>
          </cell>
        </row>
        <row r="63">
          <cell r="AK63">
            <v>966</v>
          </cell>
        </row>
        <row r="64">
          <cell r="A64" t="str">
            <v>SWC5002</v>
          </cell>
        </row>
        <row r="64">
          <cell r="AK64">
            <v>932</v>
          </cell>
        </row>
        <row r="65">
          <cell r="A65" t="str">
            <v>SSC3001</v>
          </cell>
        </row>
        <row r="65">
          <cell r="AK65">
            <v>930</v>
          </cell>
        </row>
        <row r="66">
          <cell r="A66" t="str">
            <v>SBC1142</v>
          </cell>
        </row>
        <row r="66">
          <cell r="AK66">
            <v>927</v>
          </cell>
        </row>
        <row r="67">
          <cell r="A67" t="str">
            <v>SBC1076</v>
          </cell>
        </row>
        <row r="67">
          <cell r="AK67">
            <v>917</v>
          </cell>
        </row>
        <row r="68">
          <cell r="A68" t="str">
            <v>SBC1131</v>
          </cell>
        </row>
        <row r="68">
          <cell r="AK68">
            <v>907</v>
          </cell>
        </row>
        <row r="69">
          <cell r="A69" t="str">
            <v>SSC3009</v>
          </cell>
        </row>
        <row r="69">
          <cell r="AK69">
            <v>901</v>
          </cell>
        </row>
        <row r="70">
          <cell r="A70" t="str">
            <v>SCS4003</v>
          </cell>
        </row>
        <row r="70">
          <cell r="AK70">
            <v>899</v>
          </cell>
        </row>
        <row r="71">
          <cell r="A71" t="str">
            <v>SWC5019</v>
          </cell>
        </row>
        <row r="71">
          <cell r="AK71">
            <v>898</v>
          </cell>
        </row>
        <row r="72">
          <cell r="A72" t="str">
            <v>SCC2062</v>
          </cell>
        </row>
        <row r="72">
          <cell r="AK72">
            <v>869</v>
          </cell>
        </row>
        <row r="73">
          <cell r="A73" t="str">
            <v>SBC1122B</v>
          </cell>
        </row>
        <row r="73">
          <cell r="AK73">
            <v>869</v>
          </cell>
        </row>
        <row r="74">
          <cell r="A74" t="str">
            <v>SWC5003L</v>
          </cell>
        </row>
        <row r="74">
          <cell r="AK74">
            <v>867</v>
          </cell>
        </row>
        <row r="75">
          <cell r="A75" t="str">
            <v>SBC1115</v>
          </cell>
        </row>
        <row r="75">
          <cell r="AK75">
            <v>855</v>
          </cell>
        </row>
        <row r="76">
          <cell r="A76" t="str">
            <v>SBC1152</v>
          </cell>
        </row>
        <row r="76">
          <cell r="AK76">
            <v>855</v>
          </cell>
        </row>
        <row r="77">
          <cell r="A77" t="str">
            <v>SBC1141</v>
          </cell>
        </row>
        <row r="77">
          <cell r="AK77">
            <v>843</v>
          </cell>
        </row>
        <row r="78">
          <cell r="A78" t="str">
            <v>SCC2083</v>
          </cell>
        </row>
        <row r="78">
          <cell r="AK78">
            <v>841</v>
          </cell>
        </row>
        <row r="79">
          <cell r="A79" t="str">
            <v>SBC1116</v>
          </cell>
        </row>
        <row r="79">
          <cell r="AK79">
            <v>830</v>
          </cell>
        </row>
        <row r="80">
          <cell r="A80" t="str">
            <v>SBC1022</v>
          </cell>
        </row>
        <row r="80">
          <cell r="AK80">
            <v>829</v>
          </cell>
        </row>
        <row r="81">
          <cell r="A81" t="str">
            <v>SBC1113</v>
          </cell>
        </row>
        <row r="81">
          <cell r="AK81">
            <v>828</v>
          </cell>
        </row>
        <row r="82">
          <cell r="A82" t="str">
            <v>SBC1031</v>
          </cell>
        </row>
        <row r="82">
          <cell r="AK82">
            <v>826</v>
          </cell>
        </row>
        <row r="83">
          <cell r="A83" t="str">
            <v>SBC1160</v>
          </cell>
        </row>
        <row r="83">
          <cell r="AK83">
            <v>825</v>
          </cell>
        </row>
        <row r="84">
          <cell r="A84" t="str">
            <v>SCC2010</v>
          </cell>
        </row>
        <row r="84">
          <cell r="AK84">
            <v>816</v>
          </cell>
        </row>
        <row r="85">
          <cell r="A85" t="str">
            <v>SCC2061</v>
          </cell>
        </row>
        <row r="85">
          <cell r="AK85">
            <v>816</v>
          </cell>
        </row>
        <row r="86">
          <cell r="A86" t="str">
            <v>SCS4017</v>
          </cell>
        </row>
        <row r="86">
          <cell r="AK86">
            <v>811</v>
          </cell>
        </row>
        <row r="87">
          <cell r="A87" t="str">
            <v>SCC2025A</v>
          </cell>
        </row>
        <row r="87">
          <cell r="AK87">
            <v>808</v>
          </cell>
        </row>
        <row r="88">
          <cell r="A88" t="str">
            <v>SWC5004</v>
          </cell>
        </row>
        <row r="88">
          <cell r="AK88">
            <v>800</v>
          </cell>
        </row>
        <row r="89">
          <cell r="A89" t="str">
            <v>SBC1155</v>
          </cell>
        </row>
        <row r="89">
          <cell r="AK89">
            <v>796</v>
          </cell>
        </row>
        <row r="90">
          <cell r="A90" t="str">
            <v>SBC1121</v>
          </cell>
        </row>
        <row r="90">
          <cell r="AK90">
            <v>792</v>
          </cell>
        </row>
        <row r="91">
          <cell r="A91" t="str">
            <v>SWC5018</v>
          </cell>
        </row>
        <row r="91">
          <cell r="AK91">
            <v>788</v>
          </cell>
        </row>
        <row r="92">
          <cell r="A92" t="str">
            <v>SBS8001</v>
          </cell>
        </row>
        <row r="92">
          <cell r="AK92">
            <v>787</v>
          </cell>
        </row>
        <row r="93">
          <cell r="A93" t="str">
            <v>SBS8007</v>
          </cell>
        </row>
        <row r="93">
          <cell r="AK93">
            <v>785</v>
          </cell>
        </row>
        <row r="94">
          <cell r="A94" t="str">
            <v>SWC5016</v>
          </cell>
        </row>
        <row r="94">
          <cell r="AK94">
            <v>774</v>
          </cell>
        </row>
        <row r="95">
          <cell r="A95" t="str">
            <v>SBC1120</v>
          </cell>
        </row>
        <row r="95">
          <cell r="AK95">
            <v>766</v>
          </cell>
        </row>
        <row r="96">
          <cell r="A96" t="str">
            <v>SSC3002</v>
          </cell>
        </row>
        <row r="96">
          <cell r="AK96">
            <v>764</v>
          </cell>
        </row>
        <row r="97">
          <cell r="A97" t="str">
            <v>SPF5001K</v>
          </cell>
        </row>
        <row r="97">
          <cell r="AK97">
            <v>764</v>
          </cell>
        </row>
        <row r="98">
          <cell r="A98" t="str">
            <v>SBC1118A</v>
          </cell>
        </row>
        <row r="98">
          <cell r="AK98">
            <v>764</v>
          </cell>
        </row>
        <row r="99">
          <cell r="A99" t="str">
            <v>SCS4019</v>
          </cell>
        </row>
        <row r="99">
          <cell r="AK99">
            <v>758</v>
          </cell>
        </row>
        <row r="100">
          <cell r="A100" t="str">
            <v>SWC5023</v>
          </cell>
        </row>
        <row r="100">
          <cell r="AK100">
            <v>755</v>
          </cell>
        </row>
        <row r="101">
          <cell r="A101" t="str">
            <v>SCC2052</v>
          </cell>
        </row>
        <row r="101">
          <cell r="AK101">
            <v>748</v>
          </cell>
        </row>
        <row r="102">
          <cell r="A102" t="str">
            <v>SBC1126A</v>
          </cell>
        </row>
        <row r="102">
          <cell r="AK102">
            <v>740</v>
          </cell>
        </row>
        <row r="103">
          <cell r="A103" t="str">
            <v>SBC1041</v>
          </cell>
        </row>
        <row r="103">
          <cell r="AK103">
            <v>737</v>
          </cell>
        </row>
        <row r="104">
          <cell r="A104" t="str">
            <v>SWC5029</v>
          </cell>
        </row>
        <row r="104">
          <cell r="AK104">
            <v>736</v>
          </cell>
        </row>
        <row r="105">
          <cell r="A105" t="str">
            <v>SWC5007</v>
          </cell>
        </row>
        <row r="105">
          <cell r="AK105">
            <v>733</v>
          </cell>
        </row>
        <row r="106">
          <cell r="A106" t="str">
            <v>SSC3019</v>
          </cell>
        </row>
        <row r="106">
          <cell r="AK106">
            <v>731</v>
          </cell>
        </row>
        <row r="107">
          <cell r="A107" t="str">
            <v>SBC1044</v>
          </cell>
        </row>
        <row r="107">
          <cell r="AK107">
            <v>726</v>
          </cell>
        </row>
        <row r="108">
          <cell r="A108" t="str">
            <v>SCC2044</v>
          </cell>
        </row>
        <row r="108">
          <cell r="AK108">
            <v>723</v>
          </cell>
        </row>
        <row r="109">
          <cell r="A109" t="str">
            <v>SCC2027</v>
          </cell>
        </row>
        <row r="109">
          <cell r="AK109">
            <v>713</v>
          </cell>
        </row>
        <row r="110">
          <cell r="A110" t="str">
            <v>SBC1122A</v>
          </cell>
        </row>
        <row r="110">
          <cell r="AK110">
            <v>712</v>
          </cell>
        </row>
        <row r="111">
          <cell r="A111" t="str">
            <v>SWC5009</v>
          </cell>
        </row>
        <row r="111">
          <cell r="AK111">
            <v>710</v>
          </cell>
        </row>
        <row r="112">
          <cell r="A112" t="str">
            <v>SWC5021</v>
          </cell>
        </row>
        <row r="112">
          <cell r="AK112">
            <v>709</v>
          </cell>
        </row>
        <row r="113">
          <cell r="A113" t="str">
            <v>SWC5026</v>
          </cell>
        </row>
        <row r="113">
          <cell r="AK113">
            <v>698</v>
          </cell>
        </row>
        <row r="114">
          <cell r="A114" t="str">
            <v>SBC1101</v>
          </cell>
        </row>
        <row r="114">
          <cell r="AK114">
            <v>692</v>
          </cell>
        </row>
        <row r="115">
          <cell r="A115" t="str">
            <v>SWC5054</v>
          </cell>
        </row>
        <row r="115">
          <cell r="AK115">
            <v>690</v>
          </cell>
        </row>
        <row r="116">
          <cell r="A116" t="str">
            <v>SBC1112</v>
          </cell>
        </row>
        <row r="116">
          <cell r="AK116">
            <v>684</v>
          </cell>
        </row>
        <row r="117">
          <cell r="A117" t="str">
            <v>SBC1161</v>
          </cell>
        </row>
        <row r="117">
          <cell r="AK117">
            <v>676</v>
          </cell>
        </row>
        <row r="118">
          <cell r="A118" t="str">
            <v>SCC2057</v>
          </cell>
        </row>
        <row r="118">
          <cell r="AK118">
            <v>672</v>
          </cell>
        </row>
        <row r="119">
          <cell r="A119" t="str">
            <v>SBC1073</v>
          </cell>
        </row>
        <row r="119">
          <cell r="AK119">
            <v>670</v>
          </cell>
        </row>
        <row r="120">
          <cell r="A120" t="str">
            <v>SCC2014</v>
          </cell>
        </row>
        <row r="120">
          <cell r="AK120">
            <v>663</v>
          </cell>
        </row>
        <row r="121">
          <cell r="A121" t="str">
            <v>SBC1119</v>
          </cell>
        </row>
        <row r="121">
          <cell r="AK121">
            <v>662</v>
          </cell>
        </row>
        <row r="122">
          <cell r="A122" t="str">
            <v>SBC1080B</v>
          </cell>
        </row>
        <row r="122">
          <cell r="AK122">
            <v>662</v>
          </cell>
        </row>
        <row r="123">
          <cell r="A123" t="str">
            <v>SBC1002</v>
          </cell>
        </row>
        <row r="123">
          <cell r="AK123">
            <v>659</v>
          </cell>
        </row>
        <row r="124">
          <cell r="A124" t="str">
            <v>SBS8019</v>
          </cell>
        </row>
        <row r="124">
          <cell r="AK124">
            <v>656</v>
          </cell>
        </row>
        <row r="125">
          <cell r="A125" t="str">
            <v>SWC5036</v>
          </cell>
        </row>
        <row r="125">
          <cell r="AK125">
            <v>653</v>
          </cell>
        </row>
        <row r="126">
          <cell r="A126" t="str">
            <v>SCC2082</v>
          </cell>
        </row>
        <row r="126">
          <cell r="AK126">
            <v>653</v>
          </cell>
        </row>
        <row r="127">
          <cell r="A127" t="str">
            <v>SBC1147</v>
          </cell>
        </row>
        <row r="127">
          <cell r="AK127">
            <v>651</v>
          </cell>
        </row>
        <row r="128">
          <cell r="A128" t="str">
            <v>SWC5012</v>
          </cell>
        </row>
        <row r="128">
          <cell r="AK128">
            <v>648</v>
          </cell>
        </row>
        <row r="129">
          <cell r="A129" t="str">
            <v>SCC2085</v>
          </cell>
        </row>
        <row r="129">
          <cell r="AK129">
            <v>646</v>
          </cell>
        </row>
        <row r="130">
          <cell r="A130" t="str">
            <v>SBC1122M</v>
          </cell>
        </row>
        <row r="130">
          <cell r="AK130">
            <v>640</v>
          </cell>
        </row>
        <row r="131">
          <cell r="A131" t="str">
            <v>SCC2033</v>
          </cell>
        </row>
        <row r="131">
          <cell r="AK131">
            <v>638</v>
          </cell>
        </row>
        <row r="132">
          <cell r="A132" t="str">
            <v>SBC1093</v>
          </cell>
        </row>
        <row r="132">
          <cell r="AK132">
            <v>628</v>
          </cell>
        </row>
        <row r="133">
          <cell r="A133" t="str">
            <v>SWC5017</v>
          </cell>
        </row>
        <row r="133">
          <cell r="AK133">
            <v>628</v>
          </cell>
        </row>
        <row r="134">
          <cell r="A134" t="str">
            <v>SBC1086</v>
          </cell>
        </row>
        <row r="134">
          <cell r="AK134">
            <v>624</v>
          </cell>
        </row>
        <row r="135">
          <cell r="A135" t="str">
            <v>SCC2040</v>
          </cell>
        </row>
        <row r="135">
          <cell r="AK135">
            <v>620</v>
          </cell>
        </row>
        <row r="136">
          <cell r="A136" t="str">
            <v>SBC1129</v>
          </cell>
        </row>
        <row r="136">
          <cell r="AK136">
            <v>620</v>
          </cell>
        </row>
        <row r="137">
          <cell r="A137" t="str">
            <v>SBS8002</v>
          </cell>
        </row>
        <row r="137">
          <cell r="AK137">
            <v>618</v>
          </cell>
        </row>
        <row r="138">
          <cell r="A138" t="str">
            <v>SBC1029</v>
          </cell>
        </row>
        <row r="138">
          <cell r="AK138">
            <v>602</v>
          </cell>
        </row>
        <row r="139">
          <cell r="A139" t="str">
            <v>SSC3030</v>
          </cell>
        </row>
        <row r="139">
          <cell r="AK139">
            <v>599</v>
          </cell>
        </row>
        <row r="140">
          <cell r="A140" t="str">
            <v>SBC1151</v>
          </cell>
        </row>
        <row r="140">
          <cell r="AK140">
            <v>599</v>
          </cell>
        </row>
        <row r="141">
          <cell r="A141" t="str">
            <v>SOC9000</v>
          </cell>
        </row>
        <row r="141">
          <cell r="AK141">
            <v>595</v>
          </cell>
        </row>
        <row r="142">
          <cell r="A142" t="str">
            <v>SCC2031</v>
          </cell>
        </row>
        <row r="142">
          <cell r="AK142">
            <v>593</v>
          </cell>
        </row>
        <row r="143">
          <cell r="A143" t="str">
            <v>SCS4018</v>
          </cell>
        </row>
        <row r="143">
          <cell r="AK143">
            <v>591</v>
          </cell>
        </row>
        <row r="144">
          <cell r="A144" t="str">
            <v>SCC2016</v>
          </cell>
        </row>
        <row r="144">
          <cell r="AK144">
            <v>590</v>
          </cell>
        </row>
        <row r="145">
          <cell r="A145" t="str">
            <v>SNB1466</v>
          </cell>
        </row>
        <row r="145">
          <cell r="AK145">
            <v>581</v>
          </cell>
        </row>
        <row r="146">
          <cell r="A146" t="str">
            <v>SSC3004</v>
          </cell>
        </row>
        <row r="146">
          <cell r="AK146">
            <v>577</v>
          </cell>
        </row>
        <row r="147">
          <cell r="A147" t="str">
            <v>SBC1026</v>
          </cell>
        </row>
        <row r="147">
          <cell r="AK147">
            <v>575</v>
          </cell>
        </row>
        <row r="148">
          <cell r="A148" t="str">
            <v>SSC3022</v>
          </cell>
        </row>
        <row r="148">
          <cell r="AK148">
            <v>575</v>
          </cell>
        </row>
        <row r="149">
          <cell r="A149" t="str">
            <v>SBC1028</v>
          </cell>
        </row>
        <row r="149">
          <cell r="AK149">
            <v>573</v>
          </cell>
        </row>
        <row r="150">
          <cell r="A150" t="str">
            <v>SCS4020</v>
          </cell>
        </row>
        <row r="150">
          <cell r="AK150">
            <v>572</v>
          </cell>
        </row>
        <row r="151">
          <cell r="A151" t="str">
            <v>SCC2003</v>
          </cell>
        </row>
        <row r="151">
          <cell r="AK151">
            <v>570</v>
          </cell>
        </row>
        <row r="152">
          <cell r="A152" t="str">
            <v>SCS4034</v>
          </cell>
        </row>
        <row r="152">
          <cell r="AK152">
            <v>570</v>
          </cell>
        </row>
        <row r="153">
          <cell r="A153" t="str">
            <v>SCC2032</v>
          </cell>
        </row>
        <row r="153">
          <cell r="AK153">
            <v>569</v>
          </cell>
        </row>
        <row r="154">
          <cell r="A154" t="str">
            <v>SBC1153</v>
          </cell>
        </row>
        <row r="154">
          <cell r="AK154">
            <v>568</v>
          </cell>
        </row>
        <row r="155">
          <cell r="A155" t="str">
            <v>SWC5022</v>
          </cell>
        </row>
        <row r="155">
          <cell r="AK155">
            <v>566</v>
          </cell>
        </row>
        <row r="156">
          <cell r="A156" t="str">
            <v>SCC2002</v>
          </cell>
        </row>
        <row r="156">
          <cell r="AK156">
            <v>562</v>
          </cell>
        </row>
        <row r="157">
          <cell r="A157" t="str">
            <v>SCC2079</v>
          </cell>
        </row>
        <row r="157">
          <cell r="AK157">
            <v>562</v>
          </cell>
        </row>
        <row r="158">
          <cell r="A158" t="str">
            <v>SSC3007</v>
          </cell>
        </row>
        <row r="158">
          <cell r="AK158">
            <v>558</v>
          </cell>
        </row>
        <row r="159">
          <cell r="A159" t="str">
            <v>SBC1190</v>
          </cell>
        </row>
        <row r="159">
          <cell r="AK159">
            <v>558</v>
          </cell>
        </row>
        <row r="160">
          <cell r="A160" t="str">
            <v>SBC1091</v>
          </cell>
        </row>
        <row r="160">
          <cell r="AK160">
            <v>557</v>
          </cell>
        </row>
        <row r="161">
          <cell r="A161" t="str">
            <v>SCC2090</v>
          </cell>
        </row>
        <row r="161">
          <cell r="AK161">
            <v>557</v>
          </cell>
        </row>
        <row r="162">
          <cell r="A162" t="str">
            <v>SWC5010</v>
          </cell>
        </row>
        <row r="162">
          <cell r="AK162">
            <v>556</v>
          </cell>
        </row>
        <row r="163">
          <cell r="A163" t="str">
            <v>SCC2074</v>
          </cell>
        </row>
        <row r="163">
          <cell r="AK163">
            <v>553</v>
          </cell>
        </row>
        <row r="164">
          <cell r="A164" t="str">
            <v>SSC3010</v>
          </cell>
        </row>
        <row r="164">
          <cell r="AK164">
            <v>545</v>
          </cell>
        </row>
        <row r="165">
          <cell r="A165" t="str">
            <v>SBS8014</v>
          </cell>
        </row>
        <row r="165">
          <cell r="AK165">
            <v>544</v>
          </cell>
        </row>
        <row r="166">
          <cell r="A166" t="str">
            <v>SWC5030</v>
          </cell>
        </row>
        <row r="166">
          <cell r="AK166">
            <v>540</v>
          </cell>
        </row>
        <row r="167">
          <cell r="A167" t="str">
            <v>SCS4013</v>
          </cell>
        </row>
        <row r="167">
          <cell r="AK167">
            <v>537</v>
          </cell>
        </row>
        <row r="168">
          <cell r="A168" t="str">
            <v>SBC1004</v>
          </cell>
        </row>
        <row r="168">
          <cell r="AK168">
            <v>535</v>
          </cell>
        </row>
        <row r="169">
          <cell r="A169" t="str">
            <v>SBC1084</v>
          </cell>
        </row>
        <row r="169">
          <cell r="AK169">
            <v>535</v>
          </cell>
        </row>
        <row r="170">
          <cell r="A170" t="str">
            <v>SBC1096</v>
          </cell>
        </row>
        <row r="170">
          <cell r="AK170">
            <v>532</v>
          </cell>
        </row>
        <row r="171">
          <cell r="A171" t="str">
            <v>SCC2007</v>
          </cell>
        </row>
        <row r="171">
          <cell r="AK171">
            <v>520</v>
          </cell>
        </row>
        <row r="172">
          <cell r="A172" t="str">
            <v>SBC1154</v>
          </cell>
        </row>
        <row r="172">
          <cell r="AK172">
            <v>520</v>
          </cell>
        </row>
        <row r="173">
          <cell r="A173" t="str">
            <v>SCC2076</v>
          </cell>
        </row>
        <row r="173">
          <cell r="AK173">
            <v>519</v>
          </cell>
        </row>
        <row r="174">
          <cell r="A174" t="str">
            <v>SCC2054</v>
          </cell>
        </row>
        <row r="174">
          <cell r="AK174">
            <v>518</v>
          </cell>
        </row>
        <row r="175">
          <cell r="A175" t="str">
            <v>SBS8018</v>
          </cell>
        </row>
        <row r="175">
          <cell r="AK175">
            <v>510</v>
          </cell>
        </row>
        <row r="176">
          <cell r="A176" t="str">
            <v>SPF5002K</v>
          </cell>
        </row>
        <row r="176">
          <cell r="AK176">
            <v>508</v>
          </cell>
        </row>
        <row r="177">
          <cell r="A177" t="str">
            <v>SSC3036</v>
          </cell>
        </row>
        <row r="177">
          <cell r="AK177">
            <v>504</v>
          </cell>
        </row>
        <row r="178">
          <cell r="A178" t="str">
            <v>SBC1150</v>
          </cell>
        </row>
        <row r="178">
          <cell r="AK178">
            <v>502</v>
          </cell>
        </row>
        <row r="179">
          <cell r="A179" t="str">
            <v>SBS8027</v>
          </cell>
        </row>
        <row r="179">
          <cell r="AK179">
            <v>500</v>
          </cell>
        </row>
        <row r="180">
          <cell r="A180" t="str">
            <v>SBS8030</v>
          </cell>
        </row>
        <row r="180">
          <cell r="AK180">
            <v>499</v>
          </cell>
        </row>
        <row r="181">
          <cell r="A181" t="str">
            <v>SWC5055</v>
          </cell>
        </row>
        <row r="181">
          <cell r="AK181">
            <v>499</v>
          </cell>
        </row>
        <row r="182">
          <cell r="A182" t="str">
            <v>SBC1005R</v>
          </cell>
        </row>
        <row r="182">
          <cell r="AK182">
            <v>498</v>
          </cell>
        </row>
        <row r="183">
          <cell r="A183" t="str">
            <v>SBC1136</v>
          </cell>
        </row>
        <row r="183">
          <cell r="AK183">
            <v>497</v>
          </cell>
        </row>
        <row r="184">
          <cell r="A184" t="str">
            <v>SWC5053</v>
          </cell>
        </row>
        <row r="184">
          <cell r="AK184">
            <v>497</v>
          </cell>
        </row>
        <row r="185">
          <cell r="A185" t="str">
            <v>SCC2012</v>
          </cell>
        </row>
        <row r="185">
          <cell r="AK185">
            <v>496</v>
          </cell>
        </row>
        <row r="186">
          <cell r="A186" t="str">
            <v>SBC1003</v>
          </cell>
        </row>
        <row r="186">
          <cell r="AK186">
            <v>492</v>
          </cell>
        </row>
        <row r="187">
          <cell r="A187" t="str">
            <v>SBC1108</v>
          </cell>
        </row>
        <row r="187">
          <cell r="AK187">
            <v>491</v>
          </cell>
        </row>
        <row r="188">
          <cell r="A188" t="str">
            <v>SBC1078</v>
          </cell>
        </row>
        <row r="188">
          <cell r="AK188">
            <v>490</v>
          </cell>
        </row>
        <row r="189">
          <cell r="A189" t="str">
            <v>SBC1149</v>
          </cell>
        </row>
        <row r="189">
          <cell r="AK189">
            <v>490</v>
          </cell>
        </row>
        <row r="190">
          <cell r="A190" t="str">
            <v>SWC5005</v>
          </cell>
        </row>
        <row r="190">
          <cell r="AK190">
            <v>490</v>
          </cell>
        </row>
        <row r="191">
          <cell r="A191" t="str">
            <v>SBC1148</v>
          </cell>
        </row>
        <row r="191">
          <cell r="AK191">
            <v>485</v>
          </cell>
        </row>
        <row r="192">
          <cell r="A192" t="str">
            <v>SBC1089</v>
          </cell>
        </row>
        <row r="192">
          <cell r="AK192">
            <v>483</v>
          </cell>
        </row>
        <row r="193">
          <cell r="A193" t="str">
            <v>SBC1075</v>
          </cell>
        </row>
        <row r="193">
          <cell r="AK193">
            <v>482</v>
          </cell>
        </row>
        <row r="194">
          <cell r="A194" t="str">
            <v>SBS8033</v>
          </cell>
        </row>
        <row r="194">
          <cell r="AK194">
            <v>480</v>
          </cell>
        </row>
        <row r="195">
          <cell r="A195" t="str">
            <v>SBC1065</v>
          </cell>
        </row>
        <row r="195">
          <cell r="AK195">
            <v>475</v>
          </cell>
        </row>
        <row r="196">
          <cell r="A196" t="str">
            <v>SWC5024</v>
          </cell>
        </row>
        <row r="196">
          <cell r="AK196">
            <v>473</v>
          </cell>
        </row>
        <row r="197">
          <cell r="A197" t="str">
            <v>SCC2063</v>
          </cell>
        </row>
        <row r="197">
          <cell r="AK197">
            <v>471</v>
          </cell>
        </row>
        <row r="198">
          <cell r="A198" t="str">
            <v>SBS8034</v>
          </cell>
        </row>
        <row r="198">
          <cell r="AK198">
            <v>471</v>
          </cell>
        </row>
        <row r="199">
          <cell r="A199" t="str">
            <v>SBS8043</v>
          </cell>
        </row>
        <row r="199">
          <cell r="AK199">
            <v>469</v>
          </cell>
        </row>
        <row r="200">
          <cell r="A200" t="str">
            <v>SBS8000</v>
          </cell>
        </row>
        <row r="200">
          <cell r="AK200">
            <v>467</v>
          </cell>
        </row>
        <row r="201">
          <cell r="A201" t="str">
            <v>SBC1082</v>
          </cell>
        </row>
        <row r="201">
          <cell r="AK201">
            <v>466</v>
          </cell>
        </row>
        <row r="202">
          <cell r="A202" t="str">
            <v>SCC2051</v>
          </cell>
        </row>
        <row r="202">
          <cell r="AK202">
            <v>464</v>
          </cell>
        </row>
        <row r="203">
          <cell r="A203" t="str">
            <v>SBC1098</v>
          </cell>
        </row>
        <row r="203">
          <cell r="AK203">
            <v>459</v>
          </cell>
        </row>
        <row r="204">
          <cell r="A204" t="str">
            <v>SCC2087</v>
          </cell>
        </row>
        <row r="204">
          <cell r="AK204">
            <v>458</v>
          </cell>
        </row>
        <row r="205">
          <cell r="A205" t="str">
            <v>SBS8009</v>
          </cell>
        </row>
        <row r="205">
          <cell r="AK205">
            <v>458</v>
          </cell>
        </row>
        <row r="206">
          <cell r="A206" t="str">
            <v>SCC2011</v>
          </cell>
        </row>
        <row r="206">
          <cell r="AK206">
            <v>456</v>
          </cell>
        </row>
        <row r="207">
          <cell r="A207" t="str">
            <v>SBC1109</v>
          </cell>
        </row>
        <row r="207">
          <cell r="AK207">
            <v>456</v>
          </cell>
        </row>
        <row r="208">
          <cell r="A208" t="str">
            <v>SWC5037</v>
          </cell>
        </row>
        <row r="208">
          <cell r="AK208">
            <v>456</v>
          </cell>
        </row>
        <row r="209">
          <cell r="A209" t="str">
            <v>SBC1013</v>
          </cell>
        </row>
        <row r="209">
          <cell r="AK209">
            <v>455</v>
          </cell>
        </row>
        <row r="210">
          <cell r="A210" t="str">
            <v>SBC1064</v>
          </cell>
        </row>
        <row r="210">
          <cell r="AK210">
            <v>455</v>
          </cell>
        </row>
        <row r="211">
          <cell r="A211" t="str">
            <v>SBC1139</v>
          </cell>
        </row>
        <row r="211">
          <cell r="AK211">
            <v>450</v>
          </cell>
        </row>
        <row r="212">
          <cell r="A212" t="str">
            <v>SBC1106</v>
          </cell>
        </row>
        <row r="212">
          <cell r="AK212">
            <v>448</v>
          </cell>
        </row>
        <row r="213">
          <cell r="A213" t="str">
            <v>SBS8026</v>
          </cell>
        </row>
        <row r="213">
          <cell r="AK213">
            <v>446</v>
          </cell>
        </row>
        <row r="214">
          <cell r="A214" t="str">
            <v>SSC3017</v>
          </cell>
        </row>
        <row r="214">
          <cell r="AK214">
            <v>435</v>
          </cell>
        </row>
        <row r="215">
          <cell r="A215" t="str">
            <v>SBS8008</v>
          </cell>
        </row>
        <row r="215">
          <cell r="AK215">
            <v>428</v>
          </cell>
        </row>
        <row r="216">
          <cell r="A216" t="str">
            <v>SBC1128</v>
          </cell>
        </row>
        <row r="216">
          <cell r="AK216">
            <v>423</v>
          </cell>
        </row>
        <row r="217">
          <cell r="A217" t="str">
            <v>SSC3032</v>
          </cell>
        </row>
        <row r="217">
          <cell r="AK217">
            <v>414</v>
          </cell>
        </row>
        <row r="218">
          <cell r="A218" t="str">
            <v>SSC3039</v>
          </cell>
        </row>
        <row r="218">
          <cell r="AK218">
            <v>410</v>
          </cell>
        </row>
        <row r="219">
          <cell r="A219" t="str">
            <v>SCC2006</v>
          </cell>
        </row>
        <row r="219">
          <cell r="AK219">
            <v>409</v>
          </cell>
        </row>
        <row r="220">
          <cell r="A220" t="str">
            <v>SBC1040</v>
          </cell>
        </row>
        <row r="220">
          <cell r="AK220">
            <v>408</v>
          </cell>
        </row>
        <row r="221">
          <cell r="A221" t="str">
            <v>SWC5050</v>
          </cell>
        </row>
        <row r="221">
          <cell r="AK221">
            <v>408</v>
          </cell>
        </row>
        <row r="222">
          <cell r="A222" t="str">
            <v>SWC5001</v>
          </cell>
        </row>
        <row r="222">
          <cell r="AK222">
            <v>407</v>
          </cell>
        </row>
        <row r="223">
          <cell r="A223" t="str">
            <v>SSC3031</v>
          </cell>
        </row>
        <row r="223">
          <cell r="AK223">
            <v>405</v>
          </cell>
        </row>
        <row r="224">
          <cell r="A224" t="str">
            <v>SCC2086</v>
          </cell>
        </row>
        <row r="224">
          <cell r="AK224">
            <v>403</v>
          </cell>
        </row>
        <row r="225">
          <cell r="A225" t="str">
            <v>SWC5035</v>
          </cell>
        </row>
        <row r="225">
          <cell r="AK225">
            <v>402</v>
          </cell>
        </row>
        <row r="226">
          <cell r="A226" t="str">
            <v>SBS8003</v>
          </cell>
        </row>
        <row r="226">
          <cell r="AK226">
            <v>399</v>
          </cell>
        </row>
        <row r="227">
          <cell r="A227" t="str">
            <v>SWP027</v>
          </cell>
        </row>
        <row r="227">
          <cell r="AK227">
            <v>398</v>
          </cell>
        </row>
        <row r="228">
          <cell r="A228" t="str">
            <v>SWC5045L</v>
          </cell>
        </row>
        <row r="228">
          <cell r="AK228">
            <v>398</v>
          </cell>
        </row>
        <row r="229">
          <cell r="A229" t="str">
            <v>SNB1465A</v>
          </cell>
        </row>
        <row r="229">
          <cell r="AK229">
            <v>396</v>
          </cell>
        </row>
        <row r="230">
          <cell r="A230" t="str">
            <v>SBS8031</v>
          </cell>
        </row>
        <row r="230">
          <cell r="AK230">
            <v>396</v>
          </cell>
        </row>
        <row r="231">
          <cell r="A231" t="str">
            <v>SBS8044</v>
          </cell>
        </row>
        <row r="231">
          <cell r="AK231">
            <v>396</v>
          </cell>
        </row>
        <row r="232">
          <cell r="A232" t="str">
            <v>SBS8040</v>
          </cell>
        </row>
        <row r="232">
          <cell r="AK232">
            <v>393</v>
          </cell>
        </row>
        <row r="233">
          <cell r="A233" t="str">
            <v>SBS8090</v>
          </cell>
        </row>
        <row r="233">
          <cell r="AK233">
            <v>388</v>
          </cell>
        </row>
        <row r="234">
          <cell r="A234" t="str">
            <v>SBC1156</v>
          </cell>
        </row>
        <row r="234">
          <cell r="AK234">
            <v>380</v>
          </cell>
        </row>
        <row r="235">
          <cell r="A235" t="str">
            <v>SWC5025R</v>
          </cell>
        </row>
        <row r="235">
          <cell r="AK235">
            <v>377</v>
          </cell>
        </row>
        <row r="236">
          <cell r="A236" t="str">
            <v>SCC2005</v>
          </cell>
        </row>
        <row r="236">
          <cell r="AK236">
            <v>376</v>
          </cell>
        </row>
        <row r="237">
          <cell r="A237" t="str">
            <v>SCC2071</v>
          </cell>
        </row>
        <row r="237">
          <cell r="AK237">
            <v>374</v>
          </cell>
        </row>
        <row r="238">
          <cell r="A238" t="str">
            <v>SWC5044L</v>
          </cell>
        </row>
        <row r="238">
          <cell r="AK238">
            <v>369</v>
          </cell>
        </row>
        <row r="239">
          <cell r="A239" t="str">
            <v>SBC1118</v>
          </cell>
        </row>
        <row r="239">
          <cell r="AK239">
            <v>368</v>
          </cell>
        </row>
        <row r="240">
          <cell r="A240" t="str">
            <v>SBC1088</v>
          </cell>
        </row>
        <row r="240">
          <cell r="AK240">
            <v>365</v>
          </cell>
        </row>
        <row r="241">
          <cell r="A241" t="str">
            <v>SWC5044R</v>
          </cell>
        </row>
        <row r="241">
          <cell r="AK241">
            <v>363</v>
          </cell>
        </row>
        <row r="242">
          <cell r="A242" t="str">
            <v>SCC2022</v>
          </cell>
        </row>
        <row r="242">
          <cell r="AK242">
            <v>361</v>
          </cell>
        </row>
        <row r="243">
          <cell r="A243" t="str">
            <v>SCS4029</v>
          </cell>
        </row>
        <row r="243">
          <cell r="AK243">
            <v>359</v>
          </cell>
        </row>
        <row r="244">
          <cell r="A244" t="str">
            <v>SBC1102</v>
          </cell>
        </row>
        <row r="244">
          <cell r="AK244">
            <v>358</v>
          </cell>
        </row>
        <row r="245">
          <cell r="A245" t="str">
            <v>SBS8046</v>
          </cell>
        </row>
        <row r="245">
          <cell r="AK245">
            <v>357</v>
          </cell>
        </row>
        <row r="246">
          <cell r="A246" t="str">
            <v>SBC1176</v>
          </cell>
        </row>
        <row r="246">
          <cell r="AK246">
            <v>356</v>
          </cell>
        </row>
        <row r="247">
          <cell r="A247" t="str">
            <v>SBC1168</v>
          </cell>
        </row>
        <row r="247">
          <cell r="AK247">
            <v>355</v>
          </cell>
        </row>
        <row r="248">
          <cell r="A248" t="str">
            <v>SBC1042NR</v>
          </cell>
        </row>
        <row r="248">
          <cell r="AK248">
            <v>354</v>
          </cell>
        </row>
        <row r="249">
          <cell r="A249" t="str">
            <v>SBC1114</v>
          </cell>
        </row>
        <row r="249">
          <cell r="AK249">
            <v>353</v>
          </cell>
        </row>
        <row r="250">
          <cell r="A250" t="str">
            <v>SWP232H</v>
          </cell>
        </row>
        <row r="250">
          <cell r="AK250">
            <v>352</v>
          </cell>
        </row>
        <row r="251">
          <cell r="A251" t="str">
            <v>SCC2069</v>
          </cell>
        </row>
        <row r="251">
          <cell r="AK251">
            <v>350</v>
          </cell>
        </row>
        <row r="252">
          <cell r="A252" t="str">
            <v>SBC1143</v>
          </cell>
        </row>
        <row r="252">
          <cell r="AK252">
            <v>348</v>
          </cell>
        </row>
        <row r="253">
          <cell r="A253" t="str">
            <v>SBC1177</v>
          </cell>
        </row>
        <row r="253">
          <cell r="AK253">
            <v>347</v>
          </cell>
        </row>
        <row r="254">
          <cell r="A254" t="str">
            <v>SCC2004</v>
          </cell>
        </row>
        <row r="254">
          <cell r="AK254">
            <v>346</v>
          </cell>
        </row>
        <row r="255">
          <cell r="A255" t="str">
            <v>SCC2075</v>
          </cell>
        </row>
        <row r="255">
          <cell r="AK255">
            <v>345</v>
          </cell>
        </row>
        <row r="256">
          <cell r="A256" t="str">
            <v>SBC1039</v>
          </cell>
        </row>
        <row r="256">
          <cell r="AK256">
            <v>342</v>
          </cell>
        </row>
        <row r="257">
          <cell r="A257" t="str">
            <v>SWC5014L</v>
          </cell>
        </row>
        <row r="257">
          <cell r="AK257">
            <v>342</v>
          </cell>
        </row>
        <row r="258">
          <cell r="A258" t="str">
            <v>SCC2067</v>
          </cell>
        </row>
        <row r="258">
          <cell r="AK258">
            <v>341</v>
          </cell>
        </row>
        <row r="259">
          <cell r="A259" t="str">
            <v>SBS8079</v>
          </cell>
        </row>
        <row r="259">
          <cell r="AK259">
            <v>341</v>
          </cell>
        </row>
        <row r="260">
          <cell r="A260" t="str">
            <v>SCS4033</v>
          </cell>
        </row>
        <row r="260">
          <cell r="AK260">
            <v>339</v>
          </cell>
        </row>
        <row r="261">
          <cell r="A261" t="str">
            <v>SBC1024</v>
          </cell>
        </row>
        <row r="261">
          <cell r="AK261">
            <v>338</v>
          </cell>
        </row>
        <row r="262">
          <cell r="A262" t="str">
            <v>SSC3025</v>
          </cell>
        </row>
        <row r="262">
          <cell r="AK262">
            <v>337</v>
          </cell>
        </row>
        <row r="263">
          <cell r="A263" t="str">
            <v>SWP297</v>
          </cell>
        </row>
        <row r="263">
          <cell r="AK263">
            <v>337</v>
          </cell>
        </row>
        <row r="264">
          <cell r="A264" t="str">
            <v>SWC5025L</v>
          </cell>
        </row>
        <row r="264">
          <cell r="AK264">
            <v>332</v>
          </cell>
        </row>
        <row r="265">
          <cell r="A265" t="str">
            <v>SCS4021</v>
          </cell>
        </row>
        <row r="265">
          <cell r="AK265">
            <v>330</v>
          </cell>
        </row>
        <row r="266">
          <cell r="A266" t="str">
            <v>SBC1057</v>
          </cell>
        </row>
        <row r="266">
          <cell r="AK266">
            <v>328</v>
          </cell>
        </row>
        <row r="267">
          <cell r="A267" t="str">
            <v>SBC1164</v>
          </cell>
        </row>
        <row r="267">
          <cell r="AK267">
            <v>328</v>
          </cell>
        </row>
        <row r="268">
          <cell r="A268" t="str">
            <v>SCC2045</v>
          </cell>
        </row>
        <row r="268">
          <cell r="AK268">
            <v>321</v>
          </cell>
        </row>
        <row r="269">
          <cell r="A269" t="str">
            <v>SCS4007</v>
          </cell>
        </row>
        <row r="269">
          <cell r="AK269">
            <v>320</v>
          </cell>
        </row>
        <row r="270">
          <cell r="A270" t="str">
            <v>SBS8024</v>
          </cell>
        </row>
        <row r="270">
          <cell r="AK270">
            <v>319</v>
          </cell>
        </row>
        <row r="271">
          <cell r="A271" t="str">
            <v>SBS8035</v>
          </cell>
        </row>
        <row r="271">
          <cell r="AK271">
            <v>319</v>
          </cell>
        </row>
        <row r="272">
          <cell r="A272" t="str">
            <v>SBS8089</v>
          </cell>
        </row>
        <row r="272">
          <cell r="AK272">
            <v>319</v>
          </cell>
        </row>
        <row r="273">
          <cell r="A273" t="str">
            <v>SWP240A</v>
          </cell>
        </row>
        <row r="273">
          <cell r="AK273">
            <v>318</v>
          </cell>
        </row>
        <row r="274">
          <cell r="A274" t="str">
            <v>SBC1019</v>
          </cell>
        </row>
        <row r="274">
          <cell r="AK274">
            <v>317</v>
          </cell>
        </row>
        <row r="275">
          <cell r="A275" t="str">
            <v>SBC1037</v>
          </cell>
        </row>
        <row r="275">
          <cell r="AK275">
            <v>317</v>
          </cell>
        </row>
        <row r="276">
          <cell r="A276" t="str">
            <v>SBC1067</v>
          </cell>
        </row>
        <row r="276">
          <cell r="AK276">
            <v>317</v>
          </cell>
        </row>
        <row r="277">
          <cell r="A277" t="str">
            <v>SCS4023</v>
          </cell>
        </row>
        <row r="277">
          <cell r="AK277">
            <v>315</v>
          </cell>
        </row>
        <row r="278">
          <cell r="A278" t="str">
            <v>SBC1146</v>
          </cell>
        </row>
        <row r="278">
          <cell r="AK278">
            <v>313</v>
          </cell>
        </row>
        <row r="279">
          <cell r="A279" t="str">
            <v>SWP263</v>
          </cell>
        </row>
        <row r="279">
          <cell r="AK279">
            <v>312</v>
          </cell>
        </row>
        <row r="280">
          <cell r="A280" t="str">
            <v>SCC2000</v>
          </cell>
        </row>
        <row r="280">
          <cell r="AK280">
            <v>312</v>
          </cell>
        </row>
        <row r="281">
          <cell r="A281" t="str">
            <v>SBC1066</v>
          </cell>
        </row>
        <row r="281">
          <cell r="AK281">
            <v>311</v>
          </cell>
        </row>
        <row r="282">
          <cell r="A282" t="str">
            <v>SCC2093</v>
          </cell>
        </row>
        <row r="282">
          <cell r="AK282">
            <v>311</v>
          </cell>
        </row>
        <row r="283">
          <cell r="A283" t="str">
            <v>SCS4030</v>
          </cell>
        </row>
        <row r="283">
          <cell r="AK283">
            <v>310</v>
          </cell>
        </row>
        <row r="284">
          <cell r="A284" t="str">
            <v>SBS8091</v>
          </cell>
        </row>
        <row r="284">
          <cell r="AK284">
            <v>310</v>
          </cell>
        </row>
        <row r="285">
          <cell r="A285" t="str">
            <v>SVP6011</v>
          </cell>
        </row>
        <row r="285">
          <cell r="AK285">
            <v>307</v>
          </cell>
        </row>
        <row r="286">
          <cell r="A286" t="str">
            <v>SBC1052</v>
          </cell>
        </row>
        <row r="286">
          <cell r="AK286">
            <v>306</v>
          </cell>
        </row>
        <row r="287">
          <cell r="A287" t="str">
            <v>SBC1124</v>
          </cell>
        </row>
        <row r="287">
          <cell r="AK287">
            <v>306</v>
          </cell>
        </row>
        <row r="288">
          <cell r="A288" t="str">
            <v>SBS8022</v>
          </cell>
        </row>
        <row r="288">
          <cell r="AK288">
            <v>306</v>
          </cell>
        </row>
        <row r="289">
          <cell r="A289" t="str">
            <v>SSC3041</v>
          </cell>
        </row>
        <row r="289">
          <cell r="AK289">
            <v>305</v>
          </cell>
        </row>
        <row r="290">
          <cell r="A290" t="str">
            <v>SBC1018</v>
          </cell>
        </row>
        <row r="290">
          <cell r="AK290">
            <v>304</v>
          </cell>
        </row>
        <row r="291">
          <cell r="A291" t="str">
            <v>SWC5052L</v>
          </cell>
        </row>
        <row r="291">
          <cell r="AK291">
            <v>303</v>
          </cell>
        </row>
        <row r="292">
          <cell r="A292" t="str">
            <v>SBC1016</v>
          </cell>
        </row>
        <row r="292">
          <cell r="AK292">
            <v>302</v>
          </cell>
        </row>
        <row r="293">
          <cell r="A293" t="str">
            <v>SBS8016</v>
          </cell>
        </row>
        <row r="293">
          <cell r="AK293">
            <v>300</v>
          </cell>
        </row>
        <row r="294">
          <cell r="A294" t="str">
            <v>SBC1184</v>
          </cell>
        </row>
        <row r="294">
          <cell r="AK294">
            <v>299</v>
          </cell>
        </row>
        <row r="295">
          <cell r="A295" t="str">
            <v>SBC1012</v>
          </cell>
        </row>
        <row r="295">
          <cell r="AK295">
            <v>297</v>
          </cell>
        </row>
        <row r="296">
          <cell r="A296" t="str">
            <v>SBS8045</v>
          </cell>
        </row>
        <row r="296">
          <cell r="AK296">
            <v>296</v>
          </cell>
        </row>
        <row r="297">
          <cell r="A297" t="str">
            <v>SBC1183</v>
          </cell>
        </row>
        <row r="297">
          <cell r="AK297">
            <v>296</v>
          </cell>
        </row>
        <row r="298">
          <cell r="A298" t="str">
            <v>SCC2056</v>
          </cell>
        </row>
        <row r="298">
          <cell r="AK298">
            <v>295</v>
          </cell>
        </row>
        <row r="299">
          <cell r="A299" t="str">
            <v>SBC1020</v>
          </cell>
        </row>
        <row r="299">
          <cell r="AK299">
            <v>293</v>
          </cell>
        </row>
        <row r="300">
          <cell r="A300" t="str">
            <v>SBC1178</v>
          </cell>
        </row>
        <row r="300">
          <cell r="AK300">
            <v>293</v>
          </cell>
        </row>
        <row r="301">
          <cell r="A301" t="str">
            <v>SWC5047R</v>
          </cell>
        </row>
        <row r="301">
          <cell r="AK301">
            <v>292</v>
          </cell>
        </row>
        <row r="302">
          <cell r="A302" t="str">
            <v>SBC1167</v>
          </cell>
        </row>
        <row r="302">
          <cell r="AK302">
            <v>291</v>
          </cell>
        </row>
        <row r="303">
          <cell r="A303" t="str">
            <v>SBS8056</v>
          </cell>
        </row>
        <row r="303">
          <cell r="AK303">
            <v>290</v>
          </cell>
        </row>
        <row r="304">
          <cell r="A304" t="str">
            <v>SVP6028</v>
          </cell>
        </row>
        <row r="304">
          <cell r="AK304">
            <v>290</v>
          </cell>
        </row>
        <row r="305">
          <cell r="A305" t="str">
            <v>SCC2009</v>
          </cell>
        </row>
        <row r="305">
          <cell r="AK305">
            <v>289</v>
          </cell>
        </row>
        <row r="306">
          <cell r="A306" t="str">
            <v>SVP6029</v>
          </cell>
        </row>
        <row r="306">
          <cell r="AK306">
            <v>289</v>
          </cell>
        </row>
        <row r="307">
          <cell r="A307" t="str">
            <v>SWC5052R</v>
          </cell>
        </row>
        <row r="307">
          <cell r="AK307">
            <v>288</v>
          </cell>
        </row>
        <row r="308">
          <cell r="A308" t="str">
            <v>SCC2068</v>
          </cell>
        </row>
        <row r="308">
          <cell r="AK308">
            <v>287</v>
          </cell>
        </row>
        <row r="309">
          <cell r="A309" t="str">
            <v>SBC1179</v>
          </cell>
        </row>
        <row r="309">
          <cell r="AK309">
            <v>286</v>
          </cell>
        </row>
        <row r="310">
          <cell r="A310" t="str">
            <v>SBC1055</v>
          </cell>
        </row>
        <row r="310">
          <cell r="AK310">
            <v>282</v>
          </cell>
        </row>
        <row r="311">
          <cell r="A311" t="str">
            <v>SSC3005</v>
          </cell>
        </row>
        <row r="311">
          <cell r="AK311">
            <v>281</v>
          </cell>
        </row>
        <row r="312">
          <cell r="A312" t="str">
            <v>SWP030H</v>
          </cell>
        </row>
        <row r="312">
          <cell r="AK312">
            <v>279</v>
          </cell>
        </row>
        <row r="313">
          <cell r="A313" t="str">
            <v>SCC2039</v>
          </cell>
        </row>
        <row r="313">
          <cell r="AK313">
            <v>279</v>
          </cell>
        </row>
        <row r="314">
          <cell r="A314" t="str">
            <v>SVP6031</v>
          </cell>
        </row>
        <row r="314">
          <cell r="AK314">
            <v>279</v>
          </cell>
        </row>
        <row r="315">
          <cell r="A315" t="str">
            <v>SCC2025</v>
          </cell>
        </row>
        <row r="315">
          <cell r="AK315">
            <v>278</v>
          </cell>
        </row>
        <row r="316">
          <cell r="A316" t="str">
            <v>SBS8023</v>
          </cell>
        </row>
        <row r="316">
          <cell r="AK316">
            <v>277</v>
          </cell>
        </row>
        <row r="317">
          <cell r="A317" t="str">
            <v>SSC3023</v>
          </cell>
        </row>
        <row r="317">
          <cell r="AK317">
            <v>276</v>
          </cell>
        </row>
        <row r="318">
          <cell r="A318" t="str">
            <v>SBS8037</v>
          </cell>
        </row>
        <row r="318">
          <cell r="AK318">
            <v>275</v>
          </cell>
        </row>
        <row r="319">
          <cell r="A319" t="str">
            <v>SCS4027</v>
          </cell>
        </row>
        <row r="319">
          <cell r="AK319">
            <v>272</v>
          </cell>
        </row>
        <row r="320">
          <cell r="A320" t="str">
            <v>SBC1100</v>
          </cell>
        </row>
        <row r="320">
          <cell r="AK320">
            <v>272</v>
          </cell>
        </row>
        <row r="321">
          <cell r="A321" t="str">
            <v>SWP283</v>
          </cell>
        </row>
        <row r="321">
          <cell r="AK321">
            <v>271</v>
          </cell>
        </row>
        <row r="322">
          <cell r="A322" t="str">
            <v>SBC1169</v>
          </cell>
        </row>
        <row r="322">
          <cell r="AK322">
            <v>271</v>
          </cell>
        </row>
        <row r="323">
          <cell r="A323" t="str">
            <v>SWC5045R</v>
          </cell>
        </row>
        <row r="323">
          <cell r="AK323">
            <v>271</v>
          </cell>
        </row>
        <row r="324">
          <cell r="A324" t="str">
            <v>SBC1163</v>
          </cell>
        </row>
        <row r="324">
          <cell r="AK324">
            <v>271</v>
          </cell>
        </row>
        <row r="325">
          <cell r="A325" t="str">
            <v>SBS8085</v>
          </cell>
        </row>
        <row r="325">
          <cell r="AK325">
            <v>265</v>
          </cell>
        </row>
        <row r="326">
          <cell r="A326" t="str">
            <v>SBC1125</v>
          </cell>
        </row>
        <row r="326">
          <cell r="AK326">
            <v>264</v>
          </cell>
        </row>
        <row r="327">
          <cell r="A327" t="str">
            <v>SSC3042</v>
          </cell>
        </row>
        <row r="327">
          <cell r="AK327">
            <v>264</v>
          </cell>
        </row>
        <row r="328">
          <cell r="A328" t="str">
            <v>SWC5031</v>
          </cell>
        </row>
        <row r="328">
          <cell r="AK328">
            <v>263</v>
          </cell>
        </row>
        <row r="329">
          <cell r="A329" t="str">
            <v>SBC1126M</v>
          </cell>
        </row>
        <row r="329">
          <cell r="AK329">
            <v>260</v>
          </cell>
        </row>
        <row r="330">
          <cell r="A330" t="str">
            <v>SVP6003</v>
          </cell>
        </row>
        <row r="330">
          <cell r="AK330">
            <v>259</v>
          </cell>
        </row>
        <row r="331">
          <cell r="A331" t="str">
            <v>SCS4032</v>
          </cell>
        </row>
        <row r="331">
          <cell r="AK331">
            <v>259</v>
          </cell>
        </row>
        <row r="332">
          <cell r="A332" t="str">
            <v>SBS8086</v>
          </cell>
        </row>
        <row r="332">
          <cell r="AK332">
            <v>259</v>
          </cell>
        </row>
        <row r="333">
          <cell r="A333" t="str">
            <v>SBC1092</v>
          </cell>
        </row>
        <row r="333">
          <cell r="AK333">
            <v>256</v>
          </cell>
        </row>
        <row r="334">
          <cell r="A334" t="str">
            <v>SSC3050</v>
          </cell>
        </row>
        <row r="334">
          <cell r="AK334">
            <v>256</v>
          </cell>
        </row>
        <row r="335">
          <cell r="A335" t="str">
            <v>SWC5047L</v>
          </cell>
        </row>
        <row r="335">
          <cell r="AK335">
            <v>255</v>
          </cell>
        </row>
        <row r="336">
          <cell r="A336" t="str">
            <v>SWP141</v>
          </cell>
        </row>
        <row r="336">
          <cell r="AK336">
            <v>254</v>
          </cell>
        </row>
        <row r="337">
          <cell r="A337" t="str">
            <v>SCC2070</v>
          </cell>
        </row>
        <row r="337">
          <cell r="AK337">
            <v>254</v>
          </cell>
        </row>
        <row r="338">
          <cell r="A338" t="str">
            <v>SWC5040</v>
          </cell>
        </row>
        <row r="338">
          <cell r="AK338">
            <v>254</v>
          </cell>
        </row>
        <row r="339">
          <cell r="A339" t="str">
            <v>SBC1165</v>
          </cell>
        </row>
        <row r="339">
          <cell r="AK339">
            <v>252</v>
          </cell>
        </row>
        <row r="340">
          <cell r="A340" t="str">
            <v>SBC1079</v>
          </cell>
        </row>
        <row r="340">
          <cell r="AK340">
            <v>251</v>
          </cell>
        </row>
        <row r="341">
          <cell r="A341" t="str">
            <v>SSC3012</v>
          </cell>
        </row>
        <row r="341">
          <cell r="AK341">
            <v>250</v>
          </cell>
        </row>
        <row r="342">
          <cell r="A342" t="str">
            <v>SBC1166</v>
          </cell>
        </row>
        <row r="342">
          <cell r="AK342">
            <v>250</v>
          </cell>
        </row>
        <row r="343">
          <cell r="A343" t="str">
            <v>SBS8082</v>
          </cell>
        </row>
        <row r="343">
          <cell r="AK343">
            <v>248</v>
          </cell>
        </row>
        <row r="344">
          <cell r="A344" t="str">
            <v>SCC2078</v>
          </cell>
        </row>
        <row r="344">
          <cell r="AK344">
            <v>247</v>
          </cell>
        </row>
        <row r="345">
          <cell r="A345" t="str">
            <v>SWC5008L</v>
          </cell>
        </row>
        <row r="345">
          <cell r="AK345">
            <v>247</v>
          </cell>
        </row>
        <row r="346">
          <cell r="A346" t="str">
            <v>SCC2037</v>
          </cell>
        </row>
        <row r="346">
          <cell r="AK346">
            <v>246</v>
          </cell>
        </row>
        <row r="347">
          <cell r="A347" t="str">
            <v>SBS8084</v>
          </cell>
        </row>
        <row r="347">
          <cell r="AK347">
            <v>246</v>
          </cell>
        </row>
        <row r="348">
          <cell r="A348" t="str">
            <v>SCC2018</v>
          </cell>
        </row>
        <row r="348">
          <cell r="AK348">
            <v>245</v>
          </cell>
        </row>
        <row r="349">
          <cell r="A349" t="str">
            <v>SBS8010</v>
          </cell>
        </row>
        <row r="349">
          <cell r="AK349">
            <v>245</v>
          </cell>
        </row>
        <row r="350">
          <cell r="A350" t="str">
            <v>SSC3011</v>
          </cell>
        </row>
        <row r="350">
          <cell r="AK350">
            <v>243</v>
          </cell>
        </row>
        <row r="351">
          <cell r="A351" t="str">
            <v>SBC1110</v>
          </cell>
        </row>
        <row r="351">
          <cell r="AK351">
            <v>243</v>
          </cell>
        </row>
        <row r="352">
          <cell r="A352" t="str">
            <v>SCC2080</v>
          </cell>
        </row>
        <row r="352">
          <cell r="AK352">
            <v>242</v>
          </cell>
        </row>
        <row r="353">
          <cell r="A353" t="str">
            <v>SWC5008R</v>
          </cell>
        </row>
        <row r="353">
          <cell r="AK353">
            <v>242</v>
          </cell>
        </row>
        <row r="354">
          <cell r="A354" t="str">
            <v>SBC1058</v>
          </cell>
        </row>
        <row r="354">
          <cell r="AK354">
            <v>240</v>
          </cell>
        </row>
        <row r="355">
          <cell r="A355" t="str">
            <v>SBS8047</v>
          </cell>
        </row>
        <row r="355">
          <cell r="AK355">
            <v>240</v>
          </cell>
        </row>
        <row r="356">
          <cell r="A356" t="str">
            <v>SBS8096</v>
          </cell>
        </row>
        <row r="356">
          <cell r="AK356">
            <v>240</v>
          </cell>
        </row>
        <row r="357">
          <cell r="A357" t="str">
            <v>SBC1132</v>
          </cell>
        </row>
        <row r="357">
          <cell r="AK357">
            <v>238</v>
          </cell>
        </row>
        <row r="358">
          <cell r="A358" t="str">
            <v>SCC2081</v>
          </cell>
        </row>
        <row r="358">
          <cell r="AK358">
            <v>237</v>
          </cell>
        </row>
        <row r="359">
          <cell r="A359" t="str">
            <v>SCC2047</v>
          </cell>
        </row>
        <row r="359">
          <cell r="AK359">
            <v>235</v>
          </cell>
        </row>
        <row r="360">
          <cell r="A360" t="str">
            <v>SCS4012</v>
          </cell>
        </row>
        <row r="360">
          <cell r="AK360">
            <v>235</v>
          </cell>
        </row>
        <row r="361">
          <cell r="A361" t="str">
            <v>SBC1138</v>
          </cell>
        </row>
        <row r="361">
          <cell r="AK361">
            <v>235</v>
          </cell>
        </row>
        <row r="362">
          <cell r="A362" t="str">
            <v>SBS8065</v>
          </cell>
        </row>
        <row r="362">
          <cell r="AK362">
            <v>235</v>
          </cell>
        </row>
        <row r="363">
          <cell r="A363" t="str">
            <v>SBS8104</v>
          </cell>
        </row>
        <row r="363">
          <cell r="AK363">
            <v>235</v>
          </cell>
        </row>
        <row r="364">
          <cell r="A364" t="str">
            <v>SBC1054</v>
          </cell>
        </row>
        <row r="364">
          <cell r="AK364">
            <v>233</v>
          </cell>
        </row>
        <row r="365">
          <cell r="A365" t="str">
            <v>SCC2020</v>
          </cell>
        </row>
        <row r="365">
          <cell r="AK365">
            <v>233</v>
          </cell>
        </row>
        <row r="366">
          <cell r="A366" t="str">
            <v>SWP292</v>
          </cell>
        </row>
        <row r="366">
          <cell r="AK366">
            <v>232</v>
          </cell>
        </row>
        <row r="367">
          <cell r="A367" t="str">
            <v>SBS8005</v>
          </cell>
        </row>
        <row r="367">
          <cell r="AK367">
            <v>230</v>
          </cell>
        </row>
        <row r="368">
          <cell r="A368" t="str">
            <v>SBS8006</v>
          </cell>
        </row>
        <row r="368">
          <cell r="AK368">
            <v>230</v>
          </cell>
        </row>
        <row r="369">
          <cell r="A369" t="str">
            <v>SBS8095</v>
          </cell>
        </row>
        <row r="369">
          <cell r="AK369">
            <v>228</v>
          </cell>
        </row>
        <row r="370">
          <cell r="A370" t="str">
            <v>SWP296</v>
          </cell>
        </row>
        <row r="370">
          <cell r="AK370">
            <v>227</v>
          </cell>
        </row>
        <row r="371">
          <cell r="A371" t="str">
            <v>SCC2023</v>
          </cell>
        </row>
        <row r="371">
          <cell r="AK371">
            <v>225</v>
          </cell>
        </row>
        <row r="372">
          <cell r="A372" t="str">
            <v>SCC2019</v>
          </cell>
        </row>
        <row r="372">
          <cell r="AK372">
            <v>224</v>
          </cell>
        </row>
        <row r="373">
          <cell r="A373" t="str">
            <v>SBS8050</v>
          </cell>
        </row>
        <row r="373">
          <cell r="AK373">
            <v>224</v>
          </cell>
        </row>
        <row r="374">
          <cell r="A374" t="str">
            <v>SSC3040</v>
          </cell>
        </row>
        <row r="374">
          <cell r="AK374">
            <v>223</v>
          </cell>
        </row>
        <row r="375">
          <cell r="A375" t="str">
            <v>SBS8012</v>
          </cell>
        </row>
        <row r="375">
          <cell r="AK375">
            <v>223</v>
          </cell>
        </row>
        <row r="376">
          <cell r="A376" t="str">
            <v>SVP6023</v>
          </cell>
        </row>
        <row r="376">
          <cell r="AK376">
            <v>220</v>
          </cell>
        </row>
        <row r="377">
          <cell r="A377" t="str">
            <v>SBS8032</v>
          </cell>
        </row>
        <row r="377">
          <cell r="AK377">
            <v>220</v>
          </cell>
        </row>
        <row r="378">
          <cell r="A378" t="str">
            <v>SBS8041</v>
          </cell>
        </row>
        <row r="378">
          <cell r="AK378">
            <v>219</v>
          </cell>
        </row>
        <row r="379">
          <cell r="A379" t="str">
            <v>SBS8053PB</v>
          </cell>
        </row>
        <row r="379">
          <cell r="AK379">
            <v>219</v>
          </cell>
        </row>
        <row r="380">
          <cell r="A380" t="str">
            <v>SBS8101</v>
          </cell>
        </row>
        <row r="380">
          <cell r="AK380">
            <v>219</v>
          </cell>
        </row>
        <row r="381">
          <cell r="A381" t="str">
            <v>SBC1175</v>
          </cell>
        </row>
        <row r="381">
          <cell r="AK381">
            <v>218</v>
          </cell>
        </row>
        <row r="382">
          <cell r="A382" t="str">
            <v>SBS8021</v>
          </cell>
        </row>
        <row r="382">
          <cell r="AK382">
            <v>218</v>
          </cell>
        </row>
        <row r="383">
          <cell r="A383" t="str">
            <v>SCC2041</v>
          </cell>
        </row>
        <row r="383">
          <cell r="AK383">
            <v>215</v>
          </cell>
        </row>
        <row r="384">
          <cell r="A384" t="str">
            <v>SBC1140</v>
          </cell>
        </row>
        <row r="384">
          <cell r="AK384">
            <v>215</v>
          </cell>
        </row>
        <row r="385">
          <cell r="A385" t="str">
            <v>SBS8017</v>
          </cell>
        </row>
        <row r="385">
          <cell r="AK385">
            <v>215</v>
          </cell>
        </row>
        <row r="386">
          <cell r="A386" t="str">
            <v>SBS8025</v>
          </cell>
        </row>
        <row r="386">
          <cell r="AK386">
            <v>215</v>
          </cell>
        </row>
        <row r="387">
          <cell r="A387" t="str">
            <v>SVP6016</v>
          </cell>
        </row>
        <row r="387">
          <cell r="AK387">
            <v>213</v>
          </cell>
        </row>
        <row r="388">
          <cell r="A388" t="str">
            <v>SCC2091</v>
          </cell>
        </row>
        <row r="388">
          <cell r="AK388">
            <v>213</v>
          </cell>
        </row>
        <row r="389">
          <cell r="A389" t="str">
            <v>SBC1009</v>
          </cell>
        </row>
        <row r="389">
          <cell r="AK389">
            <v>210</v>
          </cell>
        </row>
        <row r="390">
          <cell r="A390" t="str">
            <v>SWP030H1</v>
          </cell>
        </row>
        <row r="390">
          <cell r="AK390">
            <v>210</v>
          </cell>
        </row>
        <row r="391">
          <cell r="A391" t="str">
            <v>SSC3033</v>
          </cell>
        </row>
        <row r="391">
          <cell r="AK391">
            <v>208</v>
          </cell>
        </row>
        <row r="392">
          <cell r="A392" t="str">
            <v>SBC1035</v>
          </cell>
        </row>
        <row r="392">
          <cell r="AK392">
            <v>206</v>
          </cell>
        </row>
        <row r="393">
          <cell r="A393" t="str">
            <v>SCA8022FR</v>
          </cell>
        </row>
        <row r="393">
          <cell r="AK393">
            <v>206</v>
          </cell>
        </row>
        <row r="394">
          <cell r="A394" t="str">
            <v>SCC2042</v>
          </cell>
        </row>
        <row r="394">
          <cell r="AK394">
            <v>205</v>
          </cell>
        </row>
        <row r="395">
          <cell r="A395" t="str">
            <v>SBS8054</v>
          </cell>
        </row>
        <row r="395">
          <cell r="AK395">
            <v>205</v>
          </cell>
        </row>
        <row r="396">
          <cell r="A396" t="str">
            <v>SWP123A</v>
          </cell>
        </row>
        <row r="396">
          <cell r="AK396">
            <v>204</v>
          </cell>
        </row>
        <row r="397">
          <cell r="A397" t="str">
            <v>SBS8020</v>
          </cell>
        </row>
        <row r="397">
          <cell r="AK397">
            <v>201</v>
          </cell>
        </row>
        <row r="398">
          <cell r="A398" t="str">
            <v>SBC1049</v>
          </cell>
        </row>
        <row r="398">
          <cell r="AK398">
            <v>200</v>
          </cell>
        </row>
        <row r="399">
          <cell r="A399" t="str">
            <v>SBC1074</v>
          </cell>
        </row>
        <row r="399">
          <cell r="AK399">
            <v>200</v>
          </cell>
        </row>
        <row r="400">
          <cell r="A400" t="str">
            <v>SCC2084</v>
          </cell>
        </row>
        <row r="400">
          <cell r="AK400">
            <v>200</v>
          </cell>
        </row>
        <row r="401">
          <cell r="A401" t="str">
            <v>SCA8022FL</v>
          </cell>
        </row>
        <row r="401">
          <cell r="AK401">
            <v>199</v>
          </cell>
        </row>
        <row r="402">
          <cell r="A402" t="str">
            <v>SWP203</v>
          </cell>
        </row>
        <row r="402">
          <cell r="AK402">
            <v>198</v>
          </cell>
        </row>
        <row r="403">
          <cell r="A403" t="str">
            <v>SBS8051</v>
          </cell>
        </row>
        <row r="403">
          <cell r="AK403">
            <v>198</v>
          </cell>
        </row>
        <row r="404">
          <cell r="A404" t="str">
            <v>SCC2105</v>
          </cell>
        </row>
        <row r="404">
          <cell r="AK404">
            <v>198</v>
          </cell>
        </row>
        <row r="405">
          <cell r="A405" t="str">
            <v>SWP092</v>
          </cell>
        </row>
        <row r="405">
          <cell r="AK405">
            <v>197</v>
          </cell>
        </row>
        <row r="406">
          <cell r="A406" t="str">
            <v>SBS8060</v>
          </cell>
        </row>
        <row r="406">
          <cell r="AK406">
            <v>196</v>
          </cell>
        </row>
        <row r="407">
          <cell r="A407" t="str">
            <v>SBC1115B</v>
          </cell>
        </row>
        <row r="407">
          <cell r="AK407">
            <v>196</v>
          </cell>
        </row>
        <row r="408">
          <cell r="A408" t="str">
            <v>SBC1172</v>
          </cell>
        </row>
        <row r="408">
          <cell r="AK408">
            <v>196</v>
          </cell>
        </row>
        <row r="409">
          <cell r="A409" t="str">
            <v>SBC1141B</v>
          </cell>
        </row>
        <row r="409">
          <cell r="AK409">
            <v>196</v>
          </cell>
        </row>
        <row r="410">
          <cell r="A410" t="str">
            <v>SCA8035FR</v>
          </cell>
        </row>
        <row r="410">
          <cell r="AK410">
            <v>195</v>
          </cell>
        </row>
        <row r="411">
          <cell r="A411" t="str">
            <v>SOC9001</v>
          </cell>
        </row>
        <row r="411">
          <cell r="AK411">
            <v>194</v>
          </cell>
        </row>
        <row r="412">
          <cell r="A412" t="str">
            <v>SBC1182</v>
          </cell>
        </row>
        <row r="412">
          <cell r="AK412">
            <v>194</v>
          </cell>
        </row>
        <row r="413">
          <cell r="A413" t="str">
            <v>SBS8092</v>
          </cell>
        </row>
        <row r="413">
          <cell r="AK413">
            <v>193</v>
          </cell>
        </row>
        <row r="414">
          <cell r="A414" t="str">
            <v>SCA8035FL</v>
          </cell>
        </row>
        <row r="414">
          <cell r="AK414">
            <v>193</v>
          </cell>
        </row>
        <row r="415">
          <cell r="A415" t="str">
            <v>SBC1181</v>
          </cell>
        </row>
        <row r="415">
          <cell r="AK415">
            <v>193</v>
          </cell>
        </row>
        <row r="416">
          <cell r="A416" t="str">
            <v>SCC2089</v>
          </cell>
        </row>
        <row r="416">
          <cell r="AK416">
            <v>192</v>
          </cell>
        </row>
        <row r="417">
          <cell r="A417" t="str">
            <v>SWP308</v>
          </cell>
        </row>
        <row r="417">
          <cell r="AK417">
            <v>191</v>
          </cell>
        </row>
        <row r="418">
          <cell r="A418" t="str">
            <v>SBS8048</v>
          </cell>
        </row>
        <row r="418">
          <cell r="AK418">
            <v>190</v>
          </cell>
        </row>
        <row r="419">
          <cell r="A419" t="str">
            <v>SWP266</v>
          </cell>
        </row>
        <row r="419">
          <cell r="AK419">
            <v>188</v>
          </cell>
        </row>
        <row r="420">
          <cell r="A420" t="str">
            <v>SCC2072</v>
          </cell>
        </row>
        <row r="420">
          <cell r="AK420">
            <v>187</v>
          </cell>
        </row>
        <row r="421">
          <cell r="A421" t="str">
            <v>SBC1159</v>
          </cell>
        </row>
        <row r="421">
          <cell r="AK421">
            <v>187</v>
          </cell>
        </row>
        <row r="422">
          <cell r="A422" t="str">
            <v>SBC1142B</v>
          </cell>
        </row>
        <row r="422">
          <cell r="AK422">
            <v>187</v>
          </cell>
        </row>
        <row r="423">
          <cell r="A423" t="str">
            <v>SBS8049</v>
          </cell>
        </row>
        <row r="423">
          <cell r="AK423">
            <v>183</v>
          </cell>
        </row>
        <row r="424">
          <cell r="A424" t="str">
            <v>SWP208</v>
          </cell>
        </row>
        <row r="424">
          <cell r="AK424">
            <v>182</v>
          </cell>
        </row>
        <row r="425">
          <cell r="A425" t="str">
            <v>SVP6032</v>
          </cell>
        </row>
        <row r="425">
          <cell r="AK425">
            <v>182</v>
          </cell>
        </row>
        <row r="426">
          <cell r="A426" t="str">
            <v>SBC1025</v>
          </cell>
        </row>
        <row r="426">
          <cell r="AK426">
            <v>181</v>
          </cell>
        </row>
        <row r="427">
          <cell r="A427" t="str">
            <v>SBC1056</v>
          </cell>
        </row>
        <row r="427">
          <cell r="AK427">
            <v>180</v>
          </cell>
        </row>
        <row r="428">
          <cell r="A428" t="str">
            <v>SCC2088</v>
          </cell>
        </row>
        <row r="428">
          <cell r="AK428">
            <v>180</v>
          </cell>
        </row>
        <row r="429">
          <cell r="A429" t="str">
            <v>SBS8039</v>
          </cell>
        </row>
        <row r="429">
          <cell r="AK429">
            <v>179</v>
          </cell>
        </row>
        <row r="430">
          <cell r="A430" t="str">
            <v>SVP6030</v>
          </cell>
        </row>
        <row r="430">
          <cell r="AK430">
            <v>179</v>
          </cell>
        </row>
        <row r="431">
          <cell r="A431" t="str">
            <v>SWP314</v>
          </cell>
        </row>
        <row r="431">
          <cell r="AK431">
            <v>177</v>
          </cell>
        </row>
        <row r="432">
          <cell r="A432" t="str">
            <v>SBC1191A</v>
          </cell>
        </row>
        <row r="432">
          <cell r="AK432">
            <v>177</v>
          </cell>
        </row>
        <row r="433">
          <cell r="A433" t="str">
            <v>SBC1038</v>
          </cell>
        </row>
        <row r="433">
          <cell r="AK433">
            <v>175</v>
          </cell>
        </row>
        <row r="434">
          <cell r="A434" t="str">
            <v>SSC3026</v>
          </cell>
        </row>
        <row r="434">
          <cell r="AK434">
            <v>175</v>
          </cell>
        </row>
        <row r="435">
          <cell r="A435" t="str">
            <v>SVP6018</v>
          </cell>
        </row>
        <row r="435">
          <cell r="AK435">
            <v>175</v>
          </cell>
        </row>
        <row r="436">
          <cell r="A436" t="str">
            <v>SSC3018</v>
          </cell>
        </row>
        <row r="436">
          <cell r="AK436">
            <v>173</v>
          </cell>
        </row>
        <row r="437">
          <cell r="A437" t="str">
            <v>SCC2050</v>
          </cell>
        </row>
        <row r="437">
          <cell r="AK437">
            <v>172</v>
          </cell>
        </row>
        <row r="438">
          <cell r="A438" t="str">
            <v>SBS8038</v>
          </cell>
        </row>
        <row r="438">
          <cell r="AK438">
            <v>172</v>
          </cell>
        </row>
        <row r="439">
          <cell r="A439" t="str">
            <v>SBC1033</v>
          </cell>
        </row>
        <row r="439">
          <cell r="AK439">
            <v>171</v>
          </cell>
        </row>
        <row r="440">
          <cell r="A440" t="str">
            <v>SSC3013</v>
          </cell>
        </row>
        <row r="440">
          <cell r="AK440">
            <v>169</v>
          </cell>
        </row>
        <row r="441">
          <cell r="A441" t="str">
            <v>SBC1043</v>
          </cell>
        </row>
        <row r="441">
          <cell r="AK441">
            <v>168</v>
          </cell>
        </row>
        <row r="442">
          <cell r="A442" t="str">
            <v>SCS4026</v>
          </cell>
        </row>
        <row r="442">
          <cell r="AK442">
            <v>168</v>
          </cell>
        </row>
        <row r="443">
          <cell r="A443" t="str">
            <v>SBC1051</v>
          </cell>
        </row>
        <row r="443">
          <cell r="AK443">
            <v>166</v>
          </cell>
        </row>
        <row r="444">
          <cell r="A444" t="str">
            <v>SWP313</v>
          </cell>
        </row>
        <row r="444">
          <cell r="AK444">
            <v>166</v>
          </cell>
        </row>
        <row r="445">
          <cell r="A445" t="str">
            <v>SBS8070PB</v>
          </cell>
        </row>
        <row r="445">
          <cell r="AK445">
            <v>166</v>
          </cell>
        </row>
        <row r="446">
          <cell r="A446" t="str">
            <v>SWP297A</v>
          </cell>
        </row>
        <row r="446">
          <cell r="AK446">
            <v>165</v>
          </cell>
        </row>
        <row r="447">
          <cell r="A447" t="str">
            <v>SVP6017</v>
          </cell>
        </row>
        <row r="447">
          <cell r="AK447">
            <v>165</v>
          </cell>
        </row>
        <row r="448">
          <cell r="A448" t="str">
            <v>SSC3043</v>
          </cell>
        </row>
        <row r="448">
          <cell r="AK448">
            <v>165</v>
          </cell>
        </row>
        <row r="449">
          <cell r="A449" t="str">
            <v>SWP220</v>
          </cell>
        </row>
        <row r="449">
          <cell r="AK449">
            <v>164</v>
          </cell>
        </row>
        <row r="450">
          <cell r="A450" t="str">
            <v>SWP244H1</v>
          </cell>
        </row>
        <row r="450">
          <cell r="AK450">
            <v>164</v>
          </cell>
        </row>
        <row r="451">
          <cell r="A451" t="str">
            <v>SBS8029</v>
          </cell>
        </row>
        <row r="451">
          <cell r="AK451">
            <v>163</v>
          </cell>
        </row>
        <row r="452">
          <cell r="A452" t="str">
            <v>SWP247</v>
          </cell>
        </row>
        <row r="452">
          <cell r="AK452">
            <v>162</v>
          </cell>
        </row>
        <row r="453">
          <cell r="A453" t="str">
            <v>SBC1030</v>
          </cell>
        </row>
        <row r="453">
          <cell r="AK453">
            <v>161</v>
          </cell>
        </row>
        <row r="454">
          <cell r="A454" t="str">
            <v>SWP237</v>
          </cell>
        </row>
        <row r="454">
          <cell r="AK454">
            <v>160</v>
          </cell>
        </row>
        <row r="455">
          <cell r="A455" t="str">
            <v>SBC1063</v>
          </cell>
        </row>
        <row r="455">
          <cell r="AK455">
            <v>160</v>
          </cell>
        </row>
        <row r="456">
          <cell r="A456" t="str">
            <v>SWC5014R</v>
          </cell>
        </row>
        <row r="456">
          <cell r="AK456">
            <v>160</v>
          </cell>
        </row>
        <row r="457">
          <cell r="A457" t="str">
            <v>SBS8087PB</v>
          </cell>
        </row>
        <row r="457">
          <cell r="AK457">
            <v>160</v>
          </cell>
        </row>
        <row r="458">
          <cell r="A458" t="str">
            <v>SBS8102</v>
          </cell>
        </row>
        <row r="458">
          <cell r="AK458">
            <v>160</v>
          </cell>
        </row>
        <row r="459">
          <cell r="A459" t="str">
            <v>SBS8036</v>
          </cell>
        </row>
        <row r="459">
          <cell r="AK459">
            <v>159</v>
          </cell>
        </row>
        <row r="460">
          <cell r="A460" t="str">
            <v>SBS8055</v>
          </cell>
        </row>
        <row r="460">
          <cell r="AK460">
            <v>159</v>
          </cell>
        </row>
        <row r="461">
          <cell r="A461" t="str">
            <v>SWC5028L</v>
          </cell>
        </row>
        <row r="461">
          <cell r="AK461">
            <v>158</v>
          </cell>
        </row>
        <row r="462">
          <cell r="A462" t="str">
            <v>SBS8075</v>
          </cell>
        </row>
        <row r="462">
          <cell r="AK462">
            <v>157</v>
          </cell>
        </row>
        <row r="463">
          <cell r="A463" t="str">
            <v>SCC2092</v>
          </cell>
        </row>
        <row r="463">
          <cell r="AK463">
            <v>157</v>
          </cell>
        </row>
        <row r="464">
          <cell r="A464" t="str">
            <v>SBS8098</v>
          </cell>
        </row>
        <row r="464">
          <cell r="AK464">
            <v>157</v>
          </cell>
        </row>
        <row r="465">
          <cell r="A465" t="str">
            <v>SWP245</v>
          </cell>
        </row>
        <row r="465">
          <cell r="AK465">
            <v>156</v>
          </cell>
        </row>
        <row r="466">
          <cell r="A466" t="str">
            <v>SCC2021</v>
          </cell>
        </row>
        <row r="466">
          <cell r="AK466">
            <v>155</v>
          </cell>
        </row>
        <row r="467">
          <cell r="A467" t="str">
            <v>SBS8061PB</v>
          </cell>
        </row>
        <row r="467">
          <cell r="AK467">
            <v>154</v>
          </cell>
        </row>
        <row r="468">
          <cell r="A468" t="str">
            <v>SBC1059</v>
          </cell>
        </row>
        <row r="468">
          <cell r="AK468">
            <v>153</v>
          </cell>
        </row>
        <row r="469">
          <cell r="A469" t="str">
            <v>SCC2049</v>
          </cell>
        </row>
        <row r="469">
          <cell r="AK469">
            <v>153</v>
          </cell>
        </row>
        <row r="470">
          <cell r="A470" t="str">
            <v>SSC3014</v>
          </cell>
        </row>
        <row r="470">
          <cell r="AK470">
            <v>152</v>
          </cell>
        </row>
        <row r="471">
          <cell r="A471" t="str">
            <v>SBC1174</v>
          </cell>
        </row>
        <row r="471">
          <cell r="AK471">
            <v>152</v>
          </cell>
        </row>
        <row r="472">
          <cell r="A472" t="str">
            <v>SCC2034</v>
          </cell>
        </row>
        <row r="472">
          <cell r="AK472">
            <v>151</v>
          </cell>
        </row>
        <row r="473">
          <cell r="A473" t="str">
            <v>SWC5028R</v>
          </cell>
        </row>
        <row r="473">
          <cell r="AK473">
            <v>150</v>
          </cell>
        </row>
        <row r="474">
          <cell r="A474" t="str">
            <v>SVP6009</v>
          </cell>
        </row>
        <row r="474">
          <cell r="AK474">
            <v>149</v>
          </cell>
        </row>
        <row r="475">
          <cell r="A475" t="str">
            <v>SBS8064PB</v>
          </cell>
        </row>
        <row r="475">
          <cell r="AK475">
            <v>148</v>
          </cell>
        </row>
        <row r="476">
          <cell r="A476" t="str">
            <v>SBS8004</v>
          </cell>
        </row>
        <row r="476">
          <cell r="AK476">
            <v>147</v>
          </cell>
        </row>
        <row r="477">
          <cell r="A477" t="str">
            <v>SOC9003</v>
          </cell>
        </row>
        <row r="477">
          <cell r="AK477">
            <v>147</v>
          </cell>
        </row>
        <row r="478">
          <cell r="A478" t="str">
            <v>SBS8094PB</v>
          </cell>
        </row>
        <row r="478">
          <cell r="AK478">
            <v>147</v>
          </cell>
        </row>
        <row r="479">
          <cell r="A479" t="str">
            <v>SBC1185</v>
          </cell>
        </row>
        <row r="479">
          <cell r="AK479">
            <v>147</v>
          </cell>
        </row>
        <row r="480">
          <cell r="A480" t="str">
            <v>SBC1157</v>
          </cell>
        </row>
        <row r="480">
          <cell r="AK480">
            <v>146</v>
          </cell>
        </row>
        <row r="481">
          <cell r="A481" t="str">
            <v>SBC1072</v>
          </cell>
        </row>
        <row r="481">
          <cell r="AK481">
            <v>145</v>
          </cell>
        </row>
        <row r="482">
          <cell r="A482" t="str">
            <v>SBS8058PB</v>
          </cell>
        </row>
        <row r="482">
          <cell r="AK482">
            <v>145</v>
          </cell>
        </row>
        <row r="483">
          <cell r="A483" t="str">
            <v>SCA8031FL</v>
          </cell>
        </row>
        <row r="483">
          <cell r="AK483">
            <v>144</v>
          </cell>
        </row>
        <row r="484">
          <cell r="A484" t="str">
            <v>SCA8021FL</v>
          </cell>
        </row>
        <row r="484">
          <cell r="AK484">
            <v>143</v>
          </cell>
        </row>
        <row r="485">
          <cell r="A485" t="str">
            <v>SCC2026</v>
          </cell>
        </row>
        <row r="485">
          <cell r="AK485">
            <v>142</v>
          </cell>
        </row>
        <row r="486">
          <cell r="A486" t="str">
            <v>SCS4035</v>
          </cell>
        </row>
        <row r="486">
          <cell r="AK486">
            <v>142</v>
          </cell>
        </row>
        <row r="487">
          <cell r="A487" t="str">
            <v>SSC3000</v>
          </cell>
        </row>
        <row r="487">
          <cell r="AK487">
            <v>141</v>
          </cell>
        </row>
        <row r="488">
          <cell r="A488" t="str">
            <v>SCA8027FL</v>
          </cell>
        </row>
        <row r="488">
          <cell r="AK488">
            <v>141</v>
          </cell>
        </row>
        <row r="489">
          <cell r="A489" t="str">
            <v>SCA8027FR</v>
          </cell>
        </row>
        <row r="489">
          <cell r="AK489">
            <v>141</v>
          </cell>
        </row>
        <row r="490">
          <cell r="A490" t="str">
            <v>SWP178</v>
          </cell>
        </row>
        <row r="490">
          <cell r="AK490">
            <v>140</v>
          </cell>
        </row>
        <row r="491">
          <cell r="A491" t="str">
            <v>SOC9002</v>
          </cell>
        </row>
        <row r="491">
          <cell r="AK491">
            <v>140</v>
          </cell>
        </row>
        <row r="492">
          <cell r="A492" t="str">
            <v>SWP318</v>
          </cell>
        </row>
        <row r="492">
          <cell r="AK492">
            <v>140</v>
          </cell>
        </row>
        <row r="493">
          <cell r="A493" t="str">
            <v>SCA8031FR</v>
          </cell>
        </row>
        <row r="493">
          <cell r="AK493">
            <v>140</v>
          </cell>
        </row>
        <row r="494">
          <cell r="A494" t="str">
            <v>SBC1127A</v>
          </cell>
        </row>
        <row r="494">
          <cell r="AK494">
            <v>140</v>
          </cell>
        </row>
        <row r="495">
          <cell r="A495" t="str">
            <v>SBC1127M</v>
          </cell>
        </row>
        <row r="495">
          <cell r="AK495">
            <v>140</v>
          </cell>
        </row>
        <row r="496">
          <cell r="A496" t="str">
            <v>SBS8067</v>
          </cell>
        </row>
        <row r="496">
          <cell r="AK496">
            <v>139</v>
          </cell>
        </row>
        <row r="497">
          <cell r="A497" t="str">
            <v>SBC1206A</v>
          </cell>
        </row>
        <row r="497">
          <cell r="AK497">
            <v>139</v>
          </cell>
        </row>
        <row r="498">
          <cell r="A498" t="str">
            <v>SWP140</v>
          </cell>
        </row>
        <row r="498">
          <cell r="AK498">
            <v>138</v>
          </cell>
        </row>
        <row r="499">
          <cell r="A499" t="str">
            <v>SVP6014</v>
          </cell>
        </row>
        <row r="499">
          <cell r="AK499">
            <v>138</v>
          </cell>
        </row>
        <row r="500">
          <cell r="A500" t="str">
            <v>SCC2008</v>
          </cell>
        </row>
        <row r="500">
          <cell r="AK500">
            <v>136</v>
          </cell>
        </row>
        <row r="501">
          <cell r="A501" t="str">
            <v>SBC1208</v>
          </cell>
        </row>
        <row r="501">
          <cell r="AK501">
            <v>136</v>
          </cell>
        </row>
        <row r="502">
          <cell r="A502" t="str">
            <v>SWP172</v>
          </cell>
        </row>
        <row r="502">
          <cell r="AK502">
            <v>135</v>
          </cell>
        </row>
        <row r="503">
          <cell r="A503" t="str">
            <v>SBC1061</v>
          </cell>
        </row>
        <row r="503">
          <cell r="AK503">
            <v>135</v>
          </cell>
        </row>
        <row r="504">
          <cell r="A504" t="str">
            <v>SWP242H1</v>
          </cell>
        </row>
        <row r="504">
          <cell r="AK504">
            <v>135</v>
          </cell>
        </row>
        <row r="505">
          <cell r="A505" t="str">
            <v>SWP284</v>
          </cell>
        </row>
        <row r="505">
          <cell r="AK505">
            <v>135</v>
          </cell>
        </row>
        <row r="506">
          <cell r="A506" t="str">
            <v>SBC1171</v>
          </cell>
        </row>
        <row r="506">
          <cell r="AK506">
            <v>134</v>
          </cell>
        </row>
        <row r="507">
          <cell r="A507" t="str">
            <v>SCA8021FR</v>
          </cell>
        </row>
        <row r="507">
          <cell r="AK507">
            <v>134</v>
          </cell>
        </row>
        <row r="508">
          <cell r="A508" t="str">
            <v>SWP131</v>
          </cell>
        </row>
        <row r="508">
          <cell r="AK508">
            <v>133</v>
          </cell>
        </row>
        <row r="509">
          <cell r="A509" t="str">
            <v>SBS8028</v>
          </cell>
        </row>
        <row r="509">
          <cell r="AK509">
            <v>133</v>
          </cell>
        </row>
        <row r="510">
          <cell r="A510" t="str">
            <v>SWP336</v>
          </cell>
        </row>
        <row r="510">
          <cell r="AK510">
            <v>133</v>
          </cell>
        </row>
        <row r="511">
          <cell r="A511" t="str">
            <v>SBC1173</v>
          </cell>
        </row>
        <row r="511">
          <cell r="AK511">
            <v>133</v>
          </cell>
        </row>
        <row r="512">
          <cell r="A512" t="str">
            <v>SBC1209</v>
          </cell>
        </row>
        <row r="512">
          <cell r="AK512">
            <v>133</v>
          </cell>
        </row>
        <row r="513">
          <cell r="A513" t="str">
            <v>SCA8024FL</v>
          </cell>
        </row>
        <row r="513">
          <cell r="AK513">
            <v>133</v>
          </cell>
        </row>
        <row r="514">
          <cell r="A514" t="str">
            <v>SWP209</v>
          </cell>
        </row>
        <row r="514">
          <cell r="AK514">
            <v>132</v>
          </cell>
        </row>
        <row r="515">
          <cell r="A515" t="str">
            <v>SWP248</v>
          </cell>
        </row>
        <row r="515">
          <cell r="AK515">
            <v>132</v>
          </cell>
        </row>
        <row r="516">
          <cell r="A516" t="str">
            <v>SCA8024FR</v>
          </cell>
        </row>
        <row r="516">
          <cell r="AK516">
            <v>132</v>
          </cell>
        </row>
        <row r="517">
          <cell r="A517" t="str">
            <v>SWP189</v>
          </cell>
        </row>
        <row r="517">
          <cell r="AK517">
            <v>131</v>
          </cell>
        </row>
        <row r="518">
          <cell r="A518" t="str">
            <v>SWP239</v>
          </cell>
        </row>
        <row r="518">
          <cell r="AK518">
            <v>131</v>
          </cell>
        </row>
        <row r="519">
          <cell r="A519" t="str">
            <v>SWP301</v>
          </cell>
        </row>
        <row r="519">
          <cell r="AK519">
            <v>131</v>
          </cell>
        </row>
        <row r="520">
          <cell r="A520" t="str">
            <v>SWP157</v>
          </cell>
        </row>
        <row r="520">
          <cell r="AK520">
            <v>128</v>
          </cell>
        </row>
        <row r="521">
          <cell r="A521" t="str">
            <v>SBC1107</v>
          </cell>
        </row>
        <row r="521">
          <cell r="AK521">
            <v>128</v>
          </cell>
        </row>
        <row r="522">
          <cell r="A522" t="str">
            <v>SWP310</v>
          </cell>
        </row>
        <row r="522">
          <cell r="AK522">
            <v>128</v>
          </cell>
        </row>
        <row r="523">
          <cell r="A523" t="str">
            <v>SBC1170</v>
          </cell>
        </row>
        <row r="523">
          <cell r="AK523">
            <v>128</v>
          </cell>
        </row>
        <row r="524">
          <cell r="A524" t="str">
            <v>SWP156</v>
          </cell>
        </row>
        <row r="524">
          <cell r="AK524">
            <v>127</v>
          </cell>
        </row>
        <row r="525">
          <cell r="A525" t="str">
            <v>SVP6013</v>
          </cell>
        </row>
        <row r="525">
          <cell r="AK525">
            <v>126</v>
          </cell>
        </row>
        <row r="526">
          <cell r="A526" t="str">
            <v>SCA8025FR</v>
          </cell>
        </row>
        <row r="526">
          <cell r="AK526">
            <v>121</v>
          </cell>
        </row>
        <row r="527">
          <cell r="A527" t="str">
            <v>SWP150</v>
          </cell>
        </row>
        <row r="527">
          <cell r="AK527">
            <v>119</v>
          </cell>
        </row>
        <row r="528">
          <cell r="A528" t="str">
            <v>SCC2015</v>
          </cell>
        </row>
        <row r="528">
          <cell r="AK528">
            <v>119</v>
          </cell>
        </row>
        <row r="529">
          <cell r="A529" t="str">
            <v>SCS4025</v>
          </cell>
        </row>
        <row r="529">
          <cell r="AK529">
            <v>119</v>
          </cell>
        </row>
        <row r="530">
          <cell r="A530" t="str">
            <v>SCS4006</v>
          </cell>
        </row>
        <row r="530">
          <cell r="AK530">
            <v>119</v>
          </cell>
        </row>
        <row r="531">
          <cell r="A531" t="str">
            <v>SBC1188</v>
          </cell>
        </row>
        <row r="531">
          <cell r="AK531">
            <v>119</v>
          </cell>
        </row>
        <row r="532">
          <cell r="A532" t="str">
            <v>SBC1194A</v>
          </cell>
        </row>
        <row r="532">
          <cell r="AK532">
            <v>118</v>
          </cell>
        </row>
        <row r="533">
          <cell r="A533" t="str">
            <v>SCC2030</v>
          </cell>
        </row>
        <row r="533">
          <cell r="AK533">
            <v>117</v>
          </cell>
        </row>
        <row r="534">
          <cell r="A534" t="str">
            <v>SCS4028</v>
          </cell>
        </row>
        <row r="534">
          <cell r="AK534">
            <v>117</v>
          </cell>
        </row>
        <row r="535">
          <cell r="A535" t="str">
            <v>SVP6022</v>
          </cell>
        </row>
        <row r="535">
          <cell r="AK535">
            <v>117</v>
          </cell>
        </row>
        <row r="536">
          <cell r="A536" t="str">
            <v>SWP199</v>
          </cell>
        </row>
        <row r="536">
          <cell r="AK536">
            <v>116</v>
          </cell>
        </row>
        <row r="537">
          <cell r="A537" t="str">
            <v>SBS8103</v>
          </cell>
        </row>
        <row r="537">
          <cell r="AK537">
            <v>116</v>
          </cell>
        </row>
        <row r="538">
          <cell r="A538" t="str">
            <v>SCA8025FL</v>
          </cell>
        </row>
        <row r="538">
          <cell r="AK538">
            <v>116</v>
          </cell>
        </row>
        <row r="539">
          <cell r="A539" t="str">
            <v>SCA8026FL</v>
          </cell>
        </row>
        <row r="539">
          <cell r="AK539">
            <v>116</v>
          </cell>
        </row>
        <row r="540">
          <cell r="A540" t="str">
            <v>SWP120</v>
          </cell>
        </row>
        <row r="540">
          <cell r="AK540">
            <v>115</v>
          </cell>
        </row>
        <row r="541">
          <cell r="A541" t="str">
            <v>SWC5033</v>
          </cell>
        </row>
        <row r="541">
          <cell r="AK541">
            <v>115</v>
          </cell>
        </row>
        <row r="542">
          <cell r="A542" t="str">
            <v>SBS8015</v>
          </cell>
        </row>
        <row r="542">
          <cell r="AK542">
            <v>115</v>
          </cell>
        </row>
        <row r="543">
          <cell r="A543" t="str">
            <v>SCA8026FR</v>
          </cell>
        </row>
        <row r="543">
          <cell r="AK543">
            <v>115</v>
          </cell>
        </row>
        <row r="544">
          <cell r="A544" t="str">
            <v>SCS4010</v>
          </cell>
        </row>
        <row r="544">
          <cell r="AK544">
            <v>114</v>
          </cell>
        </row>
        <row r="545">
          <cell r="A545" t="str">
            <v>SWP317</v>
          </cell>
        </row>
        <row r="545">
          <cell r="AK545">
            <v>114</v>
          </cell>
        </row>
        <row r="546">
          <cell r="A546" t="str">
            <v>SVP6042</v>
          </cell>
        </row>
        <row r="546">
          <cell r="AK546">
            <v>114</v>
          </cell>
        </row>
        <row r="547">
          <cell r="A547" t="str">
            <v>SBC1133</v>
          </cell>
        </row>
        <row r="547">
          <cell r="AK547">
            <v>113</v>
          </cell>
        </row>
        <row r="548">
          <cell r="A548" t="str">
            <v>SBC1180</v>
          </cell>
        </row>
        <row r="548">
          <cell r="AK548">
            <v>113</v>
          </cell>
        </row>
        <row r="549">
          <cell r="A549" t="str">
            <v>SWP146</v>
          </cell>
        </row>
        <row r="549">
          <cell r="AK549">
            <v>112</v>
          </cell>
        </row>
        <row r="550">
          <cell r="A550" t="str">
            <v>SVP6021</v>
          </cell>
        </row>
        <row r="550">
          <cell r="AK550">
            <v>112</v>
          </cell>
        </row>
        <row r="551">
          <cell r="A551" t="str">
            <v>SCC2036</v>
          </cell>
        </row>
        <row r="551">
          <cell r="AK551">
            <v>111</v>
          </cell>
        </row>
        <row r="552">
          <cell r="A552" t="str">
            <v>SCC2055</v>
          </cell>
        </row>
        <row r="552">
          <cell r="AK552">
            <v>110</v>
          </cell>
        </row>
        <row r="553">
          <cell r="A553" t="str">
            <v>SVP6024</v>
          </cell>
        </row>
        <row r="553">
          <cell r="AK553">
            <v>110</v>
          </cell>
        </row>
        <row r="554">
          <cell r="A554" t="str">
            <v>SWP312</v>
          </cell>
        </row>
        <row r="554">
          <cell r="AK554">
            <v>110</v>
          </cell>
        </row>
        <row r="555">
          <cell r="A555" t="str">
            <v>SWP058</v>
          </cell>
        </row>
        <row r="555">
          <cell r="AK555">
            <v>109</v>
          </cell>
        </row>
        <row r="556">
          <cell r="A556" t="str">
            <v>SBC1192</v>
          </cell>
        </row>
        <row r="556">
          <cell r="AK556">
            <v>109</v>
          </cell>
        </row>
        <row r="557">
          <cell r="A557" t="str">
            <v>SWP185</v>
          </cell>
        </row>
        <row r="557">
          <cell r="AK557">
            <v>108</v>
          </cell>
        </row>
        <row r="558">
          <cell r="A558" t="str">
            <v>SWP055</v>
          </cell>
        </row>
        <row r="558">
          <cell r="AK558">
            <v>107</v>
          </cell>
        </row>
        <row r="559">
          <cell r="A559" t="str">
            <v>SBS8081</v>
          </cell>
        </row>
        <row r="559">
          <cell r="AK559">
            <v>107</v>
          </cell>
        </row>
        <row r="560">
          <cell r="A560" t="str">
            <v>SVP6043</v>
          </cell>
        </row>
        <row r="560">
          <cell r="AK560">
            <v>107</v>
          </cell>
        </row>
        <row r="561">
          <cell r="A561" t="str">
            <v>SCA8047FL</v>
          </cell>
        </row>
        <row r="561">
          <cell r="AK561">
            <v>107</v>
          </cell>
        </row>
        <row r="562">
          <cell r="A562" t="str">
            <v>SWP103</v>
          </cell>
        </row>
        <row r="562">
          <cell r="AK562">
            <v>106</v>
          </cell>
        </row>
        <row r="563">
          <cell r="A563" t="str">
            <v>SVP6007</v>
          </cell>
        </row>
        <row r="563">
          <cell r="AK563">
            <v>106</v>
          </cell>
        </row>
        <row r="564">
          <cell r="A564" t="str">
            <v>SVP6010</v>
          </cell>
        </row>
        <row r="564">
          <cell r="AK564">
            <v>106</v>
          </cell>
        </row>
        <row r="565">
          <cell r="A565" t="str">
            <v>SVP6033</v>
          </cell>
        </row>
        <row r="565">
          <cell r="AK565">
            <v>105</v>
          </cell>
        </row>
        <row r="566">
          <cell r="A566" t="str">
            <v>SVP6038</v>
          </cell>
        </row>
        <row r="566">
          <cell r="AK566">
            <v>105</v>
          </cell>
        </row>
        <row r="567">
          <cell r="A567" t="str">
            <v>SVP6039</v>
          </cell>
        </row>
        <row r="567">
          <cell r="AK567">
            <v>105</v>
          </cell>
        </row>
        <row r="568">
          <cell r="A568" t="str">
            <v>SCA8042FL</v>
          </cell>
        </row>
        <row r="568">
          <cell r="AK568">
            <v>105</v>
          </cell>
        </row>
        <row r="569">
          <cell r="A569" t="str">
            <v>SCA8040FL</v>
          </cell>
        </row>
        <row r="569">
          <cell r="AK569">
            <v>105</v>
          </cell>
        </row>
        <row r="570">
          <cell r="A570" t="str">
            <v>SBS8080</v>
          </cell>
        </row>
        <row r="570">
          <cell r="AK570">
            <v>103</v>
          </cell>
        </row>
        <row r="571">
          <cell r="A571" t="str">
            <v>SVP6034</v>
          </cell>
        </row>
        <row r="571">
          <cell r="AK571">
            <v>103</v>
          </cell>
        </row>
        <row r="572">
          <cell r="A572" t="str">
            <v>SCA8047FR</v>
          </cell>
        </row>
        <row r="572">
          <cell r="AK572">
            <v>103</v>
          </cell>
        </row>
        <row r="573">
          <cell r="A573" t="str">
            <v>SCA8086FL</v>
          </cell>
        </row>
        <row r="573">
          <cell r="AK573">
            <v>103</v>
          </cell>
        </row>
        <row r="574">
          <cell r="A574" t="str">
            <v>SWP117</v>
          </cell>
        </row>
        <row r="574">
          <cell r="AK574">
            <v>102</v>
          </cell>
        </row>
        <row r="575">
          <cell r="A575" t="str">
            <v>SWP130</v>
          </cell>
        </row>
        <row r="575">
          <cell r="AK575">
            <v>102</v>
          </cell>
        </row>
        <row r="576">
          <cell r="A576" t="str">
            <v>SCC2024</v>
          </cell>
        </row>
        <row r="576">
          <cell r="AK576">
            <v>102</v>
          </cell>
        </row>
        <row r="577">
          <cell r="A577" t="str">
            <v>SVP6041</v>
          </cell>
        </row>
        <row r="577">
          <cell r="AK577">
            <v>102</v>
          </cell>
        </row>
        <row r="578">
          <cell r="A578" t="str">
            <v>SCA8042FR</v>
          </cell>
        </row>
        <row r="578">
          <cell r="AK578">
            <v>102</v>
          </cell>
        </row>
        <row r="579">
          <cell r="A579" t="str">
            <v>SVP6035</v>
          </cell>
        </row>
        <row r="579">
          <cell r="AK579">
            <v>101</v>
          </cell>
        </row>
        <row r="580">
          <cell r="A580" t="str">
            <v>SCA8010FR</v>
          </cell>
        </row>
        <row r="580">
          <cell r="AK580">
            <v>101</v>
          </cell>
        </row>
        <row r="581">
          <cell r="A581" t="str">
            <v>SCA8036FR</v>
          </cell>
        </row>
        <row r="581">
          <cell r="AK581">
            <v>101</v>
          </cell>
        </row>
        <row r="582">
          <cell r="A582" t="str">
            <v>SCA8051FR</v>
          </cell>
        </row>
        <row r="582">
          <cell r="AK582">
            <v>101</v>
          </cell>
        </row>
        <row r="583">
          <cell r="A583" t="str">
            <v>SWP167</v>
          </cell>
        </row>
        <row r="583">
          <cell r="AK583">
            <v>100</v>
          </cell>
        </row>
        <row r="584">
          <cell r="A584" t="str">
            <v>SOC9014</v>
          </cell>
        </row>
        <row r="584">
          <cell r="AK584">
            <v>100</v>
          </cell>
        </row>
        <row r="585">
          <cell r="A585" t="str">
            <v>SWP329</v>
          </cell>
        </row>
        <row r="585">
          <cell r="AK585">
            <v>100</v>
          </cell>
        </row>
        <row r="586">
          <cell r="A586" t="str">
            <v>SWP334</v>
          </cell>
        </row>
        <row r="586">
          <cell r="AK586">
            <v>100</v>
          </cell>
        </row>
        <row r="587">
          <cell r="A587" t="str">
            <v>SSC3044</v>
          </cell>
        </row>
        <row r="587">
          <cell r="AK587">
            <v>100</v>
          </cell>
        </row>
        <row r="588">
          <cell r="A588" t="str">
            <v>SCA8072FR</v>
          </cell>
        </row>
        <row r="588">
          <cell r="AK588">
            <v>100</v>
          </cell>
        </row>
        <row r="589">
          <cell r="A589" t="str">
            <v>SCA8049FLR</v>
          </cell>
        </row>
        <row r="589">
          <cell r="AK589">
            <v>100</v>
          </cell>
        </row>
        <row r="590">
          <cell r="A590" t="str">
            <v>SCA8070FLR</v>
          </cell>
        </row>
        <row r="590">
          <cell r="AK590">
            <v>100</v>
          </cell>
        </row>
        <row r="591">
          <cell r="A591" t="str">
            <v>SCA8086FR</v>
          </cell>
        </row>
        <row r="591">
          <cell r="AK591">
            <v>100</v>
          </cell>
        </row>
        <row r="592">
          <cell r="A592" t="str">
            <v>SBS8077</v>
          </cell>
        </row>
        <row r="592">
          <cell r="AK592">
            <v>99</v>
          </cell>
        </row>
        <row r="593">
          <cell r="A593" t="str">
            <v>SBC1195</v>
          </cell>
        </row>
        <row r="593">
          <cell r="AK593">
            <v>99</v>
          </cell>
        </row>
        <row r="594">
          <cell r="A594" t="str">
            <v>SCA8036FL</v>
          </cell>
        </row>
        <row r="594">
          <cell r="AK594">
            <v>99</v>
          </cell>
        </row>
        <row r="595">
          <cell r="A595" t="str">
            <v>SBC1206M</v>
          </cell>
        </row>
        <row r="595">
          <cell r="AK595">
            <v>99</v>
          </cell>
        </row>
        <row r="596">
          <cell r="A596" t="str">
            <v>SBC1207A</v>
          </cell>
        </row>
        <row r="596">
          <cell r="AK596">
            <v>99</v>
          </cell>
        </row>
        <row r="597">
          <cell r="A597" t="str">
            <v>SBC1210</v>
          </cell>
        </row>
        <row r="597">
          <cell r="AK597">
            <v>99</v>
          </cell>
        </row>
        <row r="598">
          <cell r="A598" t="str">
            <v>SWP037</v>
          </cell>
        </row>
        <row r="598">
          <cell r="AK598">
            <v>98</v>
          </cell>
        </row>
        <row r="599">
          <cell r="A599" t="str">
            <v>SWP267</v>
          </cell>
        </row>
        <row r="599">
          <cell r="AK599">
            <v>98</v>
          </cell>
        </row>
        <row r="600">
          <cell r="A600" t="str">
            <v>SVP6008</v>
          </cell>
        </row>
        <row r="600">
          <cell r="AK600">
            <v>97</v>
          </cell>
        </row>
        <row r="601">
          <cell r="A601" t="str">
            <v>SBS8052</v>
          </cell>
        </row>
        <row r="601">
          <cell r="AK601">
            <v>97</v>
          </cell>
        </row>
        <row r="602">
          <cell r="A602" t="str">
            <v>SBC1204</v>
          </cell>
        </row>
        <row r="602">
          <cell r="AK602">
            <v>97</v>
          </cell>
        </row>
        <row r="603">
          <cell r="A603" t="str">
            <v>SCA8018FLR</v>
          </cell>
        </row>
        <row r="603">
          <cell r="AK603">
            <v>97</v>
          </cell>
        </row>
        <row r="604">
          <cell r="A604" t="str">
            <v>SCA8029FR</v>
          </cell>
        </row>
        <row r="604">
          <cell r="AK604">
            <v>97</v>
          </cell>
        </row>
        <row r="605">
          <cell r="A605" t="str">
            <v>SVP6000</v>
          </cell>
        </row>
        <row r="605">
          <cell r="AK605">
            <v>96</v>
          </cell>
        </row>
        <row r="606">
          <cell r="A606" t="str">
            <v>SCA8072FL</v>
          </cell>
        </row>
        <row r="606">
          <cell r="AK606">
            <v>96</v>
          </cell>
        </row>
        <row r="607">
          <cell r="A607" t="str">
            <v>SWP101</v>
          </cell>
        </row>
        <row r="607">
          <cell r="AK607">
            <v>95</v>
          </cell>
        </row>
        <row r="608">
          <cell r="A608" t="str">
            <v>SWP242H</v>
          </cell>
        </row>
        <row r="608">
          <cell r="AK608">
            <v>95</v>
          </cell>
        </row>
        <row r="609">
          <cell r="A609" t="str">
            <v>SWP315</v>
          </cell>
        </row>
        <row r="609">
          <cell r="AK609">
            <v>95</v>
          </cell>
        </row>
        <row r="610">
          <cell r="A610" t="str">
            <v>SCA8029FL</v>
          </cell>
        </row>
        <row r="610">
          <cell r="AK610">
            <v>95</v>
          </cell>
        </row>
        <row r="611">
          <cell r="A611" t="str">
            <v>SCA8051FL</v>
          </cell>
        </row>
        <row r="611">
          <cell r="AK611">
            <v>95</v>
          </cell>
        </row>
        <row r="612">
          <cell r="A612" t="str">
            <v>SWP097</v>
          </cell>
        </row>
        <row r="612">
          <cell r="AK612">
            <v>94</v>
          </cell>
        </row>
        <row r="613">
          <cell r="A613" t="str">
            <v>SWP187A</v>
          </cell>
        </row>
        <row r="613">
          <cell r="AK613">
            <v>94</v>
          </cell>
        </row>
        <row r="614">
          <cell r="A614" t="str">
            <v>SOC9005</v>
          </cell>
        </row>
        <row r="614">
          <cell r="AK614">
            <v>94</v>
          </cell>
        </row>
        <row r="615">
          <cell r="A615" t="str">
            <v>SOC9029</v>
          </cell>
        </row>
        <row r="615">
          <cell r="AK615">
            <v>94</v>
          </cell>
        </row>
        <row r="616">
          <cell r="A616" t="str">
            <v>SCS4036</v>
          </cell>
        </row>
        <row r="616">
          <cell r="AK616">
            <v>94</v>
          </cell>
        </row>
        <row r="617">
          <cell r="A617" t="str">
            <v>SSC3008</v>
          </cell>
        </row>
        <row r="617">
          <cell r="AK617">
            <v>93</v>
          </cell>
        </row>
        <row r="618">
          <cell r="A618" t="str">
            <v>SBS8083PB</v>
          </cell>
        </row>
        <row r="618">
          <cell r="AK618">
            <v>93</v>
          </cell>
        </row>
        <row r="619">
          <cell r="A619" t="str">
            <v>SBC1194M</v>
          </cell>
        </row>
        <row r="619">
          <cell r="AK619">
            <v>93</v>
          </cell>
        </row>
        <row r="620">
          <cell r="A620" t="str">
            <v>SBC1203</v>
          </cell>
        </row>
        <row r="620">
          <cell r="AK620">
            <v>93</v>
          </cell>
        </row>
        <row r="621">
          <cell r="A621" t="str">
            <v>SWC5048R</v>
          </cell>
        </row>
        <row r="621">
          <cell r="AK621">
            <v>93</v>
          </cell>
        </row>
        <row r="622">
          <cell r="A622" t="str">
            <v>SWP091</v>
          </cell>
        </row>
        <row r="622">
          <cell r="AK622">
            <v>92</v>
          </cell>
        </row>
        <row r="623">
          <cell r="A623" t="str">
            <v>SCC2035</v>
          </cell>
        </row>
        <row r="623">
          <cell r="AK623">
            <v>91</v>
          </cell>
        </row>
        <row r="624">
          <cell r="A624" t="str">
            <v>SBS8013</v>
          </cell>
        </row>
        <row r="624">
          <cell r="AK624">
            <v>91</v>
          </cell>
        </row>
        <row r="625">
          <cell r="A625" t="str">
            <v>SBS8076PB</v>
          </cell>
        </row>
        <row r="625">
          <cell r="AK625">
            <v>91</v>
          </cell>
        </row>
        <row r="626">
          <cell r="A626" t="str">
            <v>SCA8040FR</v>
          </cell>
        </row>
        <row r="626">
          <cell r="AK626">
            <v>91</v>
          </cell>
        </row>
        <row r="627">
          <cell r="A627" t="str">
            <v>SWP066</v>
          </cell>
        </row>
        <row r="627">
          <cell r="AK627">
            <v>90</v>
          </cell>
        </row>
        <row r="628">
          <cell r="A628" t="str">
            <v>SWP252</v>
          </cell>
        </row>
        <row r="628">
          <cell r="AK628">
            <v>90</v>
          </cell>
        </row>
        <row r="629">
          <cell r="A629" t="str">
            <v>SWP323</v>
          </cell>
        </row>
        <row r="629">
          <cell r="AK629">
            <v>90</v>
          </cell>
        </row>
        <row r="630">
          <cell r="A630" t="str">
            <v>SCC2095</v>
          </cell>
        </row>
        <row r="630">
          <cell r="AK630">
            <v>90</v>
          </cell>
        </row>
        <row r="631">
          <cell r="A631" t="str">
            <v>SBS8100PB</v>
          </cell>
        </row>
        <row r="631">
          <cell r="AK631">
            <v>90</v>
          </cell>
        </row>
        <row r="632">
          <cell r="A632" t="str">
            <v>SCC2059</v>
          </cell>
        </row>
        <row r="632">
          <cell r="AK632">
            <v>89</v>
          </cell>
        </row>
        <row r="633">
          <cell r="A633" t="str">
            <v>SBS8072PB</v>
          </cell>
        </row>
        <row r="633">
          <cell r="AK633">
            <v>89</v>
          </cell>
        </row>
        <row r="634">
          <cell r="A634" t="str">
            <v>SBS8069PB</v>
          </cell>
        </row>
        <row r="634">
          <cell r="AK634">
            <v>89</v>
          </cell>
        </row>
        <row r="635">
          <cell r="A635" t="str">
            <v>SBS8071PB</v>
          </cell>
        </row>
        <row r="635">
          <cell r="AK635">
            <v>89</v>
          </cell>
        </row>
        <row r="636">
          <cell r="A636" t="str">
            <v>SVP6036</v>
          </cell>
        </row>
        <row r="636">
          <cell r="AK636">
            <v>89</v>
          </cell>
        </row>
        <row r="637">
          <cell r="A637" t="str">
            <v>SSC3048</v>
          </cell>
        </row>
        <row r="637">
          <cell r="AK637">
            <v>88</v>
          </cell>
        </row>
        <row r="638">
          <cell r="A638" t="str">
            <v>SWP238</v>
          </cell>
        </row>
        <row r="638">
          <cell r="AK638">
            <v>87</v>
          </cell>
        </row>
        <row r="639">
          <cell r="A639" t="str">
            <v>SWP255</v>
          </cell>
        </row>
        <row r="639">
          <cell r="AK639">
            <v>87</v>
          </cell>
        </row>
        <row r="640">
          <cell r="A640" t="str">
            <v>SWP029</v>
          </cell>
        </row>
        <row r="640">
          <cell r="AK640">
            <v>86</v>
          </cell>
        </row>
        <row r="641">
          <cell r="A641" t="str">
            <v>SCA8019FLR</v>
          </cell>
        </row>
        <row r="641">
          <cell r="AK641">
            <v>86</v>
          </cell>
        </row>
        <row r="642">
          <cell r="A642" t="str">
            <v>SWP302</v>
          </cell>
        </row>
        <row r="642">
          <cell r="AK642">
            <v>85</v>
          </cell>
        </row>
        <row r="643">
          <cell r="A643" t="str">
            <v>SCA8044FL</v>
          </cell>
        </row>
        <row r="643">
          <cell r="AK643">
            <v>85</v>
          </cell>
        </row>
        <row r="644">
          <cell r="A644" t="str">
            <v>SWP256</v>
          </cell>
        </row>
        <row r="644">
          <cell r="AK644">
            <v>84</v>
          </cell>
        </row>
        <row r="645">
          <cell r="A645" t="str">
            <v>SWP269</v>
          </cell>
        </row>
        <row r="645">
          <cell r="AK645">
            <v>84</v>
          </cell>
        </row>
        <row r="646">
          <cell r="A646" t="str">
            <v>SWP324</v>
          </cell>
        </row>
        <row r="646">
          <cell r="AK646">
            <v>84</v>
          </cell>
        </row>
        <row r="647">
          <cell r="A647" t="str">
            <v>SCA8010FL</v>
          </cell>
        </row>
        <row r="647">
          <cell r="AK647">
            <v>84</v>
          </cell>
        </row>
        <row r="648">
          <cell r="A648" t="str">
            <v>SBC1207M</v>
          </cell>
        </row>
        <row r="648">
          <cell r="AK648">
            <v>84</v>
          </cell>
        </row>
        <row r="649">
          <cell r="A649" t="str">
            <v>SWP061</v>
          </cell>
        </row>
        <row r="649">
          <cell r="AK649">
            <v>83</v>
          </cell>
        </row>
        <row r="650">
          <cell r="A650" t="str">
            <v>SWP004</v>
          </cell>
        </row>
        <row r="650">
          <cell r="AK650">
            <v>83</v>
          </cell>
        </row>
        <row r="651">
          <cell r="A651" t="str">
            <v>SBC1186</v>
          </cell>
        </row>
        <row r="651">
          <cell r="AK651">
            <v>83</v>
          </cell>
        </row>
        <row r="652">
          <cell r="A652" t="str">
            <v>SCA8110FL</v>
          </cell>
        </row>
        <row r="652">
          <cell r="AK652">
            <v>83</v>
          </cell>
        </row>
        <row r="653">
          <cell r="A653" t="str">
            <v>SCA8104FR</v>
          </cell>
        </row>
        <row r="653">
          <cell r="AK653">
            <v>83</v>
          </cell>
        </row>
        <row r="654">
          <cell r="A654" t="str">
            <v>SVP6040</v>
          </cell>
        </row>
        <row r="654">
          <cell r="AK654">
            <v>83</v>
          </cell>
        </row>
        <row r="655">
          <cell r="A655" t="str">
            <v>SCA8012FR</v>
          </cell>
        </row>
        <row r="655">
          <cell r="AK655">
            <v>83</v>
          </cell>
        </row>
        <row r="656">
          <cell r="A656" t="str">
            <v>SWP032</v>
          </cell>
        </row>
        <row r="656">
          <cell r="AK656">
            <v>82</v>
          </cell>
        </row>
        <row r="657">
          <cell r="A657" t="str">
            <v>SCA8104FL</v>
          </cell>
        </row>
        <row r="657">
          <cell r="AK657">
            <v>82</v>
          </cell>
        </row>
        <row r="658">
          <cell r="A658" t="str">
            <v>SCC2001</v>
          </cell>
        </row>
        <row r="658">
          <cell r="AK658">
            <v>81</v>
          </cell>
        </row>
        <row r="659">
          <cell r="A659" t="str">
            <v>SVP6005</v>
          </cell>
        </row>
        <row r="659">
          <cell r="AK659">
            <v>81</v>
          </cell>
        </row>
        <row r="660">
          <cell r="A660" t="str">
            <v>SCA8064FL</v>
          </cell>
        </row>
        <row r="660">
          <cell r="AK660">
            <v>81</v>
          </cell>
        </row>
        <row r="661">
          <cell r="A661" t="str">
            <v>SCA8064FR</v>
          </cell>
        </row>
        <row r="661">
          <cell r="AK661">
            <v>81</v>
          </cell>
        </row>
        <row r="662">
          <cell r="A662" t="str">
            <v>SWC5048L</v>
          </cell>
        </row>
        <row r="662">
          <cell r="AK662">
            <v>81</v>
          </cell>
        </row>
        <row r="663">
          <cell r="A663" t="str">
            <v>SCA8012FL</v>
          </cell>
        </row>
        <row r="663">
          <cell r="AK663">
            <v>81</v>
          </cell>
        </row>
        <row r="664">
          <cell r="A664" t="str">
            <v>SCA8052FL</v>
          </cell>
        </row>
        <row r="664">
          <cell r="AK664">
            <v>81</v>
          </cell>
        </row>
        <row r="665">
          <cell r="A665" t="str">
            <v>SWP335</v>
          </cell>
        </row>
        <row r="665">
          <cell r="AK665">
            <v>80</v>
          </cell>
        </row>
        <row r="666">
          <cell r="A666" t="str">
            <v>SCA8110FR</v>
          </cell>
        </row>
        <row r="666">
          <cell r="AK666">
            <v>80</v>
          </cell>
        </row>
        <row r="667">
          <cell r="A667" t="str">
            <v>SCA8052FR</v>
          </cell>
        </row>
        <row r="667">
          <cell r="AK667">
            <v>80</v>
          </cell>
        </row>
        <row r="668">
          <cell r="A668" t="str">
            <v>SWP187</v>
          </cell>
        </row>
        <row r="668">
          <cell r="AK668">
            <v>79</v>
          </cell>
        </row>
        <row r="669">
          <cell r="A669" t="str">
            <v>SWP316</v>
          </cell>
        </row>
        <row r="669">
          <cell r="AK669">
            <v>79</v>
          </cell>
        </row>
        <row r="670">
          <cell r="A670" t="str">
            <v>SWP331</v>
          </cell>
        </row>
        <row r="670">
          <cell r="AK670">
            <v>79</v>
          </cell>
        </row>
        <row r="671">
          <cell r="A671" t="str">
            <v>SBC1201</v>
          </cell>
        </row>
        <row r="671">
          <cell r="AK671">
            <v>79</v>
          </cell>
        </row>
        <row r="672">
          <cell r="A672" t="str">
            <v>SCC2096</v>
          </cell>
        </row>
        <row r="672">
          <cell r="AK672">
            <v>79</v>
          </cell>
        </row>
        <row r="673">
          <cell r="A673" t="str">
            <v>SCC2097</v>
          </cell>
        </row>
        <row r="673">
          <cell r="AK673">
            <v>79</v>
          </cell>
        </row>
        <row r="674">
          <cell r="A674" t="str">
            <v>SCC2102</v>
          </cell>
        </row>
        <row r="674">
          <cell r="AK674">
            <v>79</v>
          </cell>
        </row>
        <row r="675">
          <cell r="A675" t="str">
            <v>SBS8093PB</v>
          </cell>
        </row>
        <row r="675">
          <cell r="AK675">
            <v>79</v>
          </cell>
        </row>
        <row r="676">
          <cell r="A676" t="str">
            <v>SCA8112FR</v>
          </cell>
        </row>
        <row r="676">
          <cell r="AK676">
            <v>79</v>
          </cell>
        </row>
        <row r="677">
          <cell r="A677" t="str">
            <v>SCA8101FL</v>
          </cell>
        </row>
        <row r="677">
          <cell r="AK677">
            <v>79</v>
          </cell>
        </row>
        <row r="678">
          <cell r="A678" t="str">
            <v>SCA8068FL</v>
          </cell>
        </row>
        <row r="678">
          <cell r="AK678">
            <v>79</v>
          </cell>
        </row>
        <row r="679">
          <cell r="A679" t="str">
            <v>SWP163</v>
          </cell>
        </row>
        <row r="679">
          <cell r="AK679">
            <v>78</v>
          </cell>
        </row>
        <row r="680">
          <cell r="A680" t="str">
            <v>SBS8068PB</v>
          </cell>
        </row>
        <row r="680">
          <cell r="AK680">
            <v>78</v>
          </cell>
        </row>
        <row r="681">
          <cell r="A681" t="str">
            <v>SWP011</v>
          </cell>
        </row>
        <row r="681">
          <cell r="AK681">
            <v>77</v>
          </cell>
        </row>
        <row r="682">
          <cell r="A682" t="str">
            <v>SWP063</v>
          </cell>
        </row>
        <row r="682">
          <cell r="AK682">
            <v>77</v>
          </cell>
        </row>
        <row r="683">
          <cell r="A683" t="str">
            <v>SBS8059PB</v>
          </cell>
        </row>
        <row r="683">
          <cell r="AK683">
            <v>77</v>
          </cell>
        </row>
        <row r="684">
          <cell r="A684" t="str">
            <v>SBC1189</v>
          </cell>
        </row>
        <row r="684">
          <cell r="AK684">
            <v>77</v>
          </cell>
        </row>
        <row r="685">
          <cell r="A685" t="str">
            <v>SBS8099PB</v>
          </cell>
        </row>
        <row r="685">
          <cell r="AK685">
            <v>77</v>
          </cell>
        </row>
        <row r="686">
          <cell r="A686" t="str">
            <v>SWP254</v>
          </cell>
        </row>
        <row r="686">
          <cell r="AK686">
            <v>76</v>
          </cell>
        </row>
        <row r="687">
          <cell r="A687" t="str">
            <v>SWP241H1</v>
          </cell>
        </row>
        <row r="687">
          <cell r="AK687">
            <v>76</v>
          </cell>
        </row>
        <row r="688">
          <cell r="A688" t="str">
            <v>SCS4009</v>
          </cell>
        </row>
        <row r="688">
          <cell r="AK688">
            <v>76</v>
          </cell>
        </row>
        <row r="689">
          <cell r="A689" t="str">
            <v>SCS4014</v>
          </cell>
        </row>
        <row r="689">
          <cell r="AK689">
            <v>76</v>
          </cell>
        </row>
        <row r="690">
          <cell r="A690" t="str">
            <v>SWP293</v>
          </cell>
        </row>
        <row r="690">
          <cell r="AK690">
            <v>76</v>
          </cell>
        </row>
        <row r="691">
          <cell r="A691" t="str">
            <v>SBC1193</v>
          </cell>
        </row>
        <row r="691">
          <cell r="AK691">
            <v>76</v>
          </cell>
        </row>
        <row r="692">
          <cell r="A692" t="str">
            <v>SBC1199</v>
          </cell>
        </row>
        <row r="692">
          <cell r="AK692">
            <v>76</v>
          </cell>
        </row>
        <row r="693">
          <cell r="A693" t="str">
            <v>SCA8100FL</v>
          </cell>
        </row>
        <row r="693">
          <cell r="AK693">
            <v>76</v>
          </cell>
        </row>
        <row r="694">
          <cell r="A694" t="str">
            <v>SCA8100FR</v>
          </cell>
        </row>
        <row r="694">
          <cell r="AK694">
            <v>76</v>
          </cell>
        </row>
        <row r="695">
          <cell r="A695" t="str">
            <v>SCA8062FL</v>
          </cell>
        </row>
        <row r="695">
          <cell r="AK695">
            <v>76</v>
          </cell>
        </row>
        <row r="696">
          <cell r="A696" t="str">
            <v>SCA8062FR</v>
          </cell>
        </row>
        <row r="696">
          <cell r="AK696">
            <v>76</v>
          </cell>
        </row>
        <row r="697">
          <cell r="A697" t="str">
            <v>SCC2101</v>
          </cell>
        </row>
        <row r="697">
          <cell r="AK697">
            <v>75</v>
          </cell>
        </row>
        <row r="698">
          <cell r="A698" t="str">
            <v>SWP065</v>
          </cell>
        </row>
        <row r="698">
          <cell r="AK698">
            <v>74</v>
          </cell>
        </row>
        <row r="699">
          <cell r="A699" t="str">
            <v>SWP123</v>
          </cell>
        </row>
        <row r="699">
          <cell r="AK699">
            <v>74</v>
          </cell>
        </row>
        <row r="700">
          <cell r="A700" t="str">
            <v>SCA8101FR</v>
          </cell>
        </row>
        <row r="700">
          <cell r="AK700">
            <v>74</v>
          </cell>
        </row>
        <row r="701">
          <cell r="A701" t="str">
            <v>SWP003</v>
          </cell>
        </row>
        <row r="701">
          <cell r="AK701">
            <v>73</v>
          </cell>
        </row>
        <row r="702">
          <cell r="A702" t="str">
            <v>SWP279</v>
          </cell>
        </row>
        <row r="702">
          <cell r="AK702">
            <v>73</v>
          </cell>
        </row>
        <row r="703">
          <cell r="A703" t="str">
            <v>SBC1205</v>
          </cell>
        </row>
        <row r="703">
          <cell r="AK703">
            <v>73</v>
          </cell>
        </row>
        <row r="704">
          <cell r="A704" t="str">
            <v>SCC2099</v>
          </cell>
        </row>
        <row r="704">
          <cell r="AK704">
            <v>73</v>
          </cell>
        </row>
        <row r="705">
          <cell r="A705" t="str">
            <v>SWP114</v>
          </cell>
        </row>
        <row r="705">
          <cell r="AK705">
            <v>72</v>
          </cell>
        </row>
        <row r="706">
          <cell r="A706" t="str">
            <v>SCC2043</v>
          </cell>
        </row>
        <row r="706">
          <cell r="AK706">
            <v>72</v>
          </cell>
        </row>
        <row r="707">
          <cell r="A707" t="str">
            <v>SCS4016</v>
          </cell>
        </row>
        <row r="707">
          <cell r="AK707">
            <v>72</v>
          </cell>
        </row>
        <row r="708">
          <cell r="A708" t="str">
            <v>SWP286</v>
          </cell>
        </row>
        <row r="708">
          <cell r="AK708">
            <v>72</v>
          </cell>
        </row>
        <row r="709">
          <cell r="A709" t="str">
            <v>SCA8103FR</v>
          </cell>
        </row>
        <row r="709">
          <cell r="AK709">
            <v>72</v>
          </cell>
        </row>
        <row r="710">
          <cell r="A710" t="str">
            <v>SCA8068FR</v>
          </cell>
        </row>
        <row r="710">
          <cell r="AK710">
            <v>72</v>
          </cell>
        </row>
        <row r="711">
          <cell r="A711" t="str">
            <v>SCA8069FL</v>
          </cell>
        </row>
        <row r="711">
          <cell r="AK711">
            <v>72</v>
          </cell>
        </row>
        <row r="712">
          <cell r="A712" t="str">
            <v>SWP034</v>
          </cell>
        </row>
        <row r="712">
          <cell r="AK712">
            <v>71</v>
          </cell>
        </row>
        <row r="713">
          <cell r="A713" t="str">
            <v>SWP183</v>
          </cell>
        </row>
        <row r="713">
          <cell r="AK713">
            <v>71</v>
          </cell>
        </row>
        <row r="714">
          <cell r="A714" t="str">
            <v>SWP224</v>
          </cell>
        </row>
        <row r="714">
          <cell r="AK714">
            <v>71</v>
          </cell>
        </row>
        <row r="715">
          <cell r="A715" t="str">
            <v>SBC1045</v>
          </cell>
        </row>
        <row r="715">
          <cell r="AK715">
            <v>71</v>
          </cell>
        </row>
        <row r="716">
          <cell r="A716" t="str">
            <v>SSC3049</v>
          </cell>
        </row>
        <row r="716">
          <cell r="AK716">
            <v>71</v>
          </cell>
        </row>
        <row r="717">
          <cell r="A717" t="str">
            <v>SCA8044FR</v>
          </cell>
        </row>
        <row r="717">
          <cell r="AK717">
            <v>71</v>
          </cell>
        </row>
        <row r="718">
          <cell r="A718" t="str">
            <v>SSC3046</v>
          </cell>
        </row>
        <row r="718">
          <cell r="AK718">
            <v>70</v>
          </cell>
        </row>
        <row r="719">
          <cell r="A719" t="str">
            <v>SCA8048FR</v>
          </cell>
        </row>
        <row r="719">
          <cell r="AK719">
            <v>70</v>
          </cell>
        </row>
        <row r="720">
          <cell r="A720" t="str">
            <v>SWP216</v>
          </cell>
        </row>
        <row r="720">
          <cell r="AK720">
            <v>69</v>
          </cell>
        </row>
        <row r="721">
          <cell r="A721" t="str">
            <v>SWP270</v>
          </cell>
        </row>
        <row r="721">
          <cell r="AK721">
            <v>68</v>
          </cell>
        </row>
        <row r="722">
          <cell r="A722" t="str">
            <v>SWP309</v>
          </cell>
        </row>
        <row r="722">
          <cell r="AK722">
            <v>68</v>
          </cell>
        </row>
        <row r="723">
          <cell r="A723" t="str">
            <v>SCC2100</v>
          </cell>
        </row>
        <row r="723">
          <cell r="AK723">
            <v>68</v>
          </cell>
        </row>
        <row r="724">
          <cell r="A724" t="str">
            <v>SCA8112FL</v>
          </cell>
        </row>
        <row r="724">
          <cell r="AK724">
            <v>68</v>
          </cell>
        </row>
        <row r="725">
          <cell r="A725" t="str">
            <v>SCA8103FL</v>
          </cell>
        </row>
        <row r="725">
          <cell r="AK725">
            <v>68</v>
          </cell>
        </row>
        <row r="726">
          <cell r="A726" t="str">
            <v>SCA8087FL</v>
          </cell>
        </row>
        <row r="726">
          <cell r="AK726">
            <v>68</v>
          </cell>
        </row>
        <row r="727">
          <cell r="A727" t="str">
            <v>SBS8057</v>
          </cell>
        </row>
        <row r="727">
          <cell r="AK727">
            <v>67</v>
          </cell>
        </row>
        <row r="728">
          <cell r="A728" t="str">
            <v>SBC1187</v>
          </cell>
        </row>
        <row r="728">
          <cell r="AK728">
            <v>67</v>
          </cell>
        </row>
        <row r="729">
          <cell r="A729" t="str">
            <v>SCA8111FL</v>
          </cell>
        </row>
        <row r="729">
          <cell r="AK729">
            <v>67</v>
          </cell>
        </row>
        <row r="730">
          <cell r="A730" t="str">
            <v>SWP167H</v>
          </cell>
        </row>
        <row r="730">
          <cell r="AK730">
            <v>66</v>
          </cell>
        </row>
        <row r="731">
          <cell r="A731" t="str">
            <v>SCC2094</v>
          </cell>
        </row>
        <row r="731">
          <cell r="AK731">
            <v>66</v>
          </cell>
        </row>
        <row r="732">
          <cell r="A732" t="str">
            <v>SCA8069FR</v>
          </cell>
        </row>
        <row r="732">
          <cell r="AK732">
            <v>66</v>
          </cell>
        </row>
        <row r="733">
          <cell r="A733" t="str">
            <v>SCA8048FL</v>
          </cell>
        </row>
        <row r="733">
          <cell r="AK733">
            <v>66</v>
          </cell>
        </row>
        <row r="734">
          <cell r="A734" t="str">
            <v>SVP6019</v>
          </cell>
        </row>
        <row r="734">
          <cell r="AK734">
            <v>65</v>
          </cell>
        </row>
        <row r="735">
          <cell r="A735" t="str">
            <v>SWP284A</v>
          </cell>
        </row>
        <row r="735">
          <cell r="AK735">
            <v>65</v>
          </cell>
        </row>
        <row r="736">
          <cell r="A736" t="str">
            <v>SBC1202</v>
          </cell>
        </row>
        <row r="736">
          <cell r="AK736">
            <v>65</v>
          </cell>
        </row>
        <row r="737">
          <cell r="A737" t="str">
            <v>SCA8099FL</v>
          </cell>
        </row>
        <row r="737">
          <cell r="AK737">
            <v>65</v>
          </cell>
        </row>
        <row r="738">
          <cell r="A738" t="str">
            <v>SCA8111FR</v>
          </cell>
        </row>
        <row r="738">
          <cell r="AK738">
            <v>65</v>
          </cell>
        </row>
        <row r="739">
          <cell r="A739" t="str">
            <v>SCA8059FR</v>
          </cell>
        </row>
        <row r="739">
          <cell r="AK739">
            <v>65</v>
          </cell>
        </row>
        <row r="740">
          <cell r="A740" t="str">
            <v>SWP311</v>
          </cell>
        </row>
        <row r="740">
          <cell r="AK740">
            <v>64</v>
          </cell>
        </row>
        <row r="741">
          <cell r="A741" t="str">
            <v>SBS8062</v>
          </cell>
        </row>
        <row r="741">
          <cell r="AK741">
            <v>64</v>
          </cell>
        </row>
        <row r="742">
          <cell r="A742" t="str">
            <v>SCA8028FR</v>
          </cell>
        </row>
        <row r="742">
          <cell r="AK742">
            <v>64</v>
          </cell>
        </row>
        <row r="743">
          <cell r="A743" t="str">
            <v>SBC1198</v>
          </cell>
        </row>
        <row r="743">
          <cell r="AK743">
            <v>63</v>
          </cell>
        </row>
        <row r="744">
          <cell r="A744" t="str">
            <v>SBC1200</v>
          </cell>
        </row>
        <row r="744">
          <cell r="AK744">
            <v>63</v>
          </cell>
        </row>
        <row r="745">
          <cell r="A745" t="str">
            <v>SSC3047</v>
          </cell>
        </row>
        <row r="745">
          <cell r="AK745">
            <v>63</v>
          </cell>
        </row>
        <row r="746">
          <cell r="A746" t="str">
            <v>SCA8060FR</v>
          </cell>
        </row>
        <row r="746">
          <cell r="AK746">
            <v>63</v>
          </cell>
        </row>
        <row r="747">
          <cell r="A747" t="str">
            <v>SWP158</v>
          </cell>
        </row>
        <row r="747">
          <cell r="AK747">
            <v>62</v>
          </cell>
        </row>
        <row r="748">
          <cell r="A748" t="str">
            <v>SVP6001</v>
          </cell>
        </row>
        <row r="748">
          <cell r="AK748">
            <v>62</v>
          </cell>
        </row>
        <row r="749">
          <cell r="A749" t="str">
            <v>SVP6012</v>
          </cell>
        </row>
        <row r="749">
          <cell r="AK749">
            <v>62</v>
          </cell>
        </row>
        <row r="750">
          <cell r="A750" t="str">
            <v>SBS8073PB</v>
          </cell>
        </row>
        <row r="750">
          <cell r="AK750">
            <v>62</v>
          </cell>
        </row>
        <row r="751">
          <cell r="A751" t="str">
            <v>SWP164</v>
          </cell>
        </row>
        <row r="751">
          <cell r="AK751">
            <v>61</v>
          </cell>
        </row>
        <row r="752">
          <cell r="A752" t="str">
            <v>SBC1060</v>
          </cell>
        </row>
        <row r="752">
          <cell r="AK752">
            <v>61</v>
          </cell>
        </row>
        <row r="753">
          <cell r="A753" t="str">
            <v>SCC2048</v>
          </cell>
        </row>
        <row r="753">
          <cell r="AK753">
            <v>61</v>
          </cell>
        </row>
        <row r="754">
          <cell r="A754" t="str">
            <v>SBS8078PB</v>
          </cell>
        </row>
        <row r="754">
          <cell r="AK754">
            <v>61</v>
          </cell>
        </row>
        <row r="755">
          <cell r="A755" t="str">
            <v>SWP020</v>
          </cell>
        </row>
        <row r="755">
          <cell r="AK755">
            <v>60</v>
          </cell>
        </row>
        <row r="756">
          <cell r="A756" t="str">
            <v>SBC1196</v>
          </cell>
        </row>
        <row r="756">
          <cell r="AK756">
            <v>60</v>
          </cell>
        </row>
        <row r="757">
          <cell r="A757" t="str">
            <v>SCA8099FR</v>
          </cell>
        </row>
        <row r="757">
          <cell r="AK757">
            <v>60</v>
          </cell>
        </row>
        <row r="758">
          <cell r="A758" t="str">
            <v>SCA8087FR</v>
          </cell>
        </row>
        <row r="758">
          <cell r="AK758">
            <v>60</v>
          </cell>
        </row>
        <row r="759">
          <cell r="A759" t="str">
            <v>SWP222</v>
          </cell>
        </row>
        <row r="759">
          <cell r="AK759">
            <v>59</v>
          </cell>
        </row>
        <row r="760">
          <cell r="A760" t="str">
            <v>SCA8011FR</v>
          </cell>
        </row>
        <row r="760">
          <cell r="AK760">
            <v>59</v>
          </cell>
        </row>
        <row r="761">
          <cell r="A761" t="str">
            <v>SCA8060FL</v>
          </cell>
        </row>
        <row r="761">
          <cell r="AK761">
            <v>59</v>
          </cell>
        </row>
        <row r="762">
          <cell r="A762" t="str">
            <v>SWP016</v>
          </cell>
        </row>
        <row r="762">
          <cell r="AK762">
            <v>58</v>
          </cell>
        </row>
        <row r="763">
          <cell r="A763" t="str">
            <v>SWP128</v>
          </cell>
        </row>
        <row r="763">
          <cell r="AK763">
            <v>58</v>
          </cell>
        </row>
        <row r="764">
          <cell r="A764" t="str">
            <v>SWP210</v>
          </cell>
        </row>
        <row r="764">
          <cell r="AK764">
            <v>58</v>
          </cell>
        </row>
        <row r="765">
          <cell r="A765" t="str">
            <v>SWP244</v>
          </cell>
        </row>
        <row r="765">
          <cell r="AK765">
            <v>58</v>
          </cell>
        </row>
        <row r="766">
          <cell r="A766" t="str">
            <v>SSC3027</v>
          </cell>
        </row>
        <row r="766">
          <cell r="AK766">
            <v>58</v>
          </cell>
        </row>
        <row r="767">
          <cell r="A767" t="str">
            <v>SOC9020</v>
          </cell>
        </row>
        <row r="767">
          <cell r="AK767">
            <v>58</v>
          </cell>
        </row>
        <row r="768">
          <cell r="A768" t="str">
            <v>SCA8034FR</v>
          </cell>
        </row>
        <row r="768">
          <cell r="AK768">
            <v>58</v>
          </cell>
        </row>
        <row r="769">
          <cell r="A769" t="str">
            <v>SCA8054FR</v>
          </cell>
        </row>
        <row r="769">
          <cell r="AK769">
            <v>58</v>
          </cell>
        </row>
        <row r="770">
          <cell r="A770" t="str">
            <v>SWP077</v>
          </cell>
        </row>
        <row r="770">
          <cell r="AK770">
            <v>57</v>
          </cell>
        </row>
        <row r="771">
          <cell r="A771" t="str">
            <v>SWP226</v>
          </cell>
        </row>
        <row r="771">
          <cell r="AK771">
            <v>57</v>
          </cell>
        </row>
        <row r="772">
          <cell r="A772" t="str">
            <v>SWP109</v>
          </cell>
        </row>
        <row r="772">
          <cell r="AK772">
            <v>57</v>
          </cell>
        </row>
        <row r="773">
          <cell r="A773" t="str">
            <v>SWP151</v>
          </cell>
        </row>
        <row r="773">
          <cell r="AK773">
            <v>57</v>
          </cell>
        </row>
        <row r="774">
          <cell r="A774" t="str">
            <v>SVP6027</v>
          </cell>
        </row>
        <row r="774">
          <cell r="AK774">
            <v>57</v>
          </cell>
        </row>
        <row r="775">
          <cell r="A775" t="str">
            <v>SOC9008</v>
          </cell>
        </row>
        <row r="775">
          <cell r="AK775">
            <v>57</v>
          </cell>
        </row>
        <row r="776">
          <cell r="A776" t="str">
            <v>SCA8028FL</v>
          </cell>
        </row>
        <row r="776">
          <cell r="AK776">
            <v>56</v>
          </cell>
        </row>
        <row r="777">
          <cell r="A777" t="str">
            <v>SWP132</v>
          </cell>
        </row>
        <row r="777">
          <cell r="AK777">
            <v>55</v>
          </cell>
        </row>
        <row r="778">
          <cell r="A778" t="str">
            <v>SCC2046</v>
          </cell>
        </row>
        <row r="778">
          <cell r="AK778">
            <v>55</v>
          </cell>
        </row>
        <row r="779">
          <cell r="A779" t="str">
            <v>SWP282</v>
          </cell>
        </row>
        <row r="779">
          <cell r="AK779">
            <v>55</v>
          </cell>
        </row>
        <row r="780">
          <cell r="A780" t="str">
            <v>SOC9018</v>
          </cell>
        </row>
        <row r="780">
          <cell r="AK780">
            <v>55</v>
          </cell>
        </row>
        <row r="781">
          <cell r="A781" t="str">
            <v>SCA8063FR</v>
          </cell>
        </row>
        <row r="781">
          <cell r="AK781">
            <v>55</v>
          </cell>
        </row>
        <row r="782">
          <cell r="A782" t="str">
            <v>SWP204</v>
          </cell>
        </row>
        <row r="782">
          <cell r="AK782">
            <v>54</v>
          </cell>
        </row>
        <row r="783">
          <cell r="A783" t="str">
            <v>SWP246</v>
          </cell>
        </row>
        <row r="783">
          <cell r="AK783">
            <v>54</v>
          </cell>
        </row>
        <row r="784">
          <cell r="A784" t="str">
            <v>SWP291</v>
          </cell>
        </row>
        <row r="784">
          <cell r="AK784">
            <v>54</v>
          </cell>
        </row>
        <row r="785">
          <cell r="A785" t="str">
            <v>SWP307</v>
          </cell>
        </row>
        <row r="785">
          <cell r="AK785">
            <v>54</v>
          </cell>
        </row>
        <row r="786">
          <cell r="A786" t="str">
            <v>SOC9006</v>
          </cell>
        </row>
        <row r="786">
          <cell r="AK786">
            <v>54</v>
          </cell>
        </row>
        <row r="787">
          <cell r="A787" t="str">
            <v>SWP017</v>
          </cell>
        </row>
        <row r="787">
          <cell r="AK787">
            <v>53</v>
          </cell>
        </row>
        <row r="788">
          <cell r="A788" t="str">
            <v>SWP100</v>
          </cell>
        </row>
        <row r="788">
          <cell r="AK788">
            <v>53</v>
          </cell>
        </row>
        <row r="789">
          <cell r="A789" t="str">
            <v>SWP229</v>
          </cell>
        </row>
        <row r="789">
          <cell r="AK789">
            <v>53</v>
          </cell>
        </row>
        <row r="790">
          <cell r="A790" t="str">
            <v>SCA8059FL</v>
          </cell>
        </row>
        <row r="790">
          <cell r="AK790">
            <v>53</v>
          </cell>
        </row>
        <row r="791">
          <cell r="A791" t="str">
            <v>SCA8063FL</v>
          </cell>
        </row>
        <row r="791">
          <cell r="AK791">
            <v>53</v>
          </cell>
        </row>
        <row r="792">
          <cell r="A792" t="str">
            <v>SCA8054FL</v>
          </cell>
        </row>
        <row r="792">
          <cell r="AK792">
            <v>53</v>
          </cell>
        </row>
        <row r="793">
          <cell r="A793" t="str">
            <v>SWP056</v>
          </cell>
        </row>
        <row r="793">
          <cell r="AK793">
            <v>52</v>
          </cell>
        </row>
        <row r="794">
          <cell r="A794" t="str">
            <v>SWP062</v>
          </cell>
        </row>
        <row r="794">
          <cell r="AK794">
            <v>52</v>
          </cell>
        </row>
        <row r="795">
          <cell r="A795" t="str">
            <v>SWP125</v>
          </cell>
        </row>
        <row r="795">
          <cell r="AK795">
            <v>52</v>
          </cell>
        </row>
        <row r="796">
          <cell r="A796" t="str">
            <v>SWP177</v>
          </cell>
        </row>
        <row r="796">
          <cell r="AK796">
            <v>52</v>
          </cell>
        </row>
        <row r="797">
          <cell r="A797" t="str">
            <v>SOC9026</v>
          </cell>
        </row>
        <row r="797">
          <cell r="AK797">
            <v>52</v>
          </cell>
        </row>
        <row r="798">
          <cell r="A798" t="str">
            <v>SCC2103</v>
          </cell>
        </row>
        <row r="798">
          <cell r="AK798">
            <v>52</v>
          </cell>
        </row>
        <row r="799">
          <cell r="A799" t="str">
            <v>SCA8033FR</v>
          </cell>
        </row>
        <row r="799">
          <cell r="AK799">
            <v>52</v>
          </cell>
        </row>
        <row r="800">
          <cell r="A800" t="str">
            <v>SWP144</v>
          </cell>
        </row>
        <row r="800">
          <cell r="AK800">
            <v>51</v>
          </cell>
        </row>
        <row r="801">
          <cell r="A801" t="str">
            <v>SBC1006</v>
          </cell>
        </row>
        <row r="801">
          <cell r="AK801">
            <v>51</v>
          </cell>
        </row>
        <row r="802">
          <cell r="A802" t="str">
            <v>SWP294</v>
          </cell>
        </row>
        <row r="802">
          <cell r="AK802">
            <v>51</v>
          </cell>
        </row>
        <row r="803">
          <cell r="A803" t="str">
            <v>SBS8063PB</v>
          </cell>
        </row>
        <row r="803">
          <cell r="AK803">
            <v>51</v>
          </cell>
        </row>
        <row r="804">
          <cell r="A804" t="str">
            <v>SOC9004</v>
          </cell>
        </row>
        <row r="804">
          <cell r="AK804">
            <v>51</v>
          </cell>
        </row>
        <row r="805">
          <cell r="A805" t="str">
            <v>SCA8091FL</v>
          </cell>
        </row>
        <row r="805">
          <cell r="AK805">
            <v>51</v>
          </cell>
        </row>
        <row r="806">
          <cell r="A806" t="str">
            <v>SCA8038FL</v>
          </cell>
        </row>
        <row r="806">
          <cell r="AK806">
            <v>51</v>
          </cell>
        </row>
        <row r="807">
          <cell r="A807" t="str">
            <v>SCA8088FL</v>
          </cell>
        </row>
        <row r="807">
          <cell r="AK807">
            <v>51</v>
          </cell>
        </row>
        <row r="808">
          <cell r="A808" t="str">
            <v>SCA8088FR</v>
          </cell>
        </row>
        <row r="808">
          <cell r="AK808">
            <v>51</v>
          </cell>
        </row>
        <row r="809">
          <cell r="A809" t="str">
            <v>SWP108</v>
          </cell>
        </row>
        <row r="809">
          <cell r="AK809">
            <v>50</v>
          </cell>
        </row>
        <row r="810">
          <cell r="A810" t="str">
            <v>SWP111</v>
          </cell>
        </row>
        <row r="810">
          <cell r="AK810">
            <v>50</v>
          </cell>
        </row>
        <row r="811">
          <cell r="A811" t="str">
            <v>SWP299</v>
          </cell>
        </row>
        <row r="811">
          <cell r="AK811">
            <v>50</v>
          </cell>
        </row>
        <row r="812">
          <cell r="A812" t="str">
            <v>SOC9009</v>
          </cell>
        </row>
        <row r="812">
          <cell r="AK812">
            <v>50</v>
          </cell>
        </row>
        <row r="813">
          <cell r="A813" t="str">
            <v>SOC9011</v>
          </cell>
        </row>
        <row r="813">
          <cell r="AK813">
            <v>50</v>
          </cell>
        </row>
        <row r="814">
          <cell r="A814" t="str">
            <v>SCA8093K</v>
          </cell>
        </row>
        <row r="814">
          <cell r="AK814">
            <v>50</v>
          </cell>
        </row>
        <row r="815">
          <cell r="A815" t="str">
            <v>SCA8095K</v>
          </cell>
        </row>
        <row r="815">
          <cell r="AK815">
            <v>50</v>
          </cell>
        </row>
        <row r="816">
          <cell r="A816" t="str">
            <v>SCA8097K</v>
          </cell>
        </row>
        <row r="816">
          <cell r="AK816">
            <v>50</v>
          </cell>
        </row>
        <row r="817">
          <cell r="A817" t="str">
            <v>SCA8030FL</v>
          </cell>
        </row>
        <row r="817">
          <cell r="AK817">
            <v>50</v>
          </cell>
        </row>
        <row r="818">
          <cell r="A818" t="str">
            <v>SCA8030FR</v>
          </cell>
        </row>
        <row r="818">
          <cell r="AK818">
            <v>50</v>
          </cell>
        </row>
        <row r="819">
          <cell r="A819" t="str">
            <v>SCA8071FL</v>
          </cell>
        </row>
        <row r="819">
          <cell r="AK819">
            <v>50</v>
          </cell>
        </row>
        <row r="820">
          <cell r="A820" t="str">
            <v>SCA8071FR</v>
          </cell>
        </row>
        <row r="820">
          <cell r="AK820">
            <v>50</v>
          </cell>
        </row>
        <row r="821">
          <cell r="A821" t="str">
            <v>SCS4005</v>
          </cell>
        </row>
        <row r="821">
          <cell r="AK821">
            <v>49</v>
          </cell>
        </row>
        <row r="822">
          <cell r="A822" t="str">
            <v>SVP6020</v>
          </cell>
        </row>
        <row r="822">
          <cell r="AK822">
            <v>49</v>
          </cell>
        </row>
        <row r="823">
          <cell r="A823" t="str">
            <v>SWP300</v>
          </cell>
        </row>
        <row r="823">
          <cell r="AK823">
            <v>49</v>
          </cell>
        </row>
        <row r="824">
          <cell r="A824" t="str">
            <v>SBS8074PB</v>
          </cell>
        </row>
        <row r="824">
          <cell r="AK824">
            <v>49</v>
          </cell>
        </row>
        <row r="825">
          <cell r="A825" t="str">
            <v>SOC9028</v>
          </cell>
        </row>
        <row r="825">
          <cell r="AK825">
            <v>49</v>
          </cell>
        </row>
        <row r="826">
          <cell r="A826" t="str">
            <v>SCA8074FL</v>
          </cell>
        </row>
        <row r="826">
          <cell r="AK826">
            <v>49</v>
          </cell>
        </row>
        <row r="827">
          <cell r="A827" t="str">
            <v>SCA8033FL</v>
          </cell>
        </row>
        <row r="827">
          <cell r="AK827">
            <v>49</v>
          </cell>
        </row>
        <row r="828">
          <cell r="A828" t="str">
            <v>SWP145</v>
          </cell>
        </row>
        <row r="828">
          <cell r="AK828">
            <v>48</v>
          </cell>
        </row>
        <row r="829">
          <cell r="A829" t="str">
            <v>SWP259</v>
          </cell>
        </row>
        <row r="829">
          <cell r="AK829">
            <v>48</v>
          </cell>
        </row>
        <row r="830">
          <cell r="A830" t="str">
            <v>SWP104A</v>
          </cell>
        </row>
        <row r="830">
          <cell r="AK830">
            <v>48</v>
          </cell>
        </row>
        <row r="831">
          <cell r="A831" t="str">
            <v>SVP6006</v>
          </cell>
        </row>
        <row r="831">
          <cell r="AK831">
            <v>48</v>
          </cell>
        </row>
        <row r="832">
          <cell r="A832" t="str">
            <v>SVP6015</v>
          </cell>
        </row>
        <row r="832">
          <cell r="AK832">
            <v>48</v>
          </cell>
        </row>
        <row r="833">
          <cell r="A833" t="str">
            <v>SCA8011FL</v>
          </cell>
        </row>
        <row r="833">
          <cell r="AK833">
            <v>48</v>
          </cell>
        </row>
        <row r="834">
          <cell r="A834" t="str">
            <v>SCA8091FR</v>
          </cell>
        </row>
        <row r="834">
          <cell r="AK834">
            <v>48</v>
          </cell>
        </row>
        <row r="835">
          <cell r="A835" t="str">
            <v>SWP006</v>
          </cell>
        </row>
        <row r="835">
          <cell r="AK835">
            <v>47</v>
          </cell>
        </row>
        <row r="836">
          <cell r="A836" t="str">
            <v>SWP244H</v>
          </cell>
        </row>
        <row r="836">
          <cell r="AK836">
            <v>47</v>
          </cell>
        </row>
        <row r="837">
          <cell r="A837" t="str">
            <v>SFC7006</v>
          </cell>
        </row>
        <row r="837">
          <cell r="AK837">
            <v>47</v>
          </cell>
        </row>
        <row r="838">
          <cell r="A838" t="str">
            <v>SOC9016</v>
          </cell>
        </row>
        <row r="838">
          <cell r="AK838">
            <v>47</v>
          </cell>
        </row>
        <row r="839">
          <cell r="A839" t="str">
            <v>SOC9022</v>
          </cell>
        </row>
        <row r="839">
          <cell r="AK839">
            <v>47</v>
          </cell>
        </row>
        <row r="840">
          <cell r="A840" t="str">
            <v>SOC9023</v>
          </cell>
        </row>
        <row r="840">
          <cell r="AK840">
            <v>47</v>
          </cell>
        </row>
        <row r="841">
          <cell r="A841" t="str">
            <v>SOC9027</v>
          </cell>
        </row>
        <row r="841">
          <cell r="AK841">
            <v>47</v>
          </cell>
        </row>
        <row r="842">
          <cell r="A842" t="str">
            <v>SBC1197</v>
          </cell>
        </row>
        <row r="842">
          <cell r="AK842">
            <v>47</v>
          </cell>
        </row>
        <row r="843">
          <cell r="A843" t="str">
            <v>SWP073</v>
          </cell>
        </row>
        <row r="843">
          <cell r="AK843">
            <v>46</v>
          </cell>
        </row>
        <row r="844">
          <cell r="A844" t="str">
            <v>SWP218</v>
          </cell>
        </row>
        <row r="844">
          <cell r="AK844">
            <v>46</v>
          </cell>
        </row>
        <row r="845">
          <cell r="A845" t="str">
            <v>SWP014</v>
          </cell>
        </row>
        <row r="845">
          <cell r="AK845">
            <v>45</v>
          </cell>
        </row>
        <row r="846">
          <cell r="A846" t="str">
            <v>SWP126</v>
          </cell>
        </row>
        <row r="846">
          <cell r="AK846">
            <v>45</v>
          </cell>
        </row>
        <row r="847">
          <cell r="A847" t="str">
            <v>SWP251</v>
          </cell>
        </row>
        <row r="847">
          <cell r="AK847">
            <v>45</v>
          </cell>
        </row>
        <row r="848">
          <cell r="A848" t="str">
            <v>SOC9010</v>
          </cell>
        </row>
        <row r="848">
          <cell r="AK848">
            <v>45</v>
          </cell>
        </row>
        <row r="849">
          <cell r="A849" t="str">
            <v>SOC9013</v>
          </cell>
        </row>
        <row r="849">
          <cell r="AK849">
            <v>45</v>
          </cell>
        </row>
        <row r="850">
          <cell r="A850" t="str">
            <v>SOC9015</v>
          </cell>
        </row>
        <row r="850">
          <cell r="AK850">
            <v>45</v>
          </cell>
        </row>
        <row r="851">
          <cell r="A851" t="str">
            <v>SOC9024</v>
          </cell>
        </row>
        <row r="851">
          <cell r="AK851">
            <v>45</v>
          </cell>
        </row>
        <row r="852">
          <cell r="A852" t="str">
            <v>SCA8083FL</v>
          </cell>
        </row>
        <row r="852">
          <cell r="AK852">
            <v>45</v>
          </cell>
        </row>
        <row r="853">
          <cell r="A853" t="str">
            <v>SCA8089FL</v>
          </cell>
        </row>
        <row r="853">
          <cell r="AK853">
            <v>45</v>
          </cell>
        </row>
        <row r="854">
          <cell r="A854" t="str">
            <v>SCA8090FL</v>
          </cell>
        </row>
        <row r="854">
          <cell r="AK854">
            <v>45</v>
          </cell>
        </row>
        <row r="855">
          <cell r="A855" t="str">
            <v>SCA8085FL</v>
          </cell>
        </row>
        <row r="855">
          <cell r="AK855">
            <v>45</v>
          </cell>
        </row>
        <row r="856">
          <cell r="A856" t="str">
            <v>SWP026</v>
          </cell>
        </row>
        <row r="856">
          <cell r="AK856">
            <v>44</v>
          </cell>
        </row>
        <row r="857">
          <cell r="A857" t="str">
            <v>SWP162</v>
          </cell>
        </row>
        <row r="857">
          <cell r="AK857">
            <v>44</v>
          </cell>
        </row>
        <row r="858">
          <cell r="A858" t="str">
            <v>SWP035</v>
          </cell>
        </row>
        <row r="858">
          <cell r="AK858">
            <v>44</v>
          </cell>
        </row>
        <row r="859">
          <cell r="A859" t="str">
            <v>SWP293H</v>
          </cell>
        </row>
        <row r="859">
          <cell r="AK859">
            <v>44</v>
          </cell>
        </row>
        <row r="860">
          <cell r="A860" t="str">
            <v>SOC9012</v>
          </cell>
        </row>
        <row r="860">
          <cell r="AK860">
            <v>44</v>
          </cell>
        </row>
        <row r="861">
          <cell r="A861" t="str">
            <v>SOC9017</v>
          </cell>
        </row>
        <row r="861">
          <cell r="AK861">
            <v>44</v>
          </cell>
        </row>
        <row r="862">
          <cell r="A862" t="str">
            <v>SCA8020FL</v>
          </cell>
        </row>
        <row r="862">
          <cell r="AK862">
            <v>44</v>
          </cell>
        </row>
        <row r="863">
          <cell r="A863" t="str">
            <v>SCA8020FR</v>
          </cell>
        </row>
        <row r="863">
          <cell r="AK863">
            <v>44</v>
          </cell>
        </row>
        <row r="864">
          <cell r="A864" t="str">
            <v>SCA8075FL</v>
          </cell>
        </row>
        <row r="864">
          <cell r="AK864">
            <v>44</v>
          </cell>
        </row>
        <row r="865">
          <cell r="A865" t="str">
            <v>SCA8075FR</v>
          </cell>
        </row>
        <row r="865">
          <cell r="AK865">
            <v>44</v>
          </cell>
        </row>
        <row r="866">
          <cell r="A866" t="str">
            <v>SWP043</v>
          </cell>
        </row>
        <row r="866">
          <cell r="AK866">
            <v>43</v>
          </cell>
        </row>
        <row r="867">
          <cell r="A867" t="str">
            <v>SWP257</v>
          </cell>
        </row>
        <row r="867">
          <cell r="AK867">
            <v>43</v>
          </cell>
        </row>
        <row r="868">
          <cell r="A868" t="str">
            <v>SWP262</v>
          </cell>
        </row>
        <row r="868">
          <cell r="AK868">
            <v>43</v>
          </cell>
        </row>
        <row r="869">
          <cell r="A869" t="str">
            <v>SOC9030</v>
          </cell>
        </row>
        <row r="869">
          <cell r="AK869">
            <v>43</v>
          </cell>
        </row>
        <row r="870">
          <cell r="A870" t="str">
            <v>SCA8034FL</v>
          </cell>
        </row>
        <row r="870">
          <cell r="AK870">
            <v>43</v>
          </cell>
        </row>
        <row r="871">
          <cell r="A871" t="str">
            <v>SCA8053FL</v>
          </cell>
        </row>
        <row r="871">
          <cell r="AK871">
            <v>43</v>
          </cell>
        </row>
        <row r="872">
          <cell r="A872" t="str">
            <v>SCA8081FL</v>
          </cell>
        </row>
        <row r="872">
          <cell r="AK872">
            <v>43</v>
          </cell>
        </row>
        <row r="873">
          <cell r="A873" t="str">
            <v>SCA8081FR</v>
          </cell>
        </row>
        <row r="873">
          <cell r="AK873">
            <v>43</v>
          </cell>
        </row>
        <row r="874">
          <cell r="A874" t="str">
            <v>SWP171</v>
          </cell>
        </row>
        <row r="874">
          <cell r="AK874">
            <v>42</v>
          </cell>
        </row>
        <row r="875">
          <cell r="A875" t="str">
            <v>SFC7001</v>
          </cell>
        </row>
        <row r="875">
          <cell r="AK875">
            <v>42</v>
          </cell>
        </row>
        <row r="876">
          <cell r="A876" t="str">
            <v>SCA8079FR</v>
          </cell>
        </row>
        <row r="876">
          <cell r="AK876">
            <v>42</v>
          </cell>
        </row>
        <row r="877">
          <cell r="A877" t="str">
            <v>SCA8066FL</v>
          </cell>
        </row>
        <row r="877">
          <cell r="AK877">
            <v>42</v>
          </cell>
        </row>
        <row r="878">
          <cell r="A878" t="str">
            <v>SCA8066FR</v>
          </cell>
        </row>
        <row r="878">
          <cell r="AK878">
            <v>42</v>
          </cell>
        </row>
        <row r="879">
          <cell r="A879" t="str">
            <v>SBC1008</v>
          </cell>
        </row>
        <row r="879">
          <cell r="AK879">
            <v>41</v>
          </cell>
        </row>
        <row r="880">
          <cell r="A880" t="str">
            <v>SVP6026</v>
          </cell>
        </row>
        <row r="880">
          <cell r="AK880">
            <v>41</v>
          </cell>
        </row>
        <row r="881">
          <cell r="A881" t="str">
            <v>SBS8066</v>
          </cell>
        </row>
        <row r="881">
          <cell r="AK881">
            <v>41</v>
          </cell>
        </row>
        <row r="882">
          <cell r="A882" t="str">
            <v>SSC3045</v>
          </cell>
        </row>
        <row r="882">
          <cell r="AK882">
            <v>41</v>
          </cell>
        </row>
        <row r="883">
          <cell r="A883" t="str">
            <v>SCA8008FL</v>
          </cell>
        </row>
        <row r="883">
          <cell r="AK883">
            <v>41</v>
          </cell>
        </row>
        <row r="884">
          <cell r="A884" t="str">
            <v>SCA8053FR</v>
          </cell>
        </row>
        <row r="884">
          <cell r="AK884">
            <v>41</v>
          </cell>
        </row>
        <row r="885">
          <cell r="A885" t="str">
            <v>SWP143</v>
          </cell>
        </row>
        <row r="885">
          <cell r="AK885">
            <v>40</v>
          </cell>
        </row>
        <row r="886">
          <cell r="A886" t="str">
            <v>SWP270H</v>
          </cell>
        </row>
        <row r="886">
          <cell r="AK886">
            <v>40</v>
          </cell>
        </row>
        <row r="887">
          <cell r="A887" t="str">
            <v>SWP260</v>
          </cell>
        </row>
        <row r="887">
          <cell r="AK887">
            <v>40</v>
          </cell>
        </row>
        <row r="888">
          <cell r="A888" t="str">
            <v>SWP298</v>
          </cell>
        </row>
        <row r="888">
          <cell r="AK888">
            <v>40</v>
          </cell>
        </row>
        <row r="889">
          <cell r="A889" t="str">
            <v>SCA8083FR</v>
          </cell>
        </row>
        <row r="889">
          <cell r="AK889">
            <v>40</v>
          </cell>
        </row>
        <row r="890">
          <cell r="A890" t="str">
            <v>SCA8089FR</v>
          </cell>
        </row>
        <row r="890">
          <cell r="AK890">
            <v>40</v>
          </cell>
        </row>
        <row r="891">
          <cell r="A891" t="str">
            <v>SCA8013FL</v>
          </cell>
        </row>
        <row r="891">
          <cell r="AK891">
            <v>40</v>
          </cell>
        </row>
        <row r="892">
          <cell r="A892" t="str">
            <v>SCA8085FR</v>
          </cell>
        </row>
        <row r="892">
          <cell r="AK892">
            <v>40</v>
          </cell>
        </row>
        <row r="893">
          <cell r="A893" t="str">
            <v>SWP274</v>
          </cell>
        </row>
        <row r="893">
          <cell r="AK893">
            <v>39</v>
          </cell>
        </row>
        <row r="894">
          <cell r="A894" t="str">
            <v>SCC2104</v>
          </cell>
        </row>
        <row r="894">
          <cell r="AK894">
            <v>39</v>
          </cell>
        </row>
        <row r="895">
          <cell r="A895" t="str">
            <v>SCA8106FR</v>
          </cell>
        </row>
        <row r="895">
          <cell r="AK895">
            <v>39</v>
          </cell>
        </row>
        <row r="896">
          <cell r="A896" t="str">
            <v>SCA8107FL</v>
          </cell>
        </row>
        <row r="896">
          <cell r="AK896">
            <v>39</v>
          </cell>
        </row>
        <row r="897">
          <cell r="A897" t="str">
            <v>SCA8045FL</v>
          </cell>
        </row>
        <row r="897">
          <cell r="AK897">
            <v>39</v>
          </cell>
        </row>
        <row r="898">
          <cell r="A898" t="str">
            <v>SCA8013FR</v>
          </cell>
        </row>
        <row r="898">
          <cell r="AK898">
            <v>39</v>
          </cell>
        </row>
        <row r="899">
          <cell r="A899" t="str">
            <v>SCA8017FL</v>
          </cell>
        </row>
        <row r="899">
          <cell r="AK899">
            <v>39</v>
          </cell>
        </row>
        <row r="900">
          <cell r="A900" t="str">
            <v>SCA8017FR</v>
          </cell>
        </row>
        <row r="900">
          <cell r="AK900">
            <v>39</v>
          </cell>
        </row>
        <row r="901">
          <cell r="A901" t="str">
            <v>SWP024</v>
          </cell>
        </row>
        <row r="901">
          <cell r="AK901">
            <v>38</v>
          </cell>
        </row>
        <row r="902">
          <cell r="A902" t="str">
            <v>SWP166</v>
          </cell>
        </row>
        <row r="902">
          <cell r="AK902">
            <v>38</v>
          </cell>
        </row>
        <row r="903">
          <cell r="A903" t="str">
            <v>SWP180</v>
          </cell>
        </row>
        <row r="903">
          <cell r="AK903">
            <v>38</v>
          </cell>
        </row>
        <row r="904">
          <cell r="A904" t="str">
            <v>SWP225</v>
          </cell>
        </row>
        <row r="904">
          <cell r="AK904">
            <v>38</v>
          </cell>
        </row>
        <row r="905">
          <cell r="A905" t="str">
            <v>SWP227</v>
          </cell>
        </row>
        <row r="905">
          <cell r="AK905">
            <v>38</v>
          </cell>
        </row>
        <row r="906">
          <cell r="A906" t="str">
            <v>SWP311H</v>
          </cell>
        </row>
        <row r="906">
          <cell r="AK906">
            <v>38</v>
          </cell>
        </row>
        <row r="907">
          <cell r="A907" t="str">
            <v>SCA8079FL</v>
          </cell>
        </row>
        <row r="907">
          <cell r="AK907">
            <v>38</v>
          </cell>
        </row>
        <row r="908">
          <cell r="A908" t="str">
            <v>SCA8014FL</v>
          </cell>
        </row>
        <row r="908">
          <cell r="AK908">
            <v>38</v>
          </cell>
        </row>
        <row r="909">
          <cell r="A909" t="str">
            <v>SCA8065FR</v>
          </cell>
        </row>
        <row r="909">
          <cell r="AK909">
            <v>38</v>
          </cell>
        </row>
        <row r="910">
          <cell r="A910" t="str">
            <v>SCA8078FL</v>
          </cell>
        </row>
        <row r="910">
          <cell r="AK910">
            <v>38</v>
          </cell>
        </row>
        <row r="911">
          <cell r="A911" t="str">
            <v>SWP137</v>
          </cell>
        </row>
        <row r="911">
          <cell r="AK911">
            <v>37</v>
          </cell>
        </row>
        <row r="912">
          <cell r="A912" t="str">
            <v>SWP235A</v>
          </cell>
        </row>
        <row r="912">
          <cell r="AK912">
            <v>37</v>
          </cell>
        </row>
        <row r="913">
          <cell r="A913" t="str">
            <v>SCS4001</v>
          </cell>
        </row>
        <row r="913">
          <cell r="AK913">
            <v>37</v>
          </cell>
        </row>
        <row r="914">
          <cell r="A914" t="str">
            <v>SCA8102FL</v>
          </cell>
        </row>
        <row r="914">
          <cell r="AK914">
            <v>37</v>
          </cell>
        </row>
        <row r="915">
          <cell r="A915" t="str">
            <v>SCA8074FR</v>
          </cell>
        </row>
        <row r="915">
          <cell r="AK915">
            <v>37</v>
          </cell>
        </row>
        <row r="916">
          <cell r="A916" t="str">
            <v>SCA8002FR</v>
          </cell>
        </row>
        <row r="916">
          <cell r="AK916">
            <v>37</v>
          </cell>
        </row>
        <row r="917">
          <cell r="A917" t="str">
            <v>SCA8014FR</v>
          </cell>
        </row>
        <row r="917">
          <cell r="AK917">
            <v>37</v>
          </cell>
        </row>
        <row r="918">
          <cell r="A918" t="str">
            <v>SCA8065FL</v>
          </cell>
        </row>
        <row r="918">
          <cell r="AK918">
            <v>37</v>
          </cell>
        </row>
        <row r="919">
          <cell r="A919" t="str">
            <v>SWP044</v>
          </cell>
        </row>
        <row r="919">
          <cell r="AK919">
            <v>36</v>
          </cell>
        </row>
        <row r="920">
          <cell r="A920" t="str">
            <v>SWP285</v>
          </cell>
        </row>
        <row r="920">
          <cell r="AK920">
            <v>36</v>
          </cell>
        </row>
        <row r="921">
          <cell r="A921" t="str">
            <v>SWP304</v>
          </cell>
        </row>
        <row r="921">
          <cell r="AK921">
            <v>36</v>
          </cell>
        </row>
        <row r="922">
          <cell r="A922" t="str">
            <v>SCA8108FR</v>
          </cell>
        </row>
        <row r="922">
          <cell r="AK922">
            <v>36</v>
          </cell>
        </row>
        <row r="923">
          <cell r="A923" t="str">
            <v>SCA8002FL</v>
          </cell>
        </row>
        <row r="923">
          <cell r="AK923">
            <v>36</v>
          </cell>
        </row>
        <row r="924">
          <cell r="A924" t="str">
            <v>SCA8090FR</v>
          </cell>
        </row>
        <row r="924">
          <cell r="AK924">
            <v>36</v>
          </cell>
        </row>
        <row r="925">
          <cell r="A925" t="str">
            <v>SCA8055FL</v>
          </cell>
        </row>
        <row r="925">
          <cell r="AK925">
            <v>36</v>
          </cell>
        </row>
        <row r="926">
          <cell r="A926" t="str">
            <v>SWP206</v>
          </cell>
        </row>
        <row r="926">
          <cell r="AK926">
            <v>35</v>
          </cell>
        </row>
        <row r="927">
          <cell r="A927" t="str">
            <v>SCC2053</v>
          </cell>
        </row>
        <row r="927">
          <cell r="AK927">
            <v>35</v>
          </cell>
        </row>
        <row r="928">
          <cell r="A928" t="str">
            <v>SWP251A</v>
          </cell>
        </row>
        <row r="928">
          <cell r="AK928">
            <v>35</v>
          </cell>
        </row>
        <row r="929">
          <cell r="A929" t="str">
            <v>SCA8113FR</v>
          </cell>
        </row>
        <row r="929">
          <cell r="AK929">
            <v>35</v>
          </cell>
        </row>
        <row r="930">
          <cell r="A930" t="str">
            <v>SCA8082FL</v>
          </cell>
        </row>
        <row r="930">
          <cell r="AK930">
            <v>35</v>
          </cell>
        </row>
        <row r="931">
          <cell r="A931" t="str">
            <v>SCA8001FL</v>
          </cell>
        </row>
        <row r="931">
          <cell r="AK931">
            <v>35</v>
          </cell>
        </row>
        <row r="932">
          <cell r="A932" t="str">
            <v>SCA8038FR</v>
          </cell>
        </row>
        <row r="932">
          <cell r="AK932">
            <v>35</v>
          </cell>
        </row>
        <row r="933">
          <cell r="A933" t="str">
            <v>SCA8055FR</v>
          </cell>
        </row>
        <row r="933">
          <cell r="AK933">
            <v>35</v>
          </cell>
        </row>
        <row r="934">
          <cell r="A934" t="str">
            <v>SWP094</v>
          </cell>
        </row>
        <row r="934">
          <cell r="AK934">
            <v>34</v>
          </cell>
        </row>
        <row r="935">
          <cell r="A935" t="str">
            <v>SWP179</v>
          </cell>
        </row>
        <row r="935">
          <cell r="AK935">
            <v>34</v>
          </cell>
        </row>
        <row r="936">
          <cell r="A936" t="str">
            <v>SWP193</v>
          </cell>
        </row>
        <row r="936">
          <cell r="AK936">
            <v>34</v>
          </cell>
        </row>
        <row r="937">
          <cell r="A937" t="str">
            <v>SWP107</v>
          </cell>
        </row>
        <row r="937">
          <cell r="AK937">
            <v>34</v>
          </cell>
        </row>
        <row r="938">
          <cell r="A938" t="str">
            <v>SWP288</v>
          </cell>
        </row>
        <row r="938">
          <cell r="AK938">
            <v>34</v>
          </cell>
        </row>
        <row r="939">
          <cell r="A939" t="str">
            <v>SCA8102FR</v>
          </cell>
        </row>
        <row r="939">
          <cell r="AK939">
            <v>34</v>
          </cell>
        </row>
        <row r="940">
          <cell r="A940" t="str">
            <v>SCA8045FR</v>
          </cell>
        </row>
        <row r="940">
          <cell r="AK940">
            <v>34</v>
          </cell>
        </row>
        <row r="941">
          <cell r="A941" t="str">
            <v>SCA8082FR</v>
          </cell>
        </row>
        <row r="941">
          <cell r="AK941">
            <v>34</v>
          </cell>
        </row>
        <row r="942">
          <cell r="A942" t="str">
            <v>SCA8032FR</v>
          </cell>
        </row>
        <row r="942">
          <cell r="AK942">
            <v>34</v>
          </cell>
        </row>
        <row r="943">
          <cell r="A943" t="str">
            <v>SWP053</v>
          </cell>
        </row>
        <row r="943">
          <cell r="AK943">
            <v>33</v>
          </cell>
        </row>
        <row r="944">
          <cell r="A944" t="str">
            <v>SWP060</v>
          </cell>
        </row>
        <row r="944">
          <cell r="AK944">
            <v>33</v>
          </cell>
        </row>
        <row r="945">
          <cell r="A945" t="str">
            <v>SWP243</v>
          </cell>
        </row>
        <row r="945">
          <cell r="AK945">
            <v>33</v>
          </cell>
        </row>
        <row r="946">
          <cell r="A946" t="str">
            <v>SWP170</v>
          </cell>
        </row>
        <row r="946">
          <cell r="AK946">
            <v>33</v>
          </cell>
        </row>
        <row r="947">
          <cell r="A947" t="str">
            <v>SFC7013</v>
          </cell>
        </row>
        <row r="947">
          <cell r="AK947">
            <v>33</v>
          </cell>
        </row>
        <row r="948">
          <cell r="A948" t="str">
            <v>SVP6037</v>
          </cell>
        </row>
        <row r="948">
          <cell r="AK948">
            <v>33</v>
          </cell>
        </row>
        <row r="949">
          <cell r="A949" t="str">
            <v>SCA8001FR</v>
          </cell>
        </row>
        <row r="949">
          <cell r="AK949">
            <v>33</v>
          </cell>
        </row>
        <row r="950">
          <cell r="A950" t="str">
            <v>SCA8005FR</v>
          </cell>
        </row>
        <row r="950">
          <cell r="AK950">
            <v>33</v>
          </cell>
        </row>
        <row r="951">
          <cell r="A951" t="str">
            <v>SCA8009FR</v>
          </cell>
        </row>
        <row r="951">
          <cell r="AK951">
            <v>33</v>
          </cell>
        </row>
        <row r="952">
          <cell r="A952" t="str">
            <v>SCA8078FR</v>
          </cell>
        </row>
        <row r="952">
          <cell r="AK952">
            <v>33</v>
          </cell>
        </row>
        <row r="953">
          <cell r="A953" t="str">
            <v>SWP233</v>
          </cell>
        </row>
        <row r="953">
          <cell r="AK953">
            <v>32</v>
          </cell>
        </row>
        <row r="954">
          <cell r="A954" t="str">
            <v>SWP241</v>
          </cell>
        </row>
        <row r="954">
          <cell r="AK954">
            <v>32</v>
          </cell>
        </row>
        <row r="955">
          <cell r="A955" t="str">
            <v>SWP305</v>
          </cell>
        </row>
        <row r="955">
          <cell r="AK955">
            <v>32</v>
          </cell>
        </row>
        <row r="956">
          <cell r="A956" t="str">
            <v>SWP205</v>
          </cell>
        </row>
        <row r="956">
          <cell r="AK956">
            <v>31</v>
          </cell>
        </row>
        <row r="957">
          <cell r="A957" t="str">
            <v>SWP253</v>
          </cell>
        </row>
        <row r="957">
          <cell r="AK957">
            <v>31</v>
          </cell>
        </row>
        <row r="958">
          <cell r="A958" t="str">
            <v>SWP261</v>
          </cell>
        </row>
        <row r="958">
          <cell r="AK958">
            <v>31</v>
          </cell>
        </row>
        <row r="959">
          <cell r="A959" t="str">
            <v>SWP119</v>
          </cell>
        </row>
        <row r="959">
          <cell r="AK959">
            <v>31</v>
          </cell>
        </row>
        <row r="960">
          <cell r="A960" t="str">
            <v>SCS4015</v>
          </cell>
        </row>
        <row r="960">
          <cell r="AK960">
            <v>31</v>
          </cell>
        </row>
        <row r="961">
          <cell r="A961" t="str">
            <v>SCA8106FL</v>
          </cell>
        </row>
        <row r="961">
          <cell r="AK961">
            <v>31</v>
          </cell>
        </row>
        <row r="962">
          <cell r="A962" t="str">
            <v>SWP022</v>
          </cell>
        </row>
        <row r="962">
          <cell r="AK962">
            <v>30</v>
          </cell>
        </row>
        <row r="963">
          <cell r="A963" t="str">
            <v>SWP054</v>
          </cell>
        </row>
        <row r="963">
          <cell r="AK963">
            <v>30</v>
          </cell>
        </row>
        <row r="964">
          <cell r="A964" t="str">
            <v>SWP217</v>
          </cell>
        </row>
        <row r="964">
          <cell r="AK964">
            <v>30</v>
          </cell>
        </row>
        <row r="965">
          <cell r="A965" t="str">
            <v>SWP326</v>
          </cell>
        </row>
        <row r="965">
          <cell r="AK965">
            <v>30</v>
          </cell>
        </row>
        <row r="966">
          <cell r="A966" t="str">
            <v>SCC2098</v>
          </cell>
        </row>
        <row r="966">
          <cell r="AK966">
            <v>30</v>
          </cell>
        </row>
        <row r="967">
          <cell r="A967" t="str">
            <v>SCA8046FR</v>
          </cell>
        </row>
        <row r="967">
          <cell r="AK967">
            <v>30</v>
          </cell>
        </row>
        <row r="968">
          <cell r="A968" t="str">
            <v>SWP002</v>
          </cell>
        </row>
        <row r="968">
          <cell r="AK968">
            <v>29</v>
          </cell>
        </row>
        <row r="969">
          <cell r="A969" t="str">
            <v>SWP028</v>
          </cell>
        </row>
        <row r="969">
          <cell r="AK969">
            <v>29</v>
          </cell>
        </row>
        <row r="970">
          <cell r="A970" t="str">
            <v>SWP089</v>
          </cell>
        </row>
        <row r="970">
          <cell r="AK970">
            <v>29</v>
          </cell>
        </row>
        <row r="971">
          <cell r="A971" t="str">
            <v>SWP198</v>
          </cell>
        </row>
        <row r="971">
          <cell r="AK971">
            <v>29</v>
          </cell>
        </row>
        <row r="972">
          <cell r="A972" t="str">
            <v>SWP070H</v>
          </cell>
        </row>
        <row r="972">
          <cell r="AK972">
            <v>29</v>
          </cell>
        </row>
        <row r="973">
          <cell r="A973" t="str">
            <v>SCA8113FL</v>
          </cell>
        </row>
        <row r="973">
          <cell r="AK973">
            <v>29</v>
          </cell>
        </row>
        <row r="974">
          <cell r="A974" t="str">
            <v>SWP337</v>
          </cell>
        </row>
        <row r="974">
          <cell r="AK974">
            <v>29</v>
          </cell>
        </row>
        <row r="975">
          <cell r="A975" t="str">
            <v>SCA8046FL</v>
          </cell>
        </row>
        <row r="975">
          <cell r="AK975">
            <v>29</v>
          </cell>
        </row>
        <row r="976">
          <cell r="A976" t="str">
            <v>SCA8005FL</v>
          </cell>
        </row>
        <row r="976">
          <cell r="AK976">
            <v>29</v>
          </cell>
        </row>
        <row r="977">
          <cell r="A977" t="str">
            <v>SCA8077FR</v>
          </cell>
        </row>
        <row r="977">
          <cell r="AK977">
            <v>29</v>
          </cell>
        </row>
        <row r="978">
          <cell r="A978" t="str">
            <v>SWP106</v>
          </cell>
        </row>
        <row r="978">
          <cell r="AK978">
            <v>28</v>
          </cell>
        </row>
        <row r="979">
          <cell r="A979" t="str">
            <v>SWP212</v>
          </cell>
        </row>
        <row r="979">
          <cell r="AK979">
            <v>28</v>
          </cell>
        </row>
        <row r="980">
          <cell r="A980" t="str">
            <v>SBC1010</v>
          </cell>
        </row>
        <row r="980">
          <cell r="AK980">
            <v>28</v>
          </cell>
        </row>
        <row r="981">
          <cell r="A981" t="str">
            <v>SCA8107FR</v>
          </cell>
        </row>
        <row r="981">
          <cell r="AK981">
            <v>28</v>
          </cell>
        </row>
        <row r="982">
          <cell r="A982" t="str">
            <v>SCA8077FL</v>
          </cell>
        </row>
        <row r="982">
          <cell r="AK982">
            <v>28</v>
          </cell>
        </row>
        <row r="983">
          <cell r="A983" t="str">
            <v>SWP240</v>
          </cell>
        </row>
        <row r="983">
          <cell r="AK983">
            <v>27</v>
          </cell>
        </row>
        <row r="984">
          <cell r="A984" t="str">
            <v>SCA8109FR</v>
          </cell>
        </row>
        <row r="984">
          <cell r="AK984">
            <v>27</v>
          </cell>
        </row>
        <row r="985">
          <cell r="A985" t="str">
            <v>SCA8016FR</v>
          </cell>
        </row>
        <row r="985">
          <cell r="AK985">
            <v>27</v>
          </cell>
        </row>
        <row r="986">
          <cell r="A986" t="str">
            <v>SCA8039FL</v>
          </cell>
        </row>
        <row r="986">
          <cell r="AK986">
            <v>27</v>
          </cell>
        </row>
        <row r="987">
          <cell r="A987" t="str">
            <v>SWP124</v>
          </cell>
        </row>
        <row r="987">
          <cell r="AK987">
            <v>26</v>
          </cell>
        </row>
        <row r="988">
          <cell r="A988" t="str">
            <v>SWP138</v>
          </cell>
        </row>
        <row r="988">
          <cell r="AK988">
            <v>26</v>
          </cell>
        </row>
        <row r="989">
          <cell r="A989" t="str">
            <v>SCA8008FR</v>
          </cell>
        </row>
        <row r="989">
          <cell r="AK989">
            <v>26</v>
          </cell>
        </row>
        <row r="990">
          <cell r="A990" t="str">
            <v>SCA8056FLR</v>
          </cell>
        </row>
        <row r="990">
          <cell r="AK990">
            <v>26</v>
          </cell>
        </row>
        <row r="991">
          <cell r="A991" t="str">
            <v>SCA8098K</v>
          </cell>
        </row>
        <row r="991">
          <cell r="AK991">
            <v>26</v>
          </cell>
        </row>
        <row r="992">
          <cell r="A992" t="str">
            <v>SWP074</v>
          </cell>
        </row>
        <row r="992">
          <cell r="AK992">
            <v>25</v>
          </cell>
        </row>
        <row r="993">
          <cell r="A993" t="str">
            <v>SWP113</v>
          </cell>
        </row>
        <row r="993">
          <cell r="AK993">
            <v>25</v>
          </cell>
        </row>
        <row r="994">
          <cell r="A994" t="str">
            <v>SWP202</v>
          </cell>
        </row>
        <row r="994">
          <cell r="AK994">
            <v>25</v>
          </cell>
        </row>
        <row r="995">
          <cell r="A995" t="str">
            <v>SWP234</v>
          </cell>
        </row>
        <row r="995">
          <cell r="AK995">
            <v>25</v>
          </cell>
        </row>
        <row r="996">
          <cell r="A996" t="str">
            <v>SWP104</v>
          </cell>
        </row>
        <row r="996">
          <cell r="AK996">
            <v>25</v>
          </cell>
        </row>
        <row r="997">
          <cell r="A997" t="str">
            <v>SWP265</v>
          </cell>
        </row>
        <row r="997">
          <cell r="AK997">
            <v>25</v>
          </cell>
        </row>
        <row r="998">
          <cell r="A998" t="str">
            <v>SFC7018</v>
          </cell>
        </row>
        <row r="998">
          <cell r="AK998">
            <v>25</v>
          </cell>
        </row>
        <row r="999">
          <cell r="A999" t="str">
            <v>SCA8061FR</v>
          </cell>
        </row>
        <row r="999">
          <cell r="AK999">
            <v>25</v>
          </cell>
        </row>
        <row r="1000">
          <cell r="A1000" t="str">
            <v>SCA8004FL</v>
          </cell>
        </row>
        <row r="1000">
          <cell r="AK1000">
            <v>25</v>
          </cell>
        </row>
        <row r="1001">
          <cell r="A1001" t="str">
            <v>SWP231</v>
          </cell>
        </row>
        <row r="1001">
          <cell r="AK1001">
            <v>24</v>
          </cell>
        </row>
        <row r="1002">
          <cell r="A1002" t="str">
            <v>SWP181</v>
          </cell>
        </row>
        <row r="1002">
          <cell r="AK1002">
            <v>24</v>
          </cell>
        </row>
        <row r="1003">
          <cell r="A1003" t="str">
            <v>SWP149</v>
          </cell>
        </row>
        <row r="1003">
          <cell r="AK1003">
            <v>24</v>
          </cell>
        </row>
        <row r="1004">
          <cell r="A1004" t="str">
            <v>SWP013</v>
          </cell>
        </row>
        <row r="1004">
          <cell r="AK1004">
            <v>23</v>
          </cell>
        </row>
        <row r="1005">
          <cell r="A1005" t="str">
            <v>SWP268</v>
          </cell>
        </row>
        <row r="1005">
          <cell r="AK1005">
            <v>23</v>
          </cell>
        </row>
        <row r="1006">
          <cell r="A1006" t="str">
            <v>SCA8004FR</v>
          </cell>
        </row>
        <row r="1006">
          <cell r="AK1006">
            <v>23</v>
          </cell>
        </row>
        <row r="1007">
          <cell r="A1007" t="str">
            <v>SCA8016FL</v>
          </cell>
        </row>
        <row r="1007">
          <cell r="AK1007">
            <v>23</v>
          </cell>
        </row>
        <row r="1008">
          <cell r="A1008" t="str">
            <v>SCA8039FR</v>
          </cell>
        </row>
        <row r="1008">
          <cell r="AK1008">
            <v>23</v>
          </cell>
        </row>
        <row r="1009">
          <cell r="A1009" t="str">
            <v>SCA8006FR</v>
          </cell>
        </row>
        <row r="1009">
          <cell r="AK1009">
            <v>23</v>
          </cell>
        </row>
        <row r="1010">
          <cell r="A1010" t="str">
            <v>SCA8032FL</v>
          </cell>
        </row>
        <row r="1010">
          <cell r="AK1010">
            <v>23</v>
          </cell>
        </row>
        <row r="1011">
          <cell r="A1011" t="str">
            <v>SCA8050FR</v>
          </cell>
        </row>
        <row r="1011">
          <cell r="AK1011">
            <v>23</v>
          </cell>
        </row>
        <row r="1012">
          <cell r="A1012" t="str">
            <v>SWP036</v>
          </cell>
        </row>
        <row r="1012">
          <cell r="AK1012">
            <v>22</v>
          </cell>
        </row>
        <row r="1013">
          <cell r="A1013" t="str">
            <v>SWP050</v>
          </cell>
        </row>
        <row r="1013">
          <cell r="AK1013">
            <v>22</v>
          </cell>
        </row>
        <row r="1014">
          <cell r="A1014" t="str">
            <v>SWP219</v>
          </cell>
        </row>
        <row r="1014">
          <cell r="AK1014">
            <v>22</v>
          </cell>
        </row>
        <row r="1015">
          <cell r="A1015" t="str">
            <v>SWP250</v>
          </cell>
        </row>
        <row r="1015">
          <cell r="AK1015">
            <v>22</v>
          </cell>
        </row>
        <row r="1016">
          <cell r="A1016" t="str">
            <v>SWP271</v>
          </cell>
        </row>
        <row r="1016">
          <cell r="AK1016">
            <v>22</v>
          </cell>
        </row>
        <row r="1017">
          <cell r="A1017" t="str">
            <v>SWP332</v>
          </cell>
        </row>
        <row r="1017">
          <cell r="AK1017">
            <v>22</v>
          </cell>
        </row>
        <row r="1018">
          <cell r="A1018" t="str">
            <v>SWP231H</v>
          </cell>
        </row>
        <row r="1018">
          <cell r="AK1018">
            <v>21</v>
          </cell>
        </row>
        <row r="1019">
          <cell r="A1019" t="str">
            <v>SCA8094K</v>
          </cell>
        </row>
        <row r="1019">
          <cell r="AK1019">
            <v>21</v>
          </cell>
        </row>
        <row r="1020">
          <cell r="A1020" t="str">
            <v>SCA8006FL</v>
          </cell>
        </row>
        <row r="1020">
          <cell r="AK1020">
            <v>21</v>
          </cell>
        </row>
        <row r="1021">
          <cell r="A1021" t="str">
            <v>SWP173</v>
          </cell>
        </row>
        <row r="1021">
          <cell r="AK1021">
            <v>20</v>
          </cell>
        </row>
        <row r="1022">
          <cell r="A1022" t="str">
            <v>SWP325</v>
          </cell>
        </row>
        <row r="1022">
          <cell r="AK1022">
            <v>20</v>
          </cell>
        </row>
        <row r="1023">
          <cell r="A1023" t="str">
            <v>SWP328</v>
          </cell>
        </row>
        <row r="1023">
          <cell r="AK1023">
            <v>20</v>
          </cell>
        </row>
        <row r="1024">
          <cell r="A1024" t="str">
            <v>SCA8108FL</v>
          </cell>
        </row>
        <row r="1024">
          <cell r="AK1024">
            <v>20</v>
          </cell>
        </row>
        <row r="1025">
          <cell r="A1025" t="str">
            <v>SCA8109FL</v>
          </cell>
        </row>
        <row r="1025">
          <cell r="AK1025">
            <v>20</v>
          </cell>
        </row>
        <row r="1026">
          <cell r="A1026" t="str">
            <v>SCA8015FR</v>
          </cell>
        </row>
        <row r="1026">
          <cell r="AK1026">
            <v>20</v>
          </cell>
        </row>
        <row r="1027">
          <cell r="A1027" t="str">
            <v>SCA8043FR</v>
          </cell>
        </row>
        <row r="1027">
          <cell r="AK1027">
            <v>20</v>
          </cell>
        </row>
        <row r="1028">
          <cell r="A1028" t="str">
            <v>SCA8067FR</v>
          </cell>
        </row>
        <row r="1028">
          <cell r="AK1028">
            <v>20</v>
          </cell>
        </row>
        <row r="1029">
          <cell r="A1029" t="str">
            <v>SWP072</v>
          </cell>
        </row>
        <row r="1029">
          <cell r="AK1029">
            <v>19</v>
          </cell>
        </row>
        <row r="1030">
          <cell r="A1030" t="str">
            <v>SWP088</v>
          </cell>
        </row>
        <row r="1030">
          <cell r="AK1030">
            <v>19</v>
          </cell>
        </row>
        <row r="1031">
          <cell r="A1031" t="str">
            <v>SWP115</v>
          </cell>
        </row>
        <row r="1031">
          <cell r="AK1031">
            <v>19</v>
          </cell>
        </row>
        <row r="1032">
          <cell r="A1032" t="str">
            <v>SWP186</v>
          </cell>
        </row>
        <row r="1032">
          <cell r="AK1032">
            <v>19</v>
          </cell>
        </row>
        <row r="1033">
          <cell r="A1033" t="str">
            <v>SWP148</v>
          </cell>
        </row>
        <row r="1033">
          <cell r="AK1033">
            <v>19</v>
          </cell>
        </row>
        <row r="1034">
          <cell r="A1034" t="str">
            <v>SBC1053</v>
          </cell>
        </row>
        <row r="1034">
          <cell r="AK1034">
            <v>19</v>
          </cell>
        </row>
        <row r="1035">
          <cell r="A1035" t="str">
            <v>SBC1070</v>
          </cell>
        </row>
        <row r="1035">
          <cell r="AK1035">
            <v>19</v>
          </cell>
        </row>
        <row r="1036">
          <cell r="A1036" t="str">
            <v>SCA8061FL</v>
          </cell>
        </row>
        <row r="1036">
          <cell r="AK1036">
            <v>19</v>
          </cell>
        </row>
        <row r="1037">
          <cell r="A1037" t="str">
            <v>SCA8003FR</v>
          </cell>
        </row>
        <row r="1037">
          <cell r="AK1037">
            <v>19</v>
          </cell>
        </row>
        <row r="1038">
          <cell r="A1038" t="str">
            <v>SCA8050FL</v>
          </cell>
        </row>
        <row r="1038">
          <cell r="AK1038">
            <v>19</v>
          </cell>
        </row>
        <row r="1039">
          <cell r="A1039" t="str">
            <v>SCA8067FL</v>
          </cell>
        </row>
        <row r="1039">
          <cell r="AK1039">
            <v>19</v>
          </cell>
        </row>
        <row r="1040">
          <cell r="A1040" t="str">
            <v>SWP041</v>
          </cell>
        </row>
        <row r="1040">
          <cell r="AK1040">
            <v>18</v>
          </cell>
        </row>
        <row r="1041">
          <cell r="A1041" t="str">
            <v>SWP084</v>
          </cell>
        </row>
        <row r="1041">
          <cell r="AK1041">
            <v>18</v>
          </cell>
        </row>
        <row r="1042">
          <cell r="A1042" t="str">
            <v>SWP086</v>
          </cell>
        </row>
        <row r="1042">
          <cell r="AK1042">
            <v>18</v>
          </cell>
        </row>
        <row r="1043">
          <cell r="A1043" t="str">
            <v>SWP121</v>
          </cell>
        </row>
        <row r="1043">
          <cell r="AK1043">
            <v>18</v>
          </cell>
        </row>
        <row r="1044">
          <cell r="A1044" t="str">
            <v>SWP236H</v>
          </cell>
        </row>
        <row r="1044">
          <cell r="AK1044">
            <v>18</v>
          </cell>
        </row>
        <row r="1045">
          <cell r="A1045" t="str">
            <v>SCS4008</v>
          </cell>
        </row>
        <row r="1045">
          <cell r="AK1045">
            <v>18</v>
          </cell>
        </row>
        <row r="1046">
          <cell r="A1046" t="str">
            <v>SCA8003FL</v>
          </cell>
        </row>
        <row r="1046">
          <cell r="AK1046">
            <v>18</v>
          </cell>
        </row>
        <row r="1047">
          <cell r="A1047" t="str">
            <v>SCA8015FL</v>
          </cell>
        </row>
        <row r="1047">
          <cell r="AK1047">
            <v>18</v>
          </cell>
        </row>
        <row r="1048">
          <cell r="A1048" t="str">
            <v>SCA8092FL</v>
          </cell>
        </row>
        <row r="1048">
          <cell r="AK1048">
            <v>18</v>
          </cell>
        </row>
        <row r="1049">
          <cell r="A1049" t="str">
            <v>SCA8096K</v>
          </cell>
        </row>
        <row r="1049">
          <cell r="AK1049">
            <v>18</v>
          </cell>
        </row>
        <row r="1050">
          <cell r="A1050" t="str">
            <v>SCA8009FL</v>
          </cell>
        </row>
        <row r="1050">
          <cell r="AK1050">
            <v>18</v>
          </cell>
        </row>
        <row r="1051">
          <cell r="A1051" t="str">
            <v>SWP078</v>
          </cell>
        </row>
        <row r="1051">
          <cell r="AK1051">
            <v>17</v>
          </cell>
        </row>
        <row r="1052">
          <cell r="A1052" t="str">
            <v>SWP083</v>
          </cell>
        </row>
        <row r="1052">
          <cell r="AK1052">
            <v>17</v>
          </cell>
        </row>
        <row r="1053">
          <cell r="A1053" t="str">
            <v>SWP241H</v>
          </cell>
        </row>
        <row r="1053">
          <cell r="AK1053">
            <v>17</v>
          </cell>
        </row>
        <row r="1054">
          <cell r="A1054" t="str">
            <v>SWP333</v>
          </cell>
        </row>
        <row r="1054">
          <cell r="AK1054">
            <v>17</v>
          </cell>
        </row>
        <row r="1055">
          <cell r="A1055" t="str">
            <v>SCA8041FL</v>
          </cell>
        </row>
        <row r="1055">
          <cell r="AK1055">
            <v>17</v>
          </cell>
        </row>
        <row r="1056">
          <cell r="A1056" t="str">
            <v>SCA8092FR</v>
          </cell>
        </row>
        <row r="1056">
          <cell r="AK1056">
            <v>17</v>
          </cell>
        </row>
        <row r="1057">
          <cell r="A1057" t="str">
            <v>SWP196</v>
          </cell>
        </row>
        <row r="1057">
          <cell r="AK1057">
            <v>16</v>
          </cell>
        </row>
        <row r="1058">
          <cell r="A1058" t="str">
            <v>SWP093</v>
          </cell>
        </row>
        <row r="1058">
          <cell r="AK1058">
            <v>16</v>
          </cell>
        </row>
        <row r="1059">
          <cell r="A1059" t="str">
            <v>SFC7016</v>
          </cell>
        </row>
        <row r="1059">
          <cell r="AK1059">
            <v>16</v>
          </cell>
        </row>
        <row r="1060">
          <cell r="A1060" t="str">
            <v>SFC7020</v>
          </cell>
        </row>
        <row r="1060">
          <cell r="AK1060">
            <v>16</v>
          </cell>
        </row>
        <row r="1061">
          <cell r="A1061" t="str">
            <v>SCA8043FL</v>
          </cell>
        </row>
        <row r="1061">
          <cell r="AK1061">
            <v>16</v>
          </cell>
        </row>
        <row r="1062">
          <cell r="A1062" t="str">
            <v>SCA8000FR</v>
          </cell>
        </row>
        <row r="1062">
          <cell r="AK1062">
            <v>16</v>
          </cell>
        </row>
        <row r="1063">
          <cell r="A1063" t="str">
            <v>SCA8057FL</v>
          </cell>
        </row>
        <row r="1063">
          <cell r="AK1063">
            <v>16</v>
          </cell>
        </row>
        <row r="1064">
          <cell r="A1064" t="str">
            <v>SWP048</v>
          </cell>
        </row>
        <row r="1064">
          <cell r="AK1064">
            <v>15</v>
          </cell>
        </row>
        <row r="1065">
          <cell r="A1065" t="str">
            <v>SWP064</v>
          </cell>
        </row>
        <row r="1065">
          <cell r="AK1065">
            <v>15</v>
          </cell>
        </row>
        <row r="1066">
          <cell r="A1066" t="str">
            <v>SWP095</v>
          </cell>
        </row>
        <row r="1066">
          <cell r="AK1066">
            <v>15</v>
          </cell>
        </row>
        <row r="1067">
          <cell r="A1067" t="str">
            <v>SWP159</v>
          </cell>
        </row>
        <row r="1067">
          <cell r="AK1067">
            <v>15</v>
          </cell>
        </row>
        <row r="1068">
          <cell r="A1068" t="str">
            <v>SWP188</v>
          </cell>
        </row>
        <row r="1068">
          <cell r="AK1068">
            <v>15</v>
          </cell>
        </row>
        <row r="1069">
          <cell r="A1069" t="str">
            <v>SBC1071</v>
          </cell>
        </row>
        <row r="1069">
          <cell r="AK1069">
            <v>15</v>
          </cell>
        </row>
        <row r="1070">
          <cell r="A1070" t="str">
            <v>SWP273</v>
          </cell>
        </row>
        <row r="1070">
          <cell r="AK1070">
            <v>15</v>
          </cell>
        </row>
        <row r="1071">
          <cell r="A1071" t="str">
            <v>SWP290</v>
          </cell>
        </row>
        <row r="1071">
          <cell r="AK1071">
            <v>15</v>
          </cell>
        </row>
        <row r="1072">
          <cell r="A1072" t="str">
            <v>SCA8058FR</v>
          </cell>
        </row>
        <row r="1072">
          <cell r="AK1072">
            <v>15</v>
          </cell>
        </row>
        <row r="1073">
          <cell r="A1073" t="str">
            <v>SCA8000FL</v>
          </cell>
        </row>
        <row r="1073">
          <cell r="AK1073">
            <v>15</v>
          </cell>
        </row>
        <row r="1074">
          <cell r="A1074" t="str">
            <v>SCA8057FR</v>
          </cell>
        </row>
        <row r="1074">
          <cell r="AK1074">
            <v>15</v>
          </cell>
        </row>
        <row r="1075">
          <cell r="A1075" t="str">
            <v>SWP112</v>
          </cell>
        </row>
        <row r="1075">
          <cell r="AK1075">
            <v>14</v>
          </cell>
        </row>
        <row r="1076">
          <cell r="A1076" t="str">
            <v>SWP118</v>
          </cell>
        </row>
        <row r="1076">
          <cell r="AK1076">
            <v>14</v>
          </cell>
        </row>
        <row r="1077">
          <cell r="A1077" t="str">
            <v>SWP127</v>
          </cell>
        </row>
        <row r="1077">
          <cell r="AK1077">
            <v>14</v>
          </cell>
        </row>
        <row r="1078">
          <cell r="A1078" t="str">
            <v>SWP142</v>
          </cell>
        </row>
        <row r="1078">
          <cell r="AK1078">
            <v>14</v>
          </cell>
        </row>
        <row r="1079">
          <cell r="A1079" t="str">
            <v>SWP197</v>
          </cell>
        </row>
        <row r="1079">
          <cell r="AK1079">
            <v>14</v>
          </cell>
        </row>
        <row r="1080">
          <cell r="A1080" t="str">
            <v>SWP277</v>
          </cell>
        </row>
        <row r="1080">
          <cell r="AK1080">
            <v>14</v>
          </cell>
        </row>
        <row r="1081">
          <cell r="A1081" t="str">
            <v>SWP322</v>
          </cell>
        </row>
        <row r="1081">
          <cell r="AK1081">
            <v>14</v>
          </cell>
        </row>
        <row r="1082">
          <cell r="A1082" t="str">
            <v>SCA8007RLR</v>
          </cell>
        </row>
        <row r="1082">
          <cell r="AK1082">
            <v>14</v>
          </cell>
        </row>
        <row r="1083">
          <cell r="A1083" t="str">
            <v>SCA8037FR</v>
          </cell>
        </row>
        <row r="1083">
          <cell r="AK1083">
            <v>14</v>
          </cell>
        </row>
        <row r="1084">
          <cell r="A1084" t="str">
            <v>SWP038</v>
          </cell>
        </row>
        <row r="1084">
          <cell r="AK1084">
            <v>13</v>
          </cell>
        </row>
        <row r="1085">
          <cell r="A1085" t="str">
            <v>SWP039</v>
          </cell>
        </row>
        <row r="1085">
          <cell r="AK1085">
            <v>13</v>
          </cell>
        </row>
        <row r="1086">
          <cell r="A1086" t="str">
            <v>SWP174</v>
          </cell>
        </row>
        <row r="1086">
          <cell r="AK1086">
            <v>13</v>
          </cell>
        </row>
        <row r="1087">
          <cell r="A1087" t="str">
            <v>SWP192</v>
          </cell>
        </row>
        <row r="1087">
          <cell r="AK1087">
            <v>13</v>
          </cell>
        </row>
        <row r="1088">
          <cell r="A1088" t="str">
            <v>SWP195</v>
          </cell>
        </row>
        <row r="1088">
          <cell r="AK1088">
            <v>13</v>
          </cell>
        </row>
        <row r="1089">
          <cell r="A1089" t="str">
            <v>SWP249</v>
          </cell>
        </row>
        <row r="1089">
          <cell r="AK1089">
            <v>13</v>
          </cell>
        </row>
        <row r="1090">
          <cell r="A1090" t="str">
            <v>SWP287</v>
          </cell>
        </row>
        <row r="1090">
          <cell r="AK1090">
            <v>13</v>
          </cell>
        </row>
        <row r="1091">
          <cell r="A1091" t="str">
            <v>SCA8058FL</v>
          </cell>
        </row>
        <row r="1091">
          <cell r="AK1091">
            <v>13</v>
          </cell>
        </row>
        <row r="1092">
          <cell r="A1092" t="str">
            <v>SCA8080FL</v>
          </cell>
        </row>
        <row r="1092">
          <cell r="AK1092">
            <v>13</v>
          </cell>
        </row>
        <row r="1093">
          <cell r="A1093" t="str">
            <v>SCA8080FR</v>
          </cell>
        </row>
        <row r="1093">
          <cell r="AK1093">
            <v>13</v>
          </cell>
        </row>
        <row r="1094">
          <cell r="A1094" t="str">
            <v>SWP009</v>
          </cell>
        </row>
        <row r="1094">
          <cell r="AK1094">
            <v>12</v>
          </cell>
        </row>
        <row r="1095">
          <cell r="A1095" t="str">
            <v>SWP052</v>
          </cell>
        </row>
        <row r="1095">
          <cell r="AK1095">
            <v>12</v>
          </cell>
        </row>
        <row r="1096">
          <cell r="A1096" t="str">
            <v>SWP182</v>
          </cell>
        </row>
        <row r="1096">
          <cell r="AK1096">
            <v>12</v>
          </cell>
        </row>
        <row r="1097">
          <cell r="A1097" t="str">
            <v>SWP215</v>
          </cell>
        </row>
        <row r="1097">
          <cell r="AK1097">
            <v>12</v>
          </cell>
        </row>
        <row r="1098">
          <cell r="A1098" t="str">
            <v>SWP228</v>
          </cell>
        </row>
        <row r="1098">
          <cell r="AK1098">
            <v>12</v>
          </cell>
        </row>
        <row r="1099">
          <cell r="A1099" t="str">
            <v>SWP235</v>
          </cell>
        </row>
        <row r="1099">
          <cell r="AK1099">
            <v>12</v>
          </cell>
        </row>
        <row r="1100">
          <cell r="A1100" t="str">
            <v>SFC7012</v>
          </cell>
        </row>
        <row r="1100">
          <cell r="AK1100">
            <v>12</v>
          </cell>
        </row>
        <row r="1101">
          <cell r="A1101" t="str">
            <v>SVP6025</v>
          </cell>
        </row>
        <row r="1101">
          <cell r="AK1101">
            <v>12</v>
          </cell>
        </row>
        <row r="1102">
          <cell r="A1102" t="str">
            <v>SCA8084FL</v>
          </cell>
        </row>
        <row r="1102">
          <cell r="AK1102">
            <v>12</v>
          </cell>
        </row>
        <row r="1103">
          <cell r="A1103" t="str">
            <v>SWP046</v>
          </cell>
        </row>
        <row r="1103">
          <cell r="AK1103">
            <v>11</v>
          </cell>
        </row>
        <row r="1104">
          <cell r="A1104" t="str">
            <v>SWP067</v>
          </cell>
        </row>
        <row r="1104">
          <cell r="AK1104">
            <v>11</v>
          </cell>
        </row>
        <row r="1105">
          <cell r="A1105" t="str">
            <v>SWP211</v>
          </cell>
        </row>
        <row r="1105">
          <cell r="AK1105">
            <v>11</v>
          </cell>
        </row>
        <row r="1106">
          <cell r="A1106" t="str">
            <v>SWP223</v>
          </cell>
        </row>
        <row r="1106">
          <cell r="AK1106">
            <v>11</v>
          </cell>
        </row>
        <row r="1107">
          <cell r="A1107" t="str">
            <v>SCS4004</v>
          </cell>
        </row>
        <row r="1107">
          <cell r="AK1107">
            <v>11</v>
          </cell>
        </row>
        <row r="1108">
          <cell r="A1108" t="str">
            <v>SWP161A</v>
          </cell>
        </row>
        <row r="1108">
          <cell r="AK1108">
            <v>11</v>
          </cell>
        </row>
        <row r="1109">
          <cell r="A1109" t="str">
            <v>SWP295</v>
          </cell>
        </row>
        <row r="1109">
          <cell r="AK1109">
            <v>11</v>
          </cell>
        </row>
        <row r="1110">
          <cell r="A1110" t="str">
            <v>SWP103A</v>
          </cell>
        </row>
        <row r="1110">
          <cell r="AK1110">
            <v>11</v>
          </cell>
        </row>
        <row r="1111">
          <cell r="A1111" t="str">
            <v>SCA8084FR</v>
          </cell>
        </row>
        <row r="1111">
          <cell r="AK1111">
            <v>11</v>
          </cell>
        </row>
        <row r="1112">
          <cell r="A1112" t="str">
            <v>SWP021</v>
          </cell>
        </row>
        <row r="1112">
          <cell r="AK1112">
            <v>10</v>
          </cell>
        </row>
        <row r="1113">
          <cell r="A1113" t="str">
            <v>SWP025</v>
          </cell>
        </row>
        <row r="1113">
          <cell r="AK1113">
            <v>10</v>
          </cell>
        </row>
        <row r="1114">
          <cell r="A1114" t="str">
            <v>SBC1062</v>
          </cell>
        </row>
        <row r="1114">
          <cell r="AK1114">
            <v>10</v>
          </cell>
        </row>
        <row r="1115">
          <cell r="A1115" t="str">
            <v>SVP6002</v>
          </cell>
        </row>
        <row r="1115">
          <cell r="AK1115">
            <v>10</v>
          </cell>
        </row>
        <row r="1116">
          <cell r="A1116" t="str">
            <v>SWP327</v>
          </cell>
        </row>
        <row r="1116">
          <cell r="AK1116">
            <v>10</v>
          </cell>
        </row>
        <row r="1117">
          <cell r="A1117" t="str">
            <v>SCA8041FR</v>
          </cell>
        </row>
        <row r="1117">
          <cell r="AK1117">
            <v>10</v>
          </cell>
        </row>
        <row r="1118">
          <cell r="A1118" t="str">
            <v>SWP040</v>
          </cell>
        </row>
        <row r="1118">
          <cell r="AK1118">
            <v>9</v>
          </cell>
        </row>
        <row r="1119">
          <cell r="A1119" t="str">
            <v>SWP236</v>
          </cell>
        </row>
        <row r="1119">
          <cell r="AK1119">
            <v>9</v>
          </cell>
        </row>
        <row r="1120">
          <cell r="A1120" t="str">
            <v>SWP258</v>
          </cell>
        </row>
        <row r="1120">
          <cell r="AK1120">
            <v>9</v>
          </cell>
        </row>
        <row r="1121">
          <cell r="A1121" t="str">
            <v>SWP330</v>
          </cell>
        </row>
        <row r="1121">
          <cell r="AK1121">
            <v>9</v>
          </cell>
        </row>
        <row r="1122">
          <cell r="A1122" t="str">
            <v>SWP019</v>
          </cell>
        </row>
        <row r="1122">
          <cell r="AK1122">
            <v>8</v>
          </cell>
        </row>
        <row r="1123">
          <cell r="A1123" t="str">
            <v>SWP250H</v>
          </cell>
        </row>
        <row r="1123">
          <cell r="AK1123">
            <v>8</v>
          </cell>
        </row>
        <row r="1124">
          <cell r="A1124" t="str">
            <v>SWP030</v>
          </cell>
        </row>
        <row r="1124">
          <cell r="AK1124">
            <v>8</v>
          </cell>
        </row>
        <row r="1125">
          <cell r="A1125" t="str">
            <v>SWP116</v>
          </cell>
        </row>
        <row r="1125">
          <cell r="AK1125">
            <v>8</v>
          </cell>
        </row>
        <row r="1126">
          <cell r="A1126" t="str">
            <v>SFC7002</v>
          </cell>
        </row>
        <row r="1126">
          <cell r="AK1126">
            <v>8</v>
          </cell>
        </row>
        <row r="1127">
          <cell r="A1127" t="str">
            <v>SFC7011</v>
          </cell>
        </row>
        <row r="1127">
          <cell r="AK1127">
            <v>8</v>
          </cell>
        </row>
        <row r="1128">
          <cell r="A1128" t="str">
            <v>SBC1158</v>
          </cell>
        </row>
        <row r="1128">
          <cell r="AK1128">
            <v>8</v>
          </cell>
        </row>
        <row r="1129">
          <cell r="A1129" t="str">
            <v>SWP085</v>
          </cell>
        </row>
        <row r="1129">
          <cell r="AK1129">
            <v>7</v>
          </cell>
        </row>
        <row r="1130">
          <cell r="A1130" t="str">
            <v>SWP096</v>
          </cell>
        </row>
        <row r="1130">
          <cell r="AK1130">
            <v>7</v>
          </cell>
        </row>
        <row r="1131">
          <cell r="A1131" t="str">
            <v>SWP139</v>
          </cell>
        </row>
        <row r="1131">
          <cell r="AK1131">
            <v>7</v>
          </cell>
        </row>
        <row r="1132">
          <cell r="A1132" t="str">
            <v>SWP221</v>
          </cell>
        </row>
        <row r="1132">
          <cell r="AK1132">
            <v>7</v>
          </cell>
        </row>
        <row r="1133">
          <cell r="A1133" t="str">
            <v>SBC1080A</v>
          </cell>
        </row>
        <row r="1133">
          <cell r="AK1133">
            <v>7</v>
          </cell>
        </row>
        <row r="1134">
          <cell r="A1134" t="str">
            <v>SCC2077</v>
          </cell>
        </row>
        <row r="1134">
          <cell r="AK1134">
            <v>7</v>
          </cell>
        </row>
        <row r="1135">
          <cell r="A1135" t="str">
            <v>SCA8037FL</v>
          </cell>
        </row>
        <row r="1135">
          <cell r="AK1135">
            <v>7</v>
          </cell>
        </row>
        <row r="1136">
          <cell r="A1136" t="str">
            <v>SCA8073FL</v>
          </cell>
        </row>
        <row r="1136">
          <cell r="AK1136">
            <v>7</v>
          </cell>
        </row>
        <row r="1137">
          <cell r="A1137" t="str">
            <v>SCA8073FR</v>
          </cell>
        </row>
        <row r="1137">
          <cell r="AK1137">
            <v>7</v>
          </cell>
        </row>
        <row r="1138">
          <cell r="A1138" t="str">
            <v>SCA8076FL</v>
          </cell>
        </row>
        <row r="1138">
          <cell r="AK1138">
            <v>7</v>
          </cell>
        </row>
        <row r="1139">
          <cell r="A1139" t="str">
            <v>SCA8076FR</v>
          </cell>
        </row>
        <row r="1139">
          <cell r="AK1139">
            <v>7</v>
          </cell>
        </row>
        <row r="1140">
          <cell r="A1140" t="str">
            <v>SWP012</v>
          </cell>
        </row>
        <row r="1140">
          <cell r="AK1140">
            <v>6</v>
          </cell>
        </row>
        <row r="1141">
          <cell r="A1141" t="str">
            <v>SWP042</v>
          </cell>
        </row>
        <row r="1141">
          <cell r="AK1141">
            <v>6</v>
          </cell>
        </row>
        <row r="1142">
          <cell r="A1142" t="str">
            <v>SWP272</v>
          </cell>
        </row>
        <row r="1142">
          <cell r="AK1142">
            <v>6</v>
          </cell>
        </row>
        <row r="1143">
          <cell r="A1143" t="str">
            <v>SFC7021</v>
          </cell>
        </row>
        <row r="1143">
          <cell r="AK1143">
            <v>6</v>
          </cell>
        </row>
        <row r="1144">
          <cell r="A1144" t="str">
            <v>SWP015</v>
          </cell>
        </row>
        <row r="1144">
          <cell r="AK1144">
            <v>5</v>
          </cell>
        </row>
        <row r="1145">
          <cell r="A1145" t="str">
            <v>SWP049</v>
          </cell>
        </row>
        <row r="1145">
          <cell r="AK1145">
            <v>5</v>
          </cell>
        </row>
        <row r="1146">
          <cell r="A1146" t="str">
            <v>SWP090</v>
          </cell>
        </row>
        <row r="1146">
          <cell r="AK1146">
            <v>5</v>
          </cell>
        </row>
        <row r="1147">
          <cell r="A1147" t="str">
            <v>SWP098</v>
          </cell>
        </row>
        <row r="1147">
          <cell r="AK1147">
            <v>5</v>
          </cell>
        </row>
        <row r="1148">
          <cell r="A1148" t="str">
            <v>SWP161</v>
          </cell>
        </row>
        <row r="1148">
          <cell r="AK1148">
            <v>5</v>
          </cell>
        </row>
        <row r="1149">
          <cell r="A1149" t="str">
            <v>SWP242</v>
          </cell>
        </row>
        <row r="1149">
          <cell r="AK1149">
            <v>5</v>
          </cell>
        </row>
        <row r="1150">
          <cell r="A1150" t="str">
            <v>SWP211H</v>
          </cell>
        </row>
        <row r="1150">
          <cell r="AK1150">
            <v>5</v>
          </cell>
        </row>
        <row r="1151">
          <cell r="A1151" t="str">
            <v>SWP275</v>
          </cell>
        </row>
        <row r="1151">
          <cell r="AK1151">
            <v>5</v>
          </cell>
        </row>
        <row r="1152">
          <cell r="A1152" t="str">
            <v>SWP289</v>
          </cell>
        </row>
        <row r="1152">
          <cell r="AK1152">
            <v>5</v>
          </cell>
        </row>
        <row r="1153">
          <cell r="A1153" t="str">
            <v>SWP122</v>
          </cell>
        </row>
        <row r="1153">
          <cell r="AK1153">
            <v>4</v>
          </cell>
        </row>
        <row r="1154">
          <cell r="A1154" t="str">
            <v>SWP176</v>
          </cell>
        </row>
        <row r="1154">
          <cell r="AK1154">
            <v>4</v>
          </cell>
        </row>
        <row r="1155">
          <cell r="A1155" t="str">
            <v>SWP191</v>
          </cell>
        </row>
        <row r="1155">
          <cell r="AK1155">
            <v>4</v>
          </cell>
        </row>
        <row r="1156">
          <cell r="A1156" t="str">
            <v>SWP264H</v>
          </cell>
        </row>
        <row r="1156">
          <cell r="AK1156">
            <v>4</v>
          </cell>
        </row>
        <row r="1157">
          <cell r="A1157" t="str">
            <v>SWP276</v>
          </cell>
        </row>
        <row r="1157">
          <cell r="AK1157">
            <v>4</v>
          </cell>
        </row>
        <row r="1158">
          <cell r="A1158" t="str">
            <v>SWP278</v>
          </cell>
        </row>
        <row r="1158">
          <cell r="AK1158">
            <v>4</v>
          </cell>
        </row>
        <row r="1159">
          <cell r="A1159" t="str">
            <v>SWP007</v>
          </cell>
        </row>
        <row r="1159">
          <cell r="AK1159">
            <v>3</v>
          </cell>
        </row>
        <row r="1160">
          <cell r="A1160" t="str">
            <v>SWP051</v>
          </cell>
        </row>
        <row r="1160">
          <cell r="AK1160">
            <v>3</v>
          </cell>
        </row>
        <row r="1161">
          <cell r="A1161" t="str">
            <v>SWP129</v>
          </cell>
        </row>
        <row r="1161">
          <cell r="AK1161">
            <v>3</v>
          </cell>
        </row>
        <row r="1162">
          <cell r="A1162" t="str">
            <v>SWP175</v>
          </cell>
        </row>
        <row r="1162">
          <cell r="AK1162">
            <v>3</v>
          </cell>
        </row>
        <row r="1163">
          <cell r="A1163" t="str">
            <v>SWP213</v>
          </cell>
        </row>
        <row r="1163">
          <cell r="AK1163">
            <v>3</v>
          </cell>
        </row>
        <row r="1164">
          <cell r="A1164" t="str">
            <v>SWP230</v>
          </cell>
        </row>
        <row r="1164">
          <cell r="AK1164">
            <v>3</v>
          </cell>
        </row>
        <row r="1165">
          <cell r="A1165" t="str">
            <v>SWP260A</v>
          </cell>
        </row>
        <row r="1165">
          <cell r="AK1165">
            <v>3</v>
          </cell>
        </row>
        <row r="1166">
          <cell r="A1166" t="str">
            <v>SWP306</v>
          </cell>
        </row>
        <row r="1166">
          <cell r="AK1166">
            <v>3</v>
          </cell>
        </row>
        <row r="1167">
          <cell r="A1167" t="str">
            <v>SWP010</v>
          </cell>
        </row>
        <row r="1167">
          <cell r="AK1167">
            <v>2</v>
          </cell>
        </row>
        <row r="1168">
          <cell r="A1168" t="str">
            <v>SWP110</v>
          </cell>
        </row>
        <row r="1168">
          <cell r="AK1168">
            <v>2</v>
          </cell>
        </row>
        <row r="1169">
          <cell r="A1169" t="str">
            <v>SWP184</v>
          </cell>
        </row>
        <row r="1169">
          <cell r="AK1169">
            <v>2</v>
          </cell>
        </row>
        <row r="1170">
          <cell r="A1170" t="str">
            <v>SWP207</v>
          </cell>
        </row>
        <row r="1170">
          <cell r="AK1170">
            <v>2</v>
          </cell>
        </row>
        <row r="1171">
          <cell r="A1171" t="str">
            <v>SCS4024</v>
          </cell>
        </row>
        <row r="1171">
          <cell r="AK1171">
            <v>2</v>
          </cell>
        </row>
        <row r="1172">
          <cell r="A1172" t="str">
            <v>SWP280</v>
          </cell>
        </row>
        <row r="1172">
          <cell r="AK1172">
            <v>2</v>
          </cell>
        </row>
        <row r="1173">
          <cell r="A1173" t="str">
            <v>SOC9031</v>
          </cell>
        </row>
        <row r="1173">
          <cell r="AK1173">
            <v>2</v>
          </cell>
        </row>
        <row r="1174">
          <cell r="A1174" t="str">
            <v>SWP147</v>
          </cell>
        </row>
        <row r="1174">
          <cell r="AK1174">
            <v>1</v>
          </cell>
        </row>
        <row r="1175">
          <cell r="A1175" t="str">
            <v>SSC3020</v>
          </cell>
        </row>
        <row r="1175">
          <cell r="AK1175">
            <v>6488</v>
          </cell>
        </row>
        <row r="1176">
          <cell r="A1176" t="str">
            <v>SCC2064</v>
          </cell>
        </row>
        <row r="1176">
          <cell r="AK1176">
            <v>5473</v>
          </cell>
        </row>
        <row r="1177">
          <cell r="A1177" t="str">
            <v>SBC1137</v>
          </cell>
        </row>
        <row r="1177">
          <cell r="AK1177">
            <v>3675</v>
          </cell>
        </row>
        <row r="1178">
          <cell r="A1178" t="str">
            <v>SBC1090A</v>
          </cell>
        </row>
        <row r="1178">
          <cell r="AK1178">
            <v>3252</v>
          </cell>
        </row>
        <row r="1179">
          <cell r="A1179" t="str">
            <v>SBC1000</v>
          </cell>
        </row>
        <row r="1179">
          <cell r="AK1179">
            <v>3134</v>
          </cell>
        </row>
        <row r="1180">
          <cell r="A1180" t="str">
            <v>SCC2017</v>
          </cell>
        </row>
        <row r="1180">
          <cell r="AK1180">
            <v>3064</v>
          </cell>
        </row>
        <row r="1181">
          <cell r="A1181" t="str">
            <v>SBC1123</v>
          </cell>
        </row>
        <row r="1181">
          <cell r="AK1181">
            <v>2712</v>
          </cell>
        </row>
        <row r="1182">
          <cell r="A1182" t="str">
            <v>SVP6031</v>
          </cell>
        </row>
        <row r="1182">
          <cell r="AK1182">
            <v>2638</v>
          </cell>
        </row>
        <row r="1183">
          <cell r="A1183" t="str">
            <v>SCC2060</v>
          </cell>
        </row>
        <row r="1183">
          <cell r="AK1183">
            <v>2327</v>
          </cell>
        </row>
        <row r="1184">
          <cell r="A1184" t="str">
            <v>SBC1068</v>
          </cell>
        </row>
        <row r="1184">
          <cell r="AK1184">
            <v>1887</v>
          </cell>
        </row>
        <row r="1185">
          <cell r="A1185" t="str">
            <v>SBC1014</v>
          </cell>
        </row>
        <row r="1185">
          <cell r="AK1185">
            <v>1734</v>
          </cell>
        </row>
        <row r="1186">
          <cell r="A1186" t="str">
            <v>SBC1134</v>
          </cell>
        </row>
        <row r="1186">
          <cell r="AK1186">
            <v>1728</v>
          </cell>
        </row>
        <row r="1187">
          <cell r="A1187" t="str">
            <v>SBS8000</v>
          </cell>
        </row>
        <row r="1187">
          <cell r="AK1187">
            <v>1598</v>
          </cell>
        </row>
        <row r="1188">
          <cell r="A1188" t="str">
            <v>SVP6029</v>
          </cell>
        </row>
        <row r="1188">
          <cell r="AK1188">
            <v>1546</v>
          </cell>
        </row>
        <row r="1189">
          <cell r="A1189" t="str">
            <v>SVP6028</v>
          </cell>
        </row>
        <row r="1189">
          <cell r="AK1189">
            <v>1506</v>
          </cell>
        </row>
        <row r="1190">
          <cell r="A1190" t="str">
            <v>SBC1007</v>
          </cell>
        </row>
        <row r="1190">
          <cell r="AK1190">
            <v>1504</v>
          </cell>
        </row>
        <row r="1191">
          <cell r="A1191" t="str">
            <v>SOC9000</v>
          </cell>
        </row>
        <row r="1191">
          <cell r="AK1191">
            <v>1499</v>
          </cell>
        </row>
        <row r="1192">
          <cell r="A1192" t="str">
            <v>SBC1011</v>
          </cell>
        </row>
        <row r="1192">
          <cell r="AK1192">
            <v>1474</v>
          </cell>
        </row>
        <row r="1193">
          <cell r="A1193" t="str">
            <v>SBC1085</v>
          </cell>
        </row>
        <row r="1193">
          <cell r="AK1193">
            <v>1399</v>
          </cell>
        </row>
        <row r="1194">
          <cell r="A1194" t="str">
            <v>SCC2083</v>
          </cell>
        </row>
        <row r="1194">
          <cell r="AK1194">
            <v>1363</v>
          </cell>
        </row>
        <row r="1195">
          <cell r="A1195" t="str">
            <v>SWC5015</v>
          </cell>
        </row>
        <row r="1195">
          <cell r="AK1195">
            <v>1337</v>
          </cell>
        </row>
        <row r="1196">
          <cell r="A1196" t="str">
            <v>SCC2029</v>
          </cell>
        </row>
        <row r="1196">
          <cell r="AK1196">
            <v>1314</v>
          </cell>
        </row>
        <row r="1197">
          <cell r="A1197" t="str">
            <v>SWC5006</v>
          </cell>
        </row>
        <row r="1197">
          <cell r="AK1197">
            <v>1284</v>
          </cell>
        </row>
        <row r="1198">
          <cell r="A1198" t="str">
            <v>SOC9014</v>
          </cell>
        </row>
        <row r="1198">
          <cell r="AK1198">
            <v>1234</v>
          </cell>
        </row>
        <row r="1199">
          <cell r="A1199" t="str">
            <v>SWP283</v>
          </cell>
        </row>
        <row r="1199">
          <cell r="AK1199">
            <v>1215</v>
          </cell>
        </row>
        <row r="1200">
          <cell r="A1200" t="str">
            <v>SCC2073</v>
          </cell>
        </row>
        <row r="1200">
          <cell r="AK1200">
            <v>1208</v>
          </cell>
        </row>
        <row r="1201">
          <cell r="A1201" t="str">
            <v>SWP232H</v>
          </cell>
        </row>
        <row r="1201">
          <cell r="AK1201">
            <v>1203</v>
          </cell>
        </row>
        <row r="1202">
          <cell r="A1202" t="str">
            <v>SBS8018</v>
          </cell>
        </row>
        <row r="1202">
          <cell r="AK1202">
            <v>1191</v>
          </cell>
        </row>
        <row r="1203">
          <cell r="A1203" t="str">
            <v>SBC1087</v>
          </cell>
        </row>
        <row r="1203">
          <cell r="AK1203">
            <v>1154</v>
          </cell>
        </row>
        <row r="1204">
          <cell r="A1204" t="str">
            <v>SBS8019</v>
          </cell>
        </row>
        <row r="1204">
          <cell r="AK1204">
            <v>1145</v>
          </cell>
        </row>
        <row r="1205">
          <cell r="A1205" t="str">
            <v>SBC1021</v>
          </cell>
        </row>
        <row r="1205">
          <cell r="AK1205">
            <v>1071</v>
          </cell>
        </row>
        <row r="1206">
          <cell r="A1206" t="str">
            <v>SBS8034</v>
          </cell>
        </row>
        <row r="1206">
          <cell r="AK1206">
            <v>1067</v>
          </cell>
        </row>
        <row r="1207">
          <cell r="A1207" t="str">
            <v>SSC3024</v>
          </cell>
        </row>
        <row r="1207">
          <cell r="AK1207">
            <v>1066</v>
          </cell>
        </row>
        <row r="1208">
          <cell r="A1208" t="str">
            <v>SBC1001</v>
          </cell>
        </row>
        <row r="1208">
          <cell r="AK1208">
            <v>1006</v>
          </cell>
        </row>
        <row r="1209">
          <cell r="A1209" t="str">
            <v>SBC1097</v>
          </cell>
        </row>
        <row r="1209">
          <cell r="AK1209">
            <v>1003</v>
          </cell>
        </row>
        <row r="1210">
          <cell r="A1210" t="str">
            <v>SWC5034</v>
          </cell>
        </row>
        <row r="1210">
          <cell r="AK1210">
            <v>989</v>
          </cell>
        </row>
        <row r="1211">
          <cell r="A1211" t="str">
            <v>SBS8001</v>
          </cell>
        </row>
        <row r="1211">
          <cell r="AK1211">
            <v>931</v>
          </cell>
        </row>
        <row r="1212">
          <cell r="A1212" t="str">
            <v>SWC5012</v>
          </cell>
        </row>
        <row r="1212">
          <cell r="AK1212">
            <v>930</v>
          </cell>
        </row>
        <row r="1213">
          <cell r="A1213" t="str">
            <v>SWC5011</v>
          </cell>
        </row>
        <row r="1213">
          <cell r="AK1213">
            <v>922</v>
          </cell>
        </row>
        <row r="1214">
          <cell r="A1214" t="str">
            <v>SOC9003</v>
          </cell>
        </row>
        <row r="1214">
          <cell r="AK1214">
            <v>890</v>
          </cell>
        </row>
        <row r="1215">
          <cell r="A1215" t="str">
            <v>SWC5013</v>
          </cell>
        </row>
        <row r="1215">
          <cell r="AK1215">
            <v>870</v>
          </cell>
        </row>
        <row r="1216">
          <cell r="A1216" t="str">
            <v>SBC1122B</v>
          </cell>
        </row>
        <row r="1216">
          <cell r="AK1216">
            <v>864</v>
          </cell>
        </row>
        <row r="1217">
          <cell r="A1217" t="str">
            <v>SCC2058</v>
          </cell>
        </row>
        <row r="1217">
          <cell r="AK1217">
            <v>863</v>
          </cell>
        </row>
        <row r="1218">
          <cell r="A1218" t="str">
            <v>SBC1190</v>
          </cell>
        </row>
        <row r="1218">
          <cell r="AK1218">
            <v>836</v>
          </cell>
        </row>
        <row r="1219">
          <cell r="A1219" t="str">
            <v>SOC9011</v>
          </cell>
        </row>
        <row r="1219">
          <cell r="AK1219">
            <v>817</v>
          </cell>
        </row>
        <row r="1220">
          <cell r="A1220" t="str">
            <v>SCC2066</v>
          </cell>
        </row>
        <row r="1220">
          <cell r="AK1220">
            <v>813</v>
          </cell>
        </row>
        <row r="1221">
          <cell r="A1221" t="str">
            <v>SBS8007</v>
          </cell>
        </row>
        <row r="1221">
          <cell r="AK1221">
            <v>811</v>
          </cell>
        </row>
        <row r="1222">
          <cell r="A1222" t="str">
            <v>SSC3004</v>
          </cell>
        </row>
        <row r="1222">
          <cell r="AK1222">
            <v>804</v>
          </cell>
        </row>
        <row r="1223">
          <cell r="A1223" t="str">
            <v>SVP6011</v>
          </cell>
        </row>
        <row r="1223">
          <cell r="AK1223">
            <v>779</v>
          </cell>
        </row>
        <row r="1224">
          <cell r="A1224" t="str">
            <v>SBC1042</v>
          </cell>
        </row>
        <row r="1224">
          <cell r="AK1224">
            <v>770</v>
          </cell>
        </row>
        <row r="1225">
          <cell r="A1225" t="str">
            <v>SCS4034</v>
          </cell>
        </row>
        <row r="1225">
          <cell r="AK1225">
            <v>760</v>
          </cell>
        </row>
        <row r="1226">
          <cell r="A1226" t="str">
            <v>SCC2086</v>
          </cell>
        </row>
        <row r="1226">
          <cell r="AK1226">
            <v>753</v>
          </cell>
        </row>
        <row r="1227">
          <cell r="A1227" t="str">
            <v>SBC1161</v>
          </cell>
        </row>
        <row r="1227">
          <cell r="AK1227">
            <v>744</v>
          </cell>
        </row>
        <row r="1228">
          <cell r="A1228" t="str">
            <v>SCC2065</v>
          </cell>
        </row>
        <row r="1228">
          <cell r="AK1228">
            <v>742</v>
          </cell>
        </row>
        <row r="1229">
          <cell r="A1229" t="str">
            <v>SBC1090</v>
          </cell>
        </row>
        <row r="1229">
          <cell r="AK1229">
            <v>740</v>
          </cell>
        </row>
        <row r="1230">
          <cell r="A1230" t="str">
            <v>SOC9026</v>
          </cell>
        </row>
        <row r="1230">
          <cell r="AK1230">
            <v>732</v>
          </cell>
        </row>
        <row r="1231">
          <cell r="A1231" t="str">
            <v>SWP027</v>
          </cell>
        </row>
        <row r="1231">
          <cell r="AK1231">
            <v>724</v>
          </cell>
        </row>
        <row r="1232">
          <cell r="A1232" t="str">
            <v>SSC3034</v>
          </cell>
        </row>
        <row r="1232">
          <cell r="AK1232">
            <v>720</v>
          </cell>
        </row>
        <row r="1233">
          <cell r="A1233" t="str">
            <v>SBC1152</v>
          </cell>
        </row>
        <row r="1233">
          <cell r="AK1233">
            <v>717</v>
          </cell>
        </row>
        <row r="1234">
          <cell r="A1234" t="str">
            <v>SBC1142</v>
          </cell>
        </row>
        <row r="1234">
          <cell r="AK1234">
            <v>712</v>
          </cell>
        </row>
        <row r="1235">
          <cell r="A1235" t="str">
            <v>SVP6023</v>
          </cell>
        </row>
        <row r="1235">
          <cell r="AK1235">
            <v>697</v>
          </cell>
        </row>
        <row r="1236">
          <cell r="A1236" t="str">
            <v>SOC9001</v>
          </cell>
        </row>
        <row r="1236">
          <cell r="AK1236">
            <v>680</v>
          </cell>
        </row>
        <row r="1237">
          <cell r="A1237" t="str">
            <v>SWP297</v>
          </cell>
        </row>
        <row r="1237">
          <cell r="AK1237">
            <v>675</v>
          </cell>
        </row>
        <row r="1238">
          <cell r="A1238" t="str">
            <v>SBC1128</v>
          </cell>
        </row>
        <row r="1238">
          <cell r="AK1238">
            <v>674</v>
          </cell>
        </row>
        <row r="1239">
          <cell r="A1239" t="str">
            <v>SBC1075</v>
          </cell>
        </row>
        <row r="1239">
          <cell r="AK1239">
            <v>672</v>
          </cell>
        </row>
        <row r="1240">
          <cell r="A1240" t="str">
            <v>SBS8102</v>
          </cell>
        </row>
        <row r="1240">
          <cell r="AK1240">
            <v>670</v>
          </cell>
        </row>
        <row r="1241">
          <cell r="A1241" t="str">
            <v>SWC5032</v>
          </cell>
        </row>
        <row r="1241">
          <cell r="AK1241">
            <v>662</v>
          </cell>
        </row>
        <row r="1242">
          <cell r="A1242" t="str">
            <v>SBC1135</v>
          </cell>
        </row>
        <row r="1242">
          <cell r="AK1242">
            <v>655</v>
          </cell>
        </row>
        <row r="1243">
          <cell r="A1243" t="str">
            <v>SBC1081</v>
          </cell>
        </row>
        <row r="1243">
          <cell r="AK1243">
            <v>652</v>
          </cell>
        </row>
        <row r="1244">
          <cell r="A1244" t="str">
            <v>SWP240A</v>
          </cell>
        </row>
        <row r="1244">
          <cell r="AK1244">
            <v>638</v>
          </cell>
        </row>
        <row r="1245">
          <cell r="A1245" t="str">
            <v>SSC3041</v>
          </cell>
        </row>
        <row r="1245">
          <cell r="AK1245">
            <v>636</v>
          </cell>
        </row>
        <row r="1246">
          <cell r="A1246" t="str">
            <v>SBC1126M</v>
          </cell>
        </row>
        <row r="1246">
          <cell r="AK1246">
            <v>629</v>
          </cell>
        </row>
        <row r="1247">
          <cell r="A1247" t="str">
            <v>SBS8098</v>
          </cell>
        </row>
        <row r="1247">
          <cell r="AK1247">
            <v>627</v>
          </cell>
        </row>
        <row r="1248">
          <cell r="A1248" t="str">
            <v>SBC1002</v>
          </cell>
        </row>
        <row r="1248">
          <cell r="AK1248">
            <v>620</v>
          </cell>
        </row>
        <row r="1249">
          <cell r="A1249" t="str">
            <v>SBS8031</v>
          </cell>
        </row>
        <row r="1249">
          <cell r="AK1249">
            <v>620</v>
          </cell>
        </row>
        <row r="1250">
          <cell r="A1250" t="str">
            <v>SOC9022</v>
          </cell>
        </row>
        <row r="1250">
          <cell r="AK1250">
            <v>619</v>
          </cell>
        </row>
        <row r="1251">
          <cell r="A1251" t="str">
            <v>SOC9027</v>
          </cell>
        </row>
        <row r="1251">
          <cell r="AK1251">
            <v>619</v>
          </cell>
        </row>
        <row r="1252">
          <cell r="A1252" t="str">
            <v>SBS8030</v>
          </cell>
        </row>
        <row r="1252">
          <cell r="AK1252">
            <v>615</v>
          </cell>
        </row>
        <row r="1253">
          <cell r="A1253" t="str">
            <v>SOC9020D</v>
          </cell>
        </row>
        <row r="1253">
          <cell r="AK1253">
            <v>614</v>
          </cell>
        </row>
        <row r="1254">
          <cell r="A1254" t="str">
            <v>SSC3021</v>
          </cell>
        </row>
        <row r="1254">
          <cell r="AK1254">
            <v>608</v>
          </cell>
        </row>
        <row r="1255">
          <cell r="A1255" t="str">
            <v>SOC9009</v>
          </cell>
        </row>
        <row r="1255">
          <cell r="AK1255">
            <v>607</v>
          </cell>
        </row>
        <row r="1256">
          <cell r="A1256" t="str">
            <v>SWP318</v>
          </cell>
        </row>
        <row r="1256">
          <cell r="AK1256">
            <v>603</v>
          </cell>
        </row>
        <row r="1257">
          <cell r="A1257" t="str">
            <v>SBC1027</v>
          </cell>
        </row>
        <row r="1257">
          <cell r="AK1257">
            <v>600</v>
          </cell>
        </row>
        <row r="1258">
          <cell r="A1258" t="str">
            <v>SSC3006</v>
          </cell>
        </row>
        <row r="1258">
          <cell r="AK1258">
            <v>595</v>
          </cell>
        </row>
        <row r="1259">
          <cell r="A1259" t="str">
            <v>SBS8002</v>
          </cell>
        </row>
        <row r="1259">
          <cell r="AK1259">
            <v>594</v>
          </cell>
        </row>
        <row r="1260">
          <cell r="A1260" t="str">
            <v>SBC1117</v>
          </cell>
        </row>
        <row r="1260">
          <cell r="AK1260">
            <v>588</v>
          </cell>
        </row>
        <row r="1261">
          <cell r="A1261" t="str">
            <v>SBC1114</v>
          </cell>
        </row>
        <row r="1261">
          <cell r="AK1261">
            <v>581</v>
          </cell>
        </row>
        <row r="1262">
          <cell r="A1262" t="str">
            <v>SWP292</v>
          </cell>
        </row>
        <row r="1262">
          <cell r="AK1262">
            <v>577</v>
          </cell>
        </row>
        <row r="1263">
          <cell r="A1263" t="str">
            <v>SWP296</v>
          </cell>
        </row>
        <row r="1263">
          <cell r="AK1263">
            <v>571</v>
          </cell>
        </row>
        <row r="1264">
          <cell r="A1264" t="str">
            <v>SCC2090</v>
          </cell>
        </row>
        <row r="1264">
          <cell r="AK1264">
            <v>567</v>
          </cell>
        </row>
        <row r="1265">
          <cell r="A1265" t="str">
            <v>SBS8026</v>
          </cell>
        </row>
        <row r="1265">
          <cell r="AK1265">
            <v>557</v>
          </cell>
        </row>
        <row r="1266">
          <cell r="A1266" t="str">
            <v>SSC3019</v>
          </cell>
        </row>
        <row r="1266">
          <cell r="AK1266">
            <v>555</v>
          </cell>
        </row>
        <row r="1267">
          <cell r="A1267" t="str">
            <v>SWP245</v>
          </cell>
        </row>
        <row r="1267">
          <cell r="AK1267">
            <v>551</v>
          </cell>
        </row>
        <row r="1268">
          <cell r="A1268" t="str">
            <v>SBC1041</v>
          </cell>
        </row>
        <row r="1268">
          <cell r="AK1268">
            <v>550</v>
          </cell>
        </row>
        <row r="1269">
          <cell r="A1269" t="str">
            <v>SCC2007</v>
          </cell>
        </row>
        <row r="1269">
          <cell r="AK1269">
            <v>550</v>
          </cell>
        </row>
        <row r="1270">
          <cell r="A1270" t="str">
            <v>SWC5000</v>
          </cell>
        </row>
        <row r="1270">
          <cell r="AK1270">
            <v>549</v>
          </cell>
        </row>
        <row r="1271">
          <cell r="A1271" t="str">
            <v>SBS8027</v>
          </cell>
        </row>
        <row r="1271">
          <cell r="AK1271">
            <v>549</v>
          </cell>
        </row>
        <row r="1272">
          <cell r="A1272" t="str">
            <v>SCC2027</v>
          </cell>
        </row>
        <row r="1272">
          <cell r="AK1272">
            <v>546</v>
          </cell>
        </row>
        <row r="1273">
          <cell r="A1273" t="str">
            <v>SCC2087</v>
          </cell>
        </row>
        <row r="1273">
          <cell r="AK1273">
            <v>543</v>
          </cell>
        </row>
        <row r="1274">
          <cell r="A1274" t="str">
            <v>SBC1194A</v>
          </cell>
        </row>
        <row r="1274">
          <cell r="AK1274">
            <v>534</v>
          </cell>
        </row>
        <row r="1275">
          <cell r="A1275" t="str">
            <v>SCC2079</v>
          </cell>
        </row>
        <row r="1275">
          <cell r="AK1275">
            <v>528</v>
          </cell>
        </row>
        <row r="1276">
          <cell r="A1276" t="str">
            <v>SVP6021</v>
          </cell>
        </row>
        <row r="1276">
          <cell r="AK1276">
            <v>524</v>
          </cell>
        </row>
        <row r="1277">
          <cell r="A1277" t="str">
            <v>SWP141</v>
          </cell>
        </row>
        <row r="1277">
          <cell r="AK1277">
            <v>520</v>
          </cell>
        </row>
        <row r="1278">
          <cell r="A1278" t="str">
            <v>SCS4031</v>
          </cell>
        </row>
        <row r="1278">
          <cell r="AK1278">
            <v>505</v>
          </cell>
        </row>
        <row r="1279">
          <cell r="A1279" t="str">
            <v>SOC9015</v>
          </cell>
        </row>
        <row r="1279">
          <cell r="AK1279">
            <v>505</v>
          </cell>
        </row>
        <row r="1280">
          <cell r="A1280" t="str">
            <v>SBC1077</v>
          </cell>
        </row>
        <row r="1280">
          <cell r="AK1280">
            <v>500</v>
          </cell>
        </row>
        <row r="1281">
          <cell r="A1281" t="str">
            <v>SBS8014</v>
          </cell>
        </row>
        <row r="1281">
          <cell r="AK1281">
            <v>498</v>
          </cell>
        </row>
        <row r="1282">
          <cell r="A1282" t="str">
            <v>SBS8085</v>
          </cell>
        </row>
        <row r="1282">
          <cell r="AK1282">
            <v>491</v>
          </cell>
        </row>
        <row r="1283">
          <cell r="A1283" t="str">
            <v>SCS4029</v>
          </cell>
        </row>
        <row r="1283">
          <cell r="AK1283">
            <v>490</v>
          </cell>
        </row>
        <row r="1284">
          <cell r="A1284" t="str">
            <v>SWC5003L</v>
          </cell>
        </row>
        <row r="1284">
          <cell r="AK1284">
            <v>488</v>
          </cell>
        </row>
        <row r="1285">
          <cell r="A1285" t="str">
            <v>SSC3030</v>
          </cell>
        </row>
        <row r="1285">
          <cell r="AK1285">
            <v>486</v>
          </cell>
        </row>
        <row r="1286">
          <cell r="A1286" t="str">
            <v>SBC1005</v>
          </cell>
        </row>
        <row r="1286">
          <cell r="AK1286">
            <v>484</v>
          </cell>
        </row>
        <row r="1287">
          <cell r="A1287" t="str">
            <v>SWC5103</v>
          </cell>
        </row>
        <row r="1287">
          <cell r="AK1287">
            <v>484</v>
          </cell>
        </row>
        <row r="1288">
          <cell r="A1288" t="str">
            <v>SBC1126A</v>
          </cell>
        </row>
        <row r="1288">
          <cell r="AK1288">
            <v>482</v>
          </cell>
        </row>
        <row r="1289">
          <cell r="A1289" t="str">
            <v>SWC5090</v>
          </cell>
        </row>
        <row r="1289">
          <cell r="AK1289">
            <v>481</v>
          </cell>
        </row>
        <row r="1290">
          <cell r="A1290" t="str">
            <v>SWC5019</v>
          </cell>
        </row>
        <row r="1290">
          <cell r="AK1290">
            <v>478</v>
          </cell>
        </row>
        <row r="1291">
          <cell r="A1291" t="str">
            <v>SCC2044</v>
          </cell>
        </row>
        <row r="1291">
          <cell r="AK1291">
            <v>475</v>
          </cell>
        </row>
        <row r="1292">
          <cell r="A1292" t="str">
            <v>SWC5007</v>
          </cell>
        </row>
        <row r="1292">
          <cell r="AK1292">
            <v>468</v>
          </cell>
        </row>
        <row r="1293">
          <cell r="A1293" t="str">
            <v>SCC2071</v>
          </cell>
        </row>
        <row r="1293">
          <cell r="AK1293">
            <v>466</v>
          </cell>
        </row>
        <row r="1294">
          <cell r="A1294" t="str">
            <v>SWP297A</v>
          </cell>
        </row>
        <row r="1294">
          <cell r="AK1294">
            <v>465</v>
          </cell>
        </row>
        <row r="1295">
          <cell r="A1295" t="str">
            <v>SBC1139</v>
          </cell>
        </row>
        <row r="1295">
          <cell r="AK1295">
            <v>465</v>
          </cell>
        </row>
        <row r="1296">
          <cell r="A1296" t="str">
            <v>SCS4003</v>
          </cell>
        </row>
        <row r="1296">
          <cell r="AK1296">
            <v>460</v>
          </cell>
        </row>
        <row r="1297">
          <cell r="A1297" t="str">
            <v>SCC2062</v>
          </cell>
        </row>
        <row r="1297">
          <cell r="AK1297">
            <v>458</v>
          </cell>
        </row>
        <row r="1298">
          <cell r="A1298" t="str">
            <v>SOC9050</v>
          </cell>
        </row>
        <row r="1298">
          <cell r="AK1298">
            <v>457</v>
          </cell>
        </row>
        <row r="1299">
          <cell r="A1299" t="str">
            <v>SVP6018</v>
          </cell>
        </row>
        <row r="1299">
          <cell r="AK1299">
            <v>455</v>
          </cell>
        </row>
        <row r="1300">
          <cell r="A1300" t="str">
            <v>SBC1188</v>
          </cell>
        </row>
        <row r="1300">
          <cell r="AK1300">
            <v>453</v>
          </cell>
        </row>
        <row r="1301">
          <cell r="A1301" t="str">
            <v>SBS8133</v>
          </cell>
        </row>
        <row r="1301">
          <cell r="AK1301">
            <v>453</v>
          </cell>
        </row>
        <row r="1302">
          <cell r="A1302" t="str">
            <v>SBS8090</v>
          </cell>
        </row>
        <row r="1302">
          <cell r="AK1302">
            <v>445</v>
          </cell>
        </row>
        <row r="1303">
          <cell r="A1303" t="str">
            <v>SOC9029</v>
          </cell>
        </row>
        <row r="1303">
          <cell r="AK1303">
            <v>443</v>
          </cell>
        </row>
        <row r="1304">
          <cell r="A1304" t="str">
            <v>SWC5022</v>
          </cell>
        </row>
        <row r="1304">
          <cell r="AK1304">
            <v>442</v>
          </cell>
        </row>
        <row r="1305">
          <cell r="A1305" t="str">
            <v>SWC5053</v>
          </cell>
        </row>
        <row r="1305">
          <cell r="AK1305">
            <v>442</v>
          </cell>
        </row>
        <row r="1306">
          <cell r="A1306" t="str">
            <v>SBC1141</v>
          </cell>
        </row>
        <row r="1306">
          <cell r="AK1306">
            <v>438</v>
          </cell>
        </row>
        <row r="1307">
          <cell r="A1307" t="str">
            <v>SOC9047</v>
          </cell>
        </row>
        <row r="1307">
          <cell r="AK1307">
            <v>437</v>
          </cell>
        </row>
        <row r="1308">
          <cell r="A1308" t="str">
            <v>SBC1044</v>
          </cell>
        </row>
        <row r="1308">
          <cell r="AK1308">
            <v>433</v>
          </cell>
        </row>
        <row r="1309">
          <cell r="A1309" t="str">
            <v>SWP310</v>
          </cell>
        </row>
        <row r="1309">
          <cell r="AK1309">
            <v>430</v>
          </cell>
        </row>
        <row r="1310">
          <cell r="A1310" t="str">
            <v>SOC9020</v>
          </cell>
        </row>
        <row r="1310">
          <cell r="AK1310">
            <v>430</v>
          </cell>
        </row>
        <row r="1311">
          <cell r="A1311" t="str">
            <v>SSC3042</v>
          </cell>
        </row>
        <row r="1311">
          <cell r="AK1311">
            <v>428</v>
          </cell>
        </row>
        <row r="1312">
          <cell r="A1312" t="str">
            <v>SBC1069</v>
          </cell>
        </row>
        <row r="1312">
          <cell r="AK1312">
            <v>425</v>
          </cell>
        </row>
        <row r="1313">
          <cell r="A1313" t="str">
            <v>SBC1122A</v>
          </cell>
        </row>
        <row r="1313">
          <cell r="AK1313">
            <v>425</v>
          </cell>
        </row>
        <row r="1314">
          <cell r="A1314" t="str">
            <v>SBS8086</v>
          </cell>
        </row>
        <row r="1314">
          <cell r="AK1314">
            <v>423</v>
          </cell>
        </row>
        <row r="1315">
          <cell r="A1315" t="str">
            <v>SBC1136</v>
          </cell>
        </row>
        <row r="1315">
          <cell r="AK1315">
            <v>422</v>
          </cell>
        </row>
        <row r="1316">
          <cell r="A1316" t="str">
            <v>SWC5003R</v>
          </cell>
        </row>
        <row r="1316">
          <cell r="AK1316">
            <v>417</v>
          </cell>
        </row>
        <row r="1317">
          <cell r="A1317" t="str">
            <v>SBC1005R</v>
          </cell>
        </row>
        <row r="1317">
          <cell r="AK1317">
            <v>415</v>
          </cell>
        </row>
        <row r="1318">
          <cell r="A1318" t="str">
            <v>SPF5002K</v>
          </cell>
        </row>
        <row r="1318">
          <cell r="AK1318">
            <v>414</v>
          </cell>
        </row>
        <row r="1319">
          <cell r="A1319" t="str">
            <v>SCC2070</v>
          </cell>
        </row>
        <row r="1319">
          <cell r="AK1319">
            <v>411</v>
          </cell>
        </row>
        <row r="1320">
          <cell r="A1320" t="str">
            <v>SCC2061</v>
          </cell>
        </row>
        <row r="1320">
          <cell r="AK1320">
            <v>410</v>
          </cell>
        </row>
        <row r="1321">
          <cell r="A1321" t="str">
            <v>SWC5044R</v>
          </cell>
        </row>
        <row r="1321">
          <cell r="AK1321">
            <v>410</v>
          </cell>
        </row>
        <row r="1322">
          <cell r="A1322" t="str">
            <v>SBS8024</v>
          </cell>
        </row>
        <row r="1322">
          <cell r="AK1322">
            <v>401</v>
          </cell>
        </row>
        <row r="1323">
          <cell r="A1323" t="str">
            <v>SCS4030</v>
          </cell>
        </row>
        <row r="1323">
          <cell r="AK1323">
            <v>401</v>
          </cell>
        </row>
        <row r="1324">
          <cell r="A1324" t="str">
            <v>SWC5044L</v>
          </cell>
        </row>
        <row r="1324">
          <cell r="AK1324">
            <v>400</v>
          </cell>
        </row>
        <row r="1325">
          <cell r="A1325" t="str">
            <v>SBS8033</v>
          </cell>
        </row>
        <row r="1325">
          <cell r="AK1325">
            <v>400</v>
          </cell>
        </row>
        <row r="1326">
          <cell r="A1326" t="str">
            <v>SBS8043</v>
          </cell>
        </row>
        <row r="1326">
          <cell r="AK1326">
            <v>399</v>
          </cell>
        </row>
        <row r="1327">
          <cell r="A1327" t="str">
            <v>SWP342</v>
          </cell>
        </row>
        <row r="1327">
          <cell r="AK1327">
            <v>396</v>
          </cell>
        </row>
        <row r="1328">
          <cell r="A1328" t="str">
            <v>SSC3002</v>
          </cell>
        </row>
        <row r="1328">
          <cell r="AK1328">
            <v>395</v>
          </cell>
        </row>
        <row r="1329">
          <cell r="A1329" t="str">
            <v>SWP172</v>
          </cell>
        </row>
        <row r="1329">
          <cell r="AK1329">
            <v>393</v>
          </cell>
        </row>
        <row r="1330">
          <cell r="A1330" t="str">
            <v>SSC3009</v>
          </cell>
        </row>
        <row r="1330">
          <cell r="AK1330">
            <v>390</v>
          </cell>
        </row>
        <row r="1331">
          <cell r="A1331" t="str">
            <v>SCC2038</v>
          </cell>
        </row>
        <row r="1331">
          <cell r="AK1331">
            <v>386</v>
          </cell>
        </row>
        <row r="1332">
          <cell r="A1332" t="str">
            <v>SBS8079</v>
          </cell>
        </row>
        <row r="1332">
          <cell r="AK1332">
            <v>386</v>
          </cell>
        </row>
        <row r="1333">
          <cell r="A1333" t="str">
            <v>SWP237</v>
          </cell>
        </row>
        <row r="1333">
          <cell r="AK1333">
            <v>385</v>
          </cell>
        </row>
        <row r="1334">
          <cell r="A1334" t="str">
            <v>SWP372</v>
          </cell>
        </row>
        <row r="1334">
          <cell r="AK1334">
            <v>385</v>
          </cell>
        </row>
        <row r="1335">
          <cell r="A1335" t="str">
            <v>SWC5082</v>
          </cell>
        </row>
        <row r="1335">
          <cell r="AK1335">
            <v>385</v>
          </cell>
        </row>
        <row r="1336">
          <cell r="A1336" t="str">
            <v>SWP248</v>
          </cell>
        </row>
        <row r="1336">
          <cell r="AK1336">
            <v>384</v>
          </cell>
        </row>
        <row r="1337">
          <cell r="A1337" t="str">
            <v>SOC9023</v>
          </cell>
        </row>
        <row r="1337">
          <cell r="AK1337">
            <v>384</v>
          </cell>
        </row>
        <row r="1338">
          <cell r="A1338" t="str">
            <v>SBC1151</v>
          </cell>
        </row>
        <row r="1338">
          <cell r="AK1338">
            <v>382</v>
          </cell>
        </row>
        <row r="1339">
          <cell r="A1339" t="str">
            <v>SWP301</v>
          </cell>
        </row>
        <row r="1339">
          <cell r="AK1339">
            <v>377</v>
          </cell>
        </row>
        <row r="1340">
          <cell r="A1340" t="str">
            <v>SBC1191A</v>
          </cell>
        </row>
        <row r="1340">
          <cell r="AK1340">
            <v>376</v>
          </cell>
        </row>
        <row r="1341">
          <cell r="A1341" t="str">
            <v>SWC5018</v>
          </cell>
        </row>
        <row r="1341">
          <cell r="AK1341">
            <v>375</v>
          </cell>
        </row>
        <row r="1342">
          <cell r="A1342" t="str">
            <v>SOC9005</v>
          </cell>
        </row>
        <row r="1342">
          <cell r="AK1342">
            <v>375</v>
          </cell>
        </row>
        <row r="1343">
          <cell r="A1343" t="str">
            <v>SVP6000</v>
          </cell>
        </row>
        <row r="1343">
          <cell r="AK1343">
            <v>374</v>
          </cell>
        </row>
        <row r="1344">
          <cell r="A1344" t="str">
            <v>SCS4020</v>
          </cell>
        </row>
        <row r="1344">
          <cell r="AK1344">
            <v>371</v>
          </cell>
        </row>
        <row r="1345">
          <cell r="A1345" t="str">
            <v>SSC3022</v>
          </cell>
        </row>
        <row r="1345">
          <cell r="AK1345">
            <v>370</v>
          </cell>
        </row>
        <row r="1346">
          <cell r="A1346" t="str">
            <v>SBS8039</v>
          </cell>
        </row>
        <row r="1346">
          <cell r="AK1346">
            <v>370</v>
          </cell>
        </row>
        <row r="1347">
          <cell r="A1347" t="str">
            <v>SBS8050</v>
          </cell>
        </row>
        <row r="1347">
          <cell r="AK1347">
            <v>369</v>
          </cell>
        </row>
        <row r="1348">
          <cell r="A1348" t="str">
            <v>SWP220</v>
          </cell>
        </row>
        <row r="1348">
          <cell r="AK1348">
            <v>368</v>
          </cell>
        </row>
        <row r="1349">
          <cell r="A1349" t="str">
            <v>SBC1179</v>
          </cell>
        </row>
        <row r="1349">
          <cell r="AK1349">
            <v>368</v>
          </cell>
        </row>
        <row r="1350">
          <cell r="A1350" t="str">
            <v>SBS8112</v>
          </cell>
        </row>
        <row r="1350">
          <cell r="AK1350">
            <v>361</v>
          </cell>
        </row>
        <row r="1351">
          <cell r="A1351" t="str">
            <v>SBC1100</v>
          </cell>
        </row>
        <row r="1351">
          <cell r="AK1351">
            <v>360</v>
          </cell>
        </row>
        <row r="1352">
          <cell r="A1352" t="str">
            <v>SBC1183</v>
          </cell>
        </row>
        <row r="1352">
          <cell r="AK1352">
            <v>360</v>
          </cell>
        </row>
        <row r="1353">
          <cell r="A1353" t="str">
            <v>SWC5095</v>
          </cell>
        </row>
        <row r="1353">
          <cell r="AK1353">
            <v>354</v>
          </cell>
        </row>
        <row r="1354">
          <cell r="A1354" t="str">
            <v>SCC2019</v>
          </cell>
        </row>
        <row r="1354">
          <cell r="AK1354">
            <v>352</v>
          </cell>
        </row>
        <row r="1355">
          <cell r="A1355" t="str">
            <v>SWC5055</v>
          </cell>
        </row>
        <row r="1355">
          <cell r="AK1355">
            <v>351</v>
          </cell>
        </row>
        <row r="1356">
          <cell r="A1356" t="str">
            <v>SBC1036</v>
          </cell>
        </row>
        <row r="1356">
          <cell r="AK1356">
            <v>349</v>
          </cell>
        </row>
        <row r="1357">
          <cell r="A1357" t="str">
            <v>SVP6022</v>
          </cell>
        </row>
        <row r="1357">
          <cell r="AK1357">
            <v>347</v>
          </cell>
        </row>
        <row r="1358">
          <cell r="A1358" t="str">
            <v>SOC9008</v>
          </cell>
        </row>
        <row r="1358">
          <cell r="AK1358">
            <v>347</v>
          </cell>
        </row>
        <row r="1359">
          <cell r="A1359" t="str">
            <v>SOC9052</v>
          </cell>
        </row>
        <row r="1359">
          <cell r="AK1359">
            <v>346</v>
          </cell>
        </row>
        <row r="1360">
          <cell r="A1360" t="str">
            <v>SWP269</v>
          </cell>
        </row>
        <row r="1360">
          <cell r="AK1360">
            <v>345</v>
          </cell>
        </row>
        <row r="1361">
          <cell r="A1361" t="str">
            <v>SWP092</v>
          </cell>
        </row>
        <row r="1361">
          <cell r="AK1361">
            <v>341</v>
          </cell>
        </row>
        <row r="1362">
          <cell r="A1362" t="str">
            <v>SVP6017</v>
          </cell>
        </row>
        <row r="1362">
          <cell r="AK1362">
            <v>341</v>
          </cell>
        </row>
        <row r="1363">
          <cell r="A1363" t="str">
            <v>SBS8095</v>
          </cell>
        </row>
        <row r="1363">
          <cell r="AK1363">
            <v>341</v>
          </cell>
        </row>
        <row r="1364">
          <cell r="A1364" t="str">
            <v>SOC9030</v>
          </cell>
        </row>
        <row r="1364">
          <cell r="AK1364">
            <v>339</v>
          </cell>
        </row>
        <row r="1365">
          <cell r="A1365" t="str">
            <v>SBC1089</v>
          </cell>
        </row>
        <row r="1365">
          <cell r="AK1365">
            <v>338</v>
          </cell>
        </row>
        <row r="1366">
          <cell r="A1366" t="str">
            <v>SBC1109</v>
          </cell>
        </row>
        <row r="1366">
          <cell r="AK1366">
            <v>337</v>
          </cell>
        </row>
        <row r="1367">
          <cell r="A1367" t="str">
            <v>SWC5017</v>
          </cell>
        </row>
        <row r="1367">
          <cell r="AK1367">
            <v>333</v>
          </cell>
        </row>
        <row r="1368">
          <cell r="A1368" t="str">
            <v>SVP6016</v>
          </cell>
        </row>
        <row r="1368">
          <cell r="AK1368">
            <v>332</v>
          </cell>
        </row>
        <row r="1369">
          <cell r="A1369" t="str">
            <v>SBC1031</v>
          </cell>
        </row>
        <row r="1369">
          <cell r="AK1369">
            <v>331</v>
          </cell>
        </row>
        <row r="1370">
          <cell r="A1370" t="str">
            <v>SCC2012</v>
          </cell>
        </row>
        <row r="1370">
          <cell r="AK1370">
            <v>330</v>
          </cell>
        </row>
        <row r="1371">
          <cell r="A1371" t="str">
            <v>SBC1094</v>
          </cell>
        </row>
        <row r="1371">
          <cell r="AK1371">
            <v>330</v>
          </cell>
        </row>
        <row r="1372">
          <cell r="A1372" t="str">
            <v>SBC1108</v>
          </cell>
        </row>
        <row r="1372">
          <cell r="AK1372">
            <v>328</v>
          </cell>
        </row>
        <row r="1373">
          <cell r="A1373" t="str">
            <v>SBS8100PB</v>
          </cell>
        </row>
        <row r="1373">
          <cell r="AK1373">
            <v>327</v>
          </cell>
        </row>
        <row r="1374">
          <cell r="A1374" t="str">
            <v>SCC2016</v>
          </cell>
        </row>
        <row r="1374">
          <cell r="AK1374">
            <v>326</v>
          </cell>
        </row>
        <row r="1375">
          <cell r="A1375" t="str">
            <v>SOC9016</v>
          </cell>
        </row>
        <row r="1375">
          <cell r="AK1375">
            <v>326</v>
          </cell>
        </row>
        <row r="1376">
          <cell r="A1376" t="str">
            <v>SCC2054</v>
          </cell>
        </row>
        <row r="1376">
          <cell r="AK1376">
            <v>324</v>
          </cell>
        </row>
        <row r="1377">
          <cell r="A1377" t="str">
            <v>SOC9010</v>
          </cell>
        </row>
        <row r="1377">
          <cell r="AK1377">
            <v>324</v>
          </cell>
        </row>
        <row r="1378">
          <cell r="A1378" t="str">
            <v>SCS4013</v>
          </cell>
        </row>
        <row r="1378">
          <cell r="AK1378">
            <v>322</v>
          </cell>
        </row>
        <row r="1379">
          <cell r="A1379" t="str">
            <v>SBC1042NR</v>
          </cell>
        </row>
        <row r="1379">
          <cell r="AK1379">
            <v>322</v>
          </cell>
        </row>
        <row r="1380">
          <cell r="A1380" t="str">
            <v>SBS8096</v>
          </cell>
        </row>
        <row r="1380">
          <cell r="AK1380">
            <v>322</v>
          </cell>
        </row>
        <row r="1381">
          <cell r="A1381" t="str">
            <v>SCC2028</v>
          </cell>
        </row>
        <row r="1381">
          <cell r="AK1381">
            <v>318</v>
          </cell>
        </row>
        <row r="1382">
          <cell r="A1382" t="str">
            <v>SWP293</v>
          </cell>
        </row>
        <row r="1382">
          <cell r="AK1382">
            <v>318</v>
          </cell>
        </row>
        <row r="1383">
          <cell r="A1383" t="str">
            <v>SWP030H1</v>
          </cell>
        </row>
        <row r="1383">
          <cell r="AK1383">
            <v>317</v>
          </cell>
        </row>
        <row r="1384">
          <cell r="A1384" t="str">
            <v>SBS8099PB</v>
          </cell>
        </row>
        <row r="1384">
          <cell r="AK1384">
            <v>314</v>
          </cell>
        </row>
        <row r="1385">
          <cell r="A1385" t="str">
            <v>SBC1147</v>
          </cell>
        </row>
        <row r="1385">
          <cell r="AK1385">
            <v>313</v>
          </cell>
        </row>
        <row r="1386">
          <cell r="A1386" t="str">
            <v>SOC9028</v>
          </cell>
        </row>
        <row r="1386">
          <cell r="AK1386">
            <v>313</v>
          </cell>
        </row>
        <row r="1387">
          <cell r="A1387" t="str">
            <v>SWP263</v>
          </cell>
        </row>
        <row r="1387">
          <cell r="AK1387">
            <v>312</v>
          </cell>
        </row>
        <row r="1388">
          <cell r="A1388" t="str">
            <v>SCC2033</v>
          </cell>
        </row>
        <row r="1388">
          <cell r="AK1388">
            <v>311</v>
          </cell>
        </row>
        <row r="1389">
          <cell r="A1389" t="str">
            <v>SVP6003</v>
          </cell>
        </row>
        <row r="1389">
          <cell r="AK1389">
            <v>311</v>
          </cell>
        </row>
        <row r="1390">
          <cell r="A1390" t="str">
            <v>SCC2002</v>
          </cell>
        </row>
        <row r="1390">
          <cell r="AK1390">
            <v>310</v>
          </cell>
        </row>
        <row r="1391">
          <cell r="A1391" t="str">
            <v>SWP187A</v>
          </cell>
        </row>
        <row r="1391">
          <cell r="AK1391">
            <v>309</v>
          </cell>
        </row>
        <row r="1392">
          <cell r="A1392" t="str">
            <v>SCS4017</v>
          </cell>
        </row>
        <row r="1392">
          <cell r="AK1392">
            <v>309</v>
          </cell>
        </row>
        <row r="1393">
          <cell r="A1393" t="str">
            <v>SBC1080A</v>
          </cell>
        </row>
        <row r="1393">
          <cell r="AK1393">
            <v>309</v>
          </cell>
        </row>
        <row r="1394">
          <cell r="A1394" t="str">
            <v>SOC9017</v>
          </cell>
        </row>
        <row r="1394">
          <cell r="AK1394">
            <v>309</v>
          </cell>
        </row>
        <row r="1395">
          <cell r="A1395" t="str">
            <v>SBC1078</v>
          </cell>
        </row>
        <row r="1395">
          <cell r="AK1395">
            <v>307</v>
          </cell>
        </row>
        <row r="1396">
          <cell r="A1396" t="str">
            <v>SSC3001</v>
          </cell>
        </row>
        <row r="1396">
          <cell r="AK1396">
            <v>306</v>
          </cell>
        </row>
        <row r="1397">
          <cell r="A1397" t="str">
            <v>SWC5002</v>
          </cell>
        </row>
        <row r="1397">
          <cell r="AK1397">
            <v>305</v>
          </cell>
        </row>
        <row r="1398">
          <cell r="A1398" t="str">
            <v>SBC1040</v>
          </cell>
        </row>
        <row r="1398">
          <cell r="AK1398">
            <v>302</v>
          </cell>
        </row>
        <row r="1399">
          <cell r="A1399" t="str">
            <v>SCC2082</v>
          </cell>
        </row>
        <row r="1399">
          <cell r="AK1399">
            <v>300</v>
          </cell>
        </row>
        <row r="1400">
          <cell r="A1400" t="str">
            <v>SOC9032</v>
          </cell>
        </row>
        <row r="1400">
          <cell r="AK1400">
            <v>300</v>
          </cell>
        </row>
        <row r="1401">
          <cell r="A1401" t="str">
            <v>SBS8055</v>
          </cell>
        </row>
        <row r="1401">
          <cell r="AK1401">
            <v>299</v>
          </cell>
        </row>
        <row r="1402">
          <cell r="A1402" t="str">
            <v>SWP266</v>
          </cell>
        </row>
        <row r="1402">
          <cell r="AK1402">
            <v>298</v>
          </cell>
        </row>
        <row r="1403">
          <cell r="A1403" t="str">
            <v>SBS8010</v>
          </cell>
        </row>
        <row r="1403">
          <cell r="AK1403">
            <v>298</v>
          </cell>
        </row>
        <row r="1404">
          <cell r="A1404" t="str">
            <v>SBC1192</v>
          </cell>
        </row>
        <row r="1404">
          <cell r="AK1404">
            <v>298</v>
          </cell>
        </row>
        <row r="1405">
          <cell r="A1405" t="str">
            <v>STC12054</v>
          </cell>
        </row>
        <row r="1405">
          <cell r="AK1405">
            <v>298</v>
          </cell>
        </row>
        <row r="1406">
          <cell r="A1406" t="str">
            <v>SCC2025A</v>
          </cell>
        </row>
        <row r="1406">
          <cell r="AK1406">
            <v>296</v>
          </cell>
        </row>
        <row r="1407">
          <cell r="A1407" t="str">
            <v>SBS8016</v>
          </cell>
        </row>
        <row r="1407">
          <cell r="AK1407">
            <v>296</v>
          </cell>
        </row>
        <row r="1408">
          <cell r="A1408" t="str">
            <v>SWP384</v>
          </cell>
        </row>
        <row r="1408">
          <cell r="AK1408">
            <v>296</v>
          </cell>
        </row>
        <row r="1409">
          <cell r="A1409" t="str">
            <v>SBC1129</v>
          </cell>
        </row>
        <row r="1409">
          <cell r="AK1409">
            <v>294</v>
          </cell>
        </row>
        <row r="1410">
          <cell r="A1410" t="str">
            <v>SCC2063</v>
          </cell>
        </row>
        <row r="1410">
          <cell r="AK1410">
            <v>293</v>
          </cell>
        </row>
        <row r="1411">
          <cell r="A1411" t="str">
            <v>SVP6007</v>
          </cell>
        </row>
        <row r="1411">
          <cell r="AK1411">
            <v>293</v>
          </cell>
        </row>
        <row r="1412">
          <cell r="A1412" t="str">
            <v>SOC9007</v>
          </cell>
        </row>
        <row r="1412">
          <cell r="AK1412">
            <v>293</v>
          </cell>
        </row>
        <row r="1413">
          <cell r="A1413" t="str">
            <v>SSC3012</v>
          </cell>
        </row>
        <row r="1413">
          <cell r="AK1413">
            <v>291</v>
          </cell>
        </row>
        <row r="1414">
          <cell r="A1414" t="str">
            <v>SSC3033</v>
          </cell>
        </row>
        <row r="1414">
          <cell r="AK1414">
            <v>291</v>
          </cell>
        </row>
        <row r="1415">
          <cell r="A1415" t="str">
            <v>SWP314</v>
          </cell>
        </row>
        <row r="1415">
          <cell r="AK1415">
            <v>288</v>
          </cell>
        </row>
        <row r="1416">
          <cell r="A1416" t="str">
            <v>SBS8035</v>
          </cell>
        </row>
        <row r="1416">
          <cell r="AK1416">
            <v>287</v>
          </cell>
        </row>
        <row r="1417">
          <cell r="A1417" t="str">
            <v>SBS8103</v>
          </cell>
        </row>
        <row r="1417">
          <cell r="AK1417">
            <v>286</v>
          </cell>
        </row>
        <row r="1418">
          <cell r="A1418" t="str">
            <v>SWC5004</v>
          </cell>
        </row>
        <row r="1418">
          <cell r="AK1418">
            <v>285</v>
          </cell>
        </row>
        <row r="1419">
          <cell r="A1419" t="str">
            <v>SWP284</v>
          </cell>
        </row>
        <row r="1419">
          <cell r="AK1419">
            <v>283</v>
          </cell>
        </row>
        <row r="1420">
          <cell r="A1420" t="str">
            <v>SWC5016</v>
          </cell>
        </row>
        <row r="1420">
          <cell r="AK1420">
            <v>282</v>
          </cell>
        </row>
        <row r="1421">
          <cell r="A1421" t="str">
            <v>SBS8052</v>
          </cell>
        </row>
        <row r="1421">
          <cell r="AK1421">
            <v>280</v>
          </cell>
        </row>
        <row r="1422">
          <cell r="A1422" t="str">
            <v>SWC5093</v>
          </cell>
        </row>
        <row r="1422">
          <cell r="AK1422">
            <v>280</v>
          </cell>
        </row>
        <row r="1423">
          <cell r="A1423" t="str">
            <v>SHP11015</v>
          </cell>
        </row>
        <row r="1423">
          <cell r="AK1423">
            <v>279</v>
          </cell>
        </row>
        <row r="1424">
          <cell r="A1424" t="str">
            <v>SWP178</v>
          </cell>
        </row>
        <row r="1424">
          <cell r="AK1424">
            <v>278</v>
          </cell>
        </row>
        <row r="1425">
          <cell r="A1425" t="str">
            <v>SBC1204</v>
          </cell>
        </row>
        <row r="1425">
          <cell r="AK1425">
            <v>278</v>
          </cell>
        </row>
        <row r="1426">
          <cell r="A1426" t="str">
            <v>SWP103</v>
          </cell>
        </row>
        <row r="1426">
          <cell r="AK1426">
            <v>277</v>
          </cell>
        </row>
        <row r="1427">
          <cell r="A1427" t="str">
            <v>SOC9021</v>
          </cell>
        </row>
        <row r="1427">
          <cell r="AK1427">
            <v>277</v>
          </cell>
        </row>
        <row r="1428">
          <cell r="A1428" t="str">
            <v>SBS8023</v>
          </cell>
        </row>
        <row r="1428">
          <cell r="AK1428">
            <v>275</v>
          </cell>
        </row>
        <row r="1429">
          <cell r="A1429" t="str">
            <v>SWP338</v>
          </cell>
        </row>
        <row r="1429">
          <cell r="AK1429">
            <v>275</v>
          </cell>
        </row>
        <row r="1430">
          <cell r="A1430" t="str">
            <v>SBC1122M</v>
          </cell>
        </row>
        <row r="1430">
          <cell r="AK1430">
            <v>274</v>
          </cell>
        </row>
        <row r="1431">
          <cell r="A1431" t="str">
            <v>SWP308</v>
          </cell>
        </row>
        <row r="1431">
          <cell r="AK1431">
            <v>274</v>
          </cell>
        </row>
        <row r="1432">
          <cell r="A1432" t="str">
            <v>SSC3044</v>
          </cell>
        </row>
        <row r="1432">
          <cell r="AK1432">
            <v>274</v>
          </cell>
        </row>
        <row r="1433">
          <cell r="A1433" t="str">
            <v>SBC1160</v>
          </cell>
        </row>
        <row r="1433">
          <cell r="AK1433">
            <v>273</v>
          </cell>
        </row>
        <row r="1434">
          <cell r="A1434" t="str">
            <v>SNB1466</v>
          </cell>
        </row>
        <row r="1434">
          <cell r="AK1434">
            <v>273</v>
          </cell>
        </row>
        <row r="1435">
          <cell r="A1435" t="str">
            <v>SWP279</v>
          </cell>
        </row>
        <row r="1435">
          <cell r="AK1435">
            <v>271</v>
          </cell>
        </row>
        <row r="1436">
          <cell r="A1436" t="str">
            <v>SWP307</v>
          </cell>
        </row>
        <row r="1436">
          <cell r="AK1436">
            <v>270</v>
          </cell>
        </row>
        <row r="1437">
          <cell r="A1437" t="str">
            <v>SOC9058</v>
          </cell>
        </row>
        <row r="1437">
          <cell r="AK1437">
            <v>269</v>
          </cell>
        </row>
        <row r="1438">
          <cell r="A1438" t="str">
            <v>SWC5035</v>
          </cell>
        </row>
        <row r="1438">
          <cell r="AK1438">
            <v>268</v>
          </cell>
        </row>
        <row r="1439">
          <cell r="A1439" t="str">
            <v>SBC1086</v>
          </cell>
        </row>
        <row r="1439">
          <cell r="AK1439">
            <v>267</v>
          </cell>
        </row>
        <row r="1440">
          <cell r="A1440" t="str">
            <v>SBC1099</v>
          </cell>
        </row>
        <row r="1440">
          <cell r="AK1440">
            <v>267</v>
          </cell>
        </row>
        <row r="1441">
          <cell r="A1441" t="str">
            <v>SWC5021</v>
          </cell>
        </row>
        <row r="1441">
          <cell r="AK1441">
            <v>266</v>
          </cell>
        </row>
        <row r="1442">
          <cell r="A1442" t="str">
            <v>SBS8110</v>
          </cell>
        </row>
        <row r="1442">
          <cell r="AK1442">
            <v>266</v>
          </cell>
        </row>
        <row r="1443">
          <cell r="A1443" t="str">
            <v>SSC3011</v>
          </cell>
        </row>
        <row r="1443">
          <cell r="AK1443">
            <v>265</v>
          </cell>
        </row>
        <row r="1444">
          <cell r="A1444" t="str">
            <v>SCC2003</v>
          </cell>
        </row>
        <row r="1444">
          <cell r="AK1444">
            <v>263</v>
          </cell>
        </row>
        <row r="1445">
          <cell r="A1445" t="str">
            <v>SBS8044</v>
          </cell>
        </row>
        <row r="1445">
          <cell r="AK1445">
            <v>263</v>
          </cell>
        </row>
        <row r="1446">
          <cell r="A1446" t="str">
            <v>SOC9048</v>
          </cell>
        </row>
        <row r="1446">
          <cell r="AK1446">
            <v>261</v>
          </cell>
        </row>
        <row r="1447">
          <cell r="A1447" t="str">
            <v>SCC2076</v>
          </cell>
        </row>
        <row r="1447">
          <cell r="AK1447">
            <v>258</v>
          </cell>
        </row>
        <row r="1448">
          <cell r="A1448" t="str">
            <v>SWP267</v>
          </cell>
        </row>
        <row r="1448">
          <cell r="AK1448">
            <v>256</v>
          </cell>
        </row>
        <row r="1449">
          <cell r="A1449" t="str">
            <v>SWP302</v>
          </cell>
        </row>
        <row r="1449">
          <cell r="AK1449">
            <v>256</v>
          </cell>
        </row>
        <row r="1450">
          <cell r="A1450" t="str">
            <v>SBC1080B</v>
          </cell>
        </row>
        <row r="1450">
          <cell r="AK1450">
            <v>253</v>
          </cell>
        </row>
        <row r="1451">
          <cell r="A1451" t="str">
            <v>SBC1023</v>
          </cell>
        </row>
        <row r="1451">
          <cell r="AK1451">
            <v>252</v>
          </cell>
        </row>
        <row r="1452">
          <cell r="A1452" t="str">
            <v>SCC2052</v>
          </cell>
        </row>
        <row r="1452">
          <cell r="AK1452">
            <v>252</v>
          </cell>
        </row>
        <row r="1453">
          <cell r="A1453" t="str">
            <v>SCC2056</v>
          </cell>
        </row>
        <row r="1453">
          <cell r="AK1453">
            <v>252</v>
          </cell>
        </row>
        <row r="1454">
          <cell r="A1454" t="str">
            <v>SBS8089</v>
          </cell>
        </row>
        <row r="1454">
          <cell r="AK1454">
            <v>250</v>
          </cell>
        </row>
        <row r="1455">
          <cell r="A1455" t="str">
            <v>SOC9083</v>
          </cell>
        </row>
        <row r="1455">
          <cell r="AK1455">
            <v>249</v>
          </cell>
        </row>
        <row r="1456">
          <cell r="A1456" t="str">
            <v>SVP6042</v>
          </cell>
        </row>
        <row r="1456">
          <cell r="AK1456">
            <v>248</v>
          </cell>
        </row>
        <row r="1457">
          <cell r="A1457" t="str">
            <v>SCC2031</v>
          </cell>
        </row>
        <row r="1457">
          <cell r="AK1457">
            <v>245</v>
          </cell>
        </row>
        <row r="1458">
          <cell r="A1458" t="str">
            <v>SBS8082</v>
          </cell>
        </row>
        <row r="1458">
          <cell r="AK1458">
            <v>245</v>
          </cell>
        </row>
        <row r="1459">
          <cell r="A1459" t="str">
            <v>SOC9020C</v>
          </cell>
        </row>
        <row r="1459">
          <cell r="AK1459">
            <v>245</v>
          </cell>
        </row>
        <row r="1460">
          <cell r="A1460" t="str">
            <v>STC12075</v>
          </cell>
        </row>
        <row r="1460">
          <cell r="AK1460">
            <v>245</v>
          </cell>
        </row>
        <row r="1461">
          <cell r="A1461" t="str">
            <v>SCC2125</v>
          </cell>
        </row>
        <row r="1461">
          <cell r="AK1461">
            <v>245</v>
          </cell>
        </row>
        <row r="1462">
          <cell r="A1462" t="str">
            <v>SWP312</v>
          </cell>
        </row>
        <row r="1462">
          <cell r="AK1462">
            <v>244</v>
          </cell>
        </row>
        <row r="1463">
          <cell r="A1463" t="str">
            <v>SWP336</v>
          </cell>
        </row>
        <row r="1463">
          <cell r="AK1463">
            <v>243</v>
          </cell>
        </row>
        <row r="1464">
          <cell r="A1464" t="str">
            <v>SWP203</v>
          </cell>
        </row>
        <row r="1464">
          <cell r="AK1464">
            <v>242</v>
          </cell>
        </row>
        <row r="1465">
          <cell r="A1465" t="str">
            <v>SBC1020</v>
          </cell>
        </row>
        <row r="1465">
          <cell r="AK1465">
            <v>242</v>
          </cell>
        </row>
        <row r="1466">
          <cell r="A1466" t="str">
            <v>SSC3025</v>
          </cell>
        </row>
        <row r="1466">
          <cell r="AK1466">
            <v>242</v>
          </cell>
        </row>
        <row r="1467">
          <cell r="A1467" t="str">
            <v>SCC2051</v>
          </cell>
        </row>
        <row r="1467">
          <cell r="AK1467">
            <v>240</v>
          </cell>
        </row>
        <row r="1468">
          <cell r="A1468" t="str">
            <v>SBS8101</v>
          </cell>
        </row>
        <row r="1468">
          <cell r="AK1468">
            <v>239</v>
          </cell>
        </row>
        <row r="1469">
          <cell r="A1469" t="str">
            <v>SBC1219</v>
          </cell>
        </row>
        <row r="1469">
          <cell r="AK1469">
            <v>238</v>
          </cell>
        </row>
        <row r="1470">
          <cell r="A1470" t="str">
            <v>SCS4006</v>
          </cell>
        </row>
        <row r="1470">
          <cell r="AK1470">
            <v>236</v>
          </cell>
        </row>
        <row r="1471">
          <cell r="A1471" t="str">
            <v>SOC9006</v>
          </cell>
        </row>
        <row r="1471">
          <cell r="AK1471">
            <v>235</v>
          </cell>
        </row>
        <row r="1472">
          <cell r="A1472" t="str">
            <v>SOC9013</v>
          </cell>
        </row>
        <row r="1472">
          <cell r="AK1472">
            <v>235</v>
          </cell>
        </row>
        <row r="1473">
          <cell r="A1473" t="str">
            <v>SBC1131</v>
          </cell>
        </row>
        <row r="1473">
          <cell r="AK1473">
            <v>231</v>
          </cell>
        </row>
        <row r="1474">
          <cell r="A1474" t="str">
            <v>SWC5101</v>
          </cell>
        </row>
        <row r="1474">
          <cell r="AK1474">
            <v>231</v>
          </cell>
        </row>
        <row r="1475">
          <cell r="A1475" t="str">
            <v>SBC1003</v>
          </cell>
        </row>
        <row r="1475">
          <cell r="AK1475">
            <v>230</v>
          </cell>
        </row>
        <row r="1476">
          <cell r="A1476" t="str">
            <v>SSC3010</v>
          </cell>
        </row>
        <row r="1476">
          <cell r="AK1476">
            <v>230</v>
          </cell>
        </row>
        <row r="1477">
          <cell r="A1477" t="str">
            <v>SBC1184</v>
          </cell>
        </row>
        <row r="1477">
          <cell r="AK1477">
            <v>230</v>
          </cell>
        </row>
        <row r="1478">
          <cell r="A1478" t="str">
            <v>SSC3027</v>
          </cell>
        </row>
        <row r="1478">
          <cell r="AK1478">
            <v>229</v>
          </cell>
        </row>
        <row r="1479">
          <cell r="A1479" t="str">
            <v>SWC5083</v>
          </cell>
        </row>
        <row r="1479">
          <cell r="AK1479">
            <v>229</v>
          </cell>
        </row>
        <row r="1480">
          <cell r="A1480" t="str">
            <v>SWC5060</v>
          </cell>
        </row>
        <row r="1480">
          <cell r="AK1480">
            <v>229</v>
          </cell>
        </row>
        <row r="1481">
          <cell r="A1481" t="str">
            <v>SWC5045R</v>
          </cell>
        </row>
        <row r="1481">
          <cell r="AK1481">
            <v>227</v>
          </cell>
        </row>
        <row r="1482">
          <cell r="A1482" t="str">
            <v>SVP6010</v>
          </cell>
        </row>
        <row r="1482">
          <cell r="AK1482">
            <v>226</v>
          </cell>
        </row>
        <row r="1483">
          <cell r="A1483" t="str">
            <v>SOC9004</v>
          </cell>
        </row>
        <row r="1483">
          <cell r="AK1483">
            <v>226</v>
          </cell>
        </row>
        <row r="1484">
          <cell r="A1484" t="str">
            <v>SOC9055</v>
          </cell>
        </row>
        <row r="1484">
          <cell r="AK1484">
            <v>226</v>
          </cell>
        </row>
        <row r="1485">
          <cell r="A1485" t="str">
            <v>SBC1218</v>
          </cell>
        </row>
        <row r="1485">
          <cell r="AK1485">
            <v>226</v>
          </cell>
        </row>
        <row r="1486">
          <cell r="A1486" t="str">
            <v>SOC9054</v>
          </cell>
        </row>
        <row r="1486">
          <cell r="AK1486">
            <v>225</v>
          </cell>
        </row>
        <row r="1487">
          <cell r="A1487" t="str">
            <v>SWP140</v>
          </cell>
        </row>
        <row r="1487">
          <cell r="AK1487">
            <v>224</v>
          </cell>
        </row>
        <row r="1488">
          <cell r="A1488" t="str">
            <v>SOC9025</v>
          </cell>
        </row>
        <row r="1488">
          <cell r="AK1488">
            <v>223</v>
          </cell>
        </row>
        <row r="1489">
          <cell r="A1489" t="str">
            <v>SNB1465A</v>
          </cell>
        </row>
        <row r="1489">
          <cell r="AK1489">
            <v>222</v>
          </cell>
        </row>
        <row r="1490">
          <cell r="A1490" t="str">
            <v>SBS8087PB</v>
          </cell>
        </row>
        <row r="1490">
          <cell r="AK1490">
            <v>221</v>
          </cell>
        </row>
        <row r="1491">
          <cell r="A1491" t="str">
            <v>SWC5062</v>
          </cell>
        </row>
        <row r="1491">
          <cell r="AK1491">
            <v>221</v>
          </cell>
        </row>
        <row r="1492">
          <cell r="A1492" t="str">
            <v>SWC5080</v>
          </cell>
        </row>
        <row r="1492">
          <cell r="AK1492">
            <v>220</v>
          </cell>
        </row>
        <row r="1493">
          <cell r="A1493" t="str">
            <v>SCC2069</v>
          </cell>
        </row>
        <row r="1493">
          <cell r="AK1493">
            <v>218</v>
          </cell>
        </row>
        <row r="1494">
          <cell r="A1494" t="str">
            <v>STC12059</v>
          </cell>
        </row>
        <row r="1494">
          <cell r="AK1494">
            <v>216</v>
          </cell>
        </row>
        <row r="1495">
          <cell r="A1495" t="str">
            <v>SWP242H1</v>
          </cell>
        </row>
        <row r="1495">
          <cell r="AK1495">
            <v>215</v>
          </cell>
        </row>
        <row r="1496">
          <cell r="A1496" t="str">
            <v>SBC1195</v>
          </cell>
        </row>
        <row r="1496">
          <cell r="AK1496">
            <v>215</v>
          </cell>
        </row>
        <row r="1497">
          <cell r="A1497" t="str">
            <v>SOC9049</v>
          </cell>
        </row>
        <row r="1497">
          <cell r="AK1497">
            <v>215</v>
          </cell>
        </row>
        <row r="1498">
          <cell r="A1498" t="str">
            <v>SBC1024B</v>
          </cell>
        </row>
        <row r="1498">
          <cell r="AK1498">
            <v>213</v>
          </cell>
        </row>
        <row r="1499">
          <cell r="A1499" t="str">
            <v>SBC1092C</v>
          </cell>
        </row>
        <row r="1499">
          <cell r="AK1499">
            <v>213</v>
          </cell>
        </row>
        <row r="1500">
          <cell r="A1500" t="str">
            <v>STC12067</v>
          </cell>
        </row>
        <row r="1500">
          <cell r="AK1500">
            <v>213</v>
          </cell>
        </row>
        <row r="1501">
          <cell r="A1501" t="str">
            <v>SBC1025</v>
          </cell>
        </row>
        <row r="1501">
          <cell r="AK1501">
            <v>212</v>
          </cell>
        </row>
        <row r="1502">
          <cell r="A1502" t="str">
            <v>SCC2080</v>
          </cell>
        </row>
        <row r="1502">
          <cell r="AK1502">
            <v>212</v>
          </cell>
        </row>
        <row r="1503">
          <cell r="A1503" t="str">
            <v>SOC9057</v>
          </cell>
        </row>
        <row r="1503">
          <cell r="AK1503">
            <v>212</v>
          </cell>
        </row>
        <row r="1504">
          <cell r="A1504" t="str">
            <v>SCC2106</v>
          </cell>
        </row>
        <row r="1504">
          <cell r="AK1504">
            <v>211</v>
          </cell>
        </row>
        <row r="1505">
          <cell r="A1505" t="str">
            <v>SBC1024</v>
          </cell>
        </row>
        <row r="1505">
          <cell r="AK1505">
            <v>210</v>
          </cell>
        </row>
        <row r="1506">
          <cell r="A1506" t="str">
            <v>SSC3031</v>
          </cell>
        </row>
        <row r="1506">
          <cell r="AK1506">
            <v>210</v>
          </cell>
        </row>
        <row r="1507">
          <cell r="A1507" t="str">
            <v>SVP6032</v>
          </cell>
        </row>
        <row r="1507">
          <cell r="AK1507">
            <v>210</v>
          </cell>
        </row>
        <row r="1508">
          <cell r="A1508" t="str">
            <v>SWP334</v>
          </cell>
        </row>
        <row r="1508">
          <cell r="AK1508">
            <v>208</v>
          </cell>
        </row>
        <row r="1509">
          <cell r="A1509" t="str">
            <v>SBC1194M</v>
          </cell>
        </row>
        <row r="1509">
          <cell r="AK1509">
            <v>208</v>
          </cell>
        </row>
        <row r="1510">
          <cell r="A1510" t="str">
            <v>SBC1257</v>
          </cell>
        </row>
        <row r="1510">
          <cell r="AK1510">
            <v>207</v>
          </cell>
        </row>
        <row r="1511">
          <cell r="A1511" t="str">
            <v>SSC3040</v>
          </cell>
        </row>
        <row r="1511">
          <cell r="AK1511">
            <v>205</v>
          </cell>
        </row>
        <row r="1512">
          <cell r="A1512" t="str">
            <v>SWP097</v>
          </cell>
        </row>
        <row r="1512">
          <cell r="AK1512">
            <v>202</v>
          </cell>
        </row>
        <row r="1513">
          <cell r="A1513" t="str">
            <v>SWP123A</v>
          </cell>
        </row>
        <row r="1513">
          <cell r="AK1513">
            <v>201</v>
          </cell>
        </row>
        <row r="1514">
          <cell r="A1514" t="str">
            <v>SOC9099</v>
          </cell>
        </row>
        <row r="1514">
          <cell r="AK1514">
            <v>200</v>
          </cell>
        </row>
        <row r="1515">
          <cell r="A1515" t="str">
            <v>SBS8070PB</v>
          </cell>
        </row>
        <row r="1515">
          <cell r="AK1515">
            <v>198</v>
          </cell>
        </row>
        <row r="1516">
          <cell r="A1516" t="str">
            <v>SOC9018</v>
          </cell>
        </row>
        <row r="1516">
          <cell r="AK1516">
            <v>198</v>
          </cell>
        </row>
        <row r="1517">
          <cell r="A1517" t="str">
            <v>SOC9046</v>
          </cell>
        </row>
        <row r="1517">
          <cell r="AK1517">
            <v>198</v>
          </cell>
        </row>
        <row r="1518">
          <cell r="A1518" t="str">
            <v>STC12019</v>
          </cell>
        </row>
        <row r="1518">
          <cell r="AK1518">
            <v>198</v>
          </cell>
        </row>
        <row r="1519">
          <cell r="A1519" t="str">
            <v>STC12044</v>
          </cell>
        </row>
        <row r="1519">
          <cell r="AK1519">
            <v>198</v>
          </cell>
        </row>
        <row r="1520">
          <cell r="A1520" t="str">
            <v>SBS8008</v>
          </cell>
        </row>
        <row r="1520">
          <cell r="AK1520">
            <v>197</v>
          </cell>
        </row>
        <row r="1521">
          <cell r="A1521" t="str">
            <v>STC12041</v>
          </cell>
        </row>
        <row r="1521">
          <cell r="AK1521">
            <v>196</v>
          </cell>
        </row>
        <row r="1522">
          <cell r="A1522" t="str">
            <v>STC12055</v>
          </cell>
        </row>
        <row r="1522">
          <cell r="AK1522">
            <v>196</v>
          </cell>
        </row>
        <row r="1523">
          <cell r="A1523" t="str">
            <v>SCC2025</v>
          </cell>
        </row>
        <row r="1523">
          <cell r="AK1523">
            <v>195</v>
          </cell>
        </row>
        <row r="1524">
          <cell r="A1524" t="str">
            <v>SWC5031</v>
          </cell>
        </row>
        <row r="1524">
          <cell r="AK1524">
            <v>195</v>
          </cell>
        </row>
        <row r="1525">
          <cell r="A1525" t="str">
            <v>SWP244</v>
          </cell>
        </row>
        <row r="1525">
          <cell r="AK1525">
            <v>194</v>
          </cell>
        </row>
        <row r="1526">
          <cell r="A1526" t="str">
            <v>STC12006</v>
          </cell>
        </row>
        <row r="1526">
          <cell r="AK1526">
            <v>194</v>
          </cell>
        </row>
        <row r="1527">
          <cell r="A1527" t="str">
            <v>SBC1149</v>
          </cell>
        </row>
        <row r="1527">
          <cell r="AK1527">
            <v>193</v>
          </cell>
        </row>
        <row r="1528">
          <cell r="A1528" t="str">
            <v>SBS8003</v>
          </cell>
        </row>
        <row r="1528">
          <cell r="AK1528">
            <v>193</v>
          </cell>
        </row>
        <row r="1529">
          <cell r="A1529" t="str">
            <v>SBC1227</v>
          </cell>
        </row>
        <row r="1529">
          <cell r="AK1529">
            <v>193</v>
          </cell>
        </row>
        <row r="1530">
          <cell r="A1530" t="str">
            <v>SWP030H</v>
          </cell>
        </row>
        <row r="1530">
          <cell r="AK1530">
            <v>192</v>
          </cell>
        </row>
        <row r="1531">
          <cell r="A1531" t="str">
            <v>SWC5020</v>
          </cell>
        </row>
        <row r="1531">
          <cell r="AK1531">
            <v>192</v>
          </cell>
        </row>
        <row r="1532">
          <cell r="A1532" t="str">
            <v>SBS8059PB</v>
          </cell>
        </row>
        <row r="1532">
          <cell r="AK1532">
            <v>192</v>
          </cell>
        </row>
        <row r="1533">
          <cell r="A1533" t="str">
            <v>SBS8060</v>
          </cell>
        </row>
        <row r="1533">
          <cell r="AK1533">
            <v>191</v>
          </cell>
        </row>
        <row r="1534">
          <cell r="A1534" t="str">
            <v>SOC9070</v>
          </cell>
        </row>
        <row r="1534">
          <cell r="AK1534">
            <v>191</v>
          </cell>
        </row>
        <row r="1535">
          <cell r="A1535" t="str">
            <v>SSC3007</v>
          </cell>
        </row>
        <row r="1535">
          <cell r="AK1535">
            <v>188</v>
          </cell>
        </row>
        <row r="1536">
          <cell r="A1536" t="str">
            <v>SWP286</v>
          </cell>
        </row>
        <row r="1536">
          <cell r="AK1536">
            <v>188</v>
          </cell>
        </row>
        <row r="1537">
          <cell r="A1537" t="str">
            <v>SHP11014</v>
          </cell>
        </row>
        <row r="1537">
          <cell r="AK1537">
            <v>188</v>
          </cell>
        </row>
        <row r="1538">
          <cell r="A1538" t="str">
            <v>SWC5094</v>
          </cell>
        </row>
        <row r="1538">
          <cell r="AK1538">
            <v>188</v>
          </cell>
        </row>
        <row r="1539">
          <cell r="A1539" t="str">
            <v>SOC9002</v>
          </cell>
        </row>
        <row r="1539">
          <cell r="AK1539">
            <v>187</v>
          </cell>
        </row>
        <row r="1540">
          <cell r="A1540" t="str">
            <v>SOC9063</v>
          </cell>
        </row>
        <row r="1540">
          <cell r="AK1540">
            <v>187</v>
          </cell>
        </row>
        <row r="1541">
          <cell r="A1541" t="str">
            <v>SWP257</v>
          </cell>
        </row>
        <row r="1541">
          <cell r="AK1541">
            <v>186</v>
          </cell>
        </row>
        <row r="1542">
          <cell r="A1542" t="str">
            <v>SCS4012</v>
          </cell>
        </row>
        <row r="1542">
          <cell r="AK1542">
            <v>186</v>
          </cell>
        </row>
        <row r="1543">
          <cell r="A1543" t="str">
            <v>SBC1096</v>
          </cell>
        </row>
        <row r="1543">
          <cell r="AK1543">
            <v>185</v>
          </cell>
        </row>
        <row r="1544">
          <cell r="A1544" t="str">
            <v>SBC1216</v>
          </cell>
        </row>
        <row r="1544">
          <cell r="AK1544">
            <v>185</v>
          </cell>
        </row>
        <row r="1545">
          <cell r="A1545" t="str">
            <v>SWC5036</v>
          </cell>
        </row>
        <row r="1545">
          <cell r="AK1545">
            <v>182</v>
          </cell>
        </row>
        <row r="1546">
          <cell r="A1546" t="str">
            <v>SBC1092B</v>
          </cell>
        </row>
        <row r="1546">
          <cell r="AK1546">
            <v>182</v>
          </cell>
        </row>
        <row r="1547">
          <cell r="A1547" t="str">
            <v>SCC2037</v>
          </cell>
        </row>
        <row r="1547">
          <cell r="AK1547">
            <v>181</v>
          </cell>
        </row>
        <row r="1548">
          <cell r="A1548" t="str">
            <v>SBC1032</v>
          </cell>
        </row>
        <row r="1548">
          <cell r="AK1548">
            <v>179</v>
          </cell>
        </row>
        <row r="1549">
          <cell r="A1549" t="str">
            <v>SWC5009</v>
          </cell>
        </row>
        <row r="1549">
          <cell r="AK1549">
            <v>179</v>
          </cell>
        </row>
        <row r="1550">
          <cell r="A1550" t="str">
            <v>SWC5025L</v>
          </cell>
        </row>
        <row r="1550">
          <cell r="AK1550">
            <v>178</v>
          </cell>
        </row>
        <row r="1551">
          <cell r="A1551" t="str">
            <v>SWP254</v>
          </cell>
        </row>
        <row r="1551">
          <cell r="AK1551">
            <v>177</v>
          </cell>
        </row>
        <row r="1552">
          <cell r="A1552" t="str">
            <v>SCC2067</v>
          </cell>
        </row>
        <row r="1552">
          <cell r="AK1552">
            <v>177</v>
          </cell>
        </row>
        <row r="1553">
          <cell r="A1553" t="str">
            <v>SBC1246</v>
          </cell>
        </row>
        <row r="1553">
          <cell r="AK1553">
            <v>177</v>
          </cell>
        </row>
        <row r="1554">
          <cell r="A1554" t="str">
            <v>SWP370</v>
          </cell>
        </row>
        <row r="1554">
          <cell r="AK1554">
            <v>176</v>
          </cell>
        </row>
        <row r="1555">
          <cell r="A1555" t="str">
            <v>SBC1058</v>
          </cell>
        </row>
        <row r="1555">
          <cell r="AK1555">
            <v>174</v>
          </cell>
        </row>
        <row r="1556">
          <cell r="A1556" t="str">
            <v>SOC9096</v>
          </cell>
        </row>
        <row r="1556">
          <cell r="AK1556">
            <v>174</v>
          </cell>
        </row>
        <row r="1557">
          <cell r="A1557" t="str">
            <v>SCC2078</v>
          </cell>
        </row>
        <row r="1557">
          <cell r="AK1557">
            <v>173</v>
          </cell>
        </row>
        <row r="1558">
          <cell r="A1558" t="str">
            <v>SOC9053</v>
          </cell>
        </row>
        <row r="1558">
          <cell r="AK1558">
            <v>173</v>
          </cell>
        </row>
        <row r="1559">
          <cell r="A1559" t="str">
            <v>SBS8021</v>
          </cell>
        </row>
        <row r="1559">
          <cell r="AK1559">
            <v>172</v>
          </cell>
        </row>
        <row r="1560">
          <cell r="A1560" t="str">
            <v>SOC9033</v>
          </cell>
        </row>
        <row r="1560">
          <cell r="AK1560">
            <v>172</v>
          </cell>
        </row>
        <row r="1561">
          <cell r="A1561" t="str">
            <v>SWP239</v>
          </cell>
        </row>
        <row r="1561">
          <cell r="AK1561">
            <v>170</v>
          </cell>
        </row>
        <row r="1562">
          <cell r="A1562" t="str">
            <v>SWC5059</v>
          </cell>
        </row>
        <row r="1562">
          <cell r="AK1562">
            <v>170</v>
          </cell>
        </row>
        <row r="1563">
          <cell r="A1563" t="str">
            <v>SWC5071</v>
          </cell>
        </row>
        <row r="1563">
          <cell r="AK1563">
            <v>170</v>
          </cell>
        </row>
        <row r="1564">
          <cell r="A1564" t="str">
            <v>SBC1082</v>
          </cell>
        </row>
        <row r="1564">
          <cell r="AK1564">
            <v>168</v>
          </cell>
        </row>
        <row r="1565">
          <cell r="A1565" t="str">
            <v>SBS8009</v>
          </cell>
        </row>
        <row r="1565">
          <cell r="AK1565">
            <v>168</v>
          </cell>
        </row>
        <row r="1566">
          <cell r="A1566" t="str">
            <v>SVP6034</v>
          </cell>
        </row>
        <row r="1566">
          <cell r="AK1566">
            <v>168</v>
          </cell>
        </row>
        <row r="1567">
          <cell r="A1567" t="str">
            <v>SCC2057</v>
          </cell>
        </row>
        <row r="1567">
          <cell r="AK1567">
            <v>167</v>
          </cell>
        </row>
        <row r="1568">
          <cell r="A1568" t="str">
            <v>SBC1124</v>
          </cell>
        </row>
        <row r="1568">
          <cell r="AK1568">
            <v>167</v>
          </cell>
        </row>
        <row r="1569">
          <cell r="A1569" t="str">
            <v>STC12069</v>
          </cell>
        </row>
        <row r="1569">
          <cell r="AK1569">
            <v>167</v>
          </cell>
        </row>
        <row r="1570">
          <cell r="A1570" t="str">
            <v>SBC1071</v>
          </cell>
        </row>
        <row r="1570">
          <cell r="AK1570">
            <v>166</v>
          </cell>
        </row>
        <row r="1571">
          <cell r="A1571" t="str">
            <v>SCC2010</v>
          </cell>
        </row>
        <row r="1571">
          <cell r="AK1571">
            <v>166</v>
          </cell>
        </row>
        <row r="1572">
          <cell r="A1572" t="str">
            <v>SOC9067</v>
          </cell>
        </row>
        <row r="1572">
          <cell r="AK1572">
            <v>166</v>
          </cell>
        </row>
        <row r="1573">
          <cell r="A1573" t="str">
            <v>SBC1229</v>
          </cell>
        </row>
        <row r="1573">
          <cell r="AK1573">
            <v>166</v>
          </cell>
        </row>
        <row r="1574">
          <cell r="A1574" t="str">
            <v>SBC1048</v>
          </cell>
        </row>
        <row r="1574">
          <cell r="AK1574">
            <v>165</v>
          </cell>
        </row>
        <row r="1575">
          <cell r="A1575" t="str">
            <v>SBC1064</v>
          </cell>
        </row>
        <row r="1575">
          <cell r="AK1575">
            <v>165</v>
          </cell>
        </row>
        <row r="1576">
          <cell r="A1576" t="str">
            <v>SVP6015</v>
          </cell>
        </row>
        <row r="1576">
          <cell r="AK1576">
            <v>165</v>
          </cell>
        </row>
        <row r="1577">
          <cell r="A1577" t="str">
            <v>SBS8061PB</v>
          </cell>
        </row>
        <row r="1577">
          <cell r="AK1577">
            <v>165</v>
          </cell>
        </row>
        <row r="1578">
          <cell r="A1578" t="str">
            <v>SHP11005</v>
          </cell>
        </row>
        <row r="1578">
          <cell r="AK1578">
            <v>165</v>
          </cell>
        </row>
        <row r="1579">
          <cell r="A1579" t="str">
            <v>SWP224</v>
          </cell>
        </row>
        <row r="1579">
          <cell r="AK1579">
            <v>164</v>
          </cell>
        </row>
        <row r="1580">
          <cell r="A1580" t="str">
            <v>SCC2040</v>
          </cell>
        </row>
        <row r="1580">
          <cell r="AK1580">
            <v>164</v>
          </cell>
        </row>
        <row r="1581">
          <cell r="A1581" t="str">
            <v>SBC1110</v>
          </cell>
        </row>
        <row r="1581">
          <cell r="AK1581">
            <v>164</v>
          </cell>
        </row>
        <row r="1582">
          <cell r="A1582" t="str">
            <v>SBS8022</v>
          </cell>
        </row>
        <row r="1582">
          <cell r="AK1582">
            <v>164</v>
          </cell>
        </row>
        <row r="1583">
          <cell r="A1583" t="str">
            <v>SWP343</v>
          </cell>
        </row>
        <row r="1583">
          <cell r="AK1583">
            <v>164</v>
          </cell>
        </row>
        <row r="1584">
          <cell r="A1584" t="str">
            <v>STC12074</v>
          </cell>
        </row>
        <row r="1584">
          <cell r="AK1584">
            <v>164</v>
          </cell>
        </row>
        <row r="1585">
          <cell r="A1585" t="str">
            <v>SBC1140</v>
          </cell>
        </row>
        <row r="1585">
          <cell r="AK1585">
            <v>163</v>
          </cell>
        </row>
        <row r="1586">
          <cell r="A1586" t="str">
            <v>SWC5023</v>
          </cell>
        </row>
        <row r="1586">
          <cell r="AK1586">
            <v>162</v>
          </cell>
        </row>
        <row r="1587">
          <cell r="A1587" t="str">
            <v>SBC1167</v>
          </cell>
        </row>
        <row r="1587">
          <cell r="AK1587">
            <v>162</v>
          </cell>
        </row>
        <row r="1588">
          <cell r="A1588" t="str">
            <v>SWP157</v>
          </cell>
        </row>
        <row r="1588">
          <cell r="AK1588">
            <v>160</v>
          </cell>
        </row>
        <row r="1589">
          <cell r="A1589" t="str">
            <v>SBC1019</v>
          </cell>
        </row>
        <row r="1589">
          <cell r="AK1589">
            <v>160</v>
          </cell>
        </row>
        <row r="1590">
          <cell r="A1590" t="str">
            <v>SSC3032</v>
          </cell>
        </row>
        <row r="1590">
          <cell r="AK1590">
            <v>160</v>
          </cell>
        </row>
        <row r="1591">
          <cell r="A1591" t="str">
            <v>SCS4032</v>
          </cell>
        </row>
        <row r="1591">
          <cell r="AK1591">
            <v>160</v>
          </cell>
        </row>
        <row r="1592">
          <cell r="A1592" t="str">
            <v>SWC5025R</v>
          </cell>
        </row>
        <row r="1592">
          <cell r="AK1592">
            <v>158</v>
          </cell>
        </row>
        <row r="1593">
          <cell r="A1593" t="str">
            <v>SWC5030</v>
          </cell>
        </row>
        <row r="1593">
          <cell r="AK1593">
            <v>158</v>
          </cell>
        </row>
        <row r="1594">
          <cell r="A1594" t="str">
            <v>SBC1095</v>
          </cell>
        </row>
        <row r="1594">
          <cell r="AK1594">
            <v>157</v>
          </cell>
        </row>
        <row r="1595">
          <cell r="A1595" t="str">
            <v>SBS8084</v>
          </cell>
        </row>
        <row r="1595">
          <cell r="AK1595">
            <v>157</v>
          </cell>
        </row>
        <row r="1596">
          <cell r="A1596" t="str">
            <v>SWP151</v>
          </cell>
        </row>
        <row r="1596">
          <cell r="AK1596">
            <v>156</v>
          </cell>
        </row>
        <row r="1597">
          <cell r="A1597" t="str">
            <v>SBC1121</v>
          </cell>
        </row>
        <row r="1597">
          <cell r="AK1597">
            <v>155</v>
          </cell>
        </row>
        <row r="1598">
          <cell r="A1598" t="str">
            <v>SCC2077</v>
          </cell>
        </row>
        <row r="1598">
          <cell r="AK1598">
            <v>155</v>
          </cell>
        </row>
        <row r="1599">
          <cell r="A1599" t="str">
            <v>SBC1194B</v>
          </cell>
        </row>
        <row r="1599">
          <cell r="AK1599">
            <v>155</v>
          </cell>
        </row>
        <row r="1600">
          <cell r="A1600" t="str">
            <v>SWP187</v>
          </cell>
        </row>
        <row r="1600">
          <cell r="AK1600">
            <v>154</v>
          </cell>
        </row>
        <row r="1601">
          <cell r="A1601" t="str">
            <v>SBC1115</v>
          </cell>
        </row>
        <row r="1601">
          <cell r="AK1601">
            <v>154</v>
          </cell>
        </row>
        <row r="1602">
          <cell r="A1602" t="str">
            <v>SBC1132</v>
          </cell>
        </row>
        <row r="1602">
          <cell r="AK1602">
            <v>154</v>
          </cell>
        </row>
        <row r="1603">
          <cell r="A1603" t="str">
            <v>SWC5037</v>
          </cell>
        </row>
        <row r="1603">
          <cell r="AK1603">
            <v>154</v>
          </cell>
        </row>
        <row r="1604">
          <cell r="A1604" t="str">
            <v>SCC2095</v>
          </cell>
        </row>
        <row r="1604">
          <cell r="AK1604">
            <v>153</v>
          </cell>
        </row>
        <row r="1605">
          <cell r="A1605" t="str">
            <v>SOC9036</v>
          </cell>
        </row>
        <row r="1605">
          <cell r="AK1605">
            <v>153</v>
          </cell>
        </row>
        <row r="1606">
          <cell r="A1606" t="str">
            <v>STC12070</v>
          </cell>
        </row>
        <row r="1606">
          <cell r="AK1606">
            <v>153</v>
          </cell>
        </row>
        <row r="1607">
          <cell r="A1607" t="str">
            <v>SBS8040</v>
          </cell>
        </row>
        <row r="1607">
          <cell r="AK1607">
            <v>152</v>
          </cell>
        </row>
        <row r="1608">
          <cell r="A1608" t="str">
            <v>SCC2105</v>
          </cell>
        </row>
        <row r="1608">
          <cell r="AK1608">
            <v>152</v>
          </cell>
        </row>
        <row r="1609">
          <cell r="A1609" t="str">
            <v>SWP238</v>
          </cell>
        </row>
        <row r="1609">
          <cell r="AK1609">
            <v>151</v>
          </cell>
        </row>
        <row r="1610">
          <cell r="A1610" t="str">
            <v>SBC1055</v>
          </cell>
        </row>
        <row r="1610">
          <cell r="AK1610">
            <v>151</v>
          </cell>
        </row>
        <row r="1611">
          <cell r="A1611" t="str">
            <v>SWP285</v>
          </cell>
        </row>
        <row r="1611">
          <cell r="AK1611">
            <v>151</v>
          </cell>
        </row>
        <row r="1612">
          <cell r="A1612" t="str">
            <v>SVP6020</v>
          </cell>
        </row>
        <row r="1612">
          <cell r="AK1612">
            <v>151</v>
          </cell>
        </row>
        <row r="1613">
          <cell r="A1613" t="str">
            <v>SBC1103</v>
          </cell>
        </row>
        <row r="1613">
          <cell r="AK1613">
            <v>151</v>
          </cell>
        </row>
        <row r="1614">
          <cell r="A1614" t="str">
            <v>SWP189</v>
          </cell>
        </row>
        <row r="1614">
          <cell r="AK1614">
            <v>150</v>
          </cell>
        </row>
        <row r="1615">
          <cell r="A1615" t="str">
            <v>SVP6008</v>
          </cell>
        </row>
        <row r="1615">
          <cell r="AK1615">
            <v>150</v>
          </cell>
        </row>
        <row r="1616">
          <cell r="A1616" t="str">
            <v>SVP6019</v>
          </cell>
        </row>
        <row r="1616">
          <cell r="AK1616">
            <v>148</v>
          </cell>
        </row>
        <row r="1617">
          <cell r="A1617" t="str">
            <v>SCC2006</v>
          </cell>
        </row>
        <row r="1617">
          <cell r="AK1617">
            <v>147</v>
          </cell>
        </row>
        <row r="1618">
          <cell r="A1618" t="str">
            <v>SOC9012</v>
          </cell>
        </row>
        <row r="1618">
          <cell r="AK1618">
            <v>147</v>
          </cell>
        </row>
        <row r="1619">
          <cell r="A1619" t="str">
            <v>SWC5091</v>
          </cell>
        </row>
        <row r="1619">
          <cell r="AK1619">
            <v>147</v>
          </cell>
        </row>
        <row r="1620">
          <cell r="A1620" t="str">
            <v>SWC5040</v>
          </cell>
        </row>
        <row r="1620">
          <cell r="AK1620">
            <v>146</v>
          </cell>
        </row>
        <row r="1621">
          <cell r="A1621" t="str">
            <v>STC12040</v>
          </cell>
        </row>
        <row r="1621">
          <cell r="AK1621">
            <v>146</v>
          </cell>
        </row>
        <row r="1622">
          <cell r="A1622" t="str">
            <v>SWC5089</v>
          </cell>
        </row>
        <row r="1622">
          <cell r="AK1622">
            <v>146</v>
          </cell>
        </row>
        <row r="1623">
          <cell r="A1623" t="str">
            <v>SVP6030</v>
          </cell>
        </row>
        <row r="1623">
          <cell r="AK1623">
            <v>145</v>
          </cell>
        </row>
        <row r="1624">
          <cell r="A1624" t="str">
            <v>SWP339</v>
          </cell>
        </row>
        <row r="1624">
          <cell r="AK1624">
            <v>145</v>
          </cell>
        </row>
        <row r="1625">
          <cell r="A1625" t="str">
            <v>SVP6014</v>
          </cell>
        </row>
        <row r="1625">
          <cell r="AK1625">
            <v>144</v>
          </cell>
        </row>
        <row r="1626">
          <cell r="A1626" t="str">
            <v>SBS8080</v>
          </cell>
        </row>
        <row r="1626">
          <cell r="AK1626">
            <v>144</v>
          </cell>
        </row>
        <row r="1627">
          <cell r="A1627" t="str">
            <v>SBS8081</v>
          </cell>
        </row>
        <row r="1627">
          <cell r="AK1627">
            <v>143</v>
          </cell>
        </row>
        <row r="1628">
          <cell r="A1628" t="str">
            <v>SBC1142B</v>
          </cell>
        </row>
        <row r="1628">
          <cell r="AK1628">
            <v>143</v>
          </cell>
        </row>
        <row r="1629">
          <cell r="A1629" t="str">
            <v>SWP185</v>
          </cell>
        </row>
        <row r="1629">
          <cell r="AK1629">
            <v>142</v>
          </cell>
        </row>
        <row r="1630">
          <cell r="A1630" t="str">
            <v>SOC9068</v>
          </cell>
        </row>
        <row r="1630">
          <cell r="AK1630">
            <v>142</v>
          </cell>
        </row>
        <row r="1631">
          <cell r="A1631" t="str">
            <v>SOC9035</v>
          </cell>
        </row>
        <row r="1631">
          <cell r="AK1631">
            <v>141</v>
          </cell>
        </row>
        <row r="1632">
          <cell r="A1632" t="str">
            <v>SSC3026</v>
          </cell>
        </row>
        <row r="1632">
          <cell r="AK1632">
            <v>140</v>
          </cell>
        </row>
        <row r="1633">
          <cell r="A1633" t="str">
            <v>SBC1084</v>
          </cell>
        </row>
        <row r="1633">
          <cell r="AK1633">
            <v>139</v>
          </cell>
        </row>
        <row r="1634">
          <cell r="A1634" t="str">
            <v>SBC1198</v>
          </cell>
        </row>
        <row r="1634">
          <cell r="AK1634">
            <v>139</v>
          </cell>
        </row>
        <row r="1635">
          <cell r="A1635" t="str">
            <v>SWP037</v>
          </cell>
        </row>
        <row r="1635">
          <cell r="AK1635">
            <v>138</v>
          </cell>
        </row>
        <row r="1636">
          <cell r="A1636" t="str">
            <v>SWP004</v>
          </cell>
        </row>
        <row r="1636">
          <cell r="AK1636">
            <v>137</v>
          </cell>
        </row>
        <row r="1637">
          <cell r="A1637" t="str">
            <v>SCC2075</v>
          </cell>
        </row>
        <row r="1637">
          <cell r="AK1637">
            <v>137</v>
          </cell>
        </row>
        <row r="1638">
          <cell r="A1638" t="str">
            <v>STC12073</v>
          </cell>
        </row>
        <row r="1638">
          <cell r="AK1638">
            <v>137</v>
          </cell>
        </row>
        <row r="1639">
          <cell r="A1639" t="str">
            <v>SCC2112</v>
          </cell>
        </row>
        <row r="1639">
          <cell r="AK1639">
            <v>137</v>
          </cell>
        </row>
        <row r="1640">
          <cell r="A1640" t="str">
            <v>STC12066</v>
          </cell>
        </row>
        <row r="1640">
          <cell r="AK1640">
            <v>136</v>
          </cell>
        </row>
        <row r="1641">
          <cell r="A1641" t="str">
            <v>SBC1254</v>
          </cell>
        </row>
        <row r="1641">
          <cell r="AK1641">
            <v>136</v>
          </cell>
        </row>
        <row r="1642">
          <cell r="A1642" t="str">
            <v>SBC1092A</v>
          </cell>
        </row>
        <row r="1642">
          <cell r="AK1642">
            <v>135</v>
          </cell>
        </row>
        <row r="1643">
          <cell r="A1643" t="str">
            <v>SWC5084</v>
          </cell>
        </row>
        <row r="1643">
          <cell r="AK1643">
            <v>135</v>
          </cell>
        </row>
        <row r="1644">
          <cell r="A1644" t="str">
            <v>SOC9038</v>
          </cell>
        </row>
        <row r="1644">
          <cell r="AK1644">
            <v>134</v>
          </cell>
        </row>
        <row r="1645">
          <cell r="A1645" t="str">
            <v>SBC1178</v>
          </cell>
        </row>
        <row r="1645">
          <cell r="AK1645">
            <v>133</v>
          </cell>
        </row>
        <row r="1646">
          <cell r="A1646" t="str">
            <v>SWP210</v>
          </cell>
        </row>
        <row r="1646">
          <cell r="AK1646">
            <v>131</v>
          </cell>
        </row>
        <row r="1647">
          <cell r="A1647" t="str">
            <v>SBC1106</v>
          </cell>
        </row>
        <row r="1647">
          <cell r="AK1647">
            <v>131</v>
          </cell>
        </row>
        <row r="1648">
          <cell r="A1648" t="str">
            <v>SBC1205</v>
          </cell>
        </row>
        <row r="1648">
          <cell r="AK1648">
            <v>131</v>
          </cell>
        </row>
        <row r="1649">
          <cell r="A1649" t="str">
            <v>SWP065</v>
          </cell>
        </row>
        <row r="1649">
          <cell r="AK1649">
            <v>130</v>
          </cell>
        </row>
        <row r="1650">
          <cell r="A1650" t="str">
            <v>SWP204</v>
          </cell>
        </row>
        <row r="1650">
          <cell r="AK1650">
            <v>130</v>
          </cell>
        </row>
        <row r="1651">
          <cell r="A1651" t="str">
            <v>SHP11008</v>
          </cell>
        </row>
        <row r="1651">
          <cell r="AK1651">
            <v>130</v>
          </cell>
        </row>
        <row r="1652">
          <cell r="A1652" t="str">
            <v>SWP253</v>
          </cell>
        </row>
        <row r="1652">
          <cell r="AK1652">
            <v>129</v>
          </cell>
        </row>
        <row r="1653">
          <cell r="A1653" t="str">
            <v>SWP108</v>
          </cell>
        </row>
        <row r="1653">
          <cell r="AK1653">
            <v>128</v>
          </cell>
        </row>
        <row r="1654">
          <cell r="A1654" t="str">
            <v>SWP244H1</v>
          </cell>
        </row>
        <row r="1654">
          <cell r="AK1654">
            <v>128</v>
          </cell>
        </row>
        <row r="1655">
          <cell r="A1655" t="str">
            <v>SCC2074</v>
          </cell>
        </row>
        <row r="1655">
          <cell r="AK1655">
            <v>128</v>
          </cell>
        </row>
        <row r="1656">
          <cell r="A1656" t="str">
            <v>SWP208</v>
          </cell>
        </row>
        <row r="1656">
          <cell r="AK1656">
            <v>127</v>
          </cell>
        </row>
        <row r="1657">
          <cell r="A1657" t="str">
            <v>SWP101</v>
          </cell>
        </row>
        <row r="1657">
          <cell r="AK1657">
            <v>127</v>
          </cell>
        </row>
        <row r="1658">
          <cell r="A1658" t="str">
            <v>SWP177</v>
          </cell>
        </row>
        <row r="1658">
          <cell r="AK1658">
            <v>126</v>
          </cell>
        </row>
        <row r="1659">
          <cell r="A1659" t="str">
            <v>SWC5045L</v>
          </cell>
        </row>
        <row r="1659">
          <cell r="AK1659">
            <v>126</v>
          </cell>
        </row>
        <row r="1660">
          <cell r="A1660" t="str">
            <v>SWC5079</v>
          </cell>
        </row>
        <row r="1660">
          <cell r="AK1660">
            <v>126</v>
          </cell>
        </row>
        <row r="1661">
          <cell r="A1661" t="str">
            <v>SVP6001</v>
          </cell>
        </row>
        <row r="1661">
          <cell r="AK1661">
            <v>125</v>
          </cell>
        </row>
        <row r="1662">
          <cell r="A1662" t="str">
            <v>SBC1101</v>
          </cell>
        </row>
        <row r="1662">
          <cell r="AK1662">
            <v>125</v>
          </cell>
        </row>
        <row r="1663">
          <cell r="A1663" t="str">
            <v>SHP11009</v>
          </cell>
        </row>
        <row r="1663">
          <cell r="AK1663">
            <v>125</v>
          </cell>
        </row>
        <row r="1664">
          <cell r="A1664" t="str">
            <v>SBC1247</v>
          </cell>
        </row>
        <row r="1664">
          <cell r="AK1664">
            <v>125</v>
          </cell>
        </row>
        <row r="1665">
          <cell r="A1665" t="str">
            <v>SBS8093PB</v>
          </cell>
        </row>
        <row r="1665">
          <cell r="AK1665">
            <v>124</v>
          </cell>
        </row>
        <row r="1666">
          <cell r="A1666" t="str">
            <v>SHP11011</v>
          </cell>
        </row>
        <row r="1666">
          <cell r="AK1666">
            <v>124</v>
          </cell>
        </row>
        <row r="1667">
          <cell r="A1667" t="str">
            <v>SBC1255</v>
          </cell>
        </row>
        <row r="1667">
          <cell r="AK1667">
            <v>124</v>
          </cell>
        </row>
        <row r="1668">
          <cell r="A1668" t="str">
            <v>SCC2072</v>
          </cell>
        </row>
        <row r="1668">
          <cell r="AK1668">
            <v>123</v>
          </cell>
        </row>
        <row r="1669">
          <cell r="A1669" t="str">
            <v>SCC2097</v>
          </cell>
        </row>
        <row r="1669">
          <cell r="AK1669">
            <v>123</v>
          </cell>
        </row>
        <row r="1670">
          <cell r="A1670" t="str">
            <v>SBC1116</v>
          </cell>
        </row>
        <row r="1670">
          <cell r="AK1670">
            <v>122</v>
          </cell>
        </row>
        <row r="1671">
          <cell r="A1671" t="str">
            <v>SWC5014R</v>
          </cell>
        </row>
        <row r="1671">
          <cell r="AK1671">
            <v>122</v>
          </cell>
        </row>
        <row r="1672">
          <cell r="A1672" t="str">
            <v>SBC1127M</v>
          </cell>
        </row>
        <row r="1672">
          <cell r="AK1672">
            <v>121</v>
          </cell>
        </row>
        <row r="1673">
          <cell r="A1673" t="str">
            <v>SWP011</v>
          </cell>
        </row>
        <row r="1673">
          <cell r="AK1673">
            <v>120</v>
          </cell>
        </row>
        <row r="1674">
          <cell r="A1674" t="str">
            <v>SBS8054</v>
          </cell>
        </row>
        <row r="1674">
          <cell r="AK1674">
            <v>120</v>
          </cell>
        </row>
        <row r="1675">
          <cell r="A1675" t="str">
            <v>SOC9039</v>
          </cell>
        </row>
        <row r="1675">
          <cell r="AK1675">
            <v>120</v>
          </cell>
        </row>
        <row r="1676">
          <cell r="A1676" t="str">
            <v>STC12072</v>
          </cell>
        </row>
        <row r="1676">
          <cell r="AK1676">
            <v>120</v>
          </cell>
        </row>
        <row r="1677">
          <cell r="A1677" t="str">
            <v>SBS8109</v>
          </cell>
        </row>
        <row r="1677">
          <cell r="AK1677">
            <v>120</v>
          </cell>
        </row>
        <row r="1678">
          <cell r="A1678" t="str">
            <v>SCS4028</v>
          </cell>
        </row>
        <row r="1678">
          <cell r="AK1678">
            <v>119</v>
          </cell>
        </row>
        <row r="1679">
          <cell r="A1679" t="str">
            <v>SBC1217</v>
          </cell>
        </row>
        <row r="1679">
          <cell r="AK1679">
            <v>119</v>
          </cell>
        </row>
        <row r="1680">
          <cell r="A1680" t="str">
            <v>STC12011</v>
          </cell>
        </row>
        <row r="1680">
          <cell r="AK1680">
            <v>119</v>
          </cell>
        </row>
        <row r="1681">
          <cell r="A1681" t="str">
            <v>SBS8017</v>
          </cell>
        </row>
        <row r="1681">
          <cell r="AK1681">
            <v>118</v>
          </cell>
        </row>
        <row r="1682">
          <cell r="A1682" t="str">
            <v>SBC1173</v>
          </cell>
        </row>
        <row r="1682">
          <cell r="AK1682">
            <v>118</v>
          </cell>
        </row>
        <row r="1683">
          <cell r="A1683" t="str">
            <v>SBC1073</v>
          </cell>
        </row>
        <row r="1683">
          <cell r="AK1683">
            <v>117</v>
          </cell>
        </row>
        <row r="1684">
          <cell r="A1684" t="str">
            <v>SSC3005</v>
          </cell>
        </row>
        <row r="1684">
          <cell r="AK1684">
            <v>117</v>
          </cell>
        </row>
        <row r="1685">
          <cell r="A1685" t="str">
            <v>SBC1141B</v>
          </cell>
        </row>
        <row r="1685">
          <cell r="AK1685">
            <v>117</v>
          </cell>
        </row>
        <row r="1686">
          <cell r="A1686" t="str">
            <v>SWC5077</v>
          </cell>
        </row>
        <row r="1686">
          <cell r="AK1686">
            <v>117</v>
          </cell>
        </row>
        <row r="1687">
          <cell r="A1687" t="str">
            <v>SWP247</v>
          </cell>
        </row>
        <row r="1687">
          <cell r="AK1687">
            <v>116</v>
          </cell>
        </row>
        <row r="1688">
          <cell r="A1688" t="str">
            <v>SBC1061</v>
          </cell>
        </row>
        <row r="1688">
          <cell r="AK1688">
            <v>116</v>
          </cell>
        </row>
        <row r="1689">
          <cell r="A1689" t="str">
            <v>SOC9040</v>
          </cell>
        </row>
        <row r="1689">
          <cell r="AK1689">
            <v>116</v>
          </cell>
        </row>
        <row r="1690">
          <cell r="A1690" t="str">
            <v>STC12023</v>
          </cell>
        </row>
        <row r="1690">
          <cell r="AK1690">
            <v>116</v>
          </cell>
        </row>
        <row r="1691">
          <cell r="A1691" t="str">
            <v>STC12029</v>
          </cell>
        </row>
        <row r="1691">
          <cell r="AK1691">
            <v>116</v>
          </cell>
        </row>
        <row r="1692">
          <cell r="A1692" t="str">
            <v>STC12064</v>
          </cell>
        </row>
        <row r="1692">
          <cell r="AK1692">
            <v>116</v>
          </cell>
        </row>
        <row r="1693">
          <cell r="A1693" t="str">
            <v>SBC1231</v>
          </cell>
        </row>
        <row r="1693">
          <cell r="AK1693">
            <v>116</v>
          </cell>
        </row>
        <row r="1694">
          <cell r="A1694" t="str">
            <v>SSC3052</v>
          </cell>
        </row>
        <row r="1694">
          <cell r="AK1694">
            <v>116</v>
          </cell>
        </row>
        <row r="1695">
          <cell r="A1695" t="str">
            <v>SBC1113</v>
          </cell>
        </row>
        <row r="1695">
          <cell r="AK1695">
            <v>115</v>
          </cell>
        </row>
        <row r="1696">
          <cell r="A1696" t="str">
            <v>SFC7020</v>
          </cell>
        </row>
        <row r="1696">
          <cell r="AK1696">
            <v>115</v>
          </cell>
        </row>
        <row r="1697">
          <cell r="A1697" t="str">
            <v>SWP324</v>
          </cell>
        </row>
        <row r="1697">
          <cell r="AK1697">
            <v>115</v>
          </cell>
        </row>
        <row r="1698">
          <cell r="A1698" t="str">
            <v>STC12014</v>
          </cell>
        </row>
        <row r="1698">
          <cell r="AK1698">
            <v>115</v>
          </cell>
        </row>
        <row r="1699">
          <cell r="A1699" t="str">
            <v>SVP6004</v>
          </cell>
        </row>
        <row r="1699">
          <cell r="AK1699">
            <v>114</v>
          </cell>
        </row>
        <row r="1700">
          <cell r="A1700" t="str">
            <v>SOC9042</v>
          </cell>
        </row>
        <row r="1700">
          <cell r="AK1700">
            <v>114</v>
          </cell>
        </row>
        <row r="1701">
          <cell r="A1701" t="str">
            <v>SBS8113</v>
          </cell>
        </row>
        <row r="1701">
          <cell r="AK1701">
            <v>114</v>
          </cell>
        </row>
        <row r="1702">
          <cell r="A1702" t="str">
            <v>STC12024</v>
          </cell>
        </row>
        <row r="1702">
          <cell r="AK1702">
            <v>114</v>
          </cell>
        </row>
        <row r="1703">
          <cell r="A1703" t="str">
            <v>STC12030</v>
          </cell>
        </row>
        <row r="1703">
          <cell r="AK1703">
            <v>114</v>
          </cell>
        </row>
        <row r="1704">
          <cell r="A1704" t="str">
            <v>SWP183</v>
          </cell>
        </row>
        <row r="1704">
          <cell r="AK1704">
            <v>113</v>
          </cell>
        </row>
        <row r="1705">
          <cell r="A1705" t="str">
            <v>SOC9072</v>
          </cell>
        </row>
        <row r="1705">
          <cell r="AK1705">
            <v>113</v>
          </cell>
        </row>
        <row r="1706">
          <cell r="A1706" t="str">
            <v>SBC1127A</v>
          </cell>
        </row>
        <row r="1706">
          <cell r="AK1706">
            <v>113</v>
          </cell>
        </row>
        <row r="1707">
          <cell r="A1707" t="str">
            <v>SBS8132</v>
          </cell>
        </row>
        <row r="1707">
          <cell r="AK1707">
            <v>113</v>
          </cell>
        </row>
        <row r="1708">
          <cell r="A1708" t="str">
            <v>SWP029</v>
          </cell>
        </row>
        <row r="1708">
          <cell r="AK1708">
            <v>112</v>
          </cell>
        </row>
        <row r="1709">
          <cell r="A1709" t="str">
            <v>SCC2055</v>
          </cell>
        </row>
        <row r="1709">
          <cell r="AK1709">
            <v>112</v>
          </cell>
        </row>
        <row r="1710">
          <cell r="A1710" t="str">
            <v>SWP282</v>
          </cell>
        </row>
        <row r="1710">
          <cell r="AK1710">
            <v>112</v>
          </cell>
        </row>
        <row r="1711">
          <cell r="A1711" t="str">
            <v>SBC1153</v>
          </cell>
        </row>
        <row r="1711">
          <cell r="AK1711">
            <v>112</v>
          </cell>
        </row>
        <row r="1712">
          <cell r="A1712" t="str">
            <v>SWP363</v>
          </cell>
        </row>
        <row r="1712">
          <cell r="AK1712">
            <v>112</v>
          </cell>
        </row>
        <row r="1713">
          <cell r="A1713" t="str">
            <v>SWP126</v>
          </cell>
        </row>
        <row r="1713">
          <cell r="AK1713">
            <v>111</v>
          </cell>
        </row>
        <row r="1714">
          <cell r="A1714" t="str">
            <v>SCC2015</v>
          </cell>
        </row>
        <row r="1714">
          <cell r="AK1714">
            <v>111</v>
          </cell>
        </row>
        <row r="1715">
          <cell r="A1715" t="str">
            <v>SOC9024</v>
          </cell>
        </row>
        <row r="1715">
          <cell r="AK1715">
            <v>111</v>
          </cell>
        </row>
        <row r="1716">
          <cell r="A1716" t="str">
            <v>SOC9056</v>
          </cell>
        </row>
        <row r="1716">
          <cell r="AK1716">
            <v>111</v>
          </cell>
        </row>
        <row r="1717">
          <cell r="A1717" t="str">
            <v>SOC9069</v>
          </cell>
        </row>
        <row r="1717">
          <cell r="AK1717">
            <v>111</v>
          </cell>
        </row>
        <row r="1718">
          <cell r="A1718" t="str">
            <v>SBC1226</v>
          </cell>
        </row>
        <row r="1718">
          <cell r="AK1718">
            <v>111</v>
          </cell>
        </row>
        <row r="1719">
          <cell r="A1719" t="str">
            <v>SCS4027</v>
          </cell>
        </row>
        <row r="1719">
          <cell r="AK1719">
            <v>110</v>
          </cell>
        </row>
        <row r="1720">
          <cell r="A1720" t="str">
            <v>SBC1080</v>
          </cell>
        </row>
        <row r="1720">
          <cell r="AK1720">
            <v>110</v>
          </cell>
        </row>
        <row r="1721">
          <cell r="A1721" t="str">
            <v>SSC3049</v>
          </cell>
        </row>
        <row r="1721">
          <cell r="AK1721">
            <v>110</v>
          </cell>
        </row>
        <row r="1722">
          <cell r="A1722" t="str">
            <v>SHP11013</v>
          </cell>
        </row>
        <row r="1722">
          <cell r="AK1722">
            <v>110</v>
          </cell>
        </row>
        <row r="1723">
          <cell r="A1723" t="str">
            <v>SCS4019</v>
          </cell>
        </row>
        <row r="1723">
          <cell r="AK1723">
            <v>109</v>
          </cell>
        </row>
        <row r="1724">
          <cell r="A1724" t="str">
            <v>SBC1091</v>
          </cell>
        </row>
        <row r="1724">
          <cell r="AK1724">
            <v>109</v>
          </cell>
        </row>
        <row r="1725">
          <cell r="A1725" t="str">
            <v>SVP6012</v>
          </cell>
        </row>
        <row r="1725">
          <cell r="AK1725">
            <v>109</v>
          </cell>
        </row>
        <row r="1726">
          <cell r="A1726" t="str">
            <v>SBS8094PB</v>
          </cell>
        </row>
        <row r="1726">
          <cell r="AK1726">
            <v>109</v>
          </cell>
        </row>
        <row r="1727">
          <cell r="A1727" t="str">
            <v>SBC1172</v>
          </cell>
        </row>
        <row r="1727">
          <cell r="AK1727">
            <v>109</v>
          </cell>
        </row>
        <row r="1728">
          <cell r="A1728" t="str">
            <v>SWP132</v>
          </cell>
        </row>
        <row r="1728">
          <cell r="AK1728">
            <v>108</v>
          </cell>
        </row>
        <row r="1729">
          <cell r="A1729" t="str">
            <v>SBC1039</v>
          </cell>
        </row>
        <row r="1729">
          <cell r="AK1729">
            <v>108</v>
          </cell>
        </row>
        <row r="1730">
          <cell r="A1730" t="str">
            <v>SSC3017</v>
          </cell>
        </row>
        <row r="1730">
          <cell r="AK1730">
            <v>108</v>
          </cell>
        </row>
        <row r="1731">
          <cell r="A1731" t="str">
            <v>SBS8071PB</v>
          </cell>
        </row>
        <row r="1731">
          <cell r="AK1731">
            <v>108</v>
          </cell>
        </row>
        <row r="1732">
          <cell r="A1732" t="str">
            <v>SBC1193</v>
          </cell>
        </row>
        <row r="1732">
          <cell r="AK1732">
            <v>108</v>
          </cell>
        </row>
        <row r="1733">
          <cell r="A1733" t="str">
            <v>SBC1022</v>
          </cell>
        </row>
        <row r="1733">
          <cell r="AK1733">
            <v>106</v>
          </cell>
        </row>
        <row r="1734">
          <cell r="A1734" t="str">
            <v>SOC9073</v>
          </cell>
        </row>
        <row r="1734">
          <cell r="AK1734">
            <v>106</v>
          </cell>
        </row>
        <row r="1735">
          <cell r="A1735" t="str">
            <v>SWP341</v>
          </cell>
        </row>
        <row r="1735">
          <cell r="AK1735">
            <v>106</v>
          </cell>
        </row>
        <row r="1736">
          <cell r="A1736" t="str">
            <v>SBS8012</v>
          </cell>
        </row>
        <row r="1736">
          <cell r="AK1736">
            <v>105</v>
          </cell>
        </row>
        <row r="1737">
          <cell r="A1737" t="str">
            <v>SWP340</v>
          </cell>
        </row>
        <row r="1737">
          <cell r="AK1737">
            <v>105</v>
          </cell>
        </row>
        <row r="1738">
          <cell r="A1738" t="str">
            <v>SWC5099</v>
          </cell>
        </row>
        <row r="1738">
          <cell r="AK1738">
            <v>105</v>
          </cell>
        </row>
        <row r="1739">
          <cell r="A1739" t="str">
            <v>SBC1233</v>
          </cell>
        </row>
        <row r="1739">
          <cell r="AK1739">
            <v>105</v>
          </cell>
        </row>
        <row r="1740">
          <cell r="A1740" t="str">
            <v>SCC2041</v>
          </cell>
        </row>
        <row r="1740">
          <cell r="AK1740">
            <v>104</v>
          </cell>
        </row>
        <row r="1741">
          <cell r="A1741" t="str">
            <v>SWP313</v>
          </cell>
        </row>
        <row r="1741">
          <cell r="AK1741">
            <v>104</v>
          </cell>
        </row>
        <row r="1742">
          <cell r="A1742" t="str">
            <v>SWC5061L</v>
          </cell>
        </row>
        <row r="1742">
          <cell r="AK1742">
            <v>104</v>
          </cell>
        </row>
        <row r="1743">
          <cell r="A1743" t="str">
            <v>SWP143</v>
          </cell>
        </row>
        <row r="1743">
          <cell r="AK1743">
            <v>103</v>
          </cell>
        </row>
        <row r="1744">
          <cell r="A1744" t="str">
            <v>SCS4025</v>
          </cell>
        </row>
        <row r="1744">
          <cell r="AK1744">
            <v>103</v>
          </cell>
        </row>
        <row r="1745">
          <cell r="A1745" t="str">
            <v>SBC1054</v>
          </cell>
        </row>
        <row r="1745">
          <cell r="AK1745">
            <v>102</v>
          </cell>
        </row>
        <row r="1746">
          <cell r="A1746" t="str">
            <v>SBS8076PB</v>
          </cell>
        </row>
        <row r="1746">
          <cell r="AK1746">
            <v>102</v>
          </cell>
        </row>
        <row r="1747">
          <cell r="A1747" t="str">
            <v>SWP323</v>
          </cell>
        </row>
        <row r="1747">
          <cell r="AK1747">
            <v>102</v>
          </cell>
        </row>
        <row r="1748">
          <cell r="A1748" t="str">
            <v>SCC2102</v>
          </cell>
        </row>
        <row r="1748">
          <cell r="AK1748">
            <v>102</v>
          </cell>
        </row>
        <row r="1749">
          <cell r="A1749" t="str">
            <v>SHP11006</v>
          </cell>
        </row>
        <row r="1749">
          <cell r="AK1749">
            <v>102</v>
          </cell>
        </row>
        <row r="1750">
          <cell r="A1750" t="str">
            <v>SBC1056</v>
          </cell>
        </row>
        <row r="1750">
          <cell r="AK1750">
            <v>101</v>
          </cell>
        </row>
        <row r="1751">
          <cell r="A1751" t="str">
            <v>SOC9037</v>
          </cell>
        </row>
        <row r="1751">
          <cell r="AK1751">
            <v>101</v>
          </cell>
        </row>
        <row r="1752">
          <cell r="A1752" t="str">
            <v>SOC9051</v>
          </cell>
        </row>
        <row r="1752">
          <cell r="AK1752">
            <v>101</v>
          </cell>
        </row>
        <row r="1753">
          <cell r="A1753" t="str">
            <v>SBC1158</v>
          </cell>
        </row>
        <row r="1753">
          <cell r="AK1753">
            <v>100</v>
          </cell>
        </row>
        <row r="1754">
          <cell r="A1754" t="str">
            <v>SBS8005</v>
          </cell>
        </row>
        <row r="1754">
          <cell r="AK1754">
            <v>100</v>
          </cell>
        </row>
        <row r="1755">
          <cell r="A1755" t="str">
            <v>SCC2096</v>
          </cell>
        </row>
        <row r="1755">
          <cell r="AK1755">
            <v>100</v>
          </cell>
        </row>
        <row r="1756">
          <cell r="A1756" t="str">
            <v>SHP11000</v>
          </cell>
        </row>
        <row r="1756">
          <cell r="AK1756">
            <v>100</v>
          </cell>
        </row>
        <row r="1757">
          <cell r="A1757" t="str">
            <v>SWP350</v>
          </cell>
        </row>
        <row r="1757">
          <cell r="AK1757">
            <v>100</v>
          </cell>
        </row>
        <row r="1758">
          <cell r="A1758" t="str">
            <v>SWP351</v>
          </cell>
        </row>
        <row r="1758">
          <cell r="AK1758">
            <v>100</v>
          </cell>
        </row>
        <row r="1759">
          <cell r="A1759" t="str">
            <v>STC12015</v>
          </cell>
        </row>
        <row r="1759">
          <cell r="AK1759">
            <v>100</v>
          </cell>
        </row>
        <row r="1760">
          <cell r="A1760" t="str">
            <v>STC12028</v>
          </cell>
        </row>
        <row r="1760">
          <cell r="AK1760">
            <v>100</v>
          </cell>
        </row>
        <row r="1761">
          <cell r="A1761" t="str">
            <v>STC12045</v>
          </cell>
        </row>
        <row r="1761">
          <cell r="AK1761">
            <v>99</v>
          </cell>
        </row>
        <row r="1762">
          <cell r="A1762" t="str">
            <v>SBC1186</v>
          </cell>
        </row>
        <row r="1762">
          <cell r="AK1762">
            <v>98</v>
          </cell>
        </row>
        <row r="1763">
          <cell r="A1763" t="str">
            <v>SBC1211</v>
          </cell>
        </row>
        <row r="1763">
          <cell r="AK1763">
            <v>98</v>
          </cell>
        </row>
        <row r="1764">
          <cell r="A1764" t="str">
            <v>SBC1213</v>
          </cell>
        </row>
        <row r="1764">
          <cell r="AK1764">
            <v>98</v>
          </cell>
        </row>
        <row r="1765">
          <cell r="A1765" t="str">
            <v>STC12049</v>
          </cell>
        </row>
        <row r="1765">
          <cell r="AK1765">
            <v>98</v>
          </cell>
        </row>
        <row r="1766">
          <cell r="A1766" t="str">
            <v>STC12050</v>
          </cell>
        </row>
        <row r="1766">
          <cell r="AK1766">
            <v>98</v>
          </cell>
        </row>
        <row r="1767">
          <cell r="A1767" t="str">
            <v>STC12058</v>
          </cell>
        </row>
        <row r="1767">
          <cell r="AK1767">
            <v>98</v>
          </cell>
        </row>
        <row r="1768">
          <cell r="A1768" t="str">
            <v>STC12061</v>
          </cell>
        </row>
        <row r="1768">
          <cell r="AK1768">
            <v>98</v>
          </cell>
        </row>
        <row r="1769">
          <cell r="A1769" t="str">
            <v>STC12062</v>
          </cell>
        </row>
        <row r="1769">
          <cell r="AK1769">
            <v>98</v>
          </cell>
        </row>
        <row r="1770">
          <cell r="A1770" t="str">
            <v>SBC1072</v>
          </cell>
        </row>
        <row r="1770">
          <cell r="AK1770">
            <v>97</v>
          </cell>
        </row>
        <row r="1771">
          <cell r="A1771" t="str">
            <v>SBC1104M</v>
          </cell>
        </row>
        <row r="1771">
          <cell r="AK1771">
            <v>97</v>
          </cell>
        </row>
        <row r="1772">
          <cell r="A1772" t="str">
            <v>SBC1214</v>
          </cell>
        </row>
        <row r="1772">
          <cell r="AK1772">
            <v>97</v>
          </cell>
        </row>
        <row r="1773">
          <cell r="A1773" t="str">
            <v>STC12001</v>
          </cell>
        </row>
        <row r="1773">
          <cell r="AK1773">
            <v>97</v>
          </cell>
        </row>
        <row r="1774">
          <cell r="A1774" t="str">
            <v>STC12025</v>
          </cell>
        </row>
        <row r="1774">
          <cell r="AK1774">
            <v>97</v>
          </cell>
        </row>
        <row r="1775">
          <cell r="A1775" t="str">
            <v>SVP6013</v>
          </cell>
        </row>
        <row r="1775">
          <cell r="AK1775">
            <v>96</v>
          </cell>
        </row>
        <row r="1776">
          <cell r="A1776" t="str">
            <v>SFC7014</v>
          </cell>
        </row>
        <row r="1776">
          <cell r="AK1776">
            <v>96</v>
          </cell>
        </row>
        <row r="1777">
          <cell r="A1777" t="str">
            <v>STC12042</v>
          </cell>
        </row>
        <row r="1777">
          <cell r="AK1777">
            <v>96</v>
          </cell>
        </row>
        <row r="1778">
          <cell r="A1778" t="str">
            <v>SWP335</v>
          </cell>
        </row>
        <row r="1778">
          <cell r="AK1778">
            <v>95</v>
          </cell>
        </row>
        <row r="1779">
          <cell r="A1779" t="str">
            <v>SBC1244</v>
          </cell>
        </row>
        <row r="1779">
          <cell r="AK1779">
            <v>95</v>
          </cell>
        </row>
        <row r="1780">
          <cell r="A1780" t="str">
            <v>SWP146</v>
          </cell>
        </row>
        <row r="1780">
          <cell r="AK1780">
            <v>94</v>
          </cell>
        </row>
        <row r="1781">
          <cell r="A1781" t="str">
            <v>SBC1008</v>
          </cell>
        </row>
        <row r="1781">
          <cell r="AK1781">
            <v>94</v>
          </cell>
        </row>
        <row r="1782">
          <cell r="A1782" t="str">
            <v>SBC1012</v>
          </cell>
        </row>
        <row r="1782">
          <cell r="AK1782">
            <v>94</v>
          </cell>
        </row>
        <row r="1783">
          <cell r="A1783" t="str">
            <v>SWP288</v>
          </cell>
        </row>
        <row r="1783">
          <cell r="AK1783">
            <v>94</v>
          </cell>
        </row>
        <row r="1784">
          <cell r="A1784" t="str">
            <v>SBC1176</v>
          </cell>
        </row>
        <row r="1784">
          <cell r="AK1784">
            <v>94</v>
          </cell>
        </row>
        <row r="1785">
          <cell r="A1785" t="str">
            <v>SBC1208</v>
          </cell>
        </row>
        <row r="1785">
          <cell r="AK1785">
            <v>94</v>
          </cell>
        </row>
        <row r="1786">
          <cell r="A1786" t="str">
            <v>STC12052</v>
          </cell>
        </row>
        <row r="1786">
          <cell r="AK1786">
            <v>94</v>
          </cell>
        </row>
        <row r="1787">
          <cell r="A1787" t="str">
            <v>SWP145</v>
          </cell>
        </row>
        <row r="1787">
          <cell r="AK1787">
            <v>93</v>
          </cell>
        </row>
        <row r="1788">
          <cell r="A1788" t="str">
            <v>SBC1157</v>
          </cell>
        </row>
        <row r="1788">
          <cell r="AK1788">
            <v>93</v>
          </cell>
        </row>
        <row r="1789">
          <cell r="A1789" t="str">
            <v>SOC9034</v>
          </cell>
        </row>
        <row r="1789">
          <cell r="AK1789">
            <v>93</v>
          </cell>
        </row>
        <row r="1790">
          <cell r="A1790" t="str">
            <v>SWC5074R</v>
          </cell>
        </row>
        <row r="1790">
          <cell r="AK1790">
            <v>93</v>
          </cell>
        </row>
        <row r="1791">
          <cell r="A1791" t="str">
            <v>SBC1053</v>
          </cell>
        </row>
        <row r="1791">
          <cell r="AK1791">
            <v>92</v>
          </cell>
        </row>
        <row r="1792">
          <cell r="A1792" t="str">
            <v>SCC2001</v>
          </cell>
        </row>
        <row r="1792">
          <cell r="AK1792">
            <v>92</v>
          </cell>
        </row>
        <row r="1793">
          <cell r="A1793" t="str">
            <v>SCC2026</v>
          </cell>
        </row>
        <row r="1793">
          <cell r="AK1793">
            <v>92</v>
          </cell>
        </row>
        <row r="1794">
          <cell r="A1794" t="str">
            <v>SSC3048</v>
          </cell>
        </row>
        <row r="1794">
          <cell r="AK1794">
            <v>92</v>
          </cell>
        </row>
        <row r="1795">
          <cell r="A1795" t="str">
            <v>STC12007</v>
          </cell>
        </row>
        <row r="1795">
          <cell r="AK1795">
            <v>92</v>
          </cell>
        </row>
        <row r="1796">
          <cell r="A1796" t="str">
            <v>STC12056</v>
          </cell>
        </row>
        <row r="1796">
          <cell r="AK1796">
            <v>92</v>
          </cell>
        </row>
        <row r="1797">
          <cell r="A1797" t="str">
            <v>SBC1235</v>
          </cell>
        </row>
        <row r="1797">
          <cell r="AK1797">
            <v>92</v>
          </cell>
        </row>
        <row r="1798">
          <cell r="A1798" t="str">
            <v>SWC5061R</v>
          </cell>
        </row>
        <row r="1798">
          <cell r="AK1798">
            <v>92</v>
          </cell>
        </row>
        <row r="1799">
          <cell r="A1799" t="str">
            <v>SSC3000</v>
          </cell>
        </row>
        <row r="1799">
          <cell r="AK1799">
            <v>91</v>
          </cell>
        </row>
        <row r="1800">
          <cell r="A1800" t="str">
            <v>SBC1088</v>
          </cell>
        </row>
        <row r="1800">
          <cell r="AK1800">
            <v>91</v>
          </cell>
        </row>
        <row r="1801">
          <cell r="A1801" t="str">
            <v>SBS8069PB</v>
          </cell>
        </row>
        <row r="1801">
          <cell r="AK1801">
            <v>91</v>
          </cell>
        </row>
        <row r="1802">
          <cell r="A1802" t="str">
            <v>SWP061</v>
          </cell>
        </row>
        <row r="1802">
          <cell r="AK1802">
            <v>90</v>
          </cell>
        </row>
        <row r="1803">
          <cell r="A1803" t="str">
            <v>SCC2011</v>
          </cell>
        </row>
        <row r="1803">
          <cell r="AK1803">
            <v>90</v>
          </cell>
        </row>
        <row r="1804">
          <cell r="A1804" t="str">
            <v>SWP300</v>
          </cell>
        </row>
        <row r="1804">
          <cell r="AK1804">
            <v>90</v>
          </cell>
        </row>
        <row r="1805">
          <cell r="A1805" t="str">
            <v>SCC2093</v>
          </cell>
        </row>
        <row r="1805">
          <cell r="AK1805">
            <v>90</v>
          </cell>
        </row>
        <row r="1806">
          <cell r="A1806" t="str">
            <v>SHP11003</v>
          </cell>
        </row>
        <row r="1806">
          <cell r="AK1806">
            <v>90</v>
          </cell>
        </row>
        <row r="1807">
          <cell r="A1807" t="str">
            <v>SWP342H</v>
          </cell>
        </row>
        <row r="1807">
          <cell r="AK1807">
            <v>90</v>
          </cell>
        </row>
        <row r="1808">
          <cell r="A1808" t="str">
            <v>STC12012</v>
          </cell>
        </row>
        <row r="1808">
          <cell r="AK1808">
            <v>90</v>
          </cell>
        </row>
        <row r="1809">
          <cell r="A1809" t="str">
            <v>SBC1258</v>
          </cell>
        </row>
        <row r="1809">
          <cell r="AK1809">
            <v>90</v>
          </cell>
        </row>
        <row r="1810">
          <cell r="A1810" t="str">
            <v>SWP261</v>
          </cell>
        </row>
        <row r="1810">
          <cell r="AK1810">
            <v>89</v>
          </cell>
        </row>
        <row r="1811">
          <cell r="A1811" t="str">
            <v>SBC1045</v>
          </cell>
        </row>
        <row r="1811">
          <cell r="AK1811">
            <v>89</v>
          </cell>
        </row>
        <row r="1812">
          <cell r="A1812" t="str">
            <v>SBS8072PB</v>
          </cell>
        </row>
        <row r="1812">
          <cell r="AK1812">
            <v>89</v>
          </cell>
        </row>
        <row r="1813">
          <cell r="A1813" t="str">
            <v>SOC9031</v>
          </cell>
        </row>
        <row r="1813">
          <cell r="AK1813">
            <v>89</v>
          </cell>
        </row>
        <row r="1814">
          <cell r="A1814" t="str">
            <v>SCC2018</v>
          </cell>
        </row>
        <row r="1814">
          <cell r="AK1814">
            <v>88</v>
          </cell>
        </row>
        <row r="1815">
          <cell r="A1815" t="str">
            <v>SBS8058PB</v>
          </cell>
        </row>
        <row r="1815">
          <cell r="AK1815">
            <v>88</v>
          </cell>
        </row>
        <row r="1816">
          <cell r="A1816" t="str">
            <v>SOC9064</v>
          </cell>
        </row>
        <row r="1816">
          <cell r="AK1816">
            <v>88</v>
          </cell>
        </row>
        <row r="1817">
          <cell r="A1817" t="str">
            <v>SWP006</v>
          </cell>
        </row>
        <row r="1817">
          <cell r="AK1817">
            <v>87</v>
          </cell>
        </row>
        <row r="1818">
          <cell r="A1818" t="str">
            <v>SWP056</v>
          </cell>
        </row>
        <row r="1818">
          <cell r="AK1818">
            <v>87</v>
          </cell>
        </row>
        <row r="1819">
          <cell r="A1819" t="str">
            <v>SWP156</v>
          </cell>
        </row>
        <row r="1819">
          <cell r="AK1819">
            <v>87</v>
          </cell>
        </row>
        <row r="1820">
          <cell r="A1820" t="str">
            <v>SWP164</v>
          </cell>
        </row>
        <row r="1820">
          <cell r="AK1820">
            <v>87</v>
          </cell>
        </row>
        <row r="1821">
          <cell r="A1821" t="str">
            <v>SBC1033</v>
          </cell>
        </row>
        <row r="1821">
          <cell r="AK1821">
            <v>87</v>
          </cell>
        </row>
        <row r="1822">
          <cell r="A1822" t="str">
            <v>SBC1059</v>
          </cell>
        </row>
        <row r="1822">
          <cell r="AK1822">
            <v>86</v>
          </cell>
        </row>
        <row r="1823">
          <cell r="A1823" t="str">
            <v>SBS8053PB</v>
          </cell>
        </row>
        <row r="1823">
          <cell r="AK1823">
            <v>86</v>
          </cell>
        </row>
        <row r="1824">
          <cell r="A1824" t="str">
            <v>SWP362</v>
          </cell>
        </row>
        <row r="1824">
          <cell r="AK1824">
            <v>86</v>
          </cell>
        </row>
        <row r="1825">
          <cell r="A1825" t="str">
            <v>SWP364</v>
          </cell>
        </row>
        <row r="1825">
          <cell r="AK1825">
            <v>86</v>
          </cell>
        </row>
        <row r="1826">
          <cell r="A1826" t="str">
            <v>SWP150</v>
          </cell>
        </row>
        <row r="1826">
          <cell r="AK1826">
            <v>85</v>
          </cell>
        </row>
        <row r="1827">
          <cell r="A1827" t="str">
            <v>SBS8038</v>
          </cell>
        </row>
        <row r="1827">
          <cell r="AK1827">
            <v>85</v>
          </cell>
        </row>
        <row r="1828">
          <cell r="A1828" t="str">
            <v>SBS8020</v>
          </cell>
        </row>
        <row r="1828">
          <cell r="AK1828">
            <v>85</v>
          </cell>
        </row>
        <row r="1829">
          <cell r="A1829" t="str">
            <v>SVP6046</v>
          </cell>
        </row>
        <row r="1829">
          <cell r="AK1829">
            <v>85</v>
          </cell>
        </row>
        <row r="1830">
          <cell r="A1830" t="str">
            <v>SHP11012</v>
          </cell>
        </row>
        <row r="1830">
          <cell r="AK1830">
            <v>85</v>
          </cell>
        </row>
        <row r="1831">
          <cell r="A1831" t="str">
            <v>SWP392</v>
          </cell>
        </row>
        <row r="1831">
          <cell r="AK1831">
            <v>85</v>
          </cell>
        </row>
        <row r="1832">
          <cell r="A1832" t="str">
            <v>SCS4023</v>
          </cell>
        </row>
        <row r="1832">
          <cell r="AK1832">
            <v>84</v>
          </cell>
        </row>
        <row r="1833">
          <cell r="A1833" t="str">
            <v>SSC3018</v>
          </cell>
        </row>
        <row r="1833">
          <cell r="AK1833">
            <v>84</v>
          </cell>
        </row>
        <row r="1834">
          <cell r="A1834" t="str">
            <v>SSC3023</v>
          </cell>
        </row>
        <row r="1834">
          <cell r="AK1834">
            <v>84</v>
          </cell>
        </row>
        <row r="1835">
          <cell r="A1835" t="str">
            <v>SHP11004</v>
          </cell>
        </row>
        <row r="1835">
          <cell r="AK1835">
            <v>84</v>
          </cell>
        </row>
        <row r="1836">
          <cell r="A1836" t="str">
            <v>SWP252</v>
          </cell>
        </row>
        <row r="1836">
          <cell r="AK1836">
            <v>83</v>
          </cell>
        </row>
        <row r="1837">
          <cell r="A1837" t="str">
            <v>SWC5010</v>
          </cell>
        </row>
        <row r="1837">
          <cell r="AK1837">
            <v>83</v>
          </cell>
        </row>
        <row r="1838">
          <cell r="A1838" t="str">
            <v>SBS8056</v>
          </cell>
        </row>
        <row r="1838">
          <cell r="AK1838">
            <v>83</v>
          </cell>
        </row>
        <row r="1839">
          <cell r="A1839" t="str">
            <v>STC12071</v>
          </cell>
        </row>
        <row r="1839">
          <cell r="AK1839">
            <v>83</v>
          </cell>
        </row>
        <row r="1840">
          <cell r="A1840" t="str">
            <v>SBS8130</v>
          </cell>
        </row>
        <row r="1840">
          <cell r="AK1840">
            <v>83</v>
          </cell>
        </row>
        <row r="1841">
          <cell r="A1841" t="str">
            <v>SBS8131</v>
          </cell>
        </row>
        <row r="1841">
          <cell r="AK1841">
            <v>83</v>
          </cell>
        </row>
        <row r="1842">
          <cell r="A1842" t="str">
            <v>SWC5073</v>
          </cell>
        </row>
        <row r="1842">
          <cell r="AK1842">
            <v>83</v>
          </cell>
        </row>
        <row r="1843">
          <cell r="A1843" t="str">
            <v>SBC1259</v>
          </cell>
        </row>
        <row r="1843">
          <cell r="AK1843">
            <v>83</v>
          </cell>
        </row>
        <row r="1844">
          <cell r="A1844" t="str">
            <v>SWP109</v>
          </cell>
        </row>
        <row r="1844">
          <cell r="AK1844">
            <v>82</v>
          </cell>
        </row>
        <row r="1845">
          <cell r="A1845" t="str">
            <v>SCC2032</v>
          </cell>
        </row>
        <row r="1845">
          <cell r="AK1845">
            <v>82</v>
          </cell>
        </row>
        <row r="1846">
          <cell r="A1846" t="str">
            <v>SCS4001</v>
          </cell>
        </row>
        <row r="1846">
          <cell r="AK1846">
            <v>82</v>
          </cell>
        </row>
        <row r="1847">
          <cell r="A1847" t="str">
            <v>SWP287</v>
          </cell>
        </row>
        <row r="1847">
          <cell r="AK1847">
            <v>82</v>
          </cell>
        </row>
        <row r="1848">
          <cell r="A1848" t="str">
            <v>STC12051</v>
          </cell>
        </row>
        <row r="1848">
          <cell r="AK1848">
            <v>82</v>
          </cell>
        </row>
        <row r="1849">
          <cell r="A1849" t="str">
            <v>SOC9090</v>
          </cell>
        </row>
        <row r="1849">
          <cell r="AK1849">
            <v>82</v>
          </cell>
        </row>
        <row r="1850">
          <cell r="A1850" t="str">
            <v>SCS4037</v>
          </cell>
        </row>
        <row r="1850">
          <cell r="AK1850">
            <v>82</v>
          </cell>
        </row>
        <row r="1851">
          <cell r="A1851" t="str">
            <v>SBC1252</v>
          </cell>
        </row>
        <row r="1851">
          <cell r="AK1851">
            <v>82</v>
          </cell>
        </row>
        <row r="1852">
          <cell r="A1852" t="str">
            <v>SBC1144</v>
          </cell>
        </row>
        <row r="1852">
          <cell r="AK1852">
            <v>81</v>
          </cell>
        </row>
        <row r="1853">
          <cell r="A1853" t="str">
            <v>SBC1105B</v>
          </cell>
        </row>
        <row r="1853">
          <cell r="AK1853">
            <v>81</v>
          </cell>
        </row>
        <row r="1854">
          <cell r="A1854" t="str">
            <v>STC12065</v>
          </cell>
        </row>
        <row r="1854">
          <cell r="AK1854">
            <v>81</v>
          </cell>
        </row>
        <row r="1855">
          <cell r="A1855" t="str">
            <v>SWP074</v>
          </cell>
        </row>
        <row r="1855">
          <cell r="AK1855">
            <v>80</v>
          </cell>
        </row>
        <row r="1856">
          <cell r="A1856" t="str">
            <v>SWP209</v>
          </cell>
        </row>
        <row r="1856">
          <cell r="AK1856">
            <v>80</v>
          </cell>
        </row>
        <row r="1857">
          <cell r="A1857" t="str">
            <v>SBC1133</v>
          </cell>
        </row>
        <row r="1857">
          <cell r="AK1857">
            <v>80</v>
          </cell>
        </row>
        <row r="1858">
          <cell r="A1858" t="str">
            <v>SBS8045</v>
          </cell>
        </row>
        <row r="1858">
          <cell r="AK1858">
            <v>80</v>
          </cell>
        </row>
        <row r="1859">
          <cell r="A1859" t="str">
            <v>SBC1206A</v>
          </cell>
        </row>
        <row r="1859">
          <cell r="AK1859">
            <v>80</v>
          </cell>
        </row>
        <row r="1860">
          <cell r="A1860" t="str">
            <v>SOC9086</v>
          </cell>
        </row>
        <row r="1860">
          <cell r="AK1860">
            <v>80</v>
          </cell>
        </row>
        <row r="1861">
          <cell r="A1861" t="str">
            <v>SBS8037</v>
          </cell>
        </row>
        <row r="1861">
          <cell r="AK1861">
            <v>79</v>
          </cell>
        </row>
        <row r="1862">
          <cell r="A1862" t="str">
            <v>SBS8117</v>
          </cell>
        </row>
        <row r="1862">
          <cell r="AK1862">
            <v>79</v>
          </cell>
        </row>
        <row r="1863">
          <cell r="A1863" t="str">
            <v>SWP371</v>
          </cell>
        </row>
        <row r="1863">
          <cell r="AK1863">
            <v>79</v>
          </cell>
        </row>
        <row r="1864">
          <cell r="A1864" t="str">
            <v>STC12053</v>
          </cell>
        </row>
        <row r="1864">
          <cell r="AK1864">
            <v>79</v>
          </cell>
        </row>
        <row r="1865">
          <cell r="A1865" t="str">
            <v>SBC1240</v>
          </cell>
        </row>
        <row r="1865">
          <cell r="AK1865">
            <v>79</v>
          </cell>
        </row>
        <row r="1866">
          <cell r="A1866" t="str">
            <v>SWP125</v>
          </cell>
        </row>
        <row r="1866">
          <cell r="AK1866">
            <v>78</v>
          </cell>
        </row>
        <row r="1867">
          <cell r="A1867" t="str">
            <v>SBC1009</v>
          </cell>
        </row>
        <row r="1867">
          <cell r="AK1867">
            <v>78</v>
          </cell>
        </row>
        <row r="1868">
          <cell r="A1868" t="str">
            <v>SCC2081</v>
          </cell>
        </row>
        <row r="1868">
          <cell r="AK1868">
            <v>78</v>
          </cell>
        </row>
        <row r="1869">
          <cell r="A1869" t="str">
            <v>SBS8126PB</v>
          </cell>
        </row>
        <row r="1869">
          <cell r="AK1869">
            <v>78</v>
          </cell>
        </row>
        <row r="1870">
          <cell r="A1870" t="str">
            <v>SWC5074L</v>
          </cell>
        </row>
        <row r="1870">
          <cell r="AK1870">
            <v>78</v>
          </cell>
        </row>
        <row r="1871">
          <cell r="A1871" t="str">
            <v>SBC1260</v>
          </cell>
        </row>
        <row r="1871">
          <cell r="AK1871">
            <v>78</v>
          </cell>
        </row>
        <row r="1872">
          <cell r="A1872" t="str">
            <v>SWP162</v>
          </cell>
        </row>
        <row r="1872">
          <cell r="AK1872">
            <v>77</v>
          </cell>
        </row>
        <row r="1873">
          <cell r="A1873" t="str">
            <v>SWP259</v>
          </cell>
        </row>
        <row r="1873">
          <cell r="AK1873">
            <v>77</v>
          </cell>
        </row>
        <row r="1874">
          <cell r="A1874" t="str">
            <v>SWP268</v>
          </cell>
        </row>
        <row r="1874">
          <cell r="AK1874">
            <v>77</v>
          </cell>
        </row>
        <row r="1875">
          <cell r="A1875" t="str">
            <v>SSC3046</v>
          </cell>
        </row>
        <row r="1875">
          <cell r="AK1875">
            <v>77</v>
          </cell>
        </row>
        <row r="1876">
          <cell r="A1876" t="str">
            <v>SWP385</v>
          </cell>
        </row>
        <row r="1876">
          <cell r="AK1876">
            <v>77</v>
          </cell>
        </row>
        <row r="1877">
          <cell r="A1877" t="str">
            <v>SOC9098</v>
          </cell>
        </row>
        <row r="1877">
          <cell r="AK1877">
            <v>77</v>
          </cell>
        </row>
        <row r="1878">
          <cell r="A1878" t="str">
            <v>SWC5081</v>
          </cell>
        </row>
        <row r="1878">
          <cell r="AK1878">
            <v>77</v>
          </cell>
        </row>
        <row r="1879">
          <cell r="A1879" t="str">
            <v>SWP014</v>
          </cell>
        </row>
        <row r="1879">
          <cell r="AK1879">
            <v>76</v>
          </cell>
        </row>
        <row r="1880">
          <cell r="A1880" t="str">
            <v>SBC1029</v>
          </cell>
        </row>
        <row r="1880">
          <cell r="AK1880">
            <v>76</v>
          </cell>
        </row>
        <row r="1881">
          <cell r="A1881" t="str">
            <v>SBC1120</v>
          </cell>
        </row>
        <row r="1881">
          <cell r="AK1881">
            <v>76</v>
          </cell>
        </row>
        <row r="1882">
          <cell r="A1882" t="str">
            <v>SBC1210</v>
          </cell>
        </row>
        <row r="1882">
          <cell r="AK1882">
            <v>76</v>
          </cell>
        </row>
        <row r="1883">
          <cell r="A1883" t="str">
            <v>STC12020</v>
          </cell>
        </row>
        <row r="1883">
          <cell r="AK1883">
            <v>76</v>
          </cell>
        </row>
        <row r="1884">
          <cell r="A1884" t="str">
            <v>SBC1237</v>
          </cell>
        </row>
        <row r="1884">
          <cell r="AK1884">
            <v>76</v>
          </cell>
        </row>
        <row r="1885">
          <cell r="A1885" t="str">
            <v>SOC9060</v>
          </cell>
        </row>
        <row r="1885">
          <cell r="AK1885">
            <v>75</v>
          </cell>
        </row>
        <row r="1886">
          <cell r="A1886" t="str">
            <v>SWC5072</v>
          </cell>
        </row>
        <row r="1886">
          <cell r="AK1886">
            <v>75</v>
          </cell>
        </row>
        <row r="1887">
          <cell r="A1887" t="str">
            <v>SBC1004</v>
          </cell>
        </row>
        <row r="1887">
          <cell r="AK1887">
            <v>74</v>
          </cell>
        </row>
        <row r="1888">
          <cell r="A1888" t="str">
            <v>SBC1049</v>
          </cell>
        </row>
        <row r="1888">
          <cell r="AK1888">
            <v>74</v>
          </cell>
        </row>
        <row r="1889">
          <cell r="A1889" t="str">
            <v>SBC1052</v>
          </cell>
        </row>
        <row r="1889">
          <cell r="AK1889">
            <v>74</v>
          </cell>
        </row>
        <row r="1890">
          <cell r="A1890" t="str">
            <v>SVP6009</v>
          </cell>
        </row>
        <row r="1890">
          <cell r="AK1890">
            <v>74</v>
          </cell>
        </row>
        <row r="1891">
          <cell r="A1891" t="str">
            <v>SOC9043</v>
          </cell>
        </row>
        <row r="1891">
          <cell r="AK1891">
            <v>74</v>
          </cell>
        </row>
        <row r="1892">
          <cell r="A1892" t="str">
            <v>SHP11010</v>
          </cell>
        </row>
        <row r="1892">
          <cell r="AK1892">
            <v>74</v>
          </cell>
        </row>
        <row r="1893">
          <cell r="A1893" t="str">
            <v>SOC9082</v>
          </cell>
        </row>
        <row r="1893">
          <cell r="AK1893">
            <v>74</v>
          </cell>
        </row>
        <row r="1894">
          <cell r="A1894" t="str">
            <v>SBS8115PB</v>
          </cell>
        </row>
        <row r="1894">
          <cell r="AK1894">
            <v>74</v>
          </cell>
        </row>
        <row r="1895">
          <cell r="A1895" t="str">
            <v>SBC1105A</v>
          </cell>
        </row>
        <row r="1895">
          <cell r="AK1895">
            <v>74</v>
          </cell>
        </row>
        <row r="1896">
          <cell r="A1896" t="str">
            <v>SWP148</v>
          </cell>
        </row>
        <row r="1896">
          <cell r="AK1896">
            <v>73</v>
          </cell>
        </row>
        <row r="1897">
          <cell r="A1897" t="str">
            <v>SWP274</v>
          </cell>
        </row>
        <row r="1897">
          <cell r="AK1897">
            <v>73</v>
          </cell>
        </row>
        <row r="1898">
          <cell r="A1898" t="str">
            <v>SWP291</v>
          </cell>
        </row>
        <row r="1898">
          <cell r="AK1898">
            <v>73</v>
          </cell>
        </row>
        <row r="1899">
          <cell r="A1899" t="str">
            <v>SBS8083PB</v>
          </cell>
        </row>
        <row r="1899">
          <cell r="AK1899">
            <v>73</v>
          </cell>
        </row>
        <row r="1900">
          <cell r="A1900" t="str">
            <v>STC12046</v>
          </cell>
        </row>
        <row r="1900">
          <cell r="AK1900">
            <v>73</v>
          </cell>
        </row>
        <row r="1901">
          <cell r="A1901" t="str">
            <v>SBC1224</v>
          </cell>
        </row>
        <row r="1901">
          <cell r="AK1901">
            <v>73</v>
          </cell>
        </row>
        <row r="1902">
          <cell r="A1902" t="str">
            <v>SWP088</v>
          </cell>
        </row>
        <row r="1902">
          <cell r="AK1902">
            <v>72</v>
          </cell>
        </row>
        <row r="1903">
          <cell r="A1903" t="str">
            <v>SWP138</v>
          </cell>
        </row>
        <row r="1903">
          <cell r="AK1903">
            <v>72</v>
          </cell>
        </row>
        <row r="1904">
          <cell r="A1904" t="str">
            <v>SWP193</v>
          </cell>
        </row>
        <row r="1904">
          <cell r="AK1904">
            <v>72</v>
          </cell>
        </row>
        <row r="1905">
          <cell r="A1905" t="str">
            <v>SWP058</v>
          </cell>
        </row>
        <row r="1905">
          <cell r="AK1905">
            <v>71</v>
          </cell>
        </row>
        <row r="1906">
          <cell r="A1906" t="str">
            <v>SBS8108PB</v>
          </cell>
        </row>
        <row r="1906">
          <cell r="AK1906">
            <v>71</v>
          </cell>
        </row>
        <row r="1907">
          <cell r="A1907" t="str">
            <v>SWC5078L</v>
          </cell>
        </row>
        <row r="1907">
          <cell r="AK1907">
            <v>71</v>
          </cell>
        </row>
        <row r="1908">
          <cell r="A1908" t="str">
            <v>SWP149</v>
          </cell>
        </row>
        <row r="1908">
          <cell r="AK1908">
            <v>70</v>
          </cell>
        </row>
        <row r="1909">
          <cell r="A1909" t="str">
            <v>SWP104A</v>
          </cell>
        </row>
        <row r="1909">
          <cell r="AK1909">
            <v>70</v>
          </cell>
        </row>
        <row r="1910">
          <cell r="A1910" t="str">
            <v>SBS8068PB</v>
          </cell>
        </row>
        <row r="1910">
          <cell r="AK1910">
            <v>70</v>
          </cell>
        </row>
        <row r="1911">
          <cell r="A1911" t="str">
            <v>SVP6036</v>
          </cell>
        </row>
        <row r="1911">
          <cell r="AK1911">
            <v>70</v>
          </cell>
        </row>
        <row r="1912">
          <cell r="A1912" t="str">
            <v>SOC9061</v>
          </cell>
        </row>
        <row r="1912">
          <cell r="AK1912">
            <v>70</v>
          </cell>
        </row>
        <row r="1913">
          <cell r="A1913" t="str">
            <v>SOC9071</v>
          </cell>
        </row>
        <row r="1913">
          <cell r="AK1913">
            <v>70</v>
          </cell>
        </row>
        <row r="1914">
          <cell r="A1914" t="str">
            <v>SHP11007</v>
          </cell>
        </row>
        <row r="1914">
          <cell r="AK1914">
            <v>70</v>
          </cell>
        </row>
        <row r="1915">
          <cell r="A1915" t="str">
            <v>SHP11016</v>
          </cell>
        </row>
        <row r="1915">
          <cell r="AK1915">
            <v>70</v>
          </cell>
        </row>
        <row r="1916">
          <cell r="A1916" t="str">
            <v>SBC1215</v>
          </cell>
        </row>
        <row r="1916">
          <cell r="AK1916">
            <v>70</v>
          </cell>
        </row>
        <row r="1917">
          <cell r="A1917" t="str">
            <v>SBC1124NR</v>
          </cell>
        </row>
        <row r="1917">
          <cell r="AK1917">
            <v>70</v>
          </cell>
        </row>
        <row r="1918">
          <cell r="A1918" t="str">
            <v>SBS8104</v>
          </cell>
        </row>
        <row r="1918">
          <cell r="AK1918">
            <v>69</v>
          </cell>
        </row>
        <row r="1919">
          <cell r="A1919" t="str">
            <v>SOC9044</v>
          </cell>
        </row>
        <row r="1919">
          <cell r="AK1919">
            <v>69</v>
          </cell>
        </row>
        <row r="1920">
          <cell r="A1920" t="str">
            <v>SOC9045</v>
          </cell>
        </row>
        <row r="1920">
          <cell r="AK1920">
            <v>69</v>
          </cell>
        </row>
        <row r="1921">
          <cell r="A1921" t="str">
            <v>SHP11002</v>
          </cell>
        </row>
        <row r="1921">
          <cell r="AK1921">
            <v>69</v>
          </cell>
        </row>
        <row r="1922">
          <cell r="A1922" t="str">
            <v>SOC9080</v>
          </cell>
        </row>
        <row r="1922">
          <cell r="AK1922">
            <v>69</v>
          </cell>
        </row>
        <row r="1923">
          <cell r="A1923" t="str">
            <v>SOC9093</v>
          </cell>
        </row>
        <row r="1923">
          <cell r="AK1923">
            <v>69</v>
          </cell>
        </row>
        <row r="1924">
          <cell r="A1924" t="str">
            <v>SBS8075</v>
          </cell>
        </row>
        <row r="1924">
          <cell r="AK1924">
            <v>69</v>
          </cell>
        </row>
        <row r="1925">
          <cell r="A1925" t="str">
            <v>SWC5066R</v>
          </cell>
        </row>
        <row r="1925">
          <cell r="AK1925">
            <v>69</v>
          </cell>
        </row>
        <row r="1926">
          <cell r="A1926" t="str">
            <v>SWP060</v>
          </cell>
        </row>
        <row r="1926">
          <cell r="AK1926">
            <v>68</v>
          </cell>
        </row>
        <row r="1927">
          <cell r="A1927" t="str">
            <v>SWP111</v>
          </cell>
        </row>
        <row r="1927">
          <cell r="AK1927">
            <v>68</v>
          </cell>
        </row>
        <row r="1928">
          <cell r="A1928" t="str">
            <v>SWP142</v>
          </cell>
        </row>
        <row r="1928">
          <cell r="AK1928">
            <v>68</v>
          </cell>
        </row>
        <row r="1929">
          <cell r="A1929" t="str">
            <v>SWP234</v>
          </cell>
        </row>
        <row r="1929">
          <cell r="AK1929">
            <v>68</v>
          </cell>
        </row>
        <row r="1930">
          <cell r="A1930" t="str">
            <v>SSC3013</v>
          </cell>
        </row>
        <row r="1930">
          <cell r="AK1930">
            <v>68</v>
          </cell>
        </row>
        <row r="1931">
          <cell r="A1931" t="str">
            <v>SBS8025</v>
          </cell>
        </row>
        <row r="1931">
          <cell r="AK1931">
            <v>68</v>
          </cell>
        </row>
        <row r="1932">
          <cell r="A1932" t="str">
            <v>SOC9041</v>
          </cell>
        </row>
        <row r="1932">
          <cell r="AK1932">
            <v>68</v>
          </cell>
        </row>
        <row r="1933">
          <cell r="A1933" t="str">
            <v>SOC9065</v>
          </cell>
        </row>
        <row r="1933">
          <cell r="AK1933">
            <v>68</v>
          </cell>
        </row>
        <row r="1934">
          <cell r="A1934" t="str">
            <v>SWP361</v>
          </cell>
        </row>
        <row r="1934">
          <cell r="AK1934">
            <v>68</v>
          </cell>
        </row>
        <row r="1935">
          <cell r="A1935" t="str">
            <v>SBC1253</v>
          </cell>
        </row>
        <row r="1935">
          <cell r="AK1935">
            <v>68</v>
          </cell>
        </row>
        <row r="1936">
          <cell r="A1936" t="str">
            <v>SWP110</v>
          </cell>
        </row>
        <row r="1936">
          <cell r="AK1936">
            <v>67</v>
          </cell>
        </row>
        <row r="1937">
          <cell r="A1937" t="str">
            <v>SWP167</v>
          </cell>
        </row>
        <row r="1937">
          <cell r="AK1937">
            <v>67</v>
          </cell>
        </row>
        <row r="1938">
          <cell r="A1938" t="str">
            <v>SBC1017</v>
          </cell>
        </row>
        <row r="1938">
          <cell r="AK1938">
            <v>67</v>
          </cell>
        </row>
        <row r="1939">
          <cell r="A1939" t="str">
            <v>SSC3050</v>
          </cell>
        </row>
        <row r="1939">
          <cell r="AK1939">
            <v>67</v>
          </cell>
        </row>
        <row r="1940">
          <cell r="A1940" t="str">
            <v>SWP345</v>
          </cell>
        </row>
        <row r="1940">
          <cell r="AK1940">
            <v>67</v>
          </cell>
        </row>
        <row r="1941">
          <cell r="A1941" t="str">
            <v>SBC1047</v>
          </cell>
        </row>
        <row r="1941">
          <cell r="AK1941">
            <v>66</v>
          </cell>
        </row>
        <row r="1942">
          <cell r="A1942" t="str">
            <v>SCS4014</v>
          </cell>
        </row>
        <row r="1942">
          <cell r="AK1942">
            <v>66</v>
          </cell>
        </row>
        <row r="1943">
          <cell r="A1943" t="str">
            <v>SWP293H</v>
          </cell>
        </row>
        <row r="1943">
          <cell r="AK1943">
            <v>66</v>
          </cell>
        </row>
        <row r="1944">
          <cell r="A1944" t="str">
            <v>SBC1148</v>
          </cell>
        </row>
        <row r="1944">
          <cell r="AK1944">
            <v>66</v>
          </cell>
        </row>
        <row r="1945">
          <cell r="A1945" t="str">
            <v>STC12068</v>
          </cell>
        </row>
        <row r="1945">
          <cell r="AK1945">
            <v>66</v>
          </cell>
        </row>
        <row r="1946">
          <cell r="A1946" t="str">
            <v>SBC1222</v>
          </cell>
        </row>
        <row r="1946">
          <cell r="AK1946">
            <v>66</v>
          </cell>
        </row>
        <row r="1947">
          <cell r="A1947" t="str">
            <v>SWC5078R</v>
          </cell>
        </row>
        <row r="1947">
          <cell r="AK1947">
            <v>66</v>
          </cell>
        </row>
        <row r="1948">
          <cell r="A1948" t="str">
            <v>SWP227</v>
          </cell>
        </row>
        <row r="1948">
          <cell r="AK1948">
            <v>65</v>
          </cell>
        </row>
        <row r="1949">
          <cell r="A1949" t="str">
            <v>SBC1010</v>
          </cell>
        </row>
        <row r="1949">
          <cell r="AK1949">
            <v>65</v>
          </cell>
        </row>
        <row r="1950">
          <cell r="A1950" t="str">
            <v>SBC1074</v>
          </cell>
        </row>
        <row r="1950">
          <cell r="AK1950">
            <v>65</v>
          </cell>
        </row>
        <row r="1951">
          <cell r="A1951" t="str">
            <v>SCC2045</v>
          </cell>
        </row>
        <row r="1951">
          <cell r="AK1951">
            <v>65</v>
          </cell>
        </row>
        <row r="1952">
          <cell r="A1952" t="str">
            <v>SWC5028L</v>
          </cell>
        </row>
        <row r="1952">
          <cell r="AK1952">
            <v>65</v>
          </cell>
        </row>
        <row r="1953">
          <cell r="A1953" t="str">
            <v>SBC1169</v>
          </cell>
        </row>
        <row r="1953">
          <cell r="AK1953">
            <v>65</v>
          </cell>
        </row>
        <row r="1954">
          <cell r="A1954" t="str">
            <v>SBS8111</v>
          </cell>
        </row>
        <row r="1954">
          <cell r="AK1954">
            <v>65</v>
          </cell>
        </row>
        <row r="1955">
          <cell r="A1955" t="str">
            <v>SWC5066L</v>
          </cell>
        </row>
        <row r="1955">
          <cell r="AK1955">
            <v>65</v>
          </cell>
        </row>
        <row r="1956">
          <cell r="A1956" t="str">
            <v>SWP199</v>
          </cell>
        </row>
        <row r="1956">
          <cell r="AK1956">
            <v>64</v>
          </cell>
        </row>
        <row r="1957">
          <cell r="A1957" t="str">
            <v>SWP205</v>
          </cell>
        </row>
        <row r="1957">
          <cell r="AK1957">
            <v>64</v>
          </cell>
        </row>
        <row r="1958">
          <cell r="A1958" t="str">
            <v>SWP240</v>
          </cell>
        </row>
        <row r="1958">
          <cell r="AK1958">
            <v>64</v>
          </cell>
        </row>
        <row r="1959">
          <cell r="A1959" t="str">
            <v>SBC1051</v>
          </cell>
        </row>
        <row r="1959">
          <cell r="AK1959">
            <v>64</v>
          </cell>
        </row>
        <row r="1960">
          <cell r="A1960" t="str">
            <v>SCC2000</v>
          </cell>
        </row>
        <row r="1960">
          <cell r="AK1960">
            <v>64</v>
          </cell>
        </row>
        <row r="1961">
          <cell r="A1961" t="str">
            <v>SWP161A</v>
          </cell>
        </row>
        <row r="1961">
          <cell r="AK1961">
            <v>64</v>
          </cell>
        </row>
        <row r="1962">
          <cell r="A1962" t="str">
            <v>SBS8046</v>
          </cell>
        </row>
        <row r="1962">
          <cell r="AK1962">
            <v>64</v>
          </cell>
        </row>
        <row r="1963">
          <cell r="A1963" t="str">
            <v>SBC1212</v>
          </cell>
        </row>
        <row r="1963">
          <cell r="AK1963">
            <v>64</v>
          </cell>
        </row>
        <row r="1964">
          <cell r="A1964" t="str">
            <v>SWP144</v>
          </cell>
        </row>
        <row r="1964">
          <cell r="AK1964">
            <v>63</v>
          </cell>
        </row>
        <row r="1965">
          <cell r="A1965" t="str">
            <v>SCC2024</v>
          </cell>
        </row>
        <row r="1965">
          <cell r="AK1965">
            <v>63</v>
          </cell>
        </row>
        <row r="1966">
          <cell r="A1966" t="str">
            <v>SWP299</v>
          </cell>
        </row>
        <row r="1966">
          <cell r="AK1966">
            <v>63</v>
          </cell>
        </row>
        <row r="1967">
          <cell r="A1967" t="str">
            <v>SWP305</v>
          </cell>
        </row>
        <row r="1967">
          <cell r="AK1967">
            <v>63</v>
          </cell>
        </row>
        <row r="1968">
          <cell r="A1968" t="str">
            <v>SBC1164</v>
          </cell>
        </row>
        <row r="1968">
          <cell r="AK1968">
            <v>63</v>
          </cell>
        </row>
        <row r="1969">
          <cell r="A1969" t="str">
            <v>SVP6055</v>
          </cell>
        </row>
        <row r="1969">
          <cell r="AK1969">
            <v>63</v>
          </cell>
        </row>
        <row r="1970">
          <cell r="A1970" t="str">
            <v>STC12063</v>
          </cell>
        </row>
        <row r="1970">
          <cell r="AK1970">
            <v>63</v>
          </cell>
        </row>
        <row r="1971">
          <cell r="A1971" t="str">
            <v>SWP117</v>
          </cell>
        </row>
        <row r="1971">
          <cell r="AK1971">
            <v>62</v>
          </cell>
        </row>
        <row r="1972">
          <cell r="A1972" t="str">
            <v>SWP198</v>
          </cell>
        </row>
        <row r="1972">
          <cell r="AK1972">
            <v>62</v>
          </cell>
        </row>
        <row r="1973">
          <cell r="A1973" t="str">
            <v>SCS4036</v>
          </cell>
        </row>
        <row r="1973">
          <cell r="AK1973">
            <v>62</v>
          </cell>
        </row>
        <row r="1974">
          <cell r="A1974" t="str">
            <v>SVP6024</v>
          </cell>
        </row>
        <row r="1974">
          <cell r="AK1974">
            <v>61</v>
          </cell>
        </row>
        <row r="1975">
          <cell r="A1975" t="str">
            <v>SCS4035</v>
          </cell>
        </row>
        <row r="1975">
          <cell r="AK1975">
            <v>61</v>
          </cell>
        </row>
        <row r="1976">
          <cell r="A1976" t="str">
            <v>SOC9066</v>
          </cell>
        </row>
        <row r="1976">
          <cell r="AK1976">
            <v>61</v>
          </cell>
        </row>
        <row r="1977">
          <cell r="A1977" t="str">
            <v>STC12000</v>
          </cell>
        </row>
        <row r="1977">
          <cell r="AK1977">
            <v>61</v>
          </cell>
        </row>
        <row r="1978">
          <cell r="A1978" t="str">
            <v>SWC5092</v>
          </cell>
        </row>
        <row r="1978">
          <cell r="AK1978">
            <v>61</v>
          </cell>
        </row>
        <row r="1979">
          <cell r="A1979" t="str">
            <v>SWP107</v>
          </cell>
        </row>
        <row r="1979">
          <cell r="AK1979">
            <v>60</v>
          </cell>
        </row>
        <row r="1980">
          <cell r="A1980" t="str">
            <v>SWC5026</v>
          </cell>
        </row>
        <row r="1980">
          <cell r="AK1980">
            <v>60</v>
          </cell>
        </row>
        <row r="1981">
          <cell r="A1981" t="str">
            <v>SWC5028R</v>
          </cell>
        </row>
        <row r="1981">
          <cell r="AK1981">
            <v>60</v>
          </cell>
        </row>
        <row r="1982">
          <cell r="A1982" t="str">
            <v>STC12018</v>
          </cell>
        </row>
        <row r="1982">
          <cell r="AK1982">
            <v>60</v>
          </cell>
        </row>
        <row r="1983">
          <cell r="A1983" t="str">
            <v>STC12031</v>
          </cell>
        </row>
        <row r="1983">
          <cell r="AK1983">
            <v>60</v>
          </cell>
        </row>
        <row r="1984">
          <cell r="A1984" t="str">
            <v>STC12035</v>
          </cell>
        </row>
        <row r="1984">
          <cell r="AK1984">
            <v>60</v>
          </cell>
        </row>
        <row r="1985">
          <cell r="A1985" t="str">
            <v>SBC1232</v>
          </cell>
        </row>
        <row r="1985">
          <cell r="AK1985">
            <v>60</v>
          </cell>
        </row>
        <row r="1986">
          <cell r="A1986" t="str">
            <v>SBB13080</v>
          </cell>
        </row>
        <row r="1986">
          <cell r="AK1986">
            <v>60</v>
          </cell>
        </row>
        <row r="1987">
          <cell r="A1987" t="str">
            <v>SBB13084</v>
          </cell>
        </row>
        <row r="1987">
          <cell r="AK1987">
            <v>60</v>
          </cell>
        </row>
        <row r="1988">
          <cell r="A1988" t="str">
            <v>SWP053</v>
          </cell>
        </row>
        <row r="1988">
          <cell r="AK1988">
            <v>59</v>
          </cell>
        </row>
        <row r="1989">
          <cell r="A1989" t="str">
            <v>SCC2046</v>
          </cell>
        </row>
        <row r="1989">
          <cell r="AK1989">
            <v>59</v>
          </cell>
        </row>
        <row r="1990">
          <cell r="A1990" t="str">
            <v>SWP103A</v>
          </cell>
        </row>
        <row r="1990">
          <cell r="AK1990">
            <v>59</v>
          </cell>
        </row>
        <row r="1991">
          <cell r="A1991" t="str">
            <v>SBC1143</v>
          </cell>
        </row>
        <row r="1991">
          <cell r="AK1991">
            <v>59</v>
          </cell>
        </row>
        <row r="1992">
          <cell r="A1992" t="str">
            <v>SBS8116PB</v>
          </cell>
        </row>
        <row r="1992">
          <cell r="AK1992">
            <v>59</v>
          </cell>
        </row>
        <row r="1993">
          <cell r="A1993" t="str">
            <v>SWP028</v>
          </cell>
        </row>
        <row r="1993">
          <cell r="AK1993">
            <v>58</v>
          </cell>
        </row>
        <row r="1994">
          <cell r="A1994" t="str">
            <v>SWP044</v>
          </cell>
        </row>
        <row r="1994">
          <cell r="AK1994">
            <v>58</v>
          </cell>
        </row>
        <row r="1995">
          <cell r="A1995" t="str">
            <v>SWP236</v>
          </cell>
        </row>
        <row r="1995">
          <cell r="AK1995">
            <v>58</v>
          </cell>
        </row>
        <row r="1996">
          <cell r="A1996" t="str">
            <v>SWP256</v>
          </cell>
        </row>
        <row r="1996">
          <cell r="AK1996">
            <v>58</v>
          </cell>
        </row>
        <row r="1997">
          <cell r="A1997" t="str">
            <v>SCC2048</v>
          </cell>
        </row>
        <row r="1997">
          <cell r="AK1997">
            <v>58</v>
          </cell>
        </row>
        <row r="1998">
          <cell r="A1998" t="str">
            <v>SFC7005</v>
          </cell>
        </row>
        <row r="1998">
          <cell r="AK1998">
            <v>58</v>
          </cell>
        </row>
        <row r="1999">
          <cell r="A1999" t="str">
            <v>SBS8011PB</v>
          </cell>
        </row>
        <row r="1999">
          <cell r="AK1999">
            <v>58</v>
          </cell>
        </row>
        <row r="2000">
          <cell r="A2000" t="str">
            <v>SBS8118</v>
          </cell>
        </row>
        <row r="2000">
          <cell r="AK2000">
            <v>58</v>
          </cell>
        </row>
        <row r="2001">
          <cell r="A2001" t="str">
            <v>SBB13034</v>
          </cell>
        </row>
        <row r="2001">
          <cell r="AK2001">
            <v>58</v>
          </cell>
        </row>
        <row r="2002">
          <cell r="A2002" t="str">
            <v>SWP262</v>
          </cell>
        </row>
        <row r="2002">
          <cell r="AK2002">
            <v>57</v>
          </cell>
        </row>
        <row r="2003">
          <cell r="A2003" t="str">
            <v>SWP284A</v>
          </cell>
        </row>
        <row r="2003">
          <cell r="AK2003">
            <v>57</v>
          </cell>
        </row>
        <row r="2004">
          <cell r="A2004" t="str">
            <v>SBS8049</v>
          </cell>
        </row>
        <row r="2004">
          <cell r="AK2004">
            <v>57</v>
          </cell>
        </row>
        <row r="2005">
          <cell r="A2005" t="str">
            <v>SWP373</v>
          </cell>
        </row>
        <row r="2005">
          <cell r="AK2005">
            <v>57</v>
          </cell>
        </row>
        <row r="2006">
          <cell r="A2006" t="str">
            <v>SWP003</v>
          </cell>
        </row>
        <row r="2006">
          <cell r="AK2006">
            <v>56</v>
          </cell>
        </row>
        <row r="2007">
          <cell r="A2007" t="str">
            <v>SBC1013</v>
          </cell>
        </row>
        <row r="2007">
          <cell r="AK2007">
            <v>56</v>
          </cell>
        </row>
        <row r="2008">
          <cell r="A2008" t="str">
            <v>SCC2103</v>
          </cell>
        </row>
        <row r="2008">
          <cell r="AK2008">
            <v>56</v>
          </cell>
        </row>
        <row r="2009">
          <cell r="A2009" t="str">
            <v>SVP6044</v>
          </cell>
        </row>
        <row r="2009">
          <cell r="AK2009">
            <v>56</v>
          </cell>
        </row>
        <row r="2010">
          <cell r="A2010" t="str">
            <v>SWP365</v>
          </cell>
        </row>
        <row r="2010">
          <cell r="AK2010">
            <v>56</v>
          </cell>
        </row>
        <row r="2011">
          <cell r="A2011" t="str">
            <v>STC12034</v>
          </cell>
        </row>
        <row r="2011">
          <cell r="AK2011">
            <v>56</v>
          </cell>
        </row>
        <row r="2012">
          <cell r="A2012" t="str">
            <v>SWC5065R</v>
          </cell>
        </row>
        <row r="2012">
          <cell r="AK2012">
            <v>56</v>
          </cell>
        </row>
        <row r="2013">
          <cell r="A2013" t="str">
            <v>SWP120</v>
          </cell>
        </row>
        <row r="2013">
          <cell r="AK2013">
            <v>55</v>
          </cell>
        </row>
        <row r="2014">
          <cell r="A2014" t="str">
            <v>SFC7010</v>
          </cell>
        </row>
        <row r="2014">
          <cell r="AK2014">
            <v>55</v>
          </cell>
        </row>
        <row r="2015">
          <cell r="A2015" t="str">
            <v>SBS8076</v>
          </cell>
        </row>
        <row r="2015">
          <cell r="AK2015">
            <v>55</v>
          </cell>
        </row>
        <row r="2016">
          <cell r="A2016" t="str">
            <v>SWP386</v>
          </cell>
        </row>
        <row r="2016">
          <cell r="AK2016">
            <v>55</v>
          </cell>
        </row>
        <row r="2017">
          <cell r="A2017" t="str">
            <v>SWP265</v>
          </cell>
        </row>
        <row r="2017">
          <cell r="AK2017">
            <v>54</v>
          </cell>
        </row>
        <row r="2018">
          <cell r="A2018" t="str">
            <v>SCC2005</v>
          </cell>
        </row>
        <row r="2018">
          <cell r="AK2018">
            <v>54</v>
          </cell>
        </row>
        <row r="2019">
          <cell r="A2019" t="str">
            <v>SBC1119</v>
          </cell>
        </row>
        <row r="2019">
          <cell r="AK2019">
            <v>54</v>
          </cell>
        </row>
        <row r="2020">
          <cell r="A2020" t="str">
            <v>SWP298</v>
          </cell>
        </row>
        <row r="2020">
          <cell r="AK2020">
            <v>54</v>
          </cell>
        </row>
        <row r="2021">
          <cell r="A2021" t="str">
            <v>SBC1163</v>
          </cell>
        </row>
        <row r="2021">
          <cell r="AK2021">
            <v>54</v>
          </cell>
        </row>
        <row r="2022">
          <cell r="A2022" t="str">
            <v>SBC1197</v>
          </cell>
        </row>
        <row r="2022">
          <cell r="AK2022">
            <v>54</v>
          </cell>
        </row>
        <row r="2023">
          <cell r="A2023" t="str">
            <v>SCC2100</v>
          </cell>
        </row>
        <row r="2023">
          <cell r="AK2023">
            <v>54</v>
          </cell>
        </row>
        <row r="2024">
          <cell r="A2024" t="str">
            <v>SWP344</v>
          </cell>
        </row>
        <row r="2024">
          <cell r="AK2024">
            <v>54</v>
          </cell>
        </row>
        <row r="2025">
          <cell r="A2025" t="str">
            <v>STC12022</v>
          </cell>
        </row>
        <row r="2025">
          <cell r="AK2025">
            <v>54</v>
          </cell>
        </row>
        <row r="2026">
          <cell r="A2026" t="str">
            <v>STC12026</v>
          </cell>
        </row>
        <row r="2026">
          <cell r="AK2026">
            <v>54</v>
          </cell>
        </row>
        <row r="2027">
          <cell r="A2027" t="str">
            <v>SWC5088</v>
          </cell>
        </row>
        <row r="2027">
          <cell r="AK2027">
            <v>54</v>
          </cell>
        </row>
        <row r="2028">
          <cell r="A2028" t="str">
            <v>SWP024</v>
          </cell>
        </row>
        <row r="2028">
          <cell r="AK2028">
            <v>53</v>
          </cell>
        </row>
        <row r="2029">
          <cell r="A2029" t="str">
            <v>SWP244H</v>
          </cell>
        </row>
        <row r="2029">
          <cell r="AK2029">
            <v>53</v>
          </cell>
        </row>
        <row r="2030">
          <cell r="A2030" t="str">
            <v>SWP104</v>
          </cell>
        </row>
        <row r="2030">
          <cell r="AK2030">
            <v>53</v>
          </cell>
        </row>
        <row r="2031">
          <cell r="A2031" t="str">
            <v>SCC2049</v>
          </cell>
        </row>
        <row r="2031">
          <cell r="AK2031">
            <v>53</v>
          </cell>
        </row>
        <row r="2032">
          <cell r="A2032" t="str">
            <v>SBS8006</v>
          </cell>
        </row>
        <row r="2032">
          <cell r="AK2032">
            <v>53</v>
          </cell>
        </row>
        <row r="2033">
          <cell r="A2033" t="str">
            <v>SBS8041</v>
          </cell>
        </row>
        <row r="2033">
          <cell r="AK2033">
            <v>53</v>
          </cell>
        </row>
        <row r="2034">
          <cell r="A2034" t="str">
            <v>SBC1203</v>
          </cell>
        </row>
        <row r="2034">
          <cell r="AK2034">
            <v>53</v>
          </cell>
        </row>
        <row r="2035">
          <cell r="A2035" t="str">
            <v>SVP6033</v>
          </cell>
        </row>
        <row r="2035">
          <cell r="AK2035">
            <v>53</v>
          </cell>
        </row>
        <row r="2036">
          <cell r="A2036" t="str">
            <v>STC12033</v>
          </cell>
        </row>
        <row r="2036">
          <cell r="AK2036">
            <v>53</v>
          </cell>
        </row>
        <row r="2037">
          <cell r="A2037" t="str">
            <v>SWC5085</v>
          </cell>
        </row>
        <row r="2037">
          <cell r="AK2037">
            <v>53</v>
          </cell>
        </row>
        <row r="2038">
          <cell r="A2038" t="str">
            <v>SWP163</v>
          </cell>
        </row>
        <row r="2038">
          <cell r="AK2038">
            <v>52</v>
          </cell>
        </row>
        <row r="2039">
          <cell r="A2039" t="str">
            <v>SWP218</v>
          </cell>
        </row>
        <row r="2039">
          <cell r="AK2039">
            <v>52</v>
          </cell>
        </row>
        <row r="2040">
          <cell r="A2040" t="str">
            <v>SCS4021</v>
          </cell>
        </row>
        <row r="2040">
          <cell r="AK2040">
            <v>52</v>
          </cell>
        </row>
        <row r="2041">
          <cell r="A2041" t="str">
            <v>SBC1102</v>
          </cell>
        </row>
        <row r="2041">
          <cell r="AK2041">
            <v>52</v>
          </cell>
        </row>
        <row r="2042">
          <cell r="A2042" t="str">
            <v>SCC2068</v>
          </cell>
        </row>
        <row r="2042">
          <cell r="AK2042">
            <v>52</v>
          </cell>
        </row>
        <row r="2043">
          <cell r="A2043" t="str">
            <v>SBS8073PB</v>
          </cell>
        </row>
        <row r="2043">
          <cell r="AK2043">
            <v>52</v>
          </cell>
        </row>
        <row r="2044">
          <cell r="A2044" t="str">
            <v>SWP013</v>
          </cell>
        </row>
        <row r="2044">
          <cell r="AK2044">
            <v>51</v>
          </cell>
        </row>
        <row r="2045">
          <cell r="A2045" t="str">
            <v>SBS8051</v>
          </cell>
        </row>
        <row r="2045">
          <cell r="AK2045">
            <v>51</v>
          </cell>
        </row>
        <row r="2046">
          <cell r="A2046" t="str">
            <v>SHP11001</v>
          </cell>
        </row>
        <row r="2046">
          <cell r="AK2046">
            <v>51</v>
          </cell>
        </row>
        <row r="2047">
          <cell r="A2047" t="str">
            <v>SBS8134PB</v>
          </cell>
        </row>
        <row r="2047">
          <cell r="AK2047">
            <v>51</v>
          </cell>
        </row>
        <row r="2048">
          <cell r="A2048" t="str">
            <v>SBC1225</v>
          </cell>
        </row>
        <row r="2048">
          <cell r="AK2048">
            <v>51</v>
          </cell>
        </row>
        <row r="2049">
          <cell r="A2049" t="str">
            <v>SCC2022</v>
          </cell>
        </row>
        <row r="2049">
          <cell r="AK2049">
            <v>50</v>
          </cell>
        </row>
        <row r="2050">
          <cell r="A2050" t="str">
            <v>SWP211H</v>
          </cell>
        </row>
        <row r="2050">
          <cell r="AK2050">
            <v>50</v>
          </cell>
        </row>
        <row r="2051">
          <cell r="A2051" t="str">
            <v>SFC7000</v>
          </cell>
        </row>
        <row r="2051">
          <cell r="AK2051">
            <v>50</v>
          </cell>
        </row>
        <row r="2052">
          <cell r="A2052" t="str">
            <v>SWC5005</v>
          </cell>
        </row>
        <row r="2052">
          <cell r="AK2052">
            <v>50</v>
          </cell>
        </row>
        <row r="2053">
          <cell r="A2053" t="str">
            <v>SVP6035</v>
          </cell>
        </row>
        <row r="2053">
          <cell r="AK2053">
            <v>50</v>
          </cell>
        </row>
        <row r="2054">
          <cell r="A2054" t="str">
            <v>SWC5096</v>
          </cell>
        </row>
        <row r="2054">
          <cell r="AK2054">
            <v>50</v>
          </cell>
        </row>
        <row r="2055">
          <cell r="A2055" t="str">
            <v>SBC1241</v>
          </cell>
        </row>
        <row r="2055">
          <cell r="AK2055">
            <v>50</v>
          </cell>
        </row>
        <row r="2056">
          <cell r="A2056" t="str">
            <v>SBB13137</v>
          </cell>
        </row>
        <row r="2056">
          <cell r="AK2056">
            <v>50</v>
          </cell>
        </row>
        <row r="2057">
          <cell r="A2057" t="str">
            <v>SWP054</v>
          </cell>
        </row>
        <row r="2057">
          <cell r="AK2057">
            <v>49</v>
          </cell>
        </row>
        <row r="2058">
          <cell r="A2058" t="str">
            <v>SBC1038</v>
          </cell>
        </row>
        <row r="2058">
          <cell r="AK2058">
            <v>49</v>
          </cell>
        </row>
        <row r="2059">
          <cell r="A2059" t="str">
            <v>SCC2014</v>
          </cell>
        </row>
        <row r="2059">
          <cell r="AK2059">
            <v>49</v>
          </cell>
        </row>
        <row r="2060">
          <cell r="A2060" t="str">
            <v>SCC2047</v>
          </cell>
        </row>
        <row r="2060">
          <cell r="AK2060">
            <v>49</v>
          </cell>
        </row>
        <row r="2061">
          <cell r="A2061" t="str">
            <v>SBC1112</v>
          </cell>
        </row>
        <row r="2061">
          <cell r="AK2061">
            <v>49</v>
          </cell>
        </row>
        <row r="2062">
          <cell r="A2062" t="str">
            <v>SWP311</v>
          </cell>
        </row>
        <row r="2062">
          <cell r="AK2062">
            <v>49</v>
          </cell>
        </row>
        <row r="2063">
          <cell r="A2063" t="str">
            <v>SVP6043</v>
          </cell>
        </row>
        <row r="2063">
          <cell r="AK2063">
            <v>49</v>
          </cell>
        </row>
        <row r="2064">
          <cell r="A2064" t="str">
            <v>SBC1182</v>
          </cell>
        </row>
        <row r="2064">
          <cell r="AK2064">
            <v>49</v>
          </cell>
        </row>
        <row r="2065">
          <cell r="A2065" t="str">
            <v>SWC5104</v>
          </cell>
        </row>
        <row r="2065">
          <cell r="AK2065">
            <v>49</v>
          </cell>
        </row>
        <row r="2066">
          <cell r="A2066" t="str">
            <v>SBC1221</v>
          </cell>
        </row>
        <row r="2066">
          <cell r="AK2066">
            <v>49</v>
          </cell>
        </row>
        <row r="2067">
          <cell r="A2067" t="str">
            <v>SWC5064L</v>
          </cell>
        </row>
        <row r="2067">
          <cell r="AK2067">
            <v>49</v>
          </cell>
        </row>
        <row r="2068">
          <cell r="A2068" t="str">
            <v>SBC1030</v>
          </cell>
        </row>
        <row r="2068">
          <cell r="AK2068">
            <v>48</v>
          </cell>
        </row>
        <row r="2069">
          <cell r="A2069" t="str">
            <v>SBC1057</v>
          </cell>
        </row>
        <row r="2069">
          <cell r="AK2069">
            <v>48</v>
          </cell>
        </row>
        <row r="2070">
          <cell r="A2070" t="str">
            <v>SBS8067</v>
          </cell>
        </row>
        <row r="2070">
          <cell r="AK2070">
            <v>48</v>
          </cell>
        </row>
        <row r="2071">
          <cell r="A2071" t="str">
            <v>SBC1209</v>
          </cell>
        </row>
        <row r="2071">
          <cell r="AK2071">
            <v>48</v>
          </cell>
        </row>
        <row r="2072">
          <cell r="A2072" t="str">
            <v>SWP388</v>
          </cell>
        </row>
        <row r="2072">
          <cell r="AK2072">
            <v>48</v>
          </cell>
        </row>
        <row r="2073">
          <cell r="A2073" t="str">
            <v>SWP391</v>
          </cell>
        </row>
        <row r="2073">
          <cell r="AK2073">
            <v>48</v>
          </cell>
        </row>
        <row r="2074">
          <cell r="A2074" t="str">
            <v>STC12002</v>
          </cell>
        </row>
        <row r="2074">
          <cell r="AK2074">
            <v>48</v>
          </cell>
        </row>
        <row r="2075">
          <cell r="A2075" t="str">
            <v>SBC1243</v>
          </cell>
        </row>
        <row r="2075">
          <cell r="AK2075">
            <v>48</v>
          </cell>
        </row>
        <row r="2076">
          <cell r="A2076" t="str">
            <v>SBC1245</v>
          </cell>
        </row>
        <row r="2076">
          <cell r="AK2076">
            <v>48</v>
          </cell>
        </row>
        <row r="2077">
          <cell r="A2077" t="str">
            <v>SWC5065L</v>
          </cell>
        </row>
        <row r="2077">
          <cell r="AK2077">
            <v>48</v>
          </cell>
        </row>
        <row r="2078">
          <cell r="A2078" t="str">
            <v>SWP043</v>
          </cell>
        </row>
        <row r="2078">
          <cell r="AK2078">
            <v>47</v>
          </cell>
        </row>
        <row r="2079">
          <cell r="A2079" t="str">
            <v>SWP179</v>
          </cell>
        </row>
        <row r="2079">
          <cell r="AK2079">
            <v>47</v>
          </cell>
        </row>
        <row r="2080">
          <cell r="A2080" t="str">
            <v>SBC1118</v>
          </cell>
        </row>
        <row r="2080">
          <cell r="AK2080">
            <v>47</v>
          </cell>
        </row>
        <row r="2081">
          <cell r="A2081" t="str">
            <v>SOC9081</v>
          </cell>
        </row>
        <row r="2081">
          <cell r="AK2081">
            <v>47</v>
          </cell>
        </row>
        <row r="2082">
          <cell r="A2082" t="str">
            <v>STC12047</v>
          </cell>
        </row>
        <row r="2082">
          <cell r="AK2082">
            <v>47</v>
          </cell>
        </row>
        <row r="2083">
          <cell r="A2083" t="str">
            <v>SWC5064R</v>
          </cell>
        </row>
        <row r="2083">
          <cell r="AK2083">
            <v>47</v>
          </cell>
        </row>
        <row r="2084">
          <cell r="A2084" t="str">
            <v>SBB13017</v>
          </cell>
        </row>
        <row r="2084">
          <cell r="AK2084">
            <v>47</v>
          </cell>
        </row>
        <row r="2085">
          <cell r="A2085" t="str">
            <v>SWP158</v>
          </cell>
        </row>
        <row r="2085">
          <cell r="AK2085">
            <v>46</v>
          </cell>
        </row>
        <row r="2086">
          <cell r="A2086" t="str">
            <v>SSC3016</v>
          </cell>
        </row>
        <row r="2086">
          <cell r="AK2086">
            <v>46</v>
          </cell>
        </row>
        <row r="2087">
          <cell r="A2087" t="str">
            <v>SBC1159</v>
          </cell>
        </row>
        <row r="2087">
          <cell r="AK2087">
            <v>46</v>
          </cell>
        </row>
        <row r="2088">
          <cell r="A2088" t="str">
            <v>SBS8036</v>
          </cell>
        </row>
        <row r="2088">
          <cell r="AK2088">
            <v>46</v>
          </cell>
        </row>
        <row r="2089">
          <cell r="A2089" t="str">
            <v>SBC1199</v>
          </cell>
        </row>
        <row r="2089">
          <cell r="AK2089">
            <v>46</v>
          </cell>
        </row>
        <row r="2090">
          <cell r="A2090" t="str">
            <v>STC12057</v>
          </cell>
        </row>
        <row r="2090">
          <cell r="AK2090">
            <v>46</v>
          </cell>
        </row>
        <row r="2091">
          <cell r="A2091" t="str">
            <v>SSC3063</v>
          </cell>
        </row>
        <row r="2091">
          <cell r="AK2091">
            <v>46</v>
          </cell>
        </row>
        <row r="2092">
          <cell r="A2092" t="str">
            <v>SWP066</v>
          </cell>
        </row>
        <row r="2092">
          <cell r="AK2092">
            <v>45</v>
          </cell>
        </row>
        <row r="2093">
          <cell r="A2093" t="str">
            <v>SSC3014</v>
          </cell>
        </row>
        <row r="2093">
          <cell r="AK2093">
            <v>45</v>
          </cell>
        </row>
        <row r="2094">
          <cell r="A2094" t="str">
            <v>SBC1098</v>
          </cell>
        </row>
        <row r="2094">
          <cell r="AK2094">
            <v>45</v>
          </cell>
        </row>
        <row r="2095">
          <cell r="A2095" t="str">
            <v>SVP6025</v>
          </cell>
        </row>
        <row r="2095">
          <cell r="AK2095">
            <v>45</v>
          </cell>
        </row>
        <row r="2096">
          <cell r="A2096" t="str">
            <v>SCC2099</v>
          </cell>
        </row>
        <row r="2096">
          <cell r="AK2096">
            <v>45</v>
          </cell>
        </row>
        <row r="2097">
          <cell r="A2097" t="str">
            <v>SBS8091</v>
          </cell>
        </row>
        <row r="2097">
          <cell r="AK2097">
            <v>45</v>
          </cell>
        </row>
        <row r="2098">
          <cell r="A2098" t="str">
            <v>SWC5086</v>
          </cell>
        </row>
        <row r="2098">
          <cell r="AK2098">
            <v>45</v>
          </cell>
        </row>
        <row r="2099">
          <cell r="A2099" t="str">
            <v>SWP052</v>
          </cell>
        </row>
        <row r="2099">
          <cell r="AK2099">
            <v>44</v>
          </cell>
        </row>
        <row r="2100">
          <cell r="A2100" t="str">
            <v>SWP180</v>
          </cell>
        </row>
        <row r="2100">
          <cell r="AK2100">
            <v>44</v>
          </cell>
        </row>
        <row r="2101">
          <cell r="A2101" t="str">
            <v>SWP271</v>
          </cell>
        </row>
        <row r="2101">
          <cell r="AK2101">
            <v>44</v>
          </cell>
        </row>
        <row r="2102">
          <cell r="A2102" t="str">
            <v>SBC1070</v>
          </cell>
        </row>
        <row r="2102">
          <cell r="AK2102">
            <v>44</v>
          </cell>
        </row>
        <row r="2103">
          <cell r="A2103" t="str">
            <v>SCC2009</v>
          </cell>
        </row>
        <row r="2103">
          <cell r="AK2103">
            <v>44</v>
          </cell>
        </row>
        <row r="2104">
          <cell r="A2104" t="str">
            <v>SVP6005</v>
          </cell>
        </row>
        <row r="2104">
          <cell r="AK2104">
            <v>44</v>
          </cell>
        </row>
        <row r="2105">
          <cell r="A2105" t="str">
            <v>SFC7004</v>
          </cell>
        </row>
        <row r="2105">
          <cell r="AK2105">
            <v>44</v>
          </cell>
        </row>
        <row r="2106">
          <cell r="A2106" t="str">
            <v>SWC5001</v>
          </cell>
        </row>
        <row r="2106">
          <cell r="AK2106">
            <v>44</v>
          </cell>
        </row>
        <row r="2107">
          <cell r="A2107" t="str">
            <v>SBC1154</v>
          </cell>
        </row>
        <row r="2107">
          <cell r="AK2107">
            <v>44</v>
          </cell>
        </row>
        <row r="2108">
          <cell r="A2108" t="str">
            <v>SBS8105PB</v>
          </cell>
        </row>
        <row r="2108">
          <cell r="AK2108">
            <v>44</v>
          </cell>
        </row>
        <row r="2109">
          <cell r="A2109" t="str">
            <v>SWP382</v>
          </cell>
        </row>
        <row r="2109">
          <cell r="AK2109">
            <v>44</v>
          </cell>
        </row>
        <row r="2110">
          <cell r="A2110" t="str">
            <v>SCC2123</v>
          </cell>
        </row>
        <row r="2110">
          <cell r="AK2110">
            <v>44</v>
          </cell>
        </row>
        <row r="2111">
          <cell r="A2111" t="str">
            <v>SWP020</v>
          </cell>
        </row>
        <row r="2111">
          <cell r="AK2111">
            <v>43</v>
          </cell>
        </row>
        <row r="2112">
          <cell r="A2112" t="str">
            <v>SVP6002</v>
          </cell>
        </row>
        <row r="2112">
          <cell r="AK2112">
            <v>43</v>
          </cell>
        </row>
        <row r="2113">
          <cell r="A2113" t="str">
            <v>SVP6026</v>
          </cell>
        </row>
        <row r="2113">
          <cell r="AK2113">
            <v>43</v>
          </cell>
        </row>
        <row r="2114">
          <cell r="A2114" t="str">
            <v>SVP6027</v>
          </cell>
        </row>
        <row r="2114">
          <cell r="AK2114">
            <v>43</v>
          </cell>
        </row>
        <row r="2115">
          <cell r="A2115" t="str">
            <v>SBS8062</v>
          </cell>
        </row>
        <row r="2115">
          <cell r="AK2115">
            <v>43</v>
          </cell>
        </row>
        <row r="2116">
          <cell r="A2116" t="str">
            <v>SVP6049</v>
          </cell>
        </row>
        <row r="2116">
          <cell r="AK2116">
            <v>43</v>
          </cell>
        </row>
        <row r="2117">
          <cell r="A2117" t="str">
            <v>SBS8119PB</v>
          </cell>
        </row>
        <row r="2117">
          <cell r="AK2117">
            <v>43</v>
          </cell>
        </row>
        <row r="2118">
          <cell r="A2118" t="str">
            <v>STC12060</v>
          </cell>
        </row>
        <row r="2118">
          <cell r="AK2118">
            <v>43</v>
          </cell>
        </row>
        <row r="2119">
          <cell r="A2119" t="str">
            <v>SBB13002</v>
          </cell>
        </row>
        <row r="2119">
          <cell r="AK2119">
            <v>43</v>
          </cell>
        </row>
        <row r="2120">
          <cell r="A2120" t="str">
            <v>SWP188</v>
          </cell>
        </row>
        <row r="2120">
          <cell r="AK2120">
            <v>42</v>
          </cell>
        </row>
        <row r="2121">
          <cell r="A2121" t="str">
            <v>SSC3008</v>
          </cell>
        </row>
        <row r="2121">
          <cell r="AK2121">
            <v>42</v>
          </cell>
        </row>
        <row r="2122">
          <cell r="A2122" t="str">
            <v>SBC1079</v>
          </cell>
        </row>
        <row r="2122">
          <cell r="AK2122">
            <v>42</v>
          </cell>
        </row>
        <row r="2123">
          <cell r="A2123" t="str">
            <v>SBC1200</v>
          </cell>
        </row>
        <row r="2123">
          <cell r="AK2123">
            <v>42</v>
          </cell>
        </row>
        <row r="2124">
          <cell r="A2124" t="str">
            <v>STC12027</v>
          </cell>
        </row>
        <row r="2124">
          <cell r="AK2124">
            <v>42</v>
          </cell>
        </row>
        <row r="2125">
          <cell r="A2125" t="str">
            <v>SBS8106PB</v>
          </cell>
        </row>
        <row r="2125">
          <cell r="AK2125">
            <v>42</v>
          </cell>
        </row>
        <row r="2126">
          <cell r="A2126" t="str">
            <v>SSC3053</v>
          </cell>
        </row>
        <row r="2126">
          <cell r="AK2126">
            <v>42</v>
          </cell>
        </row>
        <row r="2127">
          <cell r="A2127" t="str">
            <v>SWP233</v>
          </cell>
        </row>
        <row r="2127">
          <cell r="AK2127">
            <v>41</v>
          </cell>
        </row>
        <row r="2128">
          <cell r="A2128" t="str">
            <v>SBC1018</v>
          </cell>
        </row>
        <row r="2128">
          <cell r="AK2128">
            <v>41</v>
          </cell>
        </row>
        <row r="2129">
          <cell r="A2129" t="str">
            <v>SCC2023</v>
          </cell>
        </row>
        <row r="2129">
          <cell r="AK2129">
            <v>41</v>
          </cell>
        </row>
        <row r="2130">
          <cell r="A2130" t="str">
            <v>SVP6006</v>
          </cell>
        </row>
        <row r="2130">
          <cell r="AK2130">
            <v>41</v>
          </cell>
        </row>
        <row r="2131">
          <cell r="A2131" t="str">
            <v>SFC7001</v>
          </cell>
        </row>
        <row r="2131">
          <cell r="AK2131">
            <v>41</v>
          </cell>
        </row>
        <row r="2132">
          <cell r="A2132" t="str">
            <v>SCC2104</v>
          </cell>
        </row>
        <row r="2132">
          <cell r="AK2132">
            <v>41</v>
          </cell>
        </row>
        <row r="2133">
          <cell r="A2133" t="str">
            <v>SVP6056</v>
          </cell>
        </row>
        <row r="2133">
          <cell r="AK2133">
            <v>41</v>
          </cell>
        </row>
        <row r="2134">
          <cell r="A2134" t="str">
            <v>SWP015</v>
          </cell>
        </row>
        <row r="2134">
          <cell r="AK2134">
            <v>40</v>
          </cell>
        </row>
        <row r="2135">
          <cell r="A2135" t="str">
            <v>SWP091</v>
          </cell>
        </row>
        <row r="2135">
          <cell r="AK2135">
            <v>40</v>
          </cell>
        </row>
        <row r="2136">
          <cell r="A2136" t="str">
            <v>SBC1026</v>
          </cell>
        </row>
        <row r="2136">
          <cell r="AK2136">
            <v>40</v>
          </cell>
        </row>
        <row r="2137">
          <cell r="A2137" t="str">
            <v>SCS4007</v>
          </cell>
        </row>
        <row r="2137">
          <cell r="AK2137">
            <v>40</v>
          </cell>
        </row>
        <row r="2138">
          <cell r="A2138" t="str">
            <v>SFC7019</v>
          </cell>
        </row>
        <row r="2138">
          <cell r="AK2138">
            <v>40</v>
          </cell>
        </row>
        <row r="2139">
          <cell r="A2139" t="str">
            <v>SWP306</v>
          </cell>
        </row>
        <row r="2139">
          <cell r="AK2139">
            <v>40</v>
          </cell>
        </row>
        <row r="2140">
          <cell r="A2140" t="str">
            <v>SWC5024</v>
          </cell>
        </row>
        <row r="2140">
          <cell r="AK2140">
            <v>40</v>
          </cell>
        </row>
        <row r="2141">
          <cell r="A2141" t="str">
            <v>SBC1168</v>
          </cell>
        </row>
        <row r="2141">
          <cell r="AK2141">
            <v>40</v>
          </cell>
        </row>
        <row r="2142">
          <cell r="A2142" t="str">
            <v>SCC2085</v>
          </cell>
        </row>
        <row r="2142">
          <cell r="AK2142">
            <v>40</v>
          </cell>
        </row>
        <row r="2143">
          <cell r="A2143" t="str">
            <v>SCC2098</v>
          </cell>
        </row>
        <row r="2143">
          <cell r="AK2143">
            <v>40</v>
          </cell>
        </row>
        <row r="2144">
          <cell r="A2144" t="str">
            <v>SBS8128PB</v>
          </cell>
        </row>
        <row r="2144">
          <cell r="AK2144">
            <v>40</v>
          </cell>
        </row>
        <row r="2145">
          <cell r="A2145" t="str">
            <v>SWC5087</v>
          </cell>
        </row>
        <row r="2145">
          <cell r="AK2145">
            <v>40</v>
          </cell>
        </row>
        <row r="2146">
          <cell r="A2146" t="str">
            <v>SCC2059</v>
          </cell>
        </row>
        <row r="2146">
          <cell r="AK2146">
            <v>39</v>
          </cell>
        </row>
        <row r="2147">
          <cell r="A2147" t="str">
            <v>SFC7007</v>
          </cell>
        </row>
        <row r="2147">
          <cell r="AK2147">
            <v>39</v>
          </cell>
        </row>
        <row r="2148">
          <cell r="A2148" t="str">
            <v>SBS8013</v>
          </cell>
        </row>
        <row r="2148">
          <cell r="AK2148">
            <v>39</v>
          </cell>
        </row>
        <row r="2149">
          <cell r="A2149" t="str">
            <v>SBC1206M</v>
          </cell>
        </row>
        <row r="2149">
          <cell r="AK2149">
            <v>39</v>
          </cell>
        </row>
        <row r="2150">
          <cell r="A2150" t="str">
            <v>STC12013</v>
          </cell>
        </row>
        <row r="2150">
          <cell r="AK2150">
            <v>39</v>
          </cell>
        </row>
        <row r="2151">
          <cell r="A2151" t="str">
            <v>STC12043</v>
          </cell>
        </row>
        <row r="2151">
          <cell r="AK2151">
            <v>39</v>
          </cell>
        </row>
        <row r="2152">
          <cell r="A2152" t="str">
            <v>SWC5069L</v>
          </cell>
        </row>
        <row r="2152">
          <cell r="AK2152">
            <v>39</v>
          </cell>
        </row>
        <row r="2153">
          <cell r="A2153" t="str">
            <v>SWP036</v>
          </cell>
        </row>
        <row r="2153">
          <cell r="AK2153">
            <v>38</v>
          </cell>
        </row>
        <row r="2154">
          <cell r="A2154" t="str">
            <v>SWP119</v>
          </cell>
        </row>
        <row r="2154">
          <cell r="AK2154">
            <v>38</v>
          </cell>
        </row>
        <row r="2155">
          <cell r="A2155" t="str">
            <v>SWP270H</v>
          </cell>
        </row>
        <row r="2155">
          <cell r="AK2155">
            <v>38</v>
          </cell>
        </row>
        <row r="2156">
          <cell r="A2156" t="str">
            <v>SPF5001K</v>
          </cell>
        </row>
        <row r="2156">
          <cell r="AK2156">
            <v>38</v>
          </cell>
        </row>
        <row r="2157">
          <cell r="A2157" t="str">
            <v>SFC7017</v>
          </cell>
        </row>
        <row r="2157">
          <cell r="AK2157">
            <v>38</v>
          </cell>
        </row>
        <row r="2158">
          <cell r="A2158" t="str">
            <v>SBC1150</v>
          </cell>
        </row>
        <row r="2158">
          <cell r="AK2158">
            <v>38</v>
          </cell>
        </row>
        <row r="2159">
          <cell r="A2159" t="str">
            <v>SBS8032</v>
          </cell>
        </row>
        <row r="2159">
          <cell r="AK2159">
            <v>38</v>
          </cell>
        </row>
        <row r="2160">
          <cell r="A2160" t="str">
            <v>SCC2094</v>
          </cell>
        </row>
        <row r="2160">
          <cell r="AK2160">
            <v>38</v>
          </cell>
        </row>
        <row r="2161">
          <cell r="A2161" t="str">
            <v>SCC2084</v>
          </cell>
        </row>
        <row r="2161">
          <cell r="AK2161">
            <v>38</v>
          </cell>
        </row>
        <row r="2162">
          <cell r="A2162" t="str">
            <v>SVP6018A</v>
          </cell>
        </row>
        <row r="2162">
          <cell r="AK2162">
            <v>38</v>
          </cell>
        </row>
        <row r="2163">
          <cell r="A2163" t="str">
            <v>STC12036</v>
          </cell>
        </row>
        <row r="2163">
          <cell r="AK2163">
            <v>38</v>
          </cell>
        </row>
        <row r="2164">
          <cell r="A2164" t="str">
            <v>STC12038</v>
          </cell>
        </row>
        <row r="2164">
          <cell r="AK2164">
            <v>38</v>
          </cell>
        </row>
        <row r="2165">
          <cell r="A2165" t="str">
            <v>STC12039</v>
          </cell>
        </row>
        <row r="2165">
          <cell r="AK2165">
            <v>38</v>
          </cell>
        </row>
        <row r="2166">
          <cell r="A2166" t="str">
            <v>SBS8123</v>
          </cell>
        </row>
        <row r="2166">
          <cell r="AK2166">
            <v>38</v>
          </cell>
        </row>
        <row r="2167">
          <cell r="A2167" t="str">
            <v>SBC1223</v>
          </cell>
        </row>
        <row r="2167">
          <cell r="AK2167">
            <v>38</v>
          </cell>
        </row>
        <row r="2168">
          <cell r="A2168" t="str">
            <v>SWP243</v>
          </cell>
        </row>
        <row r="2168">
          <cell r="AK2168">
            <v>37</v>
          </cell>
        </row>
        <row r="2169">
          <cell r="A2169" t="str">
            <v>SBC1037</v>
          </cell>
        </row>
        <row r="2169">
          <cell r="AK2169">
            <v>37</v>
          </cell>
        </row>
        <row r="2170">
          <cell r="A2170" t="str">
            <v>SBC1066</v>
          </cell>
        </row>
        <row r="2170">
          <cell r="AK2170">
            <v>37</v>
          </cell>
        </row>
        <row r="2171">
          <cell r="A2171" t="str">
            <v>SBS8047</v>
          </cell>
        </row>
        <row r="2171">
          <cell r="AK2171">
            <v>37</v>
          </cell>
        </row>
        <row r="2172">
          <cell r="A2172" t="str">
            <v>STC12016</v>
          </cell>
        </row>
        <row r="2172">
          <cell r="AK2172">
            <v>37</v>
          </cell>
        </row>
        <row r="2173">
          <cell r="A2173" t="str">
            <v>SOC9089</v>
          </cell>
        </row>
        <row r="2173">
          <cell r="AK2173">
            <v>37</v>
          </cell>
        </row>
        <row r="2174">
          <cell r="A2174" t="str">
            <v>SOC9095</v>
          </cell>
        </row>
        <row r="2174">
          <cell r="AK2174">
            <v>37</v>
          </cell>
        </row>
        <row r="2175">
          <cell r="A2175" t="str">
            <v>SCC2118</v>
          </cell>
        </row>
        <row r="2175">
          <cell r="AK2175">
            <v>37</v>
          </cell>
        </row>
        <row r="2176">
          <cell r="A2176" t="str">
            <v>SBC1092</v>
          </cell>
        </row>
        <row r="2176">
          <cell r="AK2176">
            <v>36</v>
          </cell>
        </row>
        <row r="2177">
          <cell r="A2177" t="str">
            <v>SBC1107</v>
          </cell>
        </row>
        <row r="2177">
          <cell r="AK2177">
            <v>36</v>
          </cell>
        </row>
        <row r="2178">
          <cell r="A2178" t="str">
            <v>SFC7012</v>
          </cell>
        </row>
        <row r="2178">
          <cell r="AK2178">
            <v>36</v>
          </cell>
        </row>
        <row r="2179">
          <cell r="A2179" t="str">
            <v>SSC3043</v>
          </cell>
        </row>
        <row r="2179">
          <cell r="AK2179">
            <v>36</v>
          </cell>
        </row>
        <row r="2180">
          <cell r="A2180" t="str">
            <v>SBS8092</v>
          </cell>
        </row>
        <row r="2180">
          <cell r="AK2180">
            <v>36</v>
          </cell>
        </row>
        <row r="2181">
          <cell r="A2181" t="str">
            <v>STC12021</v>
          </cell>
        </row>
        <row r="2181">
          <cell r="AK2181">
            <v>36</v>
          </cell>
        </row>
        <row r="2182">
          <cell r="A2182" t="str">
            <v>SBC1249</v>
          </cell>
        </row>
        <row r="2182">
          <cell r="AK2182">
            <v>36</v>
          </cell>
        </row>
        <row r="2183">
          <cell r="A2183" t="str">
            <v>SWP039</v>
          </cell>
        </row>
        <row r="2183">
          <cell r="AK2183">
            <v>35</v>
          </cell>
        </row>
        <row r="2184">
          <cell r="A2184" t="str">
            <v>SWP223</v>
          </cell>
        </row>
        <row r="2184">
          <cell r="AK2184">
            <v>35</v>
          </cell>
        </row>
        <row r="2185">
          <cell r="A2185" t="str">
            <v>SBC1034</v>
          </cell>
        </row>
        <row r="2185">
          <cell r="AK2185">
            <v>35</v>
          </cell>
        </row>
        <row r="2186">
          <cell r="A2186" t="str">
            <v>SWP278</v>
          </cell>
        </row>
        <row r="2186">
          <cell r="AK2186">
            <v>35</v>
          </cell>
        </row>
        <row r="2187">
          <cell r="A2187" t="str">
            <v>SBS8004</v>
          </cell>
        </row>
        <row r="2187">
          <cell r="AK2187">
            <v>35</v>
          </cell>
        </row>
        <row r="2188">
          <cell r="A2188" t="str">
            <v>SWP329</v>
          </cell>
        </row>
        <row r="2188">
          <cell r="AK2188">
            <v>35</v>
          </cell>
        </row>
        <row r="2189">
          <cell r="A2189" t="str">
            <v>SVP6047</v>
          </cell>
        </row>
        <row r="2189">
          <cell r="AK2189">
            <v>35</v>
          </cell>
        </row>
        <row r="2190">
          <cell r="A2190" t="str">
            <v>SBC1207A</v>
          </cell>
        </row>
        <row r="2190">
          <cell r="AK2190">
            <v>35</v>
          </cell>
        </row>
        <row r="2191">
          <cell r="A2191" t="str">
            <v>STC12048</v>
          </cell>
        </row>
        <row r="2191">
          <cell r="AK2191">
            <v>35</v>
          </cell>
        </row>
        <row r="2192">
          <cell r="A2192" t="str">
            <v>SBS8125PB</v>
          </cell>
        </row>
        <row r="2192">
          <cell r="AK2192">
            <v>35</v>
          </cell>
        </row>
        <row r="2193">
          <cell r="A2193" t="str">
            <v>SOC9087</v>
          </cell>
        </row>
        <row r="2193">
          <cell r="AK2193">
            <v>35</v>
          </cell>
        </row>
        <row r="2194">
          <cell r="A2194" t="str">
            <v>SBC1256</v>
          </cell>
        </row>
        <row r="2194">
          <cell r="AK2194">
            <v>35</v>
          </cell>
        </row>
        <row r="2195">
          <cell r="A2195" t="str">
            <v>SWP077</v>
          </cell>
        </row>
        <row r="2195">
          <cell r="AK2195">
            <v>34</v>
          </cell>
        </row>
        <row r="2196">
          <cell r="A2196" t="str">
            <v>SWP182</v>
          </cell>
        </row>
        <row r="2196">
          <cell r="AK2196">
            <v>34</v>
          </cell>
        </row>
        <row r="2197">
          <cell r="A2197" t="str">
            <v>SWP216</v>
          </cell>
        </row>
        <row r="2197">
          <cell r="AK2197">
            <v>34</v>
          </cell>
        </row>
        <row r="2198">
          <cell r="A2198" t="str">
            <v>SBC1016</v>
          </cell>
        </row>
        <row r="2198">
          <cell r="AK2198">
            <v>34</v>
          </cell>
        </row>
        <row r="2199">
          <cell r="A2199" t="str">
            <v>SBC1076</v>
          </cell>
        </row>
        <row r="2199">
          <cell r="AK2199">
            <v>34</v>
          </cell>
        </row>
        <row r="2200">
          <cell r="A2200" t="str">
            <v>SCS4016</v>
          </cell>
        </row>
        <row r="2200">
          <cell r="AK2200">
            <v>34</v>
          </cell>
        </row>
        <row r="2201">
          <cell r="A2201" t="str">
            <v>SCS4026</v>
          </cell>
        </row>
        <row r="2201">
          <cell r="AK2201">
            <v>34</v>
          </cell>
        </row>
        <row r="2202">
          <cell r="A2202" t="str">
            <v>SBC1083</v>
          </cell>
        </row>
        <row r="2202">
          <cell r="AK2202">
            <v>34</v>
          </cell>
        </row>
        <row r="2203">
          <cell r="A2203" t="str">
            <v>SWP311H</v>
          </cell>
        </row>
        <row r="2203">
          <cell r="AK2203">
            <v>34</v>
          </cell>
        </row>
        <row r="2204">
          <cell r="A2204" t="str">
            <v>SBS8066</v>
          </cell>
        </row>
        <row r="2204">
          <cell r="AK2204">
            <v>34</v>
          </cell>
        </row>
        <row r="2205">
          <cell r="A2205" t="str">
            <v>SBC1165</v>
          </cell>
        </row>
        <row r="2205">
          <cell r="AK2205">
            <v>34</v>
          </cell>
        </row>
        <row r="2206">
          <cell r="A2206" t="str">
            <v>SVP6045</v>
          </cell>
        </row>
        <row r="2206">
          <cell r="AK2206">
            <v>34</v>
          </cell>
        </row>
        <row r="2207">
          <cell r="A2207" t="str">
            <v>STC12003</v>
          </cell>
        </row>
        <row r="2207">
          <cell r="AK2207">
            <v>34</v>
          </cell>
        </row>
        <row r="2208">
          <cell r="A2208" t="str">
            <v>STC12032</v>
          </cell>
        </row>
        <row r="2208">
          <cell r="AK2208">
            <v>34</v>
          </cell>
        </row>
        <row r="2209">
          <cell r="A2209" t="str">
            <v>SBC1242</v>
          </cell>
        </row>
        <row r="2209">
          <cell r="AK2209">
            <v>34</v>
          </cell>
        </row>
        <row r="2210">
          <cell r="A2210" t="str">
            <v>SWP123</v>
          </cell>
        </row>
        <row r="2210">
          <cell r="AK2210">
            <v>33</v>
          </cell>
        </row>
        <row r="2211">
          <cell r="A2211" t="str">
            <v>SWP131</v>
          </cell>
        </row>
        <row r="2211">
          <cell r="AK2211">
            <v>33</v>
          </cell>
        </row>
        <row r="2212">
          <cell r="A2212" t="str">
            <v>SWP196</v>
          </cell>
        </row>
        <row r="2212">
          <cell r="AK2212">
            <v>33</v>
          </cell>
        </row>
        <row r="2213">
          <cell r="A2213" t="str">
            <v>SWP212</v>
          </cell>
        </row>
        <row r="2213">
          <cell r="AK2213">
            <v>33</v>
          </cell>
        </row>
        <row r="2214">
          <cell r="A2214" t="str">
            <v>SWP255</v>
          </cell>
        </row>
        <row r="2214">
          <cell r="AK2214">
            <v>33</v>
          </cell>
        </row>
        <row r="2215">
          <cell r="A2215" t="str">
            <v>SBC1067</v>
          </cell>
        </row>
        <row r="2215">
          <cell r="AK2215">
            <v>33</v>
          </cell>
        </row>
        <row r="2216">
          <cell r="A2216" t="str">
            <v>SWP273</v>
          </cell>
        </row>
        <row r="2216">
          <cell r="AK2216">
            <v>33</v>
          </cell>
        </row>
        <row r="2217">
          <cell r="A2217" t="str">
            <v>SFC7008</v>
          </cell>
        </row>
        <row r="2217">
          <cell r="AK2217">
            <v>33</v>
          </cell>
        </row>
        <row r="2218">
          <cell r="A2218" t="str">
            <v>SFC7015</v>
          </cell>
        </row>
        <row r="2218">
          <cell r="AK2218">
            <v>33</v>
          </cell>
        </row>
        <row r="2219">
          <cell r="A2219" t="str">
            <v>SBS8074PB</v>
          </cell>
        </row>
        <row r="2219">
          <cell r="AK2219">
            <v>33</v>
          </cell>
        </row>
        <row r="2220">
          <cell r="A2220" t="str">
            <v>SWP378</v>
          </cell>
        </row>
        <row r="2220">
          <cell r="AK2220">
            <v>33</v>
          </cell>
        </row>
        <row r="2221">
          <cell r="A2221" t="str">
            <v>SBS8129PB</v>
          </cell>
        </row>
        <row r="2221">
          <cell r="AK2221">
            <v>33</v>
          </cell>
        </row>
        <row r="2222">
          <cell r="A2222" t="str">
            <v>SWC5098</v>
          </cell>
        </row>
        <row r="2222">
          <cell r="AK2222">
            <v>33</v>
          </cell>
        </row>
        <row r="2223">
          <cell r="A2223" t="str">
            <v>SWP258</v>
          </cell>
        </row>
        <row r="2223">
          <cell r="AK2223">
            <v>32</v>
          </cell>
        </row>
        <row r="2224">
          <cell r="A2224" t="str">
            <v>SWP062</v>
          </cell>
        </row>
        <row r="2224">
          <cell r="AK2224">
            <v>32</v>
          </cell>
        </row>
        <row r="2225">
          <cell r="A2225" t="str">
            <v>SWP304</v>
          </cell>
        </row>
        <row r="2225">
          <cell r="AK2225">
            <v>32</v>
          </cell>
        </row>
        <row r="2226">
          <cell r="A2226" t="str">
            <v>SBS8077</v>
          </cell>
        </row>
        <row r="2226">
          <cell r="AK2226">
            <v>32</v>
          </cell>
        </row>
        <row r="2227">
          <cell r="A2227" t="str">
            <v>SBC1236</v>
          </cell>
        </row>
        <row r="2227">
          <cell r="AK2227">
            <v>32</v>
          </cell>
        </row>
        <row r="2228">
          <cell r="A2228" t="str">
            <v>SCC2091</v>
          </cell>
        </row>
        <row r="2228">
          <cell r="AK2228">
            <v>31</v>
          </cell>
        </row>
        <row r="2229">
          <cell r="A2229" t="str">
            <v>SBS8063PB</v>
          </cell>
        </row>
        <row r="2229">
          <cell r="AK2229">
            <v>31</v>
          </cell>
        </row>
        <row r="2230">
          <cell r="A2230" t="str">
            <v>SBS8065</v>
          </cell>
        </row>
        <row r="2230">
          <cell r="AK2230">
            <v>31</v>
          </cell>
        </row>
        <row r="2231">
          <cell r="A2231" t="str">
            <v>SVP6051</v>
          </cell>
        </row>
        <row r="2231">
          <cell r="AK2231">
            <v>31</v>
          </cell>
        </row>
        <row r="2232">
          <cell r="A2232" t="str">
            <v>SWP387</v>
          </cell>
        </row>
        <row r="2232">
          <cell r="AK2232">
            <v>31</v>
          </cell>
        </row>
        <row r="2233">
          <cell r="A2233" t="str">
            <v>SWP197</v>
          </cell>
        </row>
        <row r="2233">
          <cell r="AK2233">
            <v>30</v>
          </cell>
        </row>
        <row r="2234">
          <cell r="A2234" t="str">
            <v>SWP222</v>
          </cell>
        </row>
        <row r="2234">
          <cell r="AK2234">
            <v>30</v>
          </cell>
        </row>
        <row r="2235">
          <cell r="A2235" t="str">
            <v>SWC5008R</v>
          </cell>
        </row>
        <row r="2235">
          <cell r="AK2235">
            <v>30</v>
          </cell>
        </row>
        <row r="2236">
          <cell r="A2236" t="str">
            <v>SWC5029</v>
          </cell>
        </row>
        <row r="2236">
          <cell r="AK2236">
            <v>30</v>
          </cell>
        </row>
        <row r="2237">
          <cell r="A2237" t="str">
            <v>SCC2089</v>
          </cell>
        </row>
        <row r="2237">
          <cell r="AK2237">
            <v>30</v>
          </cell>
        </row>
        <row r="2238">
          <cell r="A2238" t="str">
            <v>SBS8064PB</v>
          </cell>
        </row>
        <row r="2238">
          <cell r="AK2238">
            <v>30</v>
          </cell>
        </row>
        <row r="2239">
          <cell r="A2239" t="str">
            <v>SWP326</v>
          </cell>
        </row>
        <row r="2239">
          <cell r="AK2239">
            <v>30</v>
          </cell>
        </row>
        <row r="2240">
          <cell r="A2240" t="str">
            <v>SWP317</v>
          </cell>
        </row>
        <row r="2240">
          <cell r="AK2240">
            <v>30</v>
          </cell>
        </row>
        <row r="2241">
          <cell r="A2241" t="str">
            <v>SSC3036</v>
          </cell>
        </row>
        <row r="2241">
          <cell r="AK2241">
            <v>30</v>
          </cell>
        </row>
        <row r="2242">
          <cell r="A2242" t="str">
            <v>SVP6048</v>
          </cell>
        </row>
        <row r="2242">
          <cell r="AK2242">
            <v>30</v>
          </cell>
        </row>
        <row r="2243">
          <cell r="A2243" t="str">
            <v>SWP389</v>
          </cell>
        </row>
        <row r="2243">
          <cell r="AK2243">
            <v>30</v>
          </cell>
        </row>
        <row r="2244">
          <cell r="A2244" t="str">
            <v>SWP128</v>
          </cell>
        </row>
        <row r="2244">
          <cell r="AK2244">
            <v>29</v>
          </cell>
        </row>
        <row r="2245">
          <cell r="A2245" t="str">
            <v>SWP211</v>
          </cell>
        </row>
        <row r="2245">
          <cell r="AK2245">
            <v>29</v>
          </cell>
        </row>
        <row r="2246">
          <cell r="A2246" t="str">
            <v>SWP228</v>
          </cell>
        </row>
        <row r="2246">
          <cell r="AK2246">
            <v>29</v>
          </cell>
        </row>
        <row r="2247">
          <cell r="A2247" t="str">
            <v>SBS8028</v>
          </cell>
        </row>
        <row r="2247">
          <cell r="AK2247">
            <v>29</v>
          </cell>
        </row>
        <row r="2248">
          <cell r="A2248" t="str">
            <v>SWP381</v>
          </cell>
        </row>
        <row r="2248">
          <cell r="AK2248">
            <v>29</v>
          </cell>
        </row>
        <row r="2249">
          <cell r="A2249" t="str">
            <v>SWC5100</v>
          </cell>
        </row>
        <row r="2249">
          <cell r="AK2249">
            <v>29</v>
          </cell>
        </row>
        <row r="2250">
          <cell r="A2250" t="str">
            <v>SWC5056R</v>
          </cell>
        </row>
        <row r="2250">
          <cell r="AK2250">
            <v>29</v>
          </cell>
        </row>
        <row r="2251">
          <cell r="A2251" t="str">
            <v>SWC5075</v>
          </cell>
        </row>
        <row r="2251">
          <cell r="AK2251">
            <v>29</v>
          </cell>
        </row>
        <row r="2252">
          <cell r="A2252" t="str">
            <v>SBB13012</v>
          </cell>
        </row>
        <row r="2252">
          <cell r="AK2252">
            <v>29</v>
          </cell>
        </row>
        <row r="2253">
          <cell r="A2253" t="str">
            <v>SBB13030</v>
          </cell>
        </row>
        <row r="2253">
          <cell r="AK2253">
            <v>29</v>
          </cell>
        </row>
        <row r="2254">
          <cell r="A2254" t="str">
            <v>SWP174</v>
          </cell>
        </row>
        <row r="2254">
          <cell r="AK2254">
            <v>28</v>
          </cell>
        </row>
        <row r="2255">
          <cell r="A2255" t="str">
            <v>SWP184</v>
          </cell>
        </row>
        <row r="2255">
          <cell r="AK2255">
            <v>28</v>
          </cell>
        </row>
        <row r="2256">
          <cell r="A2256" t="str">
            <v>SFC7006</v>
          </cell>
        </row>
        <row r="2256">
          <cell r="AK2256">
            <v>28</v>
          </cell>
        </row>
        <row r="2257">
          <cell r="A2257" t="str">
            <v>SSC3058</v>
          </cell>
        </row>
        <row r="2257">
          <cell r="AK2257">
            <v>28</v>
          </cell>
        </row>
        <row r="2258">
          <cell r="A2258" t="str">
            <v>SBC1251</v>
          </cell>
        </row>
        <row r="2258">
          <cell r="AK2258">
            <v>28</v>
          </cell>
        </row>
        <row r="2259">
          <cell r="A2259" t="str">
            <v>SBB13001</v>
          </cell>
        </row>
        <row r="2259">
          <cell r="AK2259">
            <v>28</v>
          </cell>
        </row>
        <row r="2260">
          <cell r="A2260" t="str">
            <v>SWP040</v>
          </cell>
        </row>
        <row r="2260">
          <cell r="AK2260">
            <v>27</v>
          </cell>
        </row>
        <row r="2261">
          <cell r="A2261" t="str">
            <v>SWP246</v>
          </cell>
        </row>
        <row r="2261">
          <cell r="AK2261">
            <v>27</v>
          </cell>
        </row>
        <row r="2262">
          <cell r="A2262" t="str">
            <v>SCS4024</v>
          </cell>
        </row>
        <row r="2262">
          <cell r="AK2262">
            <v>27</v>
          </cell>
        </row>
        <row r="2263">
          <cell r="A2263" t="str">
            <v>SCS4010</v>
          </cell>
        </row>
        <row r="2263">
          <cell r="AK2263">
            <v>27</v>
          </cell>
        </row>
        <row r="2264">
          <cell r="A2264" t="str">
            <v>SFC7016</v>
          </cell>
        </row>
        <row r="2264">
          <cell r="AK2264">
            <v>27</v>
          </cell>
        </row>
        <row r="2265">
          <cell r="A2265" t="str">
            <v>SWC5008L</v>
          </cell>
        </row>
        <row r="2265">
          <cell r="AK2265">
            <v>27</v>
          </cell>
        </row>
        <row r="2266">
          <cell r="A2266" t="str">
            <v>SSC3039</v>
          </cell>
        </row>
        <row r="2266">
          <cell r="AK2266">
            <v>27</v>
          </cell>
        </row>
        <row r="2267">
          <cell r="A2267" t="str">
            <v>SBS8029</v>
          </cell>
        </row>
        <row r="2267">
          <cell r="AK2267">
            <v>27</v>
          </cell>
        </row>
        <row r="2268">
          <cell r="A2268" t="str">
            <v>SBC1187</v>
          </cell>
        </row>
        <row r="2268">
          <cell r="AK2268">
            <v>27</v>
          </cell>
        </row>
        <row r="2269">
          <cell r="A2269" t="str">
            <v>SCC2101</v>
          </cell>
        </row>
        <row r="2269">
          <cell r="AK2269">
            <v>27</v>
          </cell>
        </row>
        <row r="2270">
          <cell r="A2270" t="str">
            <v>SBC1185</v>
          </cell>
        </row>
        <row r="2270">
          <cell r="AK2270">
            <v>27</v>
          </cell>
        </row>
        <row r="2271">
          <cell r="A2271" t="str">
            <v>SBS8042PB</v>
          </cell>
        </row>
        <row r="2271">
          <cell r="AK2271">
            <v>27</v>
          </cell>
        </row>
        <row r="2272">
          <cell r="A2272" t="str">
            <v>SWC5102</v>
          </cell>
        </row>
        <row r="2272">
          <cell r="AK2272">
            <v>27</v>
          </cell>
        </row>
        <row r="2273">
          <cell r="A2273" t="str">
            <v>SBC1220</v>
          </cell>
        </row>
        <row r="2273">
          <cell r="AK2273">
            <v>27</v>
          </cell>
        </row>
        <row r="2274">
          <cell r="A2274" t="str">
            <v>SWP055</v>
          </cell>
        </row>
        <row r="2274">
          <cell r="AK2274">
            <v>26</v>
          </cell>
        </row>
        <row r="2275">
          <cell r="A2275" t="str">
            <v>SWP167H</v>
          </cell>
        </row>
        <row r="2275">
          <cell r="AK2275">
            <v>26</v>
          </cell>
        </row>
        <row r="2276">
          <cell r="A2276" t="str">
            <v>SWP251</v>
          </cell>
        </row>
        <row r="2276">
          <cell r="AK2276">
            <v>26</v>
          </cell>
        </row>
        <row r="2277">
          <cell r="A2277" t="str">
            <v>SBC1035</v>
          </cell>
        </row>
        <row r="2277">
          <cell r="AK2277">
            <v>26</v>
          </cell>
        </row>
        <row r="2278">
          <cell r="A2278" t="str">
            <v>SCC2021</v>
          </cell>
        </row>
        <row r="2278">
          <cell r="AK2278">
            <v>26</v>
          </cell>
        </row>
        <row r="2279">
          <cell r="A2279" t="str">
            <v>SCC2088</v>
          </cell>
        </row>
        <row r="2279">
          <cell r="AK2279">
            <v>26</v>
          </cell>
        </row>
        <row r="2280">
          <cell r="A2280" t="str">
            <v>SWP331</v>
          </cell>
        </row>
        <row r="2280">
          <cell r="AK2280">
            <v>26</v>
          </cell>
        </row>
        <row r="2281">
          <cell r="A2281" t="str">
            <v>SBS8124PB</v>
          </cell>
        </row>
        <row r="2281">
          <cell r="AK2281">
            <v>26</v>
          </cell>
        </row>
        <row r="2282">
          <cell r="A2282" t="str">
            <v>SBB13000</v>
          </cell>
        </row>
        <row r="2282">
          <cell r="AK2282">
            <v>26</v>
          </cell>
        </row>
        <row r="2283">
          <cell r="A2283" t="str">
            <v>SWP114</v>
          </cell>
        </row>
        <row r="2283">
          <cell r="AK2283">
            <v>25</v>
          </cell>
        </row>
        <row r="2284">
          <cell r="A2284" t="str">
            <v>SWP250</v>
          </cell>
        </row>
        <row r="2284">
          <cell r="AK2284">
            <v>25</v>
          </cell>
        </row>
        <row r="2285">
          <cell r="A2285" t="str">
            <v>SBC1060</v>
          </cell>
        </row>
        <row r="2285">
          <cell r="AK2285">
            <v>25</v>
          </cell>
        </row>
        <row r="2286">
          <cell r="A2286" t="str">
            <v>SCC2042</v>
          </cell>
        </row>
        <row r="2286">
          <cell r="AK2286">
            <v>25</v>
          </cell>
        </row>
        <row r="2287">
          <cell r="A2287" t="str">
            <v>SCS4005</v>
          </cell>
        </row>
        <row r="2287">
          <cell r="AK2287">
            <v>25</v>
          </cell>
        </row>
        <row r="2288">
          <cell r="A2288" t="str">
            <v>SBC1202</v>
          </cell>
        </row>
        <row r="2288">
          <cell r="AK2288">
            <v>25</v>
          </cell>
        </row>
        <row r="2289">
          <cell r="A2289" t="str">
            <v>SCA8100FL</v>
          </cell>
        </row>
        <row r="2289">
          <cell r="AK2289">
            <v>25</v>
          </cell>
        </row>
        <row r="2290">
          <cell r="A2290" t="str">
            <v>SCA8100FR</v>
          </cell>
        </row>
        <row r="2290">
          <cell r="AK2290">
            <v>25</v>
          </cell>
        </row>
        <row r="2291">
          <cell r="A2291" t="str">
            <v>SCA8101FL</v>
          </cell>
        </row>
        <row r="2291">
          <cell r="AK2291">
            <v>25</v>
          </cell>
        </row>
        <row r="2292">
          <cell r="A2292" t="str">
            <v>SCA8101FR</v>
          </cell>
        </row>
        <row r="2292">
          <cell r="AK2292">
            <v>25</v>
          </cell>
        </row>
        <row r="2293">
          <cell r="A2293" t="str">
            <v>SWP369</v>
          </cell>
        </row>
        <row r="2293">
          <cell r="AK2293">
            <v>25</v>
          </cell>
        </row>
        <row r="2294">
          <cell r="A2294" t="str">
            <v>SCC2113</v>
          </cell>
        </row>
        <row r="2294">
          <cell r="AK2294">
            <v>25</v>
          </cell>
        </row>
        <row r="2295">
          <cell r="A2295" t="str">
            <v>SWC5056L</v>
          </cell>
        </row>
        <row r="2295">
          <cell r="AK2295">
            <v>25</v>
          </cell>
        </row>
        <row r="2296">
          <cell r="A2296" t="str">
            <v>SWC5058R</v>
          </cell>
        </row>
        <row r="2296">
          <cell r="AK2296">
            <v>25</v>
          </cell>
        </row>
        <row r="2297">
          <cell r="A2297" t="str">
            <v>SCC2120</v>
          </cell>
        </row>
        <row r="2297">
          <cell r="AK2297">
            <v>25</v>
          </cell>
        </row>
        <row r="2298">
          <cell r="A2298" t="str">
            <v>SBB13031</v>
          </cell>
        </row>
        <row r="2298">
          <cell r="AK2298">
            <v>25</v>
          </cell>
        </row>
        <row r="2299">
          <cell r="A2299" t="str">
            <v>SCS4009</v>
          </cell>
        </row>
        <row r="2299">
          <cell r="AK2299">
            <v>24</v>
          </cell>
        </row>
        <row r="2300">
          <cell r="A2300" t="str">
            <v>SWP294</v>
          </cell>
        </row>
        <row r="2300">
          <cell r="AK2300">
            <v>24</v>
          </cell>
        </row>
        <row r="2301">
          <cell r="A2301" t="str">
            <v>SWP295</v>
          </cell>
        </row>
        <row r="2301">
          <cell r="AK2301">
            <v>24</v>
          </cell>
        </row>
        <row r="2302">
          <cell r="A2302" t="str">
            <v>SBS8015</v>
          </cell>
        </row>
        <row r="2302">
          <cell r="AK2302">
            <v>24</v>
          </cell>
        </row>
        <row r="2303">
          <cell r="A2303" t="str">
            <v>SBS8122PB</v>
          </cell>
        </row>
        <row r="2303">
          <cell r="AK2303">
            <v>24</v>
          </cell>
        </row>
        <row r="2304">
          <cell r="A2304" t="str">
            <v>SWP377</v>
          </cell>
        </row>
        <row r="2304">
          <cell r="AK2304">
            <v>24</v>
          </cell>
        </row>
        <row r="2305">
          <cell r="A2305" t="str">
            <v>SWP380</v>
          </cell>
        </row>
        <row r="2305">
          <cell r="AK2305">
            <v>24</v>
          </cell>
        </row>
        <row r="2306">
          <cell r="A2306" t="str">
            <v>SBS8114</v>
          </cell>
        </row>
        <row r="2306">
          <cell r="AK2306">
            <v>24</v>
          </cell>
        </row>
        <row r="2307">
          <cell r="A2307" t="str">
            <v>SCC2109</v>
          </cell>
        </row>
        <row r="2307">
          <cell r="AK2307">
            <v>24</v>
          </cell>
        </row>
        <row r="2308">
          <cell r="A2308" t="str">
            <v>SBB13070</v>
          </cell>
        </row>
        <row r="2308">
          <cell r="AK2308">
            <v>24</v>
          </cell>
        </row>
        <row r="2309">
          <cell r="A2309" t="str">
            <v>SCS4018</v>
          </cell>
        </row>
        <row r="2309">
          <cell r="AK2309">
            <v>23</v>
          </cell>
        </row>
        <row r="2310">
          <cell r="A2310" t="str">
            <v>SBC1201</v>
          </cell>
        </row>
        <row r="2310">
          <cell r="AK2310">
            <v>23</v>
          </cell>
        </row>
        <row r="2311">
          <cell r="A2311" t="str">
            <v>SOC9084</v>
          </cell>
        </row>
        <row r="2311">
          <cell r="AK2311">
            <v>23</v>
          </cell>
        </row>
        <row r="2312">
          <cell r="A2312" t="str">
            <v>SBC1250</v>
          </cell>
        </row>
        <row r="2312">
          <cell r="AK2312">
            <v>23</v>
          </cell>
        </row>
        <row r="2313">
          <cell r="A2313" t="str">
            <v>SBB13018</v>
          </cell>
        </row>
        <row r="2313">
          <cell r="AK2313">
            <v>23</v>
          </cell>
        </row>
        <row r="2314">
          <cell r="A2314" t="str">
            <v>SBB13032</v>
          </cell>
        </row>
        <row r="2314">
          <cell r="AK2314">
            <v>23</v>
          </cell>
        </row>
        <row r="2315">
          <cell r="A2315" t="str">
            <v>SBB13061</v>
          </cell>
        </row>
        <row r="2315">
          <cell r="AK2315">
            <v>23</v>
          </cell>
        </row>
        <row r="2316">
          <cell r="A2316" t="str">
            <v>SWP241H</v>
          </cell>
        </row>
        <row r="2316">
          <cell r="AK2316">
            <v>22</v>
          </cell>
        </row>
        <row r="2317">
          <cell r="A2317" t="str">
            <v>SCS4022</v>
          </cell>
        </row>
        <row r="2317">
          <cell r="AK2317">
            <v>22</v>
          </cell>
        </row>
        <row r="2318">
          <cell r="A2318" t="str">
            <v>SBC1093</v>
          </cell>
        </row>
        <row r="2318">
          <cell r="AK2318">
            <v>22</v>
          </cell>
        </row>
        <row r="2319">
          <cell r="A2319" t="str">
            <v>SFC7003</v>
          </cell>
        </row>
        <row r="2319">
          <cell r="AK2319">
            <v>22</v>
          </cell>
        </row>
        <row r="2320">
          <cell r="A2320" t="str">
            <v>SFC7011</v>
          </cell>
        </row>
        <row r="2320">
          <cell r="AK2320">
            <v>22</v>
          </cell>
        </row>
        <row r="2321">
          <cell r="A2321" t="str">
            <v>SBS8078PB</v>
          </cell>
        </row>
        <row r="2321">
          <cell r="AK2321">
            <v>22</v>
          </cell>
        </row>
        <row r="2322">
          <cell r="A2322" t="str">
            <v>STC12009</v>
          </cell>
        </row>
        <row r="2322">
          <cell r="AK2322">
            <v>22</v>
          </cell>
        </row>
        <row r="2323">
          <cell r="A2323" t="str">
            <v>STC12037</v>
          </cell>
        </row>
        <row r="2323">
          <cell r="AK2323">
            <v>22</v>
          </cell>
        </row>
        <row r="2324">
          <cell r="A2324" t="str">
            <v>SBC1234</v>
          </cell>
        </row>
        <row r="2324">
          <cell r="AK2324">
            <v>22</v>
          </cell>
        </row>
        <row r="2325">
          <cell r="A2325" t="str">
            <v>SWC5058L</v>
          </cell>
        </row>
        <row r="2325">
          <cell r="AK2325">
            <v>22</v>
          </cell>
        </row>
        <row r="2326">
          <cell r="A2326" t="str">
            <v>SBB13021</v>
          </cell>
        </row>
        <row r="2326">
          <cell r="AK2326">
            <v>22</v>
          </cell>
        </row>
        <row r="2327">
          <cell r="A2327" t="str">
            <v>SBB13049</v>
          </cell>
        </row>
        <row r="2327">
          <cell r="AK2327">
            <v>22</v>
          </cell>
        </row>
        <row r="2328">
          <cell r="A2328" t="str">
            <v>SWP021</v>
          </cell>
        </row>
        <row r="2328">
          <cell r="AK2328">
            <v>21</v>
          </cell>
        </row>
        <row r="2329">
          <cell r="A2329" t="str">
            <v>SWP034</v>
          </cell>
        </row>
        <row r="2329">
          <cell r="AK2329">
            <v>21</v>
          </cell>
        </row>
        <row r="2330">
          <cell r="A2330" t="str">
            <v>SWP086</v>
          </cell>
        </row>
        <row r="2330">
          <cell r="AK2330">
            <v>21</v>
          </cell>
        </row>
        <row r="2331">
          <cell r="A2331" t="str">
            <v>SWP137</v>
          </cell>
        </row>
        <row r="2331">
          <cell r="AK2331">
            <v>21</v>
          </cell>
        </row>
        <row r="2332">
          <cell r="A2332" t="str">
            <v>SWP225</v>
          </cell>
        </row>
        <row r="2332">
          <cell r="AK2332">
            <v>21</v>
          </cell>
        </row>
        <row r="2333">
          <cell r="A2333" t="str">
            <v>SWP249</v>
          </cell>
        </row>
        <row r="2333">
          <cell r="AK2333">
            <v>21</v>
          </cell>
        </row>
        <row r="2334">
          <cell r="A2334" t="str">
            <v>SWC5033</v>
          </cell>
        </row>
        <row r="2334">
          <cell r="AK2334">
            <v>21</v>
          </cell>
        </row>
        <row r="2335">
          <cell r="A2335" t="str">
            <v>SBS8057</v>
          </cell>
        </row>
        <row r="2335">
          <cell r="AK2335">
            <v>21</v>
          </cell>
        </row>
        <row r="2336">
          <cell r="A2336" t="str">
            <v>SBC1189</v>
          </cell>
        </row>
        <row r="2336">
          <cell r="AK2336">
            <v>21</v>
          </cell>
        </row>
        <row r="2337">
          <cell r="A2337" t="str">
            <v>SVP6041</v>
          </cell>
        </row>
        <row r="2337">
          <cell r="AK2337">
            <v>21</v>
          </cell>
        </row>
        <row r="2338">
          <cell r="A2338" t="str">
            <v>STC12017</v>
          </cell>
        </row>
        <row r="2338">
          <cell r="AK2338">
            <v>21</v>
          </cell>
        </row>
        <row r="2339">
          <cell r="A2339" t="str">
            <v>SOC9088</v>
          </cell>
        </row>
        <row r="2339">
          <cell r="AK2339">
            <v>21</v>
          </cell>
        </row>
        <row r="2340">
          <cell r="A2340" t="str">
            <v>SHP11022</v>
          </cell>
        </row>
        <row r="2340">
          <cell r="AK2340">
            <v>21</v>
          </cell>
        </row>
        <row r="2341">
          <cell r="A2341" t="str">
            <v>SWP016</v>
          </cell>
        </row>
        <row r="2341">
          <cell r="AK2341">
            <v>20</v>
          </cell>
        </row>
        <row r="2342">
          <cell r="A2342" t="str">
            <v>SWP025</v>
          </cell>
        </row>
        <row r="2342">
          <cell r="AK2342">
            <v>20</v>
          </cell>
        </row>
        <row r="2343">
          <cell r="A2343" t="str">
            <v>SWP100</v>
          </cell>
        </row>
        <row r="2343">
          <cell r="AK2343">
            <v>20</v>
          </cell>
        </row>
        <row r="2344">
          <cell r="A2344" t="str">
            <v>SWP202</v>
          </cell>
        </row>
        <row r="2344">
          <cell r="AK2344">
            <v>20</v>
          </cell>
        </row>
        <row r="2345">
          <cell r="A2345" t="str">
            <v>SWP226</v>
          </cell>
        </row>
        <row r="2345">
          <cell r="AK2345">
            <v>20</v>
          </cell>
        </row>
        <row r="2346">
          <cell r="A2346" t="str">
            <v>SCC2004</v>
          </cell>
        </row>
        <row r="2346">
          <cell r="AK2346">
            <v>20</v>
          </cell>
        </row>
        <row r="2347">
          <cell r="A2347" t="str">
            <v>SCA8110FL</v>
          </cell>
        </row>
        <row r="2347">
          <cell r="AK2347">
            <v>20</v>
          </cell>
        </row>
        <row r="2348">
          <cell r="A2348" t="str">
            <v>SCA8110FR</v>
          </cell>
        </row>
        <row r="2348">
          <cell r="AK2348">
            <v>20</v>
          </cell>
        </row>
        <row r="2349">
          <cell r="A2349" t="str">
            <v>SCA8099FR</v>
          </cell>
        </row>
        <row r="2349">
          <cell r="AK2349">
            <v>20</v>
          </cell>
        </row>
        <row r="2350">
          <cell r="A2350" t="str">
            <v>SCA8103FR</v>
          </cell>
        </row>
        <row r="2350">
          <cell r="AK2350">
            <v>20</v>
          </cell>
        </row>
        <row r="2351">
          <cell r="A2351" t="str">
            <v>SCC2117</v>
          </cell>
        </row>
        <row r="2351">
          <cell r="AK2351">
            <v>20</v>
          </cell>
        </row>
        <row r="2352">
          <cell r="A2352" t="str">
            <v>SBB13048</v>
          </cell>
        </row>
        <row r="2352">
          <cell r="AK2352">
            <v>20</v>
          </cell>
        </row>
        <row r="2353">
          <cell r="A2353" t="str">
            <v>SWP106</v>
          </cell>
        </row>
        <row r="2353">
          <cell r="AK2353">
            <v>19</v>
          </cell>
        </row>
        <row r="2354">
          <cell r="A2354" t="str">
            <v>SWP130</v>
          </cell>
        </row>
        <row r="2354">
          <cell r="AK2354">
            <v>19</v>
          </cell>
        </row>
        <row r="2355">
          <cell r="A2355" t="str">
            <v>SWP195</v>
          </cell>
        </row>
        <row r="2355">
          <cell r="AK2355">
            <v>19</v>
          </cell>
        </row>
        <row r="2356">
          <cell r="A2356" t="str">
            <v>SBC1015</v>
          </cell>
        </row>
        <row r="2356">
          <cell r="AK2356">
            <v>19</v>
          </cell>
        </row>
        <row r="2357">
          <cell r="A2357" t="str">
            <v>SCS4033</v>
          </cell>
        </row>
        <row r="2357">
          <cell r="AK2357">
            <v>19</v>
          </cell>
        </row>
        <row r="2358">
          <cell r="A2358" t="str">
            <v>SBS8048</v>
          </cell>
        </row>
        <row r="2358">
          <cell r="AK2358">
            <v>19</v>
          </cell>
        </row>
        <row r="2359">
          <cell r="A2359" t="str">
            <v>SWP376</v>
          </cell>
        </row>
        <row r="2359">
          <cell r="AK2359">
            <v>19</v>
          </cell>
        </row>
        <row r="2360">
          <cell r="A2360" t="str">
            <v>SWP383</v>
          </cell>
        </row>
        <row r="2360">
          <cell r="AK2360">
            <v>19</v>
          </cell>
        </row>
        <row r="2361">
          <cell r="A2361" t="str">
            <v>SBC1239</v>
          </cell>
        </row>
        <row r="2361">
          <cell r="AK2361">
            <v>19</v>
          </cell>
        </row>
        <row r="2362">
          <cell r="A2362" t="str">
            <v>SHP11020</v>
          </cell>
        </row>
        <row r="2362">
          <cell r="AK2362">
            <v>19</v>
          </cell>
        </row>
        <row r="2363">
          <cell r="A2363" t="str">
            <v>SBB13046</v>
          </cell>
        </row>
        <row r="2363">
          <cell r="AK2363">
            <v>19</v>
          </cell>
        </row>
        <row r="2364">
          <cell r="A2364" t="str">
            <v>SBB13060</v>
          </cell>
        </row>
        <row r="2364">
          <cell r="AK2364">
            <v>19</v>
          </cell>
        </row>
        <row r="2365">
          <cell r="A2365" t="str">
            <v>SWP277</v>
          </cell>
        </row>
        <row r="2365">
          <cell r="AK2365">
            <v>18</v>
          </cell>
        </row>
        <row r="2366">
          <cell r="A2366" t="str">
            <v>SBC1125</v>
          </cell>
        </row>
        <row r="2366">
          <cell r="AK2366">
            <v>18</v>
          </cell>
        </row>
        <row r="2367">
          <cell r="A2367" t="str">
            <v>SFC7018</v>
          </cell>
        </row>
        <row r="2367">
          <cell r="AK2367">
            <v>18</v>
          </cell>
        </row>
        <row r="2368">
          <cell r="A2368" t="str">
            <v>SBC1175</v>
          </cell>
        </row>
        <row r="2368">
          <cell r="AK2368">
            <v>18</v>
          </cell>
        </row>
        <row r="2369">
          <cell r="A2369" t="str">
            <v>SWP333</v>
          </cell>
        </row>
        <row r="2369">
          <cell r="AK2369">
            <v>18</v>
          </cell>
        </row>
        <row r="2370">
          <cell r="A2370" t="str">
            <v>SWP374</v>
          </cell>
        </row>
        <row r="2370">
          <cell r="AK2370">
            <v>18</v>
          </cell>
        </row>
        <row r="2371">
          <cell r="A2371" t="str">
            <v>SBS8097PB</v>
          </cell>
        </row>
        <row r="2371">
          <cell r="AK2371">
            <v>18</v>
          </cell>
        </row>
        <row r="2372">
          <cell r="A2372" t="str">
            <v>SBB13015</v>
          </cell>
        </row>
        <row r="2372">
          <cell r="AK2372">
            <v>18</v>
          </cell>
        </row>
        <row r="2373">
          <cell r="A2373" t="str">
            <v>SBB13033</v>
          </cell>
        </row>
        <row r="2373">
          <cell r="AK2373">
            <v>18</v>
          </cell>
        </row>
        <row r="2374">
          <cell r="A2374" t="str">
            <v>SBB13042</v>
          </cell>
        </row>
        <row r="2374">
          <cell r="AK2374">
            <v>18</v>
          </cell>
        </row>
        <row r="2375">
          <cell r="A2375" t="str">
            <v>SBB13052</v>
          </cell>
        </row>
        <row r="2375">
          <cell r="AK2375">
            <v>18</v>
          </cell>
        </row>
        <row r="2376">
          <cell r="A2376" t="str">
            <v>SBB13069</v>
          </cell>
        </row>
        <row r="2376">
          <cell r="AK2376">
            <v>18</v>
          </cell>
        </row>
        <row r="2377">
          <cell r="A2377" t="str">
            <v>SBB13146</v>
          </cell>
        </row>
        <row r="2377">
          <cell r="AK2377">
            <v>18</v>
          </cell>
        </row>
        <row r="2378">
          <cell r="A2378" t="str">
            <v>SWP089</v>
          </cell>
        </row>
        <row r="2378">
          <cell r="AK2378">
            <v>17</v>
          </cell>
        </row>
        <row r="2379">
          <cell r="A2379" t="str">
            <v>SWP161</v>
          </cell>
        </row>
        <row r="2379">
          <cell r="AK2379">
            <v>17</v>
          </cell>
        </row>
        <row r="2380">
          <cell r="A2380" t="str">
            <v>SWP093</v>
          </cell>
        </row>
        <row r="2380">
          <cell r="AK2380">
            <v>17</v>
          </cell>
        </row>
        <row r="2381">
          <cell r="A2381" t="str">
            <v>SSC3015</v>
          </cell>
        </row>
        <row r="2381">
          <cell r="AK2381">
            <v>17</v>
          </cell>
        </row>
        <row r="2382">
          <cell r="A2382" t="str">
            <v>SWP276</v>
          </cell>
        </row>
        <row r="2382">
          <cell r="AK2382">
            <v>17</v>
          </cell>
        </row>
        <row r="2383">
          <cell r="A2383" t="str">
            <v>SWP260A</v>
          </cell>
        </row>
        <row r="2383">
          <cell r="AK2383">
            <v>17</v>
          </cell>
        </row>
        <row r="2384">
          <cell r="A2384" t="str">
            <v>SWC5014L</v>
          </cell>
        </row>
        <row r="2384">
          <cell r="AK2384">
            <v>17</v>
          </cell>
        </row>
        <row r="2385">
          <cell r="A2385" t="str">
            <v>SWP348</v>
          </cell>
        </row>
        <row r="2385">
          <cell r="AK2385">
            <v>17</v>
          </cell>
        </row>
        <row r="2386">
          <cell r="A2386" t="str">
            <v>SWP368</v>
          </cell>
        </row>
        <row r="2386">
          <cell r="AK2386">
            <v>17</v>
          </cell>
        </row>
        <row r="2387">
          <cell r="A2387" t="str">
            <v>STC12010</v>
          </cell>
        </row>
        <row r="2387">
          <cell r="AK2387">
            <v>17</v>
          </cell>
        </row>
        <row r="2388">
          <cell r="A2388" t="str">
            <v>SOC9097</v>
          </cell>
        </row>
        <row r="2388">
          <cell r="AK2388">
            <v>17</v>
          </cell>
        </row>
        <row r="2389">
          <cell r="A2389" t="str">
            <v>SBB13008</v>
          </cell>
        </row>
        <row r="2389">
          <cell r="AK2389">
            <v>17</v>
          </cell>
        </row>
        <row r="2390">
          <cell r="A2390" t="str">
            <v>SBB13045</v>
          </cell>
        </row>
        <row r="2390">
          <cell r="AK2390">
            <v>17</v>
          </cell>
        </row>
        <row r="2391">
          <cell r="A2391" t="str">
            <v>SWP112</v>
          </cell>
        </row>
        <row r="2391">
          <cell r="AK2391">
            <v>16</v>
          </cell>
        </row>
        <row r="2392">
          <cell r="A2392" t="str">
            <v>SWP217</v>
          </cell>
        </row>
        <row r="2392">
          <cell r="AK2392">
            <v>16</v>
          </cell>
        </row>
        <row r="2393">
          <cell r="A2393" t="str">
            <v>SWP229</v>
          </cell>
        </row>
        <row r="2393">
          <cell r="AK2393">
            <v>16</v>
          </cell>
        </row>
        <row r="2394">
          <cell r="A2394" t="str">
            <v>SWP242H</v>
          </cell>
        </row>
        <row r="2394">
          <cell r="AK2394">
            <v>16</v>
          </cell>
        </row>
        <row r="2395">
          <cell r="A2395" t="str">
            <v>SWP116</v>
          </cell>
        </row>
        <row r="2395">
          <cell r="AK2395">
            <v>16</v>
          </cell>
        </row>
        <row r="2396">
          <cell r="A2396" t="str">
            <v>SCC2053</v>
          </cell>
        </row>
        <row r="2396">
          <cell r="AK2396">
            <v>16</v>
          </cell>
        </row>
        <row r="2397">
          <cell r="A2397" t="str">
            <v>SWP290</v>
          </cell>
        </row>
        <row r="2397">
          <cell r="AK2397">
            <v>16</v>
          </cell>
        </row>
        <row r="2398">
          <cell r="A2398" t="str">
            <v>SBC1170</v>
          </cell>
        </row>
        <row r="2398">
          <cell r="AK2398">
            <v>16</v>
          </cell>
        </row>
        <row r="2399">
          <cell r="A2399" t="str">
            <v>SSC3047</v>
          </cell>
        </row>
        <row r="2399">
          <cell r="AK2399">
            <v>16</v>
          </cell>
        </row>
        <row r="2400">
          <cell r="A2400" t="str">
            <v>SVP6050</v>
          </cell>
        </row>
        <row r="2400">
          <cell r="AK2400">
            <v>16</v>
          </cell>
        </row>
        <row r="2401">
          <cell r="A2401" t="str">
            <v>SBS8127</v>
          </cell>
        </row>
        <row r="2401">
          <cell r="AK2401">
            <v>16</v>
          </cell>
        </row>
        <row r="2402">
          <cell r="A2402" t="str">
            <v>SOC9094</v>
          </cell>
        </row>
        <row r="2402">
          <cell r="AK2402">
            <v>16</v>
          </cell>
        </row>
        <row r="2403">
          <cell r="A2403" t="str">
            <v>SHP11028</v>
          </cell>
        </row>
        <row r="2403">
          <cell r="AK2403">
            <v>16</v>
          </cell>
        </row>
        <row r="2404">
          <cell r="A2404" t="str">
            <v>SBB13013</v>
          </cell>
        </row>
        <row r="2404">
          <cell r="AK2404">
            <v>16</v>
          </cell>
        </row>
        <row r="2405">
          <cell r="A2405" t="str">
            <v>SWP094</v>
          </cell>
        </row>
        <row r="2405">
          <cell r="AK2405">
            <v>15</v>
          </cell>
        </row>
        <row r="2406">
          <cell r="A2406" t="str">
            <v>SWP215</v>
          </cell>
        </row>
        <row r="2406">
          <cell r="AK2406">
            <v>15</v>
          </cell>
        </row>
        <row r="2407">
          <cell r="A2407" t="str">
            <v>SWP235</v>
          </cell>
        </row>
        <row r="2407">
          <cell r="AK2407">
            <v>15</v>
          </cell>
        </row>
        <row r="2408">
          <cell r="A2408" t="str">
            <v>SBC1028</v>
          </cell>
        </row>
        <row r="2408">
          <cell r="AK2408">
            <v>15</v>
          </cell>
        </row>
        <row r="2409">
          <cell r="A2409" t="str">
            <v>SCC2034</v>
          </cell>
        </row>
        <row r="2409">
          <cell r="AK2409">
            <v>15</v>
          </cell>
        </row>
        <row r="2410">
          <cell r="A2410" t="str">
            <v>SCC2036</v>
          </cell>
        </row>
        <row r="2410">
          <cell r="AK2410">
            <v>15</v>
          </cell>
        </row>
        <row r="2411">
          <cell r="A2411" t="str">
            <v>SWP272</v>
          </cell>
        </row>
        <row r="2411">
          <cell r="AK2411">
            <v>15</v>
          </cell>
        </row>
        <row r="2412">
          <cell r="A2412" t="str">
            <v>SFC7013</v>
          </cell>
        </row>
        <row r="2412">
          <cell r="AK2412">
            <v>15</v>
          </cell>
        </row>
        <row r="2413">
          <cell r="A2413" t="str">
            <v>SBC1146</v>
          </cell>
        </row>
        <row r="2413">
          <cell r="AK2413">
            <v>15</v>
          </cell>
        </row>
        <row r="2414">
          <cell r="A2414" t="str">
            <v>SCA8104FL</v>
          </cell>
        </row>
        <row r="2414">
          <cell r="AK2414">
            <v>15</v>
          </cell>
        </row>
        <row r="2415">
          <cell r="A2415" t="str">
            <v>SCA8104FR</v>
          </cell>
        </row>
        <row r="2415">
          <cell r="AK2415">
            <v>15</v>
          </cell>
        </row>
        <row r="2416">
          <cell r="A2416" t="str">
            <v>SCA8111FR</v>
          </cell>
        </row>
        <row r="2416">
          <cell r="AK2416">
            <v>15</v>
          </cell>
        </row>
        <row r="2417">
          <cell r="A2417" t="str">
            <v>SVP6038</v>
          </cell>
        </row>
        <row r="2417">
          <cell r="AK2417">
            <v>15</v>
          </cell>
        </row>
        <row r="2418">
          <cell r="A2418" t="str">
            <v>SWP347</v>
          </cell>
        </row>
        <row r="2418">
          <cell r="AK2418">
            <v>15</v>
          </cell>
        </row>
        <row r="2419">
          <cell r="A2419" t="str">
            <v>SWP390</v>
          </cell>
        </row>
        <row r="2419">
          <cell r="AK2419">
            <v>15</v>
          </cell>
        </row>
        <row r="2420">
          <cell r="A2420" t="str">
            <v>STC12008</v>
          </cell>
        </row>
        <row r="2420">
          <cell r="AK2420">
            <v>15</v>
          </cell>
        </row>
        <row r="2421">
          <cell r="A2421" t="str">
            <v>SBC1228</v>
          </cell>
        </row>
        <row r="2421">
          <cell r="AK2421">
            <v>15</v>
          </cell>
        </row>
        <row r="2422">
          <cell r="A2422" t="str">
            <v>SWC5076</v>
          </cell>
        </row>
        <row r="2422">
          <cell r="AK2422">
            <v>15</v>
          </cell>
        </row>
        <row r="2423">
          <cell r="A2423" t="str">
            <v>SSC3061</v>
          </cell>
        </row>
        <row r="2423">
          <cell r="AK2423">
            <v>15</v>
          </cell>
        </row>
        <row r="2424">
          <cell r="A2424" t="str">
            <v>SFC7024</v>
          </cell>
        </row>
        <row r="2424">
          <cell r="AK2424">
            <v>15</v>
          </cell>
        </row>
        <row r="2425">
          <cell r="A2425" t="str">
            <v>SBB13011</v>
          </cell>
        </row>
        <row r="2425">
          <cell r="AK2425">
            <v>15</v>
          </cell>
        </row>
        <row r="2426">
          <cell r="A2426" t="str">
            <v>SBB13016</v>
          </cell>
        </row>
        <row r="2426">
          <cell r="AK2426">
            <v>15</v>
          </cell>
        </row>
        <row r="2427">
          <cell r="A2427" t="str">
            <v>SBB13050</v>
          </cell>
        </row>
        <row r="2427">
          <cell r="AK2427">
            <v>15</v>
          </cell>
        </row>
        <row r="2428">
          <cell r="A2428" t="str">
            <v>SBB13082</v>
          </cell>
        </row>
        <row r="2428">
          <cell r="AK2428">
            <v>15</v>
          </cell>
        </row>
        <row r="2429">
          <cell r="A2429" t="str">
            <v>SBB13143</v>
          </cell>
        </row>
        <row r="2429">
          <cell r="AK2429">
            <v>15</v>
          </cell>
        </row>
        <row r="2430">
          <cell r="A2430" t="str">
            <v>SWP048</v>
          </cell>
        </row>
        <row r="2430">
          <cell r="AK2430">
            <v>14</v>
          </cell>
        </row>
        <row r="2431">
          <cell r="A2431" t="str">
            <v>SWP170</v>
          </cell>
        </row>
        <row r="2431">
          <cell r="AK2431">
            <v>14</v>
          </cell>
        </row>
        <row r="2432">
          <cell r="A2432" t="str">
            <v>SWP171</v>
          </cell>
        </row>
        <row r="2432">
          <cell r="AK2432">
            <v>14</v>
          </cell>
        </row>
        <row r="2433">
          <cell r="A2433" t="str">
            <v>SCC2030</v>
          </cell>
        </row>
        <row r="2433">
          <cell r="AK2433">
            <v>14</v>
          </cell>
        </row>
        <row r="2434">
          <cell r="A2434" t="str">
            <v>SCC2035</v>
          </cell>
        </row>
        <row r="2434">
          <cell r="AK2434">
            <v>14</v>
          </cell>
        </row>
        <row r="2435">
          <cell r="A2435" t="str">
            <v>SVP6039</v>
          </cell>
        </row>
        <row r="2435">
          <cell r="AK2435">
            <v>14</v>
          </cell>
        </row>
        <row r="2436">
          <cell r="A2436" t="str">
            <v>SVP6040</v>
          </cell>
        </row>
        <row r="2436">
          <cell r="AK2436">
            <v>14</v>
          </cell>
        </row>
        <row r="2437">
          <cell r="A2437" t="str">
            <v>SVP6053</v>
          </cell>
        </row>
        <row r="2437">
          <cell r="AK2437">
            <v>14</v>
          </cell>
        </row>
        <row r="2438">
          <cell r="A2438" t="str">
            <v>SVP6054</v>
          </cell>
        </row>
        <row r="2438">
          <cell r="AK2438">
            <v>14</v>
          </cell>
        </row>
        <row r="2439">
          <cell r="A2439" t="str">
            <v>SSC3057</v>
          </cell>
        </row>
        <row r="2439">
          <cell r="AK2439">
            <v>14</v>
          </cell>
        </row>
        <row r="2440">
          <cell r="A2440" t="str">
            <v>SWC5057L</v>
          </cell>
        </row>
        <row r="2440">
          <cell r="AK2440">
            <v>14</v>
          </cell>
        </row>
        <row r="2441">
          <cell r="A2441" t="str">
            <v>SSC3051</v>
          </cell>
        </row>
        <row r="2441">
          <cell r="AK2441">
            <v>14</v>
          </cell>
        </row>
        <row r="2442">
          <cell r="A2442" t="str">
            <v>SCC2115</v>
          </cell>
        </row>
        <row r="2442">
          <cell r="AK2442">
            <v>14</v>
          </cell>
        </row>
        <row r="2443">
          <cell r="A2443" t="str">
            <v>SSC3066</v>
          </cell>
        </row>
        <row r="2443">
          <cell r="AK2443">
            <v>14</v>
          </cell>
        </row>
        <row r="2444">
          <cell r="A2444" t="str">
            <v>SHP11026</v>
          </cell>
        </row>
        <row r="2444">
          <cell r="AK2444">
            <v>14</v>
          </cell>
        </row>
        <row r="2445">
          <cell r="A2445" t="str">
            <v>SBB13037</v>
          </cell>
        </row>
        <row r="2445">
          <cell r="AK2445">
            <v>14</v>
          </cell>
        </row>
        <row r="2446">
          <cell r="A2446" t="str">
            <v>SBB13039</v>
          </cell>
        </row>
        <row r="2446">
          <cell r="AK2446">
            <v>14</v>
          </cell>
        </row>
        <row r="2447">
          <cell r="A2447" t="str">
            <v>SWP017</v>
          </cell>
        </row>
        <row r="2447">
          <cell r="AK2447">
            <v>13</v>
          </cell>
        </row>
        <row r="2448">
          <cell r="A2448" t="str">
            <v>SWP038</v>
          </cell>
        </row>
        <row r="2448">
          <cell r="AK2448">
            <v>13</v>
          </cell>
        </row>
        <row r="2449">
          <cell r="A2449" t="str">
            <v>SWP042</v>
          </cell>
        </row>
        <row r="2449">
          <cell r="AK2449">
            <v>13</v>
          </cell>
        </row>
        <row r="2450">
          <cell r="A2450" t="str">
            <v>SWP046</v>
          </cell>
        </row>
        <row r="2450">
          <cell r="AK2450">
            <v>13</v>
          </cell>
        </row>
        <row r="2451">
          <cell r="A2451" t="str">
            <v>SWP191</v>
          </cell>
        </row>
        <row r="2451">
          <cell r="AK2451">
            <v>13</v>
          </cell>
        </row>
        <row r="2452">
          <cell r="A2452" t="str">
            <v>SWP241</v>
          </cell>
        </row>
        <row r="2452">
          <cell r="AK2452">
            <v>13</v>
          </cell>
        </row>
        <row r="2453">
          <cell r="A2453" t="str">
            <v>SBC1156</v>
          </cell>
        </row>
        <row r="2453">
          <cell r="AK2453">
            <v>13</v>
          </cell>
        </row>
        <row r="2454">
          <cell r="A2454" t="str">
            <v>SSC3045</v>
          </cell>
        </row>
        <row r="2454">
          <cell r="AK2454">
            <v>13</v>
          </cell>
        </row>
        <row r="2455">
          <cell r="A2455" t="str">
            <v>SCA8112FR</v>
          </cell>
        </row>
        <row r="2455">
          <cell r="AK2455">
            <v>13</v>
          </cell>
        </row>
        <row r="2456">
          <cell r="A2456" t="str">
            <v>SBC1207M</v>
          </cell>
        </row>
        <row r="2456">
          <cell r="AK2456">
            <v>13</v>
          </cell>
        </row>
        <row r="2457">
          <cell r="A2457" t="str">
            <v>SWC5067L</v>
          </cell>
        </row>
        <row r="2457">
          <cell r="AK2457">
            <v>13</v>
          </cell>
        </row>
        <row r="2458">
          <cell r="A2458" t="str">
            <v>SWC5068L</v>
          </cell>
        </row>
        <row r="2458">
          <cell r="AK2458">
            <v>13</v>
          </cell>
        </row>
        <row r="2459">
          <cell r="A2459" t="str">
            <v>SHP11021</v>
          </cell>
        </row>
        <row r="2459">
          <cell r="AK2459">
            <v>13</v>
          </cell>
        </row>
        <row r="2460">
          <cell r="A2460" t="str">
            <v>SBB13020</v>
          </cell>
        </row>
        <row r="2460">
          <cell r="AK2460">
            <v>13</v>
          </cell>
        </row>
        <row r="2461">
          <cell r="A2461" t="str">
            <v>SBB13044</v>
          </cell>
        </row>
        <row r="2461">
          <cell r="AK2461">
            <v>13</v>
          </cell>
        </row>
        <row r="2462">
          <cell r="A2462" t="str">
            <v>SBB13059</v>
          </cell>
        </row>
        <row r="2462">
          <cell r="AK2462">
            <v>13</v>
          </cell>
        </row>
        <row r="2463">
          <cell r="A2463" t="str">
            <v>SBB13139</v>
          </cell>
        </row>
        <row r="2463">
          <cell r="AK2463">
            <v>13</v>
          </cell>
        </row>
        <row r="2464">
          <cell r="A2464" t="str">
            <v>SBB13142</v>
          </cell>
        </row>
        <row r="2464">
          <cell r="AK2464">
            <v>13</v>
          </cell>
        </row>
        <row r="2465">
          <cell r="A2465" t="str">
            <v>SWP002</v>
          </cell>
        </row>
        <row r="2465">
          <cell r="AK2465">
            <v>12</v>
          </cell>
        </row>
        <row r="2466">
          <cell r="A2466" t="str">
            <v>SWP113</v>
          </cell>
        </row>
        <row r="2466">
          <cell r="AK2466">
            <v>12</v>
          </cell>
        </row>
        <row r="2467">
          <cell r="A2467" t="str">
            <v>SWP175</v>
          </cell>
        </row>
        <row r="2467">
          <cell r="AK2467">
            <v>12</v>
          </cell>
        </row>
        <row r="2468">
          <cell r="A2468" t="str">
            <v>SWP219</v>
          </cell>
        </row>
        <row r="2468">
          <cell r="AK2468">
            <v>12</v>
          </cell>
        </row>
        <row r="2469">
          <cell r="A2469" t="str">
            <v>SWP063</v>
          </cell>
        </row>
        <row r="2469">
          <cell r="AK2469">
            <v>12</v>
          </cell>
        </row>
        <row r="2470">
          <cell r="A2470" t="str">
            <v>SWP121</v>
          </cell>
        </row>
        <row r="2470">
          <cell r="AK2470">
            <v>12</v>
          </cell>
        </row>
        <row r="2471">
          <cell r="A2471" t="str">
            <v>SWP270</v>
          </cell>
        </row>
        <row r="2471">
          <cell r="AK2471">
            <v>12</v>
          </cell>
        </row>
        <row r="2472">
          <cell r="A2472" t="str">
            <v>SFC7002</v>
          </cell>
        </row>
        <row r="2472">
          <cell r="AK2472">
            <v>12</v>
          </cell>
        </row>
        <row r="2473">
          <cell r="A2473" t="str">
            <v>SWP332</v>
          </cell>
        </row>
        <row r="2473">
          <cell r="AK2473">
            <v>12</v>
          </cell>
        </row>
        <row r="2474">
          <cell r="A2474" t="str">
            <v>SWP375</v>
          </cell>
        </row>
        <row r="2474">
          <cell r="AK2474">
            <v>12</v>
          </cell>
        </row>
        <row r="2475">
          <cell r="A2475" t="str">
            <v>SHP11027</v>
          </cell>
        </row>
        <row r="2475">
          <cell r="AK2475">
            <v>12</v>
          </cell>
        </row>
        <row r="2476">
          <cell r="A2476" t="str">
            <v>SHP11029</v>
          </cell>
        </row>
        <row r="2476">
          <cell r="AK2476">
            <v>12</v>
          </cell>
        </row>
        <row r="2477">
          <cell r="A2477" t="str">
            <v>SBB13006</v>
          </cell>
        </row>
        <row r="2477">
          <cell r="AK2477">
            <v>12</v>
          </cell>
        </row>
        <row r="2478">
          <cell r="A2478" t="str">
            <v>SBB13026</v>
          </cell>
        </row>
        <row r="2478">
          <cell r="AK2478">
            <v>12</v>
          </cell>
        </row>
        <row r="2479">
          <cell r="A2479" t="str">
            <v>SBB13035</v>
          </cell>
        </row>
        <row r="2479">
          <cell r="AK2479">
            <v>12</v>
          </cell>
        </row>
        <row r="2480">
          <cell r="A2480" t="str">
            <v>SBB13040</v>
          </cell>
        </row>
        <row r="2480">
          <cell r="AK2480">
            <v>12</v>
          </cell>
        </row>
        <row r="2481">
          <cell r="A2481" t="str">
            <v>SBB13147</v>
          </cell>
        </row>
        <row r="2481">
          <cell r="AK2481">
            <v>12</v>
          </cell>
        </row>
        <row r="2482">
          <cell r="A2482" t="str">
            <v>SWP115</v>
          </cell>
        </row>
        <row r="2482">
          <cell r="AK2482">
            <v>11</v>
          </cell>
        </row>
        <row r="2483">
          <cell r="A2483" t="str">
            <v>SWP127</v>
          </cell>
        </row>
        <row r="2483">
          <cell r="AK2483">
            <v>11</v>
          </cell>
        </row>
        <row r="2484">
          <cell r="A2484" t="str">
            <v>SWP207</v>
          </cell>
        </row>
        <row r="2484">
          <cell r="AK2484">
            <v>11</v>
          </cell>
        </row>
        <row r="2485">
          <cell r="A2485" t="str">
            <v>SWP236H</v>
          </cell>
        </row>
        <row r="2485">
          <cell r="AK2485">
            <v>11</v>
          </cell>
        </row>
        <row r="2486">
          <cell r="A2486" t="str">
            <v>SWP235A</v>
          </cell>
        </row>
        <row r="2486">
          <cell r="AK2486">
            <v>11</v>
          </cell>
        </row>
        <row r="2487">
          <cell r="A2487" t="str">
            <v>SCS4004</v>
          </cell>
        </row>
        <row r="2487">
          <cell r="AK2487">
            <v>11</v>
          </cell>
        </row>
        <row r="2488">
          <cell r="A2488" t="str">
            <v>SBS8121PB</v>
          </cell>
        </row>
        <row r="2488">
          <cell r="AK2488">
            <v>11</v>
          </cell>
        </row>
        <row r="2489">
          <cell r="A2489" t="str">
            <v>SWP352</v>
          </cell>
        </row>
        <row r="2489">
          <cell r="AK2489">
            <v>11</v>
          </cell>
        </row>
        <row r="2490">
          <cell r="A2490" t="str">
            <v>SWC5068R</v>
          </cell>
        </row>
        <row r="2490">
          <cell r="AK2490">
            <v>11</v>
          </cell>
        </row>
        <row r="2491">
          <cell r="A2491" t="str">
            <v>SBB13041</v>
          </cell>
        </row>
        <row r="2491">
          <cell r="AK2491">
            <v>11</v>
          </cell>
        </row>
        <row r="2492">
          <cell r="A2492" t="str">
            <v>SBB13057</v>
          </cell>
        </row>
        <row r="2492">
          <cell r="AK2492">
            <v>11</v>
          </cell>
        </row>
        <row r="2493">
          <cell r="A2493" t="str">
            <v>SBB13068</v>
          </cell>
        </row>
        <row r="2493">
          <cell r="AK2493">
            <v>11</v>
          </cell>
        </row>
        <row r="2494">
          <cell r="A2494" t="str">
            <v>SBB13125</v>
          </cell>
        </row>
        <row r="2494">
          <cell r="AK2494">
            <v>11</v>
          </cell>
        </row>
        <row r="2495">
          <cell r="A2495" t="str">
            <v>SBB13145</v>
          </cell>
        </row>
        <row r="2495">
          <cell r="AK2495">
            <v>11</v>
          </cell>
        </row>
        <row r="2496">
          <cell r="A2496" t="str">
            <v>SWP022</v>
          </cell>
        </row>
        <row r="2496">
          <cell r="AK2496">
            <v>10</v>
          </cell>
        </row>
        <row r="2497">
          <cell r="A2497" t="str">
            <v>SWP026</v>
          </cell>
        </row>
        <row r="2497">
          <cell r="AK2497">
            <v>10</v>
          </cell>
        </row>
        <row r="2498">
          <cell r="A2498" t="str">
            <v>SWP032</v>
          </cell>
        </row>
        <row r="2498">
          <cell r="AK2498">
            <v>10</v>
          </cell>
        </row>
        <row r="2499">
          <cell r="A2499" t="str">
            <v>SWP176</v>
          </cell>
        </row>
        <row r="2499">
          <cell r="AK2499">
            <v>10</v>
          </cell>
        </row>
        <row r="2500">
          <cell r="A2500" t="str">
            <v>SBC1043</v>
          </cell>
        </row>
        <row r="2500">
          <cell r="AK2500">
            <v>10</v>
          </cell>
        </row>
        <row r="2501">
          <cell r="A2501" t="str">
            <v>SCC2043</v>
          </cell>
        </row>
        <row r="2501">
          <cell r="AK2501">
            <v>10</v>
          </cell>
        </row>
        <row r="2502">
          <cell r="A2502" t="str">
            <v>SCC2050</v>
          </cell>
        </row>
        <row r="2502">
          <cell r="AK2502">
            <v>10</v>
          </cell>
        </row>
        <row r="2503">
          <cell r="A2503" t="str">
            <v>SWP272A</v>
          </cell>
        </row>
        <row r="2503">
          <cell r="AK2503">
            <v>10</v>
          </cell>
        </row>
        <row r="2504">
          <cell r="A2504" t="str">
            <v>SWP309</v>
          </cell>
        </row>
        <row r="2504">
          <cell r="AK2504">
            <v>10</v>
          </cell>
        </row>
        <row r="2505">
          <cell r="A2505" t="str">
            <v>SWP316</v>
          </cell>
        </row>
        <row r="2505">
          <cell r="AK2505">
            <v>10</v>
          </cell>
        </row>
        <row r="2506">
          <cell r="A2506" t="str">
            <v>SWP325</v>
          </cell>
        </row>
        <row r="2506">
          <cell r="AK2506">
            <v>10</v>
          </cell>
        </row>
        <row r="2507">
          <cell r="A2507" t="str">
            <v>SWP328</v>
          </cell>
        </row>
        <row r="2507">
          <cell r="AK2507">
            <v>10</v>
          </cell>
        </row>
        <row r="2508">
          <cell r="A2508" t="str">
            <v>SBC1174</v>
          </cell>
        </row>
        <row r="2508">
          <cell r="AK2508">
            <v>10</v>
          </cell>
        </row>
        <row r="2509">
          <cell r="A2509" t="str">
            <v>SCA8103FL</v>
          </cell>
        </row>
        <row r="2509">
          <cell r="AK2509">
            <v>10</v>
          </cell>
        </row>
        <row r="2510">
          <cell r="A2510" t="str">
            <v>SCA8107FL</v>
          </cell>
        </row>
        <row r="2510">
          <cell r="AK2510">
            <v>10</v>
          </cell>
        </row>
        <row r="2511">
          <cell r="A2511" t="str">
            <v>SCA8107FR</v>
          </cell>
        </row>
        <row r="2511">
          <cell r="AK2511">
            <v>10</v>
          </cell>
        </row>
        <row r="2512">
          <cell r="A2512" t="str">
            <v>SWP337</v>
          </cell>
        </row>
        <row r="2512">
          <cell r="AK2512">
            <v>10</v>
          </cell>
        </row>
        <row r="2513">
          <cell r="A2513" t="str">
            <v>SOC9091</v>
          </cell>
        </row>
        <row r="2513">
          <cell r="AK2513">
            <v>10</v>
          </cell>
        </row>
        <row r="2514">
          <cell r="A2514" t="str">
            <v>SWC5057R</v>
          </cell>
        </row>
        <row r="2514">
          <cell r="AK2514">
            <v>10</v>
          </cell>
        </row>
        <row r="2515">
          <cell r="A2515" t="str">
            <v>SWC5069R</v>
          </cell>
        </row>
        <row r="2515">
          <cell r="AK2515">
            <v>10</v>
          </cell>
        </row>
        <row r="2516">
          <cell r="A2516" t="str">
            <v>SSC3062</v>
          </cell>
        </row>
        <row r="2516">
          <cell r="AK2516">
            <v>10</v>
          </cell>
        </row>
        <row r="2517">
          <cell r="A2517" t="str">
            <v>SHP11023</v>
          </cell>
        </row>
        <row r="2517">
          <cell r="AK2517">
            <v>10</v>
          </cell>
        </row>
        <row r="2518">
          <cell r="A2518" t="str">
            <v>SBB13005</v>
          </cell>
        </row>
        <row r="2518">
          <cell r="AK2518">
            <v>10</v>
          </cell>
        </row>
        <row r="2519">
          <cell r="A2519" t="str">
            <v>SBB13010</v>
          </cell>
        </row>
        <row r="2519">
          <cell r="AK2519">
            <v>10</v>
          </cell>
        </row>
        <row r="2520">
          <cell r="A2520" t="str">
            <v>SBB13036</v>
          </cell>
        </row>
        <row r="2520">
          <cell r="AK2520">
            <v>10</v>
          </cell>
        </row>
        <row r="2521">
          <cell r="A2521" t="str">
            <v>SBB13058</v>
          </cell>
        </row>
        <row r="2521">
          <cell r="AK2521">
            <v>10</v>
          </cell>
        </row>
        <row r="2522">
          <cell r="A2522" t="str">
            <v>SBB13089</v>
          </cell>
        </row>
        <row r="2522">
          <cell r="AK2522">
            <v>10</v>
          </cell>
        </row>
        <row r="2523">
          <cell r="A2523" t="str">
            <v>SBB13141</v>
          </cell>
        </row>
        <row r="2523">
          <cell r="AK2523">
            <v>10</v>
          </cell>
        </row>
        <row r="2524">
          <cell r="A2524" t="str">
            <v>SWP181</v>
          </cell>
        </row>
        <row r="2524">
          <cell r="AK2524">
            <v>9</v>
          </cell>
        </row>
        <row r="2525">
          <cell r="A2525" t="str">
            <v>SWP070H</v>
          </cell>
        </row>
        <row r="2525">
          <cell r="AK2525">
            <v>9</v>
          </cell>
        </row>
        <row r="2526">
          <cell r="A2526" t="str">
            <v>SCS4015</v>
          </cell>
        </row>
        <row r="2526">
          <cell r="AK2526">
            <v>9</v>
          </cell>
        </row>
        <row r="2527">
          <cell r="A2527" t="str">
            <v>SBC1118A</v>
          </cell>
        </row>
        <row r="2527">
          <cell r="AK2527">
            <v>9</v>
          </cell>
        </row>
        <row r="2528">
          <cell r="A2528" t="str">
            <v>SFC7009</v>
          </cell>
        </row>
        <row r="2528">
          <cell r="AK2528">
            <v>9</v>
          </cell>
        </row>
        <row r="2529">
          <cell r="A2529" t="str">
            <v>SWP330</v>
          </cell>
        </row>
        <row r="2529">
          <cell r="AK2529">
            <v>9</v>
          </cell>
        </row>
        <row r="2530">
          <cell r="A2530" t="str">
            <v>SCA8112FL</v>
          </cell>
        </row>
        <row r="2530">
          <cell r="AK2530">
            <v>9</v>
          </cell>
        </row>
        <row r="2531">
          <cell r="A2531" t="str">
            <v>SVP6052</v>
          </cell>
        </row>
        <row r="2531">
          <cell r="AK2531">
            <v>9</v>
          </cell>
        </row>
        <row r="2532">
          <cell r="A2532" t="str">
            <v>SWC5063R</v>
          </cell>
        </row>
        <row r="2532">
          <cell r="AK2532">
            <v>9</v>
          </cell>
        </row>
        <row r="2533">
          <cell r="A2533" t="str">
            <v>SBB13047</v>
          </cell>
        </row>
        <row r="2533">
          <cell r="AK2533">
            <v>9</v>
          </cell>
        </row>
        <row r="2534">
          <cell r="A2534" t="str">
            <v>SBB13055</v>
          </cell>
        </row>
        <row r="2534">
          <cell r="AK2534">
            <v>9</v>
          </cell>
        </row>
        <row r="2535">
          <cell r="A2535" t="str">
            <v>SBB13056</v>
          </cell>
        </row>
        <row r="2535">
          <cell r="AK2535">
            <v>9</v>
          </cell>
        </row>
        <row r="2536">
          <cell r="A2536" t="str">
            <v>SBB13063</v>
          </cell>
        </row>
        <row r="2536">
          <cell r="AK2536">
            <v>9</v>
          </cell>
        </row>
        <row r="2537">
          <cell r="A2537" t="str">
            <v>SBB13064</v>
          </cell>
        </row>
        <row r="2537">
          <cell r="AK2537">
            <v>9</v>
          </cell>
        </row>
        <row r="2538">
          <cell r="A2538" t="str">
            <v>SBB13140</v>
          </cell>
        </row>
        <row r="2538">
          <cell r="AK2538">
            <v>9</v>
          </cell>
        </row>
        <row r="2539">
          <cell r="A2539" t="str">
            <v>SWP078</v>
          </cell>
        </row>
        <row r="2539">
          <cell r="AK2539">
            <v>8</v>
          </cell>
        </row>
        <row r="2540">
          <cell r="A2540" t="str">
            <v>SWP084</v>
          </cell>
        </row>
        <row r="2540">
          <cell r="AK2540">
            <v>8</v>
          </cell>
        </row>
        <row r="2541">
          <cell r="A2541" t="str">
            <v>SWP118</v>
          </cell>
        </row>
        <row r="2541">
          <cell r="AK2541">
            <v>8</v>
          </cell>
        </row>
        <row r="2542">
          <cell r="A2542" t="str">
            <v>SWP159</v>
          </cell>
        </row>
        <row r="2542">
          <cell r="AK2542">
            <v>8</v>
          </cell>
        </row>
        <row r="2543">
          <cell r="A2543" t="str">
            <v>SWP035</v>
          </cell>
        </row>
        <row r="2543">
          <cell r="AK2543">
            <v>8</v>
          </cell>
        </row>
        <row r="2544">
          <cell r="A2544" t="str">
            <v>SBC1006</v>
          </cell>
        </row>
        <row r="2544">
          <cell r="AK2544">
            <v>8</v>
          </cell>
        </row>
        <row r="2545">
          <cell r="A2545" t="str">
            <v>SBC1138</v>
          </cell>
        </row>
        <row r="2545">
          <cell r="AK2545">
            <v>8</v>
          </cell>
        </row>
        <row r="2546">
          <cell r="A2546" t="str">
            <v>SBC1180</v>
          </cell>
        </row>
        <row r="2546">
          <cell r="AK2546">
            <v>8</v>
          </cell>
        </row>
        <row r="2547">
          <cell r="A2547" t="str">
            <v>SCA8113FR</v>
          </cell>
        </row>
        <row r="2547">
          <cell r="AK2547">
            <v>8</v>
          </cell>
        </row>
        <row r="2548">
          <cell r="A2548" t="str">
            <v>SWP353</v>
          </cell>
        </row>
        <row r="2548">
          <cell r="AK2548">
            <v>8</v>
          </cell>
        </row>
        <row r="2549">
          <cell r="A2549" t="str">
            <v>SOC9085</v>
          </cell>
        </row>
        <row r="2549">
          <cell r="AK2549">
            <v>8</v>
          </cell>
        </row>
        <row r="2550">
          <cell r="A2550" t="str">
            <v>SOC9092</v>
          </cell>
        </row>
        <row r="2550">
          <cell r="AK2550">
            <v>8</v>
          </cell>
        </row>
        <row r="2551">
          <cell r="A2551" t="str">
            <v>SHP11024</v>
          </cell>
        </row>
        <row r="2551">
          <cell r="AK2551">
            <v>8</v>
          </cell>
        </row>
        <row r="2552">
          <cell r="A2552" t="str">
            <v>SBB13043</v>
          </cell>
        </row>
        <row r="2552">
          <cell r="AK2552">
            <v>8</v>
          </cell>
        </row>
        <row r="2553">
          <cell r="A2553" t="str">
            <v>SBB13083</v>
          </cell>
        </row>
        <row r="2553">
          <cell r="AK2553">
            <v>8</v>
          </cell>
        </row>
        <row r="2554">
          <cell r="A2554" t="str">
            <v>SWP067</v>
          </cell>
        </row>
        <row r="2554">
          <cell r="AK2554">
            <v>7</v>
          </cell>
        </row>
        <row r="2555">
          <cell r="A2555" t="str">
            <v>SWP173</v>
          </cell>
        </row>
        <row r="2555">
          <cell r="AK2555">
            <v>7</v>
          </cell>
        </row>
        <row r="2556">
          <cell r="A2556" t="str">
            <v>SWP206</v>
          </cell>
        </row>
        <row r="2556">
          <cell r="AK2556">
            <v>7</v>
          </cell>
        </row>
        <row r="2557">
          <cell r="A2557" t="str">
            <v>SWP241H1</v>
          </cell>
        </row>
        <row r="2557">
          <cell r="AK2557">
            <v>7</v>
          </cell>
        </row>
        <row r="2558">
          <cell r="A2558" t="str">
            <v>SBC1062</v>
          </cell>
        </row>
        <row r="2558">
          <cell r="AK2558">
            <v>7</v>
          </cell>
        </row>
        <row r="2559">
          <cell r="A2559" t="str">
            <v>SWP315</v>
          </cell>
        </row>
        <row r="2559">
          <cell r="AK2559">
            <v>7</v>
          </cell>
        </row>
        <row r="2560">
          <cell r="A2560" t="str">
            <v>SWP346</v>
          </cell>
        </row>
        <row r="2560">
          <cell r="AK2560">
            <v>7</v>
          </cell>
        </row>
        <row r="2561">
          <cell r="A2561" t="str">
            <v>SWC5063L</v>
          </cell>
        </row>
        <row r="2561">
          <cell r="AK2561">
            <v>7</v>
          </cell>
        </row>
        <row r="2562">
          <cell r="A2562" t="str">
            <v>SCC2107</v>
          </cell>
        </row>
        <row r="2562">
          <cell r="AK2562">
            <v>7</v>
          </cell>
        </row>
        <row r="2563">
          <cell r="A2563" t="str">
            <v>SSC3056</v>
          </cell>
        </row>
        <row r="2563">
          <cell r="AK2563">
            <v>7</v>
          </cell>
        </row>
        <row r="2564">
          <cell r="A2564" t="str">
            <v>SWC5097</v>
          </cell>
        </row>
        <row r="2564">
          <cell r="AK2564">
            <v>7</v>
          </cell>
        </row>
        <row r="2565">
          <cell r="A2565" t="str">
            <v>SHP11025</v>
          </cell>
        </row>
        <row r="2565">
          <cell r="AK2565">
            <v>7</v>
          </cell>
        </row>
        <row r="2566">
          <cell r="A2566" t="str">
            <v>SBB13029</v>
          </cell>
        </row>
        <row r="2566">
          <cell r="AK2566">
            <v>7</v>
          </cell>
        </row>
        <row r="2567">
          <cell r="A2567" t="str">
            <v>SBB13054</v>
          </cell>
        </row>
        <row r="2567">
          <cell r="AK2567">
            <v>7</v>
          </cell>
        </row>
        <row r="2568">
          <cell r="A2568" t="str">
            <v>SBB13067</v>
          </cell>
        </row>
        <row r="2568">
          <cell r="AK2568">
            <v>7</v>
          </cell>
        </row>
        <row r="2569">
          <cell r="A2569" t="str">
            <v>SBB13113</v>
          </cell>
        </row>
        <row r="2569">
          <cell r="AK2569">
            <v>7</v>
          </cell>
        </row>
        <row r="2570">
          <cell r="A2570" t="str">
            <v>SWP009</v>
          </cell>
        </row>
        <row r="2570">
          <cell r="AK2570">
            <v>6</v>
          </cell>
        </row>
        <row r="2571">
          <cell r="A2571" t="str">
            <v>SWP124</v>
          </cell>
        </row>
        <row r="2571">
          <cell r="AK2571">
            <v>6</v>
          </cell>
        </row>
        <row r="2572">
          <cell r="A2572" t="str">
            <v>SCS4008</v>
          </cell>
        </row>
        <row r="2572">
          <cell r="AK2572">
            <v>6</v>
          </cell>
        </row>
        <row r="2573">
          <cell r="A2573" t="str">
            <v>SWP251A</v>
          </cell>
        </row>
        <row r="2573">
          <cell r="AK2573">
            <v>6</v>
          </cell>
        </row>
        <row r="2574">
          <cell r="A2574" t="str">
            <v>SBC1171</v>
          </cell>
        </row>
        <row r="2574">
          <cell r="AK2574">
            <v>6</v>
          </cell>
        </row>
        <row r="2575">
          <cell r="A2575" t="str">
            <v>SCA8111FL</v>
          </cell>
        </row>
        <row r="2575">
          <cell r="AK2575">
            <v>6</v>
          </cell>
        </row>
        <row r="2576">
          <cell r="A2576" t="str">
            <v>SCA8113FL</v>
          </cell>
        </row>
        <row r="2576">
          <cell r="AK2576">
            <v>6</v>
          </cell>
        </row>
        <row r="2577">
          <cell r="A2577" t="str">
            <v>SWC5067R</v>
          </cell>
        </row>
        <row r="2577">
          <cell r="AK2577">
            <v>6</v>
          </cell>
        </row>
        <row r="2578">
          <cell r="A2578" t="str">
            <v>SBC1248</v>
          </cell>
        </row>
        <row r="2578">
          <cell r="AK2578">
            <v>6</v>
          </cell>
        </row>
        <row r="2579">
          <cell r="A2579" t="str">
            <v>SSC3060</v>
          </cell>
        </row>
        <row r="2579">
          <cell r="AK2579">
            <v>6</v>
          </cell>
        </row>
        <row r="2580">
          <cell r="A2580" t="str">
            <v>SFC7030</v>
          </cell>
        </row>
        <row r="2580">
          <cell r="AK2580">
            <v>6</v>
          </cell>
        </row>
        <row r="2581">
          <cell r="A2581" t="str">
            <v>SBB13007</v>
          </cell>
        </row>
        <row r="2581">
          <cell r="AK2581">
            <v>6</v>
          </cell>
        </row>
        <row r="2582">
          <cell r="A2582" t="str">
            <v>SBB13027</v>
          </cell>
        </row>
        <row r="2582">
          <cell r="AK2582">
            <v>6</v>
          </cell>
        </row>
        <row r="2583">
          <cell r="A2583" t="str">
            <v>SBB13028</v>
          </cell>
        </row>
        <row r="2583">
          <cell r="AK2583">
            <v>6</v>
          </cell>
        </row>
        <row r="2584">
          <cell r="A2584" t="str">
            <v>SBB13053</v>
          </cell>
        </row>
        <row r="2584">
          <cell r="AK2584">
            <v>6</v>
          </cell>
        </row>
        <row r="2585">
          <cell r="A2585" t="str">
            <v>SBB13088</v>
          </cell>
        </row>
        <row r="2585">
          <cell r="AK2585">
            <v>6</v>
          </cell>
        </row>
        <row r="2586">
          <cell r="A2586" t="str">
            <v>SWP007</v>
          </cell>
        </row>
        <row r="2586">
          <cell r="AK2586">
            <v>5</v>
          </cell>
        </row>
        <row r="2587">
          <cell r="A2587" t="str">
            <v>SWP051</v>
          </cell>
        </row>
        <row r="2587">
          <cell r="AK2587">
            <v>5</v>
          </cell>
        </row>
        <row r="2588">
          <cell r="A2588" t="str">
            <v>SWP186</v>
          </cell>
        </row>
        <row r="2588">
          <cell r="AK2588">
            <v>5</v>
          </cell>
        </row>
        <row r="2589">
          <cell r="A2589" t="str">
            <v>SWP231H</v>
          </cell>
        </row>
        <row r="2589">
          <cell r="AK2589">
            <v>5</v>
          </cell>
        </row>
        <row r="2590">
          <cell r="A2590" t="str">
            <v>SCA8099FL</v>
          </cell>
        </row>
        <row r="2590">
          <cell r="AK2590">
            <v>5</v>
          </cell>
        </row>
        <row r="2591">
          <cell r="A2591" t="str">
            <v>SCA8106FL</v>
          </cell>
        </row>
        <row r="2591">
          <cell r="AK2591">
            <v>5</v>
          </cell>
        </row>
        <row r="2592">
          <cell r="A2592" t="str">
            <v>SCA8106FR</v>
          </cell>
        </row>
        <row r="2592">
          <cell r="AK2592">
            <v>5</v>
          </cell>
        </row>
        <row r="2593">
          <cell r="A2593" t="str">
            <v>SCA8108FR</v>
          </cell>
        </row>
        <row r="2593">
          <cell r="AK2593">
            <v>5</v>
          </cell>
        </row>
        <row r="2594">
          <cell r="A2594" t="str">
            <v>SSC3054</v>
          </cell>
        </row>
        <row r="2594">
          <cell r="AK2594">
            <v>5</v>
          </cell>
        </row>
        <row r="2595">
          <cell r="A2595" t="str">
            <v>SCC2121</v>
          </cell>
        </row>
        <row r="2595">
          <cell r="AK2595">
            <v>5</v>
          </cell>
        </row>
        <row r="2596">
          <cell r="A2596" t="str">
            <v>SCC2114</v>
          </cell>
        </row>
        <row r="2596">
          <cell r="AK2596">
            <v>5</v>
          </cell>
        </row>
        <row r="2597">
          <cell r="A2597" t="str">
            <v>SCC2124</v>
          </cell>
        </row>
        <row r="2597">
          <cell r="AK2597">
            <v>5</v>
          </cell>
        </row>
        <row r="2598">
          <cell r="A2598" t="str">
            <v>SSC3065</v>
          </cell>
        </row>
        <row r="2598">
          <cell r="AK2598">
            <v>5</v>
          </cell>
        </row>
        <row r="2599">
          <cell r="A2599" t="str">
            <v>SBC1238</v>
          </cell>
        </row>
        <row r="2599">
          <cell r="AK2599">
            <v>5</v>
          </cell>
        </row>
        <row r="2600">
          <cell r="A2600" t="str">
            <v>SBB13019</v>
          </cell>
        </row>
        <row r="2600">
          <cell r="AK2600">
            <v>5</v>
          </cell>
        </row>
        <row r="2601">
          <cell r="A2601" t="str">
            <v>SBB13062</v>
          </cell>
        </row>
        <row r="2601">
          <cell r="AK2601">
            <v>5</v>
          </cell>
        </row>
        <row r="2602">
          <cell r="A2602" t="str">
            <v>SWP192</v>
          </cell>
        </row>
        <row r="2602">
          <cell r="AK2602">
            <v>4</v>
          </cell>
        </row>
        <row r="2603">
          <cell r="A2603" t="str">
            <v>SWP250H</v>
          </cell>
        </row>
        <row r="2603">
          <cell r="AK2603">
            <v>4</v>
          </cell>
        </row>
        <row r="2604">
          <cell r="A2604" t="str">
            <v>SBC1063</v>
          </cell>
        </row>
        <row r="2604">
          <cell r="AK2604">
            <v>4</v>
          </cell>
        </row>
        <row r="2605">
          <cell r="A2605" t="str">
            <v>SWP260</v>
          </cell>
        </row>
        <row r="2605">
          <cell r="AK2605">
            <v>4</v>
          </cell>
        </row>
        <row r="2606">
          <cell r="A2606" t="str">
            <v>SCC2092</v>
          </cell>
        </row>
        <row r="2606">
          <cell r="AK2606">
            <v>4</v>
          </cell>
        </row>
        <row r="2607">
          <cell r="A2607" t="str">
            <v>SBC1196</v>
          </cell>
        </row>
        <row r="2607">
          <cell r="AK2607">
            <v>4</v>
          </cell>
        </row>
        <row r="2608">
          <cell r="A2608" t="str">
            <v>SWP358</v>
          </cell>
        </row>
        <row r="2608">
          <cell r="AK2608">
            <v>4</v>
          </cell>
        </row>
        <row r="2609">
          <cell r="A2609" t="str">
            <v>SWP360</v>
          </cell>
        </row>
        <row r="2609">
          <cell r="AK2609">
            <v>4</v>
          </cell>
        </row>
        <row r="2610">
          <cell r="A2610" t="str">
            <v>SCC2110</v>
          </cell>
        </row>
        <row r="2610">
          <cell r="AK2610">
            <v>4</v>
          </cell>
        </row>
        <row r="2611">
          <cell r="A2611" t="str">
            <v>SCC2116</v>
          </cell>
        </row>
        <row r="2611">
          <cell r="AK2611">
            <v>4</v>
          </cell>
        </row>
        <row r="2612">
          <cell r="A2612" t="str">
            <v>SWP083</v>
          </cell>
        </row>
        <row r="2612">
          <cell r="AK2612">
            <v>3</v>
          </cell>
        </row>
        <row r="2613">
          <cell r="A2613" t="str">
            <v>SWP096</v>
          </cell>
        </row>
        <row r="2613">
          <cell r="AK2613">
            <v>3</v>
          </cell>
        </row>
        <row r="2614">
          <cell r="A2614" t="str">
            <v>SWP230</v>
          </cell>
        </row>
        <row r="2614">
          <cell r="AK2614">
            <v>3</v>
          </cell>
        </row>
        <row r="2615">
          <cell r="A2615" t="str">
            <v>SWP327</v>
          </cell>
        </row>
        <row r="2615">
          <cell r="AK2615">
            <v>3</v>
          </cell>
        </row>
        <row r="2616">
          <cell r="A2616" t="str">
            <v>SCA8102FL</v>
          </cell>
        </row>
        <row r="2616">
          <cell r="AK2616">
            <v>3</v>
          </cell>
        </row>
        <row r="2617">
          <cell r="A2617" t="str">
            <v>SCA8108FL</v>
          </cell>
        </row>
        <row r="2617">
          <cell r="AK2617">
            <v>3</v>
          </cell>
        </row>
        <row r="2618">
          <cell r="A2618" t="str">
            <v>SWP355</v>
          </cell>
        </row>
        <row r="2618">
          <cell r="AK2618">
            <v>3</v>
          </cell>
        </row>
        <row r="2619">
          <cell r="A2619" t="str">
            <v>SWP356</v>
          </cell>
        </row>
        <row r="2619">
          <cell r="AK2619">
            <v>3</v>
          </cell>
        </row>
        <row r="2620">
          <cell r="A2620" t="str">
            <v>SWP359</v>
          </cell>
        </row>
        <row r="2620">
          <cell r="AK2620">
            <v>3</v>
          </cell>
        </row>
        <row r="2621">
          <cell r="A2621" t="str">
            <v>SCC2111</v>
          </cell>
        </row>
        <row r="2621">
          <cell r="AK2621">
            <v>3</v>
          </cell>
        </row>
        <row r="2622">
          <cell r="A2622" t="str">
            <v>SCC2119</v>
          </cell>
        </row>
        <row r="2622">
          <cell r="AK2622">
            <v>3</v>
          </cell>
        </row>
        <row r="2623">
          <cell r="A2623" t="str">
            <v>SSC3055</v>
          </cell>
        </row>
        <row r="2623">
          <cell r="AK2623">
            <v>3</v>
          </cell>
        </row>
        <row r="2624">
          <cell r="A2624" t="str">
            <v>SFC7026</v>
          </cell>
        </row>
        <row r="2624">
          <cell r="AK2624">
            <v>3</v>
          </cell>
        </row>
        <row r="2625">
          <cell r="A2625" t="str">
            <v>SFC7027</v>
          </cell>
        </row>
        <row r="2625">
          <cell r="AK2625">
            <v>3</v>
          </cell>
        </row>
        <row r="2626">
          <cell r="A2626" t="str">
            <v>SFC7029</v>
          </cell>
        </row>
        <row r="2626">
          <cell r="AK2626">
            <v>3</v>
          </cell>
        </row>
        <row r="2627">
          <cell r="A2627" t="str">
            <v>SFC7034</v>
          </cell>
        </row>
        <row r="2627">
          <cell r="AK2627">
            <v>3</v>
          </cell>
        </row>
        <row r="2628">
          <cell r="A2628" t="str">
            <v>SWP050</v>
          </cell>
        </row>
        <row r="2628">
          <cell r="AK2628">
            <v>2</v>
          </cell>
        </row>
        <row r="2629">
          <cell r="A2629" t="str">
            <v>SWP090</v>
          </cell>
        </row>
        <row r="2629">
          <cell r="AK2629">
            <v>2</v>
          </cell>
        </row>
        <row r="2630">
          <cell r="A2630" t="str">
            <v>SWP213</v>
          </cell>
        </row>
        <row r="2630">
          <cell r="AK2630">
            <v>2</v>
          </cell>
        </row>
        <row r="2631">
          <cell r="A2631" t="str">
            <v>SWP242</v>
          </cell>
        </row>
        <row r="2631">
          <cell r="AK2631">
            <v>2</v>
          </cell>
        </row>
        <row r="2632">
          <cell r="A2632" t="str">
            <v>SCA8109FL</v>
          </cell>
        </row>
        <row r="2632">
          <cell r="AK2632">
            <v>2</v>
          </cell>
        </row>
        <row r="2633">
          <cell r="A2633" t="str">
            <v>SCA8109FR</v>
          </cell>
        </row>
        <row r="2633">
          <cell r="AK2633">
            <v>2</v>
          </cell>
        </row>
        <row r="2634">
          <cell r="A2634" t="str">
            <v>SWP322</v>
          </cell>
        </row>
        <row r="2634">
          <cell r="AK2634">
            <v>2</v>
          </cell>
        </row>
        <row r="2635">
          <cell r="A2635" t="str">
            <v>SWP354</v>
          </cell>
        </row>
        <row r="2635">
          <cell r="AK2635">
            <v>2</v>
          </cell>
        </row>
        <row r="2636">
          <cell r="A2636" t="str">
            <v>SWP357</v>
          </cell>
        </row>
        <row r="2636">
          <cell r="AK2636">
            <v>2</v>
          </cell>
        </row>
        <row r="2637">
          <cell r="A2637" t="str">
            <v>SWC5070L</v>
          </cell>
        </row>
        <row r="2637">
          <cell r="AK2637">
            <v>2</v>
          </cell>
        </row>
        <row r="2638">
          <cell r="A2638" t="str">
            <v>SWC5070R</v>
          </cell>
        </row>
        <row r="2638">
          <cell r="AK2638">
            <v>2</v>
          </cell>
        </row>
        <row r="2639">
          <cell r="A2639" t="str">
            <v>SCC2108</v>
          </cell>
        </row>
        <row r="2639">
          <cell r="AK2639">
            <v>2</v>
          </cell>
        </row>
        <row r="2640">
          <cell r="A2640" t="str">
            <v>SSC3064</v>
          </cell>
        </row>
        <row r="2640">
          <cell r="AK2640">
            <v>2</v>
          </cell>
        </row>
        <row r="2641">
          <cell r="A2641" t="str">
            <v>SFC7031</v>
          </cell>
        </row>
        <row r="2641">
          <cell r="AK2641">
            <v>2</v>
          </cell>
        </row>
        <row r="2642">
          <cell r="A2642" t="str">
            <v>SWP129</v>
          </cell>
        </row>
        <row r="2642">
          <cell r="AK2642">
            <v>1</v>
          </cell>
        </row>
        <row r="2643">
          <cell r="A2643" t="str">
            <v>SWP221</v>
          </cell>
        </row>
        <row r="2643">
          <cell r="AK2643">
            <v>1</v>
          </cell>
        </row>
        <row r="2644">
          <cell r="A2644" t="str">
            <v>SWP231</v>
          </cell>
        </row>
        <row r="2644">
          <cell r="AK2644">
            <v>1</v>
          </cell>
        </row>
        <row r="2645">
          <cell r="A2645" t="str">
            <v>SWP030</v>
          </cell>
        </row>
        <row r="2645">
          <cell r="AK2645">
            <v>1</v>
          </cell>
        </row>
        <row r="2646">
          <cell r="A2646" t="str">
            <v>SWP275</v>
          </cell>
        </row>
        <row r="2646">
          <cell r="AK2646">
            <v>1</v>
          </cell>
        </row>
        <row r="2647">
          <cell r="A2647" t="str">
            <v>SCA8102FR</v>
          </cell>
        </row>
        <row r="2647">
          <cell r="AK2647">
            <v>1</v>
          </cell>
        </row>
        <row r="2648">
          <cell r="A2648" t="str">
            <v>SSC3059</v>
          </cell>
        </row>
        <row r="2648">
          <cell r="AK2648">
            <v>1</v>
          </cell>
        </row>
        <row r="2649">
          <cell r="A2649" t="str">
            <v>SCC2122</v>
          </cell>
        </row>
        <row r="2649">
          <cell r="AK2649">
            <v>1</v>
          </cell>
        </row>
        <row r="2650">
          <cell r="A2650" t="str">
            <v>SFC7025</v>
          </cell>
        </row>
        <row r="2650">
          <cell r="AK2650">
            <v>1</v>
          </cell>
        </row>
        <row r="2651">
          <cell r="A2651" t="str">
            <v>SFC7028</v>
          </cell>
        </row>
        <row r="2651">
          <cell r="AK2651">
            <v>1</v>
          </cell>
        </row>
        <row r="2652">
          <cell r="A2652" t="str">
            <v>SFC7032</v>
          </cell>
        </row>
        <row r="2652">
          <cell r="AK2652">
            <v>1</v>
          </cell>
        </row>
        <row r="2653">
          <cell r="A2653" t="str">
            <v>SFC7033</v>
          </cell>
        </row>
        <row r="2653">
          <cell r="AK2653">
            <v>1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ilha1"/>
    </sheetNames>
    <sheetDataSet>
      <sheetData sheetId="0">
        <row r="2">
          <cell r="A2">
            <v>4</v>
          </cell>
          <cell r="B2" t="str">
            <v>SBC 1011</v>
          </cell>
        </row>
        <row r="3">
          <cell r="A3">
            <v>6</v>
          </cell>
          <cell r="B3" t="str">
            <v>SBC 1117</v>
          </cell>
        </row>
        <row r="4">
          <cell r="A4">
            <v>6</v>
          </cell>
          <cell r="B4" t="str">
            <v>SBC 1124</v>
          </cell>
        </row>
        <row r="5">
          <cell r="A5">
            <v>4</v>
          </cell>
          <cell r="B5" t="str">
            <v>SBC 1147</v>
          </cell>
        </row>
        <row r="6">
          <cell r="A6">
            <v>6</v>
          </cell>
          <cell r="B6" t="str">
            <v>SBC 1148</v>
          </cell>
        </row>
        <row r="7">
          <cell r="A7">
            <v>6</v>
          </cell>
          <cell r="B7" t="str">
            <v>SBC 1149</v>
          </cell>
        </row>
        <row r="8">
          <cell r="A8">
            <v>8</v>
          </cell>
          <cell r="B8" t="str">
            <v>SBC 1188</v>
          </cell>
        </row>
        <row r="9">
          <cell r="A9">
            <v>3</v>
          </cell>
          <cell r="B9" t="str">
            <v>SCA 8053 FL</v>
          </cell>
        </row>
        <row r="10">
          <cell r="A10">
            <v>3</v>
          </cell>
          <cell r="B10" t="str">
            <v>SCA 8053 FR</v>
          </cell>
        </row>
        <row r="11">
          <cell r="A11">
            <v>3</v>
          </cell>
          <cell r="B11" t="str">
            <v>SCA 8060 FL</v>
          </cell>
        </row>
        <row r="12">
          <cell r="A12">
            <v>3</v>
          </cell>
          <cell r="B12" t="str">
            <v>SCA 8060 FR</v>
          </cell>
        </row>
        <row r="13">
          <cell r="A13">
            <v>8</v>
          </cell>
          <cell r="B13" t="str">
            <v>SCC 2010</v>
          </cell>
        </row>
        <row r="14">
          <cell r="A14">
            <v>1</v>
          </cell>
          <cell r="B14" t="str">
            <v>SCC 2017</v>
          </cell>
        </row>
        <row r="15">
          <cell r="A15">
            <v>4</v>
          </cell>
          <cell r="B15" t="str">
            <v>SCC 2029</v>
          </cell>
        </row>
        <row r="16">
          <cell r="A16">
            <v>8</v>
          </cell>
          <cell r="B16" t="str">
            <v>SCC 2063</v>
          </cell>
        </row>
        <row r="17">
          <cell r="A17">
            <v>4</v>
          </cell>
          <cell r="B17" t="str">
            <v>SCC 2067</v>
          </cell>
        </row>
        <row r="18">
          <cell r="A18">
            <v>4</v>
          </cell>
          <cell r="B18" t="str">
            <v>SCC 2078</v>
          </cell>
        </row>
        <row r="19">
          <cell r="A19">
            <v>2</v>
          </cell>
          <cell r="B19" t="str">
            <v>SFC 7034</v>
          </cell>
        </row>
        <row r="20">
          <cell r="A20">
            <v>2</v>
          </cell>
          <cell r="B20" t="str">
            <v>SOC 9002</v>
          </cell>
        </row>
        <row r="21">
          <cell r="A21">
            <v>2</v>
          </cell>
          <cell r="B21" t="str">
            <v>SOC 9025</v>
          </cell>
        </row>
        <row r="22">
          <cell r="A22">
            <v>2</v>
          </cell>
          <cell r="B22" t="str">
            <v>SOC 9031</v>
          </cell>
        </row>
        <row r="23">
          <cell r="A23">
            <v>8</v>
          </cell>
          <cell r="B23" t="str">
            <v>SSC 3042</v>
          </cell>
        </row>
        <row r="24">
          <cell r="A24">
            <v>20</v>
          </cell>
          <cell r="B24" t="str">
            <v>SWC 5013</v>
          </cell>
        </row>
        <row r="25">
          <cell r="A25">
            <v>8</v>
          </cell>
          <cell r="B25" t="str">
            <v>SWC 5018</v>
          </cell>
        </row>
        <row r="26">
          <cell r="A26">
            <v>10</v>
          </cell>
          <cell r="B26" t="str">
            <v>SCC 2003</v>
          </cell>
        </row>
      </sheetData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lasse" sourceName="Classe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amilia" sourceName="Familia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adora" sourceName="Montadora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amilia" cache="Slicer_Familia" caption="Familia" startItem="4" columnCount="4" style="SlicerStyleDark6" rowHeight="193675"/>
  <slicer name="Montadora" cache="Slicer_Montadora" caption="Montadora" columnCount="6" style="SlicerStyleDark6" rowHeight="193675"/>
  <slicer name="Classe" cache="Slicer_Classe" caption="Classe" style="SlicerStyleDark6" rowHeight="193675"/>
</slicers>
</file>

<file path=xl/tables/table1.xml><?xml version="1.0" encoding="utf-8"?>
<table xmlns="http://schemas.openxmlformats.org/spreadsheetml/2006/main" id="1" name="tbABCCodigo" displayName="tbABCCodigo" ref="A6:L1708" totalsRowShown="0">
  <autoFilter xmlns:etc="http://www.wps.cn/officeDocument/2017/etCustomData" ref="A6:L1708" etc:filterBottomFollowUsedRange="0"/>
  <tableColumns count="12">
    <tableColumn id="1" name="Código" dataDxfId="0"/>
    <tableColumn id="2" name="Produto" dataDxfId="1"/>
    <tableColumn id="3" name="Representada" dataDxfId="2">
      <calculatedColumnFormula>VLOOKUP(A7,[2]Planilha1!$A:$B,2,0)</calculatedColumnFormula>
    </tableColumn>
    <tableColumn id="4" name="Total" dataDxfId="3">
      <calculatedColumnFormula>SUMIF([1]Relatório!$A$2:$A$2653,A7,[1]Relatório!$AK$2:$AK$2653)</calculatedColumnFormula>
    </tableColumn>
    <tableColumn id="5" name="% Total" dataDxfId="4">
      <calculatedColumnFormula>D7/SUM($D$7:$D$1708)</calculatedColumnFormula>
    </tableColumn>
    <tableColumn id="6" name="% Acumulado" dataDxfId="5">
      <calculatedColumnFormula>SUM($E$7:E7)</calculatedColumnFormula>
    </tableColumn>
    <tableColumn id="7" name="Classe" dataDxfId="6">
      <calculatedColumnFormula>IF(F7&lt;=70%,"A",IF(F7&lt;=90%,"B","C"))</calculatedColumnFormula>
    </tableColumn>
    <tableColumn id="8" name="Familia" dataDxfId="7"/>
    <tableColumn id="9" name="Cross" dataDxfId="8"/>
    <tableColumn id="10" name="Montadora" dataDxfId="9"/>
    <tableColumn id="11" name="QTD COMPRADA - ESTHER DIST."/>
    <tableColumn id="12" name="COMPRA / NÃO COMP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08"/>
  <sheetViews>
    <sheetView showGridLines="0" tabSelected="1" topLeftCell="A4" workbookViewId="0">
      <selection activeCell="A4" sqref="A$1:A$1048576"/>
    </sheetView>
  </sheetViews>
  <sheetFormatPr defaultColWidth="9" defaultRowHeight="13.2"/>
  <cols>
    <col min="1" max="1" width="12" style="1" customWidth="1"/>
    <col min="2" max="2" width="49.3981481481481" customWidth="1"/>
    <col min="3" max="3" width="18.8981481481481" customWidth="1"/>
    <col min="4" max="4" width="9.89814814814815" customWidth="1"/>
    <col min="5" max="5" width="11.8981481481481" customWidth="1"/>
    <col min="6" max="6" width="17.3981481481481" customWidth="1"/>
    <col min="7" max="7" width="11.3981481481481" customWidth="1"/>
    <col min="8" max="8" width="34" customWidth="1"/>
    <col min="9" max="9" width="69.8888888888889" customWidth="1"/>
    <col min="10" max="10" width="38" customWidth="1"/>
    <col min="11" max="11" width="16" customWidth="1"/>
    <col min="12" max="12" width="20" customWidth="1"/>
  </cols>
  <sheetData>
    <row r="1" ht="30" customHeight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86" customHeight="1" spans="1:1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ht="165" customHeight="1"/>
    <row r="4" ht="205" customHeight="1"/>
    <row r="5" ht="8" customHeight="1"/>
    <row r="6" spans="1:12">
      <c r="A6" s="6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inlineStr">
        <is>
          <t>QTD COMPRADA - ESTHER DIST.</t>
        </is>
      </c>
      <c r="L6" s="7" t="inlineStr">
        <is>
          <t>COMPRA / NÃO COMPRA</t>
        </is>
      </c>
    </row>
    <row r="7" spans="1:12">
      <c r="A7" s="8" t="s">
        <v>12</v>
      </c>
      <c r="B7" s="9" t="s">
        <v>13</v>
      </c>
      <c r="C7" s="9" t="e">
        <f>VLOOKUP(A7,[2]Planilha1!$A:$B,2,0)</f>
        <v>#N/A</v>
      </c>
      <c r="D7" s="10">
        <f>SUMIF([1]Relatório!$A$2:$A$2653,A7,[1]Relatório!$AK$2:$AK$2653)</f>
        <v>15657</v>
      </c>
      <c r="E7" s="11">
        <f>D7/SUM($D$7:$D$1708)</f>
        <v>0.0267660699846313</v>
      </c>
      <c r="F7" s="11">
        <f>SUM($E$7:E7)</f>
        <v>0.0267660699846313</v>
      </c>
      <c r="G7" s="12" t="str">
        <f>IF(F7&lt;=70%,"A",IF(F7&lt;=90%,"B","C"))</f>
        <v>A</v>
      </c>
      <c r="H7" s="9" t="s">
        <v>14</v>
      </c>
      <c r="I7" s="9"/>
      <c r="J7" s="9" t="s">
        <v>15</v>
      </c>
      <c r="K7" s="10" t="str">
        <f>IFERROR(VLOOKUP(A7,'Pedido ESTHER'!$B:$C,2,0),"")</f>
        <v/>
      </c>
      <c r="L7" s="12" t="str">
        <f>IF(N(K7)&gt;0,"COMPRA","NÃO COMPRA")</f>
        <v>NÃO COMPRA</v>
      </c>
    </row>
    <row r="8" spans="1:12">
      <c r="A8" s="8" t="s">
        <v>16</v>
      </c>
      <c r="B8" s="9" t="s">
        <v>17</v>
      </c>
      <c r="C8" s="9" t="e">
        <f>VLOOKUP(A8,[2]Planilha1!$A:$B,2,0)</f>
        <v>#N/A</v>
      </c>
      <c r="D8" s="10">
        <f>SUMIF([1]Relatório!$A$2:$A$2653,A8,[1]Relatório!$AK$2:$AK$2653)</f>
        <v>14311</v>
      </c>
      <c r="E8" s="11">
        <f t="shared" ref="E8:E71" si="0">D8/SUM($D$7:$D$1708)</f>
        <v>0.0244650461486913</v>
      </c>
      <c r="F8" s="11">
        <f>SUM($E$7:E8)</f>
        <v>0.0512311161333226</v>
      </c>
      <c r="G8" s="12" t="str">
        <f t="shared" ref="G8:G71" si="1">IF(F8&lt;=70%,"A",IF(F8&lt;=90%,"B","C"))</f>
        <v>A</v>
      </c>
      <c r="H8" s="9" t="s">
        <v>18</v>
      </c>
      <c r="I8" s="9"/>
      <c r="J8" s="9" t="s">
        <v>15</v>
      </c>
      <c r="K8" s="10" t="str">
        <f>IFERROR(VLOOKUP(A8,'Pedido ESTHER'!$B:$C,2,0),"")</f>
        <v/>
      </c>
      <c r="L8" s="12" t="str">
        <f>IF(N(K8)&gt;0,"COMPRA","NÃO COMPRA")</f>
        <v>NÃO COMPRA</v>
      </c>
    </row>
    <row r="9" spans="1:12">
      <c r="A9" s="8" t="s">
        <v>19</v>
      </c>
      <c r="B9" s="9" t="s">
        <v>20</v>
      </c>
      <c r="C9" s="9" t="e">
        <f>VLOOKUP(A9,[2]Planilha1!$A:$B,2,0)</f>
        <v>#N/A</v>
      </c>
      <c r="D9" s="10">
        <f>SUMIF([1]Relatório!$A$2:$A$2653,A9,[1]Relatório!$AK$2:$AK$2653)</f>
        <v>6588</v>
      </c>
      <c r="E9" s="11">
        <f t="shared" si="0"/>
        <v>0.0112623662935908</v>
      </c>
      <c r="F9" s="11">
        <f>SUM($E$7:E9)</f>
        <v>0.0624934824269134</v>
      </c>
      <c r="G9" s="12" t="str">
        <f t="shared" si="1"/>
        <v>A</v>
      </c>
      <c r="H9" s="9" t="s">
        <v>21</v>
      </c>
      <c r="I9" s="9" t="s">
        <v>22</v>
      </c>
      <c r="J9" s="9" t="s">
        <v>23</v>
      </c>
      <c r="K9" s="10" t="str">
        <f>IFERROR(VLOOKUP(A9,'Pedido ESTHER'!$B:$C,2,0),"")</f>
        <v/>
      </c>
      <c r="L9" s="12" t="str">
        <f>IF(N(K9)&gt;0,"COMPRA","NÃO COMPRA")</f>
        <v>NÃO COMPRA</v>
      </c>
    </row>
    <row r="10" spans="1:12">
      <c r="A10" s="8" t="s">
        <v>24</v>
      </c>
      <c r="B10" s="9" t="s">
        <v>25</v>
      </c>
      <c r="C10" s="9" t="e">
        <f>VLOOKUP(A10,[2]Planilha1!$A:$B,2,0)</f>
        <v>#N/A</v>
      </c>
      <c r="D10" s="10">
        <f>SUMIF([1]Relatório!$A$2:$A$2653,A10,[1]Relatório!$AK$2:$AK$2653)</f>
        <v>6193</v>
      </c>
      <c r="E10" s="11">
        <f t="shared" si="0"/>
        <v>0.0105871029836381</v>
      </c>
      <c r="F10" s="11">
        <f>SUM($E$7:E10)</f>
        <v>0.0730805854105516</v>
      </c>
      <c r="G10" s="12" t="str">
        <f t="shared" si="1"/>
        <v>A</v>
      </c>
      <c r="H10" s="9" t="s">
        <v>21</v>
      </c>
      <c r="I10" s="9"/>
      <c r="J10" s="9" t="s">
        <v>23</v>
      </c>
      <c r="K10" s="10" t="str">
        <f>IFERROR(VLOOKUP(A10,'Pedido ESTHER'!$B:$C,2,0),"")</f>
        <v/>
      </c>
      <c r="L10" s="12" t="str">
        <f>IF(N(K10)&gt;0,"COMPRA","NÃO COMPRA")</f>
        <v>NÃO COMPRA</v>
      </c>
    </row>
    <row r="11" spans="1:12">
      <c r="A11" s="8" t="s">
        <v>26</v>
      </c>
      <c r="B11" s="9" t="s">
        <v>27</v>
      </c>
      <c r="C11" s="9" t="e">
        <f>VLOOKUP(A11,[2]Planilha1!$A:$B,2,0)</f>
        <v>#N/A</v>
      </c>
      <c r="D11" s="10">
        <f>SUMIF([1]Relatório!$A$2:$A$2653,A11,[1]Relatório!$AK$2:$AK$2653)</f>
        <v>5930</v>
      </c>
      <c r="E11" s="11">
        <f t="shared" si="0"/>
        <v>0.0101374972861253</v>
      </c>
      <c r="F11" s="11">
        <f>SUM($E$7:E11)</f>
        <v>0.0832180826966769</v>
      </c>
      <c r="G11" s="12" t="str">
        <f t="shared" si="1"/>
        <v>A</v>
      </c>
      <c r="H11" s="9" t="s">
        <v>21</v>
      </c>
      <c r="I11" s="9" t="s">
        <v>28</v>
      </c>
      <c r="J11" s="9" t="s">
        <v>29</v>
      </c>
      <c r="K11" s="10" t="str">
        <f>IFERROR(VLOOKUP(A11,'Pedido ESTHER'!$B:$C,2,0),"")</f>
        <v/>
      </c>
      <c r="L11" s="12" t="str">
        <f>IF(N(K11)&gt;0,"COMPRA","NÃO COMPRA")</f>
        <v>NÃO COMPRA</v>
      </c>
    </row>
    <row r="12" spans="1:12">
      <c r="A12" s="8" t="s">
        <v>30</v>
      </c>
      <c r="B12" s="9" t="s">
        <v>31</v>
      </c>
      <c r="C12" s="9" t="e">
        <f>VLOOKUP(A12,[2]Planilha1!$A:$B,2,0)</f>
        <v>#N/A</v>
      </c>
      <c r="D12" s="10">
        <f>SUMIF([1]Relatório!$A$2:$A$2653,A12,[1]Relatório!$AK$2:$AK$2653)</f>
        <v>5587</v>
      </c>
      <c r="E12" s="11">
        <f t="shared" si="0"/>
        <v>0.00955112939925499</v>
      </c>
      <c r="F12" s="11">
        <f>SUM($E$7:E12)</f>
        <v>0.0927692120959318</v>
      </c>
      <c r="G12" s="12" t="str">
        <f t="shared" si="1"/>
        <v>A</v>
      </c>
      <c r="H12" s="9" t="s">
        <v>21</v>
      </c>
      <c r="I12" s="9" t="s">
        <v>32</v>
      </c>
      <c r="J12" s="9" t="s">
        <v>33</v>
      </c>
      <c r="K12" s="10" t="str">
        <f>IFERROR(VLOOKUP(A12,'Pedido ESTHER'!$B:$C,2,0),"")</f>
        <v/>
      </c>
      <c r="L12" s="12" t="str">
        <f>IF(N(K12)&gt;0,"COMPRA","NÃO COMPRA")</f>
        <v>NÃO COMPRA</v>
      </c>
    </row>
    <row r="13" spans="1:12">
      <c r="A13" s="8" t="s">
        <v>34</v>
      </c>
      <c r="B13" s="9" t="s">
        <v>35</v>
      </c>
      <c r="C13" s="9" t="e">
        <f>VLOOKUP(A13,[2]Planilha1!$A:$B,2,0)</f>
        <v>#N/A</v>
      </c>
      <c r="D13" s="10">
        <f>SUMIF([1]Relatório!$A$2:$A$2653,A13,[1]Relatório!$AK$2:$AK$2653)</f>
        <v>5428</v>
      </c>
      <c r="E13" s="11">
        <f t="shared" si="0"/>
        <v>0.00927931454790694</v>
      </c>
      <c r="F13" s="11">
        <f>SUM($E$7:E13)</f>
        <v>0.102048526643839</v>
      </c>
      <c r="G13" s="12" t="str">
        <f t="shared" si="1"/>
        <v>A</v>
      </c>
      <c r="H13" s="9" t="s">
        <v>18</v>
      </c>
      <c r="I13" s="9"/>
      <c r="J13" s="9" t="s">
        <v>36</v>
      </c>
      <c r="K13" s="10">
        <f>IFERROR(VLOOKUP(A13,'Pedido ESTHER'!$B:$C,2,0),"")</f>
        <v>1</v>
      </c>
      <c r="L13" s="12" t="str">
        <f>IF(N(K13)&gt;0,"COMPRA","NÃO COMPRA")</f>
        <v>COMPRA</v>
      </c>
    </row>
    <row r="14" spans="1:12">
      <c r="A14" s="8" t="s">
        <v>37</v>
      </c>
      <c r="B14" s="9" t="s">
        <v>38</v>
      </c>
      <c r="C14" s="9" t="e">
        <f>VLOOKUP(A14,[2]Planilha1!$A:$B,2,0)</f>
        <v>#N/A</v>
      </c>
      <c r="D14" s="10">
        <f>SUMIF([1]Relatório!$A$2:$A$2653,A14,[1]Relatório!$AK$2:$AK$2653)</f>
        <v>5372</v>
      </c>
      <c r="E14" s="11">
        <f t="shared" si="0"/>
        <v>0.00918358101535668</v>
      </c>
      <c r="F14" s="11">
        <f>SUM($E$7:E14)</f>
        <v>0.111232107659195</v>
      </c>
      <c r="G14" s="12" t="str">
        <f t="shared" si="1"/>
        <v>A</v>
      </c>
      <c r="H14" s="9" t="s">
        <v>21</v>
      </c>
      <c r="I14" s="9" t="s">
        <v>39</v>
      </c>
      <c r="J14" s="9" t="s">
        <v>40</v>
      </c>
      <c r="K14" s="10" t="str">
        <f>IFERROR(VLOOKUP(A14,'Pedido ESTHER'!$B:$C,2,0),"")</f>
        <v/>
      </c>
      <c r="L14" s="12" t="str">
        <f>IF(N(K14)&gt;0,"COMPRA","NÃO COMPRA")</f>
        <v>NÃO COMPRA</v>
      </c>
    </row>
    <row r="15" spans="1:12">
      <c r="A15" s="8" t="s">
        <v>41</v>
      </c>
      <c r="B15" s="9" t="s">
        <v>42</v>
      </c>
      <c r="C15" s="9" t="e">
        <f>VLOOKUP(A15,[2]Planilha1!$A:$B,2,0)</f>
        <v>#N/A</v>
      </c>
      <c r="D15" s="10">
        <f>SUMIF([1]Relatório!$A$2:$A$2653,A15,[1]Relatório!$AK$2:$AK$2653)</f>
        <v>4985</v>
      </c>
      <c r="E15" s="11">
        <f t="shared" si="0"/>
        <v>0.00852199392433974</v>
      </c>
      <c r="F15" s="11">
        <f>SUM($E$7:E15)</f>
        <v>0.119754101583535</v>
      </c>
      <c r="G15" s="12" t="str">
        <f t="shared" si="1"/>
        <v>A</v>
      </c>
      <c r="H15" s="9" t="s">
        <v>21</v>
      </c>
      <c r="I15" s="9" t="s">
        <v>43</v>
      </c>
      <c r="J15" s="9" t="s">
        <v>44</v>
      </c>
      <c r="K15" s="10" t="str">
        <f>IFERROR(VLOOKUP(A15,'Pedido ESTHER'!$B:$C,2,0),"")</f>
        <v/>
      </c>
      <c r="L15" s="12" t="str">
        <f>IF(N(K15)&gt;0,"COMPRA","NÃO COMPRA")</f>
        <v>NÃO COMPRA</v>
      </c>
    </row>
    <row r="16" spans="1:12">
      <c r="A16" s="8" t="s">
        <v>45</v>
      </c>
      <c r="B16" s="9" t="s">
        <v>27</v>
      </c>
      <c r="C16" s="9" t="e">
        <f>VLOOKUP(A16,[2]Planilha1!$A:$B,2,0)</f>
        <v>#N/A</v>
      </c>
      <c r="D16" s="10">
        <f>SUMIF([1]Relatório!$A$2:$A$2653,A16,[1]Relatório!$AK$2:$AK$2653)</f>
        <v>4922</v>
      </c>
      <c r="E16" s="11">
        <f t="shared" si="0"/>
        <v>0.0084142937002207</v>
      </c>
      <c r="F16" s="11">
        <f>SUM($E$7:E16)</f>
        <v>0.128168395283756</v>
      </c>
      <c r="G16" s="12" t="str">
        <f t="shared" si="1"/>
        <v>A</v>
      </c>
      <c r="H16" s="9" t="s">
        <v>21</v>
      </c>
      <c r="I16" s="9" t="s">
        <v>46</v>
      </c>
      <c r="J16" s="9" t="s">
        <v>29</v>
      </c>
      <c r="K16" s="10" t="str">
        <f>IFERROR(VLOOKUP(A16,'Pedido ESTHER'!$B:$C,2,0),"")</f>
        <v/>
      </c>
      <c r="L16" s="12" t="str">
        <f>IF(N(K16)&gt;0,"COMPRA","NÃO COMPRA")</f>
        <v>NÃO COMPRA</v>
      </c>
    </row>
    <row r="17" spans="1:12">
      <c r="A17" s="8" t="s">
        <v>47</v>
      </c>
      <c r="B17" s="9" t="s">
        <v>48</v>
      </c>
      <c r="C17" s="9" t="e">
        <f>VLOOKUP(A17,[2]Planilha1!$A:$B,2,0)</f>
        <v>#N/A</v>
      </c>
      <c r="D17" s="10">
        <f>SUMIF([1]Relatório!$A$2:$A$2653,A17,[1]Relatório!$AK$2:$AK$2653)</f>
        <v>4719</v>
      </c>
      <c r="E17" s="11">
        <f t="shared" si="0"/>
        <v>0.00806725964472602</v>
      </c>
      <c r="F17" s="11">
        <f>SUM($E$7:E17)</f>
        <v>0.136235654928482</v>
      </c>
      <c r="G17" s="12" t="str">
        <f t="shared" si="1"/>
        <v>A</v>
      </c>
      <c r="H17" s="9" t="s">
        <v>18</v>
      </c>
      <c r="I17" s="9"/>
      <c r="J17" s="9" t="s">
        <v>49</v>
      </c>
      <c r="K17" s="10" t="str">
        <f>IFERROR(VLOOKUP(A17,'Pedido ESTHER'!$B:$C,2,0),"")</f>
        <v/>
      </c>
      <c r="L17" s="12" t="str">
        <f>IF(N(K17)&gt;0,"COMPRA","NÃO COMPRA")</f>
        <v>NÃO COMPRA</v>
      </c>
    </row>
    <row r="18" spans="1:12">
      <c r="A18" s="8" t="s">
        <v>50</v>
      </c>
      <c r="B18" s="9" t="s">
        <v>51</v>
      </c>
      <c r="C18" s="9" t="e">
        <f>VLOOKUP(A18,[2]Planilha1!$A:$B,2,0)</f>
        <v>#N/A</v>
      </c>
      <c r="D18" s="10">
        <f>SUMIF([1]Relatório!$A$2:$A$2653,A18,[1]Relatório!$AK$2:$AK$2653)</f>
        <v>4390</v>
      </c>
      <c r="E18" s="11">
        <f t="shared" si="0"/>
        <v>0.00750482514099327</v>
      </c>
      <c r="F18" s="11">
        <f>SUM($E$7:E18)</f>
        <v>0.143740480069475</v>
      </c>
      <c r="G18" s="12" t="str">
        <f t="shared" si="1"/>
        <v>A</v>
      </c>
      <c r="H18" s="9" t="s">
        <v>21</v>
      </c>
      <c r="I18" s="9" t="s">
        <v>52</v>
      </c>
      <c r="J18" s="9" t="s">
        <v>33</v>
      </c>
      <c r="K18" s="10" t="str">
        <f>IFERROR(VLOOKUP(A18,'Pedido ESTHER'!$B:$C,2,0),"")</f>
        <v/>
      </c>
      <c r="L18" s="12" t="str">
        <f>IF(N(K18)&gt;0,"COMPRA","NÃO COMPRA")</f>
        <v>NÃO COMPRA</v>
      </c>
    </row>
    <row r="19" spans="1:12">
      <c r="A19" s="8" t="s">
        <v>53</v>
      </c>
      <c r="B19" s="9" t="s">
        <v>42</v>
      </c>
      <c r="C19" s="9" t="e">
        <f>VLOOKUP(A19,[2]Planilha1!$A:$B,2,0)</f>
        <v>#N/A</v>
      </c>
      <c r="D19" s="10">
        <f>SUMIF([1]Relatório!$A$2:$A$2653,A19,[1]Relatório!$AK$2:$AK$2653)</f>
        <v>4235</v>
      </c>
      <c r="E19" s="11">
        <f t="shared" si="0"/>
        <v>0.0072398483991131</v>
      </c>
      <c r="F19" s="11">
        <f>SUM($E$7:E19)</f>
        <v>0.150980328468588</v>
      </c>
      <c r="G19" s="12" t="str">
        <f t="shared" si="1"/>
        <v>A</v>
      </c>
      <c r="H19" s="9" t="s">
        <v>21</v>
      </c>
      <c r="I19" s="9" t="s">
        <v>54</v>
      </c>
      <c r="J19" s="9" t="s">
        <v>44</v>
      </c>
      <c r="K19" s="10" t="str">
        <f>IFERROR(VLOOKUP(A19,'Pedido ESTHER'!$B:$C,2,0),"")</f>
        <v/>
      </c>
      <c r="L19" s="12" t="str">
        <f>IF(N(K19)&gt;0,"COMPRA","NÃO COMPRA")</f>
        <v>NÃO COMPRA</v>
      </c>
    </row>
    <row r="20" spans="1:12">
      <c r="A20" s="8" t="s">
        <v>55</v>
      </c>
      <c r="B20" s="9" t="s">
        <v>56</v>
      </c>
      <c r="C20" s="9" t="e">
        <f>VLOOKUP(A20,[2]Planilha1!$A:$B,2,0)</f>
        <v>#N/A</v>
      </c>
      <c r="D20" s="10">
        <f>SUMIF([1]Relatório!$A$2:$A$2653,A20,[1]Relatório!$AK$2:$AK$2653)</f>
        <v>4094</v>
      </c>
      <c r="E20" s="11">
        <f t="shared" si="0"/>
        <v>0.00699880504037049</v>
      </c>
      <c r="F20" s="11">
        <f>SUM($E$7:E20)</f>
        <v>0.157979133508959</v>
      </c>
      <c r="G20" s="12" t="str">
        <f t="shared" si="1"/>
        <v>A</v>
      </c>
      <c r="H20" s="9" t="s">
        <v>21</v>
      </c>
      <c r="I20" s="9" t="s">
        <v>57</v>
      </c>
      <c r="J20" s="9" t="s">
        <v>58</v>
      </c>
      <c r="K20" s="10">
        <f>IFERROR(VLOOKUP(A20,'Pedido ESTHER'!$B:$C,2,0),"")</f>
        <v>4</v>
      </c>
      <c r="L20" s="12" t="str">
        <f>IF(N(K20)&gt;0,"COMPRA","NÃO COMPRA")</f>
        <v>COMPRA</v>
      </c>
    </row>
    <row r="21" spans="1:12">
      <c r="A21" s="8" t="s">
        <v>59</v>
      </c>
      <c r="B21" s="9" t="s">
        <v>51</v>
      </c>
      <c r="C21" s="9" t="e">
        <f>VLOOKUP(A21,[2]Planilha1!$A:$B,2,0)</f>
        <v>#N/A</v>
      </c>
      <c r="D21" s="10">
        <f>SUMIF([1]Relatório!$A$2:$A$2653,A21,[1]Relatório!$AK$2:$AK$2653)</f>
        <v>4016</v>
      </c>
      <c r="E21" s="11">
        <f t="shared" si="0"/>
        <v>0.00686546190574692</v>
      </c>
      <c r="F21" s="11">
        <f>SUM($E$7:E21)</f>
        <v>0.164844595414706</v>
      </c>
      <c r="G21" s="12" t="str">
        <f t="shared" si="1"/>
        <v>A</v>
      </c>
      <c r="H21" s="9" t="s">
        <v>21</v>
      </c>
      <c r="I21" s="9" t="s">
        <v>60</v>
      </c>
      <c r="J21" s="9" t="s">
        <v>33</v>
      </c>
      <c r="K21" s="10" t="str">
        <f>IFERROR(VLOOKUP(A21,'Pedido ESTHER'!$B:$C,2,0),"")</f>
        <v/>
      </c>
      <c r="L21" s="12" t="str">
        <f>IF(N(K21)&gt;0,"COMPRA","NÃO COMPRA")</f>
        <v>NÃO COMPRA</v>
      </c>
    </row>
    <row r="22" spans="1:12">
      <c r="A22" s="8" t="s">
        <v>61</v>
      </c>
      <c r="B22" s="9" t="s">
        <v>62</v>
      </c>
      <c r="C22" s="9" t="e">
        <f>VLOOKUP(A22,[2]Planilha1!$A:$B,2,0)</f>
        <v>#N/A</v>
      </c>
      <c r="D22" s="10">
        <f>SUMIF([1]Relatório!$A$2:$A$2653,A22,[1]Relatório!$AK$2:$AK$2653)</f>
        <v>3970</v>
      </c>
      <c r="E22" s="11">
        <f t="shared" si="0"/>
        <v>0.00678682364686635</v>
      </c>
      <c r="F22" s="11">
        <f>SUM($E$7:E22)</f>
        <v>0.171631419061572</v>
      </c>
      <c r="G22" s="12" t="str">
        <f t="shared" si="1"/>
        <v>A</v>
      </c>
      <c r="H22" s="9" t="s">
        <v>21</v>
      </c>
      <c r="I22" s="9" t="s">
        <v>63</v>
      </c>
      <c r="J22" s="9" t="s">
        <v>64</v>
      </c>
      <c r="K22" s="10" t="str">
        <f>IFERROR(VLOOKUP(A22,'Pedido ESTHER'!$B:$C,2,0),"")</f>
        <v/>
      </c>
      <c r="L22" s="12" t="str">
        <f>IF(N(K22)&gt;0,"COMPRA","NÃO COMPRA")</f>
        <v>NÃO COMPRA</v>
      </c>
    </row>
    <row r="23" spans="1:12">
      <c r="A23" s="8" t="s">
        <v>65</v>
      </c>
      <c r="B23" s="9" t="s">
        <v>51</v>
      </c>
      <c r="C23" s="9" t="e">
        <f>VLOOKUP(A23,[2]Planilha1!$A:$B,2,0)</f>
        <v>#N/A</v>
      </c>
      <c r="D23" s="10">
        <f>SUMIF([1]Relatório!$A$2:$A$2653,A23,[1]Relatório!$AK$2:$AK$2653)</f>
        <v>3303</v>
      </c>
      <c r="E23" s="11">
        <f t="shared" si="0"/>
        <v>0.00564656889309813</v>
      </c>
      <c r="F23" s="11">
        <f>SUM($E$7:E23)</f>
        <v>0.17727798795467</v>
      </c>
      <c r="G23" s="12" t="str">
        <f t="shared" si="1"/>
        <v>A</v>
      </c>
      <c r="H23" s="9" t="s">
        <v>21</v>
      </c>
      <c r="I23" s="9" t="s">
        <v>66</v>
      </c>
      <c r="J23" s="9" t="s">
        <v>33</v>
      </c>
      <c r="K23" s="10" t="str">
        <f>IFERROR(VLOOKUP(A23,'Pedido ESTHER'!$B:$C,2,0),"")</f>
        <v/>
      </c>
      <c r="L23" s="12" t="str">
        <f>IF(N(K23)&gt;0,"COMPRA","NÃO COMPRA")</f>
        <v>NÃO COMPRA</v>
      </c>
    </row>
    <row r="24" spans="1:12">
      <c r="A24" s="8" t="s">
        <v>67</v>
      </c>
      <c r="B24" s="9" t="s">
        <v>27</v>
      </c>
      <c r="C24" s="9" t="e">
        <f>VLOOKUP(A24,[2]Planilha1!$A:$B,2,0)</f>
        <v>#N/A</v>
      </c>
      <c r="D24" s="10">
        <f>SUMIF([1]Relatório!$A$2:$A$2653,A24,[1]Relatório!$AK$2:$AK$2653)</f>
        <v>3257</v>
      </c>
      <c r="E24" s="11">
        <f t="shared" si="0"/>
        <v>0.00556793063421756</v>
      </c>
      <c r="F24" s="11">
        <f>SUM($E$7:E24)</f>
        <v>0.182845918588888</v>
      </c>
      <c r="G24" s="12" t="str">
        <f t="shared" si="1"/>
        <v>A</v>
      </c>
      <c r="H24" s="9" t="s">
        <v>21</v>
      </c>
      <c r="I24" s="9" t="s">
        <v>68</v>
      </c>
      <c r="J24" s="9" t="s">
        <v>29</v>
      </c>
      <c r="K24" s="10" t="str">
        <f>IFERROR(VLOOKUP(A24,'Pedido ESTHER'!$B:$C,2,0),"")</f>
        <v/>
      </c>
      <c r="L24" s="12" t="str">
        <f>IF(N(K24)&gt;0,"COMPRA","NÃO COMPRA")</f>
        <v>NÃO COMPRA</v>
      </c>
    </row>
    <row r="25" spans="1:12">
      <c r="A25" s="8" t="s">
        <v>69</v>
      </c>
      <c r="B25" s="9" t="s">
        <v>20</v>
      </c>
      <c r="C25" s="9" t="e">
        <f>VLOOKUP(A25,[2]Planilha1!$A:$B,2,0)</f>
        <v>#N/A</v>
      </c>
      <c r="D25" s="10">
        <f>SUMIF([1]Relatório!$A$2:$A$2653,A25,[1]Relatório!$AK$2:$AK$2653)</f>
        <v>3160</v>
      </c>
      <c r="E25" s="11">
        <f t="shared" si="0"/>
        <v>0.00540210647962158</v>
      </c>
      <c r="F25" s="11">
        <f>SUM($E$7:E25)</f>
        <v>0.188248025068509</v>
      </c>
      <c r="G25" s="12" t="str">
        <f t="shared" si="1"/>
        <v>A</v>
      </c>
      <c r="H25" s="9" t="s">
        <v>21</v>
      </c>
      <c r="I25" s="9"/>
      <c r="J25" s="9" t="s">
        <v>23</v>
      </c>
      <c r="K25" s="10" t="str">
        <f>IFERROR(VLOOKUP(A25,'Pedido ESTHER'!$B:$C,2,0),"")</f>
        <v/>
      </c>
      <c r="L25" s="12" t="str">
        <f>IF(N(K25)&gt;0,"COMPRA","NÃO COMPRA")</f>
        <v>NÃO COMPRA</v>
      </c>
    </row>
    <row r="26" spans="1:12">
      <c r="A26" s="8" t="s">
        <v>70</v>
      </c>
      <c r="B26" s="9" t="s">
        <v>20</v>
      </c>
      <c r="C26" s="9" t="e">
        <f>VLOOKUP(A26,[2]Planilha1!$A:$B,2,0)</f>
        <v>#N/A</v>
      </c>
      <c r="D26" s="10">
        <f>SUMIF([1]Relatório!$A$2:$A$2653,A26,[1]Relatório!$AK$2:$AK$2653)</f>
        <v>3118</v>
      </c>
      <c r="E26" s="11">
        <f t="shared" si="0"/>
        <v>0.00533030633020889</v>
      </c>
      <c r="F26" s="11">
        <f>SUM($E$7:E26)</f>
        <v>0.193578331398718</v>
      </c>
      <c r="G26" s="12" t="str">
        <f t="shared" si="1"/>
        <v>A</v>
      </c>
      <c r="H26" s="9" t="s">
        <v>21</v>
      </c>
      <c r="I26" s="9" t="s">
        <v>71</v>
      </c>
      <c r="J26" s="9" t="s">
        <v>23</v>
      </c>
      <c r="K26" s="10" t="str">
        <f>IFERROR(VLOOKUP(A26,'Pedido ESTHER'!$B:$C,2,0),"")</f>
        <v/>
      </c>
      <c r="L26" s="12" t="str">
        <f>IF(N(K26)&gt;0,"COMPRA","NÃO COMPRA")</f>
        <v>NÃO COMPRA</v>
      </c>
    </row>
    <row r="27" spans="1:12">
      <c r="A27" s="8" t="s">
        <v>72</v>
      </c>
      <c r="B27" s="9" t="s">
        <v>73</v>
      </c>
      <c r="C27" s="9" t="e">
        <f>VLOOKUP(A27,[2]Planilha1!$A:$B,2,0)</f>
        <v>#N/A</v>
      </c>
      <c r="D27" s="10">
        <f>SUMIF([1]Relatório!$A$2:$A$2653,A27,[1]Relatório!$AK$2:$AK$2653)</f>
        <v>3108</v>
      </c>
      <c r="E27" s="11">
        <f t="shared" si="0"/>
        <v>0.0053132110565392</v>
      </c>
      <c r="F27" s="11">
        <f>SUM($E$7:E27)</f>
        <v>0.198891542455257</v>
      </c>
      <c r="G27" s="12" t="str">
        <f t="shared" si="1"/>
        <v>A</v>
      </c>
      <c r="H27" s="9" t="s">
        <v>74</v>
      </c>
      <c r="I27" s="9" t="s">
        <v>75</v>
      </c>
      <c r="J27" s="9" t="s">
        <v>76</v>
      </c>
      <c r="K27" s="10" t="str">
        <f>IFERROR(VLOOKUP(A27,'Pedido ESTHER'!$B:$C,2,0),"")</f>
        <v/>
      </c>
      <c r="L27" s="12" t="str">
        <f>IF(N(K27)&gt;0,"COMPRA","NÃO COMPRA")</f>
        <v>NÃO COMPRA</v>
      </c>
    </row>
    <row r="28" spans="1:12">
      <c r="A28" s="8" t="s">
        <v>77</v>
      </c>
      <c r="B28" s="9" t="s">
        <v>78</v>
      </c>
      <c r="C28" s="9" t="e">
        <f>VLOOKUP(A28,[2]Planilha1!$A:$B,2,0)</f>
        <v>#N/A</v>
      </c>
      <c r="D28" s="10">
        <f>SUMIF([1]Relatório!$A$2:$A$2653,A28,[1]Relatório!$AK$2:$AK$2653)</f>
        <v>3004</v>
      </c>
      <c r="E28" s="11">
        <f t="shared" si="0"/>
        <v>0.00513542021037444</v>
      </c>
      <c r="F28" s="11">
        <f>SUM($E$7:E28)</f>
        <v>0.204026962665632</v>
      </c>
      <c r="G28" s="12" t="str">
        <f t="shared" si="1"/>
        <v>A</v>
      </c>
      <c r="H28" s="9" t="s">
        <v>74</v>
      </c>
      <c r="I28" s="9" t="s">
        <v>79</v>
      </c>
      <c r="J28" s="9" t="s">
        <v>44</v>
      </c>
      <c r="K28" s="10" t="str">
        <f>IFERROR(VLOOKUP(A28,'Pedido ESTHER'!$B:$C,2,0),"")</f>
        <v/>
      </c>
      <c r="L28" s="12" t="str">
        <f>IF(N(K28)&gt;0,"COMPRA","NÃO COMPRA")</f>
        <v>NÃO COMPRA</v>
      </c>
    </row>
    <row r="29" spans="1:12">
      <c r="A29" s="8" t="s">
        <v>80</v>
      </c>
      <c r="B29" s="9" t="s">
        <v>81</v>
      </c>
      <c r="C29" s="9" t="e">
        <f>VLOOKUP(A29,[2]Planilha1!$A:$B,2,0)</f>
        <v>#N/A</v>
      </c>
      <c r="D29" s="10">
        <f>SUMIF([1]Relatório!$A$2:$A$2653,A29,[1]Relatório!$AK$2:$AK$2653)</f>
        <v>2917</v>
      </c>
      <c r="E29" s="11">
        <f t="shared" si="0"/>
        <v>0.00498669132944815</v>
      </c>
      <c r="F29" s="11">
        <f>SUM($E$7:E29)</f>
        <v>0.20901365399508</v>
      </c>
      <c r="G29" s="12" t="str">
        <f t="shared" si="1"/>
        <v>A</v>
      </c>
      <c r="H29" s="9" t="s">
        <v>82</v>
      </c>
      <c r="I29" s="9"/>
      <c r="J29" s="9" t="s">
        <v>83</v>
      </c>
      <c r="K29" s="10" t="str">
        <f>IFERROR(VLOOKUP(A29,'Pedido ESTHER'!$B:$C,2,0),"")</f>
        <v/>
      </c>
      <c r="L29" s="12" t="str">
        <f>IF(N(K29)&gt;0,"COMPRA","NÃO COMPRA")</f>
        <v>NÃO COMPRA</v>
      </c>
    </row>
    <row r="30" spans="1:12">
      <c r="A30" s="8" t="s">
        <v>84</v>
      </c>
      <c r="B30" s="9" t="s">
        <v>48</v>
      </c>
      <c r="C30" s="9" t="e">
        <f>VLOOKUP(A30,[2]Planilha1!$A:$B,2,0)</f>
        <v>#N/A</v>
      </c>
      <c r="D30" s="10">
        <f>SUMIF([1]Relatório!$A$2:$A$2653,A30,[1]Relatório!$AK$2:$AK$2653)</f>
        <v>2843</v>
      </c>
      <c r="E30" s="11">
        <f t="shared" si="0"/>
        <v>0.00486018630429245</v>
      </c>
      <c r="F30" s="11">
        <f>SUM($E$7:E30)</f>
        <v>0.213873840299372</v>
      </c>
      <c r="G30" s="12" t="str">
        <f t="shared" si="1"/>
        <v>A</v>
      </c>
      <c r="H30" s="9" t="s">
        <v>18</v>
      </c>
      <c r="I30" s="9" t="s">
        <v>85</v>
      </c>
      <c r="J30" s="9" t="s">
        <v>29</v>
      </c>
      <c r="K30" s="10">
        <f>IFERROR(VLOOKUP(A30,'Pedido ESTHER'!$B:$C,2,0),"")</f>
        <v>4</v>
      </c>
      <c r="L30" s="12" t="str">
        <f>IF(N(K30)&gt;0,"COMPRA","NÃO COMPRA")</f>
        <v>COMPRA</v>
      </c>
    </row>
    <row r="31" spans="1:12">
      <c r="A31" s="8" t="s">
        <v>86</v>
      </c>
      <c r="B31" s="9" t="s">
        <v>27</v>
      </c>
      <c r="C31" s="9" t="e">
        <f>VLOOKUP(A31,[2]Planilha1!$A:$B,2,0)</f>
        <v>#N/A</v>
      </c>
      <c r="D31" s="10">
        <f>SUMIF([1]Relatório!$A$2:$A$2653,A31,[1]Relatório!$AK$2:$AK$2653)</f>
        <v>2757</v>
      </c>
      <c r="E31" s="11">
        <f t="shared" si="0"/>
        <v>0.00471316695073313</v>
      </c>
      <c r="F31" s="11">
        <f>SUM($E$7:E31)</f>
        <v>0.218587007250106</v>
      </c>
      <c r="G31" s="12" t="str">
        <f t="shared" si="1"/>
        <v>A</v>
      </c>
      <c r="H31" s="9" t="s">
        <v>21</v>
      </c>
      <c r="I31" s="9" t="s">
        <v>87</v>
      </c>
      <c r="J31" s="9" t="s">
        <v>29</v>
      </c>
      <c r="K31" s="10" t="str">
        <f>IFERROR(VLOOKUP(A31,'Pedido ESTHER'!$B:$C,2,0),"")</f>
        <v/>
      </c>
      <c r="L31" s="12" t="str">
        <f>IF(N(K31)&gt;0,"COMPRA","NÃO COMPRA")</f>
        <v>NÃO COMPRA</v>
      </c>
    </row>
    <row r="32" spans="1:12">
      <c r="A32" s="8" t="s">
        <v>88</v>
      </c>
      <c r="B32" s="9" t="s">
        <v>38</v>
      </c>
      <c r="C32" s="9" t="e">
        <f>VLOOKUP(A32,[2]Planilha1!$A:$B,2,0)</f>
        <v>#N/A</v>
      </c>
      <c r="D32" s="10">
        <f>SUMIF([1]Relatório!$A$2:$A$2653,A32,[1]Relatório!$AK$2:$AK$2653)</f>
        <v>2683</v>
      </c>
      <c r="E32" s="11">
        <f t="shared" si="0"/>
        <v>0.00458666192557744</v>
      </c>
      <c r="F32" s="11">
        <f>SUM($E$7:E32)</f>
        <v>0.223173669175683</v>
      </c>
      <c r="G32" s="12" t="str">
        <f t="shared" si="1"/>
        <v>A</v>
      </c>
      <c r="H32" s="9" t="s">
        <v>21</v>
      </c>
      <c r="I32" s="9" t="s">
        <v>89</v>
      </c>
      <c r="J32" s="9" t="s">
        <v>40</v>
      </c>
      <c r="K32" s="10" t="str">
        <f>IFERROR(VLOOKUP(A32,'Pedido ESTHER'!$B:$C,2,0),"")</f>
        <v/>
      </c>
      <c r="L32" s="12" t="str">
        <f>IF(N(K32)&gt;0,"COMPRA","NÃO COMPRA")</f>
        <v>NÃO COMPRA</v>
      </c>
    </row>
    <row r="33" spans="1:12">
      <c r="A33" s="8" t="s">
        <v>90</v>
      </c>
      <c r="B33" s="9" t="s">
        <v>91</v>
      </c>
      <c r="C33" s="9" t="e">
        <f>VLOOKUP(A33,[2]Planilha1!$A:$B,2,0)</f>
        <v>#N/A</v>
      </c>
      <c r="D33" s="10">
        <f>SUMIF([1]Relatório!$A$2:$A$2653,A33,[1]Relatório!$AK$2:$AK$2653)</f>
        <v>2549</v>
      </c>
      <c r="E33" s="11">
        <f t="shared" si="0"/>
        <v>0.00435758525840361</v>
      </c>
      <c r="F33" s="11">
        <f>SUM($E$7:E33)</f>
        <v>0.227531254434087</v>
      </c>
      <c r="G33" s="12" t="str">
        <f t="shared" si="1"/>
        <v>A</v>
      </c>
      <c r="H33" s="9" t="s">
        <v>74</v>
      </c>
      <c r="I33" s="9" t="s">
        <v>92</v>
      </c>
      <c r="J33" s="9" t="s">
        <v>33</v>
      </c>
      <c r="K33" s="10" t="str">
        <f>IFERROR(VLOOKUP(A33,'Pedido ESTHER'!$B:$C,2,0),"")</f>
        <v/>
      </c>
      <c r="L33" s="12" t="str">
        <f>IF(N(K33)&gt;0,"COMPRA","NÃO COMPRA")</f>
        <v>NÃO COMPRA</v>
      </c>
    </row>
    <row r="34" spans="1:12">
      <c r="A34" s="8" t="s">
        <v>93</v>
      </c>
      <c r="B34" s="9" t="s">
        <v>48</v>
      </c>
      <c r="C34" s="9" t="e">
        <f>VLOOKUP(A34,[2]Planilha1!$A:$B,2,0)</f>
        <v>#N/A</v>
      </c>
      <c r="D34" s="10">
        <f>SUMIF([1]Relatório!$A$2:$A$2653,A34,[1]Relatório!$AK$2:$AK$2653)</f>
        <v>2503</v>
      </c>
      <c r="E34" s="11">
        <f t="shared" si="0"/>
        <v>0.00427894699952304</v>
      </c>
      <c r="F34" s="11">
        <f>SUM($E$7:E34)</f>
        <v>0.23181020143361</v>
      </c>
      <c r="G34" s="12" t="str">
        <f t="shared" si="1"/>
        <v>A</v>
      </c>
      <c r="H34" s="9" t="s">
        <v>18</v>
      </c>
      <c r="I34" s="9"/>
      <c r="J34" s="9" t="s">
        <v>29</v>
      </c>
      <c r="K34" s="10" t="str">
        <f>IFERROR(VLOOKUP(A34,'Pedido ESTHER'!$B:$C,2,0),"")</f>
        <v/>
      </c>
      <c r="L34" s="12" t="str">
        <f>IF(N(K34)&gt;0,"COMPRA","NÃO COMPRA")</f>
        <v>NÃO COMPRA</v>
      </c>
    </row>
    <row r="35" spans="1:12">
      <c r="A35" s="8" t="s">
        <v>94</v>
      </c>
      <c r="B35" s="9" t="s">
        <v>20</v>
      </c>
      <c r="C35" s="9" t="e">
        <f>VLOOKUP(A35,[2]Planilha1!$A:$B,2,0)</f>
        <v>#N/A</v>
      </c>
      <c r="D35" s="10">
        <f>SUMIF([1]Relatório!$A$2:$A$2653,A35,[1]Relatório!$AK$2:$AK$2653)</f>
        <v>2390</v>
      </c>
      <c r="E35" s="11">
        <f t="shared" si="0"/>
        <v>0.00408577040705556</v>
      </c>
      <c r="F35" s="11">
        <f>SUM($E$7:E35)</f>
        <v>0.235895971840665</v>
      </c>
      <c r="G35" s="12" t="str">
        <f t="shared" si="1"/>
        <v>A</v>
      </c>
      <c r="H35" s="9" t="s">
        <v>21</v>
      </c>
      <c r="I35" s="9" t="s">
        <v>95</v>
      </c>
      <c r="J35" s="9" t="s">
        <v>23</v>
      </c>
      <c r="K35" s="10" t="str">
        <f>IFERROR(VLOOKUP(A35,'Pedido ESTHER'!$B:$C,2,0),"")</f>
        <v/>
      </c>
      <c r="L35" s="12" t="str">
        <f>IF(N(K35)&gt;0,"COMPRA","NÃO COMPRA")</f>
        <v>NÃO COMPRA</v>
      </c>
    </row>
    <row r="36" spans="1:12">
      <c r="A36" s="8" t="s">
        <v>96</v>
      </c>
      <c r="B36" s="9" t="s">
        <v>42</v>
      </c>
      <c r="C36" s="9" t="e">
        <f>VLOOKUP(A36,[2]Planilha1!$A:$B,2,0)</f>
        <v>#N/A</v>
      </c>
      <c r="D36" s="10">
        <f>SUMIF([1]Relatório!$A$2:$A$2653,A36,[1]Relatório!$AK$2:$AK$2653)</f>
        <v>2389</v>
      </c>
      <c r="E36" s="11">
        <f t="shared" si="0"/>
        <v>0.00408406087968859</v>
      </c>
      <c r="F36" s="11">
        <f>SUM($E$7:E36)</f>
        <v>0.239980032720354</v>
      </c>
      <c r="G36" s="12" t="str">
        <f t="shared" si="1"/>
        <v>A</v>
      </c>
      <c r="H36" s="9" t="s">
        <v>21</v>
      </c>
      <c r="I36" s="9"/>
      <c r="J36" s="9" t="s">
        <v>44</v>
      </c>
      <c r="K36" s="10" t="str">
        <f>IFERROR(VLOOKUP(A36,'Pedido ESTHER'!$B:$C,2,0),"")</f>
        <v/>
      </c>
      <c r="L36" s="12" t="str">
        <f>IF(N(K36)&gt;0,"COMPRA","NÃO COMPRA")</f>
        <v>NÃO COMPRA</v>
      </c>
    </row>
    <row r="37" spans="1:12">
      <c r="A37" s="8" t="s">
        <v>97</v>
      </c>
      <c r="B37" s="9" t="s">
        <v>78</v>
      </c>
      <c r="C37" s="9" t="e">
        <f>VLOOKUP(A37,[2]Planilha1!$A:$B,2,0)</f>
        <v>#N/A</v>
      </c>
      <c r="D37" s="10">
        <f>SUMIF([1]Relatório!$A$2:$A$2653,A37,[1]Relatório!$AK$2:$AK$2653)</f>
        <v>2282</v>
      </c>
      <c r="E37" s="11">
        <f t="shared" si="0"/>
        <v>0.00390114145142292</v>
      </c>
      <c r="F37" s="11">
        <f>SUM($E$7:E37)</f>
        <v>0.243881174171777</v>
      </c>
      <c r="G37" s="12" t="str">
        <f t="shared" si="1"/>
        <v>A</v>
      </c>
      <c r="H37" s="9" t="s">
        <v>74</v>
      </c>
      <c r="I37" s="9" t="s">
        <v>98</v>
      </c>
      <c r="J37" s="9" t="s">
        <v>44</v>
      </c>
      <c r="K37" s="10" t="str">
        <f>IFERROR(VLOOKUP(A37,'Pedido ESTHER'!$B:$C,2,0),"")</f>
        <v/>
      </c>
      <c r="L37" s="12" t="str">
        <f>IF(N(K37)&gt;0,"COMPRA","NÃO COMPRA")</f>
        <v>NÃO COMPRA</v>
      </c>
    </row>
    <row r="38" spans="1:12">
      <c r="A38" s="8" t="s">
        <v>99</v>
      </c>
      <c r="B38" s="9" t="s">
        <v>100</v>
      </c>
      <c r="C38" s="9" t="e">
        <f>VLOOKUP(A38,[2]Planilha1!$A:$B,2,0)</f>
        <v>#N/A</v>
      </c>
      <c r="D38" s="10">
        <f>SUMIF([1]Relatório!$A$2:$A$2653,A38,[1]Relatório!$AK$2:$AK$2653)</f>
        <v>2255</v>
      </c>
      <c r="E38" s="11">
        <f t="shared" si="0"/>
        <v>0.00385498421251477</v>
      </c>
      <c r="F38" s="11">
        <f>SUM($E$7:E38)</f>
        <v>0.247736158384291</v>
      </c>
      <c r="G38" s="12" t="str">
        <f t="shared" si="1"/>
        <v>A</v>
      </c>
      <c r="H38" s="9" t="s">
        <v>14</v>
      </c>
      <c r="I38" s="9"/>
      <c r="J38" s="9" t="s">
        <v>101</v>
      </c>
      <c r="K38" s="10" t="str">
        <f>IFERROR(VLOOKUP(A38,'Pedido ESTHER'!$B:$C,2,0),"")</f>
        <v/>
      </c>
      <c r="L38" s="12" t="str">
        <f>IF(N(K38)&gt;0,"COMPRA","NÃO COMPRA")</f>
        <v>NÃO COMPRA</v>
      </c>
    </row>
    <row r="39" spans="1:12">
      <c r="A39" s="8" t="s">
        <v>102</v>
      </c>
      <c r="B39" s="9" t="s">
        <v>103</v>
      </c>
      <c r="C39" s="9" t="e">
        <f>VLOOKUP(A39,[2]Planilha1!$A:$B,2,0)</f>
        <v>#N/A</v>
      </c>
      <c r="D39" s="10">
        <f>SUMIF([1]Relatório!$A$2:$A$2653,A39,[1]Relatório!$AK$2:$AK$2653)</f>
        <v>2204</v>
      </c>
      <c r="E39" s="11">
        <f t="shared" si="0"/>
        <v>0.00376779831679935</v>
      </c>
      <c r="F39" s="11">
        <f>SUM($E$7:E39)</f>
        <v>0.251503956701091</v>
      </c>
      <c r="G39" s="12" t="str">
        <f t="shared" si="1"/>
        <v>A</v>
      </c>
      <c r="H39" s="9" t="s">
        <v>18</v>
      </c>
      <c r="I39" s="9"/>
      <c r="J39" s="9" t="s">
        <v>44</v>
      </c>
      <c r="K39" s="10" t="str">
        <f>IFERROR(VLOOKUP(A39,'Pedido ESTHER'!$B:$C,2,0),"")</f>
        <v/>
      </c>
      <c r="L39" s="12" t="str">
        <f>IF(N(K39)&gt;0,"COMPRA","NÃO COMPRA")</f>
        <v>NÃO COMPRA</v>
      </c>
    </row>
    <row r="40" spans="1:12">
      <c r="A40" s="8" t="s">
        <v>104</v>
      </c>
      <c r="B40" s="9" t="s">
        <v>91</v>
      </c>
      <c r="C40" s="9" t="e">
        <f>VLOOKUP(A40,[2]Planilha1!$A:$B,2,0)</f>
        <v>#N/A</v>
      </c>
      <c r="D40" s="10">
        <f>SUMIF([1]Relatório!$A$2:$A$2653,A40,[1]Relatório!$AK$2:$AK$2653)</f>
        <v>2162</v>
      </c>
      <c r="E40" s="11">
        <f t="shared" si="0"/>
        <v>0.00369599816738666</v>
      </c>
      <c r="F40" s="11">
        <f>SUM($E$7:E40)</f>
        <v>0.255199954868478</v>
      </c>
      <c r="G40" s="12" t="str">
        <f t="shared" si="1"/>
        <v>A</v>
      </c>
      <c r="H40" s="9" t="s">
        <v>74</v>
      </c>
      <c r="I40" s="9" t="s">
        <v>105</v>
      </c>
      <c r="J40" s="9" t="s">
        <v>33</v>
      </c>
      <c r="K40" s="10">
        <f>IFERROR(VLOOKUP(A40,'Pedido ESTHER'!$B:$C,2,0),"")</f>
        <v>20</v>
      </c>
      <c r="L40" s="12" t="str">
        <f>IF(N(K40)&gt;0,"COMPRA","NÃO COMPRA")</f>
        <v>COMPRA</v>
      </c>
    </row>
    <row r="41" spans="1:12">
      <c r="A41" s="8" t="s">
        <v>106</v>
      </c>
      <c r="B41" s="9" t="s">
        <v>42</v>
      </c>
      <c r="C41" s="9" t="e">
        <f>VLOOKUP(A41,[2]Planilha1!$A:$B,2,0)</f>
        <v>#N/A</v>
      </c>
      <c r="D41" s="10">
        <f>SUMIF([1]Relatório!$A$2:$A$2653,A41,[1]Relatório!$AK$2:$AK$2653)</f>
        <v>2119</v>
      </c>
      <c r="E41" s="11">
        <f t="shared" si="0"/>
        <v>0.003622488490607</v>
      </c>
      <c r="F41" s="11">
        <f>SUM($E$7:E41)</f>
        <v>0.258822443359084</v>
      </c>
      <c r="G41" s="12" t="str">
        <f t="shared" si="1"/>
        <v>A</v>
      </c>
      <c r="H41" s="9" t="s">
        <v>21</v>
      </c>
      <c r="I41" s="9" t="s">
        <v>107</v>
      </c>
      <c r="J41" s="9" t="s">
        <v>44</v>
      </c>
      <c r="K41" s="10" t="str">
        <f>IFERROR(VLOOKUP(A41,'Pedido ESTHER'!$B:$C,2,0),"")</f>
        <v/>
      </c>
      <c r="L41" s="12" t="str">
        <f>IF(N(K41)&gt;0,"COMPRA","NÃO COMPRA")</f>
        <v>NÃO COMPRA</v>
      </c>
    </row>
    <row r="42" spans="1:12">
      <c r="A42" s="8" t="s">
        <v>108</v>
      </c>
      <c r="B42" s="9" t="s">
        <v>48</v>
      </c>
      <c r="C42" s="9" t="e">
        <f>VLOOKUP(A42,[2]Planilha1!$A:$B,2,0)</f>
        <v>#N/A</v>
      </c>
      <c r="D42" s="10">
        <f>SUMIF([1]Relatório!$A$2:$A$2653,A42,[1]Relatório!$AK$2:$AK$2653)</f>
        <v>2113</v>
      </c>
      <c r="E42" s="11">
        <f t="shared" si="0"/>
        <v>0.00361223132640519</v>
      </c>
      <c r="F42" s="11">
        <f>SUM($E$7:E42)</f>
        <v>0.26243467468549</v>
      </c>
      <c r="G42" s="12" t="str">
        <f t="shared" si="1"/>
        <v>A</v>
      </c>
      <c r="H42" s="9" t="s">
        <v>18</v>
      </c>
      <c r="I42" s="9" t="s">
        <v>109</v>
      </c>
      <c r="J42" s="9" t="s">
        <v>29</v>
      </c>
      <c r="K42" s="10" t="str">
        <f>IFERROR(VLOOKUP(A42,'Pedido ESTHER'!$B:$C,2,0),"")</f>
        <v/>
      </c>
      <c r="L42" s="12" t="str">
        <f>IF(N(K42)&gt;0,"COMPRA","NÃO COMPRA")</f>
        <v>NÃO COMPRA</v>
      </c>
    </row>
    <row r="43" spans="1:12">
      <c r="A43" s="8" t="s">
        <v>110</v>
      </c>
      <c r="B43" s="9" t="s">
        <v>111</v>
      </c>
      <c r="C43" s="9" t="e">
        <f>VLOOKUP(A43,[2]Planilha1!$A:$B,2,0)</f>
        <v>#N/A</v>
      </c>
      <c r="D43" s="10">
        <f>SUMIF([1]Relatório!$A$2:$A$2653,A43,[1]Relatório!$AK$2:$AK$2653)</f>
        <v>2094</v>
      </c>
      <c r="E43" s="11">
        <f t="shared" si="0"/>
        <v>0.00357975030643278</v>
      </c>
      <c r="F43" s="11">
        <f>SUM($E$7:E43)</f>
        <v>0.266014424991922</v>
      </c>
      <c r="G43" s="12" t="str">
        <f t="shared" si="1"/>
        <v>A</v>
      </c>
      <c r="H43" s="9" t="s">
        <v>112</v>
      </c>
      <c r="I43" s="9" t="s">
        <v>113</v>
      </c>
      <c r="J43" s="9" t="s">
        <v>114</v>
      </c>
      <c r="K43" s="10" t="str">
        <f>IFERROR(VLOOKUP(A43,'Pedido ESTHER'!$B:$C,2,0),"")</f>
        <v/>
      </c>
      <c r="L43" s="12" t="str">
        <f>IF(N(K43)&gt;0,"COMPRA","NÃO COMPRA")</f>
        <v>NÃO COMPRA</v>
      </c>
    </row>
    <row r="44" spans="1:12">
      <c r="A44" s="8" t="s">
        <v>115</v>
      </c>
      <c r="B44" s="9" t="s">
        <v>116</v>
      </c>
      <c r="C44" s="9" t="e">
        <f>VLOOKUP(A44,[2]Planilha1!$A:$B,2,0)</f>
        <v>#N/A</v>
      </c>
      <c r="D44" s="10">
        <f>SUMIF([1]Relatório!$A$2:$A$2653,A44,[1]Relatório!$AK$2:$AK$2653)</f>
        <v>2065</v>
      </c>
      <c r="E44" s="11">
        <f t="shared" si="0"/>
        <v>0.00353017401279068</v>
      </c>
      <c r="F44" s="11">
        <f>SUM($E$7:E44)</f>
        <v>0.269544599004713</v>
      </c>
      <c r="G44" s="12" t="str">
        <f t="shared" si="1"/>
        <v>A</v>
      </c>
      <c r="H44" s="9" t="s">
        <v>117</v>
      </c>
      <c r="I44" s="9" t="s">
        <v>118</v>
      </c>
      <c r="J44" s="9" t="s">
        <v>33</v>
      </c>
      <c r="K44" s="10" t="str">
        <f>IFERROR(VLOOKUP(A44,'Pedido ESTHER'!$B:$C,2,0),"")</f>
        <v/>
      </c>
      <c r="L44" s="12" t="str">
        <f>IF(N(K44)&gt;0,"COMPRA","NÃO COMPRA")</f>
        <v>NÃO COMPRA</v>
      </c>
    </row>
    <row r="45" spans="1:12">
      <c r="A45" s="8" t="s">
        <v>119</v>
      </c>
      <c r="B45" s="9" t="s">
        <v>42</v>
      </c>
      <c r="C45" s="9" t="e">
        <f>VLOOKUP(A45,[2]Planilha1!$A:$B,2,0)</f>
        <v>#N/A</v>
      </c>
      <c r="D45" s="10">
        <f>SUMIF([1]Relatório!$A$2:$A$2653,A45,[1]Relatório!$AK$2:$AK$2653)</f>
        <v>2053</v>
      </c>
      <c r="E45" s="11">
        <f t="shared" si="0"/>
        <v>0.00350965968438706</v>
      </c>
      <c r="F45" s="11">
        <f>SUM($E$7:E45)</f>
        <v>0.2730542586891</v>
      </c>
      <c r="G45" s="12" t="str">
        <f t="shared" si="1"/>
        <v>A</v>
      </c>
      <c r="H45" s="9" t="s">
        <v>21</v>
      </c>
      <c r="I45" s="9" t="s">
        <v>120</v>
      </c>
      <c r="J45" s="9" t="s">
        <v>44</v>
      </c>
      <c r="K45" s="10">
        <f>IFERROR(VLOOKUP(A45,'Pedido ESTHER'!$B:$C,2,0),"")</f>
        <v>6</v>
      </c>
      <c r="L45" s="12" t="str">
        <f>IF(N(K45)&gt;0,"COMPRA","NÃO COMPRA")</f>
        <v>COMPRA</v>
      </c>
    </row>
    <row r="46" spans="1:12">
      <c r="A46" s="8" t="s">
        <v>121</v>
      </c>
      <c r="B46" s="9" t="s">
        <v>122</v>
      </c>
      <c r="C46" s="9" t="e">
        <f>VLOOKUP(A46,[2]Planilha1!$A:$B,2,0)</f>
        <v>#N/A</v>
      </c>
      <c r="D46" s="10">
        <f>SUMIF([1]Relatório!$A$2:$A$2653,A46,[1]Relatório!$AK$2:$AK$2653)</f>
        <v>2033</v>
      </c>
      <c r="E46" s="11">
        <f t="shared" si="0"/>
        <v>0.00347546913704768</v>
      </c>
      <c r="F46" s="11">
        <f>SUM($E$7:E46)</f>
        <v>0.276529727826148</v>
      </c>
      <c r="G46" s="12" t="str">
        <f t="shared" si="1"/>
        <v>A</v>
      </c>
      <c r="H46" s="9" t="s">
        <v>18</v>
      </c>
      <c r="I46" s="9"/>
      <c r="J46" s="9" t="s">
        <v>123</v>
      </c>
      <c r="K46" s="10" t="str">
        <f>IFERROR(VLOOKUP(A46,'Pedido ESTHER'!$B:$C,2,0),"")</f>
        <v/>
      </c>
      <c r="L46" s="12" t="str">
        <f>IF(N(K46)&gt;0,"COMPRA","NÃO COMPRA")</f>
        <v>NÃO COMPRA</v>
      </c>
    </row>
    <row r="47" spans="1:12">
      <c r="A47" s="8" t="s">
        <v>124</v>
      </c>
      <c r="B47" s="9" t="s">
        <v>125</v>
      </c>
      <c r="C47" s="9" t="e">
        <f>VLOOKUP(A47,[2]Planilha1!$A:$B,2,0)</f>
        <v>#N/A</v>
      </c>
      <c r="D47" s="10">
        <f>SUMIF([1]Relatório!$A$2:$A$2653,A47,[1]Relatório!$AK$2:$AK$2653)</f>
        <v>1989</v>
      </c>
      <c r="E47" s="11">
        <f t="shared" si="0"/>
        <v>0.00340024993290105</v>
      </c>
      <c r="F47" s="11">
        <f>SUM($E$7:E47)</f>
        <v>0.279929977759049</v>
      </c>
      <c r="G47" s="12" t="str">
        <f t="shared" si="1"/>
        <v>A</v>
      </c>
      <c r="H47" s="9" t="s">
        <v>74</v>
      </c>
      <c r="I47" s="9" t="s">
        <v>126</v>
      </c>
      <c r="J47" s="9" t="s">
        <v>23</v>
      </c>
      <c r="K47" s="10" t="str">
        <f>IFERROR(VLOOKUP(A47,'Pedido ESTHER'!$B:$C,2,0),"")</f>
        <v/>
      </c>
      <c r="L47" s="12" t="str">
        <f>IF(N(K47)&gt;0,"COMPRA","NÃO COMPRA")</f>
        <v>NÃO COMPRA</v>
      </c>
    </row>
    <row r="48" spans="1:12">
      <c r="A48" s="8" t="s">
        <v>127</v>
      </c>
      <c r="B48" s="9" t="s">
        <v>128</v>
      </c>
      <c r="C48" s="9" t="e">
        <f>VLOOKUP(A48,[2]Planilha1!$A:$B,2,0)</f>
        <v>#N/A</v>
      </c>
      <c r="D48" s="10">
        <f>SUMIF([1]Relatório!$A$2:$A$2653,A48,[1]Relatório!$AK$2:$AK$2653)</f>
        <v>1892</v>
      </c>
      <c r="E48" s="11">
        <f t="shared" si="0"/>
        <v>0.00323442577830507</v>
      </c>
      <c r="F48" s="11">
        <f>SUM($E$7:E48)</f>
        <v>0.283164403537354</v>
      </c>
      <c r="G48" s="12" t="str">
        <f t="shared" si="1"/>
        <v>A</v>
      </c>
      <c r="H48" s="9" t="s">
        <v>21</v>
      </c>
      <c r="I48" s="9" t="s">
        <v>129</v>
      </c>
      <c r="J48" s="9" t="s">
        <v>15</v>
      </c>
      <c r="K48" s="10" t="str">
        <f>IFERROR(VLOOKUP(A48,'Pedido ESTHER'!$B:$C,2,0),"")</f>
        <v/>
      </c>
      <c r="L48" s="12" t="str">
        <f>IF(N(K48)&gt;0,"COMPRA","NÃO COMPRA")</f>
        <v>NÃO COMPRA</v>
      </c>
    </row>
    <row r="49" spans="1:12">
      <c r="A49" s="8" t="s">
        <v>130</v>
      </c>
      <c r="B49" s="9" t="s">
        <v>131</v>
      </c>
      <c r="C49" s="9" t="e">
        <f>VLOOKUP(A49,[2]Planilha1!$A:$B,2,0)</f>
        <v>#N/A</v>
      </c>
      <c r="D49" s="10">
        <f>SUMIF([1]Relatório!$A$2:$A$2653,A49,[1]Relatório!$AK$2:$AK$2653)</f>
        <v>1889</v>
      </c>
      <c r="E49" s="11">
        <f t="shared" si="0"/>
        <v>0.00322929719620417</v>
      </c>
      <c r="F49" s="11">
        <f>SUM($E$7:E49)</f>
        <v>0.286393700733558</v>
      </c>
      <c r="G49" s="12" t="str">
        <f t="shared" si="1"/>
        <v>A</v>
      </c>
      <c r="H49" s="9" t="s">
        <v>14</v>
      </c>
      <c r="I49" s="9"/>
      <c r="J49" s="9" t="s">
        <v>23</v>
      </c>
      <c r="K49" s="10" t="str">
        <f>IFERROR(VLOOKUP(A49,'Pedido ESTHER'!$B:$C,2,0),"")</f>
        <v/>
      </c>
      <c r="L49" s="12" t="str">
        <f>IF(N(K49)&gt;0,"COMPRA","NÃO COMPRA")</f>
        <v>NÃO COMPRA</v>
      </c>
    </row>
    <row r="50" spans="1:12">
      <c r="A50" s="8" t="s">
        <v>132</v>
      </c>
      <c r="B50" s="9" t="s">
        <v>133</v>
      </c>
      <c r="C50" s="9" t="e">
        <f>VLOOKUP(A50,[2]Planilha1!$A:$B,2,0)</f>
        <v>#N/A</v>
      </c>
      <c r="D50" s="10">
        <f>SUMIF([1]Relatório!$A$2:$A$2653,A50,[1]Relatório!$AK$2:$AK$2653)</f>
        <v>1835</v>
      </c>
      <c r="E50" s="11">
        <f t="shared" si="0"/>
        <v>0.00313698271838785</v>
      </c>
      <c r="F50" s="11">
        <f>SUM($E$7:E50)</f>
        <v>0.289530683451946</v>
      </c>
      <c r="G50" s="12" t="str">
        <f t="shared" si="1"/>
        <v>A</v>
      </c>
      <c r="H50" s="9" t="s">
        <v>82</v>
      </c>
      <c r="I50" s="9"/>
      <c r="J50" s="9" t="s">
        <v>44</v>
      </c>
      <c r="K50" s="10" t="str">
        <f>IFERROR(VLOOKUP(A50,'Pedido ESTHER'!$B:$C,2,0),"")</f>
        <v/>
      </c>
      <c r="L50" s="12" t="str">
        <f>IF(N(K50)&gt;0,"COMPRA","NÃO COMPRA")</f>
        <v>NÃO COMPRA</v>
      </c>
    </row>
    <row r="51" spans="1:12">
      <c r="A51" s="8" t="s">
        <v>134</v>
      </c>
      <c r="B51" s="9" t="s">
        <v>135</v>
      </c>
      <c r="C51" s="9" t="e">
        <f>VLOOKUP(A51,[2]Planilha1!$A:$B,2,0)</f>
        <v>#N/A</v>
      </c>
      <c r="D51" s="10">
        <f>SUMIF([1]Relatório!$A$2:$A$2653,A51,[1]Relatório!$AK$2:$AK$2653)</f>
        <v>1830</v>
      </c>
      <c r="E51" s="11">
        <f t="shared" si="0"/>
        <v>0.003128435081553</v>
      </c>
      <c r="F51" s="11">
        <f>SUM($E$7:E51)</f>
        <v>0.292659118533499</v>
      </c>
      <c r="G51" s="12" t="str">
        <f t="shared" si="1"/>
        <v>A</v>
      </c>
      <c r="H51" s="9" t="s">
        <v>18</v>
      </c>
      <c r="I51" s="9"/>
      <c r="J51" s="9" t="s">
        <v>101</v>
      </c>
      <c r="K51" s="10" t="str">
        <f>IFERROR(VLOOKUP(A51,'Pedido ESTHER'!$B:$C,2,0),"")</f>
        <v/>
      </c>
      <c r="L51" s="12" t="str">
        <f>IF(N(K51)&gt;0,"COMPRA","NÃO COMPRA")</f>
        <v>NÃO COMPRA</v>
      </c>
    </row>
    <row r="52" spans="1:12">
      <c r="A52" s="8" t="s">
        <v>136</v>
      </c>
      <c r="B52" s="9" t="s">
        <v>35</v>
      </c>
      <c r="C52" s="9" t="e">
        <f>VLOOKUP(A52,[2]Planilha1!$A:$B,2,0)</f>
        <v>#N/A</v>
      </c>
      <c r="D52" s="10">
        <f>SUMIF([1]Relatório!$A$2:$A$2653,A52,[1]Relatório!$AK$2:$AK$2653)</f>
        <v>1823</v>
      </c>
      <c r="E52" s="11">
        <f t="shared" si="0"/>
        <v>0.00311646838998422</v>
      </c>
      <c r="F52" s="11">
        <f>SUM($E$7:E52)</f>
        <v>0.295775586923483</v>
      </c>
      <c r="G52" s="12" t="str">
        <f t="shared" si="1"/>
        <v>A</v>
      </c>
      <c r="H52" s="9" t="s">
        <v>18</v>
      </c>
      <c r="I52" s="9" t="s">
        <v>137</v>
      </c>
      <c r="J52" s="9" t="s">
        <v>36</v>
      </c>
      <c r="K52" s="10" t="str">
        <f>IFERROR(VLOOKUP(A52,'Pedido ESTHER'!$B:$C,2,0),"")</f>
        <v/>
      </c>
      <c r="L52" s="12" t="str">
        <f>IF(N(K52)&gt;0,"COMPRA","NÃO COMPRA")</f>
        <v>NÃO COMPRA</v>
      </c>
    </row>
    <row r="53" spans="1:12">
      <c r="A53" s="8" t="s">
        <v>138</v>
      </c>
      <c r="B53" s="9" t="s">
        <v>116</v>
      </c>
      <c r="C53" s="9" t="e">
        <f>VLOOKUP(A53,[2]Planilha1!$A:$B,2,0)</f>
        <v>#N/A</v>
      </c>
      <c r="D53" s="10">
        <f>SUMIF([1]Relatório!$A$2:$A$2653,A53,[1]Relatório!$AK$2:$AK$2653)</f>
        <v>1801</v>
      </c>
      <c r="E53" s="11">
        <f t="shared" si="0"/>
        <v>0.00307885878791091</v>
      </c>
      <c r="F53" s="11">
        <f>SUM($E$7:E53)</f>
        <v>0.298854445711394</v>
      </c>
      <c r="G53" s="12" t="str">
        <f t="shared" si="1"/>
        <v>A</v>
      </c>
      <c r="H53" s="9" t="s">
        <v>117</v>
      </c>
      <c r="I53" s="9" t="s">
        <v>139</v>
      </c>
      <c r="J53" s="9" t="s">
        <v>33</v>
      </c>
      <c r="K53" s="10" t="str">
        <f>IFERROR(VLOOKUP(A53,'Pedido ESTHER'!$B:$C,2,0),"")</f>
        <v/>
      </c>
      <c r="L53" s="12" t="str">
        <f>IF(N(K53)&gt;0,"COMPRA","NÃO COMPRA")</f>
        <v>NÃO COMPRA</v>
      </c>
    </row>
    <row r="54" spans="1:12">
      <c r="A54" s="8" t="s">
        <v>140</v>
      </c>
      <c r="B54" s="9" t="s">
        <v>133</v>
      </c>
      <c r="C54" s="9" t="e">
        <f>VLOOKUP(A54,[2]Planilha1!$A:$B,2,0)</f>
        <v>#N/A</v>
      </c>
      <c r="D54" s="10">
        <f>SUMIF([1]Relatório!$A$2:$A$2653,A54,[1]Relatório!$AK$2:$AK$2653)</f>
        <v>1796</v>
      </c>
      <c r="E54" s="11">
        <f t="shared" si="0"/>
        <v>0.00307031115107606</v>
      </c>
      <c r="F54" s="11">
        <f>SUM($E$7:E54)</f>
        <v>0.30192475686247</v>
      </c>
      <c r="G54" s="12" t="str">
        <f t="shared" si="1"/>
        <v>A</v>
      </c>
      <c r="H54" s="9" t="s">
        <v>82</v>
      </c>
      <c r="I54" s="9"/>
      <c r="J54" s="9" t="s">
        <v>44</v>
      </c>
      <c r="K54" s="10" t="str">
        <f>IFERROR(VLOOKUP(A54,'Pedido ESTHER'!$B:$C,2,0),"")</f>
        <v/>
      </c>
      <c r="L54" s="12" t="str">
        <f>IF(N(K54)&gt;0,"COMPRA","NÃO COMPRA")</f>
        <v>NÃO COMPRA</v>
      </c>
    </row>
    <row r="55" spans="1:12">
      <c r="A55" s="8" t="s">
        <v>141</v>
      </c>
      <c r="B55" s="9" t="s">
        <v>142</v>
      </c>
      <c r="C55" s="9" t="e">
        <f>VLOOKUP(A55,[2]Planilha1!$A:$B,2,0)</f>
        <v>#N/A</v>
      </c>
      <c r="D55" s="10">
        <f>SUMIF([1]Relatório!$A$2:$A$2653,A55,[1]Relatório!$AK$2:$AK$2653)</f>
        <v>1791</v>
      </c>
      <c r="E55" s="11">
        <f t="shared" si="0"/>
        <v>0.00306176351424122</v>
      </c>
      <c r="F55" s="11">
        <f>SUM($E$7:E55)</f>
        <v>0.304986520376711</v>
      </c>
      <c r="G55" s="12" t="str">
        <f t="shared" si="1"/>
        <v>A</v>
      </c>
      <c r="H55" s="9" t="s">
        <v>143</v>
      </c>
      <c r="I55" s="9" t="s">
        <v>144</v>
      </c>
      <c r="J55" s="9" t="s">
        <v>49</v>
      </c>
      <c r="K55" s="10" t="str">
        <f>IFERROR(VLOOKUP(A55,'Pedido ESTHER'!$B:$C,2,0),"")</f>
        <v/>
      </c>
      <c r="L55" s="12" t="str">
        <f>IF(N(K55)&gt;0,"COMPRA","NÃO COMPRA")</f>
        <v>NÃO COMPRA</v>
      </c>
    </row>
    <row r="56" spans="1:12">
      <c r="A56" s="8" t="s">
        <v>145</v>
      </c>
      <c r="B56" s="9" t="s">
        <v>146</v>
      </c>
      <c r="C56" s="9" t="e">
        <f>VLOOKUP(A56,[2]Planilha1!$A:$B,2,0)</f>
        <v>#N/A</v>
      </c>
      <c r="D56" s="10">
        <f>SUMIF([1]Relatório!$A$2:$A$2653,A56,[1]Relatório!$AK$2:$AK$2653)</f>
        <v>1754</v>
      </c>
      <c r="E56" s="11">
        <f t="shared" si="0"/>
        <v>0.00299851100166337</v>
      </c>
      <c r="F56" s="11">
        <f>SUM($E$7:E56)</f>
        <v>0.307985031378375</v>
      </c>
      <c r="G56" s="12" t="str">
        <f t="shared" si="1"/>
        <v>A</v>
      </c>
      <c r="H56" s="9" t="s">
        <v>74</v>
      </c>
      <c r="I56" s="9" t="s">
        <v>147</v>
      </c>
      <c r="J56" s="9" t="s">
        <v>58</v>
      </c>
      <c r="K56" s="10" t="str">
        <f>IFERROR(VLOOKUP(A56,'Pedido ESTHER'!$B:$C,2,0),"")</f>
        <v/>
      </c>
      <c r="L56" s="12" t="str">
        <f>IF(N(K56)&gt;0,"COMPRA","NÃO COMPRA")</f>
        <v>NÃO COMPRA</v>
      </c>
    </row>
    <row r="57" spans="1:12">
      <c r="A57" s="8" t="s">
        <v>148</v>
      </c>
      <c r="B57" s="9" t="s">
        <v>42</v>
      </c>
      <c r="C57" s="9" t="e">
        <f>VLOOKUP(A57,[2]Planilha1!$A:$B,2,0)</f>
        <v>#N/A</v>
      </c>
      <c r="D57" s="10">
        <f>SUMIF([1]Relatório!$A$2:$A$2653,A57,[1]Relatório!$AK$2:$AK$2653)</f>
        <v>1733</v>
      </c>
      <c r="E57" s="11">
        <f t="shared" si="0"/>
        <v>0.00296261092695702</v>
      </c>
      <c r="F57" s="11">
        <f>SUM($E$7:E57)</f>
        <v>0.310947642305332</v>
      </c>
      <c r="G57" s="12" t="str">
        <f t="shared" si="1"/>
        <v>A</v>
      </c>
      <c r="H57" s="9" t="s">
        <v>21</v>
      </c>
      <c r="I57" s="9"/>
      <c r="J57" s="9" t="s">
        <v>44</v>
      </c>
      <c r="K57" s="10" t="str">
        <f>IFERROR(VLOOKUP(A57,'Pedido ESTHER'!$B:$C,2,0),"")</f>
        <v/>
      </c>
      <c r="L57" s="12" t="str">
        <f>IF(N(K57)&gt;0,"COMPRA","NÃO COMPRA")</f>
        <v>NÃO COMPRA</v>
      </c>
    </row>
    <row r="58" spans="1:12">
      <c r="A58" s="8" t="s">
        <v>149</v>
      </c>
      <c r="B58" s="9" t="s">
        <v>150</v>
      </c>
      <c r="C58" s="9" t="e">
        <f>VLOOKUP(A58,[2]Planilha1!$A:$B,2,0)</f>
        <v>#N/A</v>
      </c>
      <c r="D58" s="10">
        <f>SUMIF([1]Relatório!$A$2:$A$2653,A58,[1]Relatório!$AK$2:$AK$2653)</f>
        <v>1718</v>
      </c>
      <c r="E58" s="11">
        <f t="shared" si="0"/>
        <v>0.00293696801645249</v>
      </c>
      <c r="F58" s="11">
        <f>SUM($E$7:E58)</f>
        <v>0.313884610321784</v>
      </c>
      <c r="G58" s="12" t="str">
        <f t="shared" si="1"/>
        <v>A</v>
      </c>
      <c r="H58" s="9" t="s">
        <v>117</v>
      </c>
      <c r="I58" s="9" t="s">
        <v>151</v>
      </c>
      <c r="J58" s="9" t="s">
        <v>152</v>
      </c>
      <c r="K58" s="10" t="str">
        <f>IFERROR(VLOOKUP(A58,'Pedido ESTHER'!$B:$C,2,0),"")</f>
        <v/>
      </c>
      <c r="L58" s="12" t="str">
        <f>IF(N(K58)&gt;0,"COMPRA","NÃO COMPRA")</f>
        <v>NÃO COMPRA</v>
      </c>
    </row>
    <row r="59" spans="1:12">
      <c r="A59" s="8" t="s">
        <v>153</v>
      </c>
      <c r="B59" s="9" t="s">
        <v>154</v>
      </c>
      <c r="C59" s="9" t="e">
        <f>VLOOKUP(A59,[2]Planilha1!$A:$B,2,0)</f>
        <v>#N/A</v>
      </c>
      <c r="D59" s="10">
        <f>SUMIF([1]Relatório!$A$2:$A$2653,A59,[1]Relatório!$AK$2:$AK$2653)</f>
        <v>1701</v>
      </c>
      <c r="E59" s="11">
        <f t="shared" si="0"/>
        <v>0.00290790605121402</v>
      </c>
      <c r="F59" s="11">
        <f>SUM($E$7:E59)</f>
        <v>0.316792516372998</v>
      </c>
      <c r="G59" s="12" t="str">
        <f t="shared" si="1"/>
        <v>A</v>
      </c>
      <c r="H59" s="9" t="s">
        <v>117</v>
      </c>
      <c r="I59" s="9" t="s">
        <v>155</v>
      </c>
      <c r="J59" s="9" t="s">
        <v>44</v>
      </c>
      <c r="K59" s="10" t="str">
        <f>IFERROR(VLOOKUP(A59,'Pedido ESTHER'!$B:$C,2,0),"")</f>
        <v/>
      </c>
      <c r="L59" s="12" t="str">
        <f>IF(N(K59)&gt;0,"COMPRA","NÃO COMPRA")</f>
        <v>NÃO COMPRA</v>
      </c>
    </row>
    <row r="60" spans="1:12">
      <c r="A60" s="8" t="s">
        <v>156</v>
      </c>
      <c r="B60" s="9" t="s">
        <v>157</v>
      </c>
      <c r="C60" s="9" t="e">
        <f>VLOOKUP(A60,[2]Planilha1!$A:$B,2,0)</f>
        <v>#N/A</v>
      </c>
      <c r="D60" s="10">
        <f>SUMIF([1]Relatório!$A$2:$A$2653,A60,[1]Relatório!$AK$2:$AK$2653)</f>
        <v>1677</v>
      </c>
      <c r="E60" s="11">
        <f t="shared" si="0"/>
        <v>0.00286687739440677</v>
      </c>
      <c r="F60" s="11">
        <f>SUM($E$7:E60)</f>
        <v>0.319659393767405</v>
      </c>
      <c r="G60" s="12" t="str">
        <f t="shared" si="1"/>
        <v>A</v>
      </c>
      <c r="H60" s="9" t="s">
        <v>21</v>
      </c>
      <c r="I60" s="9"/>
      <c r="J60" s="9" t="s">
        <v>158</v>
      </c>
      <c r="K60" s="10" t="str">
        <f>IFERROR(VLOOKUP(A60,'Pedido ESTHER'!$B:$C,2,0),"")</f>
        <v/>
      </c>
      <c r="L60" s="12" t="str">
        <f>IF(N(K60)&gt;0,"COMPRA","NÃO COMPRA")</f>
        <v>NÃO COMPRA</v>
      </c>
    </row>
    <row r="61" spans="1:12">
      <c r="A61" s="8" t="s">
        <v>159</v>
      </c>
      <c r="B61" s="9" t="s">
        <v>13</v>
      </c>
      <c r="C61" s="9" t="e">
        <f>VLOOKUP(A61,[2]Planilha1!$A:$B,2,0)</f>
        <v>#N/A</v>
      </c>
      <c r="D61" s="10">
        <f>SUMIF([1]Relatório!$A$2:$A$2653,A61,[1]Relatório!$AK$2:$AK$2653)</f>
        <v>1669</v>
      </c>
      <c r="E61" s="11">
        <f t="shared" si="0"/>
        <v>0.00285320117547102</v>
      </c>
      <c r="F61" s="11">
        <f>SUM($E$7:E61)</f>
        <v>0.322512594942876</v>
      </c>
      <c r="G61" s="12" t="str">
        <f t="shared" si="1"/>
        <v>A</v>
      </c>
      <c r="H61" s="9" t="s">
        <v>14</v>
      </c>
      <c r="I61" s="9" t="s">
        <v>160</v>
      </c>
      <c r="J61" s="9" t="s">
        <v>158</v>
      </c>
      <c r="K61" s="10" t="str">
        <f>IFERROR(VLOOKUP(A61,'Pedido ESTHER'!$B:$C,2,0),"")</f>
        <v/>
      </c>
      <c r="L61" s="12" t="str">
        <f>IF(N(K61)&gt;0,"COMPRA","NÃO COMPRA")</f>
        <v>NÃO COMPRA</v>
      </c>
    </row>
    <row r="62" spans="1:12">
      <c r="A62" s="8" t="s">
        <v>161</v>
      </c>
      <c r="B62" s="9" t="s">
        <v>162</v>
      </c>
      <c r="C62" s="9" t="e">
        <f>VLOOKUP(A62,[2]Planilha1!$A:$B,2,0)</f>
        <v>#N/A</v>
      </c>
      <c r="D62" s="10">
        <f>SUMIF([1]Relatório!$A$2:$A$2653,A62,[1]Relatório!$AK$2:$AK$2653)</f>
        <v>1639</v>
      </c>
      <c r="E62" s="11">
        <f t="shared" si="0"/>
        <v>0.00280191535446195</v>
      </c>
      <c r="F62" s="11">
        <f>SUM($E$7:E62)</f>
        <v>0.325314510297338</v>
      </c>
      <c r="G62" s="12" t="str">
        <f t="shared" si="1"/>
        <v>A</v>
      </c>
      <c r="H62" s="9" t="s">
        <v>21</v>
      </c>
      <c r="I62" s="9" t="s">
        <v>163</v>
      </c>
      <c r="J62" s="9" t="s">
        <v>164</v>
      </c>
      <c r="K62" s="10" t="str">
        <f>IFERROR(VLOOKUP(A62,'Pedido ESTHER'!$B:$C,2,0),"")</f>
        <v/>
      </c>
      <c r="L62" s="12" t="str">
        <f>IF(N(K62)&gt;0,"COMPRA","NÃO COMPRA")</f>
        <v>NÃO COMPRA</v>
      </c>
    </row>
    <row r="63" spans="1:12">
      <c r="A63" s="8" t="s">
        <v>165</v>
      </c>
      <c r="B63" s="9" t="s">
        <v>166</v>
      </c>
      <c r="C63" s="9" t="e">
        <f>VLOOKUP(A63,[2]Planilha1!$A:$B,2,0)</f>
        <v>#N/A</v>
      </c>
      <c r="D63" s="10">
        <f>SUMIF([1]Relatório!$A$2:$A$2653,A63,[1]Relatório!$AK$2:$AK$2653)</f>
        <v>1627</v>
      </c>
      <c r="E63" s="11">
        <f t="shared" si="0"/>
        <v>0.00278140102605833</v>
      </c>
      <c r="F63" s="11">
        <f>SUM($E$7:E63)</f>
        <v>0.328095911323396</v>
      </c>
      <c r="G63" s="12" t="str">
        <f t="shared" si="1"/>
        <v>A</v>
      </c>
      <c r="H63" s="9" t="s">
        <v>14</v>
      </c>
      <c r="I63" s="9" t="s">
        <v>167</v>
      </c>
      <c r="J63" s="9" t="s">
        <v>36</v>
      </c>
      <c r="K63" s="10" t="str">
        <f>IFERROR(VLOOKUP(A63,'Pedido ESTHER'!$B:$C,2,0),"")</f>
        <v/>
      </c>
      <c r="L63" s="12" t="str">
        <f>IF(N(K63)&gt;0,"COMPRA","NÃO COMPRA")</f>
        <v>NÃO COMPRA</v>
      </c>
    </row>
    <row r="64" spans="1:12">
      <c r="A64" s="8" t="s">
        <v>168</v>
      </c>
      <c r="B64" s="9" t="s">
        <v>169</v>
      </c>
      <c r="C64" s="9" t="e">
        <f>VLOOKUP(A64,[2]Planilha1!$A:$B,2,0)</f>
        <v>#N/A</v>
      </c>
      <c r="D64" s="10">
        <f>SUMIF([1]Relatório!$A$2:$A$2653,A64,[1]Relatório!$AK$2:$AK$2653)</f>
        <v>1621</v>
      </c>
      <c r="E64" s="11">
        <f t="shared" si="0"/>
        <v>0.00277114386185651</v>
      </c>
      <c r="F64" s="11">
        <f>SUM($E$7:E64)</f>
        <v>0.330867055185253</v>
      </c>
      <c r="G64" s="12" t="str">
        <f t="shared" si="1"/>
        <v>A</v>
      </c>
      <c r="H64" s="9" t="s">
        <v>74</v>
      </c>
      <c r="I64" s="9" t="s">
        <v>170</v>
      </c>
      <c r="J64" s="9" t="s">
        <v>171</v>
      </c>
      <c r="K64" s="10" t="str">
        <f>IFERROR(VLOOKUP(A64,'Pedido ESTHER'!$B:$C,2,0),"")</f>
        <v/>
      </c>
      <c r="L64" s="12" t="str">
        <f>IF(N(K64)&gt;0,"COMPRA","NÃO COMPRA")</f>
        <v>NÃO COMPRA</v>
      </c>
    </row>
    <row r="65" spans="1:12">
      <c r="A65" s="8" t="s">
        <v>172</v>
      </c>
      <c r="B65" s="9" t="s">
        <v>154</v>
      </c>
      <c r="C65" s="9" t="e">
        <f>VLOOKUP(A65,[2]Planilha1!$A:$B,2,0)</f>
        <v>#N/A</v>
      </c>
      <c r="D65" s="10">
        <f>SUMIF([1]Relatório!$A$2:$A$2653,A65,[1]Relatório!$AK$2:$AK$2653)</f>
        <v>1596</v>
      </c>
      <c r="E65" s="11">
        <f t="shared" si="0"/>
        <v>0.00272840567768229</v>
      </c>
      <c r="F65" s="11">
        <f>SUM($E$7:E65)</f>
        <v>0.333595460862935</v>
      </c>
      <c r="G65" s="12" t="str">
        <f t="shared" si="1"/>
        <v>A</v>
      </c>
      <c r="H65" s="9" t="s">
        <v>117</v>
      </c>
      <c r="I65" s="9" t="s">
        <v>173</v>
      </c>
      <c r="J65" s="9" t="s">
        <v>44</v>
      </c>
      <c r="K65" s="10" t="str">
        <f>IFERROR(VLOOKUP(A65,'Pedido ESTHER'!$B:$C,2,0),"")</f>
        <v/>
      </c>
      <c r="L65" s="12" t="str">
        <f>IF(N(K65)&gt;0,"COMPRA","NÃO COMPRA")</f>
        <v>NÃO COMPRA</v>
      </c>
    </row>
    <row r="66" spans="1:12">
      <c r="A66" s="8" t="s">
        <v>174</v>
      </c>
      <c r="B66" s="9" t="s">
        <v>91</v>
      </c>
      <c r="C66" s="9" t="e">
        <f>VLOOKUP(A66,[2]Planilha1!$A:$B,2,0)</f>
        <v>#N/A</v>
      </c>
      <c r="D66" s="10">
        <f>SUMIF([1]Relatório!$A$2:$A$2653,A66,[1]Relatório!$AK$2:$AK$2653)</f>
        <v>1578</v>
      </c>
      <c r="E66" s="11">
        <f t="shared" si="0"/>
        <v>0.00269763418507685</v>
      </c>
      <c r="F66" s="11">
        <f>SUM($E$7:E66)</f>
        <v>0.336293095048012</v>
      </c>
      <c r="G66" s="12" t="str">
        <f t="shared" si="1"/>
        <v>A</v>
      </c>
      <c r="H66" s="9" t="s">
        <v>74</v>
      </c>
      <c r="I66" s="9" t="s">
        <v>175</v>
      </c>
      <c r="J66" s="9" t="s">
        <v>33</v>
      </c>
      <c r="K66" s="10" t="str">
        <f>IFERROR(VLOOKUP(A66,'Pedido ESTHER'!$B:$C,2,0),"")</f>
        <v/>
      </c>
      <c r="L66" s="12" t="str">
        <f>IF(N(K66)&gt;0,"COMPRA","NÃO COMPRA")</f>
        <v>NÃO COMPRA</v>
      </c>
    </row>
    <row r="67" spans="1:12">
      <c r="A67" s="8" t="s">
        <v>176</v>
      </c>
      <c r="B67" s="9" t="s">
        <v>177</v>
      </c>
      <c r="C67" s="9" t="e">
        <f>VLOOKUP(A67,[2]Planilha1!$A:$B,2,0)</f>
        <v>#N/A</v>
      </c>
      <c r="D67" s="10">
        <f>SUMIF([1]Relatório!$A$2:$A$2653,A67,[1]Relatório!$AK$2:$AK$2653)</f>
        <v>1572</v>
      </c>
      <c r="E67" s="11">
        <f t="shared" si="0"/>
        <v>0.00268737702087504</v>
      </c>
      <c r="F67" s="11">
        <f>SUM($E$7:E67)</f>
        <v>0.338980472068887</v>
      </c>
      <c r="G67" s="12" t="str">
        <f t="shared" si="1"/>
        <v>A</v>
      </c>
      <c r="H67" s="9" t="s">
        <v>21</v>
      </c>
      <c r="I67" s="9"/>
      <c r="J67" s="9" t="s">
        <v>36</v>
      </c>
      <c r="K67" s="10" t="str">
        <f>IFERROR(VLOOKUP(A67,'Pedido ESTHER'!$B:$C,2,0),"")</f>
        <v/>
      </c>
      <c r="L67" s="12" t="str">
        <f>IF(N(K67)&gt;0,"COMPRA","NÃO COMPRA")</f>
        <v>NÃO COMPRA</v>
      </c>
    </row>
    <row r="68" spans="1:12">
      <c r="A68" s="8" t="s">
        <v>178</v>
      </c>
      <c r="B68" s="9" t="s">
        <v>179</v>
      </c>
      <c r="C68" s="9" t="e">
        <f>VLOOKUP(A68,[2]Planilha1!$A:$B,2,0)</f>
        <v>#N/A</v>
      </c>
      <c r="D68" s="10">
        <f>SUMIF([1]Relatório!$A$2:$A$2653,A68,[1]Relatório!$AK$2:$AK$2653)</f>
        <v>1555</v>
      </c>
      <c r="E68" s="11">
        <f t="shared" si="0"/>
        <v>0.00265831505563657</v>
      </c>
      <c r="F68" s="11">
        <f>SUM($E$7:E68)</f>
        <v>0.341638787124524</v>
      </c>
      <c r="G68" s="12" t="str">
        <f t="shared" si="1"/>
        <v>A</v>
      </c>
      <c r="H68" s="9" t="s">
        <v>18</v>
      </c>
      <c r="I68" s="9" t="s">
        <v>180</v>
      </c>
      <c r="J68" s="9" t="s">
        <v>40</v>
      </c>
      <c r="K68" s="10" t="str">
        <f>IFERROR(VLOOKUP(A68,'Pedido ESTHER'!$B:$C,2,0),"")</f>
        <v/>
      </c>
      <c r="L68" s="12" t="str">
        <f>IF(N(K68)&gt;0,"COMPRA","NÃO COMPRA")</f>
        <v>NÃO COMPRA</v>
      </c>
    </row>
    <row r="69" spans="1:12">
      <c r="A69" s="8" t="s">
        <v>181</v>
      </c>
      <c r="B69" s="9" t="s">
        <v>182</v>
      </c>
      <c r="C69" s="9" t="e">
        <f>VLOOKUP(A69,[2]Planilha1!$A:$B,2,0)</f>
        <v>#N/A</v>
      </c>
      <c r="D69" s="10">
        <f>SUMIF([1]Relatório!$A$2:$A$2653,A69,[1]Relatório!$AK$2:$AK$2653)</f>
        <v>1555</v>
      </c>
      <c r="E69" s="11">
        <f t="shared" si="0"/>
        <v>0.00265831505563657</v>
      </c>
      <c r="F69" s="11">
        <f>SUM($E$7:E69)</f>
        <v>0.34429710218016</v>
      </c>
      <c r="G69" s="12" t="str">
        <f t="shared" si="1"/>
        <v>A</v>
      </c>
      <c r="H69" s="9" t="s">
        <v>183</v>
      </c>
      <c r="I69" s="9" t="s">
        <v>184</v>
      </c>
      <c r="J69" s="9" t="s">
        <v>185</v>
      </c>
      <c r="K69" s="10" t="str">
        <f>IFERROR(VLOOKUP(A69,'Pedido ESTHER'!$B:$C,2,0),"")</f>
        <v/>
      </c>
      <c r="L69" s="12" t="str">
        <f>IF(N(K69)&gt;0,"COMPRA","NÃO COMPRA")</f>
        <v>NÃO COMPRA</v>
      </c>
    </row>
    <row r="70" spans="1:12">
      <c r="A70" s="8" t="s">
        <v>186</v>
      </c>
      <c r="B70" s="9" t="s">
        <v>116</v>
      </c>
      <c r="C70" s="9" t="e">
        <f>VLOOKUP(A70,[2]Planilha1!$A:$B,2,0)</f>
        <v>#N/A</v>
      </c>
      <c r="D70" s="10">
        <f>SUMIF([1]Relatório!$A$2:$A$2653,A70,[1]Relatório!$AK$2:$AK$2653)</f>
        <v>1538</v>
      </c>
      <c r="E70" s="11">
        <f t="shared" si="0"/>
        <v>0.0026292530903981</v>
      </c>
      <c r="F70" s="11">
        <f>SUM($E$7:E70)</f>
        <v>0.346926355270558</v>
      </c>
      <c r="G70" s="12" t="str">
        <f t="shared" si="1"/>
        <v>A</v>
      </c>
      <c r="H70" s="9" t="s">
        <v>117</v>
      </c>
      <c r="I70" s="9" t="s">
        <v>187</v>
      </c>
      <c r="J70" s="9" t="s">
        <v>33</v>
      </c>
      <c r="K70" s="10" t="str">
        <f>IFERROR(VLOOKUP(A70,'Pedido ESTHER'!$B:$C,2,0),"")</f>
        <v/>
      </c>
      <c r="L70" s="12" t="str">
        <f>IF(N(K70)&gt;0,"COMPRA","NÃO COMPRA")</f>
        <v>NÃO COMPRA</v>
      </c>
    </row>
    <row r="71" spans="1:12">
      <c r="A71" s="8" t="s">
        <v>188</v>
      </c>
      <c r="B71" s="9" t="s">
        <v>13</v>
      </c>
      <c r="C71" s="9" t="e">
        <f>VLOOKUP(A71,[2]Planilha1!$A:$B,2,0)</f>
        <v>#N/A</v>
      </c>
      <c r="D71" s="10">
        <f>SUMIF([1]Relatório!$A$2:$A$2653,A71,[1]Relatório!$AK$2:$AK$2653)</f>
        <v>1498</v>
      </c>
      <c r="E71" s="11">
        <f t="shared" si="0"/>
        <v>0.00256087199571934</v>
      </c>
      <c r="F71" s="11">
        <f>SUM($E$7:E71)</f>
        <v>0.349487227266278</v>
      </c>
      <c r="G71" s="12" t="str">
        <f t="shared" si="1"/>
        <v>A</v>
      </c>
      <c r="H71" s="9" t="s">
        <v>14</v>
      </c>
      <c r="I71" s="9" t="s">
        <v>189</v>
      </c>
      <c r="J71" s="9" t="s">
        <v>158</v>
      </c>
      <c r="K71" s="10" t="str">
        <f>IFERROR(VLOOKUP(A71,'Pedido ESTHER'!$B:$C,2,0),"")</f>
        <v/>
      </c>
      <c r="L71" s="12" t="str">
        <f>IF(N(K71)&gt;0,"COMPRA","NÃO COMPRA")</f>
        <v>NÃO COMPRA</v>
      </c>
    </row>
    <row r="72" spans="1:12">
      <c r="A72" s="8" t="s">
        <v>190</v>
      </c>
      <c r="B72" s="9" t="s">
        <v>38</v>
      </c>
      <c r="C72" s="9" t="e">
        <f>VLOOKUP(A72,[2]Planilha1!$A:$B,2,0)</f>
        <v>#N/A</v>
      </c>
      <c r="D72" s="10">
        <f>SUMIF([1]Relatório!$A$2:$A$2653,A72,[1]Relatório!$AK$2:$AK$2653)</f>
        <v>1490</v>
      </c>
      <c r="E72" s="11">
        <f t="shared" ref="E72:E135" si="2">D72/SUM($D$7:$D$1708)</f>
        <v>0.00254719577678359</v>
      </c>
      <c r="F72" s="11">
        <f>SUM($E$7:E72)</f>
        <v>0.352034423043061</v>
      </c>
      <c r="G72" s="12" t="str">
        <f t="shared" ref="G72:G135" si="3">IF(F72&lt;=70%,"A",IF(F72&lt;=90%,"B","C"))</f>
        <v>A</v>
      </c>
      <c r="H72" s="9" t="s">
        <v>21</v>
      </c>
      <c r="I72" s="9" t="s">
        <v>191</v>
      </c>
      <c r="J72" s="9" t="s">
        <v>40</v>
      </c>
      <c r="K72" s="10" t="str">
        <f>IFERROR(VLOOKUP(A72,'Pedido ESTHER'!$B:$C,2,0),"")</f>
        <v/>
      </c>
      <c r="L72" s="12" t="str">
        <f>IF(N(K72)&gt;0,"COMPRA","NÃO COMPRA")</f>
        <v>NÃO COMPRA</v>
      </c>
    </row>
    <row r="73" spans="1:12">
      <c r="A73" s="8" t="s">
        <v>192</v>
      </c>
      <c r="B73" s="9" t="s">
        <v>193</v>
      </c>
      <c r="C73" s="9" t="e">
        <f>VLOOKUP(A73,[2]Planilha1!$A:$B,2,0)</f>
        <v>#N/A</v>
      </c>
      <c r="D73" s="10">
        <f>SUMIF([1]Relatório!$A$2:$A$2653,A73,[1]Relatório!$AK$2:$AK$2653)</f>
        <v>1486</v>
      </c>
      <c r="E73" s="11">
        <f t="shared" si="2"/>
        <v>0.00254035766731572</v>
      </c>
      <c r="F73" s="11">
        <f>SUM($E$7:E73)</f>
        <v>0.354574780710377</v>
      </c>
      <c r="G73" s="12" t="str">
        <f t="shared" si="3"/>
        <v>A</v>
      </c>
      <c r="H73" s="9" t="s">
        <v>183</v>
      </c>
      <c r="I73" s="9" t="s">
        <v>194</v>
      </c>
      <c r="J73" s="9" t="s">
        <v>29</v>
      </c>
      <c r="K73" s="10" t="str">
        <f>IFERROR(VLOOKUP(A73,'Pedido ESTHER'!$B:$C,2,0),"")</f>
        <v/>
      </c>
      <c r="L73" s="12" t="str">
        <f>IF(N(K73)&gt;0,"COMPRA","NÃO COMPRA")</f>
        <v>NÃO COMPRA</v>
      </c>
    </row>
    <row r="74" spans="1:12">
      <c r="A74" s="8" t="s">
        <v>195</v>
      </c>
      <c r="B74" s="9" t="s">
        <v>42</v>
      </c>
      <c r="C74" s="9" t="e">
        <f>VLOOKUP(A74,[2]Planilha1!$A:$B,2,0)</f>
        <v>#N/A</v>
      </c>
      <c r="D74" s="10">
        <f>SUMIF([1]Relatório!$A$2:$A$2653,A74,[1]Relatório!$AK$2:$AK$2653)</f>
        <v>1463</v>
      </c>
      <c r="E74" s="11">
        <f t="shared" si="2"/>
        <v>0.00250103853787543</v>
      </c>
      <c r="F74" s="11">
        <f>SUM($E$7:E74)</f>
        <v>0.357075819248252</v>
      </c>
      <c r="G74" s="12" t="str">
        <f t="shared" si="3"/>
        <v>A</v>
      </c>
      <c r="H74" s="9" t="s">
        <v>21</v>
      </c>
      <c r="I74" s="9" t="s">
        <v>196</v>
      </c>
      <c r="J74" s="9" t="s">
        <v>44</v>
      </c>
      <c r="K74" s="10" t="str">
        <f>IFERROR(VLOOKUP(A74,'Pedido ESTHER'!$B:$C,2,0),"")</f>
        <v/>
      </c>
      <c r="L74" s="12" t="str">
        <f>IF(N(K74)&gt;0,"COMPRA","NÃO COMPRA")</f>
        <v>NÃO COMPRA</v>
      </c>
    </row>
    <row r="75" spans="1:12">
      <c r="A75" s="8" t="s">
        <v>197</v>
      </c>
      <c r="B75" s="9" t="s">
        <v>42</v>
      </c>
      <c r="C75" s="9" t="e">
        <f>VLOOKUP(A75,[2]Planilha1!$A:$B,2,0)</f>
        <v>#N/A</v>
      </c>
      <c r="D75" s="10">
        <f>SUMIF([1]Relatório!$A$2:$A$2653,A75,[1]Relatório!$AK$2:$AK$2653)</f>
        <v>1420</v>
      </c>
      <c r="E75" s="11">
        <f t="shared" si="2"/>
        <v>0.00242752886109577</v>
      </c>
      <c r="F75" s="11">
        <f>SUM($E$7:E75)</f>
        <v>0.359503348109348</v>
      </c>
      <c r="G75" s="12" t="str">
        <f t="shared" si="3"/>
        <v>A</v>
      </c>
      <c r="H75" s="9" t="s">
        <v>21</v>
      </c>
      <c r="I75" s="9" t="s">
        <v>198</v>
      </c>
      <c r="J75" s="9" t="s">
        <v>44</v>
      </c>
      <c r="K75" s="10" t="str">
        <f>IFERROR(VLOOKUP(A75,'Pedido ESTHER'!$B:$C,2,0),"")</f>
        <v/>
      </c>
      <c r="L75" s="12" t="str">
        <f>IF(N(K75)&gt;0,"COMPRA","NÃO COMPRA")</f>
        <v>NÃO COMPRA</v>
      </c>
    </row>
    <row r="76" spans="1:12">
      <c r="A76" s="8" t="s">
        <v>199</v>
      </c>
      <c r="B76" s="9" t="s">
        <v>200</v>
      </c>
      <c r="C76" s="9" t="e">
        <f>VLOOKUP(A76,[2]Planilha1!$A:$B,2,0)</f>
        <v>#N/A</v>
      </c>
      <c r="D76" s="10">
        <f>SUMIF([1]Relatório!$A$2:$A$2653,A76,[1]Relatório!$AK$2:$AK$2653)</f>
        <v>1394</v>
      </c>
      <c r="E76" s="11">
        <f t="shared" si="2"/>
        <v>0.00238308114955458</v>
      </c>
      <c r="F76" s="11">
        <f>SUM($E$7:E76)</f>
        <v>0.361886429258903</v>
      </c>
      <c r="G76" s="12" t="str">
        <f t="shared" si="3"/>
        <v>A</v>
      </c>
      <c r="H76" s="9" t="s">
        <v>21</v>
      </c>
      <c r="I76" s="9"/>
      <c r="J76" s="9" t="s">
        <v>201</v>
      </c>
      <c r="K76" s="10" t="str">
        <f>IFERROR(VLOOKUP(A76,'Pedido ESTHER'!$B:$C,2,0),"")</f>
        <v/>
      </c>
      <c r="L76" s="12" t="str">
        <f>IF(N(K76)&gt;0,"COMPRA","NÃO COMPRA")</f>
        <v>NÃO COMPRA</v>
      </c>
    </row>
    <row r="77" spans="1:12">
      <c r="A77" s="8" t="s">
        <v>202</v>
      </c>
      <c r="B77" s="9" t="s">
        <v>20</v>
      </c>
      <c r="C77" s="9" t="e">
        <f>VLOOKUP(A77,[2]Planilha1!$A:$B,2,0)</f>
        <v>#N/A</v>
      </c>
      <c r="D77" s="10">
        <f>SUMIF([1]Relatório!$A$2:$A$2653,A77,[1]Relatório!$AK$2:$AK$2653)</f>
        <v>1391</v>
      </c>
      <c r="E77" s="11">
        <f t="shared" si="2"/>
        <v>0.00237795256745368</v>
      </c>
      <c r="F77" s="11">
        <f>SUM($E$7:E77)</f>
        <v>0.364264381826356</v>
      </c>
      <c r="G77" s="12" t="str">
        <f t="shared" si="3"/>
        <v>A</v>
      </c>
      <c r="H77" s="9" t="s">
        <v>21</v>
      </c>
      <c r="I77" s="9" t="s">
        <v>203</v>
      </c>
      <c r="J77" s="9" t="s">
        <v>23</v>
      </c>
      <c r="K77" s="10" t="str">
        <f>IFERROR(VLOOKUP(A77,'Pedido ESTHER'!$B:$C,2,0),"")</f>
        <v/>
      </c>
      <c r="L77" s="12" t="str">
        <f>IF(N(K77)&gt;0,"COMPRA","NÃO COMPRA")</f>
        <v>NÃO COMPRA</v>
      </c>
    </row>
    <row r="78" spans="1:12">
      <c r="A78" s="8" t="s">
        <v>204</v>
      </c>
      <c r="B78" s="9" t="s">
        <v>205</v>
      </c>
      <c r="C78" s="9" t="e">
        <f>VLOOKUP(A78,[2]Planilha1!$A:$B,2,0)</f>
        <v>#N/A</v>
      </c>
      <c r="D78" s="10">
        <f>SUMIF([1]Relatório!$A$2:$A$2653,A78,[1]Relatório!$AK$2:$AK$2653)</f>
        <v>1381</v>
      </c>
      <c r="E78" s="11">
        <f t="shared" si="2"/>
        <v>0.00236085729378399</v>
      </c>
      <c r="F78" s="11">
        <f>SUM($E$7:E78)</f>
        <v>0.36662523912014</v>
      </c>
      <c r="G78" s="12" t="str">
        <f t="shared" si="3"/>
        <v>A</v>
      </c>
      <c r="H78" s="9" t="s">
        <v>14</v>
      </c>
      <c r="I78" s="9" t="s">
        <v>206</v>
      </c>
      <c r="J78" s="9" t="s">
        <v>44</v>
      </c>
      <c r="K78" s="10" t="str">
        <f>IFERROR(VLOOKUP(A78,'Pedido ESTHER'!$B:$C,2,0),"")</f>
        <v/>
      </c>
      <c r="L78" s="12" t="str">
        <f>IF(N(K78)&gt;0,"COMPRA","NÃO COMPRA")</f>
        <v>NÃO COMPRA</v>
      </c>
    </row>
    <row r="79" spans="1:12">
      <c r="A79" s="8" t="s">
        <v>207</v>
      </c>
      <c r="B79" s="9" t="s">
        <v>208</v>
      </c>
      <c r="C79" s="9" t="e">
        <f>VLOOKUP(A79,[2]Planilha1!$A:$B,2,0)</f>
        <v>#N/A</v>
      </c>
      <c r="D79" s="10">
        <f>SUMIF([1]Relatório!$A$2:$A$2653,A79,[1]Relatório!$AK$2:$AK$2653)</f>
        <v>1376</v>
      </c>
      <c r="E79" s="11">
        <f t="shared" si="2"/>
        <v>0.00235230965694914</v>
      </c>
      <c r="F79" s="11">
        <f>SUM($E$7:E79)</f>
        <v>0.36897754877709</v>
      </c>
      <c r="G79" s="12" t="str">
        <f t="shared" si="3"/>
        <v>A</v>
      </c>
      <c r="H79" s="9" t="s">
        <v>74</v>
      </c>
      <c r="I79" s="9" t="s">
        <v>209</v>
      </c>
      <c r="J79" s="9" t="s">
        <v>29</v>
      </c>
      <c r="K79" s="10" t="str">
        <f>IFERROR(VLOOKUP(A79,'Pedido ESTHER'!$B:$C,2,0),"")</f>
        <v/>
      </c>
      <c r="L79" s="12" t="str">
        <f>IF(N(K79)&gt;0,"COMPRA","NÃO COMPRA")</f>
        <v>NÃO COMPRA</v>
      </c>
    </row>
    <row r="80" spans="1:12">
      <c r="A80" s="8" t="s">
        <v>210</v>
      </c>
      <c r="B80" s="9" t="s">
        <v>211</v>
      </c>
      <c r="C80" s="9" t="e">
        <f>VLOOKUP(A80,[2]Planilha1!$A:$B,2,0)</f>
        <v>#N/A</v>
      </c>
      <c r="D80" s="10">
        <f>SUMIF([1]Relatório!$A$2:$A$2653,A80,[1]Relatório!$AK$2:$AK$2653)</f>
        <v>1366</v>
      </c>
      <c r="E80" s="11">
        <f t="shared" si="2"/>
        <v>0.00233521438327945</v>
      </c>
      <c r="F80" s="11">
        <f>SUM($E$7:E80)</f>
        <v>0.371312763160369</v>
      </c>
      <c r="G80" s="12" t="str">
        <f t="shared" si="3"/>
        <v>A</v>
      </c>
      <c r="H80" s="9" t="s">
        <v>21</v>
      </c>
      <c r="I80" s="9" t="s">
        <v>212</v>
      </c>
      <c r="J80" s="9" t="s">
        <v>213</v>
      </c>
      <c r="K80" s="10" t="str">
        <f>IFERROR(VLOOKUP(A80,'Pedido ESTHER'!$B:$C,2,0),"")</f>
        <v/>
      </c>
      <c r="L80" s="12" t="str">
        <f>IF(N(K80)&gt;0,"COMPRA","NÃO COMPRA")</f>
        <v>NÃO COMPRA</v>
      </c>
    </row>
    <row r="81" spans="1:12">
      <c r="A81" s="8" t="s">
        <v>214</v>
      </c>
      <c r="B81" s="9" t="s">
        <v>215</v>
      </c>
      <c r="C81" s="9" t="e">
        <f>VLOOKUP(A81,[2]Planilha1!$A:$B,2,0)</f>
        <v>#N/A</v>
      </c>
      <c r="D81" s="10">
        <f>SUMIF([1]Relatório!$A$2:$A$2653,A81,[1]Relatório!$AK$2:$AK$2653)</f>
        <v>1359</v>
      </c>
      <c r="E81" s="11">
        <f t="shared" si="2"/>
        <v>0.00232324769171067</v>
      </c>
      <c r="F81" s="11">
        <f>SUM($E$7:E81)</f>
        <v>0.37363601085208</v>
      </c>
      <c r="G81" s="12" t="str">
        <f t="shared" si="3"/>
        <v>A</v>
      </c>
      <c r="H81" s="9" t="s">
        <v>143</v>
      </c>
      <c r="I81" s="9"/>
      <c r="J81" s="9" t="s">
        <v>49</v>
      </c>
      <c r="K81" s="10" t="str">
        <f>IFERROR(VLOOKUP(A81,'Pedido ESTHER'!$B:$C,2,0),"")</f>
        <v/>
      </c>
      <c r="L81" s="12" t="str">
        <f>IF(N(K81)&gt;0,"COMPRA","NÃO COMPRA")</f>
        <v>NÃO COMPRA</v>
      </c>
    </row>
    <row r="82" spans="1:12">
      <c r="A82" s="8" t="s">
        <v>216</v>
      </c>
      <c r="B82" s="9" t="s">
        <v>217</v>
      </c>
      <c r="C82" s="9" t="e">
        <f>VLOOKUP(A82,[2]Planilha1!$A:$B,2,0)</f>
        <v>#N/A</v>
      </c>
      <c r="D82" s="10">
        <f>SUMIF([1]Relatório!$A$2:$A$2653,A82,[1]Relatório!$AK$2:$AK$2653)</f>
        <v>1355</v>
      </c>
      <c r="E82" s="11">
        <f t="shared" si="2"/>
        <v>0.0023164095822428</v>
      </c>
      <c r="F82" s="11">
        <f>SUM($E$7:E82)</f>
        <v>0.375952420434322</v>
      </c>
      <c r="G82" s="12" t="str">
        <f t="shared" si="3"/>
        <v>A</v>
      </c>
      <c r="H82" s="9" t="s">
        <v>74</v>
      </c>
      <c r="I82" s="9" t="s">
        <v>218</v>
      </c>
      <c r="J82" s="9" t="s">
        <v>58</v>
      </c>
      <c r="K82" s="10" t="str">
        <f>IFERROR(VLOOKUP(A82,'Pedido ESTHER'!$B:$C,2,0),"")</f>
        <v/>
      </c>
      <c r="L82" s="12" t="str">
        <f>IF(N(K82)&gt;0,"COMPRA","NÃO COMPRA")</f>
        <v>NÃO COMPRA</v>
      </c>
    </row>
    <row r="83" spans="1:12">
      <c r="A83" s="8" t="s">
        <v>219</v>
      </c>
      <c r="B83" s="9" t="s">
        <v>220</v>
      </c>
      <c r="C83" s="9" t="e">
        <f>VLOOKUP(A83,[2]Planilha1!$A:$B,2,0)</f>
        <v>#N/A</v>
      </c>
      <c r="D83" s="10">
        <f>SUMIF([1]Relatório!$A$2:$A$2653,A83,[1]Relatório!$AK$2:$AK$2653)</f>
        <v>1334</v>
      </c>
      <c r="E83" s="11">
        <f t="shared" si="2"/>
        <v>0.00228050950753645</v>
      </c>
      <c r="F83" s="11">
        <f>SUM($E$7:E83)</f>
        <v>0.378232929941859</v>
      </c>
      <c r="G83" s="12" t="str">
        <f t="shared" si="3"/>
        <v>A</v>
      </c>
      <c r="H83" s="9" t="s">
        <v>221</v>
      </c>
      <c r="I83" s="9" t="s">
        <v>222</v>
      </c>
      <c r="J83" s="9" t="s">
        <v>49</v>
      </c>
      <c r="K83" s="10" t="str">
        <f>IFERROR(VLOOKUP(A83,'Pedido ESTHER'!$B:$C,2,0),"")</f>
        <v/>
      </c>
      <c r="L83" s="12" t="str">
        <f>IF(N(K83)&gt;0,"COMPRA","NÃO COMPRA")</f>
        <v>NÃO COMPRA</v>
      </c>
    </row>
    <row r="84" spans="1:12">
      <c r="A84" s="8" t="s">
        <v>223</v>
      </c>
      <c r="B84" s="9" t="s">
        <v>42</v>
      </c>
      <c r="C84" s="9" t="e">
        <f>VLOOKUP(A84,[2]Planilha1!$A:$B,2,0)</f>
        <v>#N/A</v>
      </c>
      <c r="D84" s="10">
        <f>SUMIF([1]Relatório!$A$2:$A$2653,A84,[1]Relatório!$AK$2:$AK$2653)</f>
        <v>1331</v>
      </c>
      <c r="E84" s="11">
        <f t="shared" si="2"/>
        <v>0.00227538092543554</v>
      </c>
      <c r="F84" s="11">
        <f>SUM($E$7:E84)</f>
        <v>0.380508310867294</v>
      </c>
      <c r="G84" s="12" t="str">
        <f t="shared" si="3"/>
        <v>A</v>
      </c>
      <c r="H84" s="9" t="s">
        <v>21</v>
      </c>
      <c r="I84" s="9" t="s">
        <v>224</v>
      </c>
      <c r="J84" s="9" t="s">
        <v>44</v>
      </c>
      <c r="K84" s="10" t="str">
        <f>IFERROR(VLOOKUP(A84,'Pedido ESTHER'!$B:$C,2,0),"")</f>
        <v/>
      </c>
      <c r="L84" s="12" t="str">
        <f>IF(N(K84)&gt;0,"COMPRA","NÃO COMPRA")</f>
        <v>NÃO COMPRA</v>
      </c>
    </row>
    <row r="85" spans="1:12">
      <c r="A85" s="8" t="s">
        <v>225</v>
      </c>
      <c r="B85" s="9" t="s">
        <v>226</v>
      </c>
      <c r="C85" s="9" t="e">
        <f>VLOOKUP(A85,[2]Planilha1!$A:$B,2,0)</f>
        <v>#N/A</v>
      </c>
      <c r="D85" s="10">
        <f>SUMIF([1]Relatório!$A$2:$A$2653,A85,[1]Relatório!$AK$2:$AK$2653)</f>
        <v>1330</v>
      </c>
      <c r="E85" s="11">
        <f t="shared" si="2"/>
        <v>0.00227367139806858</v>
      </c>
      <c r="F85" s="11">
        <f>SUM($E$7:E85)</f>
        <v>0.382781982265363</v>
      </c>
      <c r="G85" s="12" t="str">
        <f t="shared" si="3"/>
        <v>A</v>
      </c>
      <c r="H85" s="9" t="s">
        <v>143</v>
      </c>
      <c r="I85" s="9"/>
      <c r="J85" s="9" t="s">
        <v>44</v>
      </c>
      <c r="K85" s="10" t="str">
        <f>IFERROR(VLOOKUP(A85,'Pedido ESTHER'!$B:$C,2,0),"")</f>
        <v/>
      </c>
      <c r="L85" s="12" t="str">
        <f>IF(N(K85)&gt;0,"COMPRA","NÃO COMPRA")</f>
        <v>NÃO COMPRA</v>
      </c>
    </row>
    <row r="86" spans="1:12">
      <c r="A86" s="8" t="s">
        <v>227</v>
      </c>
      <c r="B86" s="9" t="s">
        <v>17</v>
      </c>
      <c r="C86" s="9" t="e">
        <f>VLOOKUP(A86,[2]Planilha1!$A:$B,2,0)</f>
        <v>#N/A</v>
      </c>
      <c r="D86" s="10">
        <f>SUMIF([1]Relatório!$A$2:$A$2653,A86,[1]Relatório!$AK$2:$AK$2653)</f>
        <v>1327</v>
      </c>
      <c r="E86" s="11">
        <f t="shared" si="2"/>
        <v>0.00226854281596767</v>
      </c>
      <c r="F86" s="11">
        <f>SUM($E$7:E86)</f>
        <v>0.385050525081331</v>
      </c>
      <c r="G86" s="12" t="str">
        <f t="shared" si="3"/>
        <v>A</v>
      </c>
      <c r="H86" s="9" t="s">
        <v>18</v>
      </c>
      <c r="I86" s="9" t="s">
        <v>228</v>
      </c>
      <c r="J86" s="9" t="s">
        <v>158</v>
      </c>
      <c r="K86" s="10" t="str">
        <f>IFERROR(VLOOKUP(A86,'Pedido ESTHER'!$B:$C,2,0),"")</f>
        <v/>
      </c>
      <c r="L86" s="12" t="str">
        <f>IF(N(K86)&gt;0,"COMPRA","NÃO COMPRA")</f>
        <v>NÃO COMPRA</v>
      </c>
    </row>
    <row r="87" spans="1:12">
      <c r="A87" s="8" t="s">
        <v>229</v>
      </c>
      <c r="B87" s="9" t="s">
        <v>162</v>
      </c>
      <c r="C87" s="9" t="e">
        <f>VLOOKUP(A87,[2]Planilha1!$A:$B,2,0)</f>
        <v>#N/A</v>
      </c>
      <c r="D87" s="10">
        <f>SUMIF([1]Relatório!$A$2:$A$2653,A87,[1]Relatório!$AK$2:$AK$2653)</f>
        <v>1292</v>
      </c>
      <c r="E87" s="11">
        <f t="shared" si="2"/>
        <v>0.00220870935812376</v>
      </c>
      <c r="F87" s="11">
        <f>SUM($E$7:E87)</f>
        <v>0.387259234439454</v>
      </c>
      <c r="G87" s="12" t="str">
        <f t="shared" si="3"/>
        <v>A</v>
      </c>
      <c r="H87" s="9" t="s">
        <v>21</v>
      </c>
      <c r="I87" s="9" t="s">
        <v>230</v>
      </c>
      <c r="J87" s="9" t="s">
        <v>164</v>
      </c>
      <c r="K87" s="10" t="str">
        <f>IFERROR(VLOOKUP(A87,'Pedido ESTHER'!$B:$C,2,0),"")</f>
        <v/>
      </c>
      <c r="L87" s="12" t="str">
        <f>IF(N(K87)&gt;0,"COMPRA","NÃO COMPRA")</f>
        <v>NÃO COMPRA</v>
      </c>
    </row>
    <row r="88" spans="1:12">
      <c r="A88" s="8" t="s">
        <v>231</v>
      </c>
      <c r="B88" s="9" t="s">
        <v>131</v>
      </c>
      <c r="C88" s="9" t="e">
        <f>VLOOKUP(A88,[2]Planilha1!$A:$B,2,0)</f>
        <v>#N/A</v>
      </c>
      <c r="D88" s="10">
        <f>SUMIF([1]Relatório!$A$2:$A$2653,A88,[1]Relatório!$AK$2:$AK$2653)</f>
        <v>1291</v>
      </c>
      <c r="E88" s="11">
        <f t="shared" si="2"/>
        <v>0.00220699983075679</v>
      </c>
      <c r="F88" s="11">
        <f>SUM($E$7:E88)</f>
        <v>0.389466234270211</v>
      </c>
      <c r="G88" s="12" t="str">
        <f t="shared" si="3"/>
        <v>A</v>
      </c>
      <c r="H88" s="9" t="s">
        <v>14</v>
      </c>
      <c r="I88" s="9" t="s">
        <v>232</v>
      </c>
      <c r="J88" s="9" t="s">
        <v>213</v>
      </c>
      <c r="K88" s="10" t="str">
        <f>IFERROR(VLOOKUP(A88,'Pedido ESTHER'!$B:$C,2,0),"")</f>
        <v/>
      </c>
      <c r="L88" s="12" t="str">
        <f>IF(N(K88)&gt;0,"COMPRA","NÃO COMPRA")</f>
        <v>NÃO COMPRA</v>
      </c>
    </row>
    <row r="89" spans="1:12">
      <c r="A89" s="8" t="s">
        <v>233</v>
      </c>
      <c r="B89" s="9" t="s">
        <v>20</v>
      </c>
      <c r="C89" s="9" t="e">
        <f>VLOOKUP(A89,[2]Planilha1!$A:$B,2,0)</f>
        <v>#N/A</v>
      </c>
      <c r="D89" s="10">
        <f>SUMIF([1]Relatório!$A$2:$A$2653,A89,[1]Relatório!$AK$2:$AK$2653)</f>
        <v>1287</v>
      </c>
      <c r="E89" s="11">
        <f t="shared" si="2"/>
        <v>0.00220016172128892</v>
      </c>
      <c r="F89" s="11">
        <f>SUM($E$7:E89)</f>
        <v>0.3916663959915</v>
      </c>
      <c r="G89" s="12" t="str">
        <f t="shared" si="3"/>
        <v>A</v>
      </c>
      <c r="H89" s="9" t="s">
        <v>21</v>
      </c>
      <c r="I89" s="9" t="s">
        <v>234</v>
      </c>
      <c r="J89" s="9" t="s">
        <v>235</v>
      </c>
      <c r="K89" s="10" t="str">
        <f>IFERROR(VLOOKUP(A89,'Pedido ESTHER'!$B:$C,2,0),"")</f>
        <v/>
      </c>
      <c r="L89" s="12" t="str">
        <f>IF(N(K89)&gt;0,"COMPRA","NÃO COMPRA")</f>
        <v>NÃO COMPRA</v>
      </c>
    </row>
    <row r="90" spans="1:12">
      <c r="A90" s="8" t="s">
        <v>236</v>
      </c>
      <c r="B90" s="9" t="s">
        <v>237</v>
      </c>
      <c r="C90" s="9" t="e">
        <f>VLOOKUP(A90,[2]Planilha1!$A:$B,2,0)</f>
        <v>#N/A</v>
      </c>
      <c r="D90" s="10">
        <f>SUMIF([1]Relatório!$A$2:$A$2653,A90,[1]Relatório!$AK$2:$AK$2653)</f>
        <v>1286</v>
      </c>
      <c r="E90" s="11">
        <f t="shared" si="2"/>
        <v>0.00219845219392195</v>
      </c>
      <c r="F90" s="11">
        <f>SUM($E$7:E90)</f>
        <v>0.393864848185422</v>
      </c>
      <c r="G90" s="12" t="str">
        <f t="shared" si="3"/>
        <v>A</v>
      </c>
      <c r="H90" s="9" t="s">
        <v>14</v>
      </c>
      <c r="I90" s="9" t="s">
        <v>238</v>
      </c>
      <c r="J90" s="9" t="s">
        <v>33</v>
      </c>
      <c r="K90" s="10" t="str">
        <f>IFERROR(VLOOKUP(A90,'Pedido ESTHER'!$B:$C,2,0),"")</f>
        <v/>
      </c>
      <c r="L90" s="12" t="str">
        <f>IF(N(K90)&gt;0,"COMPRA","NÃO COMPRA")</f>
        <v>NÃO COMPRA</v>
      </c>
    </row>
    <row r="91" spans="1:12">
      <c r="A91" s="8" t="s">
        <v>239</v>
      </c>
      <c r="B91" s="9" t="s">
        <v>240</v>
      </c>
      <c r="C91" s="9" t="e">
        <f>VLOOKUP(A91,[2]Planilha1!$A:$B,2,0)</f>
        <v>#N/A</v>
      </c>
      <c r="D91" s="10">
        <f>SUMIF([1]Relatório!$A$2:$A$2653,A91,[1]Relatório!$AK$2:$AK$2653)</f>
        <v>1281</v>
      </c>
      <c r="E91" s="11">
        <f t="shared" si="2"/>
        <v>0.0021899045570871</v>
      </c>
      <c r="F91" s="11">
        <f>SUM($E$7:E91)</f>
        <v>0.396054752742509</v>
      </c>
      <c r="G91" s="12" t="str">
        <f t="shared" si="3"/>
        <v>A</v>
      </c>
      <c r="H91" s="9" t="s">
        <v>21</v>
      </c>
      <c r="I91" s="9"/>
      <c r="J91" s="9" t="s">
        <v>241</v>
      </c>
      <c r="K91" s="10" t="str">
        <f>IFERROR(VLOOKUP(A91,'Pedido ESTHER'!$B:$C,2,0),"")</f>
        <v/>
      </c>
      <c r="L91" s="12" t="str">
        <f>IF(N(K91)&gt;0,"COMPRA","NÃO COMPRA")</f>
        <v>NÃO COMPRA</v>
      </c>
    </row>
    <row r="92" spans="1:12">
      <c r="A92" s="8" t="s">
        <v>242</v>
      </c>
      <c r="B92" s="9" t="s">
        <v>20</v>
      </c>
      <c r="C92" s="9" t="e">
        <f>VLOOKUP(A92,[2]Planilha1!$A:$B,2,0)</f>
        <v>#N/A</v>
      </c>
      <c r="D92" s="10">
        <f>SUMIF([1]Relatório!$A$2:$A$2653,A92,[1]Relatório!$AK$2:$AK$2653)</f>
        <v>1279</v>
      </c>
      <c r="E92" s="11">
        <f t="shared" si="2"/>
        <v>0.00218648550235316</v>
      </c>
      <c r="F92" s="11">
        <f>SUM($E$7:E92)</f>
        <v>0.398241238244862</v>
      </c>
      <c r="G92" s="12" t="str">
        <f t="shared" si="3"/>
        <v>A</v>
      </c>
      <c r="H92" s="9" t="s">
        <v>21</v>
      </c>
      <c r="I92" s="9" t="s">
        <v>243</v>
      </c>
      <c r="J92" s="9" t="s">
        <v>244</v>
      </c>
      <c r="K92" s="10" t="str">
        <f>IFERROR(VLOOKUP(A92,'Pedido ESTHER'!$B:$C,2,0),"")</f>
        <v/>
      </c>
      <c r="L92" s="12" t="str">
        <f>IF(N(K92)&gt;0,"COMPRA","NÃO COMPRA")</f>
        <v>NÃO COMPRA</v>
      </c>
    </row>
    <row r="93" spans="1:12">
      <c r="A93" s="8" t="s">
        <v>245</v>
      </c>
      <c r="B93" s="9" t="s">
        <v>27</v>
      </c>
      <c r="C93" s="9" t="e">
        <f>VLOOKUP(A93,[2]Planilha1!$A:$B,2,0)</f>
        <v>#N/A</v>
      </c>
      <c r="D93" s="10">
        <f>SUMIF([1]Relatório!$A$2:$A$2653,A93,[1]Relatório!$AK$2:$AK$2653)</f>
        <v>1275</v>
      </c>
      <c r="E93" s="11">
        <f t="shared" si="2"/>
        <v>0.00217964739288529</v>
      </c>
      <c r="F93" s="11">
        <f>SUM($E$7:E93)</f>
        <v>0.400420885637748</v>
      </c>
      <c r="G93" s="12" t="str">
        <f t="shared" si="3"/>
        <v>A</v>
      </c>
      <c r="H93" s="9" t="s">
        <v>21</v>
      </c>
      <c r="I93" s="9"/>
      <c r="J93" s="9" t="s">
        <v>29</v>
      </c>
      <c r="K93" s="10" t="str">
        <f>IFERROR(VLOOKUP(A93,'Pedido ESTHER'!$B:$C,2,0),"")</f>
        <v/>
      </c>
      <c r="L93" s="12" t="str">
        <f>IF(N(K93)&gt;0,"COMPRA","NÃO COMPRA")</f>
        <v>NÃO COMPRA</v>
      </c>
    </row>
    <row r="94" spans="1:12">
      <c r="A94" s="8" t="s">
        <v>246</v>
      </c>
      <c r="B94" s="9" t="s">
        <v>35</v>
      </c>
      <c r="C94" s="9" t="e">
        <f>VLOOKUP(A94,[2]Planilha1!$A:$B,2,0)</f>
        <v>#N/A</v>
      </c>
      <c r="D94" s="10">
        <f>SUMIF([1]Relatório!$A$2:$A$2653,A94,[1]Relatório!$AK$2:$AK$2653)</f>
        <v>1259</v>
      </c>
      <c r="E94" s="11">
        <f t="shared" si="2"/>
        <v>0.00215229495501379</v>
      </c>
      <c r="F94" s="11">
        <f>SUM($E$7:E94)</f>
        <v>0.402573180592761</v>
      </c>
      <c r="G94" s="12" t="str">
        <f t="shared" si="3"/>
        <v>A</v>
      </c>
      <c r="H94" s="9" t="s">
        <v>18</v>
      </c>
      <c r="I94" s="9"/>
      <c r="J94" s="9" t="s">
        <v>36</v>
      </c>
      <c r="K94" s="10" t="str">
        <f>IFERROR(VLOOKUP(A94,'Pedido ESTHER'!$B:$C,2,0),"")</f>
        <v/>
      </c>
      <c r="L94" s="12" t="str">
        <f>IF(N(K94)&gt;0,"COMPRA","NÃO COMPRA")</f>
        <v>NÃO COMPRA</v>
      </c>
    </row>
    <row r="95" spans="1:12">
      <c r="A95" s="8" t="s">
        <v>247</v>
      </c>
      <c r="B95" s="9" t="s">
        <v>20</v>
      </c>
      <c r="C95" s="9" t="e">
        <f>VLOOKUP(A95,[2]Planilha1!$A:$B,2,0)</f>
        <v>#N/A</v>
      </c>
      <c r="D95" s="10">
        <f>SUMIF([1]Relatório!$A$2:$A$2653,A95,[1]Relatório!$AK$2:$AK$2653)</f>
        <v>1249</v>
      </c>
      <c r="E95" s="11">
        <f t="shared" si="2"/>
        <v>0.0021351996813441</v>
      </c>
      <c r="F95" s="11">
        <f>SUM($E$7:E95)</f>
        <v>0.404708380274106</v>
      </c>
      <c r="G95" s="12" t="str">
        <f t="shared" si="3"/>
        <v>A</v>
      </c>
      <c r="H95" s="9" t="s">
        <v>21</v>
      </c>
      <c r="I95" s="9" t="s">
        <v>248</v>
      </c>
      <c r="J95" s="9" t="s">
        <v>23</v>
      </c>
      <c r="K95" s="10" t="str">
        <f>IFERROR(VLOOKUP(A95,'Pedido ESTHER'!$B:$C,2,0),"")</f>
        <v/>
      </c>
      <c r="L95" s="12" t="str">
        <f>IF(N(K95)&gt;0,"COMPRA","NÃO COMPRA")</f>
        <v>NÃO COMPRA</v>
      </c>
    </row>
    <row r="96" spans="1:12">
      <c r="A96" s="8" t="s">
        <v>249</v>
      </c>
      <c r="B96" s="9" t="s">
        <v>250</v>
      </c>
      <c r="C96" s="9" t="e">
        <f>VLOOKUP(A96,[2]Planilha1!$A:$B,2,0)</f>
        <v>#N/A</v>
      </c>
      <c r="D96" s="10">
        <f>SUMIF([1]Relatório!$A$2:$A$2653,A96,[1]Relatório!$AK$2:$AK$2653)</f>
        <v>1237</v>
      </c>
      <c r="E96" s="11">
        <f t="shared" si="2"/>
        <v>0.00211468535294047</v>
      </c>
      <c r="F96" s="11">
        <f>SUM($E$7:E96)</f>
        <v>0.406823065627046</v>
      </c>
      <c r="G96" s="12" t="str">
        <f t="shared" si="3"/>
        <v>A</v>
      </c>
      <c r="H96" s="9" t="s">
        <v>74</v>
      </c>
      <c r="I96" s="9" t="s">
        <v>251</v>
      </c>
      <c r="J96" s="9" t="s">
        <v>40</v>
      </c>
      <c r="K96" s="10" t="str">
        <f>IFERROR(VLOOKUP(A96,'Pedido ESTHER'!$B:$C,2,0),"")</f>
        <v/>
      </c>
      <c r="L96" s="12" t="str">
        <f>IF(N(K96)&gt;0,"COMPRA","NÃO COMPRA")</f>
        <v>NÃO COMPRA</v>
      </c>
    </row>
    <row r="97" spans="1:12">
      <c r="A97" s="8" t="s">
        <v>252</v>
      </c>
      <c r="B97" s="9" t="s">
        <v>42</v>
      </c>
      <c r="C97" s="9" t="e">
        <f>VLOOKUP(A97,[2]Planilha1!$A:$B,2,0)</f>
        <v>#N/A</v>
      </c>
      <c r="D97" s="10">
        <f>SUMIF([1]Relatório!$A$2:$A$2653,A97,[1]Relatório!$AK$2:$AK$2653)</f>
        <v>1236</v>
      </c>
      <c r="E97" s="11">
        <f t="shared" si="2"/>
        <v>0.0021129758255735</v>
      </c>
      <c r="F97" s="11">
        <f>SUM($E$7:E97)</f>
        <v>0.40893604145262</v>
      </c>
      <c r="G97" s="12" t="str">
        <f t="shared" si="3"/>
        <v>A</v>
      </c>
      <c r="H97" s="9" t="s">
        <v>21</v>
      </c>
      <c r="I97" s="9" t="s">
        <v>253</v>
      </c>
      <c r="J97" s="9" t="s">
        <v>44</v>
      </c>
      <c r="K97" s="10" t="str">
        <f>IFERROR(VLOOKUP(A97,'Pedido ESTHER'!$B:$C,2,0),"")</f>
        <v/>
      </c>
      <c r="L97" s="12" t="str">
        <f>IF(N(K97)&gt;0,"COMPRA","NÃO COMPRA")</f>
        <v>NÃO COMPRA</v>
      </c>
    </row>
    <row r="98" spans="1:12">
      <c r="A98" s="8" t="s">
        <v>254</v>
      </c>
      <c r="B98" s="9" t="s">
        <v>131</v>
      </c>
      <c r="C98" s="9" t="e">
        <f>VLOOKUP(A98,[2]Planilha1!$A:$B,2,0)</f>
        <v>#N/A</v>
      </c>
      <c r="D98" s="10">
        <f>SUMIF([1]Relatório!$A$2:$A$2653,A98,[1]Relatório!$AK$2:$AK$2653)</f>
        <v>1236</v>
      </c>
      <c r="E98" s="11">
        <f t="shared" si="2"/>
        <v>0.0021129758255735</v>
      </c>
      <c r="F98" s="11">
        <f>SUM($E$7:E98)</f>
        <v>0.411049017278193</v>
      </c>
      <c r="G98" s="12" t="str">
        <f t="shared" si="3"/>
        <v>A</v>
      </c>
      <c r="H98" s="9" t="s">
        <v>14</v>
      </c>
      <c r="I98" s="9" t="s">
        <v>255</v>
      </c>
      <c r="J98" s="9" t="s">
        <v>213</v>
      </c>
      <c r="K98" s="10" t="str">
        <f>IFERROR(VLOOKUP(A98,'Pedido ESTHER'!$B:$C,2,0),"")</f>
        <v/>
      </c>
      <c r="L98" s="12" t="str">
        <f>IF(N(K98)&gt;0,"COMPRA","NÃO COMPRA")</f>
        <v>NÃO COMPRA</v>
      </c>
    </row>
    <row r="99" spans="1:12">
      <c r="A99" s="8" t="s">
        <v>256</v>
      </c>
      <c r="B99" s="9" t="s">
        <v>208</v>
      </c>
      <c r="C99" s="9" t="e">
        <f>VLOOKUP(A99,[2]Planilha1!$A:$B,2,0)</f>
        <v>#N/A</v>
      </c>
      <c r="D99" s="10">
        <f>SUMIF([1]Relatório!$A$2:$A$2653,A99,[1]Relatório!$AK$2:$AK$2653)</f>
        <v>1232</v>
      </c>
      <c r="E99" s="11">
        <f t="shared" si="2"/>
        <v>0.00210613771610563</v>
      </c>
      <c r="F99" s="11">
        <f>SUM($E$7:E99)</f>
        <v>0.413155154994299</v>
      </c>
      <c r="G99" s="12" t="str">
        <f t="shared" si="3"/>
        <v>A</v>
      </c>
      <c r="H99" s="9" t="s">
        <v>74</v>
      </c>
      <c r="I99" s="9" t="s">
        <v>257</v>
      </c>
      <c r="J99" s="9" t="s">
        <v>29</v>
      </c>
      <c r="K99" s="10" t="str">
        <f>IFERROR(VLOOKUP(A99,'Pedido ESTHER'!$B:$C,2,0),"")</f>
        <v/>
      </c>
      <c r="L99" s="12" t="str">
        <f>IF(N(K99)&gt;0,"COMPRA","NÃO COMPRA")</f>
        <v>NÃO COMPRA</v>
      </c>
    </row>
    <row r="100" spans="1:12">
      <c r="A100" s="8" t="s">
        <v>258</v>
      </c>
      <c r="B100" s="9" t="s">
        <v>259</v>
      </c>
      <c r="C100" s="9" t="e">
        <f>VLOOKUP(A100,[2]Planilha1!$A:$B,2,0)</f>
        <v>#N/A</v>
      </c>
      <c r="D100" s="10">
        <f>SUMIF([1]Relatório!$A$2:$A$2653,A100,[1]Relatório!$AK$2:$AK$2653)</f>
        <v>1226</v>
      </c>
      <c r="E100" s="11">
        <f t="shared" si="2"/>
        <v>0.00209588055190382</v>
      </c>
      <c r="F100" s="11">
        <f>SUM($E$7:E100)</f>
        <v>0.415251035546203</v>
      </c>
      <c r="G100" s="12" t="str">
        <f t="shared" si="3"/>
        <v>A</v>
      </c>
      <c r="H100" s="9" t="s">
        <v>18</v>
      </c>
      <c r="I100" s="9" t="s">
        <v>260</v>
      </c>
      <c r="J100" s="9" t="s">
        <v>201</v>
      </c>
      <c r="K100" s="10" t="str">
        <f>IFERROR(VLOOKUP(A100,'Pedido ESTHER'!$B:$C,2,0),"")</f>
        <v/>
      </c>
      <c r="L100" s="12" t="str">
        <f>IF(N(K100)&gt;0,"COMPRA","NÃO COMPRA")</f>
        <v>NÃO COMPRA</v>
      </c>
    </row>
    <row r="101" spans="1:12">
      <c r="A101" s="8" t="s">
        <v>261</v>
      </c>
      <c r="B101" s="9" t="s">
        <v>162</v>
      </c>
      <c r="C101" s="9" t="e">
        <f>VLOOKUP(A101,[2]Planilha1!$A:$B,2,0)</f>
        <v>#N/A</v>
      </c>
      <c r="D101" s="10">
        <f>SUMIF([1]Relatório!$A$2:$A$2653,A101,[1]Relatório!$AK$2:$AK$2653)</f>
        <v>1222</v>
      </c>
      <c r="E101" s="11">
        <f t="shared" si="2"/>
        <v>0.00208904244243594</v>
      </c>
      <c r="F101" s="11">
        <f>SUM($E$7:E101)</f>
        <v>0.417340077988638</v>
      </c>
      <c r="G101" s="12" t="str">
        <f t="shared" si="3"/>
        <v>A</v>
      </c>
      <c r="H101" s="9" t="s">
        <v>21</v>
      </c>
      <c r="I101" s="9"/>
      <c r="J101" s="9" t="s">
        <v>164</v>
      </c>
      <c r="K101" s="10" t="str">
        <f>IFERROR(VLOOKUP(A101,'Pedido ESTHER'!$B:$C,2,0),"")</f>
        <v/>
      </c>
      <c r="L101" s="12" t="str">
        <f>IF(N(K101)&gt;0,"COMPRA","NÃO COMPRA")</f>
        <v>NÃO COMPRA</v>
      </c>
    </row>
    <row r="102" spans="1:12">
      <c r="A102" s="8" t="s">
        <v>262</v>
      </c>
      <c r="B102" s="9" t="s">
        <v>263</v>
      </c>
      <c r="C102" s="9" t="e">
        <f>VLOOKUP(A102,[2]Planilha1!$A:$B,2,0)</f>
        <v>#N/A</v>
      </c>
      <c r="D102" s="10">
        <f>SUMIF([1]Relatório!$A$2:$A$2653,A102,[1]Relatório!$AK$2:$AK$2653)</f>
        <v>1212</v>
      </c>
      <c r="E102" s="11">
        <f t="shared" si="2"/>
        <v>0.00207194716876625</v>
      </c>
      <c r="F102" s="11">
        <f>SUM($E$7:E102)</f>
        <v>0.419412025157405</v>
      </c>
      <c r="G102" s="12" t="str">
        <f t="shared" si="3"/>
        <v>A</v>
      </c>
      <c r="H102" s="9" t="s">
        <v>117</v>
      </c>
      <c r="I102" s="9" t="s">
        <v>264</v>
      </c>
      <c r="J102" s="9" t="s">
        <v>40</v>
      </c>
      <c r="K102" s="10" t="str">
        <f>IFERROR(VLOOKUP(A102,'Pedido ESTHER'!$B:$C,2,0),"")</f>
        <v/>
      </c>
      <c r="L102" s="12" t="str">
        <f>IF(N(K102)&gt;0,"COMPRA","NÃO COMPRA")</f>
        <v>NÃO COMPRA</v>
      </c>
    </row>
    <row r="103" spans="1:12">
      <c r="A103" s="8" t="s">
        <v>265</v>
      </c>
      <c r="B103" s="9" t="s">
        <v>266</v>
      </c>
      <c r="C103" s="9" t="e">
        <f>VLOOKUP(A103,[2]Planilha1!$A:$B,2,0)</f>
        <v>#N/A</v>
      </c>
      <c r="D103" s="10">
        <f>SUMIF([1]Relatório!$A$2:$A$2653,A103,[1]Relatório!$AK$2:$AK$2653)</f>
        <v>1201</v>
      </c>
      <c r="E103" s="11">
        <f t="shared" si="2"/>
        <v>0.00205314236772959</v>
      </c>
      <c r="F103" s="11">
        <f>SUM($E$7:E103)</f>
        <v>0.421465167525134</v>
      </c>
      <c r="G103" s="12" t="str">
        <f t="shared" si="3"/>
        <v>A</v>
      </c>
      <c r="H103" s="9" t="s">
        <v>74</v>
      </c>
      <c r="I103" s="9" t="s">
        <v>267</v>
      </c>
      <c r="J103" s="9" t="s">
        <v>268</v>
      </c>
      <c r="K103" s="10" t="str">
        <f>IFERROR(VLOOKUP(A103,'Pedido ESTHER'!$B:$C,2,0),"")</f>
        <v/>
      </c>
      <c r="L103" s="12" t="str">
        <f>IF(N(K103)&gt;0,"COMPRA","NÃO COMPRA")</f>
        <v>NÃO COMPRA</v>
      </c>
    </row>
    <row r="104" spans="1:12">
      <c r="A104" s="8" t="s">
        <v>269</v>
      </c>
      <c r="B104" s="9" t="s">
        <v>35</v>
      </c>
      <c r="C104" s="9" t="e">
        <f>VLOOKUP(A104,[2]Planilha1!$A:$B,2,0)</f>
        <v>#N/A</v>
      </c>
      <c r="D104" s="10">
        <f>SUMIF([1]Relatório!$A$2:$A$2653,A104,[1]Relatório!$AK$2:$AK$2653)</f>
        <v>1198</v>
      </c>
      <c r="E104" s="11">
        <f t="shared" si="2"/>
        <v>0.00204801378562869</v>
      </c>
      <c r="F104" s="11">
        <f>SUM($E$7:E104)</f>
        <v>0.423513181310763</v>
      </c>
      <c r="G104" s="12" t="str">
        <f t="shared" si="3"/>
        <v>A</v>
      </c>
      <c r="H104" s="9" t="s">
        <v>18</v>
      </c>
      <c r="I104" s="9" t="s">
        <v>270</v>
      </c>
      <c r="J104" s="9" t="s">
        <v>36</v>
      </c>
      <c r="K104" s="10" t="str">
        <f>IFERROR(VLOOKUP(A104,'Pedido ESTHER'!$B:$C,2,0),"")</f>
        <v/>
      </c>
      <c r="L104" s="12" t="str">
        <f>IF(N(K104)&gt;0,"COMPRA","NÃO COMPRA")</f>
        <v>NÃO COMPRA</v>
      </c>
    </row>
    <row r="105" spans="1:12">
      <c r="A105" s="8" t="s">
        <v>271</v>
      </c>
      <c r="B105" s="9" t="s">
        <v>250</v>
      </c>
      <c r="C105" s="9" t="e">
        <f>VLOOKUP(A105,[2]Planilha1!$A:$B,2,0)</f>
        <v>#N/A</v>
      </c>
      <c r="D105" s="10">
        <f>SUMIF([1]Relatório!$A$2:$A$2653,A105,[1]Relatório!$AK$2:$AK$2653)</f>
        <v>1163</v>
      </c>
      <c r="E105" s="11">
        <f t="shared" si="2"/>
        <v>0.00198818032778478</v>
      </c>
      <c r="F105" s="11">
        <f>SUM($E$7:E105)</f>
        <v>0.425501361638548</v>
      </c>
      <c r="G105" s="12" t="str">
        <f t="shared" si="3"/>
        <v>A</v>
      </c>
      <c r="H105" s="9" t="s">
        <v>74</v>
      </c>
      <c r="I105" s="9" t="s">
        <v>272</v>
      </c>
      <c r="J105" s="9" t="s">
        <v>273</v>
      </c>
      <c r="K105" s="10">
        <f>IFERROR(VLOOKUP(A105,'Pedido ESTHER'!$B:$C,2,0),"")</f>
        <v>8</v>
      </c>
      <c r="L105" s="12" t="str">
        <f>IF(N(K105)&gt;0,"COMPRA","NÃO COMPRA")</f>
        <v>COMPRA</v>
      </c>
    </row>
    <row r="106" spans="1:12">
      <c r="A106" s="8" t="s">
        <v>274</v>
      </c>
      <c r="B106" s="9" t="s">
        <v>275</v>
      </c>
      <c r="C106" s="9" t="e">
        <f>VLOOKUP(A106,[2]Planilha1!$A:$B,2,0)</f>
        <v>#N/A</v>
      </c>
      <c r="D106" s="10">
        <f>SUMIF([1]Relatório!$A$2:$A$2653,A106,[1]Relatório!$AK$2:$AK$2653)</f>
        <v>1159</v>
      </c>
      <c r="E106" s="11">
        <f t="shared" si="2"/>
        <v>0.0019813422183169</v>
      </c>
      <c r="F106" s="11">
        <f>SUM($E$7:E106)</f>
        <v>0.427482703856865</v>
      </c>
      <c r="G106" s="12" t="str">
        <f t="shared" si="3"/>
        <v>A</v>
      </c>
      <c r="H106" s="9" t="s">
        <v>14</v>
      </c>
      <c r="I106" s="9" t="s">
        <v>276</v>
      </c>
      <c r="J106" s="9" t="s">
        <v>64</v>
      </c>
      <c r="K106" s="10" t="str">
        <f>IFERROR(VLOOKUP(A106,'Pedido ESTHER'!$B:$C,2,0),"")</f>
        <v/>
      </c>
      <c r="L106" s="12" t="str">
        <f>IF(N(K106)&gt;0,"COMPRA","NÃO COMPRA")</f>
        <v>NÃO COMPRA</v>
      </c>
    </row>
    <row r="107" spans="1:12">
      <c r="A107" s="8" t="s">
        <v>277</v>
      </c>
      <c r="B107" s="9" t="s">
        <v>177</v>
      </c>
      <c r="C107" s="9" t="e">
        <f>VLOOKUP(A107,[2]Planilha1!$A:$B,2,0)</f>
        <v>#N/A</v>
      </c>
      <c r="D107" s="10">
        <f>SUMIF([1]Relatório!$A$2:$A$2653,A107,[1]Relatório!$AK$2:$AK$2653)</f>
        <v>1159</v>
      </c>
      <c r="E107" s="11">
        <f t="shared" si="2"/>
        <v>0.0019813422183169</v>
      </c>
      <c r="F107" s="11">
        <f>SUM($E$7:E107)</f>
        <v>0.429464046075182</v>
      </c>
      <c r="G107" s="12" t="str">
        <f t="shared" si="3"/>
        <v>A</v>
      </c>
      <c r="H107" s="9" t="s">
        <v>21</v>
      </c>
      <c r="I107" s="9" t="s">
        <v>278</v>
      </c>
      <c r="J107" s="9" t="s">
        <v>36</v>
      </c>
      <c r="K107" s="10" t="str">
        <f>IFERROR(VLOOKUP(A107,'Pedido ESTHER'!$B:$C,2,0),"")</f>
        <v/>
      </c>
      <c r="L107" s="12" t="str">
        <f>IF(N(K107)&gt;0,"COMPRA","NÃO COMPRA")</f>
        <v>NÃO COMPRA</v>
      </c>
    </row>
    <row r="108" spans="1:12">
      <c r="A108" s="8" t="s">
        <v>279</v>
      </c>
      <c r="B108" s="9" t="s">
        <v>280</v>
      </c>
      <c r="C108" s="9" t="e">
        <f>VLOOKUP(A108,[2]Planilha1!$A:$B,2,0)</f>
        <v>#N/A</v>
      </c>
      <c r="D108" s="10">
        <f>SUMIF([1]Relatório!$A$2:$A$2653,A108,[1]Relatório!$AK$2:$AK$2653)</f>
        <v>1157</v>
      </c>
      <c r="E108" s="11">
        <f t="shared" si="2"/>
        <v>0.00197792316358296</v>
      </c>
      <c r="F108" s="11">
        <f>SUM($E$7:E108)</f>
        <v>0.431441969238765</v>
      </c>
      <c r="G108" s="12" t="str">
        <f t="shared" si="3"/>
        <v>A</v>
      </c>
      <c r="H108" s="9" t="s">
        <v>21</v>
      </c>
      <c r="I108" s="9"/>
      <c r="J108" s="9" t="s">
        <v>281</v>
      </c>
      <c r="K108" s="10" t="str">
        <f>IFERROR(VLOOKUP(A108,'Pedido ESTHER'!$B:$C,2,0),"")</f>
        <v/>
      </c>
      <c r="L108" s="12" t="str">
        <f>IF(N(K108)&gt;0,"COMPRA","NÃO COMPRA")</f>
        <v>NÃO COMPRA</v>
      </c>
    </row>
    <row r="109" spans="1:12">
      <c r="A109" s="8" t="s">
        <v>282</v>
      </c>
      <c r="B109" s="9" t="s">
        <v>283</v>
      </c>
      <c r="C109" s="9" t="e">
        <f>VLOOKUP(A109,[2]Planilha1!$A:$B,2,0)</f>
        <v>#N/A</v>
      </c>
      <c r="D109" s="10">
        <f>SUMIF([1]Relatório!$A$2:$A$2653,A109,[1]Relatório!$AK$2:$AK$2653)</f>
        <v>1156</v>
      </c>
      <c r="E109" s="11">
        <f t="shared" si="2"/>
        <v>0.001976213636216</v>
      </c>
      <c r="F109" s="11">
        <f>SUM($E$7:E109)</f>
        <v>0.433418182874981</v>
      </c>
      <c r="G109" s="12" t="str">
        <f t="shared" si="3"/>
        <v>A</v>
      </c>
      <c r="H109" s="9" t="s">
        <v>18</v>
      </c>
      <c r="I109" s="9"/>
      <c r="J109" s="9" t="s">
        <v>241</v>
      </c>
      <c r="K109" s="10" t="str">
        <f>IFERROR(VLOOKUP(A109,'Pedido ESTHER'!$B:$C,2,0),"")</f>
        <v/>
      </c>
      <c r="L109" s="12" t="str">
        <f>IF(N(K109)&gt;0,"COMPRA","NÃO COMPRA")</f>
        <v>NÃO COMPRA</v>
      </c>
    </row>
    <row r="110" spans="1:12">
      <c r="A110" s="8" t="s">
        <v>284</v>
      </c>
      <c r="B110" s="9" t="s">
        <v>38</v>
      </c>
      <c r="C110" s="9" t="e">
        <f>VLOOKUP(A110,[2]Planilha1!$A:$B,2,0)</f>
        <v>#N/A</v>
      </c>
      <c r="D110" s="10">
        <f>SUMIF([1]Relatório!$A$2:$A$2653,A110,[1]Relatório!$AK$2:$AK$2653)</f>
        <v>1154</v>
      </c>
      <c r="E110" s="11">
        <f t="shared" si="2"/>
        <v>0.00197279458148206</v>
      </c>
      <c r="F110" s="11">
        <f>SUM($E$7:E110)</f>
        <v>0.435390977456463</v>
      </c>
      <c r="G110" s="12" t="str">
        <f t="shared" si="3"/>
        <v>A</v>
      </c>
      <c r="H110" s="9" t="s">
        <v>21</v>
      </c>
      <c r="I110" s="9" t="s">
        <v>285</v>
      </c>
      <c r="J110" s="9" t="s">
        <v>40</v>
      </c>
      <c r="K110" s="10" t="str">
        <f>IFERROR(VLOOKUP(A110,'Pedido ESTHER'!$B:$C,2,0),"")</f>
        <v/>
      </c>
      <c r="L110" s="12" t="str">
        <f>IF(N(K110)&gt;0,"COMPRA","NÃO COMPRA")</f>
        <v>NÃO COMPRA</v>
      </c>
    </row>
    <row r="111" spans="1:12">
      <c r="A111" s="8" t="s">
        <v>286</v>
      </c>
      <c r="B111" s="9" t="s">
        <v>287</v>
      </c>
      <c r="C111" s="9" t="e">
        <f>VLOOKUP(A111,[2]Planilha1!$A:$B,2,0)</f>
        <v>#N/A</v>
      </c>
      <c r="D111" s="10">
        <f>SUMIF([1]Relatório!$A$2:$A$2653,A111,[1]Relatório!$AK$2:$AK$2653)</f>
        <v>1154</v>
      </c>
      <c r="E111" s="11">
        <f t="shared" si="2"/>
        <v>0.00197279458148206</v>
      </c>
      <c r="F111" s="11">
        <f>SUM($E$7:E111)</f>
        <v>0.437363772037945</v>
      </c>
      <c r="G111" s="12" t="str">
        <f t="shared" si="3"/>
        <v>A</v>
      </c>
      <c r="H111" s="9" t="s">
        <v>21</v>
      </c>
      <c r="I111" s="9"/>
      <c r="J111" s="9" t="s">
        <v>23</v>
      </c>
      <c r="K111" s="10" t="str">
        <f>IFERROR(VLOOKUP(A111,'Pedido ESTHER'!$B:$C,2,0),"")</f>
        <v/>
      </c>
      <c r="L111" s="12" t="str">
        <f>IF(N(K111)&gt;0,"COMPRA","NÃO COMPRA")</f>
        <v>NÃO COMPRA</v>
      </c>
    </row>
    <row r="112" spans="1:12">
      <c r="A112" s="8" t="s">
        <v>288</v>
      </c>
      <c r="B112" s="9" t="s">
        <v>289</v>
      </c>
      <c r="C112" s="9" t="e">
        <f>VLOOKUP(A112,[2]Planilha1!$A:$B,2,0)</f>
        <v>#N/A</v>
      </c>
      <c r="D112" s="10">
        <f>SUMIF([1]Relatório!$A$2:$A$2653,A112,[1]Relatório!$AK$2:$AK$2653)</f>
        <v>1138</v>
      </c>
      <c r="E112" s="11">
        <f t="shared" si="2"/>
        <v>0.00194544214361056</v>
      </c>
      <c r="F112" s="11">
        <f>SUM($E$7:E112)</f>
        <v>0.439309214181555</v>
      </c>
      <c r="G112" s="12" t="str">
        <f t="shared" si="3"/>
        <v>A</v>
      </c>
      <c r="H112" s="9" t="s">
        <v>21</v>
      </c>
      <c r="I112" s="9"/>
      <c r="J112" s="9" t="s">
        <v>201</v>
      </c>
      <c r="K112" s="10" t="str">
        <f>IFERROR(VLOOKUP(A112,'Pedido ESTHER'!$B:$C,2,0),"")</f>
        <v/>
      </c>
      <c r="L112" s="12" t="str">
        <f>IF(N(K112)&gt;0,"COMPRA","NÃO COMPRA")</f>
        <v>NÃO COMPRA</v>
      </c>
    </row>
    <row r="113" spans="1:12">
      <c r="A113" s="8" t="s">
        <v>290</v>
      </c>
      <c r="B113" s="9" t="s">
        <v>42</v>
      </c>
      <c r="C113" s="9" t="e">
        <f>VLOOKUP(A113,[2]Planilha1!$A:$B,2,0)</f>
        <v>#N/A</v>
      </c>
      <c r="D113" s="10">
        <f>SUMIF([1]Relatório!$A$2:$A$2653,A113,[1]Relatório!$AK$2:$AK$2653)</f>
        <v>1137</v>
      </c>
      <c r="E113" s="11">
        <f t="shared" si="2"/>
        <v>0.00194373261624359</v>
      </c>
      <c r="F113" s="11">
        <f>SUM($E$7:E113)</f>
        <v>0.441252946797799</v>
      </c>
      <c r="G113" s="12" t="str">
        <f t="shared" si="3"/>
        <v>A</v>
      </c>
      <c r="H113" s="9" t="s">
        <v>21</v>
      </c>
      <c r="I113" s="9"/>
      <c r="J113" s="9" t="s">
        <v>44</v>
      </c>
      <c r="K113" s="10" t="str">
        <f>IFERROR(VLOOKUP(A113,'Pedido ESTHER'!$B:$C,2,0),"")</f>
        <v/>
      </c>
      <c r="L113" s="12" t="str">
        <f>IF(N(K113)&gt;0,"COMPRA","NÃO COMPRA")</f>
        <v>NÃO COMPRA</v>
      </c>
    </row>
    <row r="114" spans="1:12">
      <c r="A114" s="8" t="s">
        <v>291</v>
      </c>
      <c r="B114" s="9" t="s">
        <v>48</v>
      </c>
      <c r="C114" s="9" t="e">
        <f>VLOOKUP(A114,[2]Planilha1!$A:$B,2,0)</f>
        <v>#N/A</v>
      </c>
      <c r="D114" s="10">
        <f>SUMIF([1]Relatório!$A$2:$A$2653,A114,[1]Relatório!$AK$2:$AK$2653)</f>
        <v>1124</v>
      </c>
      <c r="E114" s="11">
        <f t="shared" si="2"/>
        <v>0.00192150876047299</v>
      </c>
      <c r="F114" s="11">
        <f>SUM($E$7:E114)</f>
        <v>0.443174455558272</v>
      </c>
      <c r="G114" s="12" t="str">
        <f t="shared" si="3"/>
        <v>A</v>
      </c>
      <c r="H114" s="9" t="s">
        <v>18</v>
      </c>
      <c r="I114" s="9"/>
      <c r="J114" s="9" t="s">
        <v>29</v>
      </c>
      <c r="K114" s="10" t="str">
        <f>IFERROR(VLOOKUP(A114,'Pedido ESTHER'!$B:$C,2,0),"")</f>
        <v/>
      </c>
      <c r="L114" s="12" t="str">
        <f>IF(N(K114)&gt;0,"COMPRA","NÃO COMPRA")</f>
        <v>NÃO COMPRA</v>
      </c>
    </row>
    <row r="115" spans="1:12">
      <c r="A115" s="8" t="s">
        <v>292</v>
      </c>
      <c r="B115" s="9" t="s">
        <v>293</v>
      </c>
      <c r="C115" s="9" t="e">
        <f>VLOOKUP(A115,[2]Planilha1!$A:$B,2,0)</f>
        <v>#N/A</v>
      </c>
      <c r="D115" s="10">
        <f>SUMIF([1]Relatório!$A$2:$A$2653,A115,[1]Relatório!$AK$2:$AK$2653)</f>
        <v>1122</v>
      </c>
      <c r="E115" s="11">
        <f t="shared" si="2"/>
        <v>0.00191808970573905</v>
      </c>
      <c r="F115" s="11">
        <f>SUM($E$7:E115)</f>
        <v>0.445092545264011</v>
      </c>
      <c r="G115" s="12" t="str">
        <f t="shared" si="3"/>
        <v>A</v>
      </c>
      <c r="H115" s="9" t="s">
        <v>183</v>
      </c>
      <c r="I115" s="9"/>
      <c r="J115" s="9" t="s">
        <v>83</v>
      </c>
      <c r="K115" s="10" t="str">
        <f>IFERROR(VLOOKUP(A115,'Pedido ESTHER'!$B:$C,2,0),"")</f>
        <v/>
      </c>
      <c r="L115" s="12" t="str">
        <f>IF(N(K115)&gt;0,"COMPRA","NÃO COMPRA")</f>
        <v>NÃO COMPRA</v>
      </c>
    </row>
    <row r="116" spans="1:12">
      <c r="A116" s="8" t="s">
        <v>294</v>
      </c>
      <c r="B116" s="9" t="s">
        <v>295</v>
      </c>
      <c r="C116" s="9" t="e">
        <f>VLOOKUP(A116,[2]Planilha1!$A:$B,2,0)</f>
        <v>#N/A</v>
      </c>
      <c r="D116" s="10">
        <f>SUMIF([1]Relatório!$A$2:$A$2653,A116,[1]Relatório!$AK$2:$AK$2653)</f>
        <v>1120</v>
      </c>
      <c r="E116" s="11">
        <f t="shared" si="2"/>
        <v>0.00191467065100512</v>
      </c>
      <c r="F116" s="11">
        <f>SUM($E$7:E116)</f>
        <v>0.447007215915016</v>
      </c>
      <c r="G116" s="12" t="str">
        <f t="shared" si="3"/>
        <v>A</v>
      </c>
      <c r="H116" s="9" t="s">
        <v>143</v>
      </c>
      <c r="I116" s="9"/>
      <c r="J116" s="9" t="s">
        <v>296</v>
      </c>
      <c r="K116" s="10" t="str">
        <f>IFERROR(VLOOKUP(A116,'Pedido ESTHER'!$B:$C,2,0),"")</f>
        <v/>
      </c>
      <c r="L116" s="12" t="str">
        <f>IF(N(K116)&gt;0,"COMPRA","NÃO COMPRA")</f>
        <v>NÃO COMPRA</v>
      </c>
    </row>
    <row r="117" spans="1:12">
      <c r="A117" s="8" t="s">
        <v>297</v>
      </c>
      <c r="B117" s="9" t="s">
        <v>42</v>
      </c>
      <c r="C117" s="9" t="e">
        <f>VLOOKUP(A117,[2]Planilha1!$A:$B,2,0)</f>
        <v>#N/A</v>
      </c>
      <c r="D117" s="10">
        <f>SUMIF([1]Relatório!$A$2:$A$2653,A117,[1]Relatório!$AK$2:$AK$2653)</f>
        <v>1117</v>
      </c>
      <c r="E117" s="11">
        <f t="shared" si="2"/>
        <v>0.00190954206890421</v>
      </c>
      <c r="F117" s="11">
        <f>SUM($E$7:E117)</f>
        <v>0.44891675798392</v>
      </c>
      <c r="G117" s="12" t="str">
        <f t="shared" si="3"/>
        <v>A</v>
      </c>
      <c r="H117" s="9" t="s">
        <v>21</v>
      </c>
      <c r="I117" s="9" t="s">
        <v>298</v>
      </c>
      <c r="J117" s="9" t="s">
        <v>44</v>
      </c>
      <c r="K117" s="10" t="str">
        <f>IFERROR(VLOOKUP(A117,'Pedido ESTHER'!$B:$C,2,0),"")</f>
        <v/>
      </c>
      <c r="L117" s="12" t="str">
        <f>IF(N(K117)&gt;0,"COMPRA","NÃO COMPRA")</f>
        <v>NÃO COMPRA</v>
      </c>
    </row>
    <row r="118" spans="1:12">
      <c r="A118" s="8" t="s">
        <v>299</v>
      </c>
      <c r="B118" s="9" t="s">
        <v>300</v>
      </c>
      <c r="C118" s="9" t="e">
        <f>VLOOKUP(A118,[2]Planilha1!$A:$B,2,0)</f>
        <v>#N/A</v>
      </c>
      <c r="D118" s="10">
        <f>SUMIF([1]Relatório!$A$2:$A$2653,A118,[1]Relatório!$AK$2:$AK$2653)</f>
        <v>1114</v>
      </c>
      <c r="E118" s="11">
        <f t="shared" si="2"/>
        <v>0.0019044134868033</v>
      </c>
      <c r="F118" s="11">
        <f>SUM($E$7:E118)</f>
        <v>0.450821171470723</v>
      </c>
      <c r="G118" s="12" t="str">
        <f t="shared" si="3"/>
        <v>A</v>
      </c>
      <c r="H118" s="9" t="s">
        <v>117</v>
      </c>
      <c r="I118" s="9" t="s">
        <v>301</v>
      </c>
      <c r="J118" s="9" t="s">
        <v>29</v>
      </c>
      <c r="K118" s="10" t="str">
        <f>IFERROR(VLOOKUP(A118,'Pedido ESTHER'!$B:$C,2,0),"")</f>
        <v/>
      </c>
      <c r="L118" s="12" t="str">
        <f>IF(N(K118)&gt;0,"COMPRA","NÃO COMPRA")</f>
        <v>NÃO COMPRA</v>
      </c>
    </row>
    <row r="119" spans="1:12">
      <c r="A119" s="8" t="s">
        <v>302</v>
      </c>
      <c r="B119" s="9" t="s">
        <v>38</v>
      </c>
      <c r="C119" s="9" t="e">
        <f>VLOOKUP(A119,[2]Planilha1!$A:$B,2,0)</f>
        <v>#N/A</v>
      </c>
      <c r="D119" s="10">
        <f>SUMIF([1]Relatório!$A$2:$A$2653,A119,[1]Relatório!$AK$2:$AK$2653)</f>
        <v>1109</v>
      </c>
      <c r="E119" s="11">
        <f t="shared" si="2"/>
        <v>0.00189586584996846</v>
      </c>
      <c r="F119" s="11">
        <f>SUM($E$7:E119)</f>
        <v>0.452717037320692</v>
      </c>
      <c r="G119" s="12" t="str">
        <f t="shared" si="3"/>
        <v>A</v>
      </c>
      <c r="H119" s="9" t="s">
        <v>21</v>
      </c>
      <c r="I119" s="9"/>
      <c r="J119" s="9" t="s">
        <v>40</v>
      </c>
      <c r="K119" s="10" t="str">
        <f>IFERROR(VLOOKUP(A119,'Pedido ESTHER'!$B:$C,2,0),"")</f>
        <v/>
      </c>
      <c r="L119" s="12" t="str">
        <f>IF(N(K119)&gt;0,"COMPRA","NÃO COMPRA")</f>
        <v>NÃO COMPRA</v>
      </c>
    </row>
    <row r="120" spans="1:12">
      <c r="A120" s="8" t="s">
        <v>303</v>
      </c>
      <c r="B120" s="9" t="s">
        <v>259</v>
      </c>
      <c r="C120" s="9" t="e">
        <f>VLOOKUP(A120,[2]Planilha1!$A:$B,2,0)</f>
        <v>#N/A</v>
      </c>
      <c r="D120" s="10">
        <f>SUMIF([1]Relatório!$A$2:$A$2653,A120,[1]Relatório!$AK$2:$AK$2653)</f>
        <v>1104</v>
      </c>
      <c r="E120" s="11">
        <f t="shared" si="2"/>
        <v>0.00188731821313361</v>
      </c>
      <c r="F120" s="11">
        <f>SUM($E$7:E120)</f>
        <v>0.454604355533825</v>
      </c>
      <c r="G120" s="12" t="str">
        <f t="shared" si="3"/>
        <v>A</v>
      </c>
      <c r="H120" s="9" t="s">
        <v>18</v>
      </c>
      <c r="I120" s="9"/>
      <c r="J120" s="9" t="s">
        <v>201</v>
      </c>
      <c r="K120" s="10" t="str">
        <f>IFERROR(VLOOKUP(A120,'Pedido ESTHER'!$B:$C,2,0),"")</f>
        <v/>
      </c>
      <c r="L120" s="12" t="str">
        <f>IF(N(K120)&gt;0,"COMPRA","NÃO COMPRA")</f>
        <v>NÃO COMPRA</v>
      </c>
    </row>
    <row r="121" spans="1:12">
      <c r="A121" s="8" t="s">
        <v>304</v>
      </c>
      <c r="B121" s="9" t="s">
        <v>20</v>
      </c>
      <c r="C121" s="9" t="e">
        <f>VLOOKUP(A121,[2]Planilha1!$A:$B,2,0)</f>
        <v>#N/A</v>
      </c>
      <c r="D121" s="10">
        <f>SUMIF([1]Relatório!$A$2:$A$2653,A121,[1]Relatório!$AK$2:$AK$2653)</f>
        <v>1098</v>
      </c>
      <c r="E121" s="11">
        <f t="shared" si="2"/>
        <v>0.0018770610489318</v>
      </c>
      <c r="F121" s="11">
        <f>SUM($E$7:E121)</f>
        <v>0.456481416582757</v>
      </c>
      <c r="G121" s="12" t="str">
        <f t="shared" si="3"/>
        <v>A</v>
      </c>
      <c r="H121" s="9" t="s">
        <v>21</v>
      </c>
      <c r="I121" s="9" t="s">
        <v>305</v>
      </c>
      <c r="J121" s="9" t="s">
        <v>23</v>
      </c>
      <c r="K121" s="10" t="str">
        <f>IFERROR(VLOOKUP(A121,'Pedido ESTHER'!$B:$C,2,0),"")</f>
        <v/>
      </c>
      <c r="L121" s="12" t="str">
        <f>IF(N(K121)&gt;0,"COMPRA","NÃO COMPRA")</f>
        <v>NÃO COMPRA</v>
      </c>
    </row>
    <row r="122" spans="1:12">
      <c r="A122" s="8" t="s">
        <v>306</v>
      </c>
      <c r="B122" s="9" t="s">
        <v>38</v>
      </c>
      <c r="C122" s="9" t="e">
        <f>VLOOKUP(A122,[2]Planilha1!$A:$B,2,0)</f>
        <v>#N/A</v>
      </c>
      <c r="D122" s="10">
        <f>SUMIF([1]Relatório!$A$2:$A$2653,A122,[1]Relatório!$AK$2:$AK$2653)</f>
        <v>1097</v>
      </c>
      <c r="E122" s="11">
        <f t="shared" si="2"/>
        <v>0.00187535152156483</v>
      </c>
      <c r="F122" s="11">
        <f>SUM($E$7:E122)</f>
        <v>0.458356768104322</v>
      </c>
      <c r="G122" s="12" t="str">
        <f t="shared" si="3"/>
        <v>A</v>
      </c>
      <c r="H122" s="9" t="s">
        <v>21</v>
      </c>
      <c r="I122" s="9" t="s">
        <v>307</v>
      </c>
      <c r="J122" s="9" t="s">
        <v>40</v>
      </c>
      <c r="K122" s="10" t="str">
        <f>IFERROR(VLOOKUP(A122,'Pedido ESTHER'!$B:$C,2,0),"")</f>
        <v/>
      </c>
      <c r="L122" s="12" t="str">
        <f>IF(N(K122)&gt;0,"COMPRA","NÃO COMPRA")</f>
        <v>NÃO COMPRA</v>
      </c>
    </row>
    <row r="123" spans="1:12">
      <c r="A123" s="8" t="s">
        <v>308</v>
      </c>
      <c r="B123" s="9" t="s">
        <v>179</v>
      </c>
      <c r="C123" s="9" t="e">
        <f>VLOOKUP(A123,[2]Planilha1!$A:$B,2,0)</f>
        <v>#N/A</v>
      </c>
      <c r="D123" s="10">
        <f>SUMIF([1]Relatório!$A$2:$A$2653,A123,[1]Relatório!$AK$2:$AK$2653)</f>
        <v>1090</v>
      </c>
      <c r="E123" s="11">
        <f t="shared" si="2"/>
        <v>0.00186338482999605</v>
      </c>
      <c r="F123" s="11">
        <f>SUM($E$7:E123)</f>
        <v>0.460220152934318</v>
      </c>
      <c r="G123" s="12" t="str">
        <f t="shared" si="3"/>
        <v>A</v>
      </c>
      <c r="H123" s="9" t="s">
        <v>18</v>
      </c>
      <c r="I123" s="9" t="s">
        <v>309</v>
      </c>
      <c r="J123" s="9" t="s">
        <v>273</v>
      </c>
      <c r="K123" s="10" t="str">
        <f>IFERROR(VLOOKUP(A123,'Pedido ESTHER'!$B:$C,2,0),"")</f>
        <v/>
      </c>
      <c r="L123" s="12" t="str">
        <f>IF(N(K123)&gt;0,"COMPRA","NÃO COMPRA")</f>
        <v>NÃO COMPRA</v>
      </c>
    </row>
    <row r="124" spans="1:12">
      <c r="A124" s="8" t="s">
        <v>310</v>
      </c>
      <c r="B124" s="9" t="s">
        <v>311</v>
      </c>
      <c r="C124" s="9" t="e">
        <f>VLOOKUP(A124,[2]Planilha1!$A:$B,2,0)</f>
        <v>#N/A</v>
      </c>
      <c r="D124" s="10">
        <f>SUMIF([1]Relatório!$A$2:$A$2653,A124,[1]Relatório!$AK$2:$AK$2653)</f>
        <v>1086</v>
      </c>
      <c r="E124" s="11">
        <f t="shared" si="2"/>
        <v>0.00185654672052818</v>
      </c>
      <c r="F124" s="11">
        <f>SUM($E$7:E124)</f>
        <v>0.462076699654846</v>
      </c>
      <c r="G124" s="12" t="str">
        <f t="shared" si="3"/>
        <v>A</v>
      </c>
      <c r="H124" s="9" t="s">
        <v>312</v>
      </c>
      <c r="I124" s="9"/>
      <c r="J124" s="9" t="s">
        <v>313</v>
      </c>
      <c r="K124" s="10" t="str">
        <f>IFERROR(VLOOKUP(A124,'Pedido ESTHER'!$B:$C,2,0),"")</f>
        <v/>
      </c>
      <c r="L124" s="12" t="str">
        <f>IF(N(K124)&gt;0,"COMPRA","NÃO COMPRA")</f>
        <v>NÃO COMPRA</v>
      </c>
    </row>
    <row r="125" spans="1:12">
      <c r="A125" s="8" t="s">
        <v>314</v>
      </c>
      <c r="B125" s="9" t="s">
        <v>315</v>
      </c>
      <c r="C125" s="9" t="e">
        <f>VLOOKUP(A125,[2]Planilha1!$A:$B,2,0)</f>
        <v>#N/A</v>
      </c>
      <c r="D125" s="10">
        <f>SUMIF([1]Relatório!$A$2:$A$2653,A125,[1]Relatório!$AK$2:$AK$2653)</f>
        <v>1085</v>
      </c>
      <c r="E125" s="11">
        <f t="shared" si="2"/>
        <v>0.00185483719316121</v>
      </c>
      <c r="F125" s="11">
        <f>SUM($E$7:E125)</f>
        <v>0.463931536848008</v>
      </c>
      <c r="G125" s="12" t="str">
        <f t="shared" si="3"/>
        <v>A</v>
      </c>
      <c r="H125" s="9" t="s">
        <v>74</v>
      </c>
      <c r="I125" s="9" t="s">
        <v>316</v>
      </c>
      <c r="J125" s="9" t="s">
        <v>281</v>
      </c>
      <c r="K125" s="10" t="str">
        <f>IFERROR(VLOOKUP(A125,'Pedido ESTHER'!$B:$C,2,0),"")</f>
        <v/>
      </c>
      <c r="L125" s="12" t="str">
        <f>IF(N(K125)&gt;0,"COMPRA","NÃO COMPRA")</f>
        <v>NÃO COMPRA</v>
      </c>
    </row>
    <row r="126" spans="1:12">
      <c r="A126" s="8" t="s">
        <v>317</v>
      </c>
      <c r="B126" s="9" t="s">
        <v>318</v>
      </c>
      <c r="C126" s="9" t="e">
        <f>VLOOKUP(A126,[2]Planilha1!$A:$B,2,0)</f>
        <v>#N/A</v>
      </c>
      <c r="D126" s="10">
        <f>SUMIF([1]Relatório!$A$2:$A$2653,A126,[1]Relatório!$AK$2:$AK$2653)</f>
        <v>1085</v>
      </c>
      <c r="E126" s="11">
        <f t="shared" si="2"/>
        <v>0.00185483719316121</v>
      </c>
      <c r="F126" s="11">
        <f>SUM($E$7:E126)</f>
        <v>0.465786374041169</v>
      </c>
      <c r="G126" s="12" t="str">
        <f t="shared" si="3"/>
        <v>A</v>
      </c>
      <c r="H126" s="9" t="s">
        <v>14</v>
      </c>
      <c r="I126" s="9"/>
      <c r="J126" s="9" t="s">
        <v>164</v>
      </c>
      <c r="K126" s="10" t="str">
        <f>IFERROR(VLOOKUP(A126,'Pedido ESTHER'!$B:$C,2,0),"")</f>
        <v/>
      </c>
      <c r="L126" s="12" t="str">
        <f>IF(N(K126)&gt;0,"COMPRA","NÃO COMPRA")</f>
        <v>NÃO COMPRA</v>
      </c>
    </row>
    <row r="127" spans="1:12">
      <c r="A127" s="8" t="s">
        <v>319</v>
      </c>
      <c r="B127" s="9" t="s">
        <v>103</v>
      </c>
      <c r="C127" s="9" t="e">
        <f>VLOOKUP(A127,[2]Planilha1!$A:$B,2,0)</f>
        <v>#N/A</v>
      </c>
      <c r="D127" s="10">
        <f>SUMIF([1]Relatório!$A$2:$A$2653,A127,[1]Relatório!$AK$2:$AK$2653)</f>
        <v>1070</v>
      </c>
      <c r="E127" s="11">
        <f t="shared" si="2"/>
        <v>0.00182919428265667</v>
      </c>
      <c r="F127" s="11">
        <f>SUM($E$7:E127)</f>
        <v>0.467615568323825</v>
      </c>
      <c r="G127" s="12" t="str">
        <f t="shared" si="3"/>
        <v>A</v>
      </c>
      <c r="H127" s="9" t="s">
        <v>18</v>
      </c>
      <c r="I127" s="9" t="s">
        <v>320</v>
      </c>
      <c r="J127" s="9" t="s">
        <v>44</v>
      </c>
      <c r="K127" s="10" t="str">
        <f>IFERROR(VLOOKUP(A127,'Pedido ESTHER'!$B:$C,2,0),"")</f>
        <v/>
      </c>
      <c r="L127" s="12" t="str">
        <f>IF(N(K127)&gt;0,"COMPRA","NÃO COMPRA")</f>
        <v>NÃO COMPRA</v>
      </c>
    </row>
    <row r="128" spans="1:12">
      <c r="A128" s="8" t="s">
        <v>321</v>
      </c>
      <c r="B128" s="9" t="s">
        <v>322</v>
      </c>
      <c r="C128" s="9" t="e">
        <f>VLOOKUP(A128,[2]Planilha1!$A:$B,2,0)</f>
        <v>#N/A</v>
      </c>
      <c r="D128" s="10">
        <f>SUMIF([1]Relatório!$A$2:$A$2653,A128,[1]Relatório!$AK$2:$AK$2653)</f>
        <v>1056</v>
      </c>
      <c r="E128" s="11">
        <f t="shared" si="2"/>
        <v>0.00180526089951911</v>
      </c>
      <c r="F128" s="11">
        <f>SUM($E$7:E128)</f>
        <v>0.469420829223344</v>
      </c>
      <c r="G128" s="12" t="str">
        <f t="shared" si="3"/>
        <v>A</v>
      </c>
      <c r="H128" s="9" t="s">
        <v>74</v>
      </c>
      <c r="I128" s="9" t="s">
        <v>323</v>
      </c>
      <c r="J128" s="9" t="s">
        <v>201</v>
      </c>
      <c r="K128" s="10" t="str">
        <f>IFERROR(VLOOKUP(A128,'Pedido ESTHER'!$B:$C,2,0),"")</f>
        <v/>
      </c>
      <c r="L128" s="12" t="str">
        <f>IF(N(K128)&gt;0,"COMPRA","NÃO COMPRA")</f>
        <v>NÃO COMPRA</v>
      </c>
    </row>
    <row r="129" spans="1:12">
      <c r="A129" s="8" t="s">
        <v>324</v>
      </c>
      <c r="B129" s="9" t="s">
        <v>263</v>
      </c>
      <c r="C129" s="9" t="e">
        <f>VLOOKUP(A129,[2]Planilha1!$A:$B,2,0)</f>
        <v>#N/A</v>
      </c>
      <c r="D129" s="10">
        <f>SUMIF([1]Relatório!$A$2:$A$2653,A129,[1]Relatório!$AK$2:$AK$2653)</f>
        <v>1049</v>
      </c>
      <c r="E129" s="11">
        <f t="shared" si="2"/>
        <v>0.00179329420795033</v>
      </c>
      <c r="F129" s="11">
        <f>SUM($E$7:E129)</f>
        <v>0.471214123431295</v>
      </c>
      <c r="G129" s="12" t="str">
        <f t="shared" si="3"/>
        <v>A</v>
      </c>
      <c r="H129" s="9" t="s">
        <v>117</v>
      </c>
      <c r="I129" s="9" t="s">
        <v>325</v>
      </c>
      <c r="J129" s="9" t="s">
        <v>40</v>
      </c>
      <c r="K129" s="10" t="str">
        <f>IFERROR(VLOOKUP(A129,'Pedido ESTHER'!$B:$C,2,0),"")</f>
        <v/>
      </c>
      <c r="L129" s="12" t="str">
        <f>IF(N(K129)&gt;0,"COMPRA","NÃO COMPRA")</f>
        <v>NÃO COMPRA</v>
      </c>
    </row>
    <row r="130" spans="1:12">
      <c r="A130" s="8" t="s">
        <v>326</v>
      </c>
      <c r="B130" s="9" t="s">
        <v>327</v>
      </c>
      <c r="C130" s="9" t="e">
        <f>VLOOKUP(A130,[2]Planilha1!$A:$B,2,0)</f>
        <v>#N/A</v>
      </c>
      <c r="D130" s="10">
        <f>SUMIF([1]Relatório!$A$2:$A$2653,A130,[1]Relatório!$AK$2:$AK$2653)</f>
        <v>1042</v>
      </c>
      <c r="E130" s="11">
        <f t="shared" si="2"/>
        <v>0.00178132751638155</v>
      </c>
      <c r="F130" s="11">
        <f>SUM($E$7:E130)</f>
        <v>0.472995450947676</v>
      </c>
      <c r="G130" s="12" t="str">
        <f t="shared" si="3"/>
        <v>A</v>
      </c>
      <c r="H130" s="9" t="s">
        <v>117</v>
      </c>
      <c r="I130" s="9" t="s">
        <v>328</v>
      </c>
      <c r="J130" s="9" t="s">
        <v>23</v>
      </c>
      <c r="K130" s="10" t="str">
        <f>IFERROR(VLOOKUP(A130,'Pedido ESTHER'!$B:$C,2,0),"")</f>
        <v/>
      </c>
      <c r="L130" s="12" t="str">
        <f>IF(N(K130)&gt;0,"COMPRA","NÃO COMPRA")</f>
        <v>NÃO COMPRA</v>
      </c>
    </row>
    <row r="131" spans="1:12">
      <c r="A131" s="8" t="s">
        <v>329</v>
      </c>
      <c r="B131" s="9" t="s">
        <v>330</v>
      </c>
      <c r="C131" s="9" t="e">
        <f>VLOOKUP(A131,[2]Planilha1!$A:$B,2,0)</f>
        <v>#N/A</v>
      </c>
      <c r="D131" s="10">
        <f>SUMIF([1]Relatório!$A$2:$A$2653,A131,[1]Relatório!$AK$2:$AK$2653)</f>
        <v>1037</v>
      </c>
      <c r="E131" s="11">
        <f t="shared" si="2"/>
        <v>0.0017727798795467</v>
      </c>
      <c r="F131" s="11">
        <f>SUM($E$7:E131)</f>
        <v>0.474768230827223</v>
      </c>
      <c r="G131" s="12" t="str">
        <f t="shared" si="3"/>
        <v>A</v>
      </c>
      <c r="H131" s="9" t="s">
        <v>221</v>
      </c>
      <c r="I131" s="9" t="s">
        <v>331</v>
      </c>
      <c r="J131" s="9" t="s">
        <v>23</v>
      </c>
      <c r="K131" s="10" t="str">
        <f>IFERROR(VLOOKUP(A131,'Pedido ESTHER'!$B:$C,2,0),"")</f>
        <v/>
      </c>
      <c r="L131" s="12" t="str">
        <f>IF(N(K131)&gt;0,"COMPRA","NÃO COMPRA")</f>
        <v>NÃO COMPRA</v>
      </c>
    </row>
    <row r="132" spans="1:12">
      <c r="A132" s="8" t="s">
        <v>332</v>
      </c>
      <c r="B132" s="9" t="s">
        <v>300</v>
      </c>
      <c r="C132" s="9" t="e">
        <f>VLOOKUP(A132,[2]Planilha1!$A:$B,2,0)</f>
        <v>#N/A</v>
      </c>
      <c r="D132" s="10">
        <f>SUMIF([1]Relatório!$A$2:$A$2653,A132,[1]Relatório!$AK$2:$AK$2653)</f>
        <v>1016</v>
      </c>
      <c r="E132" s="11">
        <f t="shared" si="2"/>
        <v>0.00173687980484036</v>
      </c>
      <c r="F132" s="11">
        <f>SUM($E$7:E132)</f>
        <v>0.476505110632063</v>
      </c>
      <c r="G132" s="12" t="str">
        <f t="shared" si="3"/>
        <v>A</v>
      </c>
      <c r="H132" s="9" t="s">
        <v>117</v>
      </c>
      <c r="I132" s="9" t="s">
        <v>333</v>
      </c>
      <c r="J132" s="9" t="s">
        <v>29</v>
      </c>
      <c r="K132" s="10" t="str">
        <f>IFERROR(VLOOKUP(A132,'Pedido ESTHER'!$B:$C,2,0),"")</f>
        <v/>
      </c>
      <c r="L132" s="12" t="str">
        <f>IF(N(K132)&gt;0,"COMPRA","NÃO COMPRA")</f>
        <v>NÃO COMPRA</v>
      </c>
    </row>
    <row r="133" spans="1:12">
      <c r="A133" s="8" t="s">
        <v>334</v>
      </c>
      <c r="B133" s="9" t="s">
        <v>335</v>
      </c>
      <c r="C133" s="9" t="e">
        <f>VLOOKUP(A133,[2]Planilha1!$A:$B,2,0)</f>
        <v>#N/A</v>
      </c>
      <c r="D133" s="10">
        <f>SUMIF([1]Relatório!$A$2:$A$2653,A133,[1]Relatório!$AK$2:$AK$2653)</f>
        <v>1012</v>
      </c>
      <c r="E133" s="11">
        <f t="shared" si="2"/>
        <v>0.00173004169537248</v>
      </c>
      <c r="F133" s="11">
        <f>SUM($E$7:E133)</f>
        <v>0.478235152327436</v>
      </c>
      <c r="G133" s="12" t="str">
        <f t="shared" si="3"/>
        <v>A</v>
      </c>
      <c r="H133" s="9" t="s">
        <v>183</v>
      </c>
      <c r="I133" s="9" t="s">
        <v>336</v>
      </c>
      <c r="J133" s="9" t="s">
        <v>44</v>
      </c>
      <c r="K133" s="10" t="str">
        <f>IFERROR(VLOOKUP(A133,'Pedido ESTHER'!$B:$C,2,0),"")</f>
        <v/>
      </c>
      <c r="L133" s="12" t="str">
        <f>IF(N(K133)&gt;0,"COMPRA","NÃO COMPRA")</f>
        <v>NÃO COMPRA</v>
      </c>
    </row>
    <row r="134" spans="1:12">
      <c r="A134" s="8" t="s">
        <v>337</v>
      </c>
      <c r="B134" s="9" t="s">
        <v>240</v>
      </c>
      <c r="C134" s="9" t="e">
        <f>VLOOKUP(A134,[2]Planilha1!$A:$B,2,0)</f>
        <v>#N/A</v>
      </c>
      <c r="D134" s="10">
        <f>SUMIF([1]Relatório!$A$2:$A$2653,A134,[1]Relatório!$AK$2:$AK$2653)</f>
        <v>1009</v>
      </c>
      <c r="E134" s="11">
        <f t="shared" si="2"/>
        <v>0.00172491311327157</v>
      </c>
      <c r="F134" s="11">
        <f>SUM($E$7:E134)</f>
        <v>0.479960065440707</v>
      </c>
      <c r="G134" s="12" t="str">
        <f t="shared" si="3"/>
        <v>A</v>
      </c>
      <c r="H134" s="9" t="s">
        <v>21</v>
      </c>
      <c r="I134" s="9"/>
      <c r="J134" s="9" t="s">
        <v>241</v>
      </c>
      <c r="K134" s="10" t="str">
        <f>IFERROR(VLOOKUP(A134,'Pedido ESTHER'!$B:$C,2,0),"")</f>
        <v/>
      </c>
      <c r="L134" s="12" t="str">
        <f>IF(N(K134)&gt;0,"COMPRA","NÃO COMPRA")</f>
        <v>NÃO COMPRA</v>
      </c>
    </row>
    <row r="135" spans="1:12">
      <c r="A135" s="8" t="s">
        <v>338</v>
      </c>
      <c r="B135" s="9" t="s">
        <v>339</v>
      </c>
      <c r="C135" s="9" t="e">
        <f>VLOOKUP(A135,[2]Planilha1!$A:$B,2,0)</f>
        <v>#N/A</v>
      </c>
      <c r="D135" s="10">
        <f>SUMIF([1]Relatório!$A$2:$A$2653,A135,[1]Relatório!$AK$2:$AK$2653)</f>
        <v>1008</v>
      </c>
      <c r="E135" s="11">
        <f t="shared" si="2"/>
        <v>0.0017232035859046</v>
      </c>
      <c r="F135" s="11">
        <f>SUM($E$7:E135)</f>
        <v>0.481683269026612</v>
      </c>
      <c r="G135" s="12" t="str">
        <f t="shared" si="3"/>
        <v>A</v>
      </c>
      <c r="H135" s="9" t="s">
        <v>74</v>
      </c>
      <c r="I135" s="9" t="s">
        <v>340</v>
      </c>
      <c r="J135" s="9" t="s">
        <v>164</v>
      </c>
      <c r="K135" s="10" t="str">
        <f>IFERROR(VLOOKUP(A135,'Pedido ESTHER'!$B:$C,2,0),"")</f>
        <v/>
      </c>
      <c r="L135" s="12" t="str">
        <f>IF(N(K135)&gt;0,"COMPRA","NÃO COMPRA")</f>
        <v>NÃO COMPRA</v>
      </c>
    </row>
    <row r="136" spans="1:12">
      <c r="A136" s="8" t="s">
        <v>341</v>
      </c>
      <c r="B136" s="9" t="s">
        <v>342</v>
      </c>
      <c r="C136" s="9" t="e">
        <f>VLOOKUP(A136,[2]Planilha1!$A:$B,2,0)</f>
        <v>#N/A</v>
      </c>
      <c r="D136" s="10">
        <f>SUMIF([1]Relatório!$A$2:$A$2653,A136,[1]Relatório!$AK$2:$AK$2653)</f>
        <v>1003</v>
      </c>
      <c r="E136" s="11">
        <f t="shared" ref="E136:E199" si="4">D136/SUM($D$7:$D$1708)</f>
        <v>0.00171465594906976</v>
      </c>
      <c r="F136" s="11">
        <f>SUM($E$7:E136)</f>
        <v>0.483397924975682</v>
      </c>
      <c r="G136" s="12" t="str">
        <f t="shared" ref="G136:G199" si="5">IF(F136&lt;=70%,"A",IF(F136&lt;=90%,"B","C"))</f>
        <v>A</v>
      </c>
      <c r="H136" s="9" t="s">
        <v>117</v>
      </c>
      <c r="I136" s="9" t="s">
        <v>343</v>
      </c>
      <c r="J136" s="9" t="s">
        <v>15</v>
      </c>
      <c r="K136" s="10" t="str">
        <f>IFERROR(VLOOKUP(A136,'Pedido ESTHER'!$B:$C,2,0),"")</f>
        <v/>
      </c>
      <c r="L136" s="12" t="str">
        <f>IF(N(K136)&gt;0,"COMPRA","NÃO COMPRA")</f>
        <v>NÃO COMPRA</v>
      </c>
    </row>
    <row r="137" spans="1:12">
      <c r="A137" s="8" t="s">
        <v>344</v>
      </c>
      <c r="B137" s="9" t="s">
        <v>122</v>
      </c>
      <c r="C137" s="9" t="e">
        <f>VLOOKUP(A137,[2]Planilha1!$A:$B,2,0)</f>
        <v>#N/A</v>
      </c>
      <c r="D137" s="10">
        <f>SUMIF([1]Relatório!$A$2:$A$2653,A137,[1]Relatório!$AK$2:$AK$2653)</f>
        <v>1001</v>
      </c>
      <c r="E137" s="11">
        <f t="shared" si="4"/>
        <v>0.00171123689433582</v>
      </c>
      <c r="F137" s="11">
        <f>SUM($E$7:E137)</f>
        <v>0.485109161870018</v>
      </c>
      <c r="G137" s="12" t="str">
        <f t="shared" si="5"/>
        <v>A</v>
      </c>
      <c r="H137" s="9" t="s">
        <v>18</v>
      </c>
      <c r="I137" s="9" t="s">
        <v>345</v>
      </c>
      <c r="J137" s="9" t="s">
        <v>33</v>
      </c>
      <c r="K137" s="10" t="str">
        <f>IFERROR(VLOOKUP(A137,'Pedido ESTHER'!$B:$C,2,0),"")</f>
        <v/>
      </c>
      <c r="L137" s="12" t="str">
        <f>IF(N(K137)&gt;0,"COMPRA","NÃO COMPRA")</f>
        <v>NÃO COMPRA</v>
      </c>
    </row>
    <row r="138" spans="1:12">
      <c r="A138" s="8" t="s">
        <v>346</v>
      </c>
      <c r="B138" s="9" t="s">
        <v>48</v>
      </c>
      <c r="C138" s="9" t="e">
        <f>VLOOKUP(A138,[2]Planilha1!$A:$B,2,0)</f>
        <v>#N/A</v>
      </c>
      <c r="D138" s="10">
        <f>SUMIF([1]Relatório!$A$2:$A$2653,A138,[1]Relatório!$AK$2:$AK$2653)</f>
        <v>1000</v>
      </c>
      <c r="E138" s="11">
        <f t="shared" si="4"/>
        <v>0.00170952736696885</v>
      </c>
      <c r="F138" s="11">
        <f>SUM($E$7:E138)</f>
        <v>0.486818689236987</v>
      </c>
      <c r="G138" s="12" t="str">
        <f t="shared" si="5"/>
        <v>A</v>
      </c>
      <c r="H138" s="9" t="s">
        <v>18</v>
      </c>
      <c r="I138" s="9" t="s">
        <v>347</v>
      </c>
      <c r="J138" s="9" t="s">
        <v>29</v>
      </c>
      <c r="K138" s="10" t="str">
        <f>IFERROR(VLOOKUP(A138,'Pedido ESTHER'!$B:$C,2,0),"")</f>
        <v/>
      </c>
      <c r="L138" s="12" t="str">
        <f>IF(N(K138)&gt;0,"COMPRA","NÃO COMPRA")</f>
        <v>NÃO COMPRA</v>
      </c>
    </row>
    <row r="139" spans="1:12">
      <c r="A139" s="8" t="s">
        <v>348</v>
      </c>
      <c r="B139" s="9" t="s">
        <v>349</v>
      </c>
      <c r="C139" s="9" t="e">
        <f>VLOOKUP(A139,[2]Planilha1!$A:$B,2,0)</f>
        <v>#N/A</v>
      </c>
      <c r="D139" s="10">
        <f>SUMIF([1]Relatório!$A$2:$A$2653,A139,[1]Relatório!$AK$2:$AK$2653)</f>
        <v>982</v>
      </c>
      <c r="E139" s="11">
        <f t="shared" si="4"/>
        <v>0.00167875587436341</v>
      </c>
      <c r="F139" s="11">
        <f>SUM($E$7:E139)</f>
        <v>0.48849744511135</v>
      </c>
      <c r="G139" s="12" t="str">
        <f t="shared" si="5"/>
        <v>A</v>
      </c>
      <c r="H139" s="9" t="s">
        <v>18</v>
      </c>
      <c r="I139" s="9" t="s">
        <v>350</v>
      </c>
      <c r="J139" s="9" t="s">
        <v>164</v>
      </c>
      <c r="K139" s="10">
        <f>IFERROR(VLOOKUP(A139,'Pedido ESTHER'!$B:$C,2,0),"")</f>
        <v>8</v>
      </c>
      <c r="L139" s="12" t="str">
        <f>IF(N(K139)&gt;0,"COMPRA","NÃO COMPRA")</f>
        <v>COMPRA</v>
      </c>
    </row>
    <row r="140" spans="1:12">
      <c r="A140" s="8" t="s">
        <v>351</v>
      </c>
      <c r="B140" s="9" t="s">
        <v>352</v>
      </c>
      <c r="C140" s="9" t="e">
        <f>VLOOKUP(A140,[2]Planilha1!$A:$B,2,0)</f>
        <v>#N/A</v>
      </c>
      <c r="D140" s="10">
        <f>SUMIF([1]Relatório!$A$2:$A$2653,A140,[1]Relatório!$AK$2:$AK$2653)</f>
        <v>981</v>
      </c>
      <c r="E140" s="11">
        <f t="shared" si="4"/>
        <v>0.00167704634699645</v>
      </c>
      <c r="F140" s="11">
        <f>SUM($E$7:E140)</f>
        <v>0.490174491458346</v>
      </c>
      <c r="G140" s="12" t="str">
        <f t="shared" si="5"/>
        <v>A</v>
      </c>
      <c r="H140" s="9" t="s">
        <v>21</v>
      </c>
      <c r="I140" s="9" t="s">
        <v>353</v>
      </c>
      <c r="J140" s="9" t="s">
        <v>44</v>
      </c>
      <c r="K140" s="10" t="str">
        <f>IFERROR(VLOOKUP(A140,'Pedido ESTHER'!$B:$C,2,0),"")</f>
        <v/>
      </c>
      <c r="L140" s="12" t="str">
        <f>IF(N(K140)&gt;0,"COMPRA","NÃO COMPRA")</f>
        <v>NÃO COMPRA</v>
      </c>
    </row>
    <row r="141" spans="1:12">
      <c r="A141" s="8" t="s">
        <v>354</v>
      </c>
      <c r="B141" s="9" t="s">
        <v>355</v>
      </c>
      <c r="C141" s="9" t="e">
        <f>VLOOKUP(A141,[2]Planilha1!$A:$B,2,0)</f>
        <v>#N/A</v>
      </c>
      <c r="D141" s="10">
        <f>SUMIF([1]Relatório!$A$2:$A$2653,A141,[1]Relatório!$AK$2:$AK$2653)</f>
        <v>975</v>
      </c>
      <c r="E141" s="11">
        <f t="shared" si="4"/>
        <v>0.00166678918279463</v>
      </c>
      <c r="F141" s="11">
        <f>SUM($E$7:E141)</f>
        <v>0.491841280641141</v>
      </c>
      <c r="G141" s="12" t="str">
        <f t="shared" si="5"/>
        <v>A</v>
      </c>
      <c r="H141" s="9" t="s">
        <v>74</v>
      </c>
      <c r="I141" s="9" t="s">
        <v>356</v>
      </c>
      <c r="J141" s="9" t="s">
        <v>241</v>
      </c>
      <c r="K141" s="10" t="str">
        <f>IFERROR(VLOOKUP(A141,'Pedido ESTHER'!$B:$C,2,0),"")</f>
        <v/>
      </c>
      <c r="L141" s="12" t="str">
        <f>IF(N(K141)&gt;0,"COMPRA","NÃO COMPRA")</f>
        <v>NÃO COMPRA</v>
      </c>
    </row>
    <row r="142" spans="1:12">
      <c r="A142" s="8" t="s">
        <v>357</v>
      </c>
      <c r="B142" s="9" t="s">
        <v>358</v>
      </c>
      <c r="C142" s="9" t="e">
        <f>VLOOKUP(A142,[2]Planilha1!$A:$B,2,0)</f>
        <v>#N/A</v>
      </c>
      <c r="D142" s="10">
        <f>SUMIF([1]Relatório!$A$2:$A$2653,A142,[1]Relatório!$AK$2:$AK$2653)</f>
        <v>964</v>
      </c>
      <c r="E142" s="11">
        <f t="shared" si="4"/>
        <v>0.00164798438175798</v>
      </c>
      <c r="F142" s="11">
        <f>SUM($E$7:E142)</f>
        <v>0.493489265022899</v>
      </c>
      <c r="G142" s="12" t="str">
        <f t="shared" si="5"/>
        <v>A</v>
      </c>
      <c r="H142" s="9" t="s">
        <v>21</v>
      </c>
      <c r="I142" s="9"/>
      <c r="J142" s="9" t="s">
        <v>359</v>
      </c>
      <c r="K142" s="10">
        <f>IFERROR(VLOOKUP(A142,'Pedido ESTHER'!$B:$C,2,0),"")</f>
        <v>4</v>
      </c>
      <c r="L142" s="12" t="str">
        <f>IF(N(K142)&gt;0,"COMPRA","NÃO COMPRA")</f>
        <v>COMPRA</v>
      </c>
    </row>
    <row r="143" spans="1:12">
      <c r="A143" s="8" t="s">
        <v>360</v>
      </c>
      <c r="B143" s="9" t="s">
        <v>208</v>
      </c>
      <c r="C143" s="9" t="e">
        <f>VLOOKUP(A143,[2]Planilha1!$A:$B,2,0)</f>
        <v>#N/A</v>
      </c>
      <c r="D143" s="10">
        <f>SUMIF([1]Relatório!$A$2:$A$2653,A143,[1]Relatório!$AK$2:$AK$2653)</f>
        <v>961</v>
      </c>
      <c r="E143" s="11">
        <f t="shared" si="4"/>
        <v>0.00164285579965707</v>
      </c>
      <c r="F143" s="11">
        <f>SUM($E$7:E143)</f>
        <v>0.495132120822556</v>
      </c>
      <c r="G143" s="12" t="str">
        <f t="shared" si="5"/>
        <v>A</v>
      </c>
      <c r="H143" s="9" t="s">
        <v>74</v>
      </c>
      <c r="I143" s="9" t="s">
        <v>361</v>
      </c>
      <c r="J143" s="9" t="s">
        <v>29</v>
      </c>
      <c r="K143" s="10" t="str">
        <f>IFERROR(VLOOKUP(A143,'Pedido ESTHER'!$B:$C,2,0),"")</f>
        <v/>
      </c>
      <c r="L143" s="12" t="str">
        <f>IF(N(K143)&gt;0,"COMPRA","NÃO COMPRA")</f>
        <v>NÃO COMPRA</v>
      </c>
    </row>
    <row r="144" spans="1:12">
      <c r="A144" s="8" t="s">
        <v>362</v>
      </c>
      <c r="B144" s="9" t="s">
        <v>363</v>
      </c>
      <c r="C144" s="9" t="e">
        <f>VLOOKUP(A144,[2]Planilha1!$A:$B,2,0)</f>
        <v>#N/A</v>
      </c>
      <c r="D144" s="10">
        <f>SUMIF([1]Relatório!$A$2:$A$2653,A144,[1]Relatório!$AK$2:$AK$2653)</f>
        <v>956</v>
      </c>
      <c r="E144" s="11">
        <f t="shared" si="4"/>
        <v>0.00163430816282222</v>
      </c>
      <c r="F144" s="11">
        <f>SUM($E$7:E144)</f>
        <v>0.496766428985378</v>
      </c>
      <c r="G144" s="12" t="str">
        <f t="shared" si="5"/>
        <v>A</v>
      </c>
      <c r="H144" s="9" t="s">
        <v>183</v>
      </c>
      <c r="I144" s="9"/>
      <c r="J144" s="9" t="s">
        <v>40</v>
      </c>
      <c r="K144" s="10" t="str">
        <f>IFERROR(VLOOKUP(A144,'Pedido ESTHER'!$B:$C,2,0),"")</f>
        <v/>
      </c>
      <c r="L144" s="12" t="str">
        <f>IF(N(K144)&gt;0,"COMPRA","NÃO COMPRA")</f>
        <v>NÃO COMPRA</v>
      </c>
    </row>
    <row r="145" spans="1:12">
      <c r="A145" s="8" t="s">
        <v>364</v>
      </c>
      <c r="B145" s="9" t="s">
        <v>365</v>
      </c>
      <c r="C145" s="9" t="e">
        <f>VLOOKUP(A145,[2]Planilha1!$A:$B,2,0)</f>
        <v>#N/A</v>
      </c>
      <c r="D145" s="10">
        <f>SUMIF([1]Relatório!$A$2:$A$2653,A145,[1]Relatório!$AK$2:$AK$2653)</f>
        <v>953</v>
      </c>
      <c r="E145" s="11">
        <f t="shared" si="4"/>
        <v>0.00162917958072132</v>
      </c>
      <c r="F145" s="11">
        <f>SUM($E$7:E145)</f>
        <v>0.4983956085661</v>
      </c>
      <c r="G145" s="12" t="str">
        <f t="shared" si="5"/>
        <v>A</v>
      </c>
      <c r="H145" s="9" t="s">
        <v>18</v>
      </c>
      <c r="I145" s="9"/>
      <c r="J145" s="9" t="s">
        <v>23</v>
      </c>
      <c r="K145" s="10" t="str">
        <f>IFERROR(VLOOKUP(A145,'Pedido ESTHER'!$B:$C,2,0),"")</f>
        <v/>
      </c>
      <c r="L145" s="12" t="str">
        <f>IF(N(K145)&gt;0,"COMPRA","NÃO COMPRA")</f>
        <v>NÃO COMPRA</v>
      </c>
    </row>
    <row r="146" spans="1:12">
      <c r="A146" s="8" t="s">
        <v>366</v>
      </c>
      <c r="B146" s="9" t="s">
        <v>200</v>
      </c>
      <c r="C146" s="9" t="e">
        <f>VLOOKUP(A146,[2]Planilha1!$A:$B,2,0)</f>
        <v>#N/A</v>
      </c>
      <c r="D146" s="10">
        <f>SUMIF([1]Relatório!$A$2:$A$2653,A146,[1]Relatório!$AK$2:$AK$2653)</f>
        <v>952</v>
      </c>
      <c r="E146" s="11">
        <f t="shared" si="4"/>
        <v>0.00162747005335435</v>
      </c>
      <c r="F146" s="11">
        <f>SUM($E$7:E146)</f>
        <v>0.500023078619454</v>
      </c>
      <c r="G146" s="12" t="str">
        <f t="shared" si="5"/>
        <v>A</v>
      </c>
      <c r="H146" s="9" t="s">
        <v>21</v>
      </c>
      <c r="I146" s="9"/>
      <c r="J146" s="9" t="s">
        <v>201</v>
      </c>
      <c r="K146" s="10" t="str">
        <f>IFERROR(VLOOKUP(A146,'Pedido ESTHER'!$B:$C,2,0),"")</f>
        <v/>
      </c>
      <c r="L146" s="12" t="str">
        <f>IF(N(K146)&gt;0,"COMPRA","NÃO COMPRA")</f>
        <v>NÃO COMPRA</v>
      </c>
    </row>
    <row r="147" spans="1:12">
      <c r="A147" s="8" t="s">
        <v>367</v>
      </c>
      <c r="B147" s="9" t="s">
        <v>51</v>
      </c>
      <c r="C147" s="9" t="e">
        <f>VLOOKUP(A147,[2]Planilha1!$A:$B,2,0)</f>
        <v>#N/A</v>
      </c>
      <c r="D147" s="10">
        <f>SUMIF([1]Relatório!$A$2:$A$2653,A147,[1]Relatório!$AK$2:$AK$2653)</f>
        <v>951</v>
      </c>
      <c r="E147" s="11">
        <f t="shared" si="4"/>
        <v>0.00162576052598738</v>
      </c>
      <c r="F147" s="11">
        <f>SUM($E$7:E147)</f>
        <v>0.501648839145441</v>
      </c>
      <c r="G147" s="12" t="str">
        <f t="shared" si="5"/>
        <v>A</v>
      </c>
      <c r="H147" s="9" t="s">
        <v>21</v>
      </c>
      <c r="I147" s="9" t="s">
        <v>368</v>
      </c>
      <c r="J147" s="9" t="s">
        <v>33</v>
      </c>
      <c r="K147" s="10" t="str">
        <f>IFERROR(VLOOKUP(A147,'Pedido ESTHER'!$B:$C,2,0),"")</f>
        <v/>
      </c>
      <c r="L147" s="12" t="str">
        <f>IF(N(K147)&gt;0,"COMPRA","NÃO COMPRA")</f>
        <v>NÃO COMPRA</v>
      </c>
    </row>
    <row r="148" spans="1:12">
      <c r="A148" s="8" t="s">
        <v>369</v>
      </c>
      <c r="B148" s="9" t="s">
        <v>179</v>
      </c>
      <c r="C148" s="9" t="e">
        <f>VLOOKUP(A148,[2]Planilha1!$A:$B,2,0)</f>
        <v>#N/A</v>
      </c>
      <c r="D148" s="10">
        <f>SUMIF([1]Relatório!$A$2:$A$2653,A148,[1]Relatório!$AK$2:$AK$2653)</f>
        <v>949</v>
      </c>
      <c r="E148" s="11">
        <f t="shared" si="4"/>
        <v>0.00162234147125344</v>
      </c>
      <c r="F148" s="11">
        <f>SUM($E$7:E148)</f>
        <v>0.503271180616695</v>
      </c>
      <c r="G148" s="12" t="str">
        <f t="shared" si="5"/>
        <v>A</v>
      </c>
      <c r="H148" s="9" t="s">
        <v>18</v>
      </c>
      <c r="I148" s="9"/>
      <c r="J148" s="9" t="s">
        <v>40</v>
      </c>
      <c r="K148" s="10" t="str">
        <f>IFERROR(VLOOKUP(A148,'Pedido ESTHER'!$B:$C,2,0),"")</f>
        <v/>
      </c>
      <c r="L148" s="12" t="str">
        <f>IF(N(K148)&gt;0,"COMPRA","NÃO COMPRA")</f>
        <v>NÃO COMPRA</v>
      </c>
    </row>
    <row r="149" spans="1:12">
      <c r="A149" s="8" t="s">
        <v>370</v>
      </c>
      <c r="B149" s="9" t="s">
        <v>27</v>
      </c>
      <c r="C149" s="9" t="e">
        <f>VLOOKUP(A149,[2]Planilha1!$A:$B,2,0)</f>
        <v>#N/A</v>
      </c>
      <c r="D149" s="10">
        <f>SUMIF([1]Relatório!$A$2:$A$2653,A149,[1]Relatório!$AK$2:$AK$2653)</f>
        <v>947</v>
      </c>
      <c r="E149" s="11">
        <f t="shared" si="4"/>
        <v>0.0016189224165195</v>
      </c>
      <c r="F149" s="11">
        <f>SUM($E$7:E149)</f>
        <v>0.504890103033214</v>
      </c>
      <c r="G149" s="12" t="str">
        <f t="shared" si="5"/>
        <v>A</v>
      </c>
      <c r="H149" s="9" t="s">
        <v>21</v>
      </c>
      <c r="I149" s="9" t="s">
        <v>371</v>
      </c>
      <c r="J149" s="9" t="s">
        <v>29</v>
      </c>
      <c r="K149" s="10" t="str">
        <f>IFERROR(VLOOKUP(A149,'Pedido ESTHER'!$B:$C,2,0),"")</f>
        <v/>
      </c>
      <c r="L149" s="12" t="str">
        <f>IF(N(K149)&gt;0,"COMPRA","NÃO COMPRA")</f>
        <v>NÃO COMPRA</v>
      </c>
    </row>
    <row r="150" spans="1:12">
      <c r="A150" s="8" t="s">
        <v>372</v>
      </c>
      <c r="B150" s="9" t="s">
        <v>373</v>
      </c>
      <c r="C150" s="9" t="e">
        <f>VLOOKUP(A150,[2]Planilha1!$A:$B,2,0)</f>
        <v>#N/A</v>
      </c>
      <c r="D150" s="10">
        <f>SUMIF([1]Relatório!$A$2:$A$2653,A150,[1]Relatório!$AK$2:$AK$2653)</f>
        <v>945</v>
      </c>
      <c r="E150" s="11">
        <f t="shared" si="4"/>
        <v>0.00161550336178557</v>
      </c>
      <c r="F150" s="11">
        <f>SUM($E$7:E150)</f>
        <v>0.506505606395</v>
      </c>
      <c r="G150" s="12" t="str">
        <f t="shared" si="5"/>
        <v>A</v>
      </c>
      <c r="H150" s="9" t="s">
        <v>14</v>
      </c>
      <c r="I150" s="9" t="s">
        <v>374</v>
      </c>
      <c r="J150" s="9" t="s">
        <v>201</v>
      </c>
      <c r="K150" s="10" t="str">
        <f>IFERROR(VLOOKUP(A150,'Pedido ESTHER'!$B:$C,2,0),"")</f>
        <v/>
      </c>
      <c r="L150" s="12" t="str">
        <f>IF(N(K150)&gt;0,"COMPRA","NÃO COMPRA")</f>
        <v>NÃO COMPRA</v>
      </c>
    </row>
    <row r="151" spans="1:12">
      <c r="A151" s="8" t="s">
        <v>375</v>
      </c>
      <c r="B151" s="9" t="s">
        <v>376</v>
      </c>
      <c r="C151" s="9" t="e">
        <f>VLOOKUP(A151,[2]Planilha1!$A:$B,2,0)</f>
        <v>#N/A</v>
      </c>
      <c r="D151" s="10">
        <f>SUMIF([1]Relatório!$A$2:$A$2653,A151,[1]Relatório!$AK$2:$AK$2653)</f>
        <v>943</v>
      </c>
      <c r="E151" s="11">
        <f t="shared" si="4"/>
        <v>0.00161208430705163</v>
      </c>
      <c r="F151" s="11">
        <f>SUM($E$7:E151)</f>
        <v>0.508117690702051</v>
      </c>
      <c r="G151" s="12" t="str">
        <f t="shared" si="5"/>
        <v>A</v>
      </c>
      <c r="H151" s="9" t="s">
        <v>21</v>
      </c>
      <c r="I151" s="9" t="s">
        <v>377</v>
      </c>
      <c r="J151" s="9" t="s">
        <v>23</v>
      </c>
      <c r="K151" s="10" t="str">
        <f>IFERROR(VLOOKUP(A151,'Pedido ESTHER'!$B:$C,2,0),"")</f>
        <v/>
      </c>
      <c r="L151" s="12" t="str">
        <f>IF(N(K151)&gt;0,"COMPRA","NÃO COMPRA")</f>
        <v>NÃO COMPRA</v>
      </c>
    </row>
    <row r="152" spans="1:12">
      <c r="A152" s="8" t="s">
        <v>378</v>
      </c>
      <c r="B152" s="9" t="s">
        <v>379</v>
      </c>
      <c r="C152" s="9" t="e">
        <f>VLOOKUP(A152,[2]Planilha1!$A:$B,2,0)</f>
        <v>#N/A</v>
      </c>
      <c r="D152" s="10">
        <f>SUMIF([1]Relatório!$A$2:$A$2653,A152,[1]Relatório!$AK$2:$AK$2653)</f>
        <v>943</v>
      </c>
      <c r="E152" s="11">
        <f t="shared" si="4"/>
        <v>0.00161208430705163</v>
      </c>
      <c r="F152" s="11">
        <f>SUM($E$7:E152)</f>
        <v>0.509729775009103</v>
      </c>
      <c r="G152" s="12" t="str">
        <f t="shared" si="5"/>
        <v>A</v>
      </c>
      <c r="H152" s="9" t="s">
        <v>143</v>
      </c>
      <c r="I152" s="9"/>
      <c r="J152" s="9" t="s">
        <v>359</v>
      </c>
      <c r="K152" s="10" t="str">
        <f>IFERROR(VLOOKUP(A152,'Pedido ESTHER'!$B:$C,2,0),"")</f>
        <v/>
      </c>
      <c r="L152" s="12" t="str">
        <f>IF(N(K152)&gt;0,"COMPRA","NÃO COMPRA")</f>
        <v>NÃO COMPRA</v>
      </c>
    </row>
    <row r="153" spans="1:12">
      <c r="A153" s="8" t="s">
        <v>380</v>
      </c>
      <c r="B153" s="9" t="s">
        <v>381</v>
      </c>
      <c r="C153" s="9" t="e">
        <f>VLOOKUP(A153,[2]Planilha1!$A:$B,2,0)</f>
        <v>#N/A</v>
      </c>
      <c r="D153" s="10">
        <f>SUMIF([1]Relatório!$A$2:$A$2653,A153,[1]Relatório!$AK$2:$AK$2653)</f>
        <v>941</v>
      </c>
      <c r="E153" s="11">
        <f t="shared" si="4"/>
        <v>0.00160866525231769</v>
      </c>
      <c r="F153" s="11">
        <f>SUM($E$7:E153)</f>
        <v>0.511338440261421</v>
      </c>
      <c r="G153" s="12" t="str">
        <f t="shared" si="5"/>
        <v>A</v>
      </c>
      <c r="H153" s="9" t="s">
        <v>14</v>
      </c>
      <c r="I153" s="9"/>
      <c r="J153" s="9" t="s">
        <v>382</v>
      </c>
      <c r="K153" s="10" t="str">
        <f>IFERROR(VLOOKUP(A153,'Pedido ESTHER'!$B:$C,2,0),"")</f>
        <v/>
      </c>
      <c r="L153" s="12" t="str">
        <f>IF(N(K153)&gt;0,"COMPRA","NÃO COMPRA")</f>
        <v>NÃO COMPRA</v>
      </c>
    </row>
    <row r="154" spans="1:12">
      <c r="A154" s="8" t="s">
        <v>383</v>
      </c>
      <c r="B154" s="9" t="s">
        <v>339</v>
      </c>
      <c r="C154" s="9" t="e">
        <f>VLOOKUP(A154,[2]Planilha1!$A:$B,2,0)</f>
        <v>#N/A</v>
      </c>
      <c r="D154" s="10">
        <f>SUMIF([1]Relatório!$A$2:$A$2653,A154,[1]Relatório!$AK$2:$AK$2653)</f>
        <v>939</v>
      </c>
      <c r="E154" s="11">
        <f t="shared" si="4"/>
        <v>0.00160524619758375</v>
      </c>
      <c r="F154" s="11">
        <f>SUM($E$7:E154)</f>
        <v>0.512943686459005</v>
      </c>
      <c r="G154" s="12" t="str">
        <f t="shared" si="5"/>
        <v>A</v>
      </c>
      <c r="H154" s="9" t="s">
        <v>74</v>
      </c>
      <c r="I154" s="9" t="s">
        <v>384</v>
      </c>
      <c r="J154" s="9" t="s">
        <v>164</v>
      </c>
      <c r="K154" s="10" t="str">
        <f>IFERROR(VLOOKUP(A154,'Pedido ESTHER'!$B:$C,2,0),"")</f>
        <v/>
      </c>
      <c r="L154" s="12" t="str">
        <f>IF(N(K154)&gt;0,"COMPRA","NÃO COMPRA")</f>
        <v>NÃO COMPRA</v>
      </c>
    </row>
    <row r="155" spans="1:12">
      <c r="A155" s="8" t="s">
        <v>385</v>
      </c>
      <c r="B155" s="9" t="s">
        <v>162</v>
      </c>
      <c r="C155" s="9" t="e">
        <f>VLOOKUP(A155,[2]Planilha1!$A:$B,2,0)</f>
        <v>#N/A</v>
      </c>
      <c r="D155" s="10">
        <f>SUMIF([1]Relatório!$A$2:$A$2653,A155,[1]Relatório!$AK$2:$AK$2653)</f>
        <v>935</v>
      </c>
      <c r="E155" s="11">
        <f t="shared" si="4"/>
        <v>0.00159840808811588</v>
      </c>
      <c r="F155" s="11">
        <f>SUM($E$7:E155)</f>
        <v>0.51454209454712</v>
      </c>
      <c r="G155" s="12" t="str">
        <f t="shared" si="5"/>
        <v>A</v>
      </c>
      <c r="H155" s="9" t="s">
        <v>21</v>
      </c>
      <c r="I155" s="9" t="s">
        <v>386</v>
      </c>
      <c r="J155" s="9" t="s">
        <v>164</v>
      </c>
      <c r="K155" s="10" t="str">
        <f>IFERROR(VLOOKUP(A155,'Pedido ESTHER'!$B:$C,2,0),"")</f>
        <v/>
      </c>
      <c r="L155" s="12" t="str">
        <f>IF(N(K155)&gt;0,"COMPRA","NÃO COMPRA")</f>
        <v>NÃO COMPRA</v>
      </c>
    </row>
    <row r="156" spans="1:12">
      <c r="A156" s="8" t="s">
        <v>387</v>
      </c>
      <c r="B156" s="9" t="s">
        <v>388</v>
      </c>
      <c r="C156" s="9" t="e">
        <f>VLOOKUP(A156,[2]Planilha1!$A:$B,2,0)</f>
        <v>#N/A</v>
      </c>
      <c r="D156" s="10">
        <f>SUMIF([1]Relatório!$A$2:$A$2653,A156,[1]Relatório!$AK$2:$AK$2653)</f>
        <v>934</v>
      </c>
      <c r="E156" s="11">
        <f t="shared" si="4"/>
        <v>0.00159669856074891</v>
      </c>
      <c r="F156" s="11">
        <f>SUM($E$7:E156)</f>
        <v>0.516138793107869</v>
      </c>
      <c r="G156" s="12" t="str">
        <f t="shared" si="5"/>
        <v>A</v>
      </c>
      <c r="H156" s="9" t="s">
        <v>21</v>
      </c>
      <c r="I156" s="9" t="s">
        <v>389</v>
      </c>
      <c r="J156" s="9" t="s">
        <v>390</v>
      </c>
      <c r="K156" s="10" t="str">
        <f>IFERROR(VLOOKUP(A156,'Pedido ESTHER'!$B:$C,2,0),"")</f>
        <v/>
      </c>
      <c r="L156" s="12" t="str">
        <f>IF(N(K156)&gt;0,"COMPRA","NÃO COMPRA")</f>
        <v>NÃO COMPRA</v>
      </c>
    </row>
    <row r="157" spans="1:12">
      <c r="A157" s="8" t="s">
        <v>391</v>
      </c>
      <c r="B157" s="9" t="s">
        <v>392</v>
      </c>
      <c r="C157" s="9" t="e">
        <f>VLOOKUP(A157,[2]Planilha1!$A:$B,2,0)</f>
        <v>#N/A</v>
      </c>
      <c r="D157" s="10">
        <f>SUMIF([1]Relatório!$A$2:$A$2653,A157,[1]Relatório!$AK$2:$AK$2653)</f>
        <v>922</v>
      </c>
      <c r="E157" s="11">
        <f t="shared" si="4"/>
        <v>0.00157618423234528</v>
      </c>
      <c r="F157" s="11">
        <f>SUM($E$7:E157)</f>
        <v>0.517714977340215</v>
      </c>
      <c r="G157" s="12" t="str">
        <f t="shared" si="5"/>
        <v>A</v>
      </c>
      <c r="H157" s="9" t="s">
        <v>393</v>
      </c>
      <c r="I157" s="9" t="s">
        <v>394</v>
      </c>
      <c r="J157" s="9" t="s">
        <v>40</v>
      </c>
      <c r="K157" s="10" t="str">
        <f>IFERROR(VLOOKUP(A157,'Pedido ESTHER'!$B:$C,2,0),"")</f>
        <v/>
      </c>
      <c r="L157" s="12" t="str">
        <f>IF(N(K157)&gt;0,"COMPRA","NÃO COMPRA")</f>
        <v>NÃO COMPRA</v>
      </c>
    </row>
    <row r="158" spans="1:12">
      <c r="A158" s="8" t="s">
        <v>395</v>
      </c>
      <c r="B158" s="9" t="s">
        <v>62</v>
      </c>
      <c r="C158" s="9" t="e">
        <f>VLOOKUP(A158,[2]Planilha1!$A:$B,2,0)</f>
        <v>#N/A</v>
      </c>
      <c r="D158" s="10">
        <f>SUMIF([1]Relatório!$A$2:$A$2653,A158,[1]Relatório!$AK$2:$AK$2653)</f>
        <v>919</v>
      </c>
      <c r="E158" s="11">
        <f t="shared" si="4"/>
        <v>0.00157105565024438</v>
      </c>
      <c r="F158" s="11">
        <f>SUM($E$7:E158)</f>
        <v>0.519286032990459</v>
      </c>
      <c r="G158" s="12" t="str">
        <f t="shared" si="5"/>
        <v>A</v>
      </c>
      <c r="H158" s="9" t="s">
        <v>21</v>
      </c>
      <c r="I158" s="9" t="s">
        <v>396</v>
      </c>
      <c r="J158" s="9" t="s">
        <v>64</v>
      </c>
      <c r="K158" s="10" t="str">
        <f>IFERROR(VLOOKUP(A158,'Pedido ESTHER'!$B:$C,2,0),"")</f>
        <v/>
      </c>
      <c r="L158" s="12" t="str">
        <f>IF(N(K158)&gt;0,"COMPRA","NÃO COMPRA")</f>
        <v>NÃO COMPRA</v>
      </c>
    </row>
    <row r="159" spans="1:12">
      <c r="A159" s="8" t="s">
        <v>397</v>
      </c>
      <c r="B159" s="9" t="s">
        <v>398</v>
      </c>
      <c r="C159" s="9" t="e">
        <f>VLOOKUP(A159,[2]Planilha1!$A:$B,2,0)</f>
        <v>#N/A</v>
      </c>
      <c r="D159" s="10">
        <f>SUMIF([1]Relatório!$A$2:$A$2653,A159,[1]Relatório!$AK$2:$AK$2653)</f>
        <v>917</v>
      </c>
      <c r="E159" s="11">
        <f t="shared" si="4"/>
        <v>0.00156763659551044</v>
      </c>
      <c r="F159" s="11">
        <f>SUM($E$7:E159)</f>
        <v>0.520853669585969</v>
      </c>
      <c r="G159" s="12" t="str">
        <f t="shared" si="5"/>
        <v>A</v>
      </c>
      <c r="H159" s="9" t="s">
        <v>74</v>
      </c>
      <c r="I159" s="9" t="s">
        <v>399</v>
      </c>
      <c r="J159" s="9" t="s">
        <v>44</v>
      </c>
      <c r="K159" s="10" t="str">
        <f>IFERROR(VLOOKUP(A159,'Pedido ESTHER'!$B:$C,2,0),"")</f>
        <v/>
      </c>
      <c r="L159" s="12" t="str">
        <f>IF(N(K159)&gt;0,"COMPRA","NÃO COMPRA")</f>
        <v>NÃO COMPRA</v>
      </c>
    </row>
    <row r="160" spans="1:12">
      <c r="A160" s="8" t="s">
        <v>400</v>
      </c>
      <c r="B160" s="9" t="s">
        <v>133</v>
      </c>
      <c r="C160" s="9" t="e">
        <f>VLOOKUP(A160,[2]Planilha1!$A:$B,2,0)</f>
        <v>#N/A</v>
      </c>
      <c r="D160" s="10">
        <f>SUMIF([1]Relatório!$A$2:$A$2653,A160,[1]Relatório!$AK$2:$AK$2653)</f>
        <v>917</v>
      </c>
      <c r="E160" s="11">
        <f t="shared" si="4"/>
        <v>0.00156763659551044</v>
      </c>
      <c r="F160" s="11">
        <f>SUM($E$7:E160)</f>
        <v>0.52242130618148</v>
      </c>
      <c r="G160" s="12" t="str">
        <f t="shared" si="5"/>
        <v>A</v>
      </c>
      <c r="H160" s="9" t="s">
        <v>82</v>
      </c>
      <c r="I160" s="9"/>
      <c r="J160" s="9" t="s">
        <v>44</v>
      </c>
      <c r="K160" s="10" t="str">
        <f>IFERROR(VLOOKUP(A160,'Pedido ESTHER'!$B:$C,2,0),"")</f>
        <v/>
      </c>
      <c r="L160" s="12" t="str">
        <f>IF(N(K160)&gt;0,"COMPRA","NÃO COMPRA")</f>
        <v>NÃO COMPRA</v>
      </c>
    </row>
    <row r="161" spans="1:12">
      <c r="A161" s="8" t="s">
        <v>401</v>
      </c>
      <c r="B161" s="9" t="s">
        <v>402</v>
      </c>
      <c r="C161" s="9" t="e">
        <f>VLOOKUP(A161,[2]Planilha1!$A:$B,2,0)</f>
        <v>#N/A</v>
      </c>
      <c r="D161" s="10">
        <f>SUMIF([1]Relatório!$A$2:$A$2653,A161,[1]Relatório!$AK$2:$AK$2653)</f>
        <v>916</v>
      </c>
      <c r="E161" s="11">
        <f t="shared" si="4"/>
        <v>0.00156592706814347</v>
      </c>
      <c r="F161" s="11">
        <f>SUM($E$7:E161)</f>
        <v>0.523987233249623</v>
      </c>
      <c r="G161" s="12" t="str">
        <f t="shared" si="5"/>
        <v>A</v>
      </c>
      <c r="H161" s="9" t="s">
        <v>18</v>
      </c>
      <c r="I161" s="9"/>
      <c r="J161" s="9" t="s">
        <v>382</v>
      </c>
      <c r="K161" s="10" t="str">
        <f>IFERROR(VLOOKUP(A161,'Pedido ESTHER'!$B:$C,2,0),"")</f>
        <v/>
      </c>
      <c r="L161" s="12" t="str">
        <f>IF(N(K161)&gt;0,"COMPRA","NÃO COMPRA")</f>
        <v>NÃO COMPRA</v>
      </c>
    </row>
    <row r="162" spans="1:12">
      <c r="A162" s="8" t="s">
        <v>403</v>
      </c>
      <c r="B162" s="9" t="s">
        <v>38</v>
      </c>
      <c r="C162" s="9" t="e">
        <f>VLOOKUP(A162,[2]Planilha1!$A:$B,2,0)</f>
        <v>#N/A</v>
      </c>
      <c r="D162" s="10">
        <f>SUMIF([1]Relatório!$A$2:$A$2653,A162,[1]Relatório!$AK$2:$AK$2653)</f>
        <v>915</v>
      </c>
      <c r="E162" s="11">
        <f t="shared" si="4"/>
        <v>0.0015642175407765</v>
      </c>
      <c r="F162" s="11">
        <f>SUM($E$7:E162)</f>
        <v>0.5255514507904</v>
      </c>
      <c r="G162" s="12" t="str">
        <f t="shared" si="5"/>
        <v>A</v>
      </c>
      <c r="H162" s="9" t="s">
        <v>21</v>
      </c>
      <c r="I162" s="9"/>
      <c r="J162" s="9" t="s">
        <v>40</v>
      </c>
      <c r="K162" s="10" t="str">
        <f>IFERROR(VLOOKUP(A162,'Pedido ESTHER'!$B:$C,2,0),"")</f>
        <v/>
      </c>
      <c r="L162" s="12" t="str">
        <f>IF(N(K162)&gt;0,"COMPRA","NÃO COMPRA")</f>
        <v>NÃO COMPRA</v>
      </c>
    </row>
    <row r="163" spans="1:12">
      <c r="A163" s="8" t="s">
        <v>404</v>
      </c>
      <c r="B163" s="9" t="s">
        <v>162</v>
      </c>
      <c r="C163" s="9" t="e">
        <f>VLOOKUP(A163,[2]Planilha1!$A:$B,2,0)</f>
        <v>#N/A</v>
      </c>
      <c r="D163" s="10">
        <f>SUMIF([1]Relatório!$A$2:$A$2653,A163,[1]Relatório!$AK$2:$AK$2653)</f>
        <v>915</v>
      </c>
      <c r="E163" s="11">
        <f t="shared" si="4"/>
        <v>0.0015642175407765</v>
      </c>
      <c r="F163" s="11">
        <f>SUM($E$7:E163)</f>
        <v>0.527115668331176</v>
      </c>
      <c r="G163" s="12" t="str">
        <f t="shared" si="5"/>
        <v>A</v>
      </c>
      <c r="H163" s="9" t="s">
        <v>21</v>
      </c>
      <c r="I163" s="9" t="s">
        <v>405</v>
      </c>
      <c r="J163" s="9" t="s">
        <v>164</v>
      </c>
      <c r="K163" s="10" t="str">
        <f>IFERROR(VLOOKUP(A163,'Pedido ESTHER'!$B:$C,2,0),"")</f>
        <v/>
      </c>
      <c r="L163" s="12" t="str">
        <f>IF(N(K163)&gt;0,"COMPRA","NÃO COMPRA")</f>
        <v>NÃO COMPRA</v>
      </c>
    </row>
    <row r="164" spans="1:12">
      <c r="A164" s="8" t="s">
        <v>406</v>
      </c>
      <c r="B164" s="9" t="s">
        <v>42</v>
      </c>
      <c r="C164" s="9" t="e">
        <f>VLOOKUP(A164,[2]Planilha1!$A:$B,2,0)</f>
        <v>#N/A</v>
      </c>
      <c r="D164" s="10">
        <f>SUMIF([1]Relatório!$A$2:$A$2653,A164,[1]Relatório!$AK$2:$AK$2653)</f>
        <v>914</v>
      </c>
      <c r="E164" s="11">
        <f t="shared" si="4"/>
        <v>0.00156250801340953</v>
      </c>
      <c r="F164" s="11">
        <f>SUM($E$7:E164)</f>
        <v>0.528678176344586</v>
      </c>
      <c r="G164" s="12" t="str">
        <f t="shared" si="5"/>
        <v>A</v>
      </c>
      <c r="H164" s="9" t="s">
        <v>21</v>
      </c>
      <c r="I164" s="9"/>
      <c r="J164" s="9" t="s">
        <v>44</v>
      </c>
      <c r="K164" s="10" t="str">
        <f>IFERROR(VLOOKUP(A164,'Pedido ESTHER'!$B:$C,2,0),"")</f>
        <v/>
      </c>
      <c r="L164" s="12" t="str">
        <f>IF(N(K164)&gt;0,"COMPRA","NÃO COMPRA")</f>
        <v>NÃO COMPRA</v>
      </c>
    </row>
    <row r="165" spans="1:12">
      <c r="A165" s="8" t="s">
        <v>407</v>
      </c>
      <c r="B165" s="9" t="s">
        <v>408</v>
      </c>
      <c r="C165" s="9" t="e">
        <f>VLOOKUP(A165,[2]Planilha1!$A:$B,2,0)</f>
        <v>#N/A</v>
      </c>
      <c r="D165" s="10">
        <f>SUMIF([1]Relatório!$A$2:$A$2653,A165,[1]Relatório!$AK$2:$AK$2653)</f>
        <v>914</v>
      </c>
      <c r="E165" s="11">
        <f t="shared" si="4"/>
        <v>0.00156250801340953</v>
      </c>
      <c r="F165" s="11">
        <f>SUM($E$7:E165)</f>
        <v>0.530240684357995</v>
      </c>
      <c r="G165" s="12" t="str">
        <f t="shared" si="5"/>
        <v>A</v>
      </c>
      <c r="H165" s="9" t="s">
        <v>21</v>
      </c>
      <c r="I165" s="9"/>
      <c r="J165" s="9" t="s">
        <v>101</v>
      </c>
      <c r="K165" s="10" t="str">
        <f>IFERROR(VLOOKUP(A165,'Pedido ESTHER'!$B:$C,2,0),"")</f>
        <v/>
      </c>
      <c r="L165" s="12" t="str">
        <f>IF(N(K165)&gt;0,"COMPRA","NÃO COMPRA")</f>
        <v>NÃO COMPRA</v>
      </c>
    </row>
    <row r="166" spans="1:12">
      <c r="A166" s="8" t="s">
        <v>409</v>
      </c>
      <c r="B166" s="9" t="s">
        <v>20</v>
      </c>
      <c r="C166" s="9" t="e">
        <f>VLOOKUP(A166,[2]Planilha1!$A:$B,2,0)</f>
        <v>#N/A</v>
      </c>
      <c r="D166" s="10">
        <f>SUMIF([1]Relatório!$A$2:$A$2653,A166,[1]Relatório!$AK$2:$AK$2653)</f>
        <v>913</v>
      </c>
      <c r="E166" s="11">
        <f t="shared" si="4"/>
        <v>0.00156079848604256</v>
      </c>
      <c r="F166" s="11">
        <f>SUM($E$7:E166)</f>
        <v>0.531801482844038</v>
      </c>
      <c r="G166" s="12" t="str">
        <f t="shared" si="5"/>
        <v>A</v>
      </c>
      <c r="H166" s="9" t="s">
        <v>21</v>
      </c>
      <c r="I166" s="9"/>
      <c r="J166" s="9" t="s">
        <v>23</v>
      </c>
      <c r="K166" s="10" t="str">
        <f>IFERROR(VLOOKUP(A166,'Pedido ESTHER'!$B:$C,2,0),"")</f>
        <v/>
      </c>
      <c r="L166" s="12" t="str">
        <f>IF(N(K166)&gt;0,"COMPRA","NÃO COMPRA")</f>
        <v>NÃO COMPRA</v>
      </c>
    </row>
    <row r="167" spans="1:12">
      <c r="A167" s="8" t="s">
        <v>410</v>
      </c>
      <c r="B167" s="9" t="s">
        <v>27</v>
      </c>
      <c r="C167" s="9" t="e">
        <f>VLOOKUP(A167,[2]Planilha1!$A:$B,2,0)</f>
        <v>#N/A</v>
      </c>
      <c r="D167" s="10">
        <f>SUMIF([1]Relatório!$A$2:$A$2653,A167,[1]Relatório!$AK$2:$AK$2653)</f>
        <v>891</v>
      </c>
      <c r="E167" s="11">
        <f t="shared" si="4"/>
        <v>0.00152318888396925</v>
      </c>
      <c r="F167" s="11">
        <f>SUM($E$7:E167)</f>
        <v>0.533324671728007</v>
      </c>
      <c r="G167" s="12" t="str">
        <f t="shared" si="5"/>
        <v>A</v>
      </c>
      <c r="H167" s="9" t="s">
        <v>21</v>
      </c>
      <c r="I167" s="9" t="s">
        <v>411</v>
      </c>
      <c r="J167" s="9" t="s">
        <v>29</v>
      </c>
      <c r="K167" s="10" t="str">
        <f>IFERROR(VLOOKUP(A167,'Pedido ESTHER'!$B:$C,2,0),"")</f>
        <v/>
      </c>
      <c r="L167" s="12" t="str">
        <f>IF(N(K167)&gt;0,"COMPRA","NÃO COMPRA")</f>
        <v>NÃO COMPRA</v>
      </c>
    </row>
    <row r="168" spans="1:12">
      <c r="A168" s="8" t="s">
        <v>412</v>
      </c>
      <c r="B168" s="9" t="s">
        <v>413</v>
      </c>
      <c r="C168" s="9" t="e">
        <f>VLOOKUP(A168,[2]Planilha1!$A:$B,2,0)</f>
        <v>#N/A</v>
      </c>
      <c r="D168" s="10">
        <f>SUMIF([1]Relatório!$A$2:$A$2653,A168,[1]Relatório!$AK$2:$AK$2653)</f>
        <v>889</v>
      </c>
      <c r="E168" s="11">
        <f t="shared" si="4"/>
        <v>0.00151976982923531</v>
      </c>
      <c r="F168" s="11">
        <f>SUM($E$7:E168)</f>
        <v>0.534844441557243</v>
      </c>
      <c r="G168" s="12" t="str">
        <f t="shared" si="5"/>
        <v>A</v>
      </c>
      <c r="H168" s="9" t="s">
        <v>74</v>
      </c>
      <c r="I168" s="9" t="s">
        <v>414</v>
      </c>
      <c r="J168" s="9" t="s">
        <v>415</v>
      </c>
      <c r="K168" s="10" t="str">
        <f>IFERROR(VLOOKUP(A168,'Pedido ESTHER'!$B:$C,2,0),"")</f>
        <v/>
      </c>
      <c r="L168" s="12" t="str">
        <f>IF(N(K168)&gt;0,"COMPRA","NÃO COMPRA")</f>
        <v>NÃO COMPRA</v>
      </c>
    </row>
    <row r="169" spans="1:12">
      <c r="A169" s="8" t="s">
        <v>416</v>
      </c>
      <c r="B169" s="9" t="s">
        <v>162</v>
      </c>
      <c r="C169" s="9" t="e">
        <f>VLOOKUP(A169,[2]Planilha1!$A:$B,2,0)</f>
        <v>#N/A</v>
      </c>
      <c r="D169" s="10">
        <f>SUMIF([1]Relatório!$A$2:$A$2653,A169,[1]Relatório!$AK$2:$AK$2653)</f>
        <v>889</v>
      </c>
      <c r="E169" s="11">
        <f t="shared" si="4"/>
        <v>0.00151976982923531</v>
      </c>
      <c r="F169" s="11">
        <f>SUM($E$7:E169)</f>
        <v>0.536364211386478</v>
      </c>
      <c r="G169" s="12" t="str">
        <f t="shared" si="5"/>
        <v>A</v>
      </c>
      <c r="H169" s="9" t="s">
        <v>21</v>
      </c>
      <c r="I169" s="9"/>
      <c r="J169" s="9" t="s">
        <v>164</v>
      </c>
      <c r="K169" s="10" t="str">
        <f>IFERROR(VLOOKUP(A169,'Pedido ESTHER'!$B:$C,2,0),"")</f>
        <v/>
      </c>
      <c r="L169" s="12" t="str">
        <f>IF(N(K169)&gt;0,"COMPRA","NÃO COMPRA")</f>
        <v>NÃO COMPRA</v>
      </c>
    </row>
    <row r="170" spans="1:12">
      <c r="A170" s="8" t="s">
        <v>417</v>
      </c>
      <c r="B170" s="9" t="s">
        <v>418</v>
      </c>
      <c r="C170" s="9" t="e">
        <f>VLOOKUP(A170,[2]Planilha1!$A:$B,2,0)</f>
        <v>#N/A</v>
      </c>
      <c r="D170" s="10">
        <f>SUMIF([1]Relatório!$A$2:$A$2653,A170,[1]Relatório!$AK$2:$AK$2653)</f>
        <v>880</v>
      </c>
      <c r="E170" s="11">
        <f t="shared" si="4"/>
        <v>0.00150438408293259</v>
      </c>
      <c r="F170" s="11">
        <f>SUM($E$7:E170)</f>
        <v>0.53786859546941</v>
      </c>
      <c r="G170" s="12" t="str">
        <f t="shared" si="5"/>
        <v>A</v>
      </c>
      <c r="H170" s="9" t="s">
        <v>117</v>
      </c>
      <c r="I170" s="9" t="s">
        <v>419</v>
      </c>
      <c r="J170" s="9" t="s">
        <v>23</v>
      </c>
      <c r="K170" s="10" t="str">
        <f>IFERROR(VLOOKUP(A170,'Pedido ESTHER'!$B:$C,2,0),"")</f>
        <v/>
      </c>
      <c r="L170" s="12" t="str">
        <f>IF(N(K170)&gt;0,"COMPRA","NÃO COMPRA")</f>
        <v>NÃO COMPRA</v>
      </c>
    </row>
    <row r="171" spans="1:12">
      <c r="A171" s="8" t="s">
        <v>420</v>
      </c>
      <c r="B171" s="9" t="s">
        <v>421</v>
      </c>
      <c r="C171" s="9" t="e">
        <f>VLOOKUP(A171,[2]Planilha1!$A:$B,2,0)</f>
        <v>#N/A</v>
      </c>
      <c r="D171" s="10">
        <f>SUMIF([1]Relatório!$A$2:$A$2653,A171,[1]Relatório!$AK$2:$AK$2653)</f>
        <v>874</v>
      </c>
      <c r="E171" s="11">
        <f t="shared" si="4"/>
        <v>0.00149412691873078</v>
      </c>
      <c r="F171" s="11">
        <f>SUM($E$7:E171)</f>
        <v>0.539362722388141</v>
      </c>
      <c r="G171" s="12" t="str">
        <f t="shared" si="5"/>
        <v>A</v>
      </c>
      <c r="H171" s="9" t="s">
        <v>221</v>
      </c>
      <c r="I171" s="9" t="s">
        <v>422</v>
      </c>
      <c r="J171" s="9" t="s">
        <v>44</v>
      </c>
      <c r="K171" s="10" t="str">
        <f>IFERROR(VLOOKUP(A171,'Pedido ESTHER'!$B:$C,2,0),"")</f>
        <v/>
      </c>
      <c r="L171" s="12" t="str">
        <f>IF(N(K171)&gt;0,"COMPRA","NÃO COMPRA")</f>
        <v>NÃO COMPRA</v>
      </c>
    </row>
    <row r="172" spans="1:12">
      <c r="A172" s="8" t="s">
        <v>423</v>
      </c>
      <c r="B172" s="9" t="s">
        <v>103</v>
      </c>
      <c r="C172" s="9" t="e">
        <f>VLOOKUP(A172,[2]Planilha1!$A:$B,2,0)</f>
        <v>#N/A</v>
      </c>
      <c r="D172" s="10">
        <f>SUMIF([1]Relatório!$A$2:$A$2653,A172,[1]Relatório!$AK$2:$AK$2653)</f>
        <v>872</v>
      </c>
      <c r="E172" s="11">
        <f t="shared" si="4"/>
        <v>0.00149070786399684</v>
      </c>
      <c r="F172" s="11">
        <f>SUM($E$7:E172)</f>
        <v>0.540853430252138</v>
      </c>
      <c r="G172" s="12" t="str">
        <f t="shared" si="5"/>
        <v>A</v>
      </c>
      <c r="H172" s="9" t="s">
        <v>18</v>
      </c>
      <c r="I172" s="9" t="s">
        <v>424</v>
      </c>
      <c r="J172" s="9" t="s">
        <v>44</v>
      </c>
      <c r="K172" s="10" t="str">
        <f>IFERROR(VLOOKUP(A172,'Pedido ESTHER'!$B:$C,2,0),"")</f>
        <v/>
      </c>
      <c r="L172" s="12" t="str">
        <f>IF(N(K172)&gt;0,"COMPRA","NÃO COMPRA")</f>
        <v>NÃO COMPRA</v>
      </c>
    </row>
    <row r="173" spans="1:12">
      <c r="A173" s="8" t="s">
        <v>425</v>
      </c>
      <c r="B173" s="9" t="s">
        <v>426</v>
      </c>
      <c r="C173" s="9" t="e">
        <f>VLOOKUP(A173,[2]Planilha1!$A:$B,2,0)</f>
        <v>#N/A</v>
      </c>
      <c r="D173" s="10">
        <f>SUMIF([1]Relatório!$A$2:$A$2653,A173,[1]Relatório!$AK$2:$AK$2653)</f>
        <v>868</v>
      </c>
      <c r="E173" s="11">
        <f t="shared" si="4"/>
        <v>0.00148386975452897</v>
      </c>
      <c r="F173" s="11">
        <f>SUM($E$7:E173)</f>
        <v>0.542337300006667</v>
      </c>
      <c r="G173" s="12" t="str">
        <f t="shared" si="5"/>
        <v>A</v>
      </c>
      <c r="H173" s="9" t="s">
        <v>117</v>
      </c>
      <c r="I173" s="9" t="s">
        <v>427</v>
      </c>
      <c r="J173" s="9" t="s">
        <v>268</v>
      </c>
      <c r="K173" s="10" t="str">
        <f>IFERROR(VLOOKUP(A173,'Pedido ESTHER'!$B:$C,2,0),"")</f>
        <v/>
      </c>
      <c r="L173" s="12" t="str">
        <f>IF(N(K173)&gt;0,"COMPRA","NÃO COMPRA")</f>
        <v>NÃO COMPRA</v>
      </c>
    </row>
    <row r="174" spans="1:12">
      <c r="A174" s="8" t="s">
        <v>428</v>
      </c>
      <c r="B174" s="9" t="s">
        <v>226</v>
      </c>
      <c r="C174" s="9" t="e">
        <f>VLOOKUP(A174,[2]Planilha1!$A:$B,2,0)</f>
        <v>#N/A</v>
      </c>
      <c r="D174" s="10">
        <f>SUMIF([1]Relatório!$A$2:$A$2653,A174,[1]Relatório!$AK$2:$AK$2653)</f>
        <v>867</v>
      </c>
      <c r="E174" s="11">
        <f t="shared" si="4"/>
        <v>0.001482160227162</v>
      </c>
      <c r="F174" s="11">
        <f>SUM($E$7:E174)</f>
        <v>0.543819460233829</v>
      </c>
      <c r="G174" s="12" t="str">
        <f t="shared" si="5"/>
        <v>A</v>
      </c>
      <c r="H174" s="9" t="s">
        <v>143</v>
      </c>
      <c r="I174" s="9" t="s">
        <v>429</v>
      </c>
      <c r="J174" s="9" t="s">
        <v>44</v>
      </c>
      <c r="K174" s="10" t="str">
        <f>IFERROR(VLOOKUP(A174,'Pedido ESTHER'!$B:$C,2,0),"")</f>
        <v/>
      </c>
      <c r="L174" s="12" t="str">
        <f>IF(N(K174)&gt;0,"COMPRA","NÃO COMPRA")</f>
        <v>NÃO COMPRA</v>
      </c>
    </row>
    <row r="175" spans="1:12">
      <c r="A175" s="8" t="s">
        <v>430</v>
      </c>
      <c r="B175" s="9" t="s">
        <v>431</v>
      </c>
      <c r="C175" s="9" t="e">
        <f>VLOOKUP(A175,[2]Planilha1!$A:$B,2,0)</f>
        <v>#N/A</v>
      </c>
      <c r="D175" s="10">
        <f>SUMIF([1]Relatório!$A$2:$A$2653,A175,[1]Relatório!$AK$2:$AK$2653)</f>
        <v>867</v>
      </c>
      <c r="E175" s="11">
        <f t="shared" si="4"/>
        <v>0.001482160227162</v>
      </c>
      <c r="F175" s="11">
        <f>SUM($E$7:E175)</f>
        <v>0.545301620460991</v>
      </c>
      <c r="G175" s="12" t="str">
        <f t="shared" si="5"/>
        <v>A</v>
      </c>
      <c r="H175" s="9" t="s">
        <v>221</v>
      </c>
      <c r="I175" s="9" t="s">
        <v>432</v>
      </c>
      <c r="J175" s="9" t="s">
        <v>40</v>
      </c>
      <c r="K175" s="10" t="str">
        <f>IFERROR(VLOOKUP(A175,'Pedido ESTHER'!$B:$C,2,0),"")</f>
        <v/>
      </c>
      <c r="L175" s="12" t="str">
        <f>IF(N(K175)&gt;0,"COMPRA","NÃO COMPRA")</f>
        <v>NÃO COMPRA</v>
      </c>
    </row>
    <row r="176" spans="1:12">
      <c r="A176" s="8" t="s">
        <v>433</v>
      </c>
      <c r="B176" s="9" t="s">
        <v>226</v>
      </c>
      <c r="C176" s="9" t="e">
        <f>VLOOKUP(A176,[2]Planilha1!$A:$B,2,0)</f>
        <v>#N/A</v>
      </c>
      <c r="D176" s="10">
        <f>SUMIF([1]Relatório!$A$2:$A$2653,A176,[1]Relatório!$AK$2:$AK$2653)</f>
        <v>859</v>
      </c>
      <c r="E176" s="11">
        <f t="shared" si="4"/>
        <v>0.00146848400822625</v>
      </c>
      <c r="F176" s="11">
        <f>SUM($E$7:E176)</f>
        <v>0.546770104469217</v>
      </c>
      <c r="G176" s="12" t="str">
        <f t="shared" si="5"/>
        <v>A</v>
      </c>
      <c r="H176" s="9" t="s">
        <v>143</v>
      </c>
      <c r="I176" s="9" t="s">
        <v>434</v>
      </c>
      <c r="J176" s="9" t="s">
        <v>44</v>
      </c>
      <c r="K176" s="10" t="str">
        <f>IFERROR(VLOOKUP(A176,'Pedido ESTHER'!$B:$C,2,0),"")</f>
        <v/>
      </c>
      <c r="L176" s="12" t="str">
        <f>IF(N(K176)&gt;0,"COMPRA","NÃO COMPRA")</f>
        <v>NÃO COMPRA</v>
      </c>
    </row>
    <row r="177" spans="1:12">
      <c r="A177" s="8" t="s">
        <v>435</v>
      </c>
      <c r="B177" s="9" t="s">
        <v>436</v>
      </c>
      <c r="C177" s="9" t="e">
        <f>VLOOKUP(A177,[2]Planilha1!$A:$B,2,0)</f>
        <v>#N/A</v>
      </c>
      <c r="D177" s="10">
        <f>SUMIF([1]Relatório!$A$2:$A$2653,A177,[1]Relatório!$AK$2:$AK$2653)</f>
        <v>854</v>
      </c>
      <c r="E177" s="11">
        <f t="shared" si="4"/>
        <v>0.0014599363713914</v>
      </c>
      <c r="F177" s="11">
        <f>SUM($E$7:E177)</f>
        <v>0.548230040840609</v>
      </c>
      <c r="G177" s="12" t="str">
        <f t="shared" si="5"/>
        <v>A</v>
      </c>
      <c r="H177" s="9" t="s">
        <v>437</v>
      </c>
      <c r="I177" s="9"/>
      <c r="J177" s="9" t="s">
        <v>241</v>
      </c>
      <c r="K177" s="10" t="str">
        <f>IFERROR(VLOOKUP(A177,'Pedido ESTHER'!$B:$C,2,0),"")</f>
        <v/>
      </c>
      <c r="L177" s="12" t="str">
        <f>IF(N(K177)&gt;0,"COMPRA","NÃO COMPRA")</f>
        <v>NÃO COMPRA</v>
      </c>
    </row>
    <row r="178" spans="1:12">
      <c r="A178" s="8" t="s">
        <v>438</v>
      </c>
      <c r="B178" s="9" t="s">
        <v>208</v>
      </c>
      <c r="C178" s="9" t="e">
        <f>VLOOKUP(A178,[2]Planilha1!$A:$B,2,0)</f>
        <v>#N/A</v>
      </c>
      <c r="D178" s="10">
        <f>SUMIF([1]Relatório!$A$2:$A$2653,A178,[1]Relatório!$AK$2:$AK$2653)</f>
        <v>850</v>
      </c>
      <c r="E178" s="11">
        <f t="shared" si="4"/>
        <v>0.00145309826192353</v>
      </c>
      <c r="F178" s="11">
        <f>SUM($E$7:E178)</f>
        <v>0.549683139102532</v>
      </c>
      <c r="G178" s="12" t="str">
        <f t="shared" si="5"/>
        <v>A</v>
      </c>
      <c r="H178" s="9" t="s">
        <v>74</v>
      </c>
      <c r="I178" s="9" t="s">
        <v>439</v>
      </c>
      <c r="J178" s="9" t="s">
        <v>29</v>
      </c>
      <c r="K178" s="10" t="str">
        <f>IFERROR(VLOOKUP(A178,'Pedido ESTHER'!$B:$C,2,0),"")</f>
        <v/>
      </c>
      <c r="L178" s="12" t="str">
        <f>IF(N(K178)&gt;0,"COMPRA","NÃO COMPRA")</f>
        <v>NÃO COMPRA</v>
      </c>
    </row>
    <row r="179" spans="1:12">
      <c r="A179" s="8" t="s">
        <v>440</v>
      </c>
      <c r="B179" s="9" t="s">
        <v>441</v>
      </c>
      <c r="C179" s="9" t="e">
        <f>VLOOKUP(A179,[2]Planilha1!$A:$B,2,0)</f>
        <v>#N/A</v>
      </c>
      <c r="D179" s="10">
        <f>SUMIF([1]Relatório!$A$2:$A$2653,A179,[1]Relatório!$AK$2:$AK$2653)</f>
        <v>849</v>
      </c>
      <c r="E179" s="11">
        <f t="shared" si="4"/>
        <v>0.00145138873455656</v>
      </c>
      <c r="F179" s="11">
        <f>SUM($E$7:E179)</f>
        <v>0.551134527837089</v>
      </c>
      <c r="G179" s="12" t="str">
        <f t="shared" si="5"/>
        <v>A</v>
      </c>
      <c r="H179" s="9" t="s">
        <v>143</v>
      </c>
      <c r="I179" s="9"/>
      <c r="J179" s="9" t="s">
        <v>33</v>
      </c>
      <c r="K179" s="10" t="str">
        <f>IFERROR(VLOOKUP(A179,'Pedido ESTHER'!$B:$C,2,0),"")</f>
        <v/>
      </c>
      <c r="L179" s="12" t="str">
        <f>IF(N(K179)&gt;0,"COMPRA","NÃO COMPRA")</f>
        <v>NÃO COMPRA</v>
      </c>
    </row>
    <row r="180" spans="1:12">
      <c r="A180" s="8" t="s">
        <v>442</v>
      </c>
      <c r="B180" s="9" t="s">
        <v>51</v>
      </c>
      <c r="C180" s="9" t="e">
        <f>VLOOKUP(A180,[2]Planilha1!$A:$B,2,0)</f>
        <v>#N/A</v>
      </c>
      <c r="D180" s="10">
        <f>SUMIF([1]Relatório!$A$2:$A$2653,A180,[1]Relatório!$AK$2:$AK$2653)</f>
        <v>842</v>
      </c>
      <c r="E180" s="11">
        <f t="shared" si="4"/>
        <v>0.00143942204298778</v>
      </c>
      <c r="F180" s="11">
        <f>SUM($E$7:E180)</f>
        <v>0.552573949880076</v>
      </c>
      <c r="G180" s="12" t="str">
        <f t="shared" si="5"/>
        <v>A</v>
      </c>
      <c r="H180" s="9" t="s">
        <v>21</v>
      </c>
      <c r="I180" s="9" t="s">
        <v>443</v>
      </c>
      <c r="J180" s="9" t="s">
        <v>33</v>
      </c>
      <c r="K180" s="10" t="str">
        <f>IFERROR(VLOOKUP(A180,'Pedido ESTHER'!$B:$C,2,0),"")</f>
        <v/>
      </c>
      <c r="L180" s="12" t="str">
        <f>IF(N(K180)&gt;0,"COMPRA","NÃO COMPRA")</f>
        <v>NÃO COMPRA</v>
      </c>
    </row>
    <row r="181" spans="1:12">
      <c r="A181" s="8" t="s">
        <v>444</v>
      </c>
      <c r="B181" s="9" t="s">
        <v>17</v>
      </c>
      <c r="C181" s="9" t="e">
        <f>VLOOKUP(A181,[2]Planilha1!$A:$B,2,0)</f>
        <v>#N/A</v>
      </c>
      <c r="D181" s="10">
        <f>SUMIF([1]Relatório!$A$2:$A$2653,A181,[1]Relatório!$AK$2:$AK$2653)</f>
        <v>842</v>
      </c>
      <c r="E181" s="11">
        <f t="shared" si="4"/>
        <v>0.00143942204298778</v>
      </c>
      <c r="F181" s="11">
        <f>SUM($E$7:E181)</f>
        <v>0.554013371923064</v>
      </c>
      <c r="G181" s="12" t="str">
        <f t="shared" si="5"/>
        <v>A</v>
      </c>
      <c r="H181" s="9" t="s">
        <v>18</v>
      </c>
      <c r="I181" s="9"/>
      <c r="J181" s="9" t="s">
        <v>158</v>
      </c>
      <c r="K181" s="10" t="str">
        <f>IFERROR(VLOOKUP(A181,'Pedido ESTHER'!$B:$C,2,0),"")</f>
        <v/>
      </c>
      <c r="L181" s="12" t="str">
        <f>IF(N(K181)&gt;0,"COMPRA","NÃO COMPRA")</f>
        <v>NÃO COMPRA</v>
      </c>
    </row>
    <row r="182" spans="1:12">
      <c r="A182" s="8" t="s">
        <v>445</v>
      </c>
      <c r="B182" s="9" t="s">
        <v>446</v>
      </c>
      <c r="C182" s="9" t="e">
        <f>VLOOKUP(A182,[2]Planilha1!$A:$B,2,0)</f>
        <v>#N/A</v>
      </c>
      <c r="D182" s="10">
        <f>SUMIF([1]Relatório!$A$2:$A$2653,A182,[1]Relatório!$AK$2:$AK$2653)</f>
        <v>840</v>
      </c>
      <c r="E182" s="11">
        <f t="shared" si="4"/>
        <v>0.00143600298825384</v>
      </c>
      <c r="F182" s="11">
        <f>SUM($E$7:E182)</f>
        <v>0.555449374911318</v>
      </c>
      <c r="G182" s="12" t="str">
        <f t="shared" si="5"/>
        <v>A</v>
      </c>
      <c r="H182" s="9" t="s">
        <v>18</v>
      </c>
      <c r="I182" s="9"/>
      <c r="J182" s="9" t="s">
        <v>158</v>
      </c>
      <c r="K182" s="10" t="str">
        <f>IFERROR(VLOOKUP(A182,'Pedido ESTHER'!$B:$C,2,0),"")</f>
        <v/>
      </c>
      <c r="L182" s="12" t="str">
        <f>IF(N(K182)&gt;0,"COMPRA","NÃO COMPRA")</f>
        <v>NÃO COMPRA</v>
      </c>
    </row>
    <row r="183" spans="1:12">
      <c r="A183" s="8" t="s">
        <v>447</v>
      </c>
      <c r="B183" s="9" t="s">
        <v>349</v>
      </c>
      <c r="C183" s="9" t="e">
        <f>VLOOKUP(A183,[2]Planilha1!$A:$B,2,0)</f>
        <v>#N/A</v>
      </c>
      <c r="D183" s="10">
        <f>SUMIF([1]Relatório!$A$2:$A$2653,A183,[1]Relatório!$AK$2:$AK$2653)</f>
        <v>839</v>
      </c>
      <c r="E183" s="11">
        <f t="shared" si="4"/>
        <v>0.00143429346088687</v>
      </c>
      <c r="F183" s="11">
        <f>SUM($E$7:E183)</f>
        <v>0.556883668372205</v>
      </c>
      <c r="G183" s="12" t="str">
        <f t="shared" si="5"/>
        <v>A</v>
      </c>
      <c r="H183" s="9" t="s">
        <v>18</v>
      </c>
      <c r="I183" s="9" t="s">
        <v>448</v>
      </c>
      <c r="J183" s="9" t="s">
        <v>164</v>
      </c>
      <c r="K183" s="10" t="str">
        <f>IFERROR(VLOOKUP(A183,'Pedido ESTHER'!$B:$C,2,0),"")</f>
        <v/>
      </c>
      <c r="L183" s="12" t="str">
        <f>IF(N(K183)&gt;0,"COMPRA","NÃO COMPRA")</f>
        <v>NÃO COMPRA</v>
      </c>
    </row>
    <row r="184" spans="1:12">
      <c r="A184" s="8" t="s">
        <v>449</v>
      </c>
      <c r="B184" s="9" t="s">
        <v>259</v>
      </c>
      <c r="C184" s="9" t="e">
        <f>VLOOKUP(A184,[2]Planilha1!$A:$B,2,0)</f>
        <v>#N/A</v>
      </c>
      <c r="D184" s="10">
        <f>SUMIF([1]Relatório!$A$2:$A$2653,A184,[1]Relatório!$AK$2:$AK$2653)</f>
        <v>838</v>
      </c>
      <c r="E184" s="11">
        <f t="shared" si="4"/>
        <v>0.0014325839335199</v>
      </c>
      <c r="F184" s="11">
        <f>SUM($E$7:E184)</f>
        <v>0.558316252305725</v>
      </c>
      <c r="G184" s="12" t="str">
        <f t="shared" si="5"/>
        <v>A</v>
      </c>
      <c r="H184" s="9" t="s">
        <v>18</v>
      </c>
      <c r="I184" s="9" t="s">
        <v>450</v>
      </c>
      <c r="J184" s="9" t="s">
        <v>201</v>
      </c>
      <c r="K184" s="10" t="str">
        <f>IFERROR(VLOOKUP(A184,'Pedido ESTHER'!$B:$C,2,0),"")</f>
        <v/>
      </c>
      <c r="L184" s="12" t="str">
        <f>IF(N(K184)&gt;0,"COMPRA","NÃO COMPRA")</f>
        <v>NÃO COMPRA</v>
      </c>
    </row>
    <row r="185" spans="1:12">
      <c r="A185" s="8" t="s">
        <v>451</v>
      </c>
      <c r="B185" s="9" t="s">
        <v>78</v>
      </c>
      <c r="C185" s="9" t="e">
        <f>VLOOKUP(A185,[2]Planilha1!$A:$B,2,0)</f>
        <v>#N/A</v>
      </c>
      <c r="D185" s="10">
        <f>SUMIF([1]Relatório!$A$2:$A$2653,A185,[1]Relatório!$AK$2:$AK$2653)</f>
        <v>835</v>
      </c>
      <c r="E185" s="11">
        <f t="shared" si="4"/>
        <v>0.00142745535141899</v>
      </c>
      <c r="F185" s="11">
        <f>SUM($E$7:E185)</f>
        <v>0.559743707657144</v>
      </c>
      <c r="G185" s="12" t="str">
        <f t="shared" si="5"/>
        <v>A</v>
      </c>
      <c r="H185" s="9" t="s">
        <v>74</v>
      </c>
      <c r="I185" s="9" t="s">
        <v>452</v>
      </c>
      <c r="J185" s="9" t="s">
        <v>44</v>
      </c>
      <c r="K185" s="10" t="str">
        <f>IFERROR(VLOOKUP(A185,'Pedido ESTHER'!$B:$C,2,0),"")</f>
        <v/>
      </c>
      <c r="L185" s="12" t="str">
        <f>IF(N(K185)&gt;0,"COMPRA","NÃO COMPRA")</f>
        <v>NÃO COMPRA</v>
      </c>
    </row>
    <row r="186" spans="1:12">
      <c r="A186" s="8" t="s">
        <v>453</v>
      </c>
      <c r="B186" s="9" t="s">
        <v>365</v>
      </c>
      <c r="C186" s="9" t="e">
        <f>VLOOKUP(A186,[2]Planilha1!$A:$B,2,0)</f>
        <v>#N/A</v>
      </c>
      <c r="D186" s="10">
        <f>SUMIF([1]Relatório!$A$2:$A$2653,A186,[1]Relatório!$AK$2:$AK$2653)</f>
        <v>833</v>
      </c>
      <c r="E186" s="11">
        <f t="shared" si="4"/>
        <v>0.00142403629668506</v>
      </c>
      <c r="F186" s="11">
        <f>SUM($E$7:E186)</f>
        <v>0.561167743953829</v>
      </c>
      <c r="G186" s="12" t="str">
        <f t="shared" si="5"/>
        <v>A</v>
      </c>
      <c r="H186" s="9" t="s">
        <v>18</v>
      </c>
      <c r="I186" s="9" t="s">
        <v>454</v>
      </c>
      <c r="J186" s="9" t="s">
        <v>23</v>
      </c>
      <c r="K186" s="10">
        <f>IFERROR(VLOOKUP(A186,'Pedido ESTHER'!$B:$C,2,0),"")</f>
        <v>10</v>
      </c>
      <c r="L186" s="12" t="str">
        <f>IF(N(K186)&gt;0,"COMPRA","NÃO COMPRA")</f>
        <v>COMPRA</v>
      </c>
    </row>
    <row r="187" spans="1:12">
      <c r="A187" s="8" t="s">
        <v>455</v>
      </c>
      <c r="B187" s="9" t="s">
        <v>300</v>
      </c>
      <c r="C187" s="9" t="e">
        <f>VLOOKUP(A187,[2]Planilha1!$A:$B,2,0)</f>
        <v>#N/A</v>
      </c>
      <c r="D187" s="10">
        <f>SUMIF([1]Relatório!$A$2:$A$2653,A187,[1]Relatório!$AK$2:$AK$2653)</f>
        <v>833</v>
      </c>
      <c r="E187" s="11">
        <f t="shared" si="4"/>
        <v>0.00142403629668506</v>
      </c>
      <c r="F187" s="11">
        <f>SUM($E$7:E187)</f>
        <v>0.562591780250514</v>
      </c>
      <c r="G187" s="12" t="str">
        <f t="shared" si="5"/>
        <v>A</v>
      </c>
      <c r="H187" s="9" t="s">
        <v>117</v>
      </c>
      <c r="I187" s="9" t="s">
        <v>456</v>
      </c>
      <c r="J187" s="9" t="s">
        <v>29</v>
      </c>
      <c r="K187" s="10" t="str">
        <f>IFERROR(VLOOKUP(A187,'Pedido ESTHER'!$B:$C,2,0),"")</f>
        <v/>
      </c>
      <c r="L187" s="12" t="str">
        <f>IF(N(K187)&gt;0,"COMPRA","NÃO COMPRA")</f>
        <v>NÃO COMPRA</v>
      </c>
    </row>
    <row r="188" spans="1:12">
      <c r="A188" s="8" t="s">
        <v>457</v>
      </c>
      <c r="B188" s="9" t="s">
        <v>116</v>
      </c>
      <c r="C188" s="9" t="e">
        <f>VLOOKUP(A188,[2]Planilha1!$A:$B,2,0)</f>
        <v>#N/A</v>
      </c>
      <c r="D188" s="10">
        <f>SUMIF([1]Relatório!$A$2:$A$2653,A188,[1]Relatório!$AK$2:$AK$2653)</f>
        <v>830</v>
      </c>
      <c r="E188" s="11">
        <f t="shared" si="4"/>
        <v>0.00141890771458415</v>
      </c>
      <c r="F188" s="11">
        <f>SUM($E$7:E188)</f>
        <v>0.564010687965098</v>
      </c>
      <c r="G188" s="12" t="str">
        <f t="shared" si="5"/>
        <v>A</v>
      </c>
      <c r="H188" s="9" t="s">
        <v>117</v>
      </c>
      <c r="I188" s="9" t="s">
        <v>458</v>
      </c>
      <c r="J188" s="9" t="s">
        <v>33</v>
      </c>
      <c r="K188" s="10" t="str">
        <f>IFERROR(VLOOKUP(A188,'Pedido ESTHER'!$B:$C,2,0),"")</f>
        <v/>
      </c>
      <c r="L188" s="12" t="str">
        <f>IF(N(K188)&gt;0,"COMPRA","NÃO COMPRA")</f>
        <v>NÃO COMPRA</v>
      </c>
    </row>
    <row r="189" spans="1:12">
      <c r="A189" s="8" t="s">
        <v>459</v>
      </c>
      <c r="B189" s="9" t="s">
        <v>460</v>
      </c>
      <c r="C189" s="9" t="e">
        <f>VLOOKUP(A189,[2]Planilha1!$A:$B,2,0)</f>
        <v>#N/A</v>
      </c>
      <c r="D189" s="10">
        <f>SUMIF([1]Relatório!$A$2:$A$2653,A189,[1]Relatório!$AK$2:$AK$2653)</f>
        <v>826</v>
      </c>
      <c r="E189" s="11">
        <f t="shared" si="4"/>
        <v>0.00141206960511627</v>
      </c>
      <c r="F189" s="11">
        <f>SUM($E$7:E189)</f>
        <v>0.565422757570214</v>
      </c>
      <c r="G189" s="12" t="str">
        <f t="shared" si="5"/>
        <v>A</v>
      </c>
      <c r="H189" s="9" t="s">
        <v>18</v>
      </c>
      <c r="I189" s="9" t="s">
        <v>461</v>
      </c>
      <c r="J189" s="9" t="s">
        <v>64</v>
      </c>
      <c r="K189" s="10" t="str">
        <f>IFERROR(VLOOKUP(A189,'Pedido ESTHER'!$B:$C,2,0),"")</f>
        <v/>
      </c>
      <c r="L189" s="12" t="str">
        <f>IF(N(K189)&gt;0,"COMPRA","NÃO COMPRA")</f>
        <v>NÃO COMPRA</v>
      </c>
    </row>
    <row r="190" spans="1:12">
      <c r="A190" s="8" t="s">
        <v>462</v>
      </c>
      <c r="B190" s="9" t="s">
        <v>25</v>
      </c>
      <c r="C190" s="9" t="e">
        <f>VLOOKUP(A190,[2]Planilha1!$A:$B,2,0)</f>
        <v>#N/A</v>
      </c>
      <c r="D190" s="10">
        <f>SUMIF([1]Relatório!$A$2:$A$2653,A190,[1]Relatório!$AK$2:$AK$2653)</f>
        <v>821</v>
      </c>
      <c r="E190" s="11">
        <f t="shared" si="4"/>
        <v>0.00140352196828143</v>
      </c>
      <c r="F190" s="11">
        <f>SUM($E$7:E190)</f>
        <v>0.566826279538496</v>
      </c>
      <c r="G190" s="12" t="str">
        <f t="shared" si="5"/>
        <v>A</v>
      </c>
      <c r="H190" s="9" t="s">
        <v>21</v>
      </c>
      <c r="I190" s="9" t="s">
        <v>463</v>
      </c>
      <c r="J190" s="9" t="s">
        <v>23</v>
      </c>
      <c r="K190" s="10" t="str">
        <f>IFERROR(VLOOKUP(A190,'Pedido ESTHER'!$B:$C,2,0),"")</f>
        <v/>
      </c>
      <c r="L190" s="12" t="str">
        <f>IF(N(K190)&gt;0,"COMPRA","NÃO COMPRA")</f>
        <v>NÃO COMPRA</v>
      </c>
    </row>
    <row r="191" spans="1:12">
      <c r="A191" s="8" t="s">
        <v>464</v>
      </c>
      <c r="B191" s="9" t="s">
        <v>42</v>
      </c>
      <c r="C191" s="9" t="e">
        <f>VLOOKUP(A191,[2]Planilha1!$A:$B,2,0)</f>
        <v>#N/A</v>
      </c>
      <c r="D191" s="10">
        <f>SUMIF([1]Relatório!$A$2:$A$2653,A191,[1]Relatório!$AK$2:$AK$2653)</f>
        <v>819</v>
      </c>
      <c r="E191" s="11">
        <f t="shared" si="4"/>
        <v>0.00140010291354749</v>
      </c>
      <c r="F191" s="11">
        <f>SUM($E$7:E191)</f>
        <v>0.568226382452043</v>
      </c>
      <c r="G191" s="12" t="str">
        <f t="shared" si="5"/>
        <v>A</v>
      </c>
      <c r="H191" s="9" t="s">
        <v>21</v>
      </c>
      <c r="I191" s="9" t="s">
        <v>465</v>
      </c>
      <c r="J191" s="9" t="s">
        <v>466</v>
      </c>
      <c r="K191" s="10" t="str">
        <f>IFERROR(VLOOKUP(A191,'Pedido ESTHER'!$B:$C,2,0),"")</f>
        <v/>
      </c>
      <c r="L191" s="12" t="str">
        <f>IF(N(K191)&gt;0,"COMPRA","NÃO COMPRA")</f>
        <v>NÃO COMPRA</v>
      </c>
    </row>
    <row r="192" spans="1:12">
      <c r="A192" s="8" t="s">
        <v>467</v>
      </c>
      <c r="B192" s="9" t="s">
        <v>177</v>
      </c>
      <c r="C192" s="9" t="e">
        <f>VLOOKUP(A192,[2]Planilha1!$A:$B,2,0)</f>
        <v>#N/A</v>
      </c>
      <c r="D192" s="10">
        <f>SUMIF([1]Relatório!$A$2:$A$2653,A192,[1]Relatório!$AK$2:$AK$2653)</f>
        <v>817</v>
      </c>
      <c r="E192" s="11">
        <f t="shared" si="4"/>
        <v>0.00139668385881355</v>
      </c>
      <c r="F192" s="11">
        <f>SUM($E$7:E192)</f>
        <v>0.569623066310857</v>
      </c>
      <c r="G192" s="12" t="str">
        <f t="shared" si="5"/>
        <v>A</v>
      </c>
      <c r="H192" s="9" t="s">
        <v>21</v>
      </c>
      <c r="I192" s="9"/>
      <c r="J192" s="9" t="s">
        <v>36</v>
      </c>
      <c r="K192" s="10" t="str">
        <f>IFERROR(VLOOKUP(A192,'Pedido ESTHER'!$B:$C,2,0),"")</f>
        <v/>
      </c>
      <c r="L192" s="12" t="str">
        <f>IF(N(K192)&gt;0,"COMPRA","NÃO COMPRA")</f>
        <v>NÃO COMPRA</v>
      </c>
    </row>
    <row r="193" spans="1:12">
      <c r="A193" s="8" t="s">
        <v>468</v>
      </c>
      <c r="B193" s="9" t="s">
        <v>469</v>
      </c>
      <c r="C193" s="9" t="e">
        <f>VLOOKUP(A193,[2]Planilha1!$A:$B,2,0)</f>
        <v>#N/A</v>
      </c>
      <c r="D193" s="10">
        <f>SUMIF([1]Relatório!$A$2:$A$2653,A193,[1]Relatório!$AK$2:$AK$2653)</f>
        <v>809</v>
      </c>
      <c r="E193" s="11">
        <f t="shared" si="4"/>
        <v>0.0013830076398778</v>
      </c>
      <c r="F193" s="11">
        <f>SUM($E$7:E193)</f>
        <v>0.571006073950735</v>
      </c>
      <c r="G193" s="12" t="str">
        <f t="shared" si="5"/>
        <v>A</v>
      </c>
      <c r="H193" s="9" t="s">
        <v>183</v>
      </c>
      <c r="I193" s="9"/>
      <c r="J193" s="9" t="s">
        <v>23</v>
      </c>
      <c r="K193" s="10" t="str">
        <f>IFERROR(VLOOKUP(A193,'Pedido ESTHER'!$B:$C,2,0),"")</f>
        <v/>
      </c>
      <c r="L193" s="12" t="str">
        <f>IF(N(K193)&gt;0,"COMPRA","NÃO COMPRA")</f>
        <v>NÃO COMPRA</v>
      </c>
    </row>
    <row r="194" spans="1:12">
      <c r="A194" s="8" t="s">
        <v>470</v>
      </c>
      <c r="B194" s="9" t="s">
        <v>471</v>
      </c>
      <c r="C194" s="9" t="e">
        <f>VLOOKUP(A194,[2]Planilha1!$A:$B,2,0)</f>
        <v>#N/A</v>
      </c>
      <c r="D194" s="10">
        <f>SUMIF([1]Relatório!$A$2:$A$2653,A194,[1]Relatório!$AK$2:$AK$2653)</f>
        <v>802</v>
      </c>
      <c r="E194" s="11">
        <f t="shared" si="4"/>
        <v>0.00137104094830902</v>
      </c>
      <c r="F194" s="11">
        <f>SUM($E$7:E194)</f>
        <v>0.572377114899044</v>
      </c>
      <c r="G194" s="12" t="str">
        <f t="shared" si="5"/>
        <v>A</v>
      </c>
      <c r="H194" s="9" t="s">
        <v>393</v>
      </c>
      <c r="I194" s="9" t="s">
        <v>472</v>
      </c>
      <c r="J194" s="9" t="s">
        <v>390</v>
      </c>
      <c r="K194" s="10" t="str">
        <f>IFERROR(VLOOKUP(A194,'Pedido ESTHER'!$B:$C,2,0),"")</f>
        <v/>
      </c>
      <c r="L194" s="12" t="str">
        <f>IF(N(K194)&gt;0,"COMPRA","NÃO COMPRA")</f>
        <v>NÃO COMPRA</v>
      </c>
    </row>
    <row r="195" spans="1:12">
      <c r="A195" s="8" t="s">
        <v>473</v>
      </c>
      <c r="B195" s="9" t="s">
        <v>474</v>
      </c>
      <c r="C195" s="9" t="e">
        <f>VLOOKUP(A195,[2]Planilha1!$A:$B,2,0)</f>
        <v>#N/A</v>
      </c>
      <c r="D195" s="10">
        <f>SUMIF([1]Relatório!$A$2:$A$2653,A195,[1]Relatório!$AK$2:$AK$2653)</f>
        <v>798</v>
      </c>
      <c r="E195" s="11">
        <f t="shared" si="4"/>
        <v>0.00136420283884115</v>
      </c>
      <c r="F195" s="11">
        <f>SUM($E$7:E195)</f>
        <v>0.573741317737885</v>
      </c>
      <c r="G195" s="12" t="str">
        <f t="shared" si="5"/>
        <v>A</v>
      </c>
      <c r="H195" s="9" t="s">
        <v>183</v>
      </c>
      <c r="I195" s="9"/>
      <c r="J195" s="9" t="s">
        <v>201</v>
      </c>
      <c r="K195" s="10" t="str">
        <f>IFERROR(VLOOKUP(A195,'Pedido ESTHER'!$B:$C,2,0),"")</f>
        <v/>
      </c>
      <c r="L195" s="12" t="str">
        <f>IF(N(K195)&gt;0,"COMPRA","NÃO COMPRA")</f>
        <v>NÃO COMPRA</v>
      </c>
    </row>
    <row r="196" spans="1:12">
      <c r="A196" s="8" t="s">
        <v>475</v>
      </c>
      <c r="B196" s="9" t="s">
        <v>476</v>
      </c>
      <c r="C196" s="9" t="e">
        <f>VLOOKUP(A196,[2]Planilha1!$A:$B,2,0)</f>
        <v>#N/A</v>
      </c>
      <c r="D196" s="10">
        <f>SUMIF([1]Relatório!$A$2:$A$2653,A196,[1]Relatório!$AK$2:$AK$2653)</f>
        <v>797</v>
      </c>
      <c r="E196" s="11">
        <f t="shared" si="4"/>
        <v>0.00136249331147418</v>
      </c>
      <c r="F196" s="11">
        <f>SUM($E$7:E196)</f>
        <v>0.575103811049359</v>
      </c>
      <c r="G196" s="12" t="str">
        <f t="shared" si="5"/>
        <v>A</v>
      </c>
      <c r="H196" s="9" t="s">
        <v>21</v>
      </c>
      <c r="I196" s="9"/>
      <c r="J196" s="9" t="s">
        <v>15</v>
      </c>
      <c r="K196" s="10" t="str">
        <f>IFERROR(VLOOKUP(A196,'Pedido ESTHER'!$B:$C,2,0),"")</f>
        <v/>
      </c>
      <c r="L196" s="12" t="str">
        <f>IF(N(K196)&gt;0,"COMPRA","NÃO COMPRA")</f>
        <v>NÃO COMPRA</v>
      </c>
    </row>
    <row r="197" spans="1:12">
      <c r="A197" s="8" t="s">
        <v>477</v>
      </c>
      <c r="B197" s="9" t="s">
        <v>27</v>
      </c>
      <c r="C197" s="9" t="e">
        <f>VLOOKUP(A197,[2]Planilha1!$A:$B,2,0)</f>
        <v>#N/A</v>
      </c>
      <c r="D197" s="10">
        <f>SUMIF([1]Relatório!$A$2:$A$2653,A197,[1]Relatório!$AK$2:$AK$2653)</f>
        <v>796</v>
      </c>
      <c r="E197" s="11">
        <f t="shared" si="4"/>
        <v>0.00136078378410721</v>
      </c>
      <c r="F197" s="11">
        <f>SUM($E$7:E197)</f>
        <v>0.576464594833466</v>
      </c>
      <c r="G197" s="12" t="str">
        <f t="shared" si="5"/>
        <v>A</v>
      </c>
      <c r="H197" s="9" t="s">
        <v>21</v>
      </c>
      <c r="I197" s="9" t="s">
        <v>478</v>
      </c>
      <c r="J197" s="9" t="s">
        <v>29</v>
      </c>
      <c r="K197" s="10" t="str">
        <f>IFERROR(VLOOKUP(A197,'Pedido ESTHER'!$B:$C,2,0),"")</f>
        <v/>
      </c>
      <c r="L197" s="12" t="str">
        <f>IF(N(K197)&gt;0,"COMPRA","NÃO COMPRA")</f>
        <v>NÃO COMPRA</v>
      </c>
    </row>
    <row r="198" spans="1:12">
      <c r="A198" s="8" t="s">
        <v>479</v>
      </c>
      <c r="B198" s="9" t="s">
        <v>38</v>
      </c>
      <c r="C198" s="9" t="e">
        <f>VLOOKUP(A198,[2]Planilha1!$A:$B,2,0)</f>
        <v>#N/A</v>
      </c>
      <c r="D198" s="10">
        <f>SUMIF([1]Relatório!$A$2:$A$2653,A198,[1]Relatório!$AK$2:$AK$2653)</f>
        <v>793</v>
      </c>
      <c r="E198" s="11">
        <f t="shared" si="4"/>
        <v>0.0013556552020063</v>
      </c>
      <c r="F198" s="11">
        <f>SUM($E$7:E198)</f>
        <v>0.577820250035473</v>
      </c>
      <c r="G198" s="12" t="str">
        <f t="shared" si="5"/>
        <v>A</v>
      </c>
      <c r="H198" s="9" t="s">
        <v>21</v>
      </c>
      <c r="I198" s="9" t="s">
        <v>480</v>
      </c>
      <c r="J198" s="9" t="s">
        <v>40</v>
      </c>
      <c r="K198" s="10" t="str">
        <f>IFERROR(VLOOKUP(A198,'Pedido ESTHER'!$B:$C,2,0),"")</f>
        <v/>
      </c>
      <c r="L198" s="12" t="str">
        <f>IF(N(K198)&gt;0,"COMPRA","NÃO COMPRA")</f>
        <v>NÃO COMPRA</v>
      </c>
    </row>
    <row r="199" spans="1:12">
      <c r="A199" s="8" t="s">
        <v>481</v>
      </c>
      <c r="B199" s="9" t="s">
        <v>51</v>
      </c>
      <c r="C199" s="9" t="e">
        <f>VLOOKUP(A199,[2]Planilha1!$A:$B,2,0)</f>
        <v>#N/A</v>
      </c>
      <c r="D199" s="10">
        <f>SUMIF([1]Relatório!$A$2:$A$2653,A199,[1]Relatório!$AK$2:$AK$2653)</f>
        <v>787</v>
      </c>
      <c r="E199" s="11">
        <f t="shared" si="4"/>
        <v>0.00134539803780449</v>
      </c>
      <c r="F199" s="11">
        <f>SUM($E$7:E199)</f>
        <v>0.579165648073277</v>
      </c>
      <c r="G199" s="12" t="str">
        <f t="shared" si="5"/>
        <v>A</v>
      </c>
      <c r="H199" s="9" t="s">
        <v>21</v>
      </c>
      <c r="I199" s="9" t="s">
        <v>482</v>
      </c>
      <c r="J199" s="9" t="s">
        <v>123</v>
      </c>
      <c r="K199" s="10" t="str">
        <f>IFERROR(VLOOKUP(A199,'Pedido ESTHER'!$B:$C,2,0),"")</f>
        <v/>
      </c>
      <c r="L199" s="12" t="str">
        <f>IF(N(K199)&gt;0,"COMPRA","NÃO COMPRA")</f>
        <v>NÃO COMPRA</v>
      </c>
    </row>
    <row r="200" spans="1:12">
      <c r="A200" s="8" t="s">
        <v>483</v>
      </c>
      <c r="B200" s="9" t="s">
        <v>179</v>
      </c>
      <c r="C200" s="9" t="e">
        <f>VLOOKUP(A200,[2]Planilha1!$A:$B,2,0)</f>
        <v>#N/A</v>
      </c>
      <c r="D200" s="10">
        <f>SUMIF([1]Relatório!$A$2:$A$2653,A200,[1]Relatório!$AK$2:$AK$2653)</f>
        <v>784</v>
      </c>
      <c r="E200" s="11">
        <f t="shared" ref="E200:E263" si="6">D200/SUM($D$7:$D$1708)</f>
        <v>0.00134026945570358</v>
      </c>
      <c r="F200" s="11">
        <f>SUM($E$7:E200)</f>
        <v>0.580505917528981</v>
      </c>
      <c r="G200" s="12" t="str">
        <f t="shared" ref="G200:G263" si="7">IF(F200&lt;=70%,"A",IF(F200&lt;=90%,"B","C"))</f>
        <v>A</v>
      </c>
      <c r="H200" s="9" t="s">
        <v>18</v>
      </c>
      <c r="I200" s="9" t="s">
        <v>484</v>
      </c>
      <c r="J200" s="9" t="s">
        <v>40</v>
      </c>
      <c r="K200" s="10" t="str">
        <f>IFERROR(VLOOKUP(A200,'Pedido ESTHER'!$B:$C,2,0),"")</f>
        <v/>
      </c>
      <c r="L200" s="12" t="str">
        <f>IF(N(K200)&gt;0,"COMPRA","NÃO COMPRA")</f>
        <v>NÃO COMPRA</v>
      </c>
    </row>
    <row r="201" spans="1:12">
      <c r="A201" s="8" t="s">
        <v>485</v>
      </c>
      <c r="B201" s="9" t="s">
        <v>154</v>
      </c>
      <c r="C201" s="9" t="e">
        <f>VLOOKUP(A201,[2]Planilha1!$A:$B,2,0)</f>
        <v>#N/A</v>
      </c>
      <c r="D201" s="10">
        <f>SUMIF([1]Relatório!$A$2:$A$2653,A201,[1]Relatório!$AK$2:$AK$2653)</f>
        <v>784</v>
      </c>
      <c r="E201" s="11">
        <f t="shared" si="6"/>
        <v>0.00134026945570358</v>
      </c>
      <c r="F201" s="11">
        <f>SUM($E$7:E201)</f>
        <v>0.581846186984684</v>
      </c>
      <c r="G201" s="12" t="str">
        <f t="shared" si="7"/>
        <v>A</v>
      </c>
      <c r="H201" s="9" t="s">
        <v>117</v>
      </c>
      <c r="I201" s="9" t="s">
        <v>486</v>
      </c>
      <c r="J201" s="9" t="s">
        <v>44</v>
      </c>
      <c r="K201" s="10" t="str">
        <f>IFERROR(VLOOKUP(A201,'Pedido ESTHER'!$B:$C,2,0),"")</f>
        <v/>
      </c>
      <c r="L201" s="12" t="str">
        <f>IF(N(K201)&gt;0,"COMPRA","NÃO COMPRA")</f>
        <v>NÃO COMPRA</v>
      </c>
    </row>
    <row r="202" spans="1:12">
      <c r="A202" s="8" t="s">
        <v>487</v>
      </c>
      <c r="B202" s="9" t="s">
        <v>488</v>
      </c>
      <c r="C202" s="9" t="e">
        <f>VLOOKUP(A202,[2]Planilha1!$A:$B,2,0)</f>
        <v>#N/A</v>
      </c>
      <c r="D202" s="10">
        <f>SUMIF([1]Relatório!$A$2:$A$2653,A202,[1]Relatório!$AK$2:$AK$2653)</f>
        <v>784</v>
      </c>
      <c r="E202" s="11">
        <f t="shared" si="6"/>
        <v>0.00134026945570358</v>
      </c>
      <c r="F202" s="11">
        <f>SUM($E$7:E202)</f>
        <v>0.583186456440388</v>
      </c>
      <c r="G202" s="12" t="str">
        <f t="shared" si="7"/>
        <v>A</v>
      </c>
      <c r="H202" s="9" t="s">
        <v>221</v>
      </c>
      <c r="I202" s="9" t="s">
        <v>489</v>
      </c>
      <c r="J202" s="9" t="s">
        <v>29</v>
      </c>
      <c r="K202" s="10" t="str">
        <f>IFERROR(VLOOKUP(A202,'Pedido ESTHER'!$B:$C,2,0),"")</f>
        <v/>
      </c>
      <c r="L202" s="12" t="str">
        <f>IF(N(K202)&gt;0,"COMPRA","NÃO COMPRA")</f>
        <v>NÃO COMPRA</v>
      </c>
    </row>
    <row r="203" spans="1:12">
      <c r="A203" s="8" t="s">
        <v>490</v>
      </c>
      <c r="B203" s="9" t="s">
        <v>48</v>
      </c>
      <c r="C203" s="9" t="e">
        <f>VLOOKUP(A203,[2]Planilha1!$A:$B,2,0)</f>
        <v>#N/A</v>
      </c>
      <c r="D203" s="10">
        <f>SUMIF([1]Relatório!$A$2:$A$2653,A203,[1]Relatório!$AK$2:$AK$2653)</f>
        <v>777</v>
      </c>
      <c r="E203" s="11">
        <f t="shared" si="6"/>
        <v>0.0013283027641348</v>
      </c>
      <c r="F203" s="11">
        <f>SUM($E$7:E203)</f>
        <v>0.584514759204522</v>
      </c>
      <c r="G203" s="12" t="str">
        <f t="shared" si="7"/>
        <v>A</v>
      </c>
      <c r="H203" s="9" t="s">
        <v>18</v>
      </c>
      <c r="I203" s="9" t="s">
        <v>491</v>
      </c>
      <c r="J203" s="9" t="s">
        <v>29</v>
      </c>
      <c r="K203" s="10" t="str">
        <f>IFERROR(VLOOKUP(A203,'Pedido ESTHER'!$B:$C,2,0),"")</f>
        <v/>
      </c>
      <c r="L203" s="12" t="str">
        <f>IF(N(K203)&gt;0,"COMPRA","NÃO COMPRA")</f>
        <v>NÃO COMPRA</v>
      </c>
    </row>
    <row r="204" spans="1:12">
      <c r="A204" s="8" t="s">
        <v>492</v>
      </c>
      <c r="B204" s="9" t="s">
        <v>275</v>
      </c>
      <c r="C204" s="9" t="e">
        <f>VLOOKUP(A204,[2]Planilha1!$A:$B,2,0)</f>
        <v>#N/A</v>
      </c>
      <c r="D204" s="10">
        <f>SUMIF([1]Relatório!$A$2:$A$2653,A204,[1]Relatório!$AK$2:$AK$2653)</f>
        <v>775</v>
      </c>
      <c r="E204" s="11">
        <f t="shared" si="6"/>
        <v>0.00132488370940086</v>
      </c>
      <c r="F204" s="11">
        <f>SUM($E$7:E204)</f>
        <v>0.585839642913923</v>
      </c>
      <c r="G204" s="12" t="str">
        <f t="shared" si="7"/>
        <v>A</v>
      </c>
      <c r="H204" s="9" t="s">
        <v>14</v>
      </c>
      <c r="I204" s="9" t="s">
        <v>493</v>
      </c>
      <c r="J204" s="9" t="s">
        <v>64</v>
      </c>
      <c r="K204" s="10" t="str">
        <f>IFERROR(VLOOKUP(A204,'Pedido ESTHER'!$B:$C,2,0),"")</f>
        <v/>
      </c>
      <c r="L204" s="12" t="str">
        <f>IF(N(K204)&gt;0,"COMPRA","NÃO COMPRA")</f>
        <v>NÃO COMPRA</v>
      </c>
    </row>
    <row r="205" spans="1:12">
      <c r="A205" s="8" t="s">
        <v>494</v>
      </c>
      <c r="B205" s="9" t="s">
        <v>495</v>
      </c>
      <c r="C205" s="9" t="e">
        <f>VLOOKUP(A205,[2]Planilha1!$A:$B,2,0)</f>
        <v>#N/A</v>
      </c>
      <c r="D205" s="10">
        <f>SUMIF([1]Relatório!$A$2:$A$2653,A205,[1]Relatório!$AK$2:$AK$2653)</f>
        <v>774</v>
      </c>
      <c r="E205" s="11">
        <f t="shared" si="6"/>
        <v>0.00132317418203389</v>
      </c>
      <c r="F205" s="11">
        <f>SUM($E$7:E205)</f>
        <v>0.587162817095957</v>
      </c>
      <c r="G205" s="12" t="str">
        <f t="shared" si="7"/>
        <v>A</v>
      </c>
      <c r="H205" s="9" t="s">
        <v>183</v>
      </c>
      <c r="I205" s="9" t="s">
        <v>496</v>
      </c>
      <c r="J205" s="9" t="s">
        <v>497</v>
      </c>
      <c r="K205" s="10" t="str">
        <f>IFERROR(VLOOKUP(A205,'Pedido ESTHER'!$B:$C,2,0),"")</f>
        <v/>
      </c>
      <c r="L205" s="12" t="str">
        <f>IF(N(K205)&gt;0,"COMPRA","NÃO COMPRA")</f>
        <v>NÃO COMPRA</v>
      </c>
    </row>
    <row r="206" spans="1:12">
      <c r="A206" s="8" t="s">
        <v>498</v>
      </c>
      <c r="B206" s="9" t="s">
        <v>51</v>
      </c>
      <c r="C206" s="9" t="e">
        <f>VLOOKUP(A206,[2]Planilha1!$A:$B,2,0)</f>
        <v>#N/A</v>
      </c>
      <c r="D206" s="10">
        <f>SUMIF([1]Relatório!$A$2:$A$2653,A206,[1]Relatório!$AK$2:$AK$2653)</f>
        <v>773</v>
      </c>
      <c r="E206" s="11">
        <f t="shared" si="6"/>
        <v>0.00132146465466692</v>
      </c>
      <c r="F206" s="11">
        <f>SUM($E$7:E206)</f>
        <v>0.588484281750624</v>
      </c>
      <c r="G206" s="12" t="str">
        <f t="shared" si="7"/>
        <v>A</v>
      </c>
      <c r="H206" s="9" t="s">
        <v>21</v>
      </c>
      <c r="I206" s="9" t="s">
        <v>499</v>
      </c>
      <c r="J206" s="9" t="s">
        <v>33</v>
      </c>
      <c r="K206" s="10" t="str">
        <f>IFERROR(VLOOKUP(A206,'Pedido ESTHER'!$B:$C,2,0),"")</f>
        <v/>
      </c>
      <c r="L206" s="12" t="str">
        <f>IF(N(K206)&gt;0,"COMPRA","NÃO COMPRA")</f>
        <v>NÃO COMPRA</v>
      </c>
    </row>
    <row r="207" spans="1:12">
      <c r="A207" s="8" t="s">
        <v>500</v>
      </c>
      <c r="B207" s="9" t="s">
        <v>501</v>
      </c>
      <c r="C207" s="9" t="e">
        <f>VLOOKUP(A207,[2]Planilha1!$A:$B,2,0)</f>
        <v>#N/A</v>
      </c>
      <c r="D207" s="10">
        <f>SUMIF([1]Relatório!$A$2:$A$2653,A207,[1]Relatório!$AK$2:$AK$2653)</f>
        <v>773</v>
      </c>
      <c r="E207" s="11">
        <f t="shared" si="6"/>
        <v>0.00132146465466692</v>
      </c>
      <c r="F207" s="11">
        <f>SUM($E$7:E207)</f>
        <v>0.589805746405291</v>
      </c>
      <c r="G207" s="12" t="str">
        <f t="shared" si="7"/>
        <v>A</v>
      </c>
      <c r="H207" s="9" t="s">
        <v>74</v>
      </c>
      <c r="I207" s="9" t="s">
        <v>502</v>
      </c>
      <c r="J207" s="9" t="s">
        <v>382</v>
      </c>
      <c r="K207" s="10" t="str">
        <f>IFERROR(VLOOKUP(A207,'Pedido ESTHER'!$B:$C,2,0),"")</f>
        <v/>
      </c>
      <c r="L207" s="12" t="str">
        <f>IF(N(K207)&gt;0,"COMPRA","NÃO COMPRA")</f>
        <v>NÃO COMPRA</v>
      </c>
    </row>
    <row r="208" spans="1:12">
      <c r="A208" s="8" t="s">
        <v>503</v>
      </c>
      <c r="B208" s="9" t="s">
        <v>504</v>
      </c>
      <c r="C208" s="9" t="e">
        <f>VLOOKUP(A208,[2]Planilha1!$A:$B,2,0)</f>
        <v>#N/A</v>
      </c>
      <c r="D208" s="10">
        <f>SUMIF([1]Relatório!$A$2:$A$2653,A208,[1]Relatório!$AK$2:$AK$2653)</f>
        <v>769</v>
      </c>
      <c r="E208" s="11">
        <f t="shared" si="6"/>
        <v>0.00131462654519905</v>
      </c>
      <c r="F208" s="11">
        <f>SUM($E$7:E208)</f>
        <v>0.59112037295049</v>
      </c>
      <c r="G208" s="12" t="str">
        <f t="shared" si="7"/>
        <v>A</v>
      </c>
      <c r="H208" s="9" t="s">
        <v>74</v>
      </c>
      <c r="I208" s="9" t="s">
        <v>505</v>
      </c>
      <c r="J208" s="9" t="s">
        <v>382</v>
      </c>
      <c r="K208" s="10" t="str">
        <f>IFERROR(VLOOKUP(A208,'Pedido ESTHER'!$B:$C,2,0),"")</f>
        <v/>
      </c>
      <c r="L208" s="12" t="str">
        <f>IF(N(K208)&gt;0,"COMPRA","NÃO COMPRA")</f>
        <v>NÃO COMPRA</v>
      </c>
    </row>
    <row r="209" spans="1:12">
      <c r="A209" s="8" t="s">
        <v>506</v>
      </c>
      <c r="B209" s="9" t="s">
        <v>322</v>
      </c>
      <c r="C209" s="9" t="e">
        <f>VLOOKUP(A209,[2]Planilha1!$A:$B,2,0)</f>
        <v>#N/A</v>
      </c>
      <c r="D209" s="10">
        <f>SUMIF([1]Relatório!$A$2:$A$2653,A209,[1]Relatório!$AK$2:$AK$2653)</f>
        <v>766</v>
      </c>
      <c r="E209" s="11">
        <f t="shared" si="6"/>
        <v>0.00130949796309814</v>
      </c>
      <c r="F209" s="11">
        <f>SUM($E$7:E209)</f>
        <v>0.592429870913588</v>
      </c>
      <c r="G209" s="12" t="str">
        <f t="shared" si="7"/>
        <v>A</v>
      </c>
      <c r="H209" s="9" t="s">
        <v>74</v>
      </c>
      <c r="I209" s="9" t="s">
        <v>507</v>
      </c>
      <c r="J209" s="9" t="s">
        <v>201</v>
      </c>
      <c r="K209" s="10" t="str">
        <f>IFERROR(VLOOKUP(A209,'Pedido ESTHER'!$B:$C,2,0),"")</f>
        <v/>
      </c>
      <c r="L209" s="12" t="str">
        <f>IF(N(K209)&gt;0,"COMPRA","NÃO COMPRA")</f>
        <v>NÃO COMPRA</v>
      </c>
    </row>
    <row r="210" spans="1:12">
      <c r="A210" s="8" t="s">
        <v>508</v>
      </c>
      <c r="B210" s="9" t="s">
        <v>283</v>
      </c>
      <c r="C210" s="9" t="e">
        <f>VLOOKUP(A210,[2]Planilha1!$A:$B,2,0)</f>
        <v>#N/A</v>
      </c>
      <c r="D210" s="10">
        <f>SUMIF([1]Relatório!$A$2:$A$2653,A210,[1]Relatório!$AK$2:$AK$2653)</f>
        <v>764</v>
      </c>
      <c r="E210" s="11">
        <f t="shared" si="6"/>
        <v>0.0013060789083642</v>
      </c>
      <c r="F210" s="11">
        <f>SUM($E$7:E210)</f>
        <v>0.593735949821952</v>
      </c>
      <c r="G210" s="12" t="str">
        <f t="shared" si="7"/>
        <v>A</v>
      </c>
      <c r="H210" s="9" t="s">
        <v>18</v>
      </c>
      <c r="I210" s="9" t="s">
        <v>509</v>
      </c>
      <c r="J210" s="9" t="s">
        <v>241</v>
      </c>
      <c r="K210" s="10">
        <f>IFERROR(VLOOKUP(A210,'Pedido ESTHER'!$B:$C,2,0),"")</f>
        <v>8</v>
      </c>
      <c r="L210" s="12" t="str">
        <f>IF(N(K210)&gt;0,"COMPRA","NÃO COMPRA")</f>
        <v>COMPRA</v>
      </c>
    </row>
    <row r="211" spans="1:12">
      <c r="A211" s="8" t="s">
        <v>510</v>
      </c>
      <c r="B211" s="9" t="s">
        <v>511</v>
      </c>
      <c r="C211" s="9" t="e">
        <f>VLOOKUP(A211,[2]Planilha1!$A:$B,2,0)</f>
        <v>#N/A</v>
      </c>
      <c r="D211" s="10">
        <f>SUMIF([1]Relatório!$A$2:$A$2653,A211,[1]Relatório!$AK$2:$AK$2653)</f>
        <v>758</v>
      </c>
      <c r="E211" s="11">
        <f t="shared" si="6"/>
        <v>0.00129582174416239</v>
      </c>
      <c r="F211" s="11">
        <f>SUM($E$7:E211)</f>
        <v>0.595031771566115</v>
      </c>
      <c r="G211" s="12" t="str">
        <f t="shared" si="7"/>
        <v>A</v>
      </c>
      <c r="H211" s="9" t="s">
        <v>74</v>
      </c>
      <c r="I211" s="9" t="s">
        <v>512</v>
      </c>
      <c r="J211" s="9" t="s">
        <v>15</v>
      </c>
      <c r="K211" s="10" t="str">
        <f>IFERROR(VLOOKUP(A211,'Pedido ESTHER'!$B:$C,2,0),"")</f>
        <v/>
      </c>
      <c r="L211" s="12" t="str">
        <f>IF(N(K211)&gt;0,"COMPRA","NÃO COMPRA")</f>
        <v>NÃO COMPRA</v>
      </c>
    </row>
    <row r="212" spans="1:12">
      <c r="A212" s="8" t="s">
        <v>513</v>
      </c>
      <c r="B212" s="9" t="s">
        <v>300</v>
      </c>
      <c r="C212" s="9" t="e">
        <f>VLOOKUP(A212,[2]Planilha1!$A:$B,2,0)</f>
        <v>#N/A</v>
      </c>
      <c r="D212" s="10">
        <f>SUMIF([1]Relatório!$A$2:$A$2653,A212,[1]Relatório!$AK$2:$AK$2653)</f>
        <v>756</v>
      </c>
      <c r="E212" s="11">
        <f t="shared" si="6"/>
        <v>0.00129240268942845</v>
      </c>
      <c r="F212" s="11">
        <f>SUM($E$7:E212)</f>
        <v>0.596324174255543</v>
      </c>
      <c r="G212" s="12" t="str">
        <f t="shared" si="7"/>
        <v>A</v>
      </c>
      <c r="H212" s="9" t="s">
        <v>117</v>
      </c>
      <c r="I212" s="9" t="s">
        <v>514</v>
      </c>
      <c r="J212" s="9" t="s">
        <v>29</v>
      </c>
      <c r="K212" s="10" t="str">
        <f>IFERROR(VLOOKUP(A212,'Pedido ESTHER'!$B:$C,2,0),"")</f>
        <v/>
      </c>
      <c r="L212" s="12" t="str">
        <f>IF(N(K212)&gt;0,"COMPRA","NÃO COMPRA")</f>
        <v>NÃO COMPRA</v>
      </c>
    </row>
    <row r="213" spans="1:12">
      <c r="A213" s="8" t="s">
        <v>515</v>
      </c>
      <c r="B213" s="9" t="s">
        <v>516</v>
      </c>
      <c r="C213" s="9" t="e">
        <f>VLOOKUP(A213,[2]Planilha1!$A:$B,2,0)</f>
        <v>#N/A</v>
      </c>
      <c r="D213" s="10">
        <f>SUMIF([1]Relatório!$A$2:$A$2653,A213,[1]Relatório!$AK$2:$AK$2653)</f>
        <v>746</v>
      </c>
      <c r="E213" s="11">
        <f t="shared" si="6"/>
        <v>0.00127530741575877</v>
      </c>
      <c r="F213" s="11">
        <f>SUM($E$7:E213)</f>
        <v>0.597599481671302</v>
      </c>
      <c r="G213" s="12" t="str">
        <f t="shared" si="7"/>
        <v>A</v>
      </c>
      <c r="H213" s="9" t="s">
        <v>14</v>
      </c>
      <c r="I213" s="9" t="s">
        <v>517</v>
      </c>
      <c r="J213" s="9" t="s">
        <v>359</v>
      </c>
      <c r="K213" s="10" t="str">
        <f>IFERROR(VLOOKUP(A213,'Pedido ESTHER'!$B:$C,2,0),"")</f>
        <v/>
      </c>
      <c r="L213" s="12" t="str">
        <f>IF(N(K213)&gt;0,"COMPRA","NÃO COMPRA")</f>
        <v>NÃO COMPRA</v>
      </c>
    </row>
    <row r="214" spans="1:12">
      <c r="A214" s="8" t="s">
        <v>518</v>
      </c>
      <c r="B214" s="9" t="s">
        <v>363</v>
      </c>
      <c r="C214" s="9" t="e">
        <f>VLOOKUP(A214,[2]Planilha1!$A:$B,2,0)</f>
        <v>#N/A</v>
      </c>
      <c r="D214" s="10">
        <f>SUMIF([1]Relatório!$A$2:$A$2653,A214,[1]Relatório!$AK$2:$AK$2653)</f>
        <v>743</v>
      </c>
      <c r="E214" s="11">
        <f t="shared" si="6"/>
        <v>0.00127017883365786</v>
      </c>
      <c r="F214" s="11">
        <f>SUM($E$7:E214)</f>
        <v>0.59886966050496</v>
      </c>
      <c r="G214" s="12" t="str">
        <f t="shared" si="7"/>
        <v>A</v>
      </c>
      <c r="H214" s="9" t="s">
        <v>183</v>
      </c>
      <c r="I214" s="9"/>
      <c r="J214" s="9" t="s">
        <v>40</v>
      </c>
      <c r="K214" s="10" t="str">
        <f>IFERROR(VLOOKUP(A214,'Pedido ESTHER'!$B:$C,2,0),"")</f>
        <v/>
      </c>
      <c r="L214" s="12" t="str">
        <f>IF(N(K214)&gt;0,"COMPRA","NÃO COMPRA")</f>
        <v>NÃO COMPRA</v>
      </c>
    </row>
    <row r="215" spans="1:12">
      <c r="A215" s="8" t="s">
        <v>519</v>
      </c>
      <c r="B215" s="9" t="s">
        <v>38</v>
      </c>
      <c r="C215" s="9" t="e">
        <f>VLOOKUP(A215,[2]Planilha1!$A:$B,2,0)</f>
        <v>#N/A</v>
      </c>
      <c r="D215" s="10">
        <f>SUMIF([1]Relatório!$A$2:$A$2653,A215,[1]Relatório!$AK$2:$AK$2653)</f>
        <v>733</v>
      </c>
      <c r="E215" s="11">
        <f t="shared" si="6"/>
        <v>0.00125308355998817</v>
      </c>
      <c r="F215" s="11">
        <f>SUM($E$7:E215)</f>
        <v>0.600122744064948</v>
      </c>
      <c r="G215" s="12" t="str">
        <f t="shared" si="7"/>
        <v>A</v>
      </c>
      <c r="H215" s="9" t="s">
        <v>21</v>
      </c>
      <c r="I215" s="9" t="s">
        <v>520</v>
      </c>
      <c r="J215" s="9" t="s">
        <v>40</v>
      </c>
      <c r="K215" s="10" t="str">
        <f>IFERROR(VLOOKUP(A215,'Pedido ESTHER'!$B:$C,2,0),"")</f>
        <v/>
      </c>
      <c r="L215" s="12" t="str">
        <f>IF(N(K215)&gt;0,"COMPRA","NÃO COMPRA")</f>
        <v>NÃO COMPRA</v>
      </c>
    </row>
    <row r="216" spans="1:12">
      <c r="A216" s="8" t="s">
        <v>521</v>
      </c>
      <c r="B216" s="9" t="s">
        <v>522</v>
      </c>
      <c r="C216" s="9" t="e">
        <f>VLOOKUP(A216,[2]Planilha1!$A:$B,2,0)</f>
        <v>#N/A</v>
      </c>
      <c r="D216" s="10">
        <f>SUMIF([1]Relatório!$A$2:$A$2653,A216,[1]Relatório!$AK$2:$AK$2653)</f>
        <v>727</v>
      </c>
      <c r="E216" s="11">
        <f t="shared" si="6"/>
        <v>0.00124282639578636</v>
      </c>
      <c r="F216" s="11">
        <f>SUM($E$7:E216)</f>
        <v>0.601365570460734</v>
      </c>
      <c r="G216" s="12" t="str">
        <f t="shared" si="7"/>
        <v>A</v>
      </c>
      <c r="H216" s="9" t="s">
        <v>117</v>
      </c>
      <c r="I216" s="9" t="s">
        <v>523</v>
      </c>
      <c r="J216" s="9" t="s">
        <v>201</v>
      </c>
      <c r="K216" s="10" t="str">
        <f>IFERROR(VLOOKUP(A216,'Pedido ESTHER'!$B:$C,2,0),"")</f>
        <v/>
      </c>
      <c r="L216" s="12" t="str">
        <f>IF(N(K216)&gt;0,"COMPRA","NÃO COMPRA")</f>
        <v>NÃO COMPRA</v>
      </c>
    </row>
    <row r="217" spans="1:12">
      <c r="A217" s="8" t="s">
        <v>524</v>
      </c>
      <c r="B217" s="9" t="s">
        <v>162</v>
      </c>
      <c r="C217" s="9" t="e">
        <f>VLOOKUP(A217,[2]Planilha1!$A:$B,2,0)</f>
        <v>#N/A</v>
      </c>
      <c r="D217" s="10">
        <f>SUMIF([1]Relatório!$A$2:$A$2653,A217,[1]Relatório!$AK$2:$AK$2653)</f>
        <v>722</v>
      </c>
      <c r="E217" s="11">
        <f t="shared" si="6"/>
        <v>0.00123427875895151</v>
      </c>
      <c r="F217" s="11">
        <f>SUM($E$7:E217)</f>
        <v>0.602599849219686</v>
      </c>
      <c r="G217" s="12" t="str">
        <f t="shared" si="7"/>
        <v>A</v>
      </c>
      <c r="H217" s="9" t="s">
        <v>21</v>
      </c>
      <c r="I217" s="9"/>
      <c r="J217" s="9" t="s">
        <v>164</v>
      </c>
      <c r="K217" s="10" t="str">
        <f>IFERROR(VLOOKUP(A217,'Pedido ESTHER'!$B:$C,2,0),"")</f>
        <v/>
      </c>
      <c r="L217" s="12" t="str">
        <f>IF(N(K217)&gt;0,"COMPRA","NÃO COMPRA")</f>
        <v>NÃO COMPRA</v>
      </c>
    </row>
    <row r="218" spans="1:12">
      <c r="A218" s="8" t="s">
        <v>525</v>
      </c>
      <c r="B218" s="9" t="s">
        <v>154</v>
      </c>
      <c r="C218" s="9" t="e">
        <f>VLOOKUP(A218,[2]Planilha1!$A:$B,2,0)</f>
        <v>#N/A</v>
      </c>
      <c r="D218" s="10">
        <f>SUMIF([1]Relatório!$A$2:$A$2653,A218,[1]Relatório!$AK$2:$AK$2653)</f>
        <v>720</v>
      </c>
      <c r="E218" s="11">
        <f t="shared" si="6"/>
        <v>0.00123085970421758</v>
      </c>
      <c r="F218" s="11">
        <f>SUM($E$7:E218)</f>
        <v>0.603830708923903</v>
      </c>
      <c r="G218" s="12" t="str">
        <f t="shared" si="7"/>
        <v>A</v>
      </c>
      <c r="H218" s="9" t="s">
        <v>117</v>
      </c>
      <c r="I218" s="9" t="s">
        <v>526</v>
      </c>
      <c r="J218" s="9" t="s">
        <v>44</v>
      </c>
      <c r="K218" s="10" t="str">
        <f>IFERROR(VLOOKUP(A218,'Pedido ESTHER'!$B:$C,2,0),"")</f>
        <v/>
      </c>
      <c r="L218" s="12" t="str">
        <f>IF(N(K218)&gt;0,"COMPRA","NÃO COMPRA")</f>
        <v>NÃO COMPRA</v>
      </c>
    </row>
    <row r="219" spans="1:12">
      <c r="A219" s="8" t="s">
        <v>527</v>
      </c>
      <c r="B219" s="9" t="s">
        <v>528</v>
      </c>
      <c r="C219" s="9" t="e">
        <f>VLOOKUP(A219,[2]Planilha1!$A:$B,2,0)</f>
        <v>#N/A</v>
      </c>
      <c r="D219" s="10">
        <f>SUMIF([1]Relatório!$A$2:$A$2653,A219,[1]Relatório!$AK$2:$AK$2653)</f>
        <v>717</v>
      </c>
      <c r="E219" s="11">
        <f t="shared" si="6"/>
        <v>0.00122573112211667</v>
      </c>
      <c r="F219" s="11">
        <f>SUM($E$7:E219)</f>
        <v>0.60505644004602</v>
      </c>
      <c r="G219" s="12" t="str">
        <f t="shared" si="7"/>
        <v>A</v>
      </c>
      <c r="H219" s="9" t="s">
        <v>21</v>
      </c>
      <c r="I219" s="9" t="s">
        <v>529</v>
      </c>
      <c r="J219" s="9" t="s">
        <v>268</v>
      </c>
      <c r="K219" s="10" t="str">
        <f>IFERROR(VLOOKUP(A219,'Pedido ESTHER'!$B:$C,2,0),"")</f>
        <v/>
      </c>
      <c r="L219" s="12" t="str">
        <f>IF(N(K219)&gt;0,"COMPRA","NÃO COMPRA")</f>
        <v>NÃO COMPRA</v>
      </c>
    </row>
    <row r="220" spans="1:12">
      <c r="A220" s="8" t="s">
        <v>530</v>
      </c>
      <c r="B220" s="9" t="s">
        <v>240</v>
      </c>
      <c r="C220" s="9" t="e">
        <f>VLOOKUP(A220,[2]Planilha1!$A:$B,2,0)</f>
        <v>#N/A</v>
      </c>
      <c r="D220" s="10">
        <f>SUMIF([1]Relatório!$A$2:$A$2653,A220,[1]Relatório!$AK$2:$AK$2653)</f>
        <v>716</v>
      </c>
      <c r="E220" s="11">
        <f t="shared" si="6"/>
        <v>0.0012240215947497</v>
      </c>
      <c r="F220" s="11">
        <f>SUM($E$7:E220)</f>
        <v>0.60628046164077</v>
      </c>
      <c r="G220" s="12" t="str">
        <f t="shared" si="7"/>
        <v>A</v>
      </c>
      <c r="H220" s="9" t="s">
        <v>21</v>
      </c>
      <c r="I220" s="9"/>
      <c r="J220" s="9" t="s">
        <v>241</v>
      </c>
      <c r="K220" s="10" t="str">
        <f>IFERROR(VLOOKUP(A220,'Pedido ESTHER'!$B:$C,2,0),"")</f>
        <v/>
      </c>
      <c r="L220" s="12" t="str">
        <f>IF(N(K220)&gt;0,"COMPRA","NÃO COMPRA")</f>
        <v>NÃO COMPRA</v>
      </c>
    </row>
    <row r="221" spans="1:12">
      <c r="A221" s="8" t="s">
        <v>531</v>
      </c>
      <c r="B221" s="9" t="s">
        <v>103</v>
      </c>
      <c r="C221" s="9" t="e">
        <f>VLOOKUP(A221,[2]Planilha1!$A:$B,2,0)</f>
        <v>#N/A</v>
      </c>
      <c r="D221" s="10">
        <f>SUMIF([1]Relatório!$A$2:$A$2653,A221,[1]Relatório!$AK$2:$AK$2653)</f>
        <v>712</v>
      </c>
      <c r="E221" s="11">
        <f t="shared" si="6"/>
        <v>0.00121718348528182</v>
      </c>
      <c r="F221" s="11">
        <f>SUM($E$7:E221)</f>
        <v>0.607497645126052</v>
      </c>
      <c r="G221" s="12" t="str">
        <f t="shared" si="7"/>
        <v>A</v>
      </c>
      <c r="H221" s="9" t="s">
        <v>18</v>
      </c>
      <c r="I221" s="9" t="s">
        <v>532</v>
      </c>
      <c r="J221" s="9" t="s">
        <v>44</v>
      </c>
      <c r="K221" s="10" t="str">
        <f>IFERROR(VLOOKUP(A221,'Pedido ESTHER'!$B:$C,2,0),"")</f>
        <v/>
      </c>
      <c r="L221" s="12" t="str">
        <f>IF(N(K221)&gt;0,"COMPRA","NÃO COMPRA")</f>
        <v>NÃO COMPRA</v>
      </c>
    </row>
    <row r="222" spans="1:12">
      <c r="A222" s="8" t="s">
        <v>533</v>
      </c>
      <c r="B222" s="9" t="s">
        <v>534</v>
      </c>
      <c r="C222" s="9" t="e">
        <f>VLOOKUP(A222,[2]Planilha1!$A:$B,2,0)</f>
        <v>#N/A</v>
      </c>
      <c r="D222" s="10">
        <f>SUMIF([1]Relatório!$A$2:$A$2653,A222,[1]Relatório!$AK$2:$AK$2653)</f>
        <v>711</v>
      </c>
      <c r="E222" s="11">
        <f t="shared" si="6"/>
        <v>0.00121547395791486</v>
      </c>
      <c r="F222" s="11">
        <f>SUM($E$7:E222)</f>
        <v>0.608713119083966</v>
      </c>
      <c r="G222" s="12" t="str">
        <f t="shared" si="7"/>
        <v>A</v>
      </c>
      <c r="H222" s="9" t="s">
        <v>143</v>
      </c>
      <c r="I222" s="9"/>
      <c r="J222" s="9" t="s">
        <v>40</v>
      </c>
      <c r="K222" s="10" t="str">
        <f>IFERROR(VLOOKUP(A222,'Pedido ESTHER'!$B:$C,2,0),"")</f>
        <v/>
      </c>
      <c r="L222" s="12" t="str">
        <f>IF(N(K222)&gt;0,"COMPRA","NÃO COMPRA")</f>
        <v>NÃO COMPRA</v>
      </c>
    </row>
    <row r="223" spans="1:12">
      <c r="A223" s="8" t="s">
        <v>535</v>
      </c>
      <c r="B223" s="9" t="s">
        <v>162</v>
      </c>
      <c r="C223" s="9" t="e">
        <f>VLOOKUP(A223,[2]Planilha1!$A:$B,2,0)</f>
        <v>#N/A</v>
      </c>
      <c r="D223" s="10">
        <f>SUMIF([1]Relatório!$A$2:$A$2653,A223,[1]Relatório!$AK$2:$AK$2653)</f>
        <v>710</v>
      </c>
      <c r="E223" s="11">
        <f t="shared" si="6"/>
        <v>0.00121376443054789</v>
      </c>
      <c r="F223" s="11">
        <f>SUM($E$7:E223)</f>
        <v>0.609926883514514</v>
      </c>
      <c r="G223" s="12" t="str">
        <f t="shared" si="7"/>
        <v>A</v>
      </c>
      <c r="H223" s="9" t="s">
        <v>21</v>
      </c>
      <c r="I223" s="9" t="s">
        <v>536</v>
      </c>
      <c r="J223" s="9" t="s">
        <v>164</v>
      </c>
      <c r="K223" s="10" t="str">
        <f>IFERROR(VLOOKUP(A223,'Pedido ESTHER'!$B:$C,2,0),"")</f>
        <v/>
      </c>
      <c r="L223" s="12" t="str">
        <f>IF(N(K223)&gt;0,"COMPRA","NÃO COMPRA")</f>
        <v>NÃO COMPRA</v>
      </c>
    </row>
    <row r="224" spans="1:12">
      <c r="A224" s="8" t="s">
        <v>537</v>
      </c>
      <c r="B224" s="9" t="s">
        <v>538</v>
      </c>
      <c r="C224" s="9" t="e">
        <f>VLOOKUP(A224,[2]Planilha1!$A:$B,2,0)</f>
        <v>#N/A</v>
      </c>
      <c r="D224" s="10">
        <f>SUMIF([1]Relatório!$A$2:$A$2653,A224,[1]Relatório!$AK$2:$AK$2653)</f>
        <v>707</v>
      </c>
      <c r="E224" s="11">
        <f t="shared" si="6"/>
        <v>0.00120863584844698</v>
      </c>
      <c r="F224" s="11">
        <f>SUM($E$7:E224)</f>
        <v>0.611135519362961</v>
      </c>
      <c r="G224" s="12" t="str">
        <f t="shared" si="7"/>
        <v>A</v>
      </c>
      <c r="H224" s="9" t="s">
        <v>183</v>
      </c>
      <c r="I224" s="9" t="s">
        <v>539</v>
      </c>
      <c r="J224" s="9" t="s">
        <v>158</v>
      </c>
      <c r="K224" s="10" t="str">
        <f>IFERROR(VLOOKUP(A224,'Pedido ESTHER'!$B:$C,2,0),"")</f>
        <v/>
      </c>
      <c r="L224" s="12" t="str">
        <f>IF(N(K224)&gt;0,"COMPRA","NÃO COMPRA")</f>
        <v>NÃO COMPRA</v>
      </c>
    </row>
    <row r="225" spans="1:12">
      <c r="A225" s="8" t="s">
        <v>540</v>
      </c>
      <c r="B225" s="9" t="s">
        <v>48</v>
      </c>
      <c r="C225" s="9" t="e">
        <f>VLOOKUP(A225,[2]Planilha1!$A:$B,2,0)</f>
        <v>#N/A</v>
      </c>
      <c r="D225" s="10">
        <f>SUMIF([1]Relatório!$A$2:$A$2653,A225,[1]Relatório!$AK$2:$AK$2653)</f>
        <v>704</v>
      </c>
      <c r="E225" s="11">
        <f t="shared" si="6"/>
        <v>0.00120350726634607</v>
      </c>
      <c r="F225" s="11">
        <f>SUM($E$7:E225)</f>
        <v>0.612339026629307</v>
      </c>
      <c r="G225" s="12" t="str">
        <f t="shared" si="7"/>
        <v>A</v>
      </c>
      <c r="H225" s="9" t="s">
        <v>18</v>
      </c>
      <c r="I225" s="9" t="s">
        <v>541</v>
      </c>
      <c r="J225" s="9" t="s">
        <v>29</v>
      </c>
      <c r="K225" s="10" t="str">
        <f>IFERROR(VLOOKUP(A225,'Pedido ESTHER'!$B:$C,2,0),"")</f>
        <v/>
      </c>
      <c r="L225" s="12" t="str">
        <f>IF(N(K225)&gt;0,"COMPRA","NÃO COMPRA")</f>
        <v>NÃO COMPRA</v>
      </c>
    </row>
    <row r="226" spans="1:12">
      <c r="A226" s="8" t="s">
        <v>542</v>
      </c>
      <c r="B226" s="9" t="s">
        <v>543</v>
      </c>
      <c r="C226" s="9" t="e">
        <f>VLOOKUP(A226,[2]Planilha1!$A:$B,2,0)</f>
        <v>#N/A</v>
      </c>
      <c r="D226" s="10">
        <f>SUMIF([1]Relatório!$A$2:$A$2653,A226,[1]Relatório!$AK$2:$AK$2653)</f>
        <v>698</v>
      </c>
      <c r="E226" s="11">
        <f t="shared" si="6"/>
        <v>0.00119325010214426</v>
      </c>
      <c r="F226" s="11">
        <f>SUM($E$7:E226)</f>
        <v>0.613532276731452</v>
      </c>
      <c r="G226" s="12" t="str">
        <f t="shared" si="7"/>
        <v>A</v>
      </c>
      <c r="H226" s="9" t="s">
        <v>74</v>
      </c>
      <c r="I226" s="9" t="s">
        <v>544</v>
      </c>
      <c r="J226" s="9" t="s">
        <v>36</v>
      </c>
      <c r="K226" s="10" t="str">
        <f>IFERROR(VLOOKUP(A226,'Pedido ESTHER'!$B:$C,2,0),"")</f>
        <v/>
      </c>
      <c r="L226" s="12" t="str">
        <f>IF(N(K226)&gt;0,"COMPRA","NÃO COMPRA")</f>
        <v>NÃO COMPRA</v>
      </c>
    </row>
    <row r="227" spans="1:12">
      <c r="A227" s="8" t="s">
        <v>545</v>
      </c>
      <c r="B227" s="9" t="s">
        <v>318</v>
      </c>
      <c r="C227" s="9" t="e">
        <f>VLOOKUP(A227,[2]Planilha1!$A:$B,2,0)</f>
        <v>#N/A</v>
      </c>
      <c r="D227" s="10">
        <f>SUMIF([1]Relatório!$A$2:$A$2653,A227,[1]Relatório!$AK$2:$AK$2653)</f>
        <v>692</v>
      </c>
      <c r="E227" s="11">
        <f t="shared" si="6"/>
        <v>0.00118299293794245</v>
      </c>
      <c r="F227" s="11">
        <f>SUM($E$7:E227)</f>
        <v>0.614715269669394</v>
      </c>
      <c r="G227" s="12" t="str">
        <f t="shared" si="7"/>
        <v>A</v>
      </c>
      <c r="H227" s="9" t="s">
        <v>14</v>
      </c>
      <c r="I227" s="9"/>
      <c r="J227" s="9" t="s">
        <v>164</v>
      </c>
      <c r="K227" s="10">
        <f>IFERROR(VLOOKUP(A227,'Pedido ESTHER'!$B:$C,2,0),"")</f>
        <v>8</v>
      </c>
      <c r="L227" s="12" t="str">
        <f>IF(N(K227)&gt;0,"COMPRA","NÃO COMPRA")</f>
        <v>COMPRA</v>
      </c>
    </row>
    <row r="228" spans="1:12">
      <c r="A228" s="8" t="s">
        <v>546</v>
      </c>
      <c r="B228" s="9" t="s">
        <v>547</v>
      </c>
      <c r="C228" s="9" t="e">
        <f>VLOOKUP(A228,[2]Planilha1!$A:$B,2,0)</f>
        <v>#N/A</v>
      </c>
      <c r="D228" s="10">
        <f>SUMIF([1]Relatório!$A$2:$A$2653,A228,[1]Relatório!$AK$2:$AK$2653)</f>
        <v>690</v>
      </c>
      <c r="E228" s="11">
        <f t="shared" si="6"/>
        <v>0.00117957388320851</v>
      </c>
      <c r="F228" s="11">
        <f>SUM($E$7:E228)</f>
        <v>0.615894843552603</v>
      </c>
      <c r="G228" s="12" t="str">
        <f t="shared" si="7"/>
        <v>A</v>
      </c>
      <c r="H228" s="9" t="s">
        <v>74</v>
      </c>
      <c r="I228" s="9" t="s">
        <v>548</v>
      </c>
      <c r="J228" s="9" t="s">
        <v>33</v>
      </c>
      <c r="K228" s="10" t="str">
        <f>IFERROR(VLOOKUP(A228,'Pedido ESTHER'!$B:$C,2,0),"")</f>
        <v/>
      </c>
      <c r="L228" s="12" t="str">
        <f>IF(N(K228)&gt;0,"COMPRA","NÃO COMPRA")</f>
        <v>NÃO COMPRA</v>
      </c>
    </row>
    <row r="229" spans="1:12">
      <c r="A229" s="8" t="s">
        <v>549</v>
      </c>
      <c r="B229" s="9" t="s">
        <v>35</v>
      </c>
      <c r="C229" s="9" t="e">
        <f>VLOOKUP(A229,[2]Planilha1!$A:$B,2,0)</f>
        <v>#N/A</v>
      </c>
      <c r="D229" s="10">
        <f>SUMIF([1]Relatório!$A$2:$A$2653,A229,[1]Relatório!$AK$2:$AK$2653)</f>
        <v>686</v>
      </c>
      <c r="E229" s="11">
        <f t="shared" si="6"/>
        <v>0.00117273577374063</v>
      </c>
      <c r="F229" s="11">
        <f>SUM($E$7:E229)</f>
        <v>0.617067579326343</v>
      </c>
      <c r="G229" s="12" t="str">
        <f t="shared" si="7"/>
        <v>A</v>
      </c>
      <c r="H229" s="9" t="s">
        <v>18</v>
      </c>
      <c r="I229" s="9"/>
      <c r="J229" s="9" t="s">
        <v>36</v>
      </c>
      <c r="K229" s="10" t="str">
        <f>IFERROR(VLOOKUP(A229,'Pedido ESTHER'!$B:$C,2,0),"")</f>
        <v/>
      </c>
      <c r="L229" s="12" t="str">
        <f>IF(N(K229)&gt;0,"COMPRA","NÃO COMPRA")</f>
        <v>NÃO COMPRA</v>
      </c>
    </row>
    <row r="230" spans="1:12">
      <c r="A230" s="8" t="s">
        <v>550</v>
      </c>
      <c r="B230" s="9" t="s">
        <v>51</v>
      </c>
      <c r="C230" s="9" t="e">
        <f>VLOOKUP(A230,[2]Planilha1!$A:$B,2,0)</f>
        <v>#N/A</v>
      </c>
      <c r="D230" s="10">
        <f>SUMIF([1]Relatório!$A$2:$A$2653,A230,[1]Relatório!$AK$2:$AK$2653)</f>
        <v>683</v>
      </c>
      <c r="E230" s="11">
        <f t="shared" si="6"/>
        <v>0.00116760719163973</v>
      </c>
      <c r="F230" s="11">
        <f>SUM($E$7:E230)</f>
        <v>0.618235186517983</v>
      </c>
      <c r="G230" s="12" t="str">
        <f t="shared" si="7"/>
        <v>A</v>
      </c>
      <c r="H230" s="9" t="s">
        <v>21</v>
      </c>
      <c r="I230" s="9"/>
      <c r="J230" s="9" t="s">
        <v>123</v>
      </c>
      <c r="K230" s="10">
        <f>IFERROR(VLOOKUP(A230,'Pedido ESTHER'!$B:$C,2,0),"")</f>
        <v>6</v>
      </c>
      <c r="L230" s="12" t="str">
        <f>IF(N(K230)&gt;0,"COMPRA","NÃO COMPRA")</f>
        <v>COMPRA</v>
      </c>
    </row>
    <row r="231" spans="1:12">
      <c r="A231" s="8" t="s">
        <v>551</v>
      </c>
      <c r="B231" s="9" t="s">
        <v>300</v>
      </c>
      <c r="C231" s="9" t="e">
        <f>VLOOKUP(A231,[2]Planilha1!$A:$B,2,0)</f>
        <v>#N/A</v>
      </c>
      <c r="D231" s="10">
        <f>SUMIF([1]Relatório!$A$2:$A$2653,A231,[1]Relatório!$AK$2:$AK$2653)</f>
        <v>682</v>
      </c>
      <c r="E231" s="11">
        <f t="shared" si="6"/>
        <v>0.00116589766427276</v>
      </c>
      <c r="F231" s="11">
        <f>SUM($E$7:E231)</f>
        <v>0.619401084182256</v>
      </c>
      <c r="G231" s="12" t="str">
        <f t="shared" si="7"/>
        <v>A</v>
      </c>
      <c r="H231" s="9" t="s">
        <v>117</v>
      </c>
      <c r="I231" s="9" t="s">
        <v>552</v>
      </c>
      <c r="J231" s="9" t="s">
        <v>29</v>
      </c>
      <c r="K231" s="10" t="str">
        <f>IFERROR(VLOOKUP(A231,'Pedido ESTHER'!$B:$C,2,0),"")</f>
        <v/>
      </c>
      <c r="L231" s="12" t="str">
        <f>IF(N(K231)&gt;0,"COMPRA","NÃO COMPRA")</f>
        <v>NÃO COMPRA</v>
      </c>
    </row>
    <row r="232" spans="1:12">
      <c r="A232" s="8" t="s">
        <v>553</v>
      </c>
      <c r="B232" s="9" t="s">
        <v>349</v>
      </c>
      <c r="C232" s="9" t="e">
        <f>VLOOKUP(A232,[2]Planilha1!$A:$B,2,0)</f>
        <v>#N/A</v>
      </c>
      <c r="D232" s="10">
        <f>SUMIF([1]Relatório!$A$2:$A$2653,A232,[1]Relatório!$AK$2:$AK$2653)</f>
        <v>681</v>
      </c>
      <c r="E232" s="11">
        <f t="shared" si="6"/>
        <v>0.00116418813690579</v>
      </c>
      <c r="F232" s="11">
        <f>SUM($E$7:E232)</f>
        <v>0.620565272319162</v>
      </c>
      <c r="G232" s="12" t="str">
        <f t="shared" si="7"/>
        <v>A</v>
      </c>
      <c r="H232" s="9" t="s">
        <v>18</v>
      </c>
      <c r="I232" s="9"/>
      <c r="J232" s="9" t="s">
        <v>164</v>
      </c>
      <c r="K232" s="10" t="str">
        <f>IFERROR(VLOOKUP(A232,'Pedido ESTHER'!$B:$C,2,0),"")</f>
        <v/>
      </c>
      <c r="L232" s="12" t="str">
        <f>IF(N(K232)&gt;0,"COMPRA","NÃO COMPRA")</f>
        <v>NÃO COMPRA</v>
      </c>
    </row>
    <row r="233" spans="1:12">
      <c r="A233" s="8" t="s">
        <v>554</v>
      </c>
      <c r="B233" s="9" t="s">
        <v>27</v>
      </c>
      <c r="C233" s="9" t="e">
        <f>VLOOKUP(A233,[2]Planilha1!$A:$B,2,0)</f>
        <v>#N/A</v>
      </c>
      <c r="D233" s="10">
        <f>SUMIF([1]Relatório!$A$2:$A$2653,A233,[1]Relatório!$AK$2:$AK$2653)</f>
        <v>680</v>
      </c>
      <c r="E233" s="11">
        <f t="shared" si="6"/>
        <v>0.00116247860953882</v>
      </c>
      <c r="F233" s="11">
        <f>SUM($E$7:E233)</f>
        <v>0.6217277509287</v>
      </c>
      <c r="G233" s="12" t="str">
        <f t="shared" si="7"/>
        <v>A</v>
      </c>
      <c r="H233" s="9" t="s">
        <v>21</v>
      </c>
      <c r="I233" s="9"/>
      <c r="J233" s="9" t="s">
        <v>29</v>
      </c>
      <c r="K233" s="10" t="str">
        <f>IFERROR(VLOOKUP(A233,'Pedido ESTHER'!$B:$C,2,0),"")</f>
        <v/>
      </c>
      <c r="L233" s="12" t="str">
        <f>IF(N(K233)&gt;0,"COMPRA","NÃO COMPRA")</f>
        <v>NÃO COMPRA</v>
      </c>
    </row>
    <row r="234" spans="1:12">
      <c r="A234" s="8" t="s">
        <v>555</v>
      </c>
      <c r="B234" s="9" t="s">
        <v>42</v>
      </c>
      <c r="C234" s="9" t="e">
        <f>VLOOKUP(A234,[2]Planilha1!$A:$B,2,0)</f>
        <v>#N/A</v>
      </c>
      <c r="D234" s="10">
        <f>SUMIF([1]Relatório!$A$2:$A$2653,A234,[1]Relatório!$AK$2:$AK$2653)</f>
        <v>678</v>
      </c>
      <c r="E234" s="11">
        <f t="shared" si="6"/>
        <v>0.00115905955480488</v>
      </c>
      <c r="F234" s="11">
        <f>SUM($E$7:E234)</f>
        <v>0.622886810483505</v>
      </c>
      <c r="G234" s="12" t="str">
        <f t="shared" si="7"/>
        <v>A</v>
      </c>
      <c r="H234" s="9" t="s">
        <v>21</v>
      </c>
      <c r="I234" s="9" t="s">
        <v>556</v>
      </c>
      <c r="J234" s="9" t="s">
        <v>44</v>
      </c>
      <c r="K234" s="10" t="str">
        <f>IFERROR(VLOOKUP(A234,'Pedido ESTHER'!$B:$C,2,0),"")</f>
        <v/>
      </c>
      <c r="L234" s="12" t="str">
        <f>IF(N(K234)&gt;0,"COMPRA","NÃO COMPRA")</f>
        <v>NÃO COMPRA</v>
      </c>
    </row>
    <row r="235" spans="1:12">
      <c r="A235" s="8" t="s">
        <v>557</v>
      </c>
      <c r="B235" s="9" t="s">
        <v>42</v>
      </c>
      <c r="C235" s="9" t="e">
        <f>VLOOKUP(A235,[2]Planilha1!$A:$B,2,0)</f>
        <v>#N/A</v>
      </c>
      <c r="D235" s="10">
        <f>SUMIF([1]Relatório!$A$2:$A$2653,A235,[1]Relatório!$AK$2:$AK$2653)</f>
        <v>676</v>
      </c>
      <c r="E235" s="11">
        <f t="shared" si="6"/>
        <v>0.00115564050007095</v>
      </c>
      <c r="F235" s="11">
        <f>SUM($E$7:E235)</f>
        <v>0.624042450983576</v>
      </c>
      <c r="G235" s="12" t="str">
        <f t="shared" si="7"/>
        <v>A</v>
      </c>
      <c r="H235" s="9" t="s">
        <v>21</v>
      </c>
      <c r="I235" s="9" t="s">
        <v>558</v>
      </c>
      <c r="J235" s="9" t="s">
        <v>44</v>
      </c>
      <c r="K235" s="10" t="str">
        <f>IFERROR(VLOOKUP(A235,'Pedido ESTHER'!$B:$C,2,0),"")</f>
        <v/>
      </c>
      <c r="L235" s="12" t="str">
        <f>IF(N(K235)&gt;0,"COMPRA","NÃO COMPRA")</f>
        <v>NÃO COMPRA</v>
      </c>
    </row>
    <row r="236" spans="1:12">
      <c r="A236" s="8" t="s">
        <v>559</v>
      </c>
      <c r="B236" s="9" t="s">
        <v>21</v>
      </c>
      <c r="C236" s="9" t="e">
        <f>VLOOKUP(A236,[2]Planilha1!$A:$B,2,0)</f>
        <v>#N/A</v>
      </c>
      <c r="D236" s="10">
        <f>SUMIF([1]Relatório!$A$2:$A$2653,A236,[1]Relatório!$AK$2:$AK$2653)</f>
        <v>674</v>
      </c>
      <c r="E236" s="11">
        <f t="shared" si="6"/>
        <v>0.00115222144533701</v>
      </c>
      <c r="F236" s="11">
        <f>SUM($E$7:E236)</f>
        <v>0.625194672428913</v>
      </c>
      <c r="G236" s="12" t="str">
        <f t="shared" si="7"/>
        <v>A</v>
      </c>
      <c r="H236" s="9" t="s">
        <v>21</v>
      </c>
      <c r="I236" s="9"/>
      <c r="J236" s="9" t="s">
        <v>158</v>
      </c>
      <c r="K236" s="10" t="str">
        <f>IFERROR(VLOOKUP(A236,'Pedido ESTHER'!$B:$C,2,0),"")</f>
        <v/>
      </c>
      <c r="L236" s="12" t="str">
        <f>IF(N(K236)&gt;0,"COMPRA","NÃO COMPRA")</f>
        <v>NÃO COMPRA</v>
      </c>
    </row>
    <row r="237" spans="1:12">
      <c r="A237" s="8" t="s">
        <v>560</v>
      </c>
      <c r="B237" s="9" t="s">
        <v>125</v>
      </c>
      <c r="C237" s="9" t="e">
        <f>VLOOKUP(A237,[2]Planilha1!$A:$B,2,0)</f>
        <v>#N/A</v>
      </c>
      <c r="D237" s="10">
        <f>SUMIF([1]Relatório!$A$2:$A$2653,A237,[1]Relatório!$AK$2:$AK$2653)</f>
        <v>670</v>
      </c>
      <c r="E237" s="11">
        <f t="shared" si="6"/>
        <v>0.00114538333586913</v>
      </c>
      <c r="F237" s="11">
        <f>SUM($E$7:E237)</f>
        <v>0.626340055764782</v>
      </c>
      <c r="G237" s="12" t="str">
        <f t="shared" si="7"/>
        <v>A</v>
      </c>
      <c r="H237" s="9" t="s">
        <v>74</v>
      </c>
      <c r="I237" s="9" t="s">
        <v>561</v>
      </c>
      <c r="J237" s="9" t="s">
        <v>23</v>
      </c>
      <c r="K237" s="10" t="str">
        <f>IFERROR(VLOOKUP(A237,'Pedido ESTHER'!$B:$C,2,0),"")</f>
        <v/>
      </c>
      <c r="L237" s="12" t="str">
        <f>IF(N(K237)&gt;0,"COMPRA","NÃO COMPRA")</f>
        <v>NÃO COMPRA</v>
      </c>
    </row>
    <row r="238" spans="1:12">
      <c r="A238" s="8" t="s">
        <v>562</v>
      </c>
      <c r="B238" s="9" t="s">
        <v>20</v>
      </c>
      <c r="C238" s="9" t="e">
        <f>VLOOKUP(A238,[2]Planilha1!$A:$B,2,0)</f>
        <v>#N/A</v>
      </c>
      <c r="D238" s="10">
        <f>SUMIF([1]Relatório!$A$2:$A$2653,A238,[1]Relatório!$AK$2:$AK$2653)</f>
        <v>666</v>
      </c>
      <c r="E238" s="11">
        <f t="shared" si="6"/>
        <v>0.00113854522640126</v>
      </c>
      <c r="F238" s="11">
        <f>SUM($E$7:E238)</f>
        <v>0.627478600991184</v>
      </c>
      <c r="G238" s="12" t="str">
        <f t="shared" si="7"/>
        <v>A</v>
      </c>
      <c r="H238" s="9" t="s">
        <v>21</v>
      </c>
      <c r="I238" s="9"/>
      <c r="J238" s="9" t="s">
        <v>23</v>
      </c>
      <c r="K238" s="10" t="str">
        <f>IFERROR(VLOOKUP(A238,'Pedido ESTHER'!$B:$C,2,0),"")</f>
        <v/>
      </c>
      <c r="L238" s="12" t="str">
        <f>IF(N(K238)&gt;0,"COMPRA","NÃO COMPRA")</f>
        <v>NÃO COMPRA</v>
      </c>
    </row>
    <row r="239" spans="1:12">
      <c r="A239" s="8" t="s">
        <v>563</v>
      </c>
      <c r="B239" s="9" t="s">
        <v>421</v>
      </c>
      <c r="C239" s="9" t="e">
        <f>VLOOKUP(A239,[2]Planilha1!$A:$B,2,0)</f>
        <v>#N/A</v>
      </c>
      <c r="D239" s="10">
        <f>SUMIF([1]Relatório!$A$2:$A$2653,A239,[1]Relatório!$AK$2:$AK$2653)</f>
        <v>666</v>
      </c>
      <c r="E239" s="11">
        <f t="shared" si="6"/>
        <v>0.00113854522640126</v>
      </c>
      <c r="F239" s="11">
        <f>SUM($E$7:E239)</f>
        <v>0.628617146217585</v>
      </c>
      <c r="G239" s="12" t="str">
        <f t="shared" si="7"/>
        <v>A</v>
      </c>
      <c r="H239" s="9" t="s">
        <v>221</v>
      </c>
      <c r="I239" s="9" t="s">
        <v>564</v>
      </c>
      <c r="J239" s="9" t="s">
        <v>44</v>
      </c>
      <c r="K239" s="10" t="str">
        <f>IFERROR(VLOOKUP(A239,'Pedido ESTHER'!$B:$C,2,0),"")</f>
        <v/>
      </c>
      <c r="L239" s="12" t="str">
        <f>IF(N(K239)&gt;0,"COMPRA","NÃO COMPRA")</f>
        <v>NÃO COMPRA</v>
      </c>
    </row>
    <row r="240" spans="1:12">
      <c r="A240" s="8" t="s">
        <v>565</v>
      </c>
      <c r="B240" s="9" t="s">
        <v>566</v>
      </c>
      <c r="C240" s="9" t="e">
        <f>VLOOKUP(A240,[2]Planilha1!$A:$B,2,0)</f>
        <v>#N/A</v>
      </c>
      <c r="D240" s="10">
        <f>SUMIF([1]Relatório!$A$2:$A$2653,A240,[1]Relatório!$AK$2:$AK$2653)</f>
        <v>666</v>
      </c>
      <c r="E240" s="11">
        <f t="shared" si="6"/>
        <v>0.00113854522640126</v>
      </c>
      <c r="F240" s="11">
        <f>SUM($E$7:E240)</f>
        <v>0.629755691443986</v>
      </c>
      <c r="G240" s="12" t="str">
        <f t="shared" si="7"/>
        <v>A</v>
      </c>
      <c r="H240" s="9" t="s">
        <v>221</v>
      </c>
      <c r="I240" s="9" t="s">
        <v>567</v>
      </c>
      <c r="J240" s="9" t="s">
        <v>568</v>
      </c>
      <c r="K240" s="10" t="str">
        <f>IFERROR(VLOOKUP(A240,'Pedido ESTHER'!$B:$C,2,0),"")</f>
        <v/>
      </c>
      <c r="L240" s="12" t="str">
        <f>IF(N(K240)&gt;0,"COMPRA","NÃO COMPRA")</f>
        <v>NÃO COMPRA</v>
      </c>
    </row>
    <row r="241" spans="1:12">
      <c r="A241" s="8" t="s">
        <v>569</v>
      </c>
      <c r="B241" s="9" t="s">
        <v>570</v>
      </c>
      <c r="C241" s="9" t="e">
        <f>VLOOKUP(A241,[2]Planilha1!$A:$B,2,0)</f>
        <v>#N/A</v>
      </c>
      <c r="D241" s="10">
        <f>SUMIF([1]Relatório!$A$2:$A$2653,A241,[1]Relatório!$AK$2:$AK$2653)</f>
        <v>665</v>
      </c>
      <c r="E241" s="11">
        <f t="shared" si="6"/>
        <v>0.00113683569903429</v>
      </c>
      <c r="F241" s="11">
        <f>SUM($E$7:E241)</f>
        <v>0.63089252714302</v>
      </c>
      <c r="G241" s="12" t="str">
        <f t="shared" si="7"/>
        <v>A</v>
      </c>
      <c r="H241" s="9" t="s">
        <v>18</v>
      </c>
      <c r="I241" s="9"/>
      <c r="J241" s="9" t="s">
        <v>158</v>
      </c>
      <c r="K241" s="10" t="str">
        <f>IFERROR(VLOOKUP(A241,'Pedido ESTHER'!$B:$C,2,0),"")</f>
        <v/>
      </c>
      <c r="L241" s="12" t="str">
        <f>IF(N(K241)&gt;0,"COMPRA","NÃO COMPRA")</f>
        <v>NÃO COMPRA</v>
      </c>
    </row>
    <row r="242" spans="1:12">
      <c r="A242" s="8" t="s">
        <v>571</v>
      </c>
      <c r="B242" s="9" t="s">
        <v>426</v>
      </c>
      <c r="C242" s="9" t="e">
        <f>VLOOKUP(A242,[2]Planilha1!$A:$B,2,0)</f>
        <v>#N/A</v>
      </c>
      <c r="D242" s="10">
        <f>SUMIF([1]Relatório!$A$2:$A$2653,A242,[1]Relatório!$AK$2:$AK$2653)</f>
        <v>659</v>
      </c>
      <c r="E242" s="11">
        <f t="shared" si="6"/>
        <v>0.00112657853483247</v>
      </c>
      <c r="F242" s="11">
        <f>SUM($E$7:E242)</f>
        <v>0.632019105677853</v>
      </c>
      <c r="G242" s="12" t="str">
        <f t="shared" si="7"/>
        <v>A</v>
      </c>
      <c r="H242" s="9" t="s">
        <v>117</v>
      </c>
      <c r="I242" s="9" t="s">
        <v>572</v>
      </c>
      <c r="J242" s="9" t="s">
        <v>64</v>
      </c>
      <c r="K242" s="10" t="str">
        <f>IFERROR(VLOOKUP(A242,'Pedido ESTHER'!$B:$C,2,0),"")</f>
        <v/>
      </c>
      <c r="L242" s="12" t="str">
        <f>IF(N(K242)&gt;0,"COMPRA","NÃO COMPRA")</f>
        <v>NÃO COMPRA</v>
      </c>
    </row>
    <row r="243" spans="1:12">
      <c r="A243" s="8" t="s">
        <v>573</v>
      </c>
      <c r="B243" s="9" t="s">
        <v>574</v>
      </c>
      <c r="C243" s="9" t="e">
        <f>VLOOKUP(A243,[2]Planilha1!$A:$B,2,0)</f>
        <v>#N/A</v>
      </c>
      <c r="D243" s="10">
        <f>SUMIF([1]Relatório!$A$2:$A$2653,A243,[1]Relatório!$AK$2:$AK$2653)</f>
        <v>657</v>
      </c>
      <c r="E243" s="11">
        <f t="shared" si="6"/>
        <v>0.00112315948009854</v>
      </c>
      <c r="F243" s="11">
        <f>SUM($E$7:E243)</f>
        <v>0.633142265157951</v>
      </c>
      <c r="G243" s="12" t="str">
        <f t="shared" si="7"/>
        <v>A</v>
      </c>
      <c r="H243" s="9" t="s">
        <v>221</v>
      </c>
      <c r="I243" s="9" t="s">
        <v>575</v>
      </c>
      <c r="J243" s="9" t="s">
        <v>576</v>
      </c>
      <c r="K243" s="10" t="str">
        <f>IFERROR(VLOOKUP(A243,'Pedido ESTHER'!$B:$C,2,0),"")</f>
        <v/>
      </c>
      <c r="L243" s="12" t="str">
        <f>IF(N(K243)&gt;0,"COMPRA","NÃO COMPRA")</f>
        <v>NÃO COMPRA</v>
      </c>
    </row>
    <row r="244" spans="1:12">
      <c r="A244" s="8" t="s">
        <v>577</v>
      </c>
      <c r="B244" s="9" t="s">
        <v>20</v>
      </c>
      <c r="C244" s="9" t="e">
        <f>VLOOKUP(A244,[2]Planilha1!$A:$B,2,0)</f>
        <v>#N/A</v>
      </c>
      <c r="D244" s="10">
        <f>SUMIF([1]Relatório!$A$2:$A$2653,A244,[1]Relatório!$AK$2:$AK$2653)</f>
        <v>656</v>
      </c>
      <c r="E244" s="11">
        <f t="shared" si="6"/>
        <v>0.00112144995273157</v>
      </c>
      <c r="F244" s="11">
        <f>SUM($E$7:E244)</f>
        <v>0.634263715110683</v>
      </c>
      <c r="G244" s="12" t="str">
        <f t="shared" si="7"/>
        <v>A</v>
      </c>
      <c r="H244" s="9" t="s">
        <v>21</v>
      </c>
      <c r="I244" s="9"/>
      <c r="J244" s="9" t="s">
        <v>23</v>
      </c>
      <c r="K244" s="10" t="str">
        <f>IFERROR(VLOOKUP(A244,'Pedido ESTHER'!$B:$C,2,0),"")</f>
        <v/>
      </c>
      <c r="L244" s="12" t="str">
        <f>IF(N(K244)&gt;0,"COMPRA","NÃO COMPRA")</f>
        <v>NÃO COMPRA</v>
      </c>
    </row>
    <row r="245" spans="1:12">
      <c r="A245" s="8" t="s">
        <v>578</v>
      </c>
      <c r="B245" s="9" t="s">
        <v>177</v>
      </c>
      <c r="C245" s="9" t="e">
        <f>VLOOKUP(A245,[2]Planilha1!$A:$B,2,0)</f>
        <v>#N/A</v>
      </c>
      <c r="D245" s="10">
        <f>SUMIF([1]Relatório!$A$2:$A$2653,A245,[1]Relatório!$AK$2:$AK$2653)</f>
        <v>654</v>
      </c>
      <c r="E245" s="11">
        <f t="shared" si="6"/>
        <v>0.00111803089799763</v>
      </c>
      <c r="F245" s="11">
        <f>SUM($E$7:E245)</f>
        <v>0.635381746008681</v>
      </c>
      <c r="G245" s="12" t="str">
        <f t="shared" si="7"/>
        <v>A</v>
      </c>
      <c r="H245" s="9" t="s">
        <v>21</v>
      </c>
      <c r="I245" s="9"/>
      <c r="J245" s="9" t="s">
        <v>36</v>
      </c>
      <c r="K245" s="10" t="str">
        <f>IFERROR(VLOOKUP(A245,'Pedido ESTHER'!$B:$C,2,0),"")</f>
        <v/>
      </c>
      <c r="L245" s="12" t="str">
        <f>IF(N(K245)&gt;0,"COMPRA","NÃO COMPRA")</f>
        <v>NÃO COMPRA</v>
      </c>
    </row>
    <row r="246" spans="1:12">
      <c r="A246" s="8" t="s">
        <v>579</v>
      </c>
      <c r="B246" s="9" t="s">
        <v>177</v>
      </c>
      <c r="C246" s="9" t="e">
        <f>VLOOKUP(A246,[2]Planilha1!$A:$B,2,0)</f>
        <v>#N/A</v>
      </c>
      <c r="D246" s="10">
        <f>SUMIF([1]Relatório!$A$2:$A$2653,A246,[1]Relatório!$AK$2:$AK$2653)</f>
        <v>652</v>
      </c>
      <c r="E246" s="11">
        <f t="shared" si="6"/>
        <v>0.00111461184326369</v>
      </c>
      <c r="F246" s="11">
        <f>SUM($E$7:E246)</f>
        <v>0.636496357851944</v>
      </c>
      <c r="G246" s="12" t="str">
        <f t="shared" si="7"/>
        <v>A</v>
      </c>
      <c r="H246" s="9" t="s">
        <v>21</v>
      </c>
      <c r="I246" s="9"/>
      <c r="J246" s="9" t="s">
        <v>36</v>
      </c>
      <c r="K246" s="10" t="str">
        <f>IFERROR(VLOOKUP(A246,'Pedido ESTHER'!$B:$C,2,0),"")</f>
        <v/>
      </c>
      <c r="L246" s="12" t="str">
        <f>IF(N(K246)&gt;0,"COMPRA","NÃO COMPRA")</f>
        <v>NÃO COMPRA</v>
      </c>
    </row>
    <row r="247" spans="1:12">
      <c r="A247" s="8" t="s">
        <v>580</v>
      </c>
      <c r="B247" s="9" t="s">
        <v>179</v>
      </c>
      <c r="C247" s="9" t="e">
        <f>VLOOKUP(A247,[2]Planilha1!$A:$B,2,0)</f>
        <v>#N/A</v>
      </c>
      <c r="D247" s="10">
        <f>SUMIF([1]Relatório!$A$2:$A$2653,A247,[1]Relatório!$AK$2:$AK$2653)</f>
        <v>651</v>
      </c>
      <c r="E247" s="11">
        <f t="shared" si="6"/>
        <v>0.00111290231589672</v>
      </c>
      <c r="F247" s="11">
        <f>SUM($E$7:E247)</f>
        <v>0.637609260167841</v>
      </c>
      <c r="G247" s="12" t="str">
        <f t="shared" si="7"/>
        <v>A</v>
      </c>
      <c r="H247" s="9" t="s">
        <v>18</v>
      </c>
      <c r="I247" s="9"/>
      <c r="J247" s="9" t="s">
        <v>40</v>
      </c>
      <c r="K247" s="10" t="str">
        <f>IFERROR(VLOOKUP(A247,'Pedido ESTHER'!$B:$C,2,0),"")</f>
        <v/>
      </c>
      <c r="L247" s="12" t="str">
        <f>IF(N(K247)&gt;0,"COMPRA","NÃO COMPRA")</f>
        <v>NÃO COMPRA</v>
      </c>
    </row>
    <row r="248" spans="1:12">
      <c r="A248" s="8" t="s">
        <v>581</v>
      </c>
      <c r="B248" s="9" t="s">
        <v>38</v>
      </c>
      <c r="C248" s="9" t="e">
        <f>VLOOKUP(A248,[2]Planilha1!$A:$B,2,0)</f>
        <v>#N/A</v>
      </c>
      <c r="D248" s="10">
        <f>SUMIF([1]Relatório!$A$2:$A$2653,A248,[1]Relatório!$AK$2:$AK$2653)</f>
        <v>650</v>
      </c>
      <c r="E248" s="11">
        <f t="shared" si="6"/>
        <v>0.00111119278852976</v>
      </c>
      <c r="F248" s="11">
        <f>SUM($E$7:E248)</f>
        <v>0.638720452956371</v>
      </c>
      <c r="G248" s="12" t="str">
        <f t="shared" si="7"/>
        <v>A</v>
      </c>
      <c r="H248" s="9" t="s">
        <v>21</v>
      </c>
      <c r="I248" s="9" t="s">
        <v>582</v>
      </c>
      <c r="J248" s="9" t="s">
        <v>40</v>
      </c>
      <c r="K248" s="10" t="str">
        <f>IFERROR(VLOOKUP(A248,'Pedido ESTHER'!$B:$C,2,0),"")</f>
        <v/>
      </c>
      <c r="L248" s="12" t="str">
        <f>IF(N(K248)&gt;0,"COMPRA","NÃO COMPRA")</f>
        <v>NÃO COMPRA</v>
      </c>
    </row>
    <row r="249" spans="1:12">
      <c r="A249" s="8" t="s">
        <v>583</v>
      </c>
      <c r="B249" s="9" t="s">
        <v>543</v>
      </c>
      <c r="C249" s="9" t="e">
        <f>VLOOKUP(A249,[2]Planilha1!$A:$B,2,0)</f>
        <v>#N/A</v>
      </c>
      <c r="D249" s="10">
        <f>SUMIF([1]Relatório!$A$2:$A$2653,A249,[1]Relatório!$AK$2:$AK$2653)</f>
        <v>639</v>
      </c>
      <c r="E249" s="11">
        <f t="shared" si="6"/>
        <v>0.0010923879874931</v>
      </c>
      <c r="F249" s="11">
        <f>SUM($E$7:E249)</f>
        <v>0.639812840943864</v>
      </c>
      <c r="G249" s="12" t="str">
        <f t="shared" si="7"/>
        <v>A</v>
      </c>
      <c r="H249" s="9" t="s">
        <v>74</v>
      </c>
      <c r="I249" s="9" t="s">
        <v>584</v>
      </c>
      <c r="J249" s="9" t="s">
        <v>36</v>
      </c>
      <c r="K249" s="10" t="str">
        <f>IFERROR(VLOOKUP(A249,'Pedido ESTHER'!$B:$C,2,0),"")</f>
        <v/>
      </c>
      <c r="L249" s="12" t="str">
        <f>IF(N(K249)&gt;0,"COMPRA","NÃO COMPRA")</f>
        <v>NÃO COMPRA</v>
      </c>
    </row>
    <row r="250" spans="1:12">
      <c r="A250" s="8" t="s">
        <v>585</v>
      </c>
      <c r="B250" s="9" t="s">
        <v>311</v>
      </c>
      <c r="C250" s="9" t="e">
        <f>VLOOKUP(A250,[2]Planilha1!$A:$B,2,0)</f>
        <v>#N/A</v>
      </c>
      <c r="D250" s="10">
        <f>SUMIF([1]Relatório!$A$2:$A$2653,A250,[1]Relatório!$AK$2:$AK$2653)</f>
        <v>636</v>
      </c>
      <c r="E250" s="11">
        <f t="shared" si="6"/>
        <v>0.00108725940539219</v>
      </c>
      <c r="F250" s="11">
        <f>SUM($E$7:E250)</f>
        <v>0.640900100349256</v>
      </c>
      <c r="G250" s="12" t="str">
        <f t="shared" si="7"/>
        <v>A</v>
      </c>
      <c r="H250" s="9" t="s">
        <v>586</v>
      </c>
      <c r="I250" s="9"/>
      <c r="J250" s="9" t="s">
        <v>273</v>
      </c>
      <c r="K250" s="10" t="str">
        <f>IFERROR(VLOOKUP(A250,'Pedido ESTHER'!$B:$C,2,0),"")</f>
        <v/>
      </c>
      <c r="L250" s="12" t="str">
        <f>IF(N(K250)&gt;0,"COMPRA","NÃO COMPRA")</f>
        <v>NÃO COMPRA</v>
      </c>
    </row>
    <row r="251" spans="1:12">
      <c r="A251" s="8" t="s">
        <v>587</v>
      </c>
      <c r="B251" s="9" t="s">
        <v>588</v>
      </c>
      <c r="C251" s="9" t="e">
        <f>VLOOKUP(A251,[2]Planilha1!$A:$B,2,0)</f>
        <v>#N/A</v>
      </c>
      <c r="D251" s="10">
        <f>SUMIF([1]Relatório!$A$2:$A$2653,A251,[1]Relatório!$AK$2:$AK$2653)</f>
        <v>634</v>
      </c>
      <c r="E251" s="11">
        <f t="shared" si="6"/>
        <v>0.00108384035065825</v>
      </c>
      <c r="F251" s="11">
        <f>SUM($E$7:E251)</f>
        <v>0.641983940699914</v>
      </c>
      <c r="G251" s="12" t="str">
        <f t="shared" si="7"/>
        <v>A</v>
      </c>
      <c r="H251" s="9" t="s">
        <v>21</v>
      </c>
      <c r="I251" s="9"/>
      <c r="J251" s="9" t="s">
        <v>158</v>
      </c>
      <c r="K251" s="10" t="str">
        <f>IFERROR(VLOOKUP(A251,'Pedido ESTHER'!$B:$C,2,0),"")</f>
        <v/>
      </c>
      <c r="L251" s="12" t="str">
        <f>IF(N(K251)&gt;0,"COMPRA","NÃO COMPRA")</f>
        <v>NÃO COMPRA</v>
      </c>
    </row>
    <row r="252" spans="1:12">
      <c r="A252" s="8" t="s">
        <v>589</v>
      </c>
      <c r="B252" s="9" t="s">
        <v>42</v>
      </c>
      <c r="C252" s="9" t="e">
        <f>VLOOKUP(A252,[2]Planilha1!$A:$B,2,0)</f>
        <v>#N/A</v>
      </c>
      <c r="D252" s="10">
        <f>SUMIF([1]Relatório!$A$2:$A$2653,A252,[1]Relatório!$AK$2:$AK$2653)</f>
        <v>632</v>
      </c>
      <c r="E252" s="11">
        <f t="shared" si="6"/>
        <v>0.00108042129592432</v>
      </c>
      <c r="F252" s="11">
        <f>SUM($E$7:E252)</f>
        <v>0.643064361995839</v>
      </c>
      <c r="G252" s="12" t="str">
        <f t="shared" si="7"/>
        <v>A</v>
      </c>
      <c r="H252" s="9" t="s">
        <v>21</v>
      </c>
      <c r="I252" s="9" t="s">
        <v>590</v>
      </c>
      <c r="J252" s="9" t="s">
        <v>44</v>
      </c>
      <c r="K252" s="10" t="str">
        <f>IFERROR(VLOOKUP(A252,'Pedido ESTHER'!$B:$C,2,0),"")</f>
        <v/>
      </c>
      <c r="L252" s="12" t="str">
        <f>IF(N(K252)&gt;0,"COMPRA","NÃO COMPRA")</f>
        <v>NÃO COMPRA</v>
      </c>
    </row>
    <row r="253" spans="1:12">
      <c r="A253" s="8" t="s">
        <v>591</v>
      </c>
      <c r="B253" s="9" t="s">
        <v>133</v>
      </c>
      <c r="C253" s="9" t="e">
        <f>VLOOKUP(A253,[2]Planilha1!$A:$B,2,0)</f>
        <v>#N/A</v>
      </c>
      <c r="D253" s="10">
        <f>SUMIF([1]Relatório!$A$2:$A$2653,A253,[1]Relatório!$AK$2:$AK$2653)</f>
        <v>630</v>
      </c>
      <c r="E253" s="11">
        <f t="shared" si="6"/>
        <v>0.00107700224119038</v>
      </c>
      <c r="F253" s="11">
        <f>SUM($E$7:E253)</f>
        <v>0.644141364237029</v>
      </c>
      <c r="G253" s="12" t="str">
        <f t="shared" si="7"/>
        <v>A</v>
      </c>
      <c r="H253" s="9" t="s">
        <v>586</v>
      </c>
      <c r="I253" s="9" t="s">
        <v>592</v>
      </c>
      <c r="J253" s="9" t="s">
        <v>593</v>
      </c>
      <c r="K253" s="10" t="str">
        <f>IFERROR(VLOOKUP(A253,'Pedido ESTHER'!$B:$C,2,0),"")</f>
        <v/>
      </c>
      <c r="L253" s="12" t="str">
        <f>IF(N(K253)&gt;0,"COMPRA","NÃO COMPRA")</f>
        <v>NÃO COMPRA</v>
      </c>
    </row>
    <row r="254" spans="1:12">
      <c r="A254" s="8" t="s">
        <v>594</v>
      </c>
      <c r="B254" s="9" t="s">
        <v>335</v>
      </c>
      <c r="C254" s="9" t="e">
        <f>VLOOKUP(A254,[2]Planilha1!$A:$B,2,0)</f>
        <v>#N/A</v>
      </c>
      <c r="D254" s="10">
        <f>SUMIF([1]Relatório!$A$2:$A$2653,A254,[1]Relatório!$AK$2:$AK$2653)</f>
        <v>630</v>
      </c>
      <c r="E254" s="11">
        <f t="shared" si="6"/>
        <v>0.00107700224119038</v>
      </c>
      <c r="F254" s="11">
        <f>SUM($E$7:E254)</f>
        <v>0.645218366478219</v>
      </c>
      <c r="G254" s="12" t="str">
        <f t="shared" si="7"/>
        <v>A</v>
      </c>
      <c r="H254" s="9" t="s">
        <v>183</v>
      </c>
      <c r="I254" s="9" t="s">
        <v>595</v>
      </c>
      <c r="J254" s="9" t="s">
        <v>44</v>
      </c>
      <c r="K254" s="10" t="str">
        <f>IFERROR(VLOOKUP(A254,'Pedido ESTHER'!$B:$C,2,0),"")</f>
        <v/>
      </c>
      <c r="L254" s="12" t="str">
        <f>IF(N(K254)&gt;0,"COMPRA","NÃO COMPRA")</f>
        <v>NÃO COMPRA</v>
      </c>
    </row>
    <row r="255" spans="1:12">
      <c r="A255" s="8" t="s">
        <v>596</v>
      </c>
      <c r="B255" s="9" t="s">
        <v>300</v>
      </c>
      <c r="C255" s="9" t="e">
        <f>VLOOKUP(A255,[2]Planilha1!$A:$B,2,0)</f>
        <v>#N/A</v>
      </c>
      <c r="D255" s="10">
        <f>SUMIF([1]Relatório!$A$2:$A$2653,A255,[1]Relatório!$AK$2:$AK$2653)</f>
        <v>626</v>
      </c>
      <c r="E255" s="11">
        <f t="shared" si="6"/>
        <v>0.0010701641317225</v>
      </c>
      <c r="F255" s="11">
        <f>SUM($E$7:E255)</f>
        <v>0.646288530609942</v>
      </c>
      <c r="G255" s="12" t="str">
        <f t="shared" si="7"/>
        <v>A</v>
      </c>
      <c r="H255" s="9" t="s">
        <v>117</v>
      </c>
      <c r="I255" s="9" t="s">
        <v>597</v>
      </c>
      <c r="J255" s="9" t="s">
        <v>29</v>
      </c>
      <c r="K255" s="10" t="str">
        <f>IFERROR(VLOOKUP(A255,'Pedido ESTHER'!$B:$C,2,0),"")</f>
        <v/>
      </c>
      <c r="L255" s="12" t="str">
        <f>IF(N(K255)&gt;0,"COMPRA","NÃO COMPRA")</f>
        <v>NÃO COMPRA</v>
      </c>
    </row>
    <row r="256" spans="1:12">
      <c r="A256" s="8" t="s">
        <v>598</v>
      </c>
      <c r="B256" s="9" t="s">
        <v>116</v>
      </c>
      <c r="C256" s="9" t="e">
        <f>VLOOKUP(A256,[2]Planilha1!$A:$B,2,0)</f>
        <v>#N/A</v>
      </c>
      <c r="D256" s="10">
        <f>SUMIF([1]Relatório!$A$2:$A$2653,A256,[1]Relatório!$AK$2:$AK$2653)</f>
        <v>625</v>
      </c>
      <c r="E256" s="11">
        <f t="shared" si="6"/>
        <v>0.00106845460435553</v>
      </c>
      <c r="F256" s="11">
        <f>SUM($E$7:E256)</f>
        <v>0.647356985214297</v>
      </c>
      <c r="G256" s="12" t="str">
        <f t="shared" si="7"/>
        <v>A</v>
      </c>
      <c r="H256" s="9" t="s">
        <v>117</v>
      </c>
      <c r="I256" s="9" t="s">
        <v>599</v>
      </c>
      <c r="J256" s="9" t="s">
        <v>600</v>
      </c>
      <c r="K256" s="10" t="str">
        <f>IFERROR(VLOOKUP(A256,'Pedido ESTHER'!$B:$C,2,0),"")</f>
        <v/>
      </c>
      <c r="L256" s="12" t="str">
        <f>IF(N(K256)&gt;0,"COMPRA","NÃO COMPRA")</f>
        <v>NÃO COMPRA</v>
      </c>
    </row>
    <row r="257" spans="1:12">
      <c r="A257" s="8" t="s">
        <v>601</v>
      </c>
      <c r="B257" s="9" t="s">
        <v>602</v>
      </c>
      <c r="C257" s="9" t="e">
        <f>VLOOKUP(A257,[2]Planilha1!$A:$B,2,0)</f>
        <v>#N/A</v>
      </c>
      <c r="D257" s="10">
        <f>SUMIF([1]Relatório!$A$2:$A$2653,A257,[1]Relatório!$AK$2:$AK$2653)</f>
        <v>624</v>
      </c>
      <c r="E257" s="11">
        <f t="shared" si="6"/>
        <v>0.00106674507698857</v>
      </c>
      <c r="F257" s="11">
        <f>SUM($E$7:E257)</f>
        <v>0.648423730291286</v>
      </c>
      <c r="G257" s="12" t="str">
        <f t="shared" si="7"/>
        <v>A</v>
      </c>
      <c r="H257" s="9" t="s">
        <v>183</v>
      </c>
      <c r="I257" s="9"/>
      <c r="J257" s="9" t="s">
        <v>213</v>
      </c>
      <c r="K257" s="10" t="str">
        <f>IFERROR(VLOOKUP(A257,'Pedido ESTHER'!$B:$C,2,0),"")</f>
        <v/>
      </c>
      <c r="L257" s="12" t="str">
        <f>IF(N(K257)&gt;0,"COMPRA","NÃO COMPRA")</f>
        <v>NÃO COMPRA</v>
      </c>
    </row>
    <row r="258" spans="1:12">
      <c r="A258" s="8" t="s">
        <v>603</v>
      </c>
      <c r="B258" s="9" t="s">
        <v>38</v>
      </c>
      <c r="C258" s="9" t="e">
        <f>VLOOKUP(A258,[2]Planilha1!$A:$B,2,0)</f>
        <v>#N/A</v>
      </c>
      <c r="D258" s="10">
        <f>SUMIF([1]Relatório!$A$2:$A$2653,A258,[1]Relatório!$AK$2:$AK$2653)</f>
        <v>620</v>
      </c>
      <c r="E258" s="11">
        <f t="shared" si="6"/>
        <v>0.00105990696752069</v>
      </c>
      <c r="F258" s="11">
        <f>SUM($E$7:E258)</f>
        <v>0.649483637258807</v>
      </c>
      <c r="G258" s="12" t="str">
        <f t="shared" si="7"/>
        <v>A</v>
      </c>
      <c r="H258" s="9" t="s">
        <v>21</v>
      </c>
      <c r="I258" s="9" t="s">
        <v>604</v>
      </c>
      <c r="J258" s="9" t="s">
        <v>40</v>
      </c>
      <c r="K258" s="10" t="str">
        <f>IFERROR(VLOOKUP(A258,'Pedido ESTHER'!$B:$C,2,0),"")</f>
        <v/>
      </c>
      <c r="L258" s="12" t="str">
        <f>IF(N(K258)&gt;0,"COMPRA","NÃO COMPRA")</f>
        <v>NÃO COMPRA</v>
      </c>
    </row>
    <row r="259" spans="1:12">
      <c r="A259" s="8" t="s">
        <v>605</v>
      </c>
      <c r="B259" s="9" t="s">
        <v>606</v>
      </c>
      <c r="C259" s="9" t="e">
        <f>VLOOKUP(A259,[2]Planilha1!$A:$B,2,0)</f>
        <v>#N/A</v>
      </c>
      <c r="D259" s="10">
        <f>SUMIF([1]Relatório!$A$2:$A$2653,A259,[1]Relatório!$AK$2:$AK$2653)</f>
        <v>618</v>
      </c>
      <c r="E259" s="11">
        <f t="shared" si="6"/>
        <v>0.00105648791278675</v>
      </c>
      <c r="F259" s="11">
        <f>SUM($E$7:E259)</f>
        <v>0.650540125171593</v>
      </c>
      <c r="G259" s="12" t="str">
        <f t="shared" si="7"/>
        <v>A</v>
      </c>
      <c r="H259" s="9" t="s">
        <v>437</v>
      </c>
      <c r="I259" s="9"/>
      <c r="J259" s="9" t="s">
        <v>23</v>
      </c>
      <c r="K259" s="10" t="str">
        <f>IFERROR(VLOOKUP(A259,'Pedido ESTHER'!$B:$C,2,0),"")</f>
        <v/>
      </c>
      <c r="L259" s="12" t="str">
        <f>IF(N(K259)&gt;0,"COMPRA","NÃO COMPRA")</f>
        <v>NÃO COMPRA</v>
      </c>
    </row>
    <row r="260" spans="1:12">
      <c r="A260" s="8" t="s">
        <v>607</v>
      </c>
      <c r="B260" s="9" t="s">
        <v>42</v>
      </c>
      <c r="C260" s="9" t="e">
        <f>VLOOKUP(A260,[2]Planilha1!$A:$B,2,0)</f>
        <v>#N/A</v>
      </c>
      <c r="D260" s="10">
        <f>SUMIF([1]Relatório!$A$2:$A$2653,A260,[1]Relatório!$AK$2:$AK$2653)</f>
        <v>615</v>
      </c>
      <c r="E260" s="11">
        <f t="shared" si="6"/>
        <v>0.00105135933068585</v>
      </c>
      <c r="F260" s="11">
        <f>SUM($E$7:E260)</f>
        <v>0.651591484502279</v>
      </c>
      <c r="G260" s="12" t="str">
        <f t="shared" si="7"/>
        <v>A</v>
      </c>
      <c r="H260" s="9" t="s">
        <v>21</v>
      </c>
      <c r="I260" s="9" t="s">
        <v>608</v>
      </c>
      <c r="J260" s="9" t="s">
        <v>44</v>
      </c>
      <c r="K260" s="10" t="str">
        <f>IFERROR(VLOOKUP(A260,'Pedido ESTHER'!$B:$C,2,0),"")</f>
        <v/>
      </c>
      <c r="L260" s="12" t="str">
        <f>IF(N(K260)&gt;0,"COMPRA","NÃO COMPRA")</f>
        <v>NÃO COMPRA</v>
      </c>
    </row>
    <row r="261" spans="1:12">
      <c r="A261" s="8" t="s">
        <v>609</v>
      </c>
      <c r="B261" s="9" t="s">
        <v>373</v>
      </c>
      <c r="C261" s="9" t="e">
        <f>VLOOKUP(A261,[2]Planilha1!$A:$B,2,0)</f>
        <v>#N/A</v>
      </c>
      <c r="D261" s="10">
        <f>SUMIF([1]Relatório!$A$2:$A$2653,A261,[1]Relatório!$AK$2:$AK$2653)</f>
        <v>615</v>
      </c>
      <c r="E261" s="11">
        <f t="shared" si="6"/>
        <v>0.00105135933068585</v>
      </c>
      <c r="F261" s="11">
        <f>SUM($E$7:E261)</f>
        <v>0.652642843832965</v>
      </c>
      <c r="G261" s="12" t="str">
        <f t="shared" si="7"/>
        <v>A</v>
      </c>
      <c r="H261" s="9" t="s">
        <v>14</v>
      </c>
      <c r="I261" s="9"/>
      <c r="J261" s="9" t="s">
        <v>201</v>
      </c>
      <c r="K261" s="10" t="str">
        <f>IFERROR(VLOOKUP(A261,'Pedido ESTHER'!$B:$C,2,0),"")</f>
        <v/>
      </c>
      <c r="L261" s="12" t="str">
        <f>IF(N(K261)&gt;0,"COMPRA","NÃO COMPRA")</f>
        <v>NÃO COMPRA</v>
      </c>
    </row>
    <row r="262" spans="1:12">
      <c r="A262" s="8" t="s">
        <v>610</v>
      </c>
      <c r="B262" s="9" t="s">
        <v>226</v>
      </c>
      <c r="C262" s="9" t="e">
        <f>VLOOKUP(A262,[2]Planilha1!$A:$B,2,0)</f>
        <v>#N/A</v>
      </c>
      <c r="D262" s="10">
        <f>SUMIF([1]Relatório!$A$2:$A$2653,A262,[1]Relatório!$AK$2:$AK$2653)</f>
        <v>614</v>
      </c>
      <c r="E262" s="11">
        <f t="shared" si="6"/>
        <v>0.00104964980331888</v>
      </c>
      <c r="F262" s="11">
        <f>SUM($E$7:E262)</f>
        <v>0.653692493636284</v>
      </c>
      <c r="G262" s="12" t="str">
        <f t="shared" si="7"/>
        <v>A</v>
      </c>
      <c r="H262" s="9" t="s">
        <v>143</v>
      </c>
      <c r="I262" s="9" t="s">
        <v>611</v>
      </c>
      <c r="J262" s="9" t="s">
        <v>44</v>
      </c>
      <c r="K262" s="10" t="str">
        <f>IFERROR(VLOOKUP(A262,'Pedido ESTHER'!$B:$C,2,0),"")</f>
        <v/>
      </c>
      <c r="L262" s="12" t="str">
        <f>IF(N(K262)&gt;0,"COMPRA","NÃO COMPRA")</f>
        <v>NÃO COMPRA</v>
      </c>
    </row>
    <row r="263" spans="1:12">
      <c r="A263" s="8" t="s">
        <v>612</v>
      </c>
      <c r="B263" s="9" t="s">
        <v>613</v>
      </c>
      <c r="C263" s="9" t="e">
        <f>VLOOKUP(A263,[2]Planilha1!$A:$B,2,0)</f>
        <v>#N/A</v>
      </c>
      <c r="D263" s="10">
        <f>SUMIF([1]Relatório!$A$2:$A$2653,A263,[1]Relatório!$AK$2:$AK$2653)</f>
        <v>614</v>
      </c>
      <c r="E263" s="11">
        <f t="shared" si="6"/>
        <v>0.00104964980331888</v>
      </c>
      <c r="F263" s="11">
        <f>SUM($E$7:E263)</f>
        <v>0.654742143439603</v>
      </c>
      <c r="G263" s="12" t="str">
        <f t="shared" si="7"/>
        <v>A</v>
      </c>
      <c r="H263" s="9" t="s">
        <v>221</v>
      </c>
      <c r="I263" s="9" t="s">
        <v>614</v>
      </c>
      <c r="J263" s="9" t="s">
        <v>83</v>
      </c>
      <c r="K263" s="10" t="str">
        <f>IFERROR(VLOOKUP(A263,'Pedido ESTHER'!$B:$C,2,0),"")</f>
        <v/>
      </c>
      <c r="L263" s="12" t="str">
        <f>IF(N(K263)&gt;0,"COMPRA","NÃO COMPRA")</f>
        <v>NÃO COMPRA</v>
      </c>
    </row>
    <row r="264" spans="1:12">
      <c r="A264" s="8" t="s">
        <v>615</v>
      </c>
      <c r="B264" s="9" t="s">
        <v>125</v>
      </c>
      <c r="C264" s="9" t="e">
        <f>VLOOKUP(A264,[2]Planilha1!$A:$B,2,0)</f>
        <v>#N/A</v>
      </c>
      <c r="D264" s="10">
        <f>SUMIF([1]Relatório!$A$2:$A$2653,A264,[1]Relatório!$AK$2:$AK$2653)</f>
        <v>610</v>
      </c>
      <c r="E264" s="11">
        <f t="shared" ref="E264:E327" si="8">D264/SUM($D$7:$D$1708)</f>
        <v>0.001042811693851</v>
      </c>
      <c r="F264" s="11">
        <f>SUM($E$7:E264)</f>
        <v>0.655784955133454</v>
      </c>
      <c r="G264" s="12" t="str">
        <f t="shared" ref="G264:G327" si="9">IF(F264&lt;=70%,"A",IF(F264&lt;=90%,"B","C"))</f>
        <v>A</v>
      </c>
      <c r="H264" s="9" t="s">
        <v>74</v>
      </c>
      <c r="I264" s="9" t="s">
        <v>616</v>
      </c>
      <c r="J264" s="9" t="s">
        <v>23</v>
      </c>
      <c r="K264" s="10" t="str">
        <f>IFERROR(VLOOKUP(A264,'Pedido ESTHER'!$B:$C,2,0),"")</f>
        <v/>
      </c>
      <c r="L264" s="12" t="str">
        <f>IF(N(K264)&gt;0,"COMPRA","NÃO COMPRA")</f>
        <v>NÃO COMPRA</v>
      </c>
    </row>
    <row r="265" spans="1:12">
      <c r="A265" s="8" t="s">
        <v>617</v>
      </c>
      <c r="B265" s="9" t="s">
        <v>20</v>
      </c>
      <c r="C265" s="9" t="e">
        <f>VLOOKUP(A265,[2]Planilha1!$A:$B,2,0)</f>
        <v>#N/A</v>
      </c>
      <c r="D265" s="10">
        <f>SUMIF([1]Relatório!$A$2:$A$2653,A265,[1]Relatório!$AK$2:$AK$2653)</f>
        <v>609</v>
      </c>
      <c r="E265" s="11">
        <f t="shared" si="8"/>
        <v>0.00104110216648403</v>
      </c>
      <c r="F265" s="11">
        <f>SUM($E$7:E265)</f>
        <v>0.656826057299938</v>
      </c>
      <c r="G265" s="12" t="str">
        <f t="shared" si="9"/>
        <v>A</v>
      </c>
      <c r="H265" s="9" t="s">
        <v>21</v>
      </c>
      <c r="I265" s="9" t="s">
        <v>618</v>
      </c>
      <c r="J265" s="9" t="s">
        <v>23</v>
      </c>
      <c r="K265" s="10" t="str">
        <f>IFERROR(VLOOKUP(A265,'Pedido ESTHER'!$B:$C,2,0),"")</f>
        <v/>
      </c>
      <c r="L265" s="12" t="str">
        <f>IF(N(K265)&gt;0,"COMPRA","NÃO COMPRA")</f>
        <v>NÃO COMPRA</v>
      </c>
    </row>
    <row r="266" spans="1:12">
      <c r="A266" s="8" t="s">
        <v>619</v>
      </c>
      <c r="B266" s="9" t="s">
        <v>418</v>
      </c>
      <c r="C266" s="9" t="e">
        <f>VLOOKUP(A266,[2]Planilha1!$A:$B,2,0)</f>
        <v>#N/A</v>
      </c>
      <c r="D266" s="10">
        <f>SUMIF([1]Relatório!$A$2:$A$2653,A266,[1]Relatório!$AK$2:$AK$2653)</f>
        <v>606</v>
      </c>
      <c r="E266" s="11">
        <f t="shared" si="8"/>
        <v>0.00103597358438313</v>
      </c>
      <c r="F266" s="11">
        <f>SUM($E$7:E266)</f>
        <v>0.657862030884321</v>
      </c>
      <c r="G266" s="12" t="str">
        <f t="shared" si="9"/>
        <v>A</v>
      </c>
      <c r="H266" s="9" t="s">
        <v>117</v>
      </c>
      <c r="I266" s="9" t="s">
        <v>620</v>
      </c>
      <c r="J266" s="9" t="s">
        <v>621</v>
      </c>
      <c r="K266" s="10" t="str">
        <f>IFERROR(VLOOKUP(A266,'Pedido ESTHER'!$B:$C,2,0),"")</f>
        <v/>
      </c>
      <c r="L266" s="12" t="str">
        <f>IF(N(K266)&gt;0,"COMPRA","NÃO COMPRA")</f>
        <v>NÃO COMPRA</v>
      </c>
    </row>
    <row r="267" spans="1:12">
      <c r="A267" s="8" t="s">
        <v>622</v>
      </c>
      <c r="B267" s="9" t="s">
        <v>154</v>
      </c>
      <c r="C267" s="9" t="e">
        <f>VLOOKUP(A267,[2]Planilha1!$A:$B,2,0)</f>
        <v>#N/A</v>
      </c>
      <c r="D267" s="10">
        <f>SUMIF([1]Relatório!$A$2:$A$2653,A267,[1]Relatório!$AK$2:$AK$2653)</f>
        <v>596</v>
      </c>
      <c r="E267" s="11">
        <f t="shared" si="8"/>
        <v>0.00101887831071344</v>
      </c>
      <c r="F267" s="11">
        <f>SUM($E$7:E267)</f>
        <v>0.658880909195035</v>
      </c>
      <c r="G267" s="12" t="str">
        <f t="shared" si="9"/>
        <v>A</v>
      </c>
      <c r="H267" s="9" t="s">
        <v>117</v>
      </c>
      <c r="I267" s="9" t="s">
        <v>623</v>
      </c>
      <c r="J267" s="9" t="s">
        <v>624</v>
      </c>
      <c r="K267" s="10" t="str">
        <f>IFERROR(VLOOKUP(A267,'Pedido ESTHER'!$B:$C,2,0),"")</f>
        <v/>
      </c>
      <c r="L267" s="12" t="str">
        <f>IF(N(K267)&gt;0,"COMPRA","NÃO COMPRA")</f>
        <v>NÃO COMPRA</v>
      </c>
    </row>
    <row r="268" spans="1:12">
      <c r="A268" s="8" t="s">
        <v>625</v>
      </c>
      <c r="B268" s="9" t="s">
        <v>626</v>
      </c>
      <c r="C268" s="9" t="e">
        <f>VLOOKUP(A268,[2]Planilha1!$A:$B,2,0)</f>
        <v>#N/A</v>
      </c>
      <c r="D268" s="10">
        <f>SUMIF([1]Relatório!$A$2:$A$2653,A268,[1]Relatório!$AK$2:$AK$2653)</f>
        <v>593</v>
      </c>
      <c r="E268" s="11">
        <f t="shared" si="8"/>
        <v>0.00101374972861253</v>
      </c>
      <c r="F268" s="11">
        <f>SUM($E$7:E268)</f>
        <v>0.659894658923647</v>
      </c>
      <c r="G268" s="12" t="str">
        <f t="shared" si="9"/>
        <v>A</v>
      </c>
      <c r="H268" s="9" t="s">
        <v>117</v>
      </c>
      <c r="I268" s="9" t="s">
        <v>627</v>
      </c>
      <c r="J268" s="9" t="s">
        <v>628</v>
      </c>
      <c r="K268" s="10" t="str">
        <f>IFERROR(VLOOKUP(A268,'Pedido ESTHER'!$B:$C,2,0),"")</f>
        <v/>
      </c>
      <c r="L268" s="12" t="str">
        <f>IF(N(K268)&gt;0,"COMPRA","NÃO COMPRA")</f>
        <v>NÃO COMPRA</v>
      </c>
    </row>
    <row r="269" spans="1:12">
      <c r="A269" s="8" t="s">
        <v>629</v>
      </c>
      <c r="B269" s="9" t="s">
        <v>630</v>
      </c>
      <c r="C269" s="9" t="e">
        <f>VLOOKUP(A269,[2]Planilha1!$A:$B,2,0)</f>
        <v>#N/A</v>
      </c>
      <c r="D269" s="10">
        <f>SUMIF([1]Relatório!$A$2:$A$2653,A269,[1]Relatório!$AK$2:$AK$2653)</f>
        <v>592</v>
      </c>
      <c r="E269" s="11">
        <f t="shared" si="8"/>
        <v>0.00101204020124556</v>
      </c>
      <c r="F269" s="11">
        <f>SUM($E$7:E269)</f>
        <v>0.660906699124893</v>
      </c>
      <c r="G269" s="12" t="str">
        <f t="shared" si="9"/>
        <v>A</v>
      </c>
      <c r="H269" s="9" t="s">
        <v>117</v>
      </c>
      <c r="I269" s="9" t="s">
        <v>631</v>
      </c>
      <c r="J269" s="9" t="s">
        <v>58</v>
      </c>
      <c r="K269" s="10" t="str">
        <f>IFERROR(VLOOKUP(A269,'Pedido ESTHER'!$B:$C,2,0),"")</f>
        <v/>
      </c>
      <c r="L269" s="12" t="str">
        <f>IF(N(K269)&gt;0,"COMPRA","NÃO COMPRA")</f>
        <v>NÃO COMPRA</v>
      </c>
    </row>
    <row r="270" spans="1:12">
      <c r="A270" s="8" t="s">
        <v>632</v>
      </c>
      <c r="B270" s="9" t="s">
        <v>38</v>
      </c>
      <c r="C270" s="9" t="e">
        <f>VLOOKUP(A270,[2]Planilha1!$A:$B,2,0)</f>
        <v>#N/A</v>
      </c>
      <c r="D270" s="10">
        <f>SUMIF([1]Relatório!$A$2:$A$2653,A270,[1]Relatório!$AK$2:$AK$2653)</f>
        <v>588</v>
      </c>
      <c r="E270" s="11">
        <f t="shared" si="8"/>
        <v>0.00100520209177769</v>
      </c>
      <c r="F270" s="11">
        <f>SUM($E$7:E270)</f>
        <v>0.66191190121667</v>
      </c>
      <c r="G270" s="12" t="str">
        <f t="shared" si="9"/>
        <v>A</v>
      </c>
      <c r="H270" s="9" t="s">
        <v>21</v>
      </c>
      <c r="I270" s="9" t="s">
        <v>633</v>
      </c>
      <c r="J270" s="9" t="s">
        <v>171</v>
      </c>
      <c r="K270" s="10" t="str">
        <f>IFERROR(VLOOKUP(A270,'Pedido ESTHER'!$B:$C,2,0),"")</f>
        <v/>
      </c>
      <c r="L270" s="12" t="str">
        <f>IF(N(K270)&gt;0,"COMPRA","NÃO COMPRA")</f>
        <v>NÃO COMPRA</v>
      </c>
    </row>
    <row r="271" spans="1:12">
      <c r="A271" s="8" t="s">
        <v>634</v>
      </c>
      <c r="B271" s="9" t="s">
        <v>635</v>
      </c>
      <c r="C271" s="9" t="e">
        <f>VLOOKUP(A271,[2]Planilha1!$A:$B,2,0)</f>
        <v>#N/A</v>
      </c>
      <c r="D271" s="10">
        <f>SUMIF([1]Relatório!$A$2:$A$2653,A271,[1]Relatório!$AK$2:$AK$2653)</f>
        <v>579</v>
      </c>
      <c r="E271" s="11">
        <f t="shared" si="8"/>
        <v>0.000989816345474966</v>
      </c>
      <c r="F271" s="11">
        <f>SUM($E$7:E271)</f>
        <v>0.662901717562145</v>
      </c>
      <c r="G271" s="12" t="str">
        <f t="shared" si="9"/>
        <v>A</v>
      </c>
      <c r="H271" s="9" t="s">
        <v>21</v>
      </c>
      <c r="I271" s="9"/>
      <c r="J271" s="9" t="s">
        <v>201</v>
      </c>
      <c r="K271" s="10" t="str">
        <f>IFERROR(VLOOKUP(A271,'Pedido ESTHER'!$B:$C,2,0),"")</f>
        <v/>
      </c>
      <c r="L271" s="12" t="str">
        <f>IF(N(K271)&gt;0,"COMPRA","NÃO COMPRA")</f>
        <v>NÃO COMPRA</v>
      </c>
    </row>
    <row r="272" spans="1:12">
      <c r="A272" s="8" t="s">
        <v>636</v>
      </c>
      <c r="B272" s="9" t="s">
        <v>318</v>
      </c>
      <c r="C272" s="9" t="e">
        <f>VLOOKUP(A272,[2]Planilha1!$A:$B,2,0)</f>
        <v>#N/A</v>
      </c>
      <c r="D272" s="10">
        <f>SUMIF([1]Relatório!$A$2:$A$2653,A272,[1]Relatório!$AK$2:$AK$2653)</f>
        <v>579</v>
      </c>
      <c r="E272" s="11">
        <f t="shared" si="8"/>
        <v>0.000989816345474966</v>
      </c>
      <c r="F272" s="11">
        <f>SUM($E$7:E272)</f>
        <v>0.66389153390762</v>
      </c>
      <c r="G272" s="12" t="str">
        <f t="shared" si="9"/>
        <v>A</v>
      </c>
      <c r="H272" s="9" t="s">
        <v>14</v>
      </c>
      <c r="I272" s="9"/>
      <c r="J272" s="9" t="s">
        <v>164</v>
      </c>
      <c r="K272" s="10" t="str">
        <f>IFERROR(VLOOKUP(A272,'Pedido ESTHER'!$B:$C,2,0),"")</f>
        <v/>
      </c>
      <c r="L272" s="12" t="str">
        <f>IF(N(K272)&gt;0,"COMPRA","NÃO COMPRA")</f>
        <v>NÃO COMPRA</v>
      </c>
    </row>
    <row r="273" spans="1:12">
      <c r="A273" s="8" t="s">
        <v>637</v>
      </c>
      <c r="B273" s="9" t="s">
        <v>35</v>
      </c>
      <c r="C273" s="9" t="e">
        <f>VLOOKUP(A273,[2]Planilha1!$A:$B,2,0)</f>
        <v>#N/A</v>
      </c>
      <c r="D273" s="10">
        <f>SUMIF([1]Relatório!$A$2:$A$2653,A273,[1]Relatório!$AK$2:$AK$2653)</f>
        <v>576</v>
      </c>
      <c r="E273" s="11">
        <f t="shared" si="8"/>
        <v>0.00098468776337406</v>
      </c>
      <c r="F273" s="11">
        <f>SUM($E$7:E273)</f>
        <v>0.664876221670994</v>
      </c>
      <c r="G273" s="12" t="str">
        <f t="shared" si="9"/>
        <v>A</v>
      </c>
      <c r="H273" s="9" t="s">
        <v>18</v>
      </c>
      <c r="I273" s="9" t="s">
        <v>638</v>
      </c>
      <c r="J273" s="9" t="s">
        <v>36</v>
      </c>
      <c r="K273" s="10" t="str">
        <f>IFERROR(VLOOKUP(A273,'Pedido ESTHER'!$B:$C,2,0),"")</f>
        <v/>
      </c>
      <c r="L273" s="12" t="str">
        <f>IF(N(K273)&gt;0,"COMPRA","NÃO COMPRA")</f>
        <v>NÃO COMPRA</v>
      </c>
    </row>
    <row r="274" spans="1:12">
      <c r="A274" s="8" t="s">
        <v>639</v>
      </c>
      <c r="B274" s="9" t="s">
        <v>275</v>
      </c>
      <c r="C274" s="9" t="e">
        <f>VLOOKUP(A274,[2]Planilha1!$A:$B,2,0)</f>
        <v>#N/A</v>
      </c>
      <c r="D274" s="10">
        <f>SUMIF([1]Relatório!$A$2:$A$2653,A274,[1]Relatório!$AK$2:$AK$2653)</f>
        <v>574</v>
      </c>
      <c r="E274" s="11">
        <f t="shared" si="8"/>
        <v>0.000981268708640122</v>
      </c>
      <c r="F274" s="11">
        <f>SUM($E$7:E274)</f>
        <v>0.665857490379634</v>
      </c>
      <c r="G274" s="12" t="str">
        <f t="shared" si="9"/>
        <v>A</v>
      </c>
      <c r="H274" s="9" t="s">
        <v>14</v>
      </c>
      <c r="I274" s="9"/>
      <c r="J274" s="9" t="s">
        <v>64</v>
      </c>
      <c r="K274" s="10" t="str">
        <f>IFERROR(VLOOKUP(A274,'Pedido ESTHER'!$B:$C,2,0),"")</f>
        <v/>
      </c>
      <c r="L274" s="12" t="str">
        <f>IF(N(K274)&gt;0,"COMPRA","NÃO COMPRA")</f>
        <v>NÃO COMPRA</v>
      </c>
    </row>
    <row r="275" spans="1:12">
      <c r="A275" s="8" t="s">
        <v>640</v>
      </c>
      <c r="B275" s="9" t="s">
        <v>162</v>
      </c>
      <c r="C275" s="9" t="e">
        <f>VLOOKUP(A275,[2]Planilha1!$A:$B,2,0)</f>
        <v>#N/A</v>
      </c>
      <c r="D275" s="10">
        <f>SUMIF([1]Relatório!$A$2:$A$2653,A275,[1]Relatório!$AK$2:$AK$2653)</f>
        <v>572</v>
      </c>
      <c r="E275" s="11">
        <f t="shared" si="8"/>
        <v>0.000977849653906185</v>
      </c>
      <c r="F275" s="11">
        <f>SUM($E$7:E275)</f>
        <v>0.666835340033541</v>
      </c>
      <c r="G275" s="12" t="str">
        <f t="shared" si="9"/>
        <v>A</v>
      </c>
      <c r="H275" s="9" t="s">
        <v>21</v>
      </c>
      <c r="I275" s="9"/>
      <c r="J275" s="9" t="s">
        <v>164</v>
      </c>
      <c r="K275" s="10">
        <f>IFERROR(VLOOKUP(A275,'Pedido ESTHER'!$B:$C,2,0),"")</f>
        <v>8</v>
      </c>
      <c r="L275" s="12" t="str">
        <f>IF(N(K275)&gt;0,"COMPRA","NÃO COMPRA")</f>
        <v>COMPRA</v>
      </c>
    </row>
    <row r="276" spans="1:12">
      <c r="A276" s="8" t="s">
        <v>641</v>
      </c>
      <c r="B276" s="9" t="s">
        <v>642</v>
      </c>
      <c r="C276" s="9" t="e">
        <f>VLOOKUP(A276,[2]Planilha1!$A:$B,2,0)</f>
        <v>#N/A</v>
      </c>
      <c r="D276" s="10">
        <f>SUMIF([1]Relatório!$A$2:$A$2653,A276,[1]Relatório!$AK$2:$AK$2653)</f>
        <v>570</v>
      </c>
      <c r="E276" s="11">
        <f t="shared" si="8"/>
        <v>0.000974430599172247</v>
      </c>
      <c r="F276" s="11">
        <f>SUM($E$7:E276)</f>
        <v>0.667809770632713</v>
      </c>
      <c r="G276" s="12" t="str">
        <f t="shared" si="9"/>
        <v>A</v>
      </c>
      <c r="H276" s="9" t="s">
        <v>586</v>
      </c>
      <c r="I276" s="9" t="s">
        <v>643</v>
      </c>
      <c r="J276" s="9" t="s">
        <v>644</v>
      </c>
      <c r="K276" s="10" t="str">
        <f>IFERROR(VLOOKUP(A276,'Pedido ESTHER'!$B:$C,2,0),"")</f>
        <v/>
      </c>
      <c r="L276" s="12" t="str">
        <f>IF(N(K276)&gt;0,"COMPRA","NÃO COMPRA")</f>
        <v>NÃO COMPRA</v>
      </c>
    </row>
    <row r="277" spans="1:12">
      <c r="A277" s="8" t="s">
        <v>645</v>
      </c>
      <c r="B277" s="9" t="s">
        <v>116</v>
      </c>
      <c r="C277" s="9" t="e">
        <f>VLOOKUP(A277,[2]Planilha1!$A:$B,2,0)</f>
        <v>#N/A</v>
      </c>
      <c r="D277" s="10">
        <f>SUMIF([1]Relatório!$A$2:$A$2653,A277,[1]Relatório!$AK$2:$AK$2653)</f>
        <v>569</v>
      </c>
      <c r="E277" s="11">
        <f t="shared" si="8"/>
        <v>0.000972721071805278</v>
      </c>
      <c r="F277" s="11">
        <f>SUM($E$7:E277)</f>
        <v>0.668782491704518</v>
      </c>
      <c r="G277" s="12" t="str">
        <f t="shared" si="9"/>
        <v>A</v>
      </c>
      <c r="H277" s="9" t="s">
        <v>117</v>
      </c>
      <c r="I277" s="9" t="s">
        <v>646</v>
      </c>
      <c r="J277" s="9" t="s">
        <v>33</v>
      </c>
      <c r="K277" s="10" t="str">
        <f>IFERROR(VLOOKUP(A277,'Pedido ESTHER'!$B:$C,2,0),"")</f>
        <v/>
      </c>
      <c r="L277" s="12" t="str">
        <f>IF(N(K277)&gt;0,"COMPRA","NÃO COMPRA")</f>
        <v>NÃO COMPRA</v>
      </c>
    </row>
    <row r="278" spans="1:12">
      <c r="A278" s="8" t="s">
        <v>647</v>
      </c>
      <c r="B278" s="9" t="s">
        <v>154</v>
      </c>
      <c r="C278" s="9" t="e">
        <f>VLOOKUP(A278,[2]Planilha1!$A:$B,2,0)</f>
        <v>#N/A</v>
      </c>
      <c r="D278" s="10">
        <f>SUMIF([1]Relatório!$A$2:$A$2653,A278,[1]Relatório!$AK$2:$AK$2653)</f>
        <v>569</v>
      </c>
      <c r="E278" s="11">
        <f t="shared" si="8"/>
        <v>0.000972721071805278</v>
      </c>
      <c r="F278" s="11">
        <f>SUM($E$7:E278)</f>
        <v>0.669755212776323</v>
      </c>
      <c r="G278" s="12" t="str">
        <f t="shared" si="9"/>
        <v>A</v>
      </c>
      <c r="H278" s="9" t="s">
        <v>117</v>
      </c>
      <c r="I278" s="9" t="s">
        <v>648</v>
      </c>
      <c r="J278" s="9" t="s">
        <v>44</v>
      </c>
      <c r="K278" s="10" t="str">
        <f>IFERROR(VLOOKUP(A278,'Pedido ESTHER'!$B:$C,2,0),"")</f>
        <v/>
      </c>
      <c r="L278" s="12" t="str">
        <f>IF(N(K278)&gt;0,"COMPRA","NÃO COMPRA")</f>
        <v>NÃO COMPRA</v>
      </c>
    </row>
    <row r="279" spans="1:12">
      <c r="A279" s="8" t="s">
        <v>649</v>
      </c>
      <c r="B279" s="9" t="s">
        <v>122</v>
      </c>
      <c r="C279" s="9" t="e">
        <f>VLOOKUP(A279,[2]Planilha1!$A:$B,2,0)</f>
        <v>#N/A</v>
      </c>
      <c r="D279" s="10">
        <f>SUMIF([1]Relatório!$A$2:$A$2653,A279,[1]Relatório!$AK$2:$AK$2653)</f>
        <v>568</v>
      </c>
      <c r="E279" s="11">
        <f t="shared" si="8"/>
        <v>0.000971011544438309</v>
      </c>
      <c r="F279" s="11">
        <f>SUM($E$7:E279)</f>
        <v>0.670726224320762</v>
      </c>
      <c r="G279" s="12" t="str">
        <f t="shared" si="9"/>
        <v>A</v>
      </c>
      <c r="H279" s="9" t="s">
        <v>18</v>
      </c>
      <c r="I279" s="9" t="s">
        <v>650</v>
      </c>
      <c r="J279" s="9" t="s">
        <v>83</v>
      </c>
      <c r="K279" s="10" t="str">
        <f>IFERROR(VLOOKUP(A279,'Pedido ESTHER'!$B:$C,2,0),"")</f>
        <v/>
      </c>
      <c r="L279" s="12" t="str">
        <f>IF(N(K279)&gt;0,"COMPRA","NÃO COMPRA")</f>
        <v>NÃO COMPRA</v>
      </c>
    </row>
    <row r="280" spans="1:12">
      <c r="A280" s="8" t="s">
        <v>651</v>
      </c>
      <c r="B280" s="9" t="s">
        <v>51</v>
      </c>
      <c r="C280" s="9" t="e">
        <f>VLOOKUP(A280,[2]Planilha1!$A:$B,2,0)</f>
        <v>#N/A</v>
      </c>
      <c r="D280" s="10">
        <f>SUMIF([1]Relatório!$A$2:$A$2653,A280,[1]Relatório!$AK$2:$AK$2653)</f>
        <v>564</v>
      </c>
      <c r="E280" s="11">
        <f t="shared" si="8"/>
        <v>0.000964173434970434</v>
      </c>
      <c r="F280" s="11">
        <f>SUM($E$7:E280)</f>
        <v>0.671690397755732</v>
      </c>
      <c r="G280" s="12" t="str">
        <f t="shared" si="9"/>
        <v>A</v>
      </c>
      <c r="H280" s="9" t="s">
        <v>21</v>
      </c>
      <c r="I280" s="9"/>
      <c r="J280" s="9" t="s">
        <v>123</v>
      </c>
      <c r="K280" s="10" t="str">
        <f>IFERROR(VLOOKUP(A280,'Pedido ESTHER'!$B:$C,2,0),"")</f>
        <v/>
      </c>
      <c r="L280" s="12" t="str">
        <f>IF(N(K280)&gt;0,"COMPRA","NÃO COMPRA")</f>
        <v>NÃO COMPRA</v>
      </c>
    </row>
    <row r="281" spans="1:12">
      <c r="A281" s="8" t="s">
        <v>652</v>
      </c>
      <c r="B281" s="9" t="s">
        <v>342</v>
      </c>
      <c r="C281" s="9" t="e">
        <f>VLOOKUP(A281,[2]Planilha1!$A:$B,2,0)</f>
        <v>#N/A</v>
      </c>
      <c r="D281" s="10">
        <f>SUMIF([1]Relatório!$A$2:$A$2653,A281,[1]Relatório!$AK$2:$AK$2653)</f>
        <v>562</v>
      </c>
      <c r="E281" s="11">
        <f t="shared" si="8"/>
        <v>0.000960754380236496</v>
      </c>
      <c r="F281" s="11">
        <f>SUM($E$7:E281)</f>
        <v>0.672651152135969</v>
      </c>
      <c r="G281" s="12" t="str">
        <f t="shared" si="9"/>
        <v>A</v>
      </c>
      <c r="H281" s="9" t="s">
        <v>117</v>
      </c>
      <c r="I281" s="9" t="s">
        <v>653</v>
      </c>
      <c r="J281" s="9" t="s">
        <v>15</v>
      </c>
      <c r="K281" s="10" t="str">
        <f>IFERROR(VLOOKUP(A281,'Pedido ESTHER'!$B:$C,2,0),"")</f>
        <v/>
      </c>
      <c r="L281" s="12" t="str">
        <f>IF(N(K281)&gt;0,"COMPRA","NÃO COMPRA")</f>
        <v>NÃO COMPRA</v>
      </c>
    </row>
    <row r="282" spans="1:12">
      <c r="A282" s="8" t="s">
        <v>654</v>
      </c>
      <c r="B282" s="9" t="s">
        <v>293</v>
      </c>
      <c r="C282" s="9" t="e">
        <f>VLOOKUP(A282,[2]Planilha1!$A:$B,2,0)</f>
        <v>#N/A</v>
      </c>
      <c r="D282" s="10">
        <f>SUMIF([1]Relatório!$A$2:$A$2653,A282,[1]Relatório!$AK$2:$AK$2653)</f>
        <v>558</v>
      </c>
      <c r="E282" s="11">
        <f t="shared" si="8"/>
        <v>0.000953916270768621</v>
      </c>
      <c r="F282" s="11">
        <f>SUM($E$7:E282)</f>
        <v>0.673605068406737</v>
      </c>
      <c r="G282" s="12" t="str">
        <f t="shared" si="9"/>
        <v>A</v>
      </c>
      <c r="H282" s="9" t="s">
        <v>183</v>
      </c>
      <c r="I282" s="9"/>
      <c r="J282" s="9" t="s">
        <v>83</v>
      </c>
      <c r="K282" s="10" t="str">
        <f>IFERROR(VLOOKUP(A282,'Pedido ESTHER'!$B:$C,2,0),"")</f>
        <v/>
      </c>
      <c r="L282" s="12" t="str">
        <f>IF(N(K282)&gt;0,"COMPRA","NÃO COMPRA")</f>
        <v>NÃO COMPRA</v>
      </c>
    </row>
    <row r="283" spans="1:12">
      <c r="A283" s="8" t="s">
        <v>655</v>
      </c>
      <c r="B283" s="9" t="s">
        <v>103</v>
      </c>
      <c r="C283" s="9" t="e">
        <f>VLOOKUP(A283,[2]Planilha1!$A:$B,2,0)</f>
        <v>#N/A</v>
      </c>
      <c r="D283" s="10">
        <f>SUMIF([1]Relatório!$A$2:$A$2653,A283,[1]Relatório!$AK$2:$AK$2653)</f>
        <v>556</v>
      </c>
      <c r="E283" s="11">
        <f t="shared" si="8"/>
        <v>0.000950497216034683</v>
      </c>
      <c r="F283" s="11">
        <f>SUM($E$7:E283)</f>
        <v>0.674555565622772</v>
      </c>
      <c r="G283" s="12" t="str">
        <f t="shared" si="9"/>
        <v>A</v>
      </c>
      <c r="H283" s="9" t="s">
        <v>18</v>
      </c>
      <c r="I283" s="9" t="s">
        <v>656</v>
      </c>
      <c r="J283" s="9" t="s">
        <v>44</v>
      </c>
      <c r="K283" s="10" t="str">
        <f>IFERROR(VLOOKUP(A283,'Pedido ESTHER'!$B:$C,2,0),"")</f>
        <v/>
      </c>
      <c r="L283" s="12" t="str">
        <f>IF(N(K283)&gt;0,"COMPRA","NÃO COMPRA")</f>
        <v>NÃO COMPRA</v>
      </c>
    </row>
    <row r="284" spans="1:12">
      <c r="A284" s="8" t="s">
        <v>657</v>
      </c>
      <c r="B284" s="9" t="s">
        <v>200</v>
      </c>
      <c r="C284" s="9" t="e">
        <f>VLOOKUP(A284,[2]Planilha1!$A:$B,2,0)</f>
        <v>#N/A</v>
      </c>
      <c r="D284" s="10">
        <f>SUMIF([1]Relatório!$A$2:$A$2653,A284,[1]Relatório!$AK$2:$AK$2653)</f>
        <v>553</v>
      </c>
      <c r="E284" s="11">
        <f t="shared" si="8"/>
        <v>0.000945368633933776</v>
      </c>
      <c r="F284" s="11">
        <f>SUM($E$7:E284)</f>
        <v>0.675500934256706</v>
      </c>
      <c r="G284" s="12" t="str">
        <f t="shared" si="9"/>
        <v>A</v>
      </c>
      <c r="H284" s="9" t="s">
        <v>21</v>
      </c>
      <c r="I284" s="9"/>
      <c r="J284" s="9" t="s">
        <v>201</v>
      </c>
      <c r="K284" s="10" t="str">
        <f>IFERROR(VLOOKUP(A284,'Pedido ESTHER'!$B:$C,2,0),"")</f>
        <v/>
      </c>
      <c r="L284" s="12" t="str">
        <f>IF(N(K284)&gt;0,"COMPRA","NÃO COMPRA")</f>
        <v>NÃO COMPRA</v>
      </c>
    </row>
    <row r="285" spans="1:12">
      <c r="A285" s="8" t="s">
        <v>658</v>
      </c>
      <c r="B285" s="9" t="s">
        <v>522</v>
      </c>
      <c r="C285" s="9" t="e">
        <f>VLOOKUP(A285,[2]Planilha1!$A:$B,2,0)</f>
        <v>#N/A</v>
      </c>
      <c r="D285" s="10">
        <f>SUMIF([1]Relatório!$A$2:$A$2653,A285,[1]Relatório!$AK$2:$AK$2653)</f>
        <v>552</v>
      </c>
      <c r="E285" s="11">
        <f t="shared" si="8"/>
        <v>0.000943659106566807</v>
      </c>
      <c r="F285" s="11">
        <f>SUM($E$7:E285)</f>
        <v>0.676444593363273</v>
      </c>
      <c r="G285" s="12" t="str">
        <f t="shared" si="9"/>
        <v>A</v>
      </c>
      <c r="H285" s="9" t="s">
        <v>117</v>
      </c>
      <c r="I285" s="9" t="s">
        <v>659</v>
      </c>
      <c r="J285" s="9" t="s">
        <v>660</v>
      </c>
      <c r="K285" s="10" t="str">
        <f>IFERROR(VLOOKUP(A285,'Pedido ESTHER'!$B:$C,2,0),"")</f>
        <v/>
      </c>
      <c r="L285" s="12" t="str">
        <f>IF(N(K285)&gt;0,"COMPRA","NÃO COMPRA")</f>
        <v>NÃO COMPRA</v>
      </c>
    </row>
    <row r="286" spans="1:12">
      <c r="A286" s="8" t="s">
        <v>661</v>
      </c>
      <c r="B286" s="9" t="s">
        <v>358</v>
      </c>
      <c r="C286" s="9" t="e">
        <f>VLOOKUP(A286,[2]Planilha1!$A:$B,2,0)</f>
        <v>#N/A</v>
      </c>
      <c r="D286" s="10">
        <f>SUMIF([1]Relatório!$A$2:$A$2653,A286,[1]Relatório!$AK$2:$AK$2653)</f>
        <v>551</v>
      </c>
      <c r="E286" s="11">
        <f t="shared" si="8"/>
        <v>0.000941949579199839</v>
      </c>
      <c r="F286" s="11">
        <f>SUM($E$7:E286)</f>
        <v>0.677386542942472</v>
      </c>
      <c r="G286" s="12" t="str">
        <f t="shared" si="9"/>
        <v>A</v>
      </c>
      <c r="H286" s="9" t="s">
        <v>21</v>
      </c>
      <c r="I286" s="9"/>
      <c r="J286" s="9" t="s">
        <v>359</v>
      </c>
      <c r="K286" s="10">
        <f>IFERROR(VLOOKUP(A286,'Pedido ESTHER'!$B:$C,2,0),"")</f>
        <v>6</v>
      </c>
      <c r="L286" s="12" t="str">
        <f>IF(N(K286)&gt;0,"COMPRA","NÃO COMPRA")</f>
        <v>COMPRA</v>
      </c>
    </row>
    <row r="287" spans="1:12">
      <c r="A287" s="8" t="s">
        <v>662</v>
      </c>
      <c r="B287" s="9" t="s">
        <v>111</v>
      </c>
      <c r="C287" s="9" t="e">
        <f>VLOOKUP(A287,[2]Planilha1!$A:$B,2,0)</f>
        <v>#N/A</v>
      </c>
      <c r="D287" s="10">
        <f>SUMIF([1]Relatório!$A$2:$A$2653,A287,[1]Relatório!$AK$2:$AK$2653)</f>
        <v>550</v>
      </c>
      <c r="E287" s="11">
        <f t="shared" si="8"/>
        <v>0.00094024005183287</v>
      </c>
      <c r="F287" s="11">
        <f>SUM($E$7:E287)</f>
        <v>0.678326782994305</v>
      </c>
      <c r="G287" s="12" t="str">
        <f t="shared" si="9"/>
        <v>A</v>
      </c>
      <c r="H287" s="9" t="s">
        <v>221</v>
      </c>
      <c r="I287" s="9" t="s">
        <v>663</v>
      </c>
      <c r="J287" s="9" t="s">
        <v>664</v>
      </c>
      <c r="K287" s="10" t="str">
        <f>IFERROR(VLOOKUP(A287,'Pedido ESTHER'!$B:$C,2,0),"")</f>
        <v/>
      </c>
      <c r="L287" s="12" t="str">
        <f>IF(N(K287)&gt;0,"COMPRA","NÃO COMPRA")</f>
        <v>NÃO COMPRA</v>
      </c>
    </row>
    <row r="288" spans="1:12">
      <c r="A288" s="8" t="s">
        <v>665</v>
      </c>
      <c r="B288" s="9" t="s">
        <v>418</v>
      </c>
      <c r="C288" s="9" t="e">
        <f>VLOOKUP(A288,[2]Planilha1!$A:$B,2,0)</f>
        <v>#N/A</v>
      </c>
      <c r="D288" s="10">
        <f>SUMIF([1]Relatório!$A$2:$A$2653,A288,[1]Relatório!$AK$2:$AK$2653)</f>
        <v>549</v>
      </c>
      <c r="E288" s="11">
        <f t="shared" si="8"/>
        <v>0.000938530524465901</v>
      </c>
      <c r="F288" s="11">
        <f>SUM($E$7:E288)</f>
        <v>0.679265313518771</v>
      </c>
      <c r="G288" s="12" t="str">
        <f t="shared" si="9"/>
        <v>A</v>
      </c>
      <c r="H288" s="9" t="s">
        <v>117</v>
      </c>
      <c r="I288" s="9" t="s">
        <v>666</v>
      </c>
      <c r="J288" s="9" t="s">
        <v>23</v>
      </c>
      <c r="K288" s="10" t="str">
        <f>IFERROR(VLOOKUP(A288,'Pedido ESTHER'!$B:$C,2,0),"")</f>
        <v/>
      </c>
      <c r="L288" s="12" t="str">
        <f>IF(N(K288)&gt;0,"COMPRA","NÃO COMPRA")</f>
        <v>NÃO COMPRA</v>
      </c>
    </row>
    <row r="289" spans="1:12">
      <c r="A289" s="8" t="s">
        <v>667</v>
      </c>
      <c r="B289" s="9" t="s">
        <v>588</v>
      </c>
      <c r="C289" s="9" t="e">
        <f>VLOOKUP(A289,[2]Planilha1!$A:$B,2,0)</f>
        <v>#N/A</v>
      </c>
      <c r="D289" s="10">
        <f>SUMIF([1]Relatório!$A$2:$A$2653,A289,[1]Relatório!$AK$2:$AK$2653)</f>
        <v>548</v>
      </c>
      <c r="E289" s="11">
        <f t="shared" si="8"/>
        <v>0.000936820997098932</v>
      </c>
      <c r="F289" s="11">
        <f>SUM($E$7:E289)</f>
        <v>0.68020213451587</v>
      </c>
      <c r="G289" s="12" t="str">
        <f t="shared" si="9"/>
        <v>A</v>
      </c>
      <c r="H289" s="9" t="s">
        <v>21</v>
      </c>
      <c r="I289" s="9"/>
      <c r="J289" s="9" t="s">
        <v>158</v>
      </c>
      <c r="K289" s="10" t="str">
        <f>IFERROR(VLOOKUP(A289,'Pedido ESTHER'!$B:$C,2,0),"")</f>
        <v/>
      </c>
      <c r="L289" s="12" t="str">
        <f>IF(N(K289)&gt;0,"COMPRA","NÃO COMPRA")</f>
        <v>NÃO COMPRA</v>
      </c>
    </row>
    <row r="290" spans="1:12">
      <c r="A290" s="8" t="s">
        <v>668</v>
      </c>
      <c r="B290" s="9" t="s">
        <v>669</v>
      </c>
      <c r="C290" s="9" t="e">
        <f>VLOOKUP(A290,[2]Planilha1!$A:$B,2,0)</f>
        <v>#N/A</v>
      </c>
      <c r="D290" s="10">
        <f>SUMIF([1]Relatório!$A$2:$A$2653,A290,[1]Relatório!$AK$2:$AK$2653)</f>
        <v>547</v>
      </c>
      <c r="E290" s="11">
        <f t="shared" si="8"/>
        <v>0.000935111469731963</v>
      </c>
      <c r="F290" s="11">
        <f>SUM($E$7:E290)</f>
        <v>0.681137245985602</v>
      </c>
      <c r="G290" s="12" t="str">
        <f t="shared" si="9"/>
        <v>A</v>
      </c>
      <c r="H290" s="9" t="s">
        <v>18</v>
      </c>
      <c r="I290" s="9" t="s">
        <v>670</v>
      </c>
      <c r="J290" s="9" t="s">
        <v>671</v>
      </c>
      <c r="K290" s="10" t="str">
        <f>IFERROR(VLOOKUP(A290,'Pedido ESTHER'!$B:$C,2,0),"")</f>
        <v/>
      </c>
      <c r="L290" s="12" t="str">
        <f>IF(N(K290)&gt;0,"COMPRA","NÃO COMPRA")</f>
        <v>NÃO COMPRA</v>
      </c>
    </row>
    <row r="291" spans="1:12">
      <c r="A291" s="8" t="s">
        <v>672</v>
      </c>
      <c r="B291" s="9" t="s">
        <v>673</v>
      </c>
      <c r="C291" s="9" t="e">
        <f>VLOOKUP(A291,[2]Planilha1!$A:$B,2,0)</f>
        <v>#N/A</v>
      </c>
      <c r="D291" s="10">
        <f>SUMIF([1]Relatório!$A$2:$A$2653,A291,[1]Relatório!$AK$2:$AK$2653)</f>
        <v>546</v>
      </c>
      <c r="E291" s="11">
        <f t="shared" si="8"/>
        <v>0.000933401942364994</v>
      </c>
      <c r="F291" s="11">
        <f>SUM($E$7:E291)</f>
        <v>0.682070647927967</v>
      </c>
      <c r="G291" s="12" t="str">
        <f t="shared" si="9"/>
        <v>A</v>
      </c>
      <c r="H291" s="9" t="s">
        <v>18</v>
      </c>
      <c r="I291" s="9" t="s">
        <v>674</v>
      </c>
      <c r="J291" s="9" t="s">
        <v>359</v>
      </c>
      <c r="K291" s="10" t="str">
        <f>IFERROR(VLOOKUP(A291,'Pedido ESTHER'!$B:$C,2,0),"")</f>
        <v/>
      </c>
      <c r="L291" s="12" t="str">
        <f>IF(N(K291)&gt;0,"COMPRA","NÃO COMPRA")</f>
        <v>NÃO COMPRA</v>
      </c>
    </row>
    <row r="292" spans="1:12">
      <c r="A292" s="8" t="s">
        <v>675</v>
      </c>
      <c r="B292" s="9" t="s">
        <v>676</v>
      </c>
      <c r="C292" s="9" t="e">
        <f>VLOOKUP(A292,[2]Planilha1!$A:$B,2,0)</f>
        <v>#N/A</v>
      </c>
      <c r="D292" s="10">
        <f>SUMIF([1]Relatório!$A$2:$A$2653,A292,[1]Relatório!$AK$2:$AK$2653)</f>
        <v>545</v>
      </c>
      <c r="E292" s="11">
        <f t="shared" si="8"/>
        <v>0.000931692414998025</v>
      </c>
      <c r="F292" s="11">
        <f>SUM($E$7:E292)</f>
        <v>0.683002340342965</v>
      </c>
      <c r="G292" s="12" t="str">
        <f t="shared" si="9"/>
        <v>A</v>
      </c>
      <c r="H292" s="9" t="s">
        <v>117</v>
      </c>
      <c r="I292" s="9" t="s">
        <v>677</v>
      </c>
      <c r="J292" s="9" t="s">
        <v>36</v>
      </c>
      <c r="K292" s="10" t="str">
        <f>IFERROR(VLOOKUP(A292,'Pedido ESTHER'!$B:$C,2,0),"")</f>
        <v/>
      </c>
      <c r="L292" s="12" t="str">
        <f>IF(N(K292)&gt;0,"COMPRA","NÃO COMPRA")</f>
        <v>NÃO COMPRA</v>
      </c>
    </row>
    <row r="293" spans="1:12">
      <c r="A293" s="8" t="s">
        <v>678</v>
      </c>
      <c r="B293" s="9" t="s">
        <v>311</v>
      </c>
      <c r="C293" s="9" t="e">
        <f>VLOOKUP(A293,[2]Planilha1!$A:$B,2,0)</f>
        <v>#N/A</v>
      </c>
      <c r="D293" s="10">
        <f>SUMIF([1]Relatório!$A$2:$A$2653,A293,[1]Relatório!$AK$2:$AK$2653)</f>
        <v>545</v>
      </c>
      <c r="E293" s="11">
        <f t="shared" si="8"/>
        <v>0.000931692414998025</v>
      </c>
      <c r="F293" s="11">
        <f>SUM($E$7:E293)</f>
        <v>0.683934032757963</v>
      </c>
      <c r="G293" s="12" t="str">
        <f t="shared" si="9"/>
        <v>A</v>
      </c>
      <c r="H293" s="9" t="s">
        <v>586</v>
      </c>
      <c r="I293" s="9" t="s">
        <v>679</v>
      </c>
      <c r="J293" s="9" t="s">
        <v>273</v>
      </c>
      <c r="K293" s="10" t="str">
        <f>IFERROR(VLOOKUP(A293,'Pedido ESTHER'!$B:$C,2,0),"")</f>
        <v/>
      </c>
      <c r="L293" s="12" t="str">
        <f>IF(N(K293)&gt;0,"COMPRA","NÃO COMPRA")</f>
        <v>NÃO COMPRA</v>
      </c>
    </row>
    <row r="294" spans="1:12">
      <c r="A294" s="8" t="s">
        <v>680</v>
      </c>
      <c r="B294" s="9" t="s">
        <v>681</v>
      </c>
      <c r="C294" s="9" t="e">
        <f>VLOOKUP(A294,[2]Planilha1!$A:$B,2,0)</f>
        <v>#N/A</v>
      </c>
      <c r="D294" s="10">
        <f>SUMIF([1]Relatório!$A$2:$A$2653,A294,[1]Relatório!$AK$2:$AK$2653)</f>
        <v>545</v>
      </c>
      <c r="E294" s="11">
        <f t="shared" si="8"/>
        <v>0.000931692414998025</v>
      </c>
      <c r="F294" s="11">
        <f>SUM($E$7:E294)</f>
        <v>0.684865725172961</v>
      </c>
      <c r="G294" s="12" t="str">
        <f t="shared" si="9"/>
        <v>A</v>
      </c>
      <c r="H294" s="9" t="s">
        <v>183</v>
      </c>
      <c r="I294" s="9"/>
      <c r="J294" s="9" t="s">
        <v>281</v>
      </c>
      <c r="K294" s="10" t="str">
        <f>IFERROR(VLOOKUP(A294,'Pedido ESTHER'!$B:$C,2,0),"")</f>
        <v/>
      </c>
      <c r="L294" s="12" t="str">
        <f>IF(N(K294)&gt;0,"COMPRA","NÃO COMPRA")</f>
        <v>NÃO COMPRA</v>
      </c>
    </row>
    <row r="295" spans="1:12">
      <c r="A295" s="8" t="s">
        <v>682</v>
      </c>
      <c r="B295" s="9" t="s">
        <v>166</v>
      </c>
      <c r="C295" s="9" t="e">
        <f>VLOOKUP(A295,[2]Planilha1!$A:$B,2,0)</f>
        <v>#N/A</v>
      </c>
      <c r="D295" s="10">
        <f>SUMIF([1]Relatório!$A$2:$A$2653,A295,[1]Relatório!$AK$2:$AK$2653)</f>
        <v>543</v>
      </c>
      <c r="E295" s="11">
        <f t="shared" si="8"/>
        <v>0.000928273360264088</v>
      </c>
      <c r="F295" s="11">
        <f>SUM($E$7:E295)</f>
        <v>0.685793998533225</v>
      </c>
      <c r="G295" s="12" t="str">
        <f t="shared" si="9"/>
        <v>A</v>
      </c>
      <c r="H295" s="9" t="s">
        <v>14</v>
      </c>
      <c r="I295" s="9" t="s">
        <v>683</v>
      </c>
      <c r="J295" s="9" t="s">
        <v>36</v>
      </c>
      <c r="K295" s="10" t="str">
        <f>IFERROR(VLOOKUP(A295,'Pedido ESTHER'!$B:$C,2,0),"")</f>
        <v/>
      </c>
      <c r="L295" s="12" t="str">
        <f>IF(N(K295)&gt;0,"COMPRA","NÃO COMPRA")</f>
        <v>NÃO COMPRA</v>
      </c>
    </row>
    <row r="296" spans="1:12">
      <c r="A296" s="8" t="s">
        <v>684</v>
      </c>
      <c r="B296" s="9" t="s">
        <v>300</v>
      </c>
      <c r="C296" s="9" t="e">
        <f>VLOOKUP(A296,[2]Planilha1!$A:$B,2,0)</f>
        <v>#N/A</v>
      </c>
      <c r="D296" s="10">
        <f>SUMIF([1]Relatório!$A$2:$A$2653,A296,[1]Relatório!$AK$2:$AK$2653)</f>
        <v>543</v>
      </c>
      <c r="E296" s="11">
        <f t="shared" si="8"/>
        <v>0.000928273360264088</v>
      </c>
      <c r="F296" s="11">
        <f>SUM($E$7:E296)</f>
        <v>0.686722271893489</v>
      </c>
      <c r="G296" s="12" t="str">
        <f t="shared" si="9"/>
        <v>A</v>
      </c>
      <c r="H296" s="9" t="s">
        <v>117</v>
      </c>
      <c r="I296" s="9" t="s">
        <v>685</v>
      </c>
      <c r="J296" s="9" t="s">
        <v>29</v>
      </c>
      <c r="K296" s="10" t="str">
        <f>IFERROR(VLOOKUP(A296,'Pedido ESTHER'!$B:$C,2,0),"")</f>
        <v/>
      </c>
      <c r="L296" s="12" t="str">
        <f>IF(N(K296)&gt;0,"COMPRA","NÃO COMPRA")</f>
        <v>NÃO COMPRA</v>
      </c>
    </row>
    <row r="297" spans="1:12">
      <c r="A297" s="8" t="s">
        <v>686</v>
      </c>
      <c r="B297" s="9" t="s">
        <v>13</v>
      </c>
      <c r="C297" s="9" t="e">
        <f>VLOOKUP(A297,[2]Planilha1!$A:$B,2,0)</f>
        <v>#N/A</v>
      </c>
      <c r="D297" s="10">
        <f>SUMIF([1]Relatório!$A$2:$A$2653,A297,[1]Relatório!$AK$2:$AK$2653)</f>
        <v>541</v>
      </c>
      <c r="E297" s="11">
        <f t="shared" si="8"/>
        <v>0.00092485430553015</v>
      </c>
      <c r="F297" s="11">
        <f>SUM($E$7:E297)</f>
        <v>0.687647126199019</v>
      </c>
      <c r="G297" s="12" t="str">
        <f t="shared" si="9"/>
        <v>A</v>
      </c>
      <c r="H297" s="9" t="s">
        <v>14</v>
      </c>
      <c r="I297" s="9" t="s">
        <v>687</v>
      </c>
      <c r="J297" s="9" t="s">
        <v>158</v>
      </c>
      <c r="K297" s="10" t="str">
        <f>IFERROR(VLOOKUP(A297,'Pedido ESTHER'!$B:$C,2,0),"")</f>
        <v/>
      </c>
      <c r="L297" s="12" t="str">
        <f>IF(N(K297)&gt;0,"COMPRA","NÃO COMPRA")</f>
        <v>NÃO COMPRA</v>
      </c>
    </row>
    <row r="298" spans="1:12">
      <c r="A298" s="8" t="s">
        <v>688</v>
      </c>
      <c r="B298" s="9" t="s">
        <v>42</v>
      </c>
      <c r="C298" s="9" t="e">
        <f>VLOOKUP(A298,[2]Planilha1!$A:$B,2,0)</f>
        <v>#N/A</v>
      </c>
      <c r="D298" s="10">
        <f>SUMIF([1]Relatório!$A$2:$A$2653,A298,[1]Relatório!$AK$2:$AK$2653)</f>
        <v>540</v>
      </c>
      <c r="E298" s="11">
        <f t="shared" si="8"/>
        <v>0.000923144778163181</v>
      </c>
      <c r="F298" s="11">
        <f>SUM($E$7:E298)</f>
        <v>0.688570270977183</v>
      </c>
      <c r="G298" s="12" t="str">
        <f t="shared" si="9"/>
        <v>A</v>
      </c>
      <c r="H298" s="9" t="s">
        <v>21</v>
      </c>
      <c r="I298" s="9" t="s">
        <v>689</v>
      </c>
      <c r="J298" s="9" t="s">
        <v>44</v>
      </c>
      <c r="K298" s="10" t="str">
        <f>IFERROR(VLOOKUP(A298,'Pedido ESTHER'!$B:$C,2,0),"")</f>
        <v/>
      </c>
      <c r="L298" s="12" t="str">
        <f>IF(N(K298)&gt;0,"COMPRA","NÃO COMPRA")</f>
        <v>NÃO COMPRA</v>
      </c>
    </row>
    <row r="299" spans="1:12">
      <c r="A299" s="8" t="s">
        <v>690</v>
      </c>
      <c r="B299" s="9" t="s">
        <v>691</v>
      </c>
      <c r="C299" s="9" t="e">
        <f>VLOOKUP(A299,[2]Planilha1!$A:$B,2,0)</f>
        <v>#N/A</v>
      </c>
      <c r="D299" s="10">
        <f>SUMIF([1]Relatório!$A$2:$A$2653,A299,[1]Relatório!$AK$2:$AK$2653)</f>
        <v>540</v>
      </c>
      <c r="E299" s="11">
        <f t="shared" si="8"/>
        <v>0.000923144778163181</v>
      </c>
      <c r="F299" s="11">
        <f>SUM($E$7:E299)</f>
        <v>0.689493415755346</v>
      </c>
      <c r="G299" s="12" t="str">
        <f t="shared" si="9"/>
        <v>A</v>
      </c>
      <c r="H299" s="9" t="s">
        <v>74</v>
      </c>
      <c r="I299" s="9" t="s">
        <v>692</v>
      </c>
      <c r="J299" s="9" t="s">
        <v>64</v>
      </c>
      <c r="K299" s="10" t="str">
        <f>IFERROR(VLOOKUP(A299,'Pedido ESTHER'!$B:$C,2,0),"")</f>
        <v/>
      </c>
      <c r="L299" s="12" t="str">
        <f>IF(N(K299)&gt;0,"COMPRA","NÃO COMPRA")</f>
        <v>NÃO COMPRA</v>
      </c>
    </row>
    <row r="300" spans="1:12">
      <c r="A300" s="8" t="s">
        <v>693</v>
      </c>
      <c r="B300" s="9" t="s">
        <v>694</v>
      </c>
      <c r="C300" s="9" t="e">
        <f>VLOOKUP(A300,[2]Planilha1!$A:$B,2,0)</f>
        <v>#N/A</v>
      </c>
      <c r="D300" s="10">
        <f>SUMIF([1]Relatório!$A$2:$A$2653,A300,[1]Relatório!$AK$2:$AK$2653)</f>
        <v>538</v>
      </c>
      <c r="E300" s="11">
        <f t="shared" si="8"/>
        <v>0.000919725723429244</v>
      </c>
      <c r="F300" s="11">
        <f>SUM($E$7:E300)</f>
        <v>0.690413141478775</v>
      </c>
      <c r="G300" s="12" t="str">
        <f t="shared" si="9"/>
        <v>A</v>
      </c>
      <c r="H300" s="9" t="s">
        <v>183</v>
      </c>
      <c r="I300" s="9"/>
      <c r="J300" s="9" t="s">
        <v>695</v>
      </c>
      <c r="K300" s="10" t="str">
        <f>IFERROR(VLOOKUP(A300,'Pedido ESTHER'!$B:$C,2,0),"")</f>
        <v/>
      </c>
      <c r="L300" s="12" t="str">
        <f>IF(N(K300)&gt;0,"COMPRA","NÃO COMPRA")</f>
        <v>NÃO COMPRA</v>
      </c>
    </row>
    <row r="301" spans="1:12">
      <c r="A301" s="8" t="s">
        <v>696</v>
      </c>
      <c r="B301" s="9" t="s">
        <v>697</v>
      </c>
      <c r="C301" s="9" t="e">
        <f>VLOOKUP(A301,[2]Planilha1!$A:$B,2,0)</f>
        <v>#N/A</v>
      </c>
      <c r="D301" s="10">
        <f>SUMIF([1]Relatório!$A$2:$A$2653,A301,[1]Relatório!$AK$2:$AK$2653)</f>
        <v>537</v>
      </c>
      <c r="E301" s="11">
        <f t="shared" si="8"/>
        <v>0.000918016196062275</v>
      </c>
      <c r="F301" s="11">
        <f>SUM($E$7:E301)</f>
        <v>0.691331157674837</v>
      </c>
      <c r="G301" s="12" t="str">
        <f t="shared" si="9"/>
        <v>A</v>
      </c>
      <c r="H301" s="9" t="s">
        <v>112</v>
      </c>
      <c r="I301" s="9" t="s">
        <v>698</v>
      </c>
      <c r="J301" s="9" t="s">
        <v>36</v>
      </c>
      <c r="K301" s="10" t="str">
        <f>IFERROR(VLOOKUP(A301,'Pedido ESTHER'!$B:$C,2,0),"")</f>
        <v/>
      </c>
      <c r="L301" s="12" t="str">
        <f>IF(N(K301)&gt;0,"COMPRA","NÃO COMPRA")</f>
        <v>NÃO COMPRA</v>
      </c>
    </row>
    <row r="302" spans="1:12">
      <c r="A302" s="8" t="s">
        <v>699</v>
      </c>
      <c r="B302" s="9" t="s">
        <v>700</v>
      </c>
      <c r="C302" s="9" t="e">
        <f>VLOOKUP(A302,[2]Planilha1!$A:$B,2,0)</f>
        <v>#N/A</v>
      </c>
      <c r="D302" s="10">
        <f>SUMIF([1]Relatório!$A$2:$A$2653,A302,[1]Relatório!$AK$2:$AK$2653)</f>
        <v>535</v>
      </c>
      <c r="E302" s="11">
        <f t="shared" si="8"/>
        <v>0.000914597141328337</v>
      </c>
      <c r="F302" s="11">
        <f>SUM($E$7:E302)</f>
        <v>0.692245754816166</v>
      </c>
      <c r="G302" s="12" t="str">
        <f t="shared" si="9"/>
        <v>A</v>
      </c>
      <c r="H302" s="9" t="s">
        <v>74</v>
      </c>
      <c r="I302" s="9" t="s">
        <v>701</v>
      </c>
      <c r="J302" s="9" t="s">
        <v>158</v>
      </c>
      <c r="K302" s="10" t="str">
        <f>IFERROR(VLOOKUP(A302,'Pedido ESTHER'!$B:$C,2,0),"")</f>
        <v/>
      </c>
      <c r="L302" s="12" t="str">
        <f>IF(N(K302)&gt;0,"COMPRA","NÃO COMPRA")</f>
        <v>NÃO COMPRA</v>
      </c>
    </row>
    <row r="303" spans="1:12">
      <c r="A303" s="8" t="s">
        <v>702</v>
      </c>
      <c r="B303" s="9" t="s">
        <v>38</v>
      </c>
      <c r="C303" s="9" t="e">
        <f>VLOOKUP(A303,[2]Planilha1!$A:$B,2,0)</f>
        <v>#N/A</v>
      </c>
      <c r="D303" s="10">
        <f>SUMIF([1]Relatório!$A$2:$A$2653,A303,[1]Relatório!$AK$2:$AK$2653)</f>
        <v>535</v>
      </c>
      <c r="E303" s="11">
        <f t="shared" si="8"/>
        <v>0.000914597141328337</v>
      </c>
      <c r="F303" s="11">
        <f>SUM($E$7:E303)</f>
        <v>0.693160351957494</v>
      </c>
      <c r="G303" s="12" t="str">
        <f t="shared" si="9"/>
        <v>A</v>
      </c>
      <c r="H303" s="9" t="s">
        <v>21</v>
      </c>
      <c r="I303" s="9"/>
      <c r="J303" s="9" t="s">
        <v>40</v>
      </c>
      <c r="K303" s="10" t="str">
        <f>IFERROR(VLOOKUP(A303,'Pedido ESTHER'!$B:$C,2,0),"")</f>
        <v/>
      </c>
      <c r="L303" s="12" t="str">
        <f>IF(N(K303)&gt;0,"COMPRA","NÃO COMPRA")</f>
        <v>NÃO COMPRA</v>
      </c>
    </row>
    <row r="304" spans="1:12">
      <c r="A304" s="8" t="s">
        <v>703</v>
      </c>
      <c r="B304" s="9" t="s">
        <v>166</v>
      </c>
      <c r="C304" s="9" t="e">
        <f>VLOOKUP(A304,[2]Planilha1!$A:$B,2,0)</f>
        <v>#N/A</v>
      </c>
      <c r="D304" s="10">
        <f>SUMIF([1]Relatório!$A$2:$A$2653,A304,[1]Relatório!$AK$2:$AK$2653)</f>
        <v>534</v>
      </c>
      <c r="E304" s="11">
        <f t="shared" si="8"/>
        <v>0.000912887613961368</v>
      </c>
      <c r="F304" s="11">
        <f>SUM($E$7:E304)</f>
        <v>0.694073239571455</v>
      </c>
      <c r="G304" s="12" t="str">
        <f t="shared" si="9"/>
        <v>A</v>
      </c>
      <c r="H304" s="9" t="s">
        <v>14</v>
      </c>
      <c r="I304" s="9" t="s">
        <v>704</v>
      </c>
      <c r="J304" s="9" t="s">
        <v>36</v>
      </c>
      <c r="K304" s="10" t="str">
        <f>IFERROR(VLOOKUP(A304,'Pedido ESTHER'!$B:$C,2,0),"")</f>
        <v/>
      </c>
      <c r="L304" s="12" t="str">
        <f>IF(N(K304)&gt;0,"COMPRA","NÃO COMPRA")</f>
        <v>NÃO COMPRA</v>
      </c>
    </row>
    <row r="305" spans="1:12">
      <c r="A305" s="8" t="s">
        <v>705</v>
      </c>
      <c r="B305" s="9" t="s">
        <v>706</v>
      </c>
      <c r="C305" s="9" t="e">
        <f>VLOOKUP(A305,[2]Planilha1!$A:$B,2,0)</f>
        <v>#N/A</v>
      </c>
      <c r="D305" s="10">
        <f>SUMIF([1]Relatório!$A$2:$A$2653,A305,[1]Relatório!$AK$2:$AK$2653)</f>
        <v>532</v>
      </c>
      <c r="E305" s="11">
        <f t="shared" si="8"/>
        <v>0.00090946855922743</v>
      </c>
      <c r="F305" s="11">
        <f>SUM($E$7:E305)</f>
        <v>0.694982708130683</v>
      </c>
      <c r="G305" s="12" t="str">
        <f t="shared" si="9"/>
        <v>A</v>
      </c>
      <c r="H305" s="9" t="s">
        <v>183</v>
      </c>
      <c r="I305" s="9"/>
      <c r="J305" s="9" t="s">
        <v>707</v>
      </c>
      <c r="K305" s="10" t="str">
        <f>IFERROR(VLOOKUP(A305,'Pedido ESTHER'!$B:$C,2,0),"")</f>
        <v/>
      </c>
      <c r="L305" s="12" t="str">
        <f>IF(N(K305)&gt;0,"COMPRA","NÃO COMPRA")</f>
        <v>NÃO COMPRA</v>
      </c>
    </row>
    <row r="306" spans="1:12">
      <c r="A306" s="8" t="s">
        <v>708</v>
      </c>
      <c r="B306" s="9" t="s">
        <v>42</v>
      </c>
      <c r="C306" s="9" t="e">
        <f>VLOOKUP(A306,[2]Planilha1!$A:$B,2,0)</f>
        <v>#N/A</v>
      </c>
      <c r="D306" s="10">
        <f>SUMIF([1]Relatório!$A$2:$A$2653,A306,[1]Relatório!$AK$2:$AK$2653)</f>
        <v>529</v>
      </c>
      <c r="E306" s="11">
        <f t="shared" si="8"/>
        <v>0.000904339977126524</v>
      </c>
      <c r="F306" s="11">
        <f>SUM($E$7:E306)</f>
        <v>0.695887048107809</v>
      </c>
      <c r="G306" s="12" t="str">
        <f t="shared" si="9"/>
        <v>A</v>
      </c>
      <c r="H306" s="9" t="s">
        <v>21</v>
      </c>
      <c r="I306" s="9" t="s">
        <v>709</v>
      </c>
      <c r="J306" s="9" t="s">
        <v>44</v>
      </c>
      <c r="K306" s="10" t="str">
        <f>IFERROR(VLOOKUP(A306,'Pedido ESTHER'!$B:$C,2,0),"")</f>
        <v/>
      </c>
      <c r="L306" s="12" t="str">
        <f>IF(N(K306)&gt;0,"COMPRA","NÃO COMPRA")</f>
        <v>NÃO COMPRA</v>
      </c>
    </row>
    <row r="307" spans="1:12">
      <c r="A307" s="8" t="s">
        <v>710</v>
      </c>
      <c r="B307" s="9" t="s">
        <v>711</v>
      </c>
      <c r="C307" s="9" t="e">
        <f>VLOOKUP(A307,[2]Planilha1!$A:$B,2,0)</f>
        <v>#N/A</v>
      </c>
      <c r="D307" s="10">
        <f>SUMIF([1]Relatório!$A$2:$A$2653,A307,[1]Relatório!$AK$2:$AK$2653)</f>
        <v>528</v>
      </c>
      <c r="E307" s="11">
        <f t="shared" si="8"/>
        <v>0.000902630449759555</v>
      </c>
      <c r="F307" s="11">
        <f>SUM($E$7:E307)</f>
        <v>0.696789678557569</v>
      </c>
      <c r="G307" s="12" t="str">
        <f t="shared" si="9"/>
        <v>A</v>
      </c>
      <c r="H307" s="9" t="s">
        <v>183</v>
      </c>
      <c r="I307" s="9" t="s">
        <v>712</v>
      </c>
      <c r="J307" s="9" t="s">
        <v>382</v>
      </c>
      <c r="K307" s="10" t="str">
        <f>IFERROR(VLOOKUP(A307,'Pedido ESTHER'!$B:$C,2,0),"")</f>
        <v/>
      </c>
      <c r="L307" s="12" t="str">
        <f>IF(N(K307)&gt;0,"COMPRA","NÃO COMPRA")</f>
        <v>NÃO COMPRA</v>
      </c>
    </row>
    <row r="308" spans="1:12">
      <c r="A308" s="8" t="s">
        <v>713</v>
      </c>
      <c r="B308" s="9" t="s">
        <v>602</v>
      </c>
      <c r="C308" s="9" t="e">
        <f>VLOOKUP(A308,[2]Planilha1!$A:$B,2,0)</f>
        <v>#N/A</v>
      </c>
      <c r="D308" s="10">
        <f>SUMIF([1]Relatório!$A$2:$A$2653,A308,[1]Relatório!$AK$2:$AK$2653)</f>
        <v>527</v>
      </c>
      <c r="E308" s="11">
        <f t="shared" si="8"/>
        <v>0.000900920922392586</v>
      </c>
      <c r="F308" s="11">
        <f>SUM($E$7:E308)</f>
        <v>0.697690599479961</v>
      </c>
      <c r="G308" s="12" t="str">
        <f t="shared" si="9"/>
        <v>A</v>
      </c>
      <c r="H308" s="9" t="s">
        <v>183</v>
      </c>
      <c r="I308" s="9" t="s">
        <v>714</v>
      </c>
      <c r="J308" s="9" t="s">
        <v>213</v>
      </c>
      <c r="K308" s="10" t="str">
        <f>IFERROR(VLOOKUP(A308,'Pedido ESTHER'!$B:$C,2,0),"")</f>
        <v/>
      </c>
      <c r="L308" s="12" t="str">
        <f>IF(N(K308)&gt;0,"COMPRA","NÃO COMPRA")</f>
        <v>NÃO COMPRA</v>
      </c>
    </row>
    <row r="309" spans="1:12">
      <c r="A309" s="8" t="s">
        <v>715</v>
      </c>
      <c r="B309" s="9" t="s">
        <v>716</v>
      </c>
      <c r="C309" s="9" t="e">
        <f>VLOOKUP(A309,[2]Planilha1!$A:$B,2,0)</f>
        <v>#N/A</v>
      </c>
      <c r="D309" s="10">
        <f>SUMIF([1]Relatório!$A$2:$A$2653,A309,[1]Relatório!$AK$2:$AK$2653)</f>
        <v>524</v>
      </c>
      <c r="E309" s="11">
        <f t="shared" si="8"/>
        <v>0.00089579234029168</v>
      </c>
      <c r="F309" s="11">
        <f>SUM($E$7:E309)</f>
        <v>0.698586391820253</v>
      </c>
      <c r="G309" s="12" t="str">
        <f t="shared" si="9"/>
        <v>A</v>
      </c>
      <c r="H309" s="9" t="s">
        <v>74</v>
      </c>
      <c r="I309" s="9" t="s">
        <v>717</v>
      </c>
      <c r="J309" s="9" t="s">
        <v>201</v>
      </c>
      <c r="K309" s="10" t="str">
        <f>IFERROR(VLOOKUP(A309,'Pedido ESTHER'!$B:$C,2,0),"")</f>
        <v/>
      </c>
      <c r="L309" s="12" t="str">
        <f>IF(N(K309)&gt;0,"COMPRA","NÃO COMPRA")</f>
        <v>NÃO COMPRA</v>
      </c>
    </row>
    <row r="310" spans="1:12">
      <c r="A310" s="8" t="s">
        <v>718</v>
      </c>
      <c r="B310" s="9" t="s">
        <v>349</v>
      </c>
      <c r="C310" s="9" t="e">
        <f>VLOOKUP(A310,[2]Planilha1!$A:$B,2,0)</f>
        <v>#N/A</v>
      </c>
      <c r="D310" s="10">
        <f>SUMIF([1]Relatório!$A$2:$A$2653,A310,[1]Relatório!$AK$2:$AK$2653)</f>
        <v>518</v>
      </c>
      <c r="E310" s="11">
        <f t="shared" si="8"/>
        <v>0.000885535176089866</v>
      </c>
      <c r="F310" s="11">
        <f>SUM($E$7:E310)</f>
        <v>0.699471926996343</v>
      </c>
      <c r="G310" s="12" t="str">
        <f t="shared" si="9"/>
        <v>A</v>
      </c>
      <c r="H310" s="9" t="s">
        <v>18</v>
      </c>
      <c r="I310" s="9" t="s">
        <v>719</v>
      </c>
      <c r="J310" s="9" t="s">
        <v>164</v>
      </c>
      <c r="K310" s="10">
        <f>IFERROR(VLOOKUP(A310,'Pedido ESTHER'!$B:$C,2,0),"")</f>
        <v>4</v>
      </c>
      <c r="L310" s="12" t="str">
        <f>IF(N(K310)&gt;0,"COMPRA","NÃO COMPRA")</f>
        <v>COMPRA</v>
      </c>
    </row>
    <row r="311" spans="1:12">
      <c r="A311" s="8" t="s">
        <v>720</v>
      </c>
      <c r="B311" s="9" t="s">
        <v>721</v>
      </c>
      <c r="C311" s="9" t="e">
        <f>VLOOKUP(A311,[2]Planilha1!$A:$B,2,0)</f>
        <v>#N/A</v>
      </c>
      <c r="D311" s="10">
        <f>SUMIF([1]Relatório!$A$2:$A$2653,A311,[1]Relatório!$AK$2:$AK$2653)</f>
        <v>516</v>
      </c>
      <c r="E311" s="11">
        <f t="shared" si="8"/>
        <v>0.000882116121355929</v>
      </c>
      <c r="F311" s="11">
        <f>SUM($E$7:E311)</f>
        <v>0.700354043117699</v>
      </c>
      <c r="G311" s="12" t="str">
        <f t="shared" si="9"/>
        <v>B</v>
      </c>
      <c r="H311" s="9" t="s">
        <v>183</v>
      </c>
      <c r="I311" s="9" t="s">
        <v>722</v>
      </c>
      <c r="J311" s="9" t="s">
        <v>158</v>
      </c>
      <c r="K311" s="10" t="str">
        <f>IFERROR(VLOOKUP(A311,'Pedido ESTHER'!$B:$C,2,0),"")</f>
        <v/>
      </c>
      <c r="L311" s="12" t="str">
        <f>IF(N(K311)&gt;0,"COMPRA","NÃO COMPRA")</f>
        <v>NÃO COMPRA</v>
      </c>
    </row>
    <row r="312" spans="1:12">
      <c r="A312" s="8" t="s">
        <v>723</v>
      </c>
      <c r="B312" s="9" t="s">
        <v>250</v>
      </c>
      <c r="C312" s="9" t="e">
        <f>VLOOKUP(A312,[2]Planilha1!$A:$B,2,0)</f>
        <v>#N/A</v>
      </c>
      <c r="D312" s="10">
        <f>SUMIF([1]Relatório!$A$2:$A$2653,A312,[1]Relatório!$AK$2:$AK$2653)</f>
        <v>513</v>
      </c>
      <c r="E312" s="11">
        <f t="shared" si="8"/>
        <v>0.000876987539255022</v>
      </c>
      <c r="F312" s="11">
        <f>SUM($E$7:E312)</f>
        <v>0.701231030656954</v>
      </c>
      <c r="G312" s="12" t="str">
        <f t="shared" si="9"/>
        <v>B</v>
      </c>
      <c r="H312" s="9" t="s">
        <v>74</v>
      </c>
      <c r="I312" s="9" t="s">
        <v>724</v>
      </c>
      <c r="J312" s="9" t="s">
        <v>40</v>
      </c>
      <c r="K312" s="10" t="str">
        <f>IFERROR(VLOOKUP(A312,'Pedido ESTHER'!$B:$C,2,0),"")</f>
        <v/>
      </c>
      <c r="L312" s="12" t="str">
        <f>IF(N(K312)&gt;0,"COMPRA","NÃO COMPRA")</f>
        <v>NÃO COMPRA</v>
      </c>
    </row>
    <row r="313" spans="1:12">
      <c r="A313" s="8" t="s">
        <v>725</v>
      </c>
      <c r="B313" s="9" t="s">
        <v>42</v>
      </c>
      <c r="C313" s="9" t="e">
        <f>VLOOKUP(A313,[2]Planilha1!$A:$B,2,0)</f>
        <v>#N/A</v>
      </c>
      <c r="D313" s="10">
        <f>SUMIF([1]Relatório!$A$2:$A$2653,A313,[1]Relatório!$AK$2:$AK$2653)</f>
        <v>511</v>
      </c>
      <c r="E313" s="11">
        <f t="shared" si="8"/>
        <v>0.000873568484521084</v>
      </c>
      <c r="F313" s="11">
        <f>SUM($E$7:E313)</f>
        <v>0.702104599141475</v>
      </c>
      <c r="G313" s="12" t="str">
        <f t="shared" si="9"/>
        <v>B</v>
      </c>
      <c r="H313" s="9" t="s">
        <v>21</v>
      </c>
      <c r="I313" s="9" t="s">
        <v>726</v>
      </c>
      <c r="J313" s="9" t="s">
        <v>44</v>
      </c>
      <c r="K313" s="10" t="str">
        <f>IFERROR(VLOOKUP(A313,'Pedido ESTHER'!$B:$C,2,0),"")</f>
        <v/>
      </c>
      <c r="L313" s="12" t="str">
        <f>IF(N(K313)&gt;0,"COMPRA","NÃO COMPRA")</f>
        <v>NÃO COMPRA</v>
      </c>
    </row>
    <row r="314" spans="1:12">
      <c r="A314" s="8" t="s">
        <v>727</v>
      </c>
      <c r="B314" s="9" t="s">
        <v>728</v>
      </c>
      <c r="C314" s="9" t="e">
        <f>VLOOKUP(A314,[2]Planilha1!$A:$B,2,0)</f>
        <v>#N/A</v>
      </c>
      <c r="D314" s="10">
        <f>SUMIF([1]Relatório!$A$2:$A$2653,A314,[1]Relatório!$AK$2:$AK$2653)</f>
        <v>510</v>
      </c>
      <c r="E314" s="11">
        <f t="shared" si="8"/>
        <v>0.000871858957154116</v>
      </c>
      <c r="F314" s="11">
        <f>SUM($E$7:E314)</f>
        <v>0.702976458098629</v>
      </c>
      <c r="G314" s="12" t="str">
        <f t="shared" si="9"/>
        <v>B</v>
      </c>
      <c r="H314" s="9" t="s">
        <v>74</v>
      </c>
      <c r="I314" s="9" t="s">
        <v>729</v>
      </c>
      <c r="J314" s="9" t="s">
        <v>158</v>
      </c>
      <c r="K314" s="10" t="str">
        <f>IFERROR(VLOOKUP(A314,'Pedido ESTHER'!$B:$C,2,0),"")</f>
        <v/>
      </c>
      <c r="L314" s="12" t="str">
        <f>IF(N(K314)&gt;0,"COMPRA","NÃO COMPRA")</f>
        <v>NÃO COMPRA</v>
      </c>
    </row>
    <row r="315" spans="1:12">
      <c r="A315" s="8" t="s">
        <v>730</v>
      </c>
      <c r="B315" s="9" t="s">
        <v>237</v>
      </c>
      <c r="C315" s="9" t="e">
        <f>VLOOKUP(A315,[2]Planilha1!$A:$B,2,0)</f>
        <v>#N/A</v>
      </c>
      <c r="D315" s="10">
        <f>SUMIF([1]Relatório!$A$2:$A$2653,A315,[1]Relatório!$AK$2:$AK$2653)</f>
        <v>508</v>
      </c>
      <c r="E315" s="11">
        <f t="shared" si="8"/>
        <v>0.000868439902420178</v>
      </c>
      <c r="F315" s="11">
        <f>SUM($E$7:E315)</f>
        <v>0.703844898001049</v>
      </c>
      <c r="G315" s="12" t="str">
        <f t="shared" si="9"/>
        <v>B</v>
      </c>
      <c r="H315" s="9" t="s">
        <v>14</v>
      </c>
      <c r="I315" s="9" t="s">
        <v>731</v>
      </c>
      <c r="J315" s="9" t="s">
        <v>33</v>
      </c>
      <c r="K315" s="10" t="str">
        <f>IFERROR(VLOOKUP(A315,'Pedido ESTHER'!$B:$C,2,0),"")</f>
        <v/>
      </c>
      <c r="L315" s="12" t="str">
        <f>IF(N(K315)&gt;0,"COMPRA","NÃO COMPRA")</f>
        <v>NÃO COMPRA</v>
      </c>
    </row>
    <row r="316" spans="1:12">
      <c r="A316" s="8" t="s">
        <v>732</v>
      </c>
      <c r="B316" s="9" t="s">
        <v>681</v>
      </c>
      <c r="C316" s="9" t="e">
        <f>VLOOKUP(A316,[2]Planilha1!$A:$B,2,0)</f>
        <v>#N/A</v>
      </c>
      <c r="D316" s="10">
        <f>SUMIF([1]Relatório!$A$2:$A$2653,A316,[1]Relatório!$AK$2:$AK$2653)</f>
        <v>508</v>
      </c>
      <c r="E316" s="11">
        <f t="shared" si="8"/>
        <v>0.000868439902420178</v>
      </c>
      <c r="F316" s="11">
        <f>SUM($E$7:E316)</f>
        <v>0.70471333790347</v>
      </c>
      <c r="G316" s="12" t="str">
        <f t="shared" si="9"/>
        <v>B</v>
      </c>
      <c r="H316" s="9" t="s">
        <v>183</v>
      </c>
      <c r="I316" s="9"/>
      <c r="J316" s="9" t="s">
        <v>281</v>
      </c>
      <c r="K316" s="10" t="str">
        <f>IFERROR(VLOOKUP(A316,'Pedido ESTHER'!$B:$C,2,0),"")</f>
        <v/>
      </c>
      <c r="L316" s="12" t="str">
        <f>IF(N(K316)&gt;0,"COMPRA","NÃO COMPRA")</f>
        <v>NÃO COMPRA</v>
      </c>
    </row>
    <row r="317" spans="1:12">
      <c r="A317" s="8" t="s">
        <v>733</v>
      </c>
      <c r="B317" s="9" t="s">
        <v>734</v>
      </c>
      <c r="C317" s="9" t="e">
        <f>VLOOKUP(A317,[2]Planilha1!$A:$B,2,0)</f>
        <v>#N/A</v>
      </c>
      <c r="D317" s="10">
        <f>SUMIF([1]Relatório!$A$2:$A$2653,A317,[1]Relatório!$AK$2:$AK$2653)</f>
        <v>506</v>
      </c>
      <c r="E317" s="11">
        <f t="shared" si="8"/>
        <v>0.00086502084768624</v>
      </c>
      <c r="F317" s="11">
        <f>SUM($E$7:E317)</f>
        <v>0.705578358751156</v>
      </c>
      <c r="G317" s="12" t="str">
        <f t="shared" si="9"/>
        <v>B</v>
      </c>
      <c r="H317" s="9" t="s">
        <v>586</v>
      </c>
      <c r="I317" s="9" t="s">
        <v>735</v>
      </c>
      <c r="J317" s="9" t="s">
        <v>497</v>
      </c>
      <c r="K317" s="10" t="str">
        <f>IFERROR(VLOOKUP(A317,'Pedido ESTHER'!$B:$C,2,0),"")</f>
        <v/>
      </c>
      <c r="L317" s="12" t="str">
        <f>IF(N(K317)&gt;0,"COMPRA","NÃO COMPRA")</f>
        <v>NÃO COMPRA</v>
      </c>
    </row>
    <row r="318" spans="1:12">
      <c r="A318" s="8" t="s">
        <v>736</v>
      </c>
      <c r="B318" s="9" t="s">
        <v>51</v>
      </c>
      <c r="C318" s="9" t="e">
        <f>VLOOKUP(A318,[2]Planilha1!$A:$B,2,0)</f>
        <v>#N/A</v>
      </c>
      <c r="D318" s="10">
        <f>SUMIF([1]Relatório!$A$2:$A$2653,A318,[1]Relatório!$AK$2:$AK$2653)</f>
        <v>504</v>
      </c>
      <c r="E318" s="11">
        <f t="shared" si="8"/>
        <v>0.000861601792952302</v>
      </c>
      <c r="F318" s="11">
        <f>SUM($E$7:E318)</f>
        <v>0.706439960544108</v>
      </c>
      <c r="G318" s="12" t="str">
        <f t="shared" si="9"/>
        <v>B</v>
      </c>
      <c r="H318" s="9" t="s">
        <v>21</v>
      </c>
      <c r="I318" s="9" t="s">
        <v>737</v>
      </c>
      <c r="J318" s="9" t="s">
        <v>33</v>
      </c>
      <c r="K318" s="10" t="str">
        <f>IFERROR(VLOOKUP(A318,'Pedido ESTHER'!$B:$C,2,0),"")</f>
        <v/>
      </c>
      <c r="L318" s="12" t="str">
        <f>IF(N(K318)&gt;0,"COMPRA","NÃO COMPRA")</f>
        <v>NÃO COMPRA</v>
      </c>
    </row>
    <row r="319" spans="1:12">
      <c r="A319" s="8" t="s">
        <v>738</v>
      </c>
      <c r="B319" s="9" t="s">
        <v>739</v>
      </c>
      <c r="C319" s="9" t="e">
        <f>VLOOKUP(A319,[2]Planilha1!$A:$B,2,0)</f>
        <v>#N/A</v>
      </c>
      <c r="D319" s="10">
        <f>SUMIF([1]Relatório!$A$2:$A$2653,A319,[1]Relatório!$AK$2:$AK$2653)</f>
        <v>499</v>
      </c>
      <c r="E319" s="11">
        <f t="shared" si="8"/>
        <v>0.000853054156117458</v>
      </c>
      <c r="F319" s="11">
        <f>SUM($E$7:E319)</f>
        <v>0.707293014700226</v>
      </c>
      <c r="G319" s="12" t="str">
        <f t="shared" si="9"/>
        <v>B</v>
      </c>
      <c r="H319" s="9" t="s">
        <v>14</v>
      </c>
      <c r="I319" s="9" t="s">
        <v>740</v>
      </c>
      <c r="J319" s="9" t="s">
        <v>40</v>
      </c>
      <c r="K319" s="10" t="str">
        <f>IFERROR(VLOOKUP(A319,'Pedido ESTHER'!$B:$C,2,0),"")</f>
        <v/>
      </c>
      <c r="L319" s="12" t="str">
        <f>IF(N(K319)&gt;0,"COMPRA","NÃO COMPRA")</f>
        <v>NÃO COMPRA</v>
      </c>
    </row>
    <row r="320" spans="1:12">
      <c r="A320" s="8" t="s">
        <v>741</v>
      </c>
      <c r="B320" s="9" t="s">
        <v>742</v>
      </c>
      <c r="C320" s="9" t="e">
        <f>VLOOKUP(A320,[2]Planilha1!$A:$B,2,0)</f>
        <v>#N/A</v>
      </c>
      <c r="D320" s="10">
        <f>SUMIF([1]Relatório!$A$2:$A$2653,A320,[1]Relatório!$AK$2:$AK$2653)</f>
        <v>498</v>
      </c>
      <c r="E320" s="11">
        <f t="shared" si="8"/>
        <v>0.000851344628750489</v>
      </c>
      <c r="F320" s="11">
        <f>SUM($E$7:E320)</f>
        <v>0.708144359328976</v>
      </c>
      <c r="G320" s="12" t="str">
        <f t="shared" si="9"/>
        <v>B</v>
      </c>
      <c r="H320" s="9" t="s">
        <v>74</v>
      </c>
      <c r="I320" s="9" t="s">
        <v>743</v>
      </c>
      <c r="J320" s="9" t="s">
        <v>201</v>
      </c>
      <c r="K320" s="10" t="str">
        <f>IFERROR(VLOOKUP(A320,'Pedido ESTHER'!$B:$C,2,0),"")</f>
        <v/>
      </c>
      <c r="L320" s="12" t="str">
        <f>IF(N(K320)&gt;0,"COMPRA","NÃO COMPRA")</f>
        <v>NÃO COMPRA</v>
      </c>
    </row>
    <row r="321" spans="1:12">
      <c r="A321" s="8" t="s">
        <v>744</v>
      </c>
      <c r="B321" s="9" t="s">
        <v>522</v>
      </c>
      <c r="C321" s="9" t="e">
        <f>VLOOKUP(A321,[2]Planilha1!$A:$B,2,0)</f>
        <v>#N/A</v>
      </c>
      <c r="D321" s="10">
        <f>SUMIF([1]Relatório!$A$2:$A$2653,A321,[1]Relatório!$AK$2:$AK$2653)</f>
        <v>493</v>
      </c>
      <c r="E321" s="11">
        <f t="shared" si="8"/>
        <v>0.000842796991915645</v>
      </c>
      <c r="F321" s="11">
        <f>SUM($E$7:E321)</f>
        <v>0.708987156320892</v>
      </c>
      <c r="G321" s="12" t="str">
        <f t="shared" si="9"/>
        <v>B</v>
      </c>
      <c r="H321" s="9" t="s">
        <v>117</v>
      </c>
      <c r="I321" s="9" t="s">
        <v>745</v>
      </c>
      <c r="J321" s="9" t="s">
        <v>201</v>
      </c>
      <c r="K321" s="10" t="str">
        <f>IFERROR(VLOOKUP(A321,'Pedido ESTHER'!$B:$C,2,0),"")</f>
        <v/>
      </c>
      <c r="L321" s="12" t="str">
        <f>IF(N(K321)&gt;0,"COMPRA","NÃO COMPRA")</f>
        <v>NÃO COMPRA</v>
      </c>
    </row>
    <row r="322" spans="1:12">
      <c r="A322" s="8" t="s">
        <v>746</v>
      </c>
      <c r="B322" s="9" t="s">
        <v>111</v>
      </c>
      <c r="C322" s="9" t="e">
        <f>VLOOKUP(A322,[2]Planilha1!$A:$B,2,0)</f>
        <v>#N/A</v>
      </c>
      <c r="D322" s="10">
        <f>SUMIF([1]Relatório!$A$2:$A$2653,A322,[1]Relatório!$AK$2:$AK$2653)</f>
        <v>488</v>
      </c>
      <c r="E322" s="11">
        <f t="shared" si="8"/>
        <v>0.000834249355080801</v>
      </c>
      <c r="F322" s="11">
        <f>SUM($E$7:E322)</f>
        <v>0.709821405675973</v>
      </c>
      <c r="G322" s="12" t="str">
        <f t="shared" si="9"/>
        <v>B</v>
      </c>
      <c r="H322" s="9" t="s">
        <v>221</v>
      </c>
      <c r="I322" s="9" t="s">
        <v>747</v>
      </c>
      <c r="J322" s="9" t="s">
        <v>83</v>
      </c>
      <c r="K322" s="10" t="str">
        <f>IFERROR(VLOOKUP(A322,'Pedido ESTHER'!$B:$C,2,0),"")</f>
        <v/>
      </c>
      <c r="L322" s="12" t="str">
        <f>IF(N(K322)&gt;0,"COMPRA","NÃO COMPRA")</f>
        <v>NÃO COMPRA</v>
      </c>
    </row>
    <row r="323" spans="1:12">
      <c r="A323" s="8" t="s">
        <v>748</v>
      </c>
      <c r="B323" s="9" t="s">
        <v>749</v>
      </c>
      <c r="C323" s="9" t="e">
        <f>VLOOKUP(A323,[2]Planilha1!$A:$B,2,0)</f>
        <v>#N/A</v>
      </c>
      <c r="D323" s="10">
        <f>SUMIF([1]Relatório!$A$2:$A$2653,A323,[1]Relatório!$AK$2:$AK$2653)</f>
        <v>486</v>
      </c>
      <c r="E323" s="11">
        <f t="shared" si="8"/>
        <v>0.000830830300346863</v>
      </c>
      <c r="F323" s="11">
        <f>SUM($E$7:E323)</f>
        <v>0.710652235976319</v>
      </c>
      <c r="G323" s="12" t="str">
        <f t="shared" si="9"/>
        <v>B</v>
      </c>
      <c r="H323" s="9" t="s">
        <v>183</v>
      </c>
      <c r="I323" s="9"/>
      <c r="J323" s="9" t="s">
        <v>359</v>
      </c>
      <c r="K323" s="10" t="str">
        <f>IFERROR(VLOOKUP(A323,'Pedido ESTHER'!$B:$C,2,0),"")</f>
        <v/>
      </c>
      <c r="L323" s="12" t="str">
        <f>IF(N(K323)&gt;0,"COMPRA","NÃO COMPRA")</f>
        <v>NÃO COMPRA</v>
      </c>
    </row>
    <row r="324" spans="1:12">
      <c r="A324" s="8" t="s">
        <v>750</v>
      </c>
      <c r="B324" s="9" t="s">
        <v>78</v>
      </c>
      <c r="C324" s="9" t="e">
        <f>VLOOKUP(A324,[2]Planilha1!$A:$B,2,0)</f>
        <v>#N/A</v>
      </c>
      <c r="D324" s="10">
        <f>SUMIF([1]Relatório!$A$2:$A$2653,A324,[1]Relatório!$AK$2:$AK$2653)</f>
        <v>484</v>
      </c>
      <c r="E324" s="11">
        <f t="shared" si="8"/>
        <v>0.000827411245612925</v>
      </c>
      <c r="F324" s="11">
        <f>SUM($E$7:E324)</f>
        <v>0.711479647221932</v>
      </c>
      <c r="G324" s="12" t="str">
        <f t="shared" si="9"/>
        <v>B</v>
      </c>
      <c r="H324" s="9" t="s">
        <v>74</v>
      </c>
      <c r="I324" s="9" t="s">
        <v>751</v>
      </c>
      <c r="J324" s="9" t="s">
        <v>44</v>
      </c>
      <c r="K324" s="10" t="str">
        <f>IFERROR(VLOOKUP(A324,'Pedido ESTHER'!$B:$C,2,0),"")</f>
        <v/>
      </c>
      <c r="L324" s="12" t="str">
        <f>IF(N(K324)&gt;0,"COMPRA","NÃO COMPRA")</f>
        <v>NÃO COMPRA</v>
      </c>
    </row>
    <row r="325" spans="1:12">
      <c r="A325" s="8" t="s">
        <v>752</v>
      </c>
      <c r="B325" s="9" t="s">
        <v>48</v>
      </c>
      <c r="C325" s="9" t="e">
        <f>VLOOKUP(A325,[2]Planilha1!$A:$B,2,0)</f>
        <v>#N/A</v>
      </c>
      <c r="D325" s="10">
        <f>SUMIF([1]Relatório!$A$2:$A$2653,A325,[1]Relatório!$AK$2:$AK$2653)</f>
        <v>482</v>
      </c>
      <c r="E325" s="11">
        <f t="shared" si="8"/>
        <v>0.000823992190878988</v>
      </c>
      <c r="F325" s="11">
        <f>SUM($E$7:E325)</f>
        <v>0.712303639412811</v>
      </c>
      <c r="G325" s="12" t="str">
        <f t="shared" si="9"/>
        <v>B</v>
      </c>
      <c r="H325" s="9" t="s">
        <v>18</v>
      </c>
      <c r="I325" s="9" t="s">
        <v>753</v>
      </c>
      <c r="J325" s="9" t="s">
        <v>29</v>
      </c>
      <c r="K325" s="10" t="str">
        <f>IFERROR(VLOOKUP(A325,'Pedido ESTHER'!$B:$C,2,0),"")</f>
        <v/>
      </c>
      <c r="L325" s="12" t="str">
        <f>IF(N(K325)&gt;0,"COMPRA","NÃO COMPRA")</f>
        <v>NÃO COMPRA</v>
      </c>
    </row>
    <row r="326" spans="1:12">
      <c r="A326" s="8" t="s">
        <v>754</v>
      </c>
      <c r="B326" s="9" t="s">
        <v>91</v>
      </c>
      <c r="C326" s="9" t="e">
        <f>VLOOKUP(A326,[2]Planilha1!$A:$B,2,0)</f>
        <v>#N/A</v>
      </c>
      <c r="D326" s="10">
        <f>SUMIF([1]Relatório!$A$2:$A$2653,A326,[1]Relatório!$AK$2:$AK$2653)</f>
        <v>481</v>
      </c>
      <c r="E326" s="11">
        <f t="shared" si="8"/>
        <v>0.000822282663512019</v>
      </c>
      <c r="F326" s="11">
        <f>SUM($E$7:E326)</f>
        <v>0.713125922076323</v>
      </c>
      <c r="G326" s="12" t="str">
        <f t="shared" si="9"/>
        <v>B</v>
      </c>
      <c r="H326" s="9" t="s">
        <v>74</v>
      </c>
      <c r="I326" s="9" t="s">
        <v>755</v>
      </c>
      <c r="J326" s="9" t="s">
        <v>33</v>
      </c>
      <c r="K326" s="10" t="str">
        <f>IFERROR(VLOOKUP(A326,'Pedido ESTHER'!$B:$C,2,0),"")</f>
        <v/>
      </c>
      <c r="L326" s="12" t="str">
        <f>IF(N(K326)&gt;0,"COMPRA","NÃO COMPRA")</f>
        <v>NÃO COMPRA</v>
      </c>
    </row>
    <row r="327" spans="1:12">
      <c r="A327" s="8" t="s">
        <v>756</v>
      </c>
      <c r="B327" s="9" t="s">
        <v>51</v>
      </c>
      <c r="C327" s="9" t="e">
        <f>VLOOKUP(A327,[2]Planilha1!$A:$B,2,0)</f>
        <v>#N/A</v>
      </c>
      <c r="D327" s="10">
        <f>SUMIF([1]Relatório!$A$2:$A$2653,A327,[1]Relatório!$AK$2:$AK$2653)</f>
        <v>477</v>
      </c>
      <c r="E327" s="11">
        <f t="shared" si="8"/>
        <v>0.000815444554044143</v>
      </c>
      <c r="F327" s="11">
        <f>SUM($E$7:E327)</f>
        <v>0.713941366630368</v>
      </c>
      <c r="G327" s="12" t="str">
        <f t="shared" si="9"/>
        <v>B</v>
      </c>
      <c r="H327" s="9" t="s">
        <v>21</v>
      </c>
      <c r="I327" s="9" t="s">
        <v>757</v>
      </c>
      <c r="J327" s="9" t="s">
        <v>33</v>
      </c>
      <c r="K327" s="10" t="str">
        <f>IFERROR(VLOOKUP(A327,'Pedido ESTHER'!$B:$C,2,0),"")</f>
        <v/>
      </c>
      <c r="L327" s="12" t="str">
        <f>IF(N(K327)&gt;0,"COMPRA","NÃO COMPRA")</f>
        <v>NÃO COMPRA</v>
      </c>
    </row>
    <row r="328" spans="1:12">
      <c r="A328" s="8" t="s">
        <v>758</v>
      </c>
      <c r="B328" s="9" t="s">
        <v>42</v>
      </c>
      <c r="C328" s="9" t="e">
        <f>VLOOKUP(A328,[2]Planilha1!$A:$B,2,0)</f>
        <v>#N/A</v>
      </c>
      <c r="D328" s="10">
        <f>SUMIF([1]Relatório!$A$2:$A$2653,A328,[1]Relatório!$AK$2:$AK$2653)</f>
        <v>475</v>
      </c>
      <c r="E328" s="11">
        <f t="shared" ref="E328:E391" si="10">D328/SUM($D$7:$D$1708)</f>
        <v>0.000812025499310206</v>
      </c>
      <c r="F328" s="11">
        <f>SUM($E$7:E328)</f>
        <v>0.714753392129678</v>
      </c>
      <c r="G328" s="12" t="str">
        <f t="shared" ref="G328:G391" si="11">IF(F328&lt;=70%,"A",IF(F328&lt;=90%,"B","C"))</f>
        <v>B</v>
      </c>
      <c r="H328" s="9" t="s">
        <v>21</v>
      </c>
      <c r="I328" s="9" t="s">
        <v>759</v>
      </c>
      <c r="J328" s="9" t="s">
        <v>44</v>
      </c>
      <c r="K328" s="10" t="str">
        <f>IFERROR(VLOOKUP(A328,'Pedido ESTHER'!$B:$C,2,0),"")</f>
        <v/>
      </c>
      <c r="L328" s="12" t="str">
        <f>IF(N(K328)&gt;0,"COMPRA","NÃO COMPRA")</f>
        <v>NÃO COMPRA</v>
      </c>
    </row>
    <row r="329" spans="1:12">
      <c r="A329" s="8" t="s">
        <v>760</v>
      </c>
      <c r="B329" s="9" t="s">
        <v>761</v>
      </c>
      <c r="C329" s="9" t="e">
        <f>VLOOKUP(A329,[2]Planilha1!$A:$B,2,0)</f>
        <v>#N/A</v>
      </c>
      <c r="D329" s="10">
        <f>SUMIF([1]Relatório!$A$2:$A$2653,A329,[1]Relatório!$AK$2:$AK$2653)</f>
        <v>473</v>
      </c>
      <c r="E329" s="11">
        <f t="shared" si="10"/>
        <v>0.000808606444576268</v>
      </c>
      <c r="F329" s="11">
        <f>SUM($E$7:E329)</f>
        <v>0.715561998574254</v>
      </c>
      <c r="G329" s="12" t="str">
        <f t="shared" si="11"/>
        <v>B</v>
      </c>
      <c r="H329" s="9" t="s">
        <v>21</v>
      </c>
      <c r="I329" s="9" t="s">
        <v>762</v>
      </c>
      <c r="J329" s="9" t="s">
        <v>83</v>
      </c>
      <c r="K329" s="10">
        <f>IFERROR(VLOOKUP(A329,'Pedido ESTHER'!$B:$C,2,0),"")</f>
        <v>6</v>
      </c>
      <c r="L329" s="12" t="str">
        <f>IF(N(K329)&gt;0,"COMPRA","NÃO COMPRA")</f>
        <v>COMPRA</v>
      </c>
    </row>
    <row r="330" spans="1:12">
      <c r="A330" s="8" t="s">
        <v>763</v>
      </c>
      <c r="B330" s="9" t="s">
        <v>259</v>
      </c>
      <c r="C330" s="9" t="e">
        <f>VLOOKUP(A330,[2]Planilha1!$A:$B,2,0)</f>
        <v>#N/A</v>
      </c>
      <c r="D330" s="10">
        <f>SUMIF([1]Relatório!$A$2:$A$2653,A330,[1]Relatório!$AK$2:$AK$2653)</f>
        <v>473</v>
      </c>
      <c r="E330" s="11">
        <f t="shared" si="10"/>
        <v>0.000808606444576268</v>
      </c>
      <c r="F330" s="11">
        <f>SUM($E$7:E330)</f>
        <v>0.71637060501883</v>
      </c>
      <c r="G330" s="12" t="str">
        <f t="shared" si="11"/>
        <v>B</v>
      </c>
      <c r="H330" s="9" t="s">
        <v>18</v>
      </c>
      <c r="I330" s="9"/>
      <c r="J330" s="9" t="s">
        <v>201</v>
      </c>
      <c r="K330" s="10" t="str">
        <f>IFERROR(VLOOKUP(A330,'Pedido ESTHER'!$B:$C,2,0),"")</f>
        <v/>
      </c>
      <c r="L330" s="12" t="str">
        <f>IF(N(K330)&gt;0,"COMPRA","NÃO COMPRA")</f>
        <v>NÃO COMPRA</v>
      </c>
    </row>
    <row r="331" spans="1:12">
      <c r="A331" s="8" t="s">
        <v>764</v>
      </c>
      <c r="B331" s="9" t="s">
        <v>602</v>
      </c>
      <c r="C331" s="9" t="e">
        <f>VLOOKUP(A331,[2]Planilha1!$A:$B,2,0)</f>
        <v>#N/A</v>
      </c>
      <c r="D331" s="10">
        <f>SUMIF([1]Relatório!$A$2:$A$2653,A331,[1]Relatório!$AK$2:$AK$2653)</f>
        <v>471</v>
      </c>
      <c r="E331" s="11">
        <f t="shared" si="10"/>
        <v>0.00080518738984233</v>
      </c>
      <c r="F331" s="11">
        <f>SUM($E$7:E331)</f>
        <v>0.717175792408673</v>
      </c>
      <c r="G331" s="12" t="str">
        <f t="shared" si="11"/>
        <v>B</v>
      </c>
      <c r="H331" s="9" t="s">
        <v>183</v>
      </c>
      <c r="I331" s="9"/>
      <c r="J331" s="9" t="s">
        <v>23</v>
      </c>
      <c r="K331" s="10" t="str">
        <f>IFERROR(VLOOKUP(A331,'Pedido ESTHER'!$B:$C,2,0),"")</f>
        <v/>
      </c>
      <c r="L331" s="12" t="str">
        <f>IF(N(K331)&gt;0,"COMPRA","NÃO COMPRA")</f>
        <v>NÃO COMPRA</v>
      </c>
    </row>
    <row r="332" spans="1:12">
      <c r="A332" s="8" t="s">
        <v>765</v>
      </c>
      <c r="B332" s="9" t="s">
        <v>154</v>
      </c>
      <c r="C332" s="9" t="e">
        <f>VLOOKUP(A332,[2]Planilha1!$A:$B,2,0)</f>
        <v>#N/A</v>
      </c>
      <c r="D332" s="10">
        <f>SUMIF([1]Relatório!$A$2:$A$2653,A332,[1]Relatório!$AK$2:$AK$2653)</f>
        <v>470</v>
      </c>
      <c r="E332" s="11">
        <f t="shared" si="10"/>
        <v>0.000803477862475361</v>
      </c>
      <c r="F332" s="11">
        <f>SUM($E$7:E332)</f>
        <v>0.717979270271148</v>
      </c>
      <c r="G332" s="12" t="str">
        <f t="shared" si="11"/>
        <v>B</v>
      </c>
      <c r="H332" s="9" t="s">
        <v>117</v>
      </c>
      <c r="I332" s="9" t="s">
        <v>766</v>
      </c>
      <c r="J332" s="9" t="s">
        <v>44</v>
      </c>
      <c r="K332" s="10" t="str">
        <f>IFERROR(VLOOKUP(A332,'Pedido ESTHER'!$B:$C,2,0),"")</f>
        <v/>
      </c>
      <c r="L332" s="12" t="str">
        <f>IF(N(K332)&gt;0,"COMPRA","NÃO COMPRA")</f>
        <v>NÃO COMPRA</v>
      </c>
    </row>
    <row r="333" spans="1:12">
      <c r="A333" s="8" t="s">
        <v>767</v>
      </c>
      <c r="B333" s="9" t="s">
        <v>768</v>
      </c>
      <c r="C333" s="9" t="e">
        <f>VLOOKUP(A333,[2]Planilha1!$A:$B,2,0)</f>
        <v>#N/A</v>
      </c>
      <c r="D333" s="10">
        <f>SUMIF([1]Relatório!$A$2:$A$2653,A333,[1]Relatório!$AK$2:$AK$2653)</f>
        <v>470</v>
      </c>
      <c r="E333" s="11">
        <f t="shared" si="10"/>
        <v>0.000803477862475361</v>
      </c>
      <c r="F333" s="11">
        <f>SUM($E$7:E333)</f>
        <v>0.718782748133623</v>
      </c>
      <c r="G333" s="12" t="str">
        <f t="shared" si="11"/>
        <v>B</v>
      </c>
      <c r="H333" s="9" t="s">
        <v>586</v>
      </c>
      <c r="I333" s="9" t="s">
        <v>769</v>
      </c>
      <c r="J333" s="9" t="s">
        <v>23</v>
      </c>
      <c r="K333" s="10" t="str">
        <f>IFERROR(VLOOKUP(A333,'Pedido ESTHER'!$B:$C,2,0),"")</f>
        <v/>
      </c>
      <c r="L333" s="12" t="str">
        <f>IF(N(K333)&gt;0,"COMPRA","NÃO COMPRA")</f>
        <v>NÃO COMPRA</v>
      </c>
    </row>
    <row r="334" spans="1:12">
      <c r="A334" s="8" t="s">
        <v>770</v>
      </c>
      <c r="B334" s="9" t="s">
        <v>771</v>
      </c>
      <c r="C334" s="9" t="e">
        <f>VLOOKUP(A334,[2]Planilha1!$A:$B,2,0)</f>
        <v>#N/A</v>
      </c>
      <c r="D334" s="10">
        <f>SUMIF([1]Relatório!$A$2:$A$2653,A334,[1]Relatório!$AK$2:$AK$2653)</f>
        <v>469</v>
      </c>
      <c r="E334" s="11">
        <f t="shared" si="10"/>
        <v>0.000801768335108393</v>
      </c>
      <c r="F334" s="11">
        <f>SUM($E$7:E334)</f>
        <v>0.719584516468732</v>
      </c>
      <c r="G334" s="12" t="str">
        <f t="shared" si="11"/>
        <v>B</v>
      </c>
      <c r="H334" s="9" t="s">
        <v>221</v>
      </c>
      <c r="I334" s="9" t="s">
        <v>772</v>
      </c>
      <c r="J334" s="9" t="s">
        <v>64</v>
      </c>
      <c r="K334" s="10" t="str">
        <f>IFERROR(VLOOKUP(A334,'Pedido ESTHER'!$B:$C,2,0),"")</f>
        <v/>
      </c>
      <c r="L334" s="12" t="str">
        <f>IF(N(K334)&gt;0,"COMPRA","NÃO COMPRA")</f>
        <v>NÃO COMPRA</v>
      </c>
    </row>
    <row r="335" spans="1:12">
      <c r="A335" s="8" t="s">
        <v>773</v>
      </c>
      <c r="B335" s="9" t="s">
        <v>495</v>
      </c>
      <c r="C335" s="9" t="e">
        <f>VLOOKUP(A335,[2]Planilha1!$A:$B,2,0)</f>
        <v>#N/A</v>
      </c>
      <c r="D335" s="10">
        <f>SUMIF([1]Relatório!$A$2:$A$2653,A335,[1]Relatório!$AK$2:$AK$2653)</f>
        <v>465</v>
      </c>
      <c r="E335" s="11">
        <f t="shared" si="10"/>
        <v>0.000794930225640517</v>
      </c>
      <c r="F335" s="11">
        <f>SUM($E$7:E335)</f>
        <v>0.720379446694372</v>
      </c>
      <c r="G335" s="12" t="str">
        <f t="shared" si="11"/>
        <v>B</v>
      </c>
      <c r="H335" s="9" t="s">
        <v>183</v>
      </c>
      <c r="I335" s="9"/>
      <c r="J335" s="9" t="s">
        <v>64</v>
      </c>
      <c r="K335" s="10" t="str">
        <f>IFERROR(VLOOKUP(A335,'Pedido ESTHER'!$B:$C,2,0),"")</f>
        <v/>
      </c>
      <c r="L335" s="12" t="str">
        <f>IF(N(K335)&gt;0,"COMPRA","NÃO COMPRA")</f>
        <v>NÃO COMPRA</v>
      </c>
    </row>
    <row r="336" spans="1:12">
      <c r="A336" s="8" t="s">
        <v>774</v>
      </c>
      <c r="B336" s="9" t="s">
        <v>775</v>
      </c>
      <c r="C336" s="9" t="e">
        <f>VLOOKUP(A336,[2]Planilha1!$A:$B,2,0)</f>
        <v>#N/A</v>
      </c>
      <c r="D336" s="10">
        <f>SUMIF([1]Relatório!$A$2:$A$2653,A336,[1]Relatório!$AK$2:$AK$2653)</f>
        <v>465</v>
      </c>
      <c r="E336" s="11">
        <f t="shared" si="10"/>
        <v>0.000794930225640517</v>
      </c>
      <c r="F336" s="11">
        <f>SUM($E$7:E336)</f>
        <v>0.721174376920013</v>
      </c>
      <c r="G336" s="12" t="str">
        <f t="shared" si="11"/>
        <v>B</v>
      </c>
      <c r="H336" s="9" t="s">
        <v>776</v>
      </c>
      <c r="I336" s="9"/>
      <c r="J336" s="9" t="s">
        <v>497</v>
      </c>
      <c r="K336" s="10" t="str">
        <f>IFERROR(VLOOKUP(A336,'Pedido ESTHER'!$B:$C,2,0),"")</f>
        <v/>
      </c>
      <c r="L336" s="12" t="str">
        <f>IF(N(K336)&gt;0,"COMPRA","NÃO COMPRA")</f>
        <v>NÃO COMPRA</v>
      </c>
    </row>
    <row r="337" spans="1:12">
      <c r="A337" s="8" t="s">
        <v>777</v>
      </c>
      <c r="B337" s="9" t="s">
        <v>778</v>
      </c>
      <c r="C337" s="9" t="e">
        <f>VLOOKUP(A337,[2]Planilha1!$A:$B,2,0)</f>
        <v>#N/A</v>
      </c>
      <c r="D337" s="10">
        <f>SUMIF([1]Relatório!$A$2:$A$2653,A337,[1]Relatório!$AK$2:$AK$2653)</f>
        <v>464</v>
      </c>
      <c r="E337" s="11">
        <f t="shared" si="10"/>
        <v>0.000793220698273548</v>
      </c>
      <c r="F337" s="11">
        <f>SUM($E$7:E337)</f>
        <v>0.721967597618286</v>
      </c>
      <c r="G337" s="12" t="str">
        <f t="shared" si="11"/>
        <v>B</v>
      </c>
      <c r="H337" s="9" t="s">
        <v>82</v>
      </c>
      <c r="I337" s="9"/>
      <c r="J337" s="9" t="s">
        <v>158</v>
      </c>
      <c r="K337" s="10" t="str">
        <f>IFERROR(VLOOKUP(A337,'Pedido ESTHER'!$B:$C,2,0),"")</f>
        <v/>
      </c>
      <c r="L337" s="12" t="str">
        <f>IF(N(K337)&gt;0,"COMPRA","NÃO COMPRA")</f>
        <v>NÃO COMPRA</v>
      </c>
    </row>
    <row r="338" spans="1:12">
      <c r="A338" s="8" t="s">
        <v>779</v>
      </c>
      <c r="B338" s="9" t="s">
        <v>780</v>
      </c>
      <c r="C338" s="9" t="e">
        <f>VLOOKUP(A338,[2]Planilha1!$A:$B,2,0)</f>
        <v>#N/A</v>
      </c>
      <c r="D338" s="10">
        <f>SUMIF([1]Relatório!$A$2:$A$2653,A338,[1]Relatório!$AK$2:$AK$2653)</f>
        <v>458</v>
      </c>
      <c r="E338" s="11">
        <f t="shared" si="10"/>
        <v>0.000782963534071735</v>
      </c>
      <c r="F338" s="11">
        <f>SUM($E$7:E338)</f>
        <v>0.722750561152358</v>
      </c>
      <c r="G338" s="12" t="str">
        <f t="shared" si="11"/>
        <v>B</v>
      </c>
      <c r="H338" s="9" t="s">
        <v>74</v>
      </c>
      <c r="I338" s="9"/>
      <c r="J338" s="9" t="s">
        <v>359</v>
      </c>
      <c r="K338" s="10" t="str">
        <f>IFERROR(VLOOKUP(A338,'Pedido ESTHER'!$B:$C,2,0),"")</f>
        <v/>
      </c>
      <c r="L338" s="12" t="str">
        <f>IF(N(K338)&gt;0,"COMPRA","NÃO COMPRA")</f>
        <v>NÃO COMPRA</v>
      </c>
    </row>
    <row r="339" spans="1:12">
      <c r="A339" s="8" t="s">
        <v>781</v>
      </c>
      <c r="B339" s="9" t="s">
        <v>116</v>
      </c>
      <c r="C339" s="9" t="e">
        <f>VLOOKUP(A339,[2]Planilha1!$A:$B,2,0)</f>
        <v>#N/A</v>
      </c>
      <c r="D339" s="10">
        <f>SUMIF([1]Relatório!$A$2:$A$2653,A339,[1]Relatório!$AK$2:$AK$2653)</f>
        <v>458</v>
      </c>
      <c r="E339" s="11">
        <f t="shared" si="10"/>
        <v>0.000782963534071735</v>
      </c>
      <c r="F339" s="11">
        <f>SUM($E$7:E339)</f>
        <v>0.72353352468643</v>
      </c>
      <c r="G339" s="12" t="str">
        <f t="shared" si="11"/>
        <v>B</v>
      </c>
      <c r="H339" s="9" t="s">
        <v>117</v>
      </c>
      <c r="I339" s="9" t="s">
        <v>782</v>
      </c>
      <c r="J339" s="9" t="s">
        <v>33</v>
      </c>
      <c r="K339" s="10" t="str">
        <f>IFERROR(VLOOKUP(A339,'Pedido ESTHER'!$B:$C,2,0),"")</f>
        <v/>
      </c>
      <c r="L339" s="12" t="str">
        <f>IF(N(K339)&gt;0,"COMPRA","NÃO COMPRA")</f>
        <v>NÃO COMPRA</v>
      </c>
    </row>
    <row r="340" spans="1:12">
      <c r="A340" s="8" t="s">
        <v>783</v>
      </c>
      <c r="B340" s="9" t="s">
        <v>154</v>
      </c>
      <c r="C340" s="9" t="e">
        <f>VLOOKUP(A340,[2]Planilha1!$A:$B,2,0)</f>
        <v>#N/A</v>
      </c>
      <c r="D340" s="10">
        <f>SUMIF([1]Relatório!$A$2:$A$2653,A340,[1]Relatório!$AK$2:$AK$2653)</f>
        <v>458</v>
      </c>
      <c r="E340" s="11">
        <f t="shared" si="10"/>
        <v>0.000782963534071735</v>
      </c>
      <c r="F340" s="11">
        <f>SUM($E$7:E340)</f>
        <v>0.724316488220501</v>
      </c>
      <c r="G340" s="12" t="str">
        <f t="shared" si="11"/>
        <v>B</v>
      </c>
      <c r="H340" s="9" t="s">
        <v>117</v>
      </c>
      <c r="I340" s="9" t="s">
        <v>784</v>
      </c>
      <c r="J340" s="9" t="s">
        <v>382</v>
      </c>
      <c r="K340" s="10" t="str">
        <f>IFERROR(VLOOKUP(A340,'Pedido ESTHER'!$B:$C,2,0),"")</f>
        <v/>
      </c>
      <c r="L340" s="12" t="str">
        <f>IF(N(K340)&gt;0,"COMPRA","NÃO COMPRA")</f>
        <v>NÃO COMPRA</v>
      </c>
    </row>
    <row r="341" spans="1:12">
      <c r="A341" s="8" t="s">
        <v>785</v>
      </c>
      <c r="B341" s="9" t="s">
        <v>786</v>
      </c>
      <c r="C341" s="9" t="e">
        <f>VLOOKUP(A341,[2]Planilha1!$A:$B,2,0)</f>
        <v>#N/A</v>
      </c>
      <c r="D341" s="10">
        <f>SUMIF([1]Relatório!$A$2:$A$2653,A341,[1]Relatório!$AK$2:$AK$2653)</f>
        <v>457</v>
      </c>
      <c r="E341" s="11">
        <f t="shared" si="10"/>
        <v>0.000781254006704766</v>
      </c>
      <c r="F341" s="11">
        <f>SUM($E$7:E341)</f>
        <v>0.725097742227206</v>
      </c>
      <c r="G341" s="12" t="str">
        <f t="shared" si="11"/>
        <v>B</v>
      </c>
      <c r="H341" s="9" t="s">
        <v>112</v>
      </c>
      <c r="I341" s="9" t="s">
        <v>787</v>
      </c>
      <c r="J341" s="9" t="s">
        <v>29</v>
      </c>
      <c r="K341" s="10" t="str">
        <f>IFERROR(VLOOKUP(A341,'Pedido ESTHER'!$B:$C,2,0),"")</f>
        <v/>
      </c>
      <c r="L341" s="12" t="str">
        <f>IF(N(K341)&gt;0,"COMPRA","NÃO COMPRA")</f>
        <v>NÃO COMPRA</v>
      </c>
    </row>
    <row r="342" spans="1:12">
      <c r="A342" s="8" t="s">
        <v>788</v>
      </c>
      <c r="B342" s="9" t="s">
        <v>528</v>
      </c>
      <c r="C342" s="9" t="e">
        <f>VLOOKUP(A342,[2]Planilha1!$A:$B,2,0)</f>
        <v>#N/A</v>
      </c>
      <c r="D342" s="10">
        <f>SUMIF([1]Relatório!$A$2:$A$2653,A342,[1]Relatório!$AK$2:$AK$2653)</f>
        <v>456</v>
      </c>
      <c r="E342" s="11">
        <f t="shared" si="10"/>
        <v>0.000779544479337797</v>
      </c>
      <c r="F342" s="11">
        <f>SUM($E$7:E342)</f>
        <v>0.725877286706544</v>
      </c>
      <c r="G342" s="12" t="str">
        <f t="shared" si="11"/>
        <v>B</v>
      </c>
      <c r="H342" s="9" t="s">
        <v>21</v>
      </c>
      <c r="I342" s="9"/>
      <c r="J342" s="9" t="s">
        <v>268</v>
      </c>
      <c r="K342" s="10" t="str">
        <f>IFERROR(VLOOKUP(A342,'Pedido ESTHER'!$B:$C,2,0),"")</f>
        <v/>
      </c>
      <c r="L342" s="12" t="str">
        <f>IF(N(K342)&gt;0,"COMPRA","NÃO COMPRA")</f>
        <v>NÃO COMPRA</v>
      </c>
    </row>
    <row r="343" spans="1:12">
      <c r="A343" s="8" t="s">
        <v>789</v>
      </c>
      <c r="B343" s="9" t="s">
        <v>259</v>
      </c>
      <c r="C343" s="9" t="e">
        <f>VLOOKUP(A343,[2]Planilha1!$A:$B,2,0)</f>
        <v>#N/A</v>
      </c>
      <c r="D343" s="10">
        <f>SUMIF([1]Relatório!$A$2:$A$2653,A343,[1]Relatório!$AK$2:$AK$2653)</f>
        <v>454</v>
      </c>
      <c r="E343" s="11">
        <f t="shared" si="10"/>
        <v>0.00077612542460386</v>
      </c>
      <c r="F343" s="11">
        <f>SUM($E$7:E343)</f>
        <v>0.726653412131148</v>
      </c>
      <c r="G343" s="12" t="str">
        <f t="shared" si="11"/>
        <v>B</v>
      </c>
      <c r="H343" s="9" t="s">
        <v>18</v>
      </c>
      <c r="I343" s="9"/>
      <c r="J343" s="9" t="s">
        <v>201</v>
      </c>
      <c r="K343" s="10" t="str">
        <f>IFERROR(VLOOKUP(A343,'Pedido ESTHER'!$B:$C,2,0),"")</f>
        <v/>
      </c>
      <c r="L343" s="12" t="str">
        <f>IF(N(K343)&gt;0,"COMPRA","NÃO COMPRA")</f>
        <v>NÃO COMPRA</v>
      </c>
    </row>
    <row r="344" spans="1:12">
      <c r="A344" s="8" t="s">
        <v>790</v>
      </c>
      <c r="B344" s="9" t="s">
        <v>200</v>
      </c>
      <c r="C344" s="9" t="e">
        <f>VLOOKUP(A344,[2]Planilha1!$A:$B,2,0)</f>
        <v>#N/A</v>
      </c>
      <c r="D344" s="10">
        <f>SUMIF([1]Relatório!$A$2:$A$2653,A344,[1]Relatório!$AK$2:$AK$2653)</f>
        <v>453</v>
      </c>
      <c r="E344" s="11">
        <f t="shared" si="10"/>
        <v>0.000774415897236891</v>
      </c>
      <c r="F344" s="11">
        <f>SUM($E$7:E344)</f>
        <v>0.727427828028385</v>
      </c>
      <c r="G344" s="12" t="str">
        <f t="shared" si="11"/>
        <v>B</v>
      </c>
      <c r="H344" s="9" t="s">
        <v>21</v>
      </c>
      <c r="I344" s="9"/>
      <c r="J344" s="9" t="s">
        <v>201</v>
      </c>
      <c r="K344" s="10" t="str">
        <f>IFERROR(VLOOKUP(A344,'Pedido ESTHER'!$B:$C,2,0),"")</f>
        <v/>
      </c>
      <c r="L344" s="12" t="str">
        <f>IF(N(K344)&gt;0,"COMPRA","NÃO COMPRA")</f>
        <v>NÃO COMPRA</v>
      </c>
    </row>
    <row r="345" spans="1:12">
      <c r="A345" s="8" t="s">
        <v>791</v>
      </c>
      <c r="B345" s="9" t="s">
        <v>426</v>
      </c>
      <c r="C345" s="9" t="e">
        <f>VLOOKUP(A345,[2]Planilha1!$A:$B,2,0)</f>
        <v>#N/A</v>
      </c>
      <c r="D345" s="10">
        <f>SUMIF([1]Relatório!$A$2:$A$2653,A345,[1]Relatório!$AK$2:$AK$2653)</f>
        <v>453</v>
      </c>
      <c r="E345" s="11">
        <f t="shared" si="10"/>
        <v>0.000774415897236891</v>
      </c>
      <c r="F345" s="11">
        <f>SUM($E$7:E345)</f>
        <v>0.728202243925622</v>
      </c>
      <c r="G345" s="12" t="str">
        <f t="shared" si="11"/>
        <v>B</v>
      </c>
      <c r="H345" s="9" t="s">
        <v>117</v>
      </c>
      <c r="I345" s="9" t="s">
        <v>792</v>
      </c>
      <c r="J345" s="9" t="s">
        <v>268</v>
      </c>
      <c r="K345" s="10" t="str">
        <f>IFERROR(VLOOKUP(A345,'Pedido ESTHER'!$B:$C,2,0),"")</f>
        <v/>
      </c>
      <c r="L345" s="12" t="str">
        <f>IF(N(K345)&gt;0,"COMPRA","NÃO COMPRA")</f>
        <v>NÃO COMPRA</v>
      </c>
    </row>
    <row r="346" spans="1:12">
      <c r="A346" s="8" t="s">
        <v>793</v>
      </c>
      <c r="B346" s="9" t="s">
        <v>322</v>
      </c>
      <c r="C346" s="9" t="e">
        <f>VLOOKUP(A346,[2]Planilha1!$A:$B,2,0)</f>
        <v>#N/A</v>
      </c>
      <c r="D346" s="10">
        <f>SUMIF([1]Relatório!$A$2:$A$2653,A346,[1]Relatório!$AK$2:$AK$2653)</f>
        <v>451</v>
      </c>
      <c r="E346" s="11">
        <f t="shared" si="10"/>
        <v>0.000770996842502953</v>
      </c>
      <c r="F346" s="11">
        <f>SUM($E$7:E346)</f>
        <v>0.728973240768125</v>
      </c>
      <c r="G346" s="12" t="str">
        <f t="shared" si="11"/>
        <v>B</v>
      </c>
      <c r="H346" s="9" t="s">
        <v>74</v>
      </c>
      <c r="I346" s="9" t="s">
        <v>794</v>
      </c>
      <c r="J346" s="9" t="s">
        <v>201</v>
      </c>
      <c r="K346" s="10" t="str">
        <f>IFERROR(VLOOKUP(A346,'Pedido ESTHER'!$B:$C,2,0),"")</f>
        <v/>
      </c>
      <c r="L346" s="12" t="str">
        <f>IF(N(K346)&gt;0,"COMPRA","NÃO COMPRA")</f>
        <v>NÃO COMPRA</v>
      </c>
    </row>
    <row r="347" spans="1:12">
      <c r="A347" s="8" t="s">
        <v>795</v>
      </c>
      <c r="B347" s="9" t="s">
        <v>20</v>
      </c>
      <c r="C347" s="9" t="e">
        <f>VLOOKUP(A347,[2]Planilha1!$A:$B,2,0)</f>
        <v>#N/A</v>
      </c>
      <c r="D347" s="10">
        <f>SUMIF([1]Relatório!$A$2:$A$2653,A347,[1]Relatório!$AK$2:$AK$2653)</f>
        <v>450</v>
      </c>
      <c r="E347" s="11">
        <f t="shared" si="10"/>
        <v>0.000769287315135984</v>
      </c>
      <c r="F347" s="11">
        <f>SUM($E$7:E347)</f>
        <v>0.729742528083261</v>
      </c>
      <c r="G347" s="12" t="str">
        <f t="shared" si="11"/>
        <v>B</v>
      </c>
      <c r="H347" s="9" t="s">
        <v>21</v>
      </c>
      <c r="I347" s="9" t="s">
        <v>796</v>
      </c>
      <c r="J347" s="9" t="s">
        <v>23</v>
      </c>
      <c r="K347" s="10" t="str">
        <f>IFERROR(VLOOKUP(A347,'Pedido ESTHER'!$B:$C,2,0),"")</f>
        <v/>
      </c>
      <c r="L347" s="12" t="str">
        <f>IF(N(K347)&gt;0,"COMPRA","NÃO COMPRA")</f>
        <v>NÃO COMPRA</v>
      </c>
    </row>
    <row r="348" spans="1:12">
      <c r="A348" s="8" t="s">
        <v>797</v>
      </c>
      <c r="B348" s="9" t="s">
        <v>358</v>
      </c>
      <c r="C348" s="9" t="e">
        <f>VLOOKUP(A348,[2]Planilha1!$A:$B,2,0)</f>
        <v>#N/A</v>
      </c>
      <c r="D348" s="10">
        <f>SUMIF([1]Relatório!$A$2:$A$2653,A348,[1]Relatório!$AK$2:$AK$2653)</f>
        <v>450</v>
      </c>
      <c r="E348" s="11">
        <f t="shared" si="10"/>
        <v>0.000769287315135984</v>
      </c>
      <c r="F348" s="11">
        <f>SUM($E$7:E348)</f>
        <v>0.730511815398397</v>
      </c>
      <c r="G348" s="12" t="str">
        <f t="shared" si="11"/>
        <v>B</v>
      </c>
      <c r="H348" s="9" t="s">
        <v>21</v>
      </c>
      <c r="I348" s="9" t="s">
        <v>798</v>
      </c>
      <c r="J348" s="9" t="s">
        <v>359</v>
      </c>
      <c r="K348" s="10" t="str">
        <f>IFERROR(VLOOKUP(A348,'Pedido ESTHER'!$B:$C,2,0),"")</f>
        <v/>
      </c>
      <c r="L348" s="12" t="str">
        <f>IF(N(K348)&gt;0,"COMPRA","NÃO COMPRA")</f>
        <v>NÃO COMPRA</v>
      </c>
    </row>
    <row r="349" spans="1:12">
      <c r="A349" s="8" t="s">
        <v>799</v>
      </c>
      <c r="B349" s="9" t="s">
        <v>495</v>
      </c>
      <c r="C349" s="9" t="e">
        <f>VLOOKUP(A349,[2]Planilha1!$A:$B,2,0)</f>
        <v>#N/A</v>
      </c>
      <c r="D349" s="10">
        <f>SUMIF([1]Relatório!$A$2:$A$2653,A349,[1]Relatório!$AK$2:$AK$2653)</f>
        <v>440</v>
      </c>
      <c r="E349" s="11">
        <f t="shared" si="10"/>
        <v>0.000752192041466296</v>
      </c>
      <c r="F349" s="11">
        <f>SUM($E$7:E349)</f>
        <v>0.731264007439863</v>
      </c>
      <c r="G349" s="12" t="str">
        <f t="shared" si="11"/>
        <v>B</v>
      </c>
      <c r="H349" s="9" t="s">
        <v>183</v>
      </c>
      <c r="I349" s="9" t="s">
        <v>800</v>
      </c>
      <c r="J349" s="9" t="s">
        <v>64</v>
      </c>
      <c r="K349" s="10" t="str">
        <f>IFERROR(VLOOKUP(A349,'Pedido ESTHER'!$B:$C,2,0),"")</f>
        <v/>
      </c>
      <c r="L349" s="12" t="str">
        <f>IF(N(K349)&gt;0,"COMPRA","NÃO COMPRA")</f>
        <v>NÃO COMPRA</v>
      </c>
    </row>
    <row r="350" spans="1:12">
      <c r="A350" s="8" t="s">
        <v>801</v>
      </c>
      <c r="B350" s="9" t="s">
        <v>237</v>
      </c>
      <c r="C350" s="9" t="e">
        <f>VLOOKUP(A350,[2]Planilha1!$A:$B,2,0)</f>
        <v>#N/A</v>
      </c>
      <c r="D350" s="10">
        <f>SUMIF([1]Relatório!$A$2:$A$2653,A350,[1]Relatório!$AK$2:$AK$2653)</f>
        <v>437</v>
      </c>
      <c r="E350" s="11">
        <f t="shared" si="10"/>
        <v>0.000747063459365389</v>
      </c>
      <c r="F350" s="11">
        <f>SUM($E$7:E350)</f>
        <v>0.732011070899228</v>
      </c>
      <c r="G350" s="12" t="str">
        <f t="shared" si="11"/>
        <v>B</v>
      </c>
      <c r="H350" s="9" t="s">
        <v>14</v>
      </c>
      <c r="I350" s="9" t="s">
        <v>802</v>
      </c>
      <c r="J350" s="9" t="s">
        <v>33</v>
      </c>
      <c r="K350" s="10" t="str">
        <f>IFERROR(VLOOKUP(A350,'Pedido ESTHER'!$B:$C,2,0),"")</f>
        <v/>
      </c>
      <c r="L350" s="12" t="str">
        <f>IF(N(K350)&gt;0,"COMPRA","NÃO COMPRA")</f>
        <v>NÃO COMPRA</v>
      </c>
    </row>
    <row r="351" spans="1:12">
      <c r="A351" s="8" t="s">
        <v>803</v>
      </c>
      <c r="B351" s="9" t="s">
        <v>613</v>
      </c>
      <c r="C351" s="9" t="e">
        <f>VLOOKUP(A351,[2]Planilha1!$A:$B,2,0)</f>
        <v>#N/A</v>
      </c>
      <c r="D351" s="10">
        <f>SUMIF([1]Relatório!$A$2:$A$2653,A351,[1]Relatório!$AK$2:$AK$2653)</f>
        <v>437</v>
      </c>
      <c r="E351" s="11">
        <f t="shared" si="10"/>
        <v>0.000747063459365389</v>
      </c>
      <c r="F351" s="11">
        <f>SUM($E$7:E351)</f>
        <v>0.732758134358594</v>
      </c>
      <c r="G351" s="12" t="str">
        <f t="shared" si="11"/>
        <v>B</v>
      </c>
      <c r="H351" s="9" t="s">
        <v>221</v>
      </c>
      <c r="I351" s="9" t="s">
        <v>804</v>
      </c>
      <c r="J351" s="9" t="s">
        <v>83</v>
      </c>
      <c r="K351" s="10" t="str">
        <f>IFERROR(VLOOKUP(A351,'Pedido ESTHER'!$B:$C,2,0),"")</f>
        <v/>
      </c>
      <c r="L351" s="12" t="str">
        <f>IF(N(K351)&gt;0,"COMPRA","NÃO COMPRA")</f>
        <v>NÃO COMPRA</v>
      </c>
    </row>
    <row r="352" spans="1:12">
      <c r="A352" s="8" t="s">
        <v>805</v>
      </c>
      <c r="B352" s="9" t="s">
        <v>38</v>
      </c>
      <c r="C352" s="9" t="e">
        <f>VLOOKUP(A352,[2]Planilha1!$A:$B,2,0)</f>
        <v>#N/A</v>
      </c>
      <c r="D352" s="10">
        <f>SUMIF([1]Relatório!$A$2:$A$2653,A352,[1]Relatório!$AK$2:$AK$2653)</f>
        <v>433</v>
      </c>
      <c r="E352" s="11">
        <f t="shared" si="10"/>
        <v>0.000740225349897514</v>
      </c>
      <c r="F352" s="11">
        <f>SUM($E$7:E352)</f>
        <v>0.733498359708491</v>
      </c>
      <c r="G352" s="12" t="str">
        <f t="shared" si="11"/>
        <v>B</v>
      </c>
      <c r="H352" s="9" t="s">
        <v>21</v>
      </c>
      <c r="I352" s="9"/>
      <c r="J352" s="9" t="s">
        <v>40</v>
      </c>
      <c r="K352" s="10" t="str">
        <f>IFERROR(VLOOKUP(A352,'Pedido ESTHER'!$B:$C,2,0),"")</f>
        <v/>
      </c>
      <c r="L352" s="12" t="str">
        <f>IF(N(K352)&gt;0,"COMPRA","NÃO COMPRA")</f>
        <v>NÃO COMPRA</v>
      </c>
    </row>
    <row r="353" spans="1:12">
      <c r="A353" s="8" t="s">
        <v>806</v>
      </c>
      <c r="B353" s="9" t="s">
        <v>807</v>
      </c>
      <c r="C353" s="9" t="e">
        <f>VLOOKUP(A353,[2]Planilha1!$A:$B,2,0)</f>
        <v>#N/A</v>
      </c>
      <c r="D353" s="10">
        <f>SUMIF([1]Relatório!$A$2:$A$2653,A353,[1]Relatório!$AK$2:$AK$2653)</f>
        <v>431</v>
      </c>
      <c r="E353" s="11">
        <f t="shared" si="10"/>
        <v>0.000736806295163576</v>
      </c>
      <c r="F353" s="11">
        <f>SUM($E$7:E353)</f>
        <v>0.734235166003655</v>
      </c>
      <c r="G353" s="12" t="str">
        <f t="shared" si="11"/>
        <v>B</v>
      </c>
      <c r="H353" s="9" t="s">
        <v>221</v>
      </c>
      <c r="I353" s="9" t="s">
        <v>808</v>
      </c>
      <c r="J353" s="9" t="s">
        <v>359</v>
      </c>
      <c r="K353" s="10" t="str">
        <f>IFERROR(VLOOKUP(A353,'Pedido ESTHER'!$B:$C,2,0),"")</f>
        <v/>
      </c>
      <c r="L353" s="12" t="str">
        <f>IF(N(K353)&gt;0,"COMPRA","NÃO COMPRA")</f>
        <v>NÃO COMPRA</v>
      </c>
    </row>
    <row r="354" spans="1:12">
      <c r="A354" s="8" t="s">
        <v>809</v>
      </c>
      <c r="B354" s="9" t="s">
        <v>179</v>
      </c>
      <c r="C354" s="9" t="e">
        <f>VLOOKUP(A354,[2]Planilha1!$A:$B,2,0)</f>
        <v>#N/A</v>
      </c>
      <c r="D354" s="10">
        <f>SUMIF([1]Relatório!$A$2:$A$2653,A354,[1]Relatório!$AK$2:$AK$2653)</f>
        <v>430</v>
      </c>
      <c r="E354" s="11">
        <f t="shared" si="10"/>
        <v>0.000735096767796607</v>
      </c>
      <c r="F354" s="11">
        <f>SUM($E$7:E354)</f>
        <v>0.734970262771451</v>
      </c>
      <c r="G354" s="12" t="str">
        <f t="shared" si="11"/>
        <v>B</v>
      </c>
      <c r="H354" s="9" t="s">
        <v>18</v>
      </c>
      <c r="I354" s="9" t="s">
        <v>810</v>
      </c>
      <c r="J354" s="9" t="s">
        <v>40</v>
      </c>
      <c r="K354" s="10" t="str">
        <f>IFERROR(VLOOKUP(A354,'Pedido ESTHER'!$B:$C,2,0),"")</f>
        <v/>
      </c>
      <c r="L354" s="12" t="str">
        <f>IF(N(K354)&gt;0,"COMPRA","NÃO COMPRA")</f>
        <v>NÃO COMPRA</v>
      </c>
    </row>
    <row r="355" spans="1:12">
      <c r="A355" s="8" t="s">
        <v>811</v>
      </c>
      <c r="B355" s="9" t="s">
        <v>812</v>
      </c>
      <c r="C355" s="9" t="e">
        <f>VLOOKUP(A355,[2]Planilha1!$A:$B,2,0)</f>
        <v>#N/A</v>
      </c>
      <c r="D355" s="10">
        <f>SUMIF([1]Relatório!$A$2:$A$2653,A355,[1]Relatório!$AK$2:$AK$2653)</f>
        <v>429</v>
      </c>
      <c r="E355" s="11">
        <f t="shared" si="10"/>
        <v>0.000733387240429638</v>
      </c>
      <c r="F355" s="11">
        <f>SUM($E$7:E355)</f>
        <v>0.735703650011881</v>
      </c>
      <c r="G355" s="12" t="str">
        <f t="shared" si="11"/>
        <v>B</v>
      </c>
      <c r="H355" s="9" t="s">
        <v>183</v>
      </c>
      <c r="I355" s="9"/>
      <c r="J355" s="9" t="s">
        <v>813</v>
      </c>
      <c r="K355" s="10" t="str">
        <f>IFERROR(VLOOKUP(A355,'Pedido ESTHER'!$B:$C,2,0),"")</f>
        <v/>
      </c>
      <c r="L355" s="12" t="str">
        <f>IF(N(K355)&gt;0,"COMPRA","NÃO COMPRA")</f>
        <v>NÃO COMPRA</v>
      </c>
    </row>
    <row r="356" spans="1:12">
      <c r="A356" s="8" t="s">
        <v>814</v>
      </c>
      <c r="B356" s="9" t="s">
        <v>815</v>
      </c>
      <c r="C356" s="9" t="e">
        <f>VLOOKUP(A356,[2]Planilha1!$A:$B,2,0)</f>
        <v>#N/A</v>
      </c>
      <c r="D356" s="10">
        <f>SUMIF([1]Relatório!$A$2:$A$2653,A356,[1]Relatório!$AK$2:$AK$2653)</f>
        <v>428</v>
      </c>
      <c r="E356" s="11">
        <f t="shared" si="10"/>
        <v>0.00073167771306267</v>
      </c>
      <c r="F356" s="11">
        <f>SUM($E$7:E356)</f>
        <v>0.736435327724944</v>
      </c>
      <c r="G356" s="12" t="str">
        <f t="shared" si="11"/>
        <v>B</v>
      </c>
      <c r="H356" s="9" t="s">
        <v>14</v>
      </c>
      <c r="I356" s="9"/>
      <c r="J356" s="9" t="s">
        <v>241</v>
      </c>
      <c r="K356" s="10" t="str">
        <f>IFERROR(VLOOKUP(A356,'Pedido ESTHER'!$B:$C,2,0),"")</f>
        <v/>
      </c>
      <c r="L356" s="12" t="str">
        <f>IF(N(K356)&gt;0,"COMPRA","NÃO COMPRA")</f>
        <v>NÃO COMPRA</v>
      </c>
    </row>
    <row r="357" spans="1:12">
      <c r="A357" s="8" t="s">
        <v>816</v>
      </c>
      <c r="B357" s="9" t="s">
        <v>179</v>
      </c>
      <c r="C357" s="9" t="e">
        <f>VLOOKUP(A357,[2]Planilha1!$A:$B,2,0)</f>
        <v>#N/A</v>
      </c>
      <c r="D357" s="10">
        <f>SUMIF([1]Relatório!$A$2:$A$2653,A357,[1]Relatório!$AK$2:$AK$2653)</f>
        <v>427</v>
      </c>
      <c r="E357" s="11">
        <f t="shared" si="10"/>
        <v>0.000729968185695701</v>
      </c>
      <c r="F357" s="11">
        <f>SUM($E$7:E357)</f>
        <v>0.737165295910639</v>
      </c>
      <c r="G357" s="12" t="str">
        <f t="shared" si="11"/>
        <v>B</v>
      </c>
      <c r="H357" s="9" t="s">
        <v>18</v>
      </c>
      <c r="I357" s="9" t="s">
        <v>817</v>
      </c>
      <c r="J357" s="9" t="s">
        <v>40</v>
      </c>
      <c r="K357" s="10" t="str">
        <f>IFERROR(VLOOKUP(A357,'Pedido ESTHER'!$B:$C,2,0),"")</f>
        <v/>
      </c>
      <c r="L357" s="12" t="str">
        <f>IF(N(K357)&gt;0,"COMPRA","NÃO COMPRA")</f>
        <v>NÃO COMPRA</v>
      </c>
    </row>
    <row r="358" spans="1:12">
      <c r="A358" s="8" t="s">
        <v>818</v>
      </c>
      <c r="B358" s="9" t="s">
        <v>20</v>
      </c>
      <c r="C358" s="9" t="e">
        <f>VLOOKUP(A358,[2]Planilha1!$A:$B,2,0)</f>
        <v>#N/A</v>
      </c>
      <c r="D358" s="10">
        <f>SUMIF([1]Relatório!$A$2:$A$2653,A358,[1]Relatório!$AK$2:$AK$2653)</f>
        <v>426</v>
      </c>
      <c r="E358" s="11">
        <f t="shared" si="10"/>
        <v>0.000728258658328732</v>
      </c>
      <c r="F358" s="11">
        <f>SUM($E$7:E358)</f>
        <v>0.737893554568968</v>
      </c>
      <c r="G358" s="12" t="str">
        <f t="shared" si="11"/>
        <v>B</v>
      </c>
      <c r="H358" s="9" t="s">
        <v>21</v>
      </c>
      <c r="I358" s="9"/>
      <c r="J358" s="9" t="s">
        <v>213</v>
      </c>
      <c r="K358" s="10" t="str">
        <f>IFERROR(VLOOKUP(A358,'Pedido ESTHER'!$B:$C,2,0),"")</f>
        <v/>
      </c>
      <c r="L358" s="12" t="str">
        <f>IF(N(K358)&gt;0,"COMPRA","NÃO COMPRA")</f>
        <v>NÃO COMPRA</v>
      </c>
    </row>
    <row r="359" spans="1:12">
      <c r="A359" s="8" t="s">
        <v>819</v>
      </c>
      <c r="B359" s="9" t="s">
        <v>116</v>
      </c>
      <c r="C359" s="9" t="e">
        <f>VLOOKUP(A359,[2]Planilha1!$A:$B,2,0)</f>
        <v>#N/A</v>
      </c>
      <c r="D359" s="10">
        <f>SUMIF([1]Relatório!$A$2:$A$2653,A359,[1]Relatório!$AK$2:$AK$2653)</f>
        <v>421</v>
      </c>
      <c r="E359" s="11">
        <f t="shared" si="10"/>
        <v>0.000719711021493888</v>
      </c>
      <c r="F359" s="11">
        <f>SUM($E$7:E359)</f>
        <v>0.738613265590462</v>
      </c>
      <c r="G359" s="12" t="str">
        <f t="shared" si="11"/>
        <v>B</v>
      </c>
      <c r="H359" s="9" t="s">
        <v>117</v>
      </c>
      <c r="I359" s="9" t="s">
        <v>820</v>
      </c>
      <c r="J359" s="9" t="s">
        <v>33</v>
      </c>
      <c r="K359" s="10" t="str">
        <f>IFERROR(VLOOKUP(A359,'Pedido ESTHER'!$B:$C,2,0),"")</f>
        <v/>
      </c>
      <c r="L359" s="12" t="str">
        <f>IF(N(K359)&gt;0,"COMPRA","NÃO COMPRA")</f>
        <v>NÃO COMPRA</v>
      </c>
    </row>
    <row r="360" spans="1:12">
      <c r="A360" s="8" t="s">
        <v>821</v>
      </c>
      <c r="B360" s="9" t="s">
        <v>226</v>
      </c>
      <c r="C360" s="9" t="e">
        <f>VLOOKUP(A360,[2]Planilha1!$A:$B,2,0)</f>
        <v>#N/A</v>
      </c>
      <c r="D360" s="10">
        <f>SUMIF([1]Relatório!$A$2:$A$2653,A360,[1]Relatório!$AK$2:$AK$2653)</f>
        <v>421</v>
      </c>
      <c r="E360" s="11">
        <f t="shared" si="10"/>
        <v>0.000719711021493888</v>
      </c>
      <c r="F360" s="11">
        <f>SUM($E$7:E360)</f>
        <v>0.739332976611956</v>
      </c>
      <c r="G360" s="12" t="str">
        <f t="shared" si="11"/>
        <v>B</v>
      </c>
      <c r="H360" s="9" t="s">
        <v>143</v>
      </c>
      <c r="I360" s="9" t="s">
        <v>822</v>
      </c>
      <c r="J360" s="9" t="s">
        <v>44</v>
      </c>
      <c r="K360" s="10" t="str">
        <f>IFERROR(VLOOKUP(A360,'Pedido ESTHER'!$B:$C,2,0),"")</f>
        <v/>
      </c>
      <c r="L360" s="12" t="str">
        <f>IF(N(K360)&gt;0,"COMPRA","NÃO COMPRA")</f>
        <v>NÃO COMPRA</v>
      </c>
    </row>
    <row r="361" spans="1:12">
      <c r="A361" s="8" t="s">
        <v>823</v>
      </c>
      <c r="B361" s="9" t="s">
        <v>259</v>
      </c>
      <c r="C361" s="9" t="e">
        <f>VLOOKUP(A361,[2]Planilha1!$A:$B,2,0)</f>
        <v>#N/A</v>
      </c>
      <c r="D361" s="10">
        <f>SUMIF([1]Relatório!$A$2:$A$2653,A361,[1]Relatório!$AK$2:$AK$2653)</f>
        <v>420</v>
      </c>
      <c r="E361" s="11">
        <f t="shared" si="10"/>
        <v>0.000718001494126919</v>
      </c>
      <c r="F361" s="11">
        <f>SUM($E$7:E361)</f>
        <v>0.740050978106083</v>
      </c>
      <c r="G361" s="12" t="str">
        <f t="shared" si="11"/>
        <v>B</v>
      </c>
      <c r="H361" s="9" t="s">
        <v>18</v>
      </c>
      <c r="I361" s="9"/>
      <c r="J361" s="9" t="s">
        <v>201</v>
      </c>
      <c r="K361" s="10">
        <f>IFERROR(VLOOKUP(A361,'Pedido ESTHER'!$B:$C,2,0),"")</f>
        <v>4</v>
      </c>
      <c r="L361" s="12" t="str">
        <f>IF(N(K361)&gt;0,"COMPRA","NÃO COMPRA")</f>
        <v>COMPRA</v>
      </c>
    </row>
    <row r="362" spans="1:12">
      <c r="A362" s="8" t="s">
        <v>824</v>
      </c>
      <c r="B362" s="9" t="s">
        <v>825</v>
      </c>
      <c r="C362" s="9" t="e">
        <f>VLOOKUP(A362,[2]Planilha1!$A:$B,2,0)</f>
        <v>#N/A</v>
      </c>
      <c r="D362" s="10">
        <f>SUMIF([1]Relatório!$A$2:$A$2653,A362,[1]Relatório!$AK$2:$AK$2653)</f>
        <v>419</v>
      </c>
      <c r="E362" s="11">
        <f t="shared" si="10"/>
        <v>0.00071629196675995</v>
      </c>
      <c r="F362" s="11">
        <f>SUM($E$7:E362)</f>
        <v>0.740767270072843</v>
      </c>
      <c r="G362" s="12" t="str">
        <f t="shared" si="11"/>
        <v>B</v>
      </c>
      <c r="H362" s="9" t="s">
        <v>143</v>
      </c>
      <c r="I362" s="9"/>
      <c r="J362" s="9" t="s">
        <v>23</v>
      </c>
      <c r="K362" s="10" t="str">
        <f>IFERROR(VLOOKUP(A362,'Pedido ESTHER'!$B:$C,2,0),"")</f>
        <v/>
      </c>
      <c r="L362" s="12" t="str">
        <f>IF(N(K362)&gt;0,"COMPRA","NÃO COMPRA")</f>
        <v>NÃO COMPRA</v>
      </c>
    </row>
    <row r="363" spans="1:12">
      <c r="A363" s="8" t="s">
        <v>826</v>
      </c>
      <c r="B363" s="9" t="s">
        <v>827</v>
      </c>
      <c r="C363" s="9" t="e">
        <f>VLOOKUP(A363,[2]Planilha1!$A:$B,2,0)</f>
        <v>#N/A</v>
      </c>
      <c r="D363" s="10">
        <f>SUMIF([1]Relatório!$A$2:$A$2653,A363,[1]Relatório!$AK$2:$AK$2653)</f>
        <v>418</v>
      </c>
      <c r="E363" s="11">
        <f t="shared" si="10"/>
        <v>0.000714582439392981</v>
      </c>
      <c r="F363" s="11">
        <f>SUM($E$7:E363)</f>
        <v>0.741481852512236</v>
      </c>
      <c r="G363" s="12" t="str">
        <f t="shared" si="11"/>
        <v>B</v>
      </c>
      <c r="H363" s="9" t="s">
        <v>183</v>
      </c>
      <c r="I363" s="9" t="s">
        <v>828</v>
      </c>
      <c r="J363" s="9" t="s">
        <v>36</v>
      </c>
      <c r="K363" s="10" t="str">
        <f>IFERROR(VLOOKUP(A363,'Pedido ESTHER'!$B:$C,2,0),"")</f>
        <v/>
      </c>
      <c r="L363" s="12" t="str">
        <f>IF(N(K363)&gt;0,"COMPRA","NÃO COMPRA")</f>
        <v>NÃO COMPRA</v>
      </c>
    </row>
    <row r="364" spans="1:12">
      <c r="A364" s="8" t="s">
        <v>829</v>
      </c>
      <c r="B364" s="9" t="s">
        <v>775</v>
      </c>
      <c r="C364" s="9" t="e">
        <f>VLOOKUP(A364,[2]Planilha1!$A:$B,2,0)</f>
        <v>#N/A</v>
      </c>
      <c r="D364" s="10">
        <f>SUMIF([1]Relatório!$A$2:$A$2653,A364,[1]Relatório!$AK$2:$AK$2653)</f>
        <v>418</v>
      </c>
      <c r="E364" s="11">
        <f t="shared" si="10"/>
        <v>0.000714582439392981</v>
      </c>
      <c r="F364" s="11">
        <f>SUM($E$7:E364)</f>
        <v>0.742196434951629</v>
      </c>
      <c r="G364" s="12" t="str">
        <f t="shared" si="11"/>
        <v>B</v>
      </c>
      <c r="H364" s="9" t="s">
        <v>183</v>
      </c>
      <c r="I364" s="9"/>
      <c r="J364" s="9" t="s">
        <v>64</v>
      </c>
      <c r="K364" s="10" t="str">
        <f>IFERROR(VLOOKUP(A364,'Pedido ESTHER'!$B:$C,2,0),"")</f>
        <v/>
      </c>
      <c r="L364" s="12" t="str">
        <f>IF(N(K364)&gt;0,"COMPRA","NÃO COMPRA")</f>
        <v>NÃO COMPRA</v>
      </c>
    </row>
    <row r="365" spans="1:12">
      <c r="A365" s="8" t="s">
        <v>830</v>
      </c>
      <c r="B365" s="9" t="s">
        <v>626</v>
      </c>
      <c r="C365" s="9" t="e">
        <f>VLOOKUP(A365,[2]Planilha1!$A:$B,2,0)</f>
        <v>#N/A</v>
      </c>
      <c r="D365" s="10">
        <f>SUMIF([1]Relatório!$A$2:$A$2653,A365,[1]Relatório!$AK$2:$AK$2653)</f>
        <v>417</v>
      </c>
      <c r="E365" s="11">
        <f t="shared" si="10"/>
        <v>0.000712872912026012</v>
      </c>
      <c r="F365" s="11">
        <f>SUM($E$7:E365)</f>
        <v>0.742909307863655</v>
      </c>
      <c r="G365" s="12" t="str">
        <f t="shared" si="11"/>
        <v>B</v>
      </c>
      <c r="H365" s="9" t="s">
        <v>831</v>
      </c>
      <c r="I365" s="9" t="s">
        <v>832</v>
      </c>
      <c r="J365" s="9" t="s">
        <v>164</v>
      </c>
      <c r="K365" s="10" t="str">
        <f>IFERROR(VLOOKUP(A365,'Pedido ESTHER'!$B:$C,2,0),"")</f>
        <v/>
      </c>
      <c r="L365" s="12" t="str">
        <f>IF(N(K365)&gt;0,"COMPRA","NÃO COMPRA")</f>
        <v>NÃO COMPRA</v>
      </c>
    </row>
    <row r="366" spans="1:12">
      <c r="A366" s="8" t="s">
        <v>833</v>
      </c>
      <c r="B366" s="9" t="s">
        <v>51</v>
      </c>
      <c r="C366" s="9" t="e">
        <f>VLOOKUP(A366,[2]Planilha1!$A:$B,2,0)</f>
        <v>#N/A</v>
      </c>
      <c r="D366" s="10">
        <f>SUMIF([1]Relatório!$A$2:$A$2653,A366,[1]Relatório!$AK$2:$AK$2653)</f>
        <v>415</v>
      </c>
      <c r="E366" s="11">
        <f t="shared" si="10"/>
        <v>0.000709453857292074</v>
      </c>
      <c r="F366" s="11">
        <f>SUM($E$7:E366)</f>
        <v>0.743618761720947</v>
      </c>
      <c r="G366" s="12" t="str">
        <f t="shared" si="11"/>
        <v>B</v>
      </c>
      <c r="H366" s="9" t="s">
        <v>21</v>
      </c>
      <c r="I366" s="9" t="s">
        <v>834</v>
      </c>
      <c r="J366" s="9" t="s">
        <v>33</v>
      </c>
      <c r="K366" s="10" t="str">
        <f>IFERROR(VLOOKUP(A366,'Pedido ESTHER'!$B:$C,2,0),"")</f>
        <v/>
      </c>
      <c r="L366" s="12" t="str">
        <f>IF(N(K366)&gt;0,"COMPRA","NÃO COMPRA")</f>
        <v>NÃO COMPRA</v>
      </c>
    </row>
    <row r="367" spans="1:12">
      <c r="A367" s="8" t="s">
        <v>835</v>
      </c>
      <c r="B367" s="9" t="s">
        <v>528</v>
      </c>
      <c r="C367" s="9" t="e">
        <f>VLOOKUP(A367,[2]Planilha1!$A:$B,2,0)</f>
        <v>#N/A</v>
      </c>
      <c r="D367" s="10">
        <f>SUMIF([1]Relatório!$A$2:$A$2653,A367,[1]Relatório!$AK$2:$AK$2653)</f>
        <v>414</v>
      </c>
      <c r="E367" s="11">
        <f t="shared" si="10"/>
        <v>0.000707744329925106</v>
      </c>
      <c r="F367" s="11">
        <f>SUM($E$7:E367)</f>
        <v>0.744326506050872</v>
      </c>
      <c r="G367" s="12" t="str">
        <f t="shared" si="11"/>
        <v>B</v>
      </c>
      <c r="H367" s="9" t="s">
        <v>21</v>
      </c>
      <c r="I367" s="9"/>
      <c r="J367" s="9" t="s">
        <v>64</v>
      </c>
      <c r="K367" s="10" t="str">
        <f>IFERROR(VLOOKUP(A367,'Pedido ESTHER'!$B:$C,2,0),"")</f>
        <v/>
      </c>
      <c r="L367" s="12" t="str">
        <f>IF(N(K367)&gt;0,"COMPRA","NÃO COMPRA")</f>
        <v>NÃO COMPRA</v>
      </c>
    </row>
    <row r="368" spans="1:12">
      <c r="A368" s="8" t="s">
        <v>836</v>
      </c>
      <c r="B368" s="9" t="s">
        <v>837</v>
      </c>
      <c r="C368" s="9" t="e">
        <f>VLOOKUP(A368,[2]Planilha1!$A:$B,2,0)</f>
        <v>#N/A</v>
      </c>
      <c r="D368" s="10">
        <f>SUMIF([1]Relatório!$A$2:$A$2653,A368,[1]Relatório!$AK$2:$AK$2653)</f>
        <v>411</v>
      </c>
      <c r="E368" s="11">
        <f t="shared" si="10"/>
        <v>0.000702615747824199</v>
      </c>
      <c r="F368" s="11">
        <f>SUM($E$7:E368)</f>
        <v>0.745029121798696</v>
      </c>
      <c r="G368" s="12" t="str">
        <f t="shared" si="11"/>
        <v>B</v>
      </c>
      <c r="H368" s="9" t="s">
        <v>18</v>
      </c>
      <c r="I368" s="9" t="s">
        <v>838</v>
      </c>
      <c r="J368" s="9" t="s">
        <v>213</v>
      </c>
      <c r="K368" s="10" t="str">
        <f>IFERROR(VLOOKUP(A368,'Pedido ESTHER'!$B:$C,2,0),"")</f>
        <v/>
      </c>
      <c r="L368" s="12" t="str">
        <f>IF(N(K368)&gt;0,"COMPRA","NÃO COMPRA")</f>
        <v>NÃO COMPRA</v>
      </c>
    </row>
    <row r="369" spans="1:12">
      <c r="A369" s="8" t="s">
        <v>839</v>
      </c>
      <c r="B369" s="9" t="s">
        <v>162</v>
      </c>
      <c r="C369" s="9" t="e">
        <f>VLOOKUP(A369,[2]Planilha1!$A:$B,2,0)</f>
        <v>#N/A</v>
      </c>
      <c r="D369" s="10">
        <f>SUMIF([1]Relatório!$A$2:$A$2653,A369,[1]Relatório!$AK$2:$AK$2653)</f>
        <v>410</v>
      </c>
      <c r="E369" s="11">
        <f t="shared" si="10"/>
        <v>0.00070090622045723</v>
      </c>
      <c r="F369" s="11">
        <f>SUM($E$7:E369)</f>
        <v>0.745730028019153</v>
      </c>
      <c r="G369" s="12" t="str">
        <f t="shared" si="11"/>
        <v>B</v>
      </c>
      <c r="H369" s="9" t="s">
        <v>21</v>
      </c>
      <c r="I369" s="9"/>
      <c r="J369" s="9" t="s">
        <v>164</v>
      </c>
      <c r="K369" s="10" t="str">
        <f>IFERROR(VLOOKUP(A369,'Pedido ESTHER'!$B:$C,2,0),"")</f>
        <v/>
      </c>
      <c r="L369" s="12" t="str">
        <f>IF(N(K369)&gt;0,"COMPRA","NÃO COMPRA")</f>
        <v>NÃO COMPRA</v>
      </c>
    </row>
    <row r="370" spans="1:12">
      <c r="A370" s="8" t="s">
        <v>840</v>
      </c>
      <c r="B370" s="9" t="s">
        <v>125</v>
      </c>
      <c r="C370" s="9" t="e">
        <f>VLOOKUP(A370,[2]Planilha1!$A:$B,2,0)</f>
        <v>#N/A</v>
      </c>
      <c r="D370" s="10">
        <f>SUMIF([1]Relatório!$A$2:$A$2653,A370,[1]Relatório!$AK$2:$AK$2653)</f>
        <v>408</v>
      </c>
      <c r="E370" s="11">
        <f t="shared" si="10"/>
        <v>0.000697487165723293</v>
      </c>
      <c r="F370" s="11">
        <f>SUM($E$7:E370)</f>
        <v>0.746427515184877</v>
      </c>
      <c r="G370" s="12" t="str">
        <f t="shared" si="11"/>
        <v>B</v>
      </c>
      <c r="H370" s="9" t="s">
        <v>74</v>
      </c>
      <c r="I370" s="9" t="s">
        <v>841</v>
      </c>
      <c r="J370" s="9" t="s">
        <v>23</v>
      </c>
      <c r="K370" s="10" t="str">
        <f>IFERROR(VLOOKUP(A370,'Pedido ESTHER'!$B:$C,2,0),"")</f>
        <v/>
      </c>
      <c r="L370" s="12" t="str">
        <f>IF(N(K370)&gt;0,"COMPRA","NÃO COMPRA")</f>
        <v>NÃO COMPRA</v>
      </c>
    </row>
    <row r="371" spans="1:12">
      <c r="A371" s="8" t="s">
        <v>842</v>
      </c>
      <c r="B371" s="9" t="s">
        <v>42</v>
      </c>
      <c r="C371" s="9" t="e">
        <f>VLOOKUP(A371,[2]Planilha1!$A:$B,2,0)</f>
        <v>#N/A</v>
      </c>
      <c r="D371" s="10">
        <f>SUMIF([1]Relatório!$A$2:$A$2653,A371,[1]Relatório!$AK$2:$AK$2653)</f>
        <v>407</v>
      </c>
      <c r="E371" s="11">
        <f t="shared" si="10"/>
        <v>0.000695777638356324</v>
      </c>
      <c r="F371" s="11">
        <f>SUM($E$7:E371)</f>
        <v>0.747123292823233</v>
      </c>
      <c r="G371" s="12" t="str">
        <f t="shared" si="11"/>
        <v>B</v>
      </c>
      <c r="H371" s="9" t="s">
        <v>21</v>
      </c>
      <c r="I371" s="9" t="s">
        <v>843</v>
      </c>
      <c r="J371" s="9" t="s">
        <v>44</v>
      </c>
      <c r="K371" s="10" t="str">
        <f>IFERROR(VLOOKUP(A371,'Pedido ESTHER'!$B:$C,2,0),"")</f>
        <v/>
      </c>
      <c r="L371" s="12" t="str">
        <f>IF(N(K371)&gt;0,"COMPRA","NÃO COMPRA")</f>
        <v>NÃO COMPRA</v>
      </c>
    </row>
    <row r="372" spans="1:12">
      <c r="A372" s="8" t="s">
        <v>844</v>
      </c>
      <c r="B372" s="9" t="s">
        <v>38</v>
      </c>
      <c r="C372" s="9" t="e">
        <f>VLOOKUP(A372,[2]Planilha1!$A:$B,2,0)</f>
        <v>#N/A</v>
      </c>
      <c r="D372" s="10">
        <f>SUMIF([1]Relatório!$A$2:$A$2653,A372,[1]Relatório!$AK$2:$AK$2653)</f>
        <v>407</v>
      </c>
      <c r="E372" s="11">
        <f t="shared" si="10"/>
        <v>0.000695777638356324</v>
      </c>
      <c r="F372" s="11">
        <f>SUM($E$7:E372)</f>
        <v>0.747819070461589</v>
      </c>
      <c r="G372" s="12" t="str">
        <f t="shared" si="11"/>
        <v>B</v>
      </c>
      <c r="H372" s="9" t="s">
        <v>21</v>
      </c>
      <c r="I372" s="9" t="s">
        <v>845</v>
      </c>
      <c r="J372" s="9" t="s">
        <v>40</v>
      </c>
      <c r="K372" s="10" t="str">
        <f>IFERROR(VLOOKUP(A372,'Pedido ESTHER'!$B:$C,2,0),"")</f>
        <v/>
      </c>
      <c r="L372" s="12" t="str">
        <f>IF(N(K372)&gt;0,"COMPRA","NÃO COMPRA")</f>
        <v>NÃO COMPRA</v>
      </c>
    </row>
    <row r="373" spans="1:12">
      <c r="A373" s="8" t="s">
        <v>846</v>
      </c>
      <c r="B373" s="9" t="s">
        <v>200</v>
      </c>
      <c r="C373" s="9" t="e">
        <f>VLOOKUP(A373,[2]Planilha1!$A:$B,2,0)</f>
        <v>#N/A</v>
      </c>
      <c r="D373" s="10">
        <f>SUMIF([1]Relatório!$A$2:$A$2653,A373,[1]Relatório!$AK$2:$AK$2653)</f>
        <v>407</v>
      </c>
      <c r="E373" s="11">
        <f t="shared" si="10"/>
        <v>0.000695777638356324</v>
      </c>
      <c r="F373" s="11">
        <f>SUM($E$7:E373)</f>
        <v>0.748514848099946</v>
      </c>
      <c r="G373" s="12" t="str">
        <f t="shared" si="11"/>
        <v>B</v>
      </c>
      <c r="H373" s="9" t="s">
        <v>21</v>
      </c>
      <c r="I373" s="9"/>
      <c r="J373" s="9" t="s">
        <v>201</v>
      </c>
      <c r="K373" s="10" t="str">
        <f>IFERROR(VLOOKUP(A373,'Pedido ESTHER'!$B:$C,2,0),"")</f>
        <v/>
      </c>
      <c r="L373" s="12" t="str">
        <f>IF(N(K373)&gt;0,"COMPRA","NÃO COMPRA")</f>
        <v>NÃO COMPRA</v>
      </c>
    </row>
    <row r="374" spans="1:12">
      <c r="A374" s="8" t="s">
        <v>847</v>
      </c>
      <c r="B374" s="9" t="s">
        <v>193</v>
      </c>
      <c r="C374" s="9" t="e">
        <f>VLOOKUP(A374,[2]Planilha1!$A:$B,2,0)</f>
        <v>#N/A</v>
      </c>
      <c r="D374" s="10">
        <f>SUMIF([1]Relatório!$A$2:$A$2653,A374,[1]Relatório!$AK$2:$AK$2653)</f>
        <v>405</v>
      </c>
      <c r="E374" s="11">
        <f t="shared" si="10"/>
        <v>0.000692358583622386</v>
      </c>
      <c r="F374" s="11">
        <f>SUM($E$7:E374)</f>
        <v>0.749207206683568</v>
      </c>
      <c r="G374" s="12" t="str">
        <f t="shared" si="11"/>
        <v>B</v>
      </c>
      <c r="H374" s="9" t="s">
        <v>183</v>
      </c>
      <c r="I374" s="9" t="s">
        <v>848</v>
      </c>
      <c r="J374" s="9" t="s">
        <v>49</v>
      </c>
      <c r="K374" s="10" t="str">
        <f>IFERROR(VLOOKUP(A374,'Pedido ESTHER'!$B:$C,2,0),"")</f>
        <v/>
      </c>
      <c r="L374" s="12" t="str">
        <f>IF(N(K374)&gt;0,"COMPRA","NÃO COMPRA")</f>
        <v>NÃO COMPRA</v>
      </c>
    </row>
    <row r="375" spans="1:12">
      <c r="A375" s="8" t="s">
        <v>849</v>
      </c>
      <c r="B375" s="9" t="s">
        <v>807</v>
      </c>
      <c r="C375" s="9" t="e">
        <f>VLOOKUP(A375,[2]Planilha1!$A:$B,2,0)</f>
        <v>#N/A</v>
      </c>
      <c r="D375" s="10">
        <f>SUMIF([1]Relatório!$A$2:$A$2653,A375,[1]Relatório!$AK$2:$AK$2653)</f>
        <v>404</v>
      </c>
      <c r="E375" s="11">
        <f t="shared" si="10"/>
        <v>0.000690649056255417</v>
      </c>
      <c r="F375" s="11">
        <f>SUM($E$7:E375)</f>
        <v>0.749897855739823</v>
      </c>
      <c r="G375" s="12" t="str">
        <f t="shared" si="11"/>
        <v>B</v>
      </c>
      <c r="H375" s="9" t="s">
        <v>221</v>
      </c>
      <c r="I375" s="9" t="s">
        <v>850</v>
      </c>
      <c r="J375" s="9" t="s">
        <v>359</v>
      </c>
      <c r="K375" s="10" t="str">
        <f>IFERROR(VLOOKUP(A375,'Pedido ESTHER'!$B:$C,2,0),"")</f>
        <v/>
      </c>
      <c r="L375" s="12" t="str">
        <f>IF(N(K375)&gt;0,"COMPRA","NÃO COMPRA")</f>
        <v>NÃO COMPRA</v>
      </c>
    </row>
    <row r="376" spans="1:12">
      <c r="A376" s="8" t="s">
        <v>851</v>
      </c>
      <c r="B376" s="9" t="s">
        <v>300</v>
      </c>
      <c r="C376" s="9" t="e">
        <f>VLOOKUP(A376,[2]Planilha1!$A:$B,2,0)</f>
        <v>#N/A</v>
      </c>
      <c r="D376" s="10">
        <f>SUMIF([1]Relatório!$A$2:$A$2653,A376,[1]Relatório!$AK$2:$AK$2653)</f>
        <v>403</v>
      </c>
      <c r="E376" s="11">
        <f t="shared" si="10"/>
        <v>0.000688939528888448</v>
      </c>
      <c r="F376" s="11">
        <f>SUM($E$7:E376)</f>
        <v>0.750586795268712</v>
      </c>
      <c r="G376" s="12" t="str">
        <f t="shared" si="11"/>
        <v>B</v>
      </c>
      <c r="H376" s="9" t="s">
        <v>117</v>
      </c>
      <c r="I376" s="9" t="s">
        <v>852</v>
      </c>
      <c r="J376" s="9" t="s">
        <v>29</v>
      </c>
      <c r="K376" s="10" t="str">
        <f>IFERROR(VLOOKUP(A376,'Pedido ESTHER'!$B:$C,2,0),"")</f>
        <v/>
      </c>
      <c r="L376" s="12" t="str">
        <f>IF(N(K376)&gt;0,"COMPRA","NÃO COMPRA")</f>
        <v>NÃO COMPRA</v>
      </c>
    </row>
    <row r="377" spans="1:12">
      <c r="A377" s="8" t="s">
        <v>853</v>
      </c>
      <c r="B377" s="9" t="s">
        <v>749</v>
      </c>
      <c r="C377" s="9" t="e">
        <f>VLOOKUP(A377,[2]Planilha1!$A:$B,2,0)</f>
        <v>#N/A</v>
      </c>
      <c r="D377" s="10">
        <f>SUMIF([1]Relatório!$A$2:$A$2653,A377,[1]Relatório!$AK$2:$AK$2653)</f>
        <v>403</v>
      </c>
      <c r="E377" s="11">
        <f t="shared" si="10"/>
        <v>0.000688939528888448</v>
      </c>
      <c r="F377" s="11">
        <f>SUM($E$7:E377)</f>
        <v>0.7512757347976</v>
      </c>
      <c r="G377" s="12" t="str">
        <f t="shared" si="11"/>
        <v>B</v>
      </c>
      <c r="H377" s="9" t="s">
        <v>183</v>
      </c>
      <c r="I377" s="9"/>
      <c r="J377" s="9" t="s">
        <v>359</v>
      </c>
      <c r="K377" s="10" t="str">
        <f>IFERROR(VLOOKUP(A377,'Pedido ESTHER'!$B:$C,2,0),"")</f>
        <v/>
      </c>
      <c r="L377" s="12" t="str">
        <f>IF(N(K377)&gt;0,"COMPRA","NÃO COMPRA")</f>
        <v>NÃO COMPRA</v>
      </c>
    </row>
    <row r="378" spans="1:12">
      <c r="A378" s="8" t="s">
        <v>854</v>
      </c>
      <c r="B378" s="9" t="s">
        <v>418</v>
      </c>
      <c r="C378" s="9" t="e">
        <f>VLOOKUP(A378,[2]Planilha1!$A:$B,2,0)</f>
        <v>#N/A</v>
      </c>
      <c r="D378" s="10">
        <f>SUMIF([1]Relatório!$A$2:$A$2653,A378,[1]Relatório!$AK$2:$AK$2653)</f>
        <v>402</v>
      </c>
      <c r="E378" s="11">
        <f t="shared" si="10"/>
        <v>0.000687230001521479</v>
      </c>
      <c r="F378" s="11">
        <f>SUM($E$7:E378)</f>
        <v>0.751962964799122</v>
      </c>
      <c r="G378" s="12" t="str">
        <f t="shared" si="11"/>
        <v>B</v>
      </c>
      <c r="H378" s="9" t="s">
        <v>117</v>
      </c>
      <c r="I378" s="9" t="s">
        <v>855</v>
      </c>
      <c r="J378" s="9" t="s">
        <v>23</v>
      </c>
      <c r="K378" s="10" t="str">
        <f>IFERROR(VLOOKUP(A378,'Pedido ESTHER'!$B:$C,2,0),"")</f>
        <v/>
      </c>
      <c r="L378" s="12" t="str">
        <f>IF(N(K378)&gt;0,"COMPRA","NÃO COMPRA")</f>
        <v>NÃO COMPRA</v>
      </c>
    </row>
    <row r="379" spans="1:12">
      <c r="A379" s="8" t="s">
        <v>856</v>
      </c>
      <c r="B379" s="9" t="s">
        <v>283</v>
      </c>
      <c r="C379" s="9" t="e">
        <f>VLOOKUP(A379,[2]Planilha1!$A:$B,2,0)</f>
        <v>#N/A</v>
      </c>
      <c r="D379" s="10">
        <f>SUMIF([1]Relatório!$A$2:$A$2653,A379,[1]Relatório!$AK$2:$AK$2653)</f>
        <v>401</v>
      </c>
      <c r="E379" s="11">
        <f t="shared" si="10"/>
        <v>0.00068552047415451</v>
      </c>
      <c r="F379" s="11">
        <f>SUM($E$7:E379)</f>
        <v>0.752648485273276</v>
      </c>
      <c r="G379" s="12" t="str">
        <f t="shared" si="11"/>
        <v>B</v>
      </c>
      <c r="H379" s="9" t="s">
        <v>18</v>
      </c>
      <c r="I379" s="9"/>
      <c r="J379" s="9" t="s">
        <v>241</v>
      </c>
      <c r="K379" s="10" t="str">
        <f>IFERROR(VLOOKUP(A379,'Pedido ESTHER'!$B:$C,2,0),"")</f>
        <v/>
      </c>
      <c r="L379" s="12" t="str">
        <f>IF(N(K379)&gt;0,"COMPRA","NÃO COMPRA")</f>
        <v>NÃO COMPRA</v>
      </c>
    </row>
    <row r="380" spans="1:12">
      <c r="A380" s="8" t="s">
        <v>857</v>
      </c>
      <c r="B380" s="9" t="s">
        <v>250</v>
      </c>
      <c r="C380" s="9" t="e">
        <f>VLOOKUP(A380,[2]Planilha1!$A:$B,2,0)</f>
        <v>#N/A</v>
      </c>
      <c r="D380" s="10">
        <f>SUMIF([1]Relatório!$A$2:$A$2653,A380,[1]Relatório!$AK$2:$AK$2653)</f>
        <v>400</v>
      </c>
      <c r="E380" s="11">
        <f t="shared" si="10"/>
        <v>0.000683810946787542</v>
      </c>
      <c r="F380" s="11">
        <f>SUM($E$7:E380)</f>
        <v>0.753332296220064</v>
      </c>
      <c r="G380" s="12" t="str">
        <f t="shared" si="11"/>
        <v>B</v>
      </c>
      <c r="H380" s="9" t="s">
        <v>74</v>
      </c>
      <c r="I380" s="9" t="s">
        <v>858</v>
      </c>
      <c r="J380" s="9" t="s">
        <v>40</v>
      </c>
      <c r="K380" s="10" t="str">
        <f>IFERROR(VLOOKUP(A380,'Pedido ESTHER'!$B:$C,2,0),"")</f>
        <v/>
      </c>
      <c r="L380" s="12" t="str">
        <f>IF(N(K380)&gt;0,"COMPRA","NÃO COMPRA")</f>
        <v>NÃO COMPRA</v>
      </c>
    </row>
    <row r="381" spans="1:12">
      <c r="A381" s="8" t="s">
        <v>859</v>
      </c>
      <c r="B381" s="9" t="s">
        <v>215</v>
      </c>
      <c r="C381" s="9" t="e">
        <f>VLOOKUP(A381,[2]Planilha1!$A:$B,2,0)</f>
        <v>#N/A</v>
      </c>
      <c r="D381" s="10">
        <f>SUMIF([1]Relatório!$A$2:$A$2653,A381,[1]Relatório!$AK$2:$AK$2653)</f>
        <v>399</v>
      </c>
      <c r="E381" s="11">
        <f t="shared" si="10"/>
        <v>0.000682101419420573</v>
      </c>
      <c r="F381" s="11">
        <f>SUM($E$7:E381)</f>
        <v>0.754014397639485</v>
      </c>
      <c r="G381" s="12" t="str">
        <f t="shared" si="11"/>
        <v>B</v>
      </c>
      <c r="H381" s="9" t="s">
        <v>143</v>
      </c>
      <c r="I381" s="9" t="s">
        <v>860</v>
      </c>
      <c r="J381" s="9" t="s">
        <v>49</v>
      </c>
      <c r="K381" s="10" t="str">
        <f>IFERROR(VLOOKUP(A381,'Pedido ESTHER'!$B:$C,2,0),"")</f>
        <v/>
      </c>
      <c r="L381" s="12" t="str">
        <f>IF(N(K381)&gt;0,"COMPRA","NÃO COMPRA")</f>
        <v>NÃO COMPRA</v>
      </c>
    </row>
    <row r="382" spans="1:12">
      <c r="A382" s="8" t="s">
        <v>861</v>
      </c>
      <c r="B382" s="9" t="s">
        <v>311</v>
      </c>
      <c r="C382" s="9" t="e">
        <f>VLOOKUP(A382,[2]Planilha1!$A:$B,2,0)</f>
        <v>#N/A</v>
      </c>
      <c r="D382" s="10">
        <f>SUMIF([1]Relatório!$A$2:$A$2653,A382,[1]Relatório!$AK$2:$AK$2653)</f>
        <v>399</v>
      </c>
      <c r="E382" s="11">
        <f t="shared" si="10"/>
        <v>0.000682101419420573</v>
      </c>
      <c r="F382" s="11">
        <f>SUM($E$7:E382)</f>
        <v>0.754696499058905</v>
      </c>
      <c r="G382" s="12" t="str">
        <f t="shared" si="11"/>
        <v>B</v>
      </c>
      <c r="H382" s="9" t="s">
        <v>586</v>
      </c>
      <c r="I382" s="9" t="s">
        <v>862</v>
      </c>
      <c r="J382" s="9" t="s">
        <v>863</v>
      </c>
      <c r="K382" s="10" t="str">
        <f>IFERROR(VLOOKUP(A382,'Pedido ESTHER'!$B:$C,2,0),"")</f>
        <v/>
      </c>
      <c r="L382" s="12" t="str">
        <f>IF(N(K382)&gt;0,"COMPRA","NÃO COMPRA")</f>
        <v>NÃO COMPRA</v>
      </c>
    </row>
    <row r="383" spans="1:12">
      <c r="A383" s="8" t="s">
        <v>864</v>
      </c>
      <c r="B383" s="9" t="s">
        <v>166</v>
      </c>
      <c r="C383" s="9" t="e">
        <f>VLOOKUP(A383,[2]Planilha1!$A:$B,2,0)</f>
        <v>#N/A</v>
      </c>
      <c r="D383" s="10">
        <f>SUMIF([1]Relatório!$A$2:$A$2653,A383,[1]Relatório!$AK$2:$AK$2653)</f>
        <v>398</v>
      </c>
      <c r="E383" s="11">
        <f t="shared" si="10"/>
        <v>0.000680391892053604</v>
      </c>
      <c r="F383" s="11">
        <f>SUM($E$7:E383)</f>
        <v>0.755376890950959</v>
      </c>
      <c r="G383" s="12" t="str">
        <f t="shared" si="11"/>
        <v>B</v>
      </c>
      <c r="H383" s="9" t="s">
        <v>14</v>
      </c>
      <c r="I383" s="9" t="s">
        <v>865</v>
      </c>
      <c r="J383" s="9" t="s">
        <v>36</v>
      </c>
      <c r="K383" s="10" t="str">
        <f>IFERROR(VLOOKUP(A383,'Pedido ESTHER'!$B:$C,2,0),"")</f>
        <v/>
      </c>
      <c r="L383" s="12" t="str">
        <f>IF(N(K383)&gt;0,"COMPRA","NÃO COMPRA")</f>
        <v>NÃO COMPRA</v>
      </c>
    </row>
    <row r="384" spans="1:12">
      <c r="A384" s="8" t="s">
        <v>866</v>
      </c>
      <c r="B384" s="9" t="s">
        <v>495</v>
      </c>
      <c r="C384" s="9" t="e">
        <f>VLOOKUP(A384,[2]Planilha1!$A:$B,2,0)</f>
        <v>#N/A</v>
      </c>
      <c r="D384" s="10">
        <f>SUMIF([1]Relatório!$A$2:$A$2653,A384,[1]Relatório!$AK$2:$AK$2653)</f>
        <v>396</v>
      </c>
      <c r="E384" s="11">
        <f t="shared" si="10"/>
        <v>0.000676972837319666</v>
      </c>
      <c r="F384" s="11">
        <f>SUM($E$7:E384)</f>
        <v>0.756053863788278</v>
      </c>
      <c r="G384" s="12" t="str">
        <f t="shared" si="11"/>
        <v>B</v>
      </c>
      <c r="H384" s="9" t="s">
        <v>183</v>
      </c>
      <c r="I384" s="9" t="s">
        <v>867</v>
      </c>
      <c r="J384" s="9" t="s">
        <v>123</v>
      </c>
      <c r="K384" s="10" t="str">
        <f>IFERROR(VLOOKUP(A384,'Pedido ESTHER'!$B:$C,2,0),"")</f>
        <v/>
      </c>
      <c r="L384" s="12" t="str">
        <f>IF(N(K384)&gt;0,"COMPRA","NÃO COMPRA")</f>
        <v>NÃO COMPRA</v>
      </c>
    </row>
    <row r="385" spans="1:12">
      <c r="A385" s="8" t="s">
        <v>868</v>
      </c>
      <c r="B385" s="9" t="s">
        <v>240</v>
      </c>
      <c r="C385" s="9" t="e">
        <f>VLOOKUP(A385,[2]Planilha1!$A:$B,2,0)</f>
        <v>#N/A</v>
      </c>
      <c r="D385" s="10">
        <f>SUMIF([1]Relatório!$A$2:$A$2653,A385,[1]Relatório!$AK$2:$AK$2653)</f>
        <v>395</v>
      </c>
      <c r="E385" s="11">
        <f t="shared" si="10"/>
        <v>0.000675263309952697</v>
      </c>
      <c r="F385" s="11">
        <f>SUM($E$7:E385)</f>
        <v>0.756729127098231</v>
      </c>
      <c r="G385" s="12" t="str">
        <f t="shared" si="11"/>
        <v>B</v>
      </c>
      <c r="H385" s="9" t="s">
        <v>21</v>
      </c>
      <c r="I385" s="9"/>
      <c r="J385" s="9" t="s">
        <v>241</v>
      </c>
      <c r="K385" s="10" t="str">
        <f>IFERROR(VLOOKUP(A385,'Pedido ESTHER'!$B:$C,2,0),"")</f>
        <v/>
      </c>
      <c r="L385" s="12" t="str">
        <f>IF(N(K385)&gt;0,"COMPRA","NÃO COMPRA")</f>
        <v>NÃO COMPRA</v>
      </c>
    </row>
    <row r="386" spans="1:12">
      <c r="A386" s="8" t="s">
        <v>869</v>
      </c>
      <c r="B386" s="9" t="s">
        <v>706</v>
      </c>
      <c r="C386" s="9" t="e">
        <f>VLOOKUP(A386,[2]Planilha1!$A:$B,2,0)</f>
        <v>#N/A</v>
      </c>
      <c r="D386" s="10">
        <f>SUMIF([1]Relatório!$A$2:$A$2653,A386,[1]Relatório!$AK$2:$AK$2653)</f>
        <v>394</v>
      </c>
      <c r="E386" s="11">
        <f t="shared" si="10"/>
        <v>0.000673553782585729</v>
      </c>
      <c r="F386" s="11">
        <f>SUM($E$7:E386)</f>
        <v>0.757402680880817</v>
      </c>
      <c r="G386" s="12" t="str">
        <f t="shared" si="11"/>
        <v>B</v>
      </c>
      <c r="H386" s="9" t="s">
        <v>183</v>
      </c>
      <c r="I386" s="9"/>
      <c r="J386" s="9" t="s">
        <v>241</v>
      </c>
      <c r="K386" s="10" t="str">
        <f>IFERROR(VLOOKUP(A386,'Pedido ESTHER'!$B:$C,2,0),"")</f>
        <v/>
      </c>
      <c r="L386" s="12" t="str">
        <f>IF(N(K386)&gt;0,"COMPRA","NÃO COMPRA")</f>
        <v>NÃO COMPRA</v>
      </c>
    </row>
    <row r="387" spans="1:12">
      <c r="A387" s="8" t="s">
        <v>870</v>
      </c>
      <c r="B387" s="9" t="s">
        <v>27</v>
      </c>
      <c r="C387" s="9" t="e">
        <f>VLOOKUP(A387,[2]Planilha1!$A:$B,2,0)</f>
        <v>#N/A</v>
      </c>
      <c r="D387" s="10">
        <f>SUMIF([1]Relatório!$A$2:$A$2653,A387,[1]Relatório!$AK$2:$AK$2653)</f>
        <v>393</v>
      </c>
      <c r="E387" s="11">
        <f t="shared" si="10"/>
        <v>0.00067184425521876</v>
      </c>
      <c r="F387" s="11">
        <f>SUM($E$7:E387)</f>
        <v>0.758074525136036</v>
      </c>
      <c r="G387" s="12" t="str">
        <f t="shared" si="11"/>
        <v>B</v>
      </c>
      <c r="H387" s="9" t="s">
        <v>21</v>
      </c>
      <c r="I387" s="9"/>
      <c r="J387" s="9" t="s">
        <v>29</v>
      </c>
      <c r="K387" s="10" t="str">
        <f>IFERROR(VLOOKUP(A387,'Pedido ESTHER'!$B:$C,2,0),"")</f>
        <v/>
      </c>
      <c r="L387" s="12" t="str">
        <f>IF(N(K387)&gt;0,"COMPRA","NÃO COMPRA")</f>
        <v>NÃO COMPRA</v>
      </c>
    </row>
    <row r="388" spans="1:12">
      <c r="A388" s="8" t="s">
        <v>871</v>
      </c>
      <c r="B388" s="9" t="s">
        <v>872</v>
      </c>
      <c r="C388" s="9" t="e">
        <f>VLOOKUP(A388,[2]Planilha1!$A:$B,2,0)</f>
        <v>#N/A</v>
      </c>
      <c r="D388" s="10">
        <f>SUMIF([1]Relatório!$A$2:$A$2653,A388,[1]Relatório!$AK$2:$AK$2653)</f>
        <v>393</v>
      </c>
      <c r="E388" s="11">
        <f t="shared" si="10"/>
        <v>0.00067184425521876</v>
      </c>
      <c r="F388" s="11">
        <f>SUM($E$7:E388)</f>
        <v>0.758746369391254</v>
      </c>
      <c r="G388" s="12" t="str">
        <f t="shared" si="11"/>
        <v>B</v>
      </c>
      <c r="H388" s="9" t="s">
        <v>21</v>
      </c>
      <c r="I388" s="9" t="s">
        <v>873</v>
      </c>
      <c r="J388" s="9" t="s">
        <v>29</v>
      </c>
      <c r="K388" s="10" t="str">
        <f>IFERROR(VLOOKUP(A388,'Pedido ESTHER'!$B:$C,2,0),"")</f>
        <v/>
      </c>
      <c r="L388" s="12" t="str">
        <f>IF(N(K388)&gt;0,"COMPRA","NÃO COMPRA")</f>
        <v>NÃO COMPRA</v>
      </c>
    </row>
    <row r="389" spans="1:12">
      <c r="A389" s="8" t="s">
        <v>874</v>
      </c>
      <c r="B389" s="9" t="s">
        <v>56</v>
      </c>
      <c r="C389" s="9" t="e">
        <f>VLOOKUP(A389,[2]Planilha1!$A:$B,2,0)</f>
        <v>#N/A</v>
      </c>
      <c r="D389" s="10">
        <f>SUMIF([1]Relatório!$A$2:$A$2653,A389,[1]Relatório!$AK$2:$AK$2653)</f>
        <v>392</v>
      </c>
      <c r="E389" s="11">
        <f t="shared" si="10"/>
        <v>0.000670134727851791</v>
      </c>
      <c r="F389" s="11">
        <f>SUM($E$7:E389)</f>
        <v>0.759416504119106</v>
      </c>
      <c r="G389" s="12" t="str">
        <f t="shared" si="11"/>
        <v>B</v>
      </c>
      <c r="H389" s="9" t="s">
        <v>21</v>
      </c>
      <c r="I389" s="9"/>
      <c r="J389" s="9" t="s">
        <v>58</v>
      </c>
      <c r="K389" s="10" t="str">
        <f>IFERROR(VLOOKUP(A389,'Pedido ESTHER'!$B:$C,2,0),"")</f>
        <v/>
      </c>
      <c r="L389" s="12" t="str">
        <f>IF(N(K389)&gt;0,"COMPRA","NÃO COMPRA")</f>
        <v>NÃO COMPRA</v>
      </c>
    </row>
    <row r="390" spans="1:12">
      <c r="A390" s="8" t="s">
        <v>875</v>
      </c>
      <c r="B390" s="9" t="s">
        <v>876</v>
      </c>
      <c r="C390" s="9" t="e">
        <f>VLOOKUP(A390,[2]Planilha1!$A:$B,2,0)</f>
        <v>#N/A</v>
      </c>
      <c r="D390" s="10">
        <f>SUMIF([1]Relatório!$A$2:$A$2653,A390,[1]Relatório!$AK$2:$AK$2653)</f>
        <v>392</v>
      </c>
      <c r="E390" s="11">
        <f t="shared" si="10"/>
        <v>0.000670134727851791</v>
      </c>
      <c r="F390" s="11">
        <f>SUM($E$7:E390)</f>
        <v>0.760086638846958</v>
      </c>
      <c r="G390" s="12" t="str">
        <f t="shared" si="11"/>
        <v>B</v>
      </c>
      <c r="H390" s="9" t="s">
        <v>82</v>
      </c>
      <c r="I390" s="9"/>
      <c r="J390" s="9" t="s">
        <v>83</v>
      </c>
      <c r="K390" s="10" t="str">
        <f>IFERROR(VLOOKUP(A390,'Pedido ESTHER'!$B:$C,2,0),"")</f>
        <v/>
      </c>
      <c r="L390" s="12" t="str">
        <f>IF(N(K390)&gt;0,"COMPRA","NÃO COMPRA")</f>
        <v>NÃO COMPRA</v>
      </c>
    </row>
    <row r="391" spans="1:12">
      <c r="A391" s="8" t="s">
        <v>877</v>
      </c>
      <c r="B391" s="9" t="s">
        <v>588</v>
      </c>
      <c r="C391" s="9" t="e">
        <f>VLOOKUP(A391,[2]Planilha1!$A:$B,2,0)</f>
        <v>#N/A</v>
      </c>
      <c r="D391" s="10">
        <f>SUMIF([1]Relatório!$A$2:$A$2653,A391,[1]Relatório!$AK$2:$AK$2653)</f>
        <v>391</v>
      </c>
      <c r="E391" s="11">
        <f t="shared" si="10"/>
        <v>0.000668425200484822</v>
      </c>
      <c r="F391" s="11">
        <f>SUM($E$7:E391)</f>
        <v>0.760755064047443</v>
      </c>
      <c r="G391" s="12" t="str">
        <f t="shared" si="11"/>
        <v>B</v>
      </c>
      <c r="H391" s="9" t="s">
        <v>21</v>
      </c>
      <c r="I391" s="9"/>
      <c r="J391" s="9" t="s">
        <v>158</v>
      </c>
      <c r="K391" s="10" t="str">
        <f>IFERROR(VLOOKUP(A391,'Pedido ESTHER'!$B:$C,2,0),"")</f>
        <v/>
      </c>
      <c r="L391" s="12" t="str">
        <f>IF(N(K391)&gt;0,"COMPRA","NÃO COMPRA")</f>
        <v>NÃO COMPRA</v>
      </c>
    </row>
    <row r="392" spans="1:12">
      <c r="A392" s="8" t="s">
        <v>878</v>
      </c>
      <c r="B392" s="9" t="s">
        <v>240</v>
      </c>
      <c r="C392" s="9" t="e">
        <f>VLOOKUP(A392,[2]Planilha1!$A:$B,2,0)</f>
        <v>#N/A</v>
      </c>
      <c r="D392" s="10">
        <f>SUMIF([1]Relatório!$A$2:$A$2653,A392,[1]Relatório!$AK$2:$AK$2653)</f>
        <v>391</v>
      </c>
      <c r="E392" s="11">
        <f t="shared" ref="E392:E455" si="12">D392/SUM($D$7:$D$1708)</f>
        <v>0.000668425200484822</v>
      </c>
      <c r="F392" s="11">
        <f>SUM($E$7:E392)</f>
        <v>0.761423489247928</v>
      </c>
      <c r="G392" s="12" t="str">
        <f t="shared" ref="G392:G455" si="13">IF(F392&lt;=70%,"A",IF(F392&lt;=90%,"B","C"))</f>
        <v>B</v>
      </c>
      <c r="H392" s="9" t="s">
        <v>21</v>
      </c>
      <c r="I392" s="9" t="s">
        <v>879</v>
      </c>
      <c r="J392" s="9" t="s">
        <v>880</v>
      </c>
      <c r="K392" s="10" t="str">
        <f>IFERROR(VLOOKUP(A392,'Pedido ESTHER'!$B:$C,2,0),"")</f>
        <v/>
      </c>
      <c r="L392" s="12" t="str">
        <f>IF(N(K392)&gt;0,"COMPRA","NÃO COMPRA")</f>
        <v>NÃO COMPRA</v>
      </c>
    </row>
    <row r="393" spans="1:12">
      <c r="A393" s="8" t="s">
        <v>881</v>
      </c>
      <c r="B393" s="9" t="s">
        <v>263</v>
      </c>
      <c r="C393" s="9" t="e">
        <f>VLOOKUP(A393,[2]Planilha1!$A:$B,2,0)</f>
        <v>#N/A</v>
      </c>
      <c r="D393" s="10">
        <f>SUMIF([1]Relatório!$A$2:$A$2653,A393,[1]Relatório!$AK$2:$AK$2653)</f>
        <v>391</v>
      </c>
      <c r="E393" s="11">
        <f t="shared" si="12"/>
        <v>0.000668425200484822</v>
      </c>
      <c r="F393" s="11">
        <f>SUM($E$7:E393)</f>
        <v>0.762091914448412</v>
      </c>
      <c r="G393" s="12" t="str">
        <f t="shared" si="13"/>
        <v>B</v>
      </c>
      <c r="H393" s="9" t="s">
        <v>831</v>
      </c>
      <c r="I393" s="9" t="s">
        <v>882</v>
      </c>
      <c r="J393" s="9" t="s">
        <v>883</v>
      </c>
      <c r="K393" s="10" t="str">
        <f>IFERROR(VLOOKUP(A393,'Pedido ESTHER'!$B:$C,2,0),"")</f>
        <v/>
      </c>
      <c r="L393" s="12" t="str">
        <f>IF(N(K393)&gt;0,"COMPRA","NÃO COMPRA")</f>
        <v>NÃO COMPRA</v>
      </c>
    </row>
    <row r="394" spans="1:12">
      <c r="A394" s="8" t="s">
        <v>884</v>
      </c>
      <c r="B394" s="9" t="s">
        <v>418</v>
      </c>
      <c r="C394" s="9" t="e">
        <f>VLOOKUP(A394,[2]Planilha1!$A:$B,2,0)</f>
        <v>#N/A</v>
      </c>
      <c r="D394" s="10">
        <f>SUMIF([1]Relatório!$A$2:$A$2653,A394,[1]Relatório!$AK$2:$AK$2653)</f>
        <v>390</v>
      </c>
      <c r="E394" s="11">
        <f t="shared" si="12"/>
        <v>0.000666715673117853</v>
      </c>
      <c r="F394" s="11">
        <f>SUM($E$7:E394)</f>
        <v>0.76275863012153</v>
      </c>
      <c r="G394" s="12" t="str">
        <f t="shared" si="13"/>
        <v>B</v>
      </c>
      <c r="H394" s="9" t="s">
        <v>117</v>
      </c>
      <c r="I394" s="9" t="s">
        <v>885</v>
      </c>
      <c r="J394" s="9" t="s">
        <v>23</v>
      </c>
      <c r="K394" s="10" t="str">
        <f>IFERROR(VLOOKUP(A394,'Pedido ESTHER'!$B:$C,2,0),"")</f>
        <v/>
      </c>
      <c r="L394" s="12" t="str">
        <f>IF(N(K394)&gt;0,"COMPRA","NÃO COMPRA")</f>
        <v>NÃO COMPRA</v>
      </c>
    </row>
    <row r="395" spans="1:12">
      <c r="A395" s="8" t="s">
        <v>886</v>
      </c>
      <c r="B395" s="9" t="s">
        <v>887</v>
      </c>
      <c r="C395" s="9" t="e">
        <f>VLOOKUP(A395,[2]Planilha1!$A:$B,2,0)</f>
        <v>#N/A</v>
      </c>
      <c r="D395" s="10">
        <f>SUMIF([1]Relatório!$A$2:$A$2653,A395,[1]Relatório!$AK$2:$AK$2653)</f>
        <v>387</v>
      </c>
      <c r="E395" s="11">
        <f t="shared" si="12"/>
        <v>0.000661587091016947</v>
      </c>
      <c r="F395" s="11">
        <f>SUM($E$7:E395)</f>
        <v>0.763420217212547</v>
      </c>
      <c r="G395" s="12" t="str">
        <f t="shared" si="13"/>
        <v>B</v>
      </c>
      <c r="H395" s="9" t="s">
        <v>117</v>
      </c>
      <c r="I395" s="9" t="s">
        <v>888</v>
      </c>
      <c r="J395" s="9" t="s">
        <v>359</v>
      </c>
      <c r="K395" s="10" t="str">
        <f>IFERROR(VLOOKUP(A395,'Pedido ESTHER'!$B:$C,2,0),"")</f>
        <v/>
      </c>
      <c r="L395" s="12" t="str">
        <f>IF(N(K395)&gt;0,"COMPRA","NÃO COMPRA")</f>
        <v>NÃO COMPRA</v>
      </c>
    </row>
    <row r="396" spans="1:12">
      <c r="A396" s="8" t="s">
        <v>889</v>
      </c>
      <c r="B396" s="9" t="s">
        <v>17</v>
      </c>
      <c r="C396" s="9" t="e">
        <f>VLOOKUP(A396,[2]Planilha1!$A:$B,2,0)</f>
        <v>#N/A</v>
      </c>
      <c r="D396" s="10">
        <f>SUMIF([1]Relatório!$A$2:$A$2653,A396,[1]Relatório!$AK$2:$AK$2653)</f>
        <v>386</v>
      </c>
      <c r="E396" s="11">
        <f t="shared" si="12"/>
        <v>0.000659877563649978</v>
      </c>
      <c r="F396" s="11">
        <f>SUM($E$7:E396)</f>
        <v>0.764080094776197</v>
      </c>
      <c r="G396" s="12" t="str">
        <f t="shared" si="13"/>
        <v>B</v>
      </c>
      <c r="H396" s="9" t="s">
        <v>18</v>
      </c>
      <c r="I396" s="9" t="s">
        <v>890</v>
      </c>
      <c r="J396" s="9" t="s">
        <v>15</v>
      </c>
      <c r="K396" s="10" t="str">
        <f>IFERROR(VLOOKUP(A396,'Pedido ESTHER'!$B:$C,2,0),"")</f>
        <v/>
      </c>
      <c r="L396" s="12" t="str">
        <f>IF(N(K396)&gt;0,"COMPRA","NÃO COMPRA")</f>
        <v>NÃO COMPRA</v>
      </c>
    </row>
    <row r="397" spans="1:12">
      <c r="A397" s="8" t="s">
        <v>891</v>
      </c>
      <c r="B397" s="9" t="s">
        <v>293</v>
      </c>
      <c r="C397" s="9" t="e">
        <f>VLOOKUP(A397,[2]Planilha1!$A:$B,2,0)</f>
        <v>#N/A</v>
      </c>
      <c r="D397" s="10">
        <f>SUMIF([1]Relatório!$A$2:$A$2653,A397,[1]Relatório!$AK$2:$AK$2653)</f>
        <v>385</v>
      </c>
      <c r="E397" s="11">
        <f t="shared" si="12"/>
        <v>0.000658168036283009</v>
      </c>
      <c r="F397" s="11">
        <f>SUM($E$7:E397)</f>
        <v>0.76473826281248</v>
      </c>
      <c r="G397" s="12" t="str">
        <f t="shared" si="13"/>
        <v>B</v>
      </c>
      <c r="H397" s="9" t="s">
        <v>892</v>
      </c>
      <c r="I397" s="9" t="s">
        <v>893</v>
      </c>
      <c r="J397" s="9" t="s">
        <v>83</v>
      </c>
      <c r="K397" s="10" t="str">
        <f>IFERROR(VLOOKUP(A397,'Pedido ESTHER'!$B:$C,2,0),"")</f>
        <v/>
      </c>
      <c r="L397" s="12" t="str">
        <f>IF(N(K397)&gt;0,"COMPRA","NÃO COMPRA")</f>
        <v>NÃO COMPRA</v>
      </c>
    </row>
    <row r="398" spans="1:12">
      <c r="A398" s="8" t="s">
        <v>894</v>
      </c>
      <c r="B398" s="9" t="s">
        <v>91</v>
      </c>
      <c r="C398" s="9" t="e">
        <f>VLOOKUP(A398,[2]Planilha1!$A:$B,2,0)</f>
        <v>#N/A</v>
      </c>
      <c r="D398" s="10">
        <f>SUMIF([1]Relatório!$A$2:$A$2653,A398,[1]Relatório!$AK$2:$AK$2653)</f>
        <v>385</v>
      </c>
      <c r="E398" s="11">
        <f t="shared" si="12"/>
        <v>0.000658168036283009</v>
      </c>
      <c r="F398" s="11">
        <f>SUM($E$7:E398)</f>
        <v>0.765396430848763</v>
      </c>
      <c r="G398" s="12" t="str">
        <f t="shared" si="13"/>
        <v>B</v>
      </c>
      <c r="H398" s="9" t="s">
        <v>74</v>
      </c>
      <c r="I398" s="9" t="s">
        <v>895</v>
      </c>
      <c r="J398" s="9" t="s">
        <v>896</v>
      </c>
      <c r="K398" s="10" t="str">
        <f>IFERROR(VLOOKUP(A398,'Pedido ESTHER'!$B:$C,2,0),"")</f>
        <v/>
      </c>
      <c r="L398" s="12" t="str">
        <f>IF(N(K398)&gt;0,"COMPRA","NÃO COMPRA")</f>
        <v>NÃO COMPRA</v>
      </c>
    </row>
    <row r="399" spans="1:12">
      <c r="A399" s="8" t="s">
        <v>897</v>
      </c>
      <c r="B399" s="9" t="s">
        <v>898</v>
      </c>
      <c r="C399" s="9" t="e">
        <f>VLOOKUP(A399,[2]Planilha1!$A:$B,2,0)</f>
        <v>#N/A</v>
      </c>
      <c r="D399" s="10">
        <f>SUMIF([1]Relatório!$A$2:$A$2653,A399,[1]Relatório!$AK$2:$AK$2653)</f>
        <v>383</v>
      </c>
      <c r="E399" s="11">
        <f t="shared" si="12"/>
        <v>0.000654748981549071</v>
      </c>
      <c r="F399" s="11">
        <f>SUM($E$7:E399)</f>
        <v>0.766051179830312</v>
      </c>
      <c r="G399" s="12" t="str">
        <f t="shared" si="13"/>
        <v>B</v>
      </c>
      <c r="H399" s="9" t="s">
        <v>183</v>
      </c>
      <c r="I399" s="9" t="s">
        <v>899</v>
      </c>
      <c r="J399" s="9" t="s">
        <v>900</v>
      </c>
      <c r="K399" s="10" t="str">
        <f>IFERROR(VLOOKUP(A399,'Pedido ESTHER'!$B:$C,2,0),"")</f>
        <v/>
      </c>
      <c r="L399" s="12" t="str">
        <f>IF(N(K399)&gt;0,"COMPRA","NÃO COMPRA")</f>
        <v>NÃO COMPRA</v>
      </c>
    </row>
    <row r="400" spans="1:12">
      <c r="A400" s="8" t="s">
        <v>901</v>
      </c>
      <c r="B400" s="9" t="s">
        <v>534</v>
      </c>
      <c r="C400" s="9" t="e">
        <f>VLOOKUP(A400,[2]Planilha1!$A:$B,2,0)</f>
        <v>#N/A</v>
      </c>
      <c r="D400" s="10">
        <f>SUMIF([1]Relatório!$A$2:$A$2653,A400,[1]Relatório!$AK$2:$AK$2653)</f>
        <v>382</v>
      </c>
      <c r="E400" s="11">
        <f t="shared" si="12"/>
        <v>0.000653039454182102</v>
      </c>
      <c r="F400" s="11">
        <f>SUM($E$7:E400)</f>
        <v>0.766704219284494</v>
      </c>
      <c r="G400" s="12" t="str">
        <f t="shared" si="13"/>
        <v>B</v>
      </c>
      <c r="H400" s="9" t="s">
        <v>143</v>
      </c>
      <c r="I400" s="9" t="s">
        <v>902</v>
      </c>
      <c r="J400" s="9" t="s">
        <v>40</v>
      </c>
      <c r="K400" s="10" t="str">
        <f>IFERROR(VLOOKUP(A400,'Pedido ESTHER'!$B:$C,2,0),"")</f>
        <v/>
      </c>
      <c r="L400" s="12" t="str">
        <f>IF(N(K400)&gt;0,"COMPRA","NÃO COMPRA")</f>
        <v>NÃO COMPRA</v>
      </c>
    </row>
    <row r="401" spans="1:12">
      <c r="A401" s="8" t="s">
        <v>903</v>
      </c>
      <c r="B401" s="9" t="s">
        <v>904</v>
      </c>
      <c r="C401" s="9" t="e">
        <f>VLOOKUP(A401,[2]Planilha1!$A:$B,2,0)</f>
        <v>#N/A</v>
      </c>
      <c r="D401" s="10">
        <f>SUMIF([1]Relatório!$A$2:$A$2653,A401,[1]Relatório!$AK$2:$AK$2653)</f>
        <v>382</v>
      </c>
      <c r="E401" s="11">
        <f t="shared" si="12"/>
        <v>0.000653039454182102</v>
      </c>
      <c r="F401" s="11">
        <f>SUM($E$7:E401)</f>
        <v>0.767357258738676</v>
      </c>
      <c r="G401" s="12" t="str">
        <f t="shared" si="13"/>
        <v>B</v>
      </c>
      <c r="H401" s="9" t="s">
        <v>143</v>
      </c>
      <c r="I401" s="9" t="s">
        <v>905</v>
      </c>
      <c r="J401" s="9" t="s">
        <v>201</v>
      </c>
      <c r="K401" s="10" t="str">
        <f>IFERROR(VLOOKUP(A401,'Pedido ESTHER'!$B:$C,2,0),"")</f>
        <v/>
      </c>
      <c r="L401" s="12" t="str">
        <f>IF(N(K401)&gt;0,"COMPRA","NÃO COMPRA")</f>
        <v>NÃO COMPRA</v>
      </c>
    </row>
    <row r="402" spans="1:12">
      <c r="A402" s="8" t="s">
        <v>906</v>
      </c>
      <c r="B402" s="9" t="s">
        <v>330</v>
      </c>
      <c r="C402" s="9" t="e">
        <f>VLOOKUP(A402,[2]Planilha1!$A:$B,2,0)</f>
        <v>#N/A</v>
      </c>
      <c r="D402" s="10">
        <f>SUMIF([1]Relatório!$A$2:$A$2653,A402,[1]Relatório!$AK$2:$AK$2653)</f>
        <v>382</v>
      </c>
      <c r="E402" s="11">
        <f t="shared" si="12"/>
        <v>0.000653039454182102</v>
      </c>
      <c r="F402" s="11">
        <f>SUM($E$7:E402)</f>
        <v>0.768010298192858</v>
      </c>
      <c r="G402" s="12" t="str">
        <f t="shared" si="13"/>
        <v>B</v>
      </c>
      <c r="H402" s="9" t="s">
        <v>112</v>
      </c>
      <c r="I402" s="9" t="s">
        <v>907</v>
      </c>
      <c r="J402" s="9" t="s">
        <v>23</v>
      </c>
      <c r="K402" s="10" t="str">
        <f>IFERROR(VLOOKUP(A402,'Pedido ESTHER'!$B:$C,2,0),"")</f>
        <v/>
      </c>
      <c r="L402" s="12" t="str">
        <f>IF(N(K402)&gt;0,"COMPRA","NÃO COMPRA")</f>
        <v>NÃO COMPRA</v>
      </c>
    </row>
    <row r="403" spans="1:12">
      <c r="A403" s="8" t="s">
        <v>908</v>
      </c>
      <c r="B403" s="9" t="s">
        <v>626</v>
      </c>
      <c r="C403" s="9" t="e">
        <f>VLOOKUP(A403,[2]Planilha1!$A:$B,2,0)</f>
        <v>#N/A</v>
      </c>
      <c r="D403" s="10">
        <f>SUMIF([1]Relatório!$A$2:$A$2653,A403,[1]Relatório!$AK$2:$AK$2653)</f>
        <v>381</v>
      </c>
      <c r="E403" s="11">
        <f t="shared" si="12"/>
        <v>0.000651329926815133</v>
      </c>
      <c r="F403" s="11">
        <f>SUM($E$7:E403)</f>
        <v>0.768661628119674</v>
      </c>
      <c r="G403" s="12" t="str">
        <f t="shared" si="13"/>
        <v>B</v>
      </c>
      <c r="H403" s="9" t="s">
        <v>831</v>
      </c>
      <c r="I403" s="9" t="s">
        <v>909</v>
      </c>
      <c r="J403" s="9" t="s">
        <v>164</v>
      </c>
      <c r="K403" s="10" t="str">
        <f>IFERROR(VLOOKUP(A403,'Pedido ESTHER'!$B:$C,2,0),"")</f>
        <v/>
      </c>
      <c r="L403" s="12" t="str">
        <f>IF(N(K403)&gt;0,"COMPRA","NÃO COMPRA")</f>
        <v>NÃO COMPRA</v>
      </c>
    </row>
    <row r="404" spans="1:12">
      <c r="A404" s="8" t="s">
        <v>910</v>
      </c>
      <c r="B404" s="9" t="s">
        <v>200</v>
      </c>
      <c r="C404" s="9" t="e">
        <f>VLOOKUP(A404,[2]Planilha1!$A:$B,2,0)</f>
        <v>#N/A</v>
      </c>
      <c r="D404" s="10">
        <f>SUMIF([1]Relatório!$A$2:$A$2653,A404,[1]Relatório!$AK$2:$AK$2653)</f>
        <v>380</v>
      </c>
      <c r="E404" s="11">
        <f t="shared" si="12"/>
        <v>0.000649620399448165</v>
      </c>
      <c r="F404" s="11">
        <f>SUM($E$7:E404)</f>
        <v>0.769311248519122</v>
      </c>
      <c r="G404" s="12" t="str">
        <f t="shared" si="13"/>
        <v>B</v>
      </c>
      <c r="H404" s="9" t="s">
        <v>21</v>
      </c>
      <c r="I404" s="9"/>
      <c r="J404" s="9" t="s">
        <v>201</v>
      </c>
      <c r="K404" s="10" t="str">
        <f>IFERROR(VLOOKUP(A404,'Pedido ESTHER'!$B:$C,2,0),"")</f>
        <v/>
      </c>
      <c r="L404" s="12" t="str">
        <f>IF(N(K404)&gt;0,"COMPRA","NÃO COMPRA")</f>
        <v>NÃO COMPRA</v>
      </c>
    </row>
    <row r="405" spans="1:12">
      <c r="A405" s="8" t="s">
        <v>911</v>
      </c>
      <c r="B405" s="9" t="s">
        <v>51</v>
      </c>
      <c r="C405" s="9" t="e">
        <f>VLOOKUP(A405,[2]Planilha1!$A:$B,2,0)</f>
        <v>#N/A</v>
      </c>
      <c r="D405" s="10">
        <f>SUMIF([1]Relatório!$A$2:$A$2653,A405,[1]Relatório!$AK$2:$AK$2653)</f>
        <v>378</v>
      </c>
      <c r="E405" s="11">
        <f t="shared" si="12"/>
        <v>0.000646201344714227</v>
      </c>
      <c r="F405" s="11">
        <f>SUM($E$7:E405)</f>
        <v>0.769957449863836</v>
      </c>
      <c r="G405" s="12" t="str">
        <f t="shared" si="13"/>
        <v>B</v>
      </c>
      <c r="H405" s="9" t="s">
        <v>21</v>
      </c>
      <c r="I405" s="9" t="s">
        <v>912</v>
      </c>
      <c r="J405" s="9" t="s">
        <v>33</v>
      </c>
      <c r="K405" s="10" t="str">
        <f>IFERROR(VLOOKUP(A405,'Pedido ESTHER'!$B:$C,2,0),"")</f>
        <v/>
      </c>
      <c r="L405" s="12" t="str">
        <f>IF(N(K405)&gt;0,"COMPRA","NÃO COMPRA")</f>
        <v>NÃO COMPRA</v>
      </c>
    </row>
    <row r="406" spans="1:12">
      <c r="A406" s="8" t="s">
        <v>913</v>
      </c>
      <c r="B406" s="9" t="s">
        <v>914</v>
      </c>
      <c r="C406" s="9" t="e">
        <f>VLOOKUP(A406,[2]Planilha1!$A:$B,2,0)</f>
        <v>#N/A</v>
      </c>
      <c r="D406" s="10">
        <f>SUMIF([1]Relatório!$A$2:$A$2653,A406,[1]Relatório!$AK$2:$AK$2653)</f>
        <v>377</v>
      </c>
      <c r="E406" s="11">
        <f t="shared" si="12"/>
        <v>0.000644491817347258</v>
      </c>
      <c r="F406" s="11">
        <f>SUM($E$7:E406)</f>
        <v>0.770601941681183</v>
      </c>
      <c r="G406" s="12" t="str">
        <f t="shared" si="13"/>
        <v>B</v>
      </c>
      <c r="H406" s="9" t="s">
        <v>117</v>
      </c>
      <c r="I406" s="9" t="s">
        <v>915</v>
      </c>
      <c r="J406" s="9" t="s">
        <v>916</v>
      </c>
      <c r="K406" s="10" t="str">
        <f>IFERROR(VLOOKUP(A406,'Pedido ESTHER'!$B:$C,2,0),"")</f>
        <v/>
      </c>
      <c r="L406" s="12" t="str">
        <f>IF(N(K406)&gt;0,"COMPRA","NÃO COMPRA")</f>
        <v>NÃO COMPRA</v>
      </c>
    </row>
    <row r="407" spans="1:12">
      <c r="A407" s="8" t="s">
        <v>917</v>
      </c>
      <c r="B407" s="9" t="s">
        <v>211</v>
      </c>
      <c r="C407" s="9" t="e">
        <f>VLOOKUP(A407,[2]Planilha1!$A:$B,2,0)</f>
        <v>#N/A</v>
      </c>
      <c r="D407" s="10">
        <f>SUMIF([1]Relatório!$A$2:$A$2653,A407,[1]Relatório!$AK$2:$AK$2653)</f>
        <v>376</v>
      </c>
      <c r="E407" s="11">
        <f t="shared" si="12"/>
        <v>0.000642782289980289</v>
      </c>
      <c r="F407" s="11">
        <f>SUM($E$7:E407)</f>
        <v>0.771244723971164</v>
      </c>
      <c r="G407" s="12" t="str">
        <f t="shared" si="13"/>
        <v>B</v>
      </c>
      <c r="H407" s="9" t="s">
        <v>21</v>
      </c>
      <c r="I407" s="9"/>
      <c r="J407" s="9" t="s">
        <v>213</v>
      </c>
      <c r="K407" s="10" t="str">
        <f>IFERROR(VLOOKUP(A407,'Pedido ESTHER'!$B:$C,2,0),"")</f>
        <v/>
      </c>
      <c r="L407" s="12" t="str">
        <f>IF(N(K407)&gt;0,"COMPRA","NÃO COMPRA")</f>
        <v>NÃO COMPRA</v>
      </c>
    </row>
    <row r="408" spans="1:12">
      <c r="A408" s="8" t="s">
        <v>918</v>
      </c>
      <c r="B408" s="9" t="s">
        <v>179</v>
      </c>
      <c r="C408" s="9" t="e">
        <f>VLOOKUP(A408,[2]Planilha1!$A:$B,2,0)</f>
        <v>#N/A</v>
      </c>
      <c r="D408" s="10">
        <f>SUMIF([1]Relatório!$A$2:$A$2653,A408,[1]Relatório!$AK$2:$AK$2653)</f>
        <v>376</v>
      </c>
      <c r="E408" s="11">
        <f t="shared" si="12"/>
        <v>0.000642782289980289</v>
      </c>
      <c r="F408" s="11">
        <f>SUM($E$7:E408)</f>
        <v>0.771887506261144</v>
      </c>
      <c r="G408" s="12" t="str">
        <f t="shared" si="13"/>
        <v>B</v>
      </c>
      <c r="H408" s="9" t="s">
        <v>18</v>
      </c>
      <c r="I408" s="9" t="s">
        <v>919</v>
      </c>
      <c r="J408" s="9" t="s">
        <v>40</v>
      </c>
      <c r="K408" s="10" t="str">
        <f>IFERROR(VLOOKUP(A408,'Pedido ESTHER'!$B:$C,2,0),"")</f>
        <v/>
      </c>
      <c r="L408" s="12" t="str">
        <f>IF(N(K408)&gt;0,"COMPRA","NÃO COMPRA")</f>
        <v>NÃO COMPRA</v>
      </c>
    </row>
    <row r="409" spans="1:12">
      <c r="A409" s="8" t="s">
        <v>920</v>
      </c>
      <c r="B409" s="9" t="s">
        <v>116</v>
      </c>
      <c r="C409" s="9" t="e">
        <f>VLOOKUP(A409,[2]Planilha1!$A:$B,2,0)</f>
        <v>#N/A</v>
      </c>
      <c r="D409" s="10">
        <f>SUMIF([1]Relatório!$A$2:$A$2653,A409,[1]Relatório!$AK$2:$AK$2653)</f>
        <v>376</v>
      </c>
      <c r="E409" s="11">
        <f t="shared" si="12"/>
        <v>0.000642782289980289</v>
      </c>
      <c r="F409" s="11">
        <f>SUM($E$7:E409)</f>
        <v>0.772530288551124</v>
      </c>
      <c r="G409" s="12" t="str">
        <f t="shared" si="13"/>
        <v>B</v>
      </c>
      <c r="H409" s="9" t="s">
        <v>117</v>
      </c>
      <c r="I409" s="9" t="s">
        <v>921</v>
      </c>
      <c r="J409" s="9" t="s">
        <v>33</v>
      </c>
      <c r="K409" s="10" t="str">
        <f>IFERROR(VLOOKUP(A409,'Pedido ESTHER'!$B:$C,2,0),"")</f>
        <v/>
      </c>
      <c r="L409" s="12" t="str">
        <f>IF(N(K409)&gt;0,"COMPRA","NÃO COMPRA")</f>
        <v>NÃO COMPRA</v>
      </c>
    </row>
    <row r="410" spans="1:12">
      <c r="A410" s="8" t="s">
        <v>922</v>
      </c>
      <c r="B410" s="9" t="s">
        <v>923</v>
      </c>
      <c r="C410" s="9" t="e">
        <f>VLOOKUP(A410,[2]Planilha1!$A:$B,2,0)</f>
        <v>#N/A</v>
      </c>
      <c r="D410" s="10">
        <f>SUMIF([1]Relatório!$A$2:$A$2653,A410,[1]Relatório!$AK$2:$AK$2653)</f>
        <v>376</v>
      </c>
      <c r="E410" s="11">
        <f t="shared" si="12"/>
        <v>0.000642782289980289</v>
      </c>
      <c r="F410" s="11">
        <f>SUM($E$7:E410)</f>
        <v>0.773173070841104</v>
      </c>
      <c r="G410" s="12" t="str">
        <f t="shared" si="13"/>
        <v>B</v>
      </c>
      <c r="H410" s="9" t="s">
        <v>776</v>
      </c>
      <c r="I410" s="9" t="s">
        <v>924</v>
      </c>
      <c r="J410" s="9" t="s">
        <v>925</v>
      </c>
      <c r="K410" s="10" t="str">
        <f>IFERROR(VLOOKUP(A410,'Pedido ESTHER'!$B:$C,2,0),"")</f>
        <v/>
      </c>
      <c r="L410" s="12" t="str">
        <f>IF(N(K410)&gt;0,"COMPRA","NÃO COMPRA")</f>
        <v>NÃO COMPRA</v>
      </c>
    </row>
    <row r="411" spans="1:12">
      <c r="A411" s="8" t="s">
        <v>926</v>
      </c>
      <c r="B411" s="9" t="s">
        <v>177</v>
      </c>
      <c r="C411" s="9" t="e">
        <f>VLOOKUP(A411,[2]Planilha1!$A:$B,2,0)</f>
        <v>#N/A</v>
      </c>
      <c r="D411" s="10">
        <f>SUMIF([1]Relatório!$A$2:$A$2653,A411,[1]Relatório!$AK$2:$AK$2653)</f>
        <v>375</v>
      </c>
      <c r="E411" s="11">
        <f t="shared" si="12"/>
        <v>0.00064107276261332</v>
      </c>
      <c r="F411" s="11">
        <f>SUM($E$7:E411)</f>
        <v>0.773814143603718</v>
      </c>
      <c r="G411" s="12" t="str">
        <f t="shared" si="13"/>
        <v>B</v>
      </c>
      <c r="H411" s="9" t="s">
        <v>21</v>
      </c>
      <c r="I411" s="9"/>
      <c r="J411" s="9" t="s">
        <v>36</v>
      </c>
      <c r="K411" s="10" t="str">
        <f>IFERROR(VLOOKUP(A411,'Pedido ESTHER'!$B:$C,2,0),"")</f>
        <v/>
      </c>
      <c r="L411" s="12" t="str">
        <f>IF(N(K411)&gt;0,"COMPRA","NÃO COMPRA")</f>
        <v>NÃO COMPRA</v>
      </c>
    </row>
    <row r="412" spans="1:12">
      <c r="A412" s="8" t="s">
        <v>927</v>
      </c>
      <c r="B412" s="9" t="s">
        <v>166</v>
      </c>
      <c r="C412" s="9" t="e">
        <f>VLOOKUP(A412,[2]Planilha1!$A:$B,2,0)</f>
        <v>#N/A</v>
      </c>
      <c r="D412" s="10">
        <f>SUMIF([1]Relatório!$A$2:$A$2653,A412,[1]Relatório!$AK$2:$AK$2653)</f>
        <v>374</v>
      </c>
      <c r="E412" s="11">
        <f t="shared" si="12"/>
        <v>0.000639363235246351</v>
      </c>
      <c r="F412" s="11">
        <f>SUM($E$7:E412)</f>
        <v>0.774453506838964</v>
      </c>
      <c r="G412" s="12" t="str">
        <f t="shared" si="13"/>
        <v>B</v>
      </c>
      <c r="H412" s="9" t="s">
        <v>14</v>
      </c>
      <c r="I412" s="9" t="s">
        <v>928</v>
      </c>
      <c r="J412" s="9" t="s">
        <v>36</v>
      </c>
      <c r="K412" s="10" t="str">
        <f>IFERROR(VLOOKUP(A412,'Pedido ESTHER'!$B:$C,2,0),"")</f>
        <v/>
      </c>
      <c r="L412" s="12" t="str">
        <f>IF(N(K412)&gt;0,"COMPRA","NÃO COMPRA")</f>
        <v>NÃO COMPRA</v>
      </c>
    </row>
    <row r="413" spans="1:12">
      <c r="A413" s="8" t="s">
        <v>929</v>
      </c>
      <c r="B413" s="9" t="s">
        <v>154</v>
      </c>
      <c r="C413" s="9" t="e">
        <f>VLOOKUP(A413,[2]Planilha1!$A:$B,2,0)</f>
        <v>#N/A</v>
      </c>
      <c r="D413" s="10">
        <f>SUMIF([1]Relatório!$A$2:$A$2653,A413,[1]Relatório!$AK$2:$AK$2653)</f>
        <v>373</v>
      </c>
      <c r="E413" s="11">
        <f t="shared" si="12"/>
        <v>0.000637653707879383</v>
      </c>
      <c r="F413" s="11">
        <f>SUM($E$7:E413)</f>
        <v>0.775091160546843</v>
      </c>
      <c r="G413" s="12" t="str">
        <f t="shared" si="13"/>
        <v>B</v>
      </c>
      <c r="H413" s="9" t="s">
        <v>117</v>
      </c>
      <c r="I413" s="9" t="s">
        <v>930</v>
      </c>
      <c r="J413" s="9" t="s">
        <v>44</v>
      </c>
      <c r="K413" s="10" t="str">
        <f>IFERROR(VLOOKUP(A413,'Pedido ESTHER'!$B:$C,2,0),"")</f>
        <v/>
      </c>
      <c r="L413" s="12" t="str">
        <f>IF(N(K413)&gt;0,"COMPRA","NÃO COMPRA")</f>
        <v>NÃO COMPRA</v>
      </c>
    </row>
    <row r="414" spans="1:12">
      <c r="A414" s="8" t="s">
        <v>931</v>
      </c>
      <c r="B414" s="9" t="s">
        <v>932</v>
      </c>
      <c r="C414" s="9" t="e">
        <f>VLOOKUP(A414,[2]Planilha1!$A:$B,2,0)</f>
        <v>#N/A</v>
      </c>
      <c r="D414" s="10">
        <f>SUMIF([1]Relatório!$A$2:$A$2653,A414,[1]Relatório!$AK$2:$AK$2653)</f>
        <v>373</v>
      </c>
      <c r="E414" s="11">
        <f t="shared" si="12"/>
        <v>0.000637653707879383</v>
      </c>
      <c r="F414" s="11">
        <f>SUM($E$7:E414)</f>
        <v>0.775728814254723</v>
      </c>
      <c r="G414" s="12" t="str">
        <f t="shared" si="13"/>
        <v>B</v>
      </c>
      <c r="H414" s="9" t="s">
        <v>221</v>
      </c>
      <c r="I414" s="9" t="s">
        <v>933</v>
      </c>
      <c r="J414" s="9" t="s">
        <v>813</v>
      </c>
      <c r="K414" s="10" t="str">
        <f>IFERROR(VLOOKUP(A414,'Pedido ESTHER'!$B:$C,2,0),"")</f>
        <v/>
      </c>
      <c r="L414" s="12" t="str">
        <f>IF(N(K414)&gt;0,"COMPRA","NÃO COMPRA")</f>
        <v>NÃO COMPRA</v>
      </c>
    </row>
    <row r="415" spans="1:12">
      <c r="A415" s="8" t="s">
        <v>934</v>
      </c>
      <c r="B415" s="9" t="s">
        <v>935</v>
      </c>
      <c r="C415" s="9" t="e">
        <f>VLOOKUP(A415,[2]Planilha1!$A:$B,2,0)</f>
        <v>#N/A</v>
      </c>
      <c r="D415" s="10">
        <f>SUMIF([1]Relatório!$A$2:$A$2653,A415,[1]Relatório!$AK$2:$AK$2653)</f>
        <v>369</v>
      </c>
      <c r="E415" s="11">
        <f t="shared" si="12"/>
        <v>0.000630815598411507</v>
      </c>
      <c r="F415" s="11">
        <f>SUM($E$7:E415)</f>
        <v>0.776359629853134</v>
      </c>
      <c r="G415" s="12" t="str">
        <f t="shared" si="13"/>
        <v>B</v>
      </c>
      <c r="H415" s="9" t="s">
        <v>112</v>
      </c>
      <c r="I415" s="9" t="s">
        <v>936</v>
      </c>
      <c r="J415" s="9" t="s">
        <v>241</v>
      </c>
      <c r="K415" s="10" t="str">
        <f>IFERROR(VLOOKUP(A415,'Pedido ESTHER'!$B:$C,2,0),"")</f>
        <v/>
      </c>
      <c r="L415" s="12" t="str">
        <f>IF(N(K415)&gt;0,"COMPRA","NÃO COMPRA")</f>
        <v>NÃO COMPRA</v>
      </c>
    </row>
    <row r="416" spans="1:12">
      <c r="A416" s="8" t="s">
        <v>937</v>
      </c>
      <c r="B416" s="9" t="s">
        <v>122</v>
      </c>
      <c r="C416" s="9" t="e">
        <f>VLOOKUP(A416,[2]Planilha1!$A:$B,2,0)</f>
        <v>#N/A</v>
      </c>
      <c r="D416" s="10">
        <f>SUMIF([1]Relatório!$A$2:$A$2653,A416,[1]Relatório!$AK$2:$AK$2653)</f>
        <v>366</v>
      </c>
      <c r="E416" s="11">
        <f t="shared" si="12"/>
        <v>0.000625687016310601</v>
      </c>
      <c r="F416" s="11">
        <f>SUM($E$7:E416)</f>
        <v>0.776985316869445</v>
      </c>
      <c r="G416" s="12" t="str">
        <f t="shared" si="13"/>
        <v>B</v>
      </c>
      <c r="H416" s="9" t="s">
        <v>18</v>
      </c>
      <c r="I416" s="9" t="s">
        <v>938</v>
      </c>
      <c r="J416" s="9" t="s">
        <v>33</v>
      </c>
      <c r="K416" s="10" t="str">
        <f>IFERROR(VLOOKUP(A416,'Pedido ESTHER'!$B:$C,2,0),"")</f>
        <v/>
      </c>
      <c r="L416" s="12" t="str">
        <f>IF(N(K416)&gt;0,"COMPRA","NÃO COMPRA")</f>
        <v>NÃO COMPRA</v>
      </c>
    </row>
    <row r="417" spans="1:12">
      <c r="A417" s="8" t="s">
        <v>939</v>
      </c>
      <c r="B417" s="9" t="s">
        <v>342</v>
      </c>
      <c r="C417" s="9" t="e">
        <f>VLOOKUP(A417,[2]Planilha1!$A:$B,2,0)</f>
        <v>#N/A</v>
      </c>
      <c r="D417" s="10">
        <f>SUMIF([1]Relatório!$A$2:$A$2653,A417,[1]Relatório!$AK$2:$AK$2653)</f>
        <v>364</v>
      </c>
      <c r="E417" s="11">
        <f t="shared" si="12"/>
        <v>0.000622267961576663</v>
      </c>
      <c r="F417" s="11">
        <f>SUM($E$7:E417)</f>
        <v>0.777607584831022</v>
      </c>
      <c r="G417" s="12" t="str">
        <f t="shared" si="13"/>
        <v>B</v>
      </c>
      <c r="H417" s="9" t="s">
        <v>831</v>
      </c>
      <c r="I417" s="9" t="s">
        <v>940</v>
      </c>
      <c r="J417" s="9" t="s">
        <v>158</v>
      </c>
      <c r="K417" s="10" t="str">
        <f>IFERROR(VLOOKUP(A417,'Pedido ESTHER'!$B:$C,2,0),"")</f>
        <v/>
      </c>
      <c r="L417" s="12" t="str">
        <f>IF(N(K417)&gt;0,"COMPRA","NÃO COMPRA")</f>
        <v>NÃO COMPRA</v>
      </c>
    </row>
    <row r="418" spans="1:12">
      <c r="A418" s="8" t="s">
        <v>941</v>
      </c>
      <c r="B418" s="9" t="s">
        <v>538</v>
      </c>
      <c r="C418" s="9" t="e">
        <f>VLOOKUP(A418,[2]Planilha1!$A:$B,2,0)</f>
        <v>#N/A</v>
      </c>
      <c r="D418" s="10">
        <f>SUMIF([1]Relatório!$A$2:$A$2653,A418,[1]Relatório!$AK$2:$AK$2653)</f>
        <v>362</v>
      </c>
      <c r="E418" s="11">
        <f t="shared" si="12"/>
        <v>0.000618848906842725</v>
      </c>
      <c r="F418" s="11">
        <f>SUM($E$7:E418)</f>
        <v>0.778226433737864</v>
      </c>
      <c r="G418" s="12" t="str">
        <f t="shared" si="13"/>
        <v>B</v>
      </c>
      <c r="H418" s="9" t="s">
        <v>183</v>
      </c>
      <c r="I418" s="9" t="s">
        <v>942</v>
      </c>
      <c r="J418" s="9" t="s">
        <v>158</v>
      </c>
      <c r="K418" s="10" t="str">
        <f>IFERROR(VLOOKUP(A418,'Pedido ESTHER'!$B:$C,2,0),"")</f>
        <v/>
      </c>
      <c r="L418" s="12" t="str">
        <f>IF(N(K418)&gt;0,"COMPRA","NÃO COMPRA")</f>
        <v>NÃO COMPRA</v>
      </c>
    </row>
    <row r="419" spans="1:12">
      <c r="A419" s="8" t="s">
        <v>943</v>
      </c>
      <c r="B419" s="9" t="s">
        <v>944</v>
      </c>
      <c r="C419" s="9" t="e">
        <f>VLOOKUP(A419,[2]Planilha1!$A:$B,2,0)</f>
        <v>#N/A</v>
      </c>
      <c r="D419" s="10">
        <f>SUMIF([1]Relatório!$A$2:$A$2653,A419,[1]Relatório!$AK$2:$AK$2653)</f>
        <v>362</v>
      </c>
      <c r="E419" s="11">
        <f t="shared" si="12"/>
        <v>0.000618848906842725</v>
      </c>
      <c r="F419" s="11">
        <f>SUM($E$7:E419)</f>
        <v>0.778845282644707</v>
      </c>
      <c r="G419" s="12" t="str">
        <f t="shared" si="13"/>
        <v>B</v>
      </c>
      <c r="H419" s="9" t="s">
        <v>82</v>
      </c>
      <c r="I419" s="9"/>
      <c r="J419" s="9" t="s">
        <v>201</v>
      </c>
      <c r="K419" s="10" t="str">
        <f>IFERROR(VLOOKUP(A419,'Pedido ESTHER'!$B:$C,2,0),"")</f>
        <v/>
      </c>
      <c r="L419" s="12" t="str">
        <f>IF(N(K419)&gt;0,"COMPRA","NÃO COMPRA")</f>
        <v>NÃO COMPRA</v>
      </c>
    </row>
    <row r="420" spans="1:12">
      <c r="A420" s="8" t="s">
        <v>945</v>
      </c>
      <c r="B420" s="9" t="s">
        <v>574</v>
      </c>
      <c r="C420" s="9" t="e">
        <f>VLOOKUP(A420,[2]Planilha1!$A:$B,2,0)</f>
        <v>#N/A</v>
      </c>
      <c r="D420" s="10">
        <f>SUMIF([1]Relatório!$A$2:$A$2653,A420,[1]Relatório!$AK$2:$AK$2653)</f>
        <v>362</v>
      </c>
      <c r="E420" s="11">
        <f t="shared" si="12"/>
        <v>0.000618848906842725</v>
      </c>
      <c r="F420" s="11">
        <f>SUM($E$7:E420)</f>
        <v>0.77946413155155</v>
      </c>
      <c r="G420" s="12" t="str">
        <f t="shared" si="13"/>
        <v>B</v>
      </c>
      <c r="H420" s="9" t="s">
        <v>112</v>
      </c>
      <c r="I420" s="9" t="s">
        <v>946</v>
      </c>
      <c r="J420" s="9" t="s">
        <v>213</v>
      </c>
      <c r="K420" s="10" t="str">
        <f>IFERROR(VLOOKUP(A420,'Pedido ESTHER'!$B:$C,2,0),"")</f>
        <v/>
      </c>
      <c r="L420" s="12" t="str">
        <f>IF(N(K420)&gt;0,"COMPRA","NÃO COMPRA")</f>
        <v>NÃO COMPRA</v>
      </c>
    </row>
    <row r="421" spans="1:12">
      <c r="A421" s="8" t="s">
        <v>947</v>
      </c>
      <c r="B421" s="9" t="s">
        <v>116</v>
      </c>
      <c r="C421" s="9" t="e">
        <f>VLOOKUP(A421,[2]Planilha1!$A:$B,2,0)</f>
        <v>#N/A</v>
      </c>
      <c r="D421" s="10">
        <f>SUMIF([1]Relatório!$A$2:$A$2653,A421,[1]Relatório!$AK$2:$AK$2653)</f>
        <v>361</v>
      </c>
      <c r="E421" s="11">
        <f t="shared" si="12"/>
        <v>0.000617139379475756</v>
      </c>
      <c r="F421" s="11">
        <f>SUM($E$7:E421)</f>
        <v>0.780081270931025</v>
      </c>
      <c r="G421" s="12" t="str">
        <f t="shared" si="13"/>
        <v>B</v>
      </c>
      <c r="H421" s="9" t="s">
        <v>117</v>
      </c>
      <c r="I421" s="9" t="s">
        <v>948</v>
      </c>
      <c r="J421" s="9" t="s">
        <v>33</v>
      </c>
      <c r="K421" s="10" t="str">
        <f>IFERROR(VLOOKUP(A421,'Pedido ESTHER'!$B:$C,2,0),"")</f>
        <v/>
      </c>
      <c r="L421" s="12" t="str">
        <f>IF(N(K421)&gt;0,"COMPRA","NÃO COMPRA")</f>
        <v>NÃO COMPRA</v>
      </c>
    </row>
    <row r="422" spans="1:12">
      <c r="A422" s="8" t="s">
        <v>949</v>
      </c>
      <c r="B422" s="9" t="s">
        <v>534</v>
      </c>
      <c r="C422" s="9" t="e">
        <f>VLOOKUP(A422,[2]Planilha1!$A:$B,2,0)</f>
        <v>#N/A</v>
      </c>
      <c r="D422" s="10">
        <f>SUMIF([1]Relatório!$A$2:$A$2653,A422,[1]Relatório!$AK$2:$AK$2653)</f>
        <v>360</v>
      </c>
      <c r="E422" s="11">
        <f t="shared" si="12"/>
        <v>0.000615429852108788</v>
      </c>
      <c r="F422" s="11">
        <f>SUM($E$7:E422)</f>
        <v>0.780696700783134</v>
      </c>
      <c r="G422" s="12" t="str">
        <f t="shared" si="13"/>
        <v>B</v>
      </c>
      <c r="H422" s="9" t="s">
        <v>143</v>
      </c>
      <c r="I422" s="9" t="s">
        <v>950</v>
      </c>
      <c r="J422" s="9" t="s">
        <v>40</v>
      </c>
      <c r="K422" s="10" t="str">
        <f>IFERROR(VLOOKUP(A422,'Pedido ESTHER'!$B:$C,2,0),"")</f>
        <v/>
      </c>
      <c r="L422" s="12" t="str">
        <f>IF(N(K422)&gt;0,"COMPRA","NÃO COMPRA")</f>
        <v>NÃO COMPRA</v>
      </c>
    </row>
    <row r="423" spans="1:12">
      <c r="A423" s="8" t="s">
        <v>951</v>
      </c>
      <c r="B423" s="9" t="s">
        <v>815</v>
      </c>
      <c r="C423" s="9" t="e">
        <f>VLOOKUP(A423,[2]Planilha1!$A:$B,2,0)</f>
        <v>#N/A</v>
      </c>
      <c r="D423" s="10">
        <f>SUMIF([1]Relatório!$A$2:$A$2653,A423,[1]Relatório!$AK$2:$AK$2653)</f>
        <v>360</v>
      </c>
      <c r="E423" s="11">
        <f t="shared" si="12"/>
        <v>0.000615429852108788</v>
      </c>
      <c r="F423" s="11">
        <f>SUM($E$7:E423)</f>
        <v>0.781312130635243</v>
      </c>
      <c r="G423" s="12" t="str">
        <f t="shared" si="13"/>
        <v>B</v>
      </c>
      <c r="H423" s="9" t="s">
        <v>14</v>
      </c>
      <c r="I423" s="9" t="s">
        <v>952</v>
      </c>
      <c r="J423" s="9" t="s">
        <v>241</v>
      </c>
      <c r="K423" s="10" t="str">
        <f>IFERROR(VLOOKUP(A423,'Pedido ESTHER'!$B:$C,2,0),"")</f>
        <v/>
      </c>
      <c r="L423" s="12" t="str">
        <f>IF(N(K423)&gt;0,"COMPRA","NÃO COMPRA")</f>
        <v>NÃO COMPRA</v>
      </c>
    </row>
    <row r="424" spans="1:12">
      <c r="A424" s="8" t="s">
        <v>953</v>
      </c>
      <c r="B424" s="9" t="s">
        <v>954</v>
      </c>
      <c r="C424" s="9" t="e">
        <f>VLOOKUP(A424,[2]Planilha1!$A:$B,2,0)</f>
        <v>#N/A</v>
      </c>
      <c r="D424" s="10">
        <f>SUMIF([1]Relatório!$A$2:$A$2653,A424,[1]Relatório!$AK$2:$AK$2653)</f>
        <v>359</v>
      </c>
      <c r="E424" s="11">
        <f t="shared" si="12"/>
        <v>0.000613720324741819</v>
      </c>
      <c r="F424" s="11">
        <f>SUM($E$7:E424)</f>
        <v>0.781925850959985</v>
      </c>
      <c r="G424" s="12" t="str">
        <f t="shared" si="13"/>
        <v>B</v>
      </c>
      <c r="H424" s="9" t="s">
        <v>74</v>
      </c>
      <c r="I424" s="9" t="s">
        <v>955</v>
      </c>
      <c r="J424" s="9" t="s">
        <v>880</v>
      </c>
      <c r="K424" s="10" t="str">
        <f>IFERROR(VLOOKUP(A424,'Pedido ESTHER'!$B:$C,2,0),"")</f>
        <v/>
      </c>
      <c r="L424" s="12" t="str">
        <f>IF(N(K424)&gt;0,"COMPRA","NÃO COMPRA")</f>
        <v>NÃO COMPRA</v>
      </c>
    </row>
    <row r="425" spans="1:12">
      <c r="A425" s="8" t="s">
        <v>956</v>
      </c>
      <c r="B425" s="9" t="s">
        <v>957</v>
      </c>
      <c r="C425" s="9" t="e">
        <f>VLOOKUP(A425,[2]Planilha1!$A:$B,2,0)</f>
        <v>#N/A</v>
      </c>
      <c r="D425" s="10">
        <f>SUMIF([1]Relatório!$A$2:$A$2653,A425,[1]Relatório!$AK$2:$AK$2653)</f>
        <v>358</v>
      </c>
      <c r="E425" s="11">
        <f t="shared" si="12"/>
        <v>0.00061201079737485</v>
      </c>
      <c r="F425" s="11">
        <f>SUM($E$7:E425)</f>
        <v>0.78253786175736</v>
      </c>
      <c r="G425" s="12" t="str">
        <f t="shared" si="13"/>
        <v>B</v>
      </c>
      <c r="H425" s="9" t="s">
        <v>143</v>
      </c>
      <c r="I425" s="9"/>
      <c r="J425" s="9" t="s">
        <v>123</v>
      </c>
      <c r="K425" s="10" t="str">
        <f>IFERROR(VLOOKUP(A425,'Pedido ESTHER'!$B:$C,2,0),"")</f>
        <v/>
      </c>
      <c r="L425" s="12" t="str">
        <f>IF(N(K425)&gt;0,"COMPRA","NÃO COMPRA")</f>
        <v>NÃO COMPRA</v>
      </c>
    </row>
    <row r="426" spans="1:12">
      <c r="A426" s="8" t="s">
        <v>958</v>
      </c>
      <c r="B426" s="9" t="s">
        <v>116</v>
      </c>
      <c r="C426" s="9" t="e">
        <f>VLOOKUP(A426,[2]Planilha1!$A:$B,2,0)</f>
        <v>#N/A</v>
      </c>
      <c r="D426" s="10">
        <f>SUMIF([1]Relatório!$A$2:$A$2653,A426,[1]Relatório!$AK$2:$AK$2653)</f>
        <v>355</v>
      </c>
      <c r="E426" s="11">
        <f t="shared" si="12"/>
        <v>0.000606882215273943</v>
      </c>
      <c r="F426" s="11">
        <f>SUM($E$7:E426)</f>
        <v>0.783144743972634</v>
      </c>
      <c r="G426" s="12" t="str">
        <f t="shared" si="13"/>
        <v>B</v>
      </c>
      <c r="H426" s="9" t="s">
        <v>117</v>
      </c>
      <c r="I426" s="9" t="s">
        <v>959</v>
      </c>
      <c r="J426" s="9" t="s">
        <v>33</v>
      </c>
      <c r="K426" s="10" t="str">
        <f>IFERROR(VLOOKUP(A426,'Pedido ESTHER'!$B:$C,2,0),"")</f>
        <v/>
      </c>
      <c r="L426" s="12" t="str">
        <f>IF(N(K426)&gt;0,"COMPRA","NÃO COMPRA")</f>
        <v>NÃO COMPRA</v>
      </c>
    </row>
    <row r="427" spans="1:12">
      <c r="A427" s="8" t="s">
        <v>960</v>
      </c>
      <c r="B427" s="9" t="s">
        <v>143</v>
      </c>
      <c r="C427" s="9" t="e">
        <f>VLOOKUP(A427,[2]Planilha1!$A:$B,2,0)</f>
        <v>#N/A</v>
      </c>
      <c r="D427" s="10">
        <f>SUMIF([1]Relatório!$A$2:$A$2653,A427,[1]Relatório!$AK$2:$AK$2653)</f>
        <v>355</v>
      </c>
      <c r="E427" s="11">
        <f t="shared" si="12"/>
        <v>0.000606882215273943</v>
      </c>
      <c r="F427" s="11">
        <f>SUM($E$7:E427)</f>
        <v>0.783751626187908</v>
      </c>
      <c r="G427" s="12" t="str">
        <f t="shared" si="13"/>
        <v>B</v>
      </c>
      <c r="H427" s="9" t="s">
        <v>143</v>
      </c>
      <c r="I427" s="9" t="s">
        <v>961</v>
      </c>
      <c r="J427" s="9" t="s">
        <v>273</v>
      </c>
      <c r="K427" s="10" t="str">
        <f>IFERROR(VLOOKUP(A427,'Pedido ESTHER'!$B:$C,2,0),"")</f>
        <v/>
      </c>
      <c r="L427" s="12" t="str">
        <f>IF(N(K427)&gt;0,"COMPRA","NÃO COMPRA")</f>
        <v>NÃO COMPRA</v>
      </c>
    </row>
    <row r="428" spans="1:12">
      <c r="A428" s="8" t="s">
        <v>962</v>
      </c>
      <c r="B428" s="9" t="s">
        <v>20</v>
      </c>
      <c r="C428" s="9" t="e">
        <f>VLOOKUP(A428,[2]Planilha1!$A:$B,2,0)</f>
        <v>#N/A</v>
      </c>
      <c r="D428" s="10">
        <f>SUMIF([1]Relatório!$A$2:$A$2653,A428,[1]Relatório!$AK$2:$AK$2653)</f>
        <v>354</v>
      </c>
      <c r="E428" s="11">
        <f t="shared" si="12"/>
        <v>0.000605172687906974</v>
      </c>
      <c r="F428" s="11">
        <f>SUM($E$7:E428)</f>
        <v>0.784356798875815</v>
      </c>
      <c r="G428" s="12" t="str">
        <f t="shared" si="13"/>
        <v>B</v>
      </c>
      <c r="H428" s="9" t="s">
        <v>21</v>
      </c>
      <c r="I428" s="9" t="s">
        <v>963</v>
      </c>
      <c r="J428" s="9" t="s">
        <v>213</v>
      </c>
      <c r="K428" s="10" t="str">
        <f>IFERROR(VLOOKUP(A428,'Pedido ESTHER'!$B:$C,2,0),"")</f>
        <v/>
      </c>
      <c r="L428" s="12" t="str">
        <f>IF(N(K428)&gt;0,"COMPRA","NÃO COMPRA")</f>
        <v>NÃO COMPRA</v>
      </c>
    </row>
    <row r="429" spans="1:12">
      <c r="A429" s="8" t="s">
        <v>964</v>
      </c>
      <c r="B429" s="9" t="s">
        <v>965</v>
      </c>
      <c r="C429" s="9" t="e">
        <f>VLOOKUP(A429,[2]Planilha1!$A:$B,2,0)</f>
        <v>#N/A</v>
      </c>
      <c r="D429" s="10">
        <f>SUMIF([1]Relatório!$A$2:$A$2653,A429,[1]Relatório!$AK$2:$AK$2653)</f>
        <v>354</v>
      </c>
      <c r="E429" s="11">
        <f t="shared" si="12"/>
        <v>0.000605172687906974</v>
      </c>
      <c r="F429" s="11">
        <f>SUM($E$7:E429)</f>
        <v>0.784961971563721</v>
      </c>
      <c r="G429" s="12" t="str">
        <f t="shared" si="13"/>
        <v>B</v>
      </c>
      <c r="H429" s="9" t="s">
        <v>117</v>
      </c>
      <c r="I429" s="9" t="s">
        <v>966</v>
      </c>
      <c r="J429" s="9" t="s">
        <v>281</v>
      </c>
      <c r="K429" s="10" t="str">
        <f>IFERROR(VLOOKUP(A429,'Pedido ESTHER'!$B:$C,2,0),"")</f>
        <v/>
      </c>
      <c r="L429" s="12" t="str">
        <f>IF(N(K429)&gt;0,"COMPRA","NÃO COMPRA")</f>
        <v>NÃO COMPRA</v>
      </c>
    </row>
    <row r="430" spans="1:12">
      <c r="A430" s="8" t="s">
        <v>967</v>
      </c>
      <c r="B430" s="9" t="s">
        <v>968</v>
      </c>
      <c r="C430" s="9" t="e">
        <f>VLOOKUP(A430,[2]Planilha1!$A:$B,2,0)</f>
        <v>#N/A</v>
      </c>
      <c r="D430" s="10">
        <f>SUMIF([1]Relatório!$A$2:$A$2653,A430,[1]Relatório!$AK$2:$AK$2653)</f>
        <v>354</v>
      </c>
      <c r="E430" s="11">
        <f t="shared" si="12"/>
        <v>0.000605172687906974</v>
      </c>
      <c r="F430" s="11">
        <f>SUM($E$7:E430)</f>
        <v>0.785567144251628</v>
      </c>
      <c r="G430" s="12" t="str">
        <f t="shared" si="13"/>
        <v>B</v>
      </c>
      <c r="H430" s="9" t="s">
        <v>776</v>
      </c>
      <c r="I430" s="9"/>
      <c r="J430" s="9" t="s">
        <v>359</v>
      </c>
      <c r="K430" s="10" t="str">
        <f>IFERROR(VLOOKUP(A430,'Pedido ESTHER'!$B:$C,2,0),"")</f>
        <v/>
      </c>
      <c r="L430" s="12" t="str">
        <f>IF(N(K430)&gt;0,"COMPRA","NÃO COMPRA")</f>
        <v>NÃO COMPRA</v>
      </c>
    </row>
    <row r="431" spans="1:12">
      <c r="A431" s="8" t="s">
        <v>969</v>
      </c>
      <c r="B431" s="9" t="s">
        <v>970</v>
      </c>
      <c r="C431" s="9" t="e">
        <f>VLOOKUP(A431,[2]Planilha1!$A:$B,2,0)</f>
        <v>#N/A</v>
      </c>
      <c r="D431" s="10">
        <f>SUMIF([1]Relatório!$A$2:$A$2653,A431,[1]Relatório!$AK$2:$AK$2653)</f>
        <v>354</v>
      </c>
      <c r="E431" s="11">
        <f t="shared" si="12"/>
        <v>0.000605172687906974</v>
      </c>
      <c r="F431" s="11">
        <f>SUM($E$7:E431)</f>
        <v>0.786172316939535</v>
      </c>
      <c r="G431" s="12" t="str">
        <f t="shared" si="13"/>
        <v>B</v>
      </c>
      <c r="H431" s="9" t="s">
        <v>183</v>
      </c>
      <c r="I431" s="9" t="s">
        <v>971</v>
      </c>
      <c r="J431" s="9" t="s">
        <v>101</v>
      </c>
      <c r="K431" s="10" t="str">
        <f>IFERROR(VLOOKUP(A431,'Pedido ESTHER'!$B:$C,2,0),"")</f>
        <v/>
      </c>
      <c r="L431" s="12" t="str">
        <f>IF(N(K431)&gt;0,"COMPRA","NÃO COMPRA")</f>
        <v>NÃO COMPRA</v>
      </c>
    </row>
    <row r="432" spans="1:12">
      <c r="A432" s="8" t="s">
        <v>972</v>
      </c>
      <c r="B432" s="9" t="s">
        <v>91</v>
      </c>
      <c r="C432" s="9" t="e">
        <f>VLOOKUP(A432,[2]Planilha1!$A:$B,2,0)</f>
        <v>#N/A</v>
      </c>
      <c r="D432" s="10">
        <f>SUMIF([1]Relatório!$A$2:$A$2653,A432,[1]Relatório!$AK$2:$AK$2653)</f>
        <v>354</v>
      </c>
      <c r="E432" s="11">
        <f t="shared" si="12"/>
        <v>0.000605172687906974</v>
      </c>
      <c r="F432" s="11">
        <f>SUM($E$7:E432)</f>
        <v>0.786777489627442</v>
      </c>
      <c r="G432" s="12" t="str">
        <f t="shared" si="13"/>
        <v>B</v>
      </c>
      <c r="H432" s="9" t="s">
        <v>74</v>
      </c>
      <c r="I432" s="9" t="s">
        <v>973</v>
      </c>
      <c r="J432" s="9" t="s">
        <v>974</v>
      </c>
      <c r="K432" s="10" t="str">
        <f>IFERROR(VLOOKUP(A432,'Pedido ESTHER'!$B:$C,2,0),"")</f>
        <v/>
      </c>
      <c r="L432" s="12" t="str">
        <f>IF(N(K432)&gt;0,"COMPRA","NÃO COMPRA")</f>
        <v>NÃO COMPRA</v>
      </c>
    </row>
    <row r="433" spans="1:12">
      <c r="A433" s="8" t="s">
        <v>975</v>
      </c>
      <c r="B433" s="9" t="s">
        <v>771</v>
      </c>
      <c r="C433" s="9" t="e">
        <f>VLOOKUP(A433,[2]Planilha1!$A:$B,2,0)</f>
        <v>#N/A</v>
      </c>
      <c r="D433" s="10">
        <f>SUMIF([1]Relatório!$A$2:$A$2653,A433,[1]Relatório!$AK$2:$AK$2653)</f>
        <v>353</v>
      </c>
      <c r="E433" s="11">
        <f t="shared" si="12"/>
        <v>0.000603463160540005</v>
      </c>
      <c r="F433" s="11">
        <f>SUM($E$7:E433)</f>
        <v>0.787380952787982</v>
      </c>
      <c r="G433" s="12" t="str">
        <f t="shared" si="13"/>
        <v>B</v>
      </c>
      <c r="H433" s="9" t="s">
        <v>112</v>
      </c>
      <c r="I433" s="9" t="s">
        <v>976</v>
      </c>
      <c r="J433" s="9" t="s">
        <v>64</v>
      </c>
      <c r="K433" s="10" t="str">
        <f>IFERROR(VLOOKUP(A433,'Pedido ESTHER'!$B:$C,2,0),"")</f>
        <v/>
      </c>
      <c r="L433" s="12" t="str">
        <f>IF(N(K433)&gt;0,"COMPRA","NÃO COMPRA")</f>
        <v>NÃO COMPRA</v>
      </c>
    </row>
    <row r="434" spans="1:12">
      <c r="A434" s="8" t="s">
        <v>977</v>
      </c>
      <c r="B434" s="9" t="s">
        <v>42</v>
      </c>
      <c r="C434" s="9" t="e">
        <f>VLOOKUP(A434,[2]Planilha1!$A:$B,2,0)</f>
        <v>#N/A</v>
      </c>
      <c r="D434" s="10">
        <f>SUMIF([1]Relatório!$A$2:$A$2653,A434,[1]Relatório!$AK$2:$AK$2653)</f>
        <v>350</v>
      </c>
      <c r="E434" s="11">
        <f t="shared" si="12"/>
        <v>0.000598334578439099</v>
      </c>
      <c r="F434" s="11">
        <f>SUM($E$7:E434)</f>
        <v>0.787979287366421</v>
      </c>
      <c r="G434" s="12" t="str">
        <f t="shared" si="13"/>
        <v>B</v>
      </c>
      <c r="H434" s="9" t="s">
        <v>21</v>
      </c>
      <c r="I434" s="9" t="s">
        <v>978</v>
      </c>
      <c r="J434" s="9" t="s">
        <v>44</v>
      </c>
      <c r="K434" s="10" t="str">
        <f>IFERROR(VLOOKUP(A434,'Pedido ESTHER'!$B:$C,2,0),"")</f>
        <v/>
      </c>
      <c r="L434" s="12" t="str">
        <f>IF(N(K434)&gt;0,"COMPRA","NÃO COMPRA")</f>
        <v>NÃO COMPRA</v>
      </c>
    </row>
    <row r="435" spans="1:12">
      <c r="A435" s="8" t="s">
        <v>979</v>
      </c>
      <c r="B435" s="9" t="s">
        <v>365</v>
      </c>
      <c r="C435" s="9" t="e">
        <f>VLOOKUP(A435,[2]Planilha1!$A:$B,2,0)</f>
        <v>#N/A</v>
      </c>
      <c r="D435" s="10">
        <f>SUMIF([1]Relatório!$A$2:$A$2653,A435,[1]Relatório!$AK$2:$AK$2653)</f>
        <v>350</v>
      </c>
      <c r="E435" s="11">
        <f t="shared" si="12"/>
        <v>0.000598334578439099</v>
      </c>
      <c r="F435" s="11">
        <f>SUM($E$7:E435)</f>
        <v>0.78857762194486</v>
      </c>
      <c r="G435" s="12" t="str">
        <f t="shared" si="13"/>
        <v>B</v>
      </c>
      <c r="H435" s="9" t="s">
        <v>18</v>
      </c>
      <c r="I435" s="9"/>
      <c r="J435" s="9" t="s">
        <v>23</v>
      </c>
      <c r="K435" s="10" t="str">
        <f>IFERROR(VLOOKUP(A435,'Pedido ESTHER'!$B:$C,2,0),"")</f>
        <v/>
      </c>
      <c r="L435" s="12" t="str">
        <f>IF(N(K435)&gt;0,"COMPRA","NÃO COMPRA")</f>
        <v>NÃO COMPRA</v>
      </c>
    </row>
    <row r="436" spans="1:12">
      <c r="A436" s="8" t="s">
        <v>980</v>
      </c>
      <c r="B436" s="9" t="s">
        <v>602</v>
      </c>
      <c r="C436" s="9" t="e">
        <f>VLOOKUP(A436,[2]Planilha1!$A:$B,2,0)</f>
        <v>#N/A</v>
      </c>
      <c r="D436" s="10">
        <f>SUMIF([1]Relatório!$A$2:$A$2653,A436,[1]Relatório!$AK$2:$AK$2653)</f>
        <v>350</v>
      </c>
      <c r="E436" s="11">
        <f t="shared" si="12"/>
        <v>0.000598334578439099</v>
      </c>
      <c r="F436" s="11">
        <f>SUM($E$7:E436)</f>
        <v>0.7891759565233</v>
      </c>
      <c r="G436" s="12" t="str">
        <f t="shared" si="13"/>
        <v>B</v>
      </c>
      <c r="H436" s="9" t="s">
        <v>183</v>
      </c>
      <c r="I436" s="9" t="s">
        <v>981</v>
      </c>
      <c r="J436" s="9" t="s">
        <v>213</v>
      </c>
      <c r="K436" s="10" t="str">
        <f>IFERROR(VLOOKUP(A436,'Pedido ESTHER'!$B:$C,2,0),"")</f>
        <v/>
      </c>
      <c r="L436" s="12" t="str">
        <f>IF(N(K436)&gt;0,"COMPRA","NÃO COMPRA")</f>
        <v>NÃO COMPRA</v>
      </c>
    </row>
    <row r="437" spans="1:12">
      <c r="A437" s="8" t="s">
        <v>982</v>
      </c>
      <c r="B437" s="9" t="s">
        <v>42</v>
      </c>
      <c r="C437" s="9" t="e">
        <f>VLOOKUP(A437,[2]Planilha1!$A:$B,2,0)</f>
        <v>#N/A</v>
      </c>
      <c r="D437" s="10">
        <f>SUMIF([1]Relatório!$A$2:$A$2653,A437,[1]Relatório!$AK$2:$AK$2653)</f>
        <v>348</v>
      </c>
      <c r="E437" s="11">
        <f t="shared" si="12"/>
        <v>0.000594915523705161</v>
      </c>
      <c r="F437" s="11">
        <f>SUM($E$7:E437)</f>
        <v>0.789770872047005</v>
      </c>
      <c r="G437" s="12" t="str">
        <f t="shared" si="13"/>
        <v>B</v>
      </c>
      <c r="H437" s="9" t="s">
        <v>21</v>
      </c>
      <c r="I437" s="9" t="s">
        <v>983</v>
      </c>
      <c r="J437" s="9" t="s">
        <v>44</v>
      </c>
      <c r="K437" s="10" t="str">
        <f>IFERROR(VLOOKUP(A437,'Pedido ESTHER'!$B:$C,2,0),"")</f>
        <v/>
      </c>
      <c r="L437" s="12" t="str">
        <f>IF(N(K437)&gt;0,"COMPRA","NÃO COMPRA")</f>
        <v>NÃO COMPRA</v>
      </c>
    </row>
    <row r="438" spans="1:12">
      <c r="A438" s="8" t="s">
        <v>984</v>
      </c>
      <c r="B438" s="9" t="s">
        <v>211</v>
      </c>
      <c r="C438" s="9" t="e">
        <f>VLOOKUP(A438,[2]Planilha1!$A:$B,2,0)</f>
        <v>#N/A</v>
      </c>
      <c r="D438" s="10">
        <f>SUMIF([1]Relatório!$A$2:$A$2653,A438,[1]Relatório!$AK$2:$AK$2653)</f>
        <v>347</v>
      </c>
      <c r="E438" s="11">
        <f t="shared" si="12"/>
        <v>0.000593205996338192</v>
      </c>
      <c r="F438" s="11">
        <f>SUM($E$7:E438)</f>
        <v>0.790364078043343</v>
      </c>
      <c r="G438" s="12" t="str">
        <f t="shared" si="13"/>
        <v>B</v>
      </c>
      <c r="H438" s="9" t="s">
        <v>21</v>
      </c>
      <c r="I438" s="9"/>
      <c r="J438" s="9" t="s">
        <v>213</v>
      </c>
      <c r="K438" s="10" t="str">
        <f>IFERROR(VLOOKUP(A438,'Pedido ESTHER'!$B:$C,2,0),"")</f>
        <v/>
      </c>
      <c r="L438" s="12" t="str">
        <f>IF(N(K438)&gt;0,"COMPRA","NÃO COMPRA")</f>
        <v>NÃO COMPRA</v>
      </c>
    </row>
    <row r="439" spans="1:12">
      <c r="A439" s="8" t="s">
        <v>985</v>
      </c>
      <c r="B439" s="9" t="s">
        <v>986</v>
      </c>
      <c r="C439" s="9" t="e">
        <f>VLOOKUP(A439,[2]Planilha1!$A:$B,2,0)</f>
        <v>#N/A</v>
      </c>
      <c r="D439" s="10">
        <f>SUMIF([1]Relatório!$A$2:$A$2653,A439,[1]Relatório!$AK$2:$AK$2653)</f>
        <v>346</v>
      </c>
      <c r="E439" s="11">
        <f t="shared" si="12"/>
        <v>0.000591496468971224</v>
      </c>
      <c r="F439" s="11">
        <f>SUM($E$7:E439)</f>
        <v>0.790955574512314</v>
      </c>
      <c r="G439" s="12" t="str">
        <f t="shared" si="13"/>
        <v>B</v>
      </c>
      <c r="H439" s="9" t="s">
        <v>112</v>
      </c>
      <c r="I439" s="9" t="s">
        <v>987</v>
      </c>
      <c r="J439" s="9" t="s">
        <v>36</v>
      </c>
      <c r="K439" s="10" t="str">
        <f>IFERROR(VLOOKUP(A439,'Pedido ESTHER'!$B:$C,2,0),"")</f>
        <v/>
      </c>
      <c r="L439" s="12" t="str">
        <f>IF(N(K439)&gt;0,"COMPRA","NÃO COMPRA")</f>
        <v>NÃO COMPRA</v>
      </c>
    </row>
    <row r="440" spans="1:12">
      <c r="A440" s="8" t="s">
        <v>988</v>
      </c>
      <c r="B440" s="9" t="s">
        <v>177</v>
      </c>
      <c r="C440" s="9" t="e">
        <f>VLOOKUP(A440,[2]Planilha1!$A:$B,2,0)</f>
        <v>#N/A</v>
      </c>
      <c r="D440" s="10">
        <f>SUMIF([1]Relatório!$A$2:$A$2653,A440,[1]Relatório!$AK$2:$AK$2653)</f>
        <v>345</v>
      </c>
      <c r="E440" s="11">
        <f t="shared" si="12"/>
        <v>0.000589786941604255</v>
      </c>
      <c r="F440" s="11">
        <f>SUM($E$7:E440)</f>
        <v>0.791545361453918</v>
      </c>
      <c r="G440" s="12" t="str">
        <f t="shared" si="13"/>
        <v>B</v>
      </c>
      <c r="H440" s="9" t="s">
        <v>21</v>
      </c>
      <c r="I440" s="9"/>
      <c r="J440" s="9" t="s">
        <v>36</v>
      </c>
      <c r="K440" s="10" t="str">
        <f>IFERROR(VLOOKUP(A440,'Pedido ESTHER'!$B:$C,2,0),"")</f>
        <v/>
      </c>
      <c r="L440" s="12" t="str">
        <f>IF(N(K440)&gt;0,"COMPRA","NÃO COMPRA")</f>
        <v>NÃO COMPRA</v>
      </c>
    </row>
    <row r="441" spans="1:12">
      <c r="A441" s="8" t="s">
        <v>989</v>
      </c>
      <c r="B441" s="9" t="s">
        <v>990</v>
      </c>
      <c r="C441" s="9" t="e">
        <f>VLOOKUP(A441,[2]Planilha1!$A:$B,2,0)</f>
        <v>#N/A</v>
      </c>
      <c r="D441" s="10">
        <f>SUMIF([1]Relatório!$A$2:$A$2653,A441,[1]Relatório!$AK$2:$AK$2653)</f>
        <v>344</v>
      </c>
      <c r="E441" s="11">
        <f t="shared" si="12"/>
        <v>0.000588077414237286</v>
      </c>
      <c r="F441" s="11">
        <f>SUM($E$7:E441)</f>
        <v>0.792133438868156</v>
      </c>
      <c r="G441" s="12" t="str">
        <f t="shared" si="13"/>
        <v>B</v>
      </c>
      <c r="H441" s="9" t="s">
        <v>183</v>
      </c>
      <c r="I441" s="9"/>
      <c r="J441" s="9" t="s">
        <v>916</v>
      </c>
      <c r="K441" s="10" t="str">
        <f>IFERROR(VLOOKUP(A441,'Pedido ESTHER'!$B:$C,2,0),"")</f>
        <v/>
      </c>
      <c r="L441" s="12" t="str">
        <f>IF(N(K441)&gt;0,"COMPRA","NÃO COMPRA")</f>
        <v>NÃO COMPRA</v>
      </c>
    </row>
    <row r="442" spans="1:12">
      <c r="A442" s="8" t="s">
        <v>991</v>
      </c>
      <c r="B442" s="9" t="s">
        <v>681</v>
      </c>
      <c r="C442" s="9" t="e">
        <f>VLOOKUP(A442,[2]Planilha1!$A:$B,2,0)</f>
        <v>#N/A</v>
      </c>
      <c r="D442" s="10">
        <f>SUMIF([1]Relatório!$A$2:$A$2653,A442,[1]Relatório!$AK$2:$AK$2653)</f>
        <v>341</v>
      </c>
      <c r="E442" s="11">
        <f t="shared" si="12"/>
        <v>0.000582948832136379</v>
      </c>
      <c r="F442" s="11">
        <f>SUM($E$7:E442)</f>
        <v>0.792716387700292</v>
      </c>
      <c r="G442" s="12" t="str">
        <f t="shared" si="13"/>
        <v>B</v>
      </c>
      <c r="H442" s="9" t="s">
        <v>183</v>
      </c>
      <c r="I442" s="9"/>
      <c r="J442" s="9" t="s">
        <v>281</v>
      </c>
      <c r="K442" s="10" t="str">
        <f>IFERROR(VLOOKUP(A442,'Pedido ESTHER'!$B:$C,2,0),"")</f>
        <v/>
      </c>
      <c r="L442" s="12" t="str">
        <f>IF(N(K442)&gt;0,"COMPRA","NÃO COMPRA")</f>
        <v>NÃO COMPRA</v>
      </c>
    </row>
    <row r="443" spans="1:12">
      <c r="A443" s="8" t="s">
        <v>992</v>
      </c>
      <c r="B443" s="9" t="s">
        <v>349</v>
      </c>
      <c r="C443" s="9" t="e">
        <f>VLOOKUP(A443,[2]Planilha1!$A:$B,2,0)</f>
        <v>#N/A</v>
      </c>
      <c r="D443" s="10">
        <f>SUMIF([1]Relatório!$A$2:$A$2653,A443,[1]Relatório!$AK$2:$AK$2653)</f>
        <v>339</v>
      </c>
      <c r="E443" s="11">
        <f t="shared" si="12"/>
        <v>0.000579529777402442</v>
      </c>
      <c r="F443" s="11">
        <f>SUM($E$7:E443)</f>
        <v>0.793295917477694</v>
      </c>
      <c r="G443" s="12" t="str">
        <f t="shared" si="13"/>
        <v>B</v>
      </c>
      <c r="H443" s="9" t="s">
        <v>18</v>
      </c>
      <c r="I443" s="9"/>
      <c r="J443" s="9" t="s">
        <v>164</v>
      </c>
      <c r="K443" s="10" t="str">
        <f>IFERROR(VLOOKUP(A443,'Pedido ESTHER'!$B:$C,2,0),"")</f>
        <v/>
      </c>
      <c r="L443" s="12" t="str">
        <f>IF(N(K443)&gt;0,"COMPRA","NÃO COMPRA")</f>
        <v>NÃO COMPRA</v>
      </c>
    </row>
    <row r="444" spans="1:12">
      <c r="A444" s="8" t="s">
        <v>993</v>
      </c>
      <c r="B444" s="9" t="s">
        <v>162</v>
      </c>
      <c r="C444" s="9" t="e">
        <f>VLOOKUP(A444,[2]Planilha1!$A:$B,2,0)</f>
        <v>#N/A</v>
      </c>
      <c r="D444" s="10">
        <f>SUMIF([1]Relatório!$A$2:$A$2653,A444,[1]Relatório!$AK$2:$AK$2653)</f>
        <v>336</v>
      </c>
      <c r="E444" s="11">
        <f t="shared" si="12"/>
        <v>0.000574401195301535</v>
      </c>
      <c r="F444" s="11">
        <f>SUM($E$7:E444)</f>
        <v>0.793870318672996</v>
      </c>
      <c r="G444" s="12" t="str">
        <f t="shared" si="13"/>
        <v>B</v>
      </c>
      <c r="H444" s="9" t="s">
        <v>21</v>
      </c>
      <c r="I444" s="9" t="s">
        <v>994</v>
      </c>
      <c r="J444" s="9" t="s">
        <v>164</v>
      </c>
      <c r="K444" s="10" t="str">
        <f>IFERROR(VLOOKUP(A444,'Pedido ESTHER'!$B:$C,2,0),"")</f>
        <v/>
      </c>
      <c r="L444" s="12" t="str">
        <f>IF(N(K444)&gt;0,"COMPRA","NÃO COMPRA")</f>
        <v>NÃO COMPRA</v>
      </c>
    </row>
    <row r="445" spans="1:12">
      <c r="A445" s="8" t="s">
        <v>995</v>
      </c>
      <c r="B445" s="9" t="s">
        <v>388</v>
      </c>
      <c r="C445" s="9" t="e">
        <f>VLOOKUP(A445,[2]Planilha1!$A:$B,2,0)</f>
        <v>#N/A</v>
      </c>
      <c r="D445" s="10">
        <f>SUMIF([1]Relatório!$A$2:$A$2653,A445,[1]Relatório!$AK$2:$AK$2653)</f>
        <v>336</v>
      </c>
      <c r="E445" s="11">
        <f t="shared" si="12"/>
        <v>0.000574401195301535</v>
      </c>
      <c r="F445" s="11">
        <f>SUM($E$7:E445)</f>
        <v>0.794444719868297</v>
      </c>
      <c r="G445" s="12" t="str">
        <f t="shared" si="13"/>
        <v>B</v>
      </c>
      <c r="H445" s="9" t="s">
        <v>21</v>
      </c>
      <c r="I445" s="9"/>
      <c r="J445" s="9" t="s">
        <v>390</v>
      </c>
      <c r="K445" s="10" t="str">
        <f>IFERROR(VLOOKUP(A445,'Pedido ESTHER'!$B:$C,2,0),"")</f>
        <v/>
      </c>
      <c r="L445" s="12" t="str">
        <f>IF(N(K445)&gt;0,"COMPRA","NÃO COMPRA")</f>
        <v>NÃO COMPRA</v>
      </c>
    </row>
    <row r="446" spans="1:12">
      <c r="A446" s="8" t="s">
        <v>996</v>
      </c>
      <c r="B446" s="9" t="s">
        <v>56</v>
      </c>
      <c r="C446" s="9" t="e">
        <f>VLOOKUP(A446,[2]Planilha1!$A:$B,2,0)</f>
        <v>#N/A</v>
      </c>
      <c r="D446" s="10">
        <f>SUMIF([1]Relatório!$A$2:$A$2653,A446,[1]Relatório!$AK$2:$AK$2653)</f>
        <v>335</v>
      </c>
      <c r="E446" s="11">
        <f t="shared" si="12"/>
        <v>0.000572691667934566</v>
      </c>
      <c r="F446" s="11">
        <f>SUM($E$7:E446)</f>
        <v>0.795017411536232</v>
      </c>
      <c r="G446" s="12" t="str">
        <f t="shared" si="13"/>
        <v>B</v>
      </c>
      <c r="H446" s="9" t="s">
        <v>21</v>
      </c>
      <c r="I446" s="9" t="s">
        <v>997</v>
      </c>
      <c r="J446" s="9" t="s">
        <v>64</v>
      </c>
      <c r="K446" s="10" t="str">
        <f>IFERROR(VLOOKUP(A446,'Pedido ESTHER'!$B:$C,2,0),"")</f>
        <v/>
      </c>
      <c r="L446" s="12" t="str">
        <f>IF(N(K446)&gt;0,"COMPRA","NÃO COMPRA")</f>
        <v>NÃO COMPRA</v>
      </c>
    </row>
    <row r="447" spans="1:12">
      <c r="A447" s="8" t="s">
        <v>998</v>
      </c>
      <c r="B447" s="9" t="s">
        <v>103</v>
      </c>
      <c r="C447" s="9" t="e">
        <f>VLOOKUP(A447,[2]Planilha1!$A:$B,2,0)</f>
        <v>#N/A</v>
      </c>
      <c r="D447" s="10">
        <f>SUMIF([1]Relatório!$A$2:$A$2653,A447,[1]Relatório!$AK$2:$AK$2653)</f>
        <v>333</v>
      </c>
      <c r="E447" s="11">
        <f t="shared" si="12"/>
        <v>0.000569272613200628</v>
      </c>
      <c r="F447" s="11">
        <f>SUM($E$7:E447)</f>
        <v>0.795586684149433</v>
      </c>
      <c r="G447" s="12" t="str">
        <f t="shared" si="13"/>
        <v>B</v>
      </c>
      <c r="H447" s="9" t="s">
        <v>18</v>
      </c>
      <c r="I447" s="9" t="s">
        <v>999</v>
      </c>
      <c r="J447" s="9" t="s">
        <v>44</v>
      </c>
      <c r="K447" s="10" t="str">
        <f>IFERROR(VLOOKUP(A447,'Pedido ESTHER'!$B:$C,2,0),"")</f>
        <v/>
      </c>
      <c r="L447" s="12" t="str">
        <f>IF(N(K447)&gt;0,"COMPRA","NÃO COMPRA")</f>
        <v>NÃO COMPRA</v>
      </c>
    </row>
    <row r="448" spans="1:12">
      <c r="A448" s="8" t="s">
        <v>1000</v>
      </c>
      <c r="B448" s="9" t="s">
        <v>103</v>
      </c>
      <c r="C448" s="9" t="e">
        <f>VLOOKUP(A448,[2]Planilha1!$A:$B,2,0)</f>
        <v>#N/A</v>
      </c>
      <c r="D448" s="10">
        <f>SUMIF([1]Relatório!$A$2:$A$2653,A448,[1]Relatório!$AK$2:$AK$2653)</f>
        <v>333</v>
      </c>
      <c r="E448" s="11">
        <f t="shared" si="12"/>
        <v>0.000569272613200628</v>
      </c>
      <c r="F448" s="11">
        <f>SUM($E$7:E448)</f>
        <v>0.796155956762633</v>
      </c>
      <c r="G448" s="12" t="str">
        <f t="shared" si="13"/>
        <v>B</v>
      </c>
      <c r="H448" s="9" t="s">
        <v>18</v>
      </c>
      <c r="I448" s="9" t="s">
        <v>1001</v>
      </c>
      <c r="J448" s="9" t="s">
        <v>44</v>
      </c>
      <c r="K448" s="10" t="str">
        <f>IFERROR(VLOOKUP(A448,'Pedido ESTHER'!$B:$C,2,0),"")</f>
        <v/>
      </c>
      <c r="L448" s="12" t="str">
        <f>IF(N(K448)&gt;0,"COMPRA","NÃO COMPRA")</f>
        <v>NÃO COMPRA</v>
      </c>
    </row>
    <row r="449" spans="1:12">
      <c r="A449" s="8" t="s">
        <v>1002</v>
      </c>
      <c r="B449" s="9" t="s">
        <v>630</v>
      </c>
      <c r="C449" s="9" t="e">
        <f>VLOOKUP(A449,[2]Planilha1!$A:$B,2,0)</f>
        <v>#N/A</v>
      </c>
      <c r="D449" s="10">
        <f>SUMIF([1]Relatório!$A$2:$A$2653,A449,[1]Relatório!$AK$2:$AK$2653)</f>
        <v>333</v>
      </c>
      <c r="E449" s="11">
        <f t="shared" si="12"/>
        <v>0.000569272613200628</v>
      </c>
      <c r="F449" s="11">
        <f>SUM($E$7:E449)</f>
        <v>0.796725229375834</v>
      </c>
      <c r="G449" s="12" t="str">
        <f t="shared" si="13"/>
        <v>B</v>
      </c>
      <c r="H449" s="9" t="s">
        <v>117</v>
      </c>
      <c r="I449" s="9" t="s">
        <v>1003</v>
      </c>
      <c r="J449" s="9" t="s">
        <v>58</v>
      </c>
      <c r="K449" s="10" t="str">
        <f>IFERROR(VLOOKUP(A449,'Pedido ESTHER'!$B:$C,2,0),"")</f>
        <v/>
      </c>
      <c r="L449" s="12" t="str">
        <f>IF(N(K449)&gt;0,"COMPRA","NÃO COMPRA")</f>
        <v>NÃO COMPRA</v>
      </c>
    </row>
    <row r="450" spans="1:12">
      <c r="A450" s="8" t="s">
        <v>1004</v>
      </c>
      <c r="B450" s="9" t="s">
        <v>1005</v>
      </c>
      <c r="C450" s="9" t="e">
        <f>VLOOKUP(A450,[2]Planilha1!$A:$B,2,0)</f>
        <v>#N/A</v>
      </c>
      <c r="D450" s="10">
        <f>SUMIF([1]Relatório!$A$2:$A$2653,A450,[1]Relatório!$AK$2:$AK$2653)</f>
        <v>332</v>
      </c>
      <c r="E450" s="11">
        <f t="shared" si="12"/>
        <v>0.00056756308583366</v>
      </c>
      <c r="F450" s="11">
        <f>SUM($E$7:E450)</f>
        <v>0.797292792461668</v>
      </c>
      <c r="G450" s="12" t="str">
        <f t="shared" si="13"/>
        <v>B</v>
      </c>
      <c r="H450" s="9" t="s">
        <v>586</v>
      </c>
      <c r="I450" s="9"/>
      <c r="J450" s="9" t="s">
        <v>671</v>
      </c>
      <c r="K450" s="10" t="str">
        <f>IFERROR(VLOOKUP(A450,'Pedido ESTHER'!$B:$C,2,0),"")</f>
        <v/>
      </c>
      <c r="L450" s="12" t="str">
        <f>IF(N(K450)&gt;0,"COMPRA","NÃO COMPRA")</f>
        <v>NÃO COMPRA</v>
      </c>
    </row>
    <row r="451" spans="1:12">
      <c r="A451" s="8" t="s">
        <v>1006</v>
      </c>
      <c r="B451" s="9" t="s">
        <v>154</v>
      </c>
      <c r="C451" s="9" t="e">
        <f>VLOOKUP(A451,[2]Planilha1!$A:$B,2,0)</f>
        <v>#N/A</v>
      </c>
      <c r="D451" s="10">
        <f>SUMIF([1]Relatório!$A$2:$A$2653,A451,[1]Relatório!$AK$2:$AK$2653)</f>
        <v>330</v>
      </c>
      <c r="E451" s="11">
        <f t="shared" si="12"/>
        <v>0.000564144031099722</v>
      </c>
      <c r="F451" s="11">
        <f>SUM($E$7:E451)</f>
        <v>0.797856936492767</v>
      </c>
      <c r="G451" s="12" t="str">
        <f t="shared" si="13"/>
        <v>B</v>
      </c>
      <c r="H451" s="9" t="s">
        <v>117</v>
      </c>
      <c r="I451" s="9" t="s">
        <v>1007</v>
      </c>
      <c r="J451" s="9" t="s">
        <v>44</v>
      </c>
      <c r="K451" s="10" t="str">
        <f>IFERROR(VLOOKUP(A451,'Pedido ESTHER'!$B:$C,2,0),"")</f>
        <v/>
      </c>
      <c r="L451" s="12" t="str">
        <f>IF(N(K451)&gt;0,"COMPRA","NÃO COMPRA")</f>
        <v>NÃO COMPRA</v>
      </c>
    </row>
    <row r="452" spans="1:12">
      <c r="A452" s="8" t="s">
        <v>1008</v>
      </c>
      <c r="B452" s="9" t="s">
        <v>162</v>
      </c>
      <c r="C452" s="9" t="e">
        <f>VLOOKUP(A452,[2]Planilha1!$A:$B,2,0)</f>
        <v>#N/A</v>
      </c>
      <c r="D452" s="10">
        <f>SUMIF([1]Relatório!$A$2:$A$2653,A452,[1]Relatório!$AK$2:$AK$2653)</f>
        <v>330</v>
      </c>
      <c r="E452" s="11">
        <f t="shared" si="12"/>
        <v>0.000564144031099722</v>
      </c>
      <c r="F452" s="11">
        <f>SUM($E$7:E452)</f>
        <v>0.798421080523867</v>
      </c>
      <c r="G452" s="12" t="str">
        <f t="shared" si="13"/>
        <v>B</v>
      </c>
      <c r="H452" s="9" t="s">
        <v>21</v>
      </c>
      <c r="I452" s="9" t="s">
        <v>1009</v>
      </c>
      <c r="J452" s="9" t="s">
        <v>164</v>
      </c>
      <c r="K452" s="10" t="str">
        <f>IFERROR(VLOOKUP(A452,'Pedido ESTHER'!$B:$C,2,0),"")</f>
        <v/>
      </c>
      <c r="L452" s="12" t="str">
        <f>IF(N(K452)&gt;0,"COMPRA","NÃO COMPRA")</f>
        <v>NÃO COMPRA</v>
      </c>
    </row>
    <row r="453" spans="1:12">
      <c r="A453" s="8" t="s">
        <v>1010</v>
      </c>
      <c r="B453" s="9" t="s">
        <v>51</v>
      </c>
      <c r="C453" s="9" t="e">
        <f>VLOOKUP(A453,[2]Planilha1!$A:$B,2,0)</f>
        <v>#N/A</v>
      </c>
      <c r="D453" s="10">
        <f>SUMIF([1]Relatório!$A$2:$A$2653,A453,[1]Relatório!$AK$2:$AK$2653)</f>
        <v>328</v>
      </c>
      <c r="E453" s="11">
        <f t="shared" si="12"/>
        <v>0.000560724976365784</v>
      </c>
      <c r="F453" s="11">
        <f>SUM($E$7:E453)</f>
        <v>0.798981805500233</v>
      </c>
      <c r="G453" s="12" t="str">
        <f t="shared" si="13"/>
        <v>B</v>
      </c>
      <c r="H453" s="9" t="s">
        <v>21</v>
      </c>
      <c r="I453" s="9" t="s">
        <v>1011</v>
      </c>
      <c r="J453" s="9" t="s">
        <v>33</v>
      </c>
      <c r="K453" s="10" t="str">
        <f>IFERROR(VLOOKUP(A453,'Pedido ESTHER'!$B:$C,2,0),"")</f>
        <v/>
      </c>
      <c r="L453" s="12" t="str">
        <f>IF(N(K453)&gt;0,"COMPRA","NÃO COMPRA")</f>
        <v>NÃO COMPRA</v>
      </c>
    </row>
    <row r="454" spans="1:12">
      <c r="A454" s="8" t="s">
        <v>1012</v>
      </c>
      <c r="B454" s="9" t="s">
        <v>626</v>
      </c>
      <c r="C454" s="9" t="e">
        <f>VLOOKUP(A454,[2]Planilha1!$A:$B,2,0)</f>
        <v>#N/A</v>
      </c>
      <c r="D454" s="10">
        <f>SUMIF([1]Relatório!$A$2:$A$2653,A454,[1]Relatório!$AK$2:$AK$2653)</f>
        <v>328</v>
      </c>
      <c r="E454" s="11">
        <f t="shared" si="12"/>
        <v>0.000560724976365784</v>
      </c>
      <c r="F454" s="11">
        <f>SUM($E$7:E454)</f>
        <v>0.799542530476599</v>
      </c>
      <c r="G454" s="12" t="str">
        <f t="shared" si="13"/>
        <v>B</v>
      </c>
      <c r="H454" s="9" t="s">
        <v>117</v>
      </c>
      <c r="I454" s="9" t="s">
        <v>1013</v>
      </c>
      <c r="J454" s="9" t="s">
        <v>1014</v>
      </c>
      <c r="K454" s="10" t="str">
        <f>IFERROR(VLOOKUP(A454,'Pedido ESTHER'!$B:$C,2,0),"")</f>
        <v/>
      </c>
      <c r="L454" s="12" t="str">
        <f>IF(N(K454)&gt;0,"COMPRA","NÃO COMPRA")</f>
        <v>NÃO COMPRA</v>
      </c>
    </row>
    <row r="455" spans="1:12">
      <c r="A455" s="8" t="s">
        <v>1015</v>
      </c>
      <c r="B455" s="9" t="s">
        <v>566</v>
      </c>
      <c r="C455" s="9" t="e">
        <f>VLOOKUP(A455,[2]Planilha1!$A:$B,2,0)</f>
        <v>#N/A</v>
      </c>
      <c r="D455" s="10">
        <f>SUMIF([1]Relatório!$A$2:$A$2653,A455,[1]Relatório!$AK$2:$AK$2653)</f>
        <v>327</v>
      </c>
      <c r="E455" s="11">
        <f t="shared" si="12"/>
        <v>0.000559015448998815</v>
      </c>
      <c r="F455" s="11">
        <f>SUM($E$7:E455)</f>
        <v>0.800101545925597</v>
      </c>
      <c r="G455" s="12" t="str">
        <f t="shared" si="13"/>
        <v>B</v>
      </c>
      <c r="H455" s="9" t="s">
        <v>221</v>
      </c>
      <c r="I455" s="9" t="s">
        <v>1016</v>
      </c>
      <c r="J455" s="9" t="s">
        <v>1017</v>
      </c>
      <c r="K455" s="10">
        <f>IFERROR(VLOOKUP(A455,'Pedido ESTHER'!$B:$C,2,0),"")</f>
        <v>2</v>
      </c>
      <c r="L455" s="12" t="str">
        <f>IF(N(K455)&gt;0,"COMPRA","NÃO COMPRA")</f>
        <v>COMPRA</v>
      </c>
    </row>
    <row r="456" spans="1:12">
      <c r="A456" s="8" t="s">
        <v>1018</v>
      </c>
      <c r="B456" s="9" t="s">
        <v>27</v>
      </c>
      <c r="C456" s="9" t="e">
        <f>VLOOKUP(A456,[2]Planilha1!$A:$B,2,0)</f>
        <v>#N/A</v>
      </c>
      <c r="D456" s="10">
        <f>SUMIF([1]Relatório!$A$2:$A$2653,A456,[1]Relatório!$AK$2:$AK$2653)</f>
        <v>325</v>
      </c>
      <c r="E456" s="11">
        <f t="shared" ref="E456:E519" si="14">D456/SUM($D$7:$D$1708)</f>
        <v>0.000555596394264878</v>
      </c>
      <c r="F456" s="11">
        <f>SUM($E$7:E456)</f>
        <v>0.800657142319862</v>
      </c>
      <c r="G456" s="12" t="str">
        <f t="shared" ref="G456:G519" si="15">IF(F456&lt;=70%,"A",IF(F456&lt;=90%,"B","C"))</f>
        <v>B</v>
      </c>
      <c r="H456" s="9" t="s">
        <v>21</v>
      </c>
      <c r="I456" s="9"/>
      <c r="J456" s="9" t="s">
        <v>29</v>
      </c>
      <c r="K456" s="10" t="str">
        <f>IFERROR(VLOOKUP(A456,'Pedido ESTHER'!$B:$C,2,0),"")</f>
        <v/>
      </c>
      <c r="L456" s="12" t="str">
        <f>IF(N(K456)&gt;0,"COMPRA","NÃO COMPRA")</f>
        <v>NÃO COMPRA</v>
      </c>
    </row>
    <row r="457" spans="1:12">
      <c r="A457" s="8" t="s">
        <v>1019</v>
      </c>
      <c r="B457" s="9" t="s">
        <v>263</v>
      </c>
      <c r="C457" s="9" t="e">
        <f>VLOOKUP(A457,[2]Planilha1!$A:$B,2,0)</f>
        <v>#N/A</v>
      </c>
      <c r="D457" s="10">
        <f>SUMIF([1]Relatório!$A$2:$A$2653,A457,[1]Relatório!$AK$2:$AK$2653)</f>
        <v>325</v>
      </c>
      <c r="E457" s="11">
        <f t="shared" si="14"/>
        <v>0.000555596394264878</v>
      </c>
      <c r="F457" s="11">
        <f>SUM($E$7:E457)</f>
        <v>0.801212738714127</v>
      </c>
      <c r="G457" s="12" t="str">
        <f t="shared" si="15"/>
        <v>B</v>
      </c>
      <c r="H457" s="9" t="s">
        <v>117</v>
      </c>
      <c r="I457" s="9" t="s">
        <v>1020</v>
      </c>
      <c r="J457" s="9" t="s">
        <v>40</v>
      </c>
      <c r="K457" s="10" t="str">
        <f>IFERROR(VLOOKUP(A457,'Pedido ESTHER'!$B:$C,2,0),"")</f>
        <v/>
      </c>
      <c r="L457" s="12" t="str">
        <f>IF(N(K457)&gt;0,"COMPRA","NÃO COMPRA")</f>
        <v>NÃO COMPRA</v>
      </c>
    </row>
    <row r="458" spans="1:12">
      <c r="A458" s="8" t="s">
        <v>1021</v>
      </c>
      <c r="B458" s="9" t="s">
        <v>81</v>
      </c>
      <c r="C458" s="9" t="e">
        <f>VLOOKUP(A458,[2]Planilha1!$A:$B,2,0)</f>
        <v>#N/A</v>
      </c>
      <c r="D458" s="10">
        <f>SUMIF([1]Relatório!$A$2:$A$2653,A458,[1]Relatório!$AK$2:$AK$2653)</f>
        <v>324</v>
      </c>
      <c r="E458" s="11">
        <f t="shared" si="14"/>
        <v>0.000553886866897909</v>
      </c>
      <c r="F458" s="11">
        <f>SUM($E$7:E458)</f>
        <v>0.801766625581025</v>
      </c>
      <c r="G458" s="12" t="str">
        <f t="shared" si="15"/>
        <v>B</v>
      </c>
      <c r="H458" s="9" t="s">
        <v>82</v>
      </c>
      <c r="I458" s="9"/>
      <c r="J458" s="9" t="s">
        <v>83</v>
      </c>
      <c r="K458" s="10" t="str">
        <f>IFERROR(VLOOKUP(A458,'Pedido ESTHER'!$B:$C,2,0),"")</f>
        <v/>
      </c>
      <c r="L458" s="12" t="str">
        <f>IF(N(K458)&gt;0,"COMPRA","NÃO COMPRA")</f>
        <v>NÃO COMPRA</v>
      </c>
    </row>
    <row r="459" spans="1:12">
      <c r="A459" s="8" t="s">
        <v>1022</v>
      </c>
      <c r="B459" s="9" t="s">
        <v>1023</v>
      </c>
      <c r="C459" s="9" t="e">
        <f>VLOOKUP(A459,[2]Planilha1!$A:$B,2,0)</f>
        <v>#N/A</v>
      </c>
      <c r="D459" s="10">
        <f>SUMIF([1]Relatório!$A$2:$A$2653,A459,[1]Relatório!$AK$2:$AK$2653)</f>
        <v>324</v>
      </c>
      <c r="E459" s="11">
        <f t="shared" si="14"/>
        <v>0.000553886866897909</v>
      </c>
      <c r="F459" s="11">
        <f>SUM($E$7:E459)</f>
        <v>0.802320512447923</v>
      </c>
      <c r="G459" s="12" t="str">
        <f t="shared" si="15"/>
        <v>B</v>
      </c>
      <c r="H459" s="9" t="s">
        <v>183</v>
      </c>
      <c r="I459" s="9"/>
      <c r="J459" s="9" t="s">
        <v>1024</v>
      </c>
      <c r="K459" s="10" t="str">
        <f>IFERROR(VLOOKUP(A459,'Pedido ESTHER'!$B:$C,2,0),"")</f>
        <v/>
      </c>
      <c r="L459" s="12" t="str">
        <f>IF(N(K459)&gt;0,"COMPRA","NÃO COMPRA")</f>
        <v>NÃO COMPRA</v>
      </c>
    </row>
    <row r="460" spans="1:12">
      <c r="A460" s="8" t="s">
        <v>1025</v>
      </c>
      <c r="B460" s="9" t="s">
        <v>237</v>
      </c>
      <c r="C460" s="9" t="e">
        <f>VLOOKUP(A460,[2]Planilha1!$A:$B,2,0)</f>
        <v>#N/A</v>
      </c>
      <c r="D460" s="10">
        <f>SUMIF([1]Relatório!$A$2:$A$2653,A460,[1]Relatório!$AK$2:$AK$2653)</f>
        <v>323</v>
      </c>
      <c r="E460" s="11">
        <f t="shared" si="14"/>
        <v>0.00055217733953094</v>
      </c>
      <c r="F460" s="11">
        <f>SUM($E$7:E460)</f>
        <v>0.802872689787454</v>
      </c>
      <c r="G460" s="12" t="str">
        <f t="shared" si="15"/>
        <v>B</v>
      </c>
      <c r="H460" s="9" t="s">
        <v>14</v>
      </c>
      <c r="I460" s="9" t="s">
        <v>1026</v>
      </c>
      <c r="J460" s="9" t="s">
        <v>33</v>
      </c>
      <c r="K460" s="10" t="str">
        <f>IFERROR(VLOOKUP(A460,'Pedido ESTHER'!$B:$C,2,0),"")</f>
        <v/>
      </c>
      <c r="L460" s="12" t="str">
        <f>IF(N(K460)&gt;0,"COMPRA","NÃO COMPRA")</f>
        <v>NÃO COMPRA</v>
      </c>
    </row>
    <row r="461" spans="1:12">
      <c r="A461" s="8" t="s">
        <v>1027</v>
      </c>
      <c r="B461" s="9" t="s">
        <v>179</v>
      </c>
      <c r="C461" s="9" t="e">
        <f>VLOOKUP(A461,[2]Planilha1!$A:$B,2,0)</f>
        <v>#N/A</v>
      </c>
      <c r="D461" s="10">
        <f>SUMIF([1]Relatório!$A$2:$A$2653,A461,[1]Relatório!$AK$2:$AK$2653)</f>
        <v>319</v>
      </c>
      <c r="E461" s="11">
        <f t="shared" si="14"/>
        <v>0.000545339230063064</v>
      </c>
      <c r="F461" s="11">
        <f>SUM($E$7:E461)</f>
        <v>0.803418029017517</v>
      </c>
      <c r="G461" s="12" t="str">
        <f t="shared" si="15"/>
        <v>B</v>
      </c>
      <c r="H461" s="9" t="s">
        <v>18</v>
      </c>
      <c r="I461" s="9" t="s">
        <v>1028</v>
      </c>
      <c r="J461" s="9" t="s">
        <v>40</v>
      </c>
      <c r="K461" s="10" t="str">
        <f>IFERROR(VLOOKUP(A461,'Pedido ESTHER'!$B:$C,2,0),"")</f>
        <v/>
      </c>
      <c r="L461" s="12" t="str">
        <f>IF(N(K461)&gt;0,"COMPRA","NÃO COMPRA")</f>
        <v>NÃO COMPRA</v>
      </c>
    </row>
    <row r="462" spans="1:12">
      <c r="A462" s="8" t="s">
        <v>1029</v>
      </c>
      <c r="B462" s="9" t="s">
        <v>342</v>
      </c>
      <c r="C462" s="9" t="e">
        <f>VLOOKUP(A462,[2]Planilha1!$A:$B,2,0)</f>
        <v>#N/A</v>
      </c>
      <c r="D462" s="10">
        <f>SUMIF([1]Relatório!$A$2:$A$2653,A462,[1]Relatório!$AK$2:$AK$2653)</f>
        <v>319</v>
      </c>
      <c r="E462" s="11">
        <f t="shared" si="14"/>
        <v>0.000545339230063064</v>
      </c>
      <c r="F462" s="11">
        <f>SUM($E$7:E462)</f>
        <v>0.80396336824758</v>
      </c>
      <c r="G462" s="12" t="str">
        <f t="shared" si="15"/>
        <v>B</v>
      </c>
      <c r="H462" s="9" t="s">
        <v>831</v>
      </c>
      <c r="I462" s="9" t="s">
        <v>1030</v>
      </c>
      <c r="J462" s="9" t="s">
        <v>158</v>
      </c>
      <c r="K462" s="10" t="str">
        <f>IFERROR(VLOOKUP(A462,'Pedido ESTHER'!$B:$C,2,0),"")</f>
        <v/>
      </c>
      <c r="L462" s="12" t="str">
        <f>IF(N(K462)&gt;0,"COMPRA","NÃO COMPRA")</f>
        <v>NÃO COMPRA</v>
      </c>
    </row>
    <row r="463" spans="1:12">
      <c r="A463" s="8" t="s">
        <v>1031</v>
      </c>
      <c r="B463" s="9" t="s">
        <v>21</v>
      </c>
      <c r="C463" s="9" t="e">
        <f>VLOOKUP(A463,[2]Planilha1!$A:$B,2,0)</f>
        <v>#N/A</v>
      </c>
      <c r="D463" s="10">
        <f>SUMIF([1]Relatório!$A$2:$A$2653,A463,[1]Relatório!$AK$2:$AK$2653)</f>
        <v>316</v>
      </c>
      <c r="E463" s="11">
        <f t="shared" si="14"/>
        <v>0.000540210647962158</v>
      </c>
      <c r="F463" s="11">
        <f>SUM($E$7:E463)</f>
        <v>0.804503578895542</v>
      </c>
      <c r="G463" s="12" t="str">
        <f t="shared" si="15"/>
        <v>B</v>
      </c>
      <c r="H463" s="9" t="s">
        <v>21</v>
      </c>
      <c r="I463" s="9"/>
      <c r="J463" s="9"/>
      <c r="K463" s="10" t="str">
        <f>IFERROR(VLOOKUP(A463,'Pedido ESTHER'!$B:$C,2,0),"")</f>
        <v/>
      </c>
      <c r="L463" s="12" t="str">
        <f>IF(N(K463)&gt;0,"COMPRA","NÃO COMPRA")</f>
        <v>NÃO COMPRA</v>
      </c>
    </row>
    <row r="464" spans="1:12">
      <c r="A464" s="8" t="s">
        <v>1032</v>
      </c>
      <c r="B464" s="9" t="s">
        <v>259</v>
      </c>
      <c r="C464" s="9" t="e">
        <f>VLOOKUP(A464,[2]Planilha1!$A:$B,2,0)</f>
        <v>#N/A</v>
      </c>
      <c r="D464" s="10">
        <f>SUMIF([1]Relatório!$A$2:$A$2653,A464,[1]Relatório!$AK$2:$AK$2653)</f>
        <v>315</v>
      </c>
      <c r="E464" s="11">
        <f t="shared" si="14"/>
        <v>0.000538501120595189</v>
      </c>
      <c r="F464" s="11">
        <f>SUM($E$7:E464)</f>
        <v>0.805042080016137</v>
      </c>
      <c r="G464" s="12" t="str">
        <f t="shared" si="15"/>
        <v>B</v>
      </c>
      <c r="H464" s="9" t="s">
        <v>18</v>
      </c>
      <c r="I464" s="9"/>
      <c r="J464" s="9" t="s">
        <v>201</v>
      </c>
      <c r="K464" s="10" t="str">
        <f>IFERROR(VLOOKUP(A464,'Pedido ESTHER'!$B:$C,2,0),"")</f>
        <v/>
      </c>
      <c r="L464" s="12" t="str">
        <f>IF(N(K464)&gt;0,"COMPRA","NÃO COMPRA")</f>
        <v>NÃO COMPRA</v>
      </c>
    </row>
    <row r="465" spans="1:12">
      <c r="A465" s="8" t="s">
        <v>1033</v>
      </c>
      <c r="B465" s="9" t="s">
        <v>1034</v>
      </c>
      <c r="C465" s="9" t="e">
        <f>VLOOKUP(A465,[2]Planilha1!$A:$B,2,0)</f>
        <v>#N/A</v>
      </c>
      <c r="D465" s="10">
        <f>SUMIF([1]Relatório!$A$2:$A$2653,A465,[1]Relatório!$AK$2:$AK$2653)</f>
        <v>315</v>
      </c>
      <c r="E465" s="11">
        <f t="shared" si="14"/>
        <v>0.000538501120595189</v>
      </c>
      <c r="F465" s="11">
        <f>SUM($E$7:E465)</f>
        <v>0.805580581136733</v>
      </c>
      <c r="G465" s="12" t="str">
        <f t="shared" si="15"/>
        <v>B</v>
      </c>
      <c r="H465" s="9" t="s">
        <v>14</v>
      </c>
      <c r="I465" s="9"/>
      <c r="J465" s="9" t="s">
        <v>164</v>
      </c>
      <c r="K465" s="10" t="str">
        <f>IFERROR(VLOOKUP(A465,'Pedido ESTHER'!$B:$C,2,0),"")</f>
        <v/>
      </c>
      <c r="L465" s="12" t="str">
        <f>IF(N(K465)&gt;0,"COMPRA","NÃO COMPRA")</f>
        <v>NÃO COMPRA</v>
      </c>
    </row>
    <row r="466" spans="1:12">
      <c r="A466" s="8" t="s">
        <v>1035</v>
      </c>
      <c r="B466" s="9" t="s">
        <v>177</v>
      </c>
      <c r="C466" s="9" t="e">
        <f>VLOOKUP(A466,[2]Planilha1!$A:$B,2,0)</f>
        <v>#N/A</v>
      </c>
      <c r="D466" s="10">
        <f>SUMIF([1]Relatório!$A$2:$A$2653,A466,[1]Relatório!$AK$2:$AK$2653)</f>
        <v>314</v>
      </c>
      <c r="E466" s="11">
        <f t="shared" si="14"/>
        <v>0.00053679159322822</v>
      </c>
      <c r="F466" s="11">
        <f>SUM($E$7:E466)</f>
        <v>0.806117372729961</v>
      </c>
      <c r="G466" s="12" t="str">
        <f t="shared" si="15"/>
        <v>B</v>
      </c>
      <c r="H466" s="9" t="s">
        <v>21</v>
      </c>
      <c r="I466" s="9"/>
      <c r="J466" s="9" t="s">
        <v>36</v>
      </c>
      <c r="K466" s="10" t="str">
        <f>IFERROR(VLOOKUP(A466,'Pedido ESTHER'!$B:$C,2,0),"")</f>
        <v/>
      </c>
      <c r="L466" s="12" t="str">
        <f>IF(N(K466)&gt;0,"COMPRA","NÃO COMPRA")</f>
        <v>NÃO COMPRA</v>
      </c>
    </row>
    <row r="467" spans="1:12">
      <c r="A467" s="8" t="s">
        <v>1036</v>
      </c>
      <c r="B467" s="9" t="s">
        <v>240</v>
      </c>
      <c r="C467" s="9" t="e">
        <f>VLOOKUP(A467,[2]Planilha1!$A:$B,2,0)</f>
        <v>#N/A</v>
      </c>
      <c r="D467" s="10">
        <f>SUMIF([1]Relatório!$A$2:$A$2653,A467,[1]Relatório!$AK$2:$AK$2653)</f>
        <v>313</v>
      </c>
      <c r="E467" s="11">
        <f t="shared" si="14"/>
        <v>0.000535082065861251</v>
      </c>
      <c r="F467" s="11">
        <f>SUM($E$7:E467)</f>
        <v>0.806652454795822</v>
      </c>
      <c r="G467" s="12" t="str">
        <f t="shared" si="15"/>
        <v>B</v>
      </c>
      <c r="H467" s="9" t="s">
        <v>21</v>
      </c>
      <c r="I467" s="9"/>
      <c r="J467" s="9" t="s">
        <v>241</v>
      </c>
      <c r="K467" s="10" t="str">
        <f>IFERROR(VLOOKUP(A467,'Pedido ESTHER'!$B:$C,2,0),"")</f>
        <v/>
      </c>
      <c r="L467" s="12" t="str">
        <f>IF(N(K467)&gt;0,"COMPRA","NÃO COMPRA")</f>
        <v>NÃO COMPRA</v>
      </c>
    </row>
    <row r="468" spans="1:12">
      <c r="A468" s="8" t="s">
        <v>1037</v>
      </c>
      <c r="B468" s="9" t="s">
        <v>122</v>
      </c>
      <c r="C468" s="9" t="e">
        <f>VLOOKUP(A468,[2]Planilha1!$A:$B,2,0)</f>
        <v>#N/A</v>
      </c>
      <c r="D468" s="10">
        <f>SUMIF([1]Relatório!$A$2:$A$2653,A468,[1]Relatório!$AK$2:$AK$2653)</f>
        <v>310</v>
      </c>
      <c r="E468" s="11">
        <f t="shared" si="14"/>
        <v>0.000529953483760345</v>
      </c>
      <c r="F468" s="11">
        <f>SUM($E$7:E468)</f>
        <v>0.807182408279582</v>
      </c>
      <c r="G468" s="12" t="str">
        <f t="shared" si="15"/>
        <v>B</v>
      </c>
      <c r="H468" s="9" t="s">
        <v>18</v>
      </c>
      <c r="I468" s="9" t="s">
        <v>1038</v>
      </c>
      <c r="J468" s="9" t="s">
        <v>123</v>
      </c>
      <c r="K468" s="10" t="str">
        <f>IFERROR(VLOOKUP(A468,'Pedido ESTHER'!$B:$C,2,0),"")</f>
        <v/>
      </c>
      <c r="L468" s="12" t="str">
        <f>IF(N(K468)&gt;0,"COMPRA","NÃO COMPRA")</f>
        <v>NÃO COMPRA</v>
      </c>
    </row>
    <row r="469" spans="1:12">
      <c r="A469" s="8" t="s">
        <v>1039</v>
      </c>
      <c r="B469" s="9" t="s">
        <v>363</v>
      </c>
      <c r="C469" s="9" t="e">
        <f>VLOOKUP(A469,[2]Planilha1!$A:$B,2,0)</f>
        <v>#N/A</v>
      </c>
      <c r="D469" s="10">
        <f>SUMIF([1]Relatório!$A$2:$A$2653,A469,[1]Relatório!$AK$2:$AK$2653)</f>
        <v>309</v>
      </c>
      <c r="E469" s="11">
        <f t="shared" si="14"/>
        <v>0.000528243956393376</v>
      </c>
      <c r="F469" s="11">
        <f>SUM($E$7:E469)</f>
        <v>0.807710652235976</v>
      </c>
      <c r="G469" s="12" t="str">
        <f t="shared" si="15"/>
        <v>B</v>
      </c>
      <c r="H469" s="9" t="s">
        <v>183</v>
      </c>
      <c r="I469" s="9" t="s">
        <v>1040</v>
      </c>
      <c r="J469" s="9" t="s">
        <v>40</v>
      </c>
      <c r="K469" s="10" t="str">
        <f>IFERROR(VLOOKUP(A469,'Pedido ESTHER'!$B:$C,2,0),"")</f>
        <v/>
      </c>
      <c r="L469" s="12" t="str">
        <f>IF(N(K469)&gt;0,"COMPRA","NÃO COMPRA")</f>
        <v>NÃO COMPRA</v>
      </c>
    </row>
    <row r="470" spans="1:12">
      <c r="A470" s="8" t="s">
        <v>1041</v>
      </c>
      <c r="B470" s="9" t="s">
        <v>469</v>
      </c>
      <c r="C470" s="9" t="e">
        <f>VLOOKUP(A470,[2]Planilha1!$A:$B,2,0)</f>
        <v>#N/A</v>
      </c>
      <c r="D470" s="10">
        <f>SUMIF([1]Relatório!$A$2:$A$2653,A470,[1]Relatório!$AK$2:$AK$2653)</f>
        <v>308</v>
      </c>
      <c r="E470" s="11">
        <f t="shared" si="14"/>
        <v>0.000526534429026407</v>
      </c>
      <c r="F470" s="11">
        <f>SUM($E$7:E470)</f>
        <v>0.808237186665002</v>
      </c>
      <c r="G470" s="12" t="str">
        <f t="shared" si="15"/>
        <v>B</v>
      </c>
      <c r="H470" s="9" t="s">
        <v>892</v>
      </c>
      <c r="I470" s="9" t="s">
        <v>1042</v>
      </c>
      <c r="J470" s="9" t="s">
        <v>23</v>
      </c>
      <c r="K470" s="10" t="str">
        <f>IFERROR(VLOOKUP(A470,'Pedido ESTHER'!$B:$C,2,0),"")</f>
        <v/>
      </c>
      <c r="L470" s="12" t="str">
        <f>IF(N(K470)&gt;0,"COMPRA","NÃO COMPRA")</f>
        <v>NÃO COMPRA</v>
      </c>
    </row>
    <row r="471" spans="1:12">
      <c r="A471" s="8" t="s">
        <v>1043</v>
      </c>
      <c r="B471" s="9" t="s">
        <v>116</v>
      </c>
      <c r="C471" s="9" t="e">
        <f>VLOOKUP(A471,[2]Planilha1!$A:$B,2,0)</f>
        <v>#N/A</v>
      </c>
      <c r="D471" s="10">
        <f>SUMIF([1]Relatório!$A$2:$A$2653,A471,[1]Relatório!$AK$2:$AK$2653)</f>
        <v>305</v>
      </c>
      <c r="E471" s="11">
        <f t="shared" si="14"/>
        <v>0.0005214058469255</v>
      </c>
      <c r="F471" s="11">
        <f>SUM($E$7:E471)</f>
        <v>0.808758592511928</v>
      </c>
      <c r="G471" s="12" t="str">
        <f t="shared" si="15"/>
        <v>B</v>
      </c>
      <c r="H471" s="9" t="s">
        <v>831</v>
      </c>
      <c r="I471" s="9" t="s">
        <v>1044</v>
      </c>
      <c r="J471" s="9" t="s">
        <v>123</v>
      </c>
      <c r="K471" s="10" t="str">
        <f>IFERROR(VLOOKUP(A471,'Pedido ESTHER'!$B:$C,2,0),"")</f>
        <v/>
      </c>
      <c r="L471" s="12" t="str">
        <f>IF(N(K471)&gt;0,"COMPRA","NÃO COMPRA")</f>
        <v>NÃO COMPRA</v>
      </c>
    </row>
    <row r="472" spans="1:12">
      <c r="A472" s="8" t="s">
        <v>1045</v>
      </c>
      <c r="B472" s="9" t="s">
        <v>528</v>
      </c>
      <c r="C472" s="9" t="e">
        <f>VLOOKUP(A472,[2]Planilha1!$A:$B,2,0)</f>
        <v>#N/A</v>
      </c>
      <c r="D472" s="10">
        <f>SUMIF([1]Relatório!$A$2:$A$2653,A472,[1]Relatório!$AK$2:$AK$2653)</f>
        <v>305</v>
      </c>
      <c r="E472" s="11">
        <f t="shared" si="14"/>
        <v>0.0005214058469255</v>
      </c>
      <c r="F472" s="11">
        <f>SUM($E$7:E472)</f>
        <v>0.809279998358853</v>
      </c>
      <c r="G472" s="12" t="str">
        <f t="shared" si="15"/>
        <v>B</v>
      </c>
      <c r="H472" s="9" t="s">
        <v>21</v>
      </c>
      <c r="I472" s="9"/>
      <c r="J472" s="9" t="s">
        <v>64</v>
      </c>
      <c r="K472" s="10" t="str">
        <f>IFERROR(VLOOKUP(A472,'Pedido ESTHER'!$B:$C,2,0),"")</f>
        <v/>
      </c>
      <c r="L472" s="12" t="str">
        <f>IF(N(K472)&gt;0,"COMPRA","NÃO COMPRA")</f>
        <v>NÃO COMPRA</v>
      </c>
    </row>
    <row r="473" spans="1:12">
      <c r="A473" s="8" t="s">
        <v>1046</v>
      </c>
      <c r="B473" s="9" t="s">
        <v>630</v>
      </c>
      <c r="C473" s="9" t="e">
        <f>VLOOKUP(A473,[2]Planilha1!$A:$B,2,0)</f>
        <v>#N/A</v>
      </c>
      <c r="D473" s="10">
        <f>SUMIF([1]Relatório!$A$2:$A$2653,A473,[1]Relatório!$AK$2:$AK$2653)</f>
        <v>304</v>
      </c>
      <c r="E473" s="11">
        <f t="shared" si="14"/>
        <v>0.000519696319558532</v>
      </c>
      <c r="F473" s="11">
        <f>SUM($E$7:E473)</f>
        <v>0.809799694678412</v>
      </c>
      <c r="G473" s="12" t="str">
        <f t="shared" si="15"/>
        <v>B</v>
      </c>
      <c r="H473" s="9" t="s">
        <v>117</v>
      </c>
      <c r="I473" s="9" t="s">
        <v>1047</v>
      </c>
      <c r="J473" s="9" t="s">
        <v>58</v>
      </c>
      <c r="K473" s="10" t="str">
        <f>IFERROR(VLOOKUP(A473,'Pedido ESTHER'!$B:$C,2,0),"")</f>
        <v/>
      </c>
      <c r="L473" s="12" t="str">
        <f>IF(N(K473)&gt;0,"COMPRA","NÃO COMPRA")</f>
        <v>NÃO COMPRA</v>
      </c>
    </row>
    <row r="474" spans="1:12">
      <c r="A474" s="8" t="s">
        <v>1048</v>
      </c>
      <c r="B474" s="9" t="s">
        <v>1049</v>
      </c>
      <c r="C474" s="9" t="e">
        <f>VLOOKUP(A474,[2]Planilha1!$A:$B,2,0)</f>
        <v>#N/A</v>
      </c>
      <c r="D474" s="10">
        <f>SUMIF([1]Relatório!$A$2:$A$2653,A474,[1]Relatório!$AK$2:$AK$2653)</f>
        <v>303</v>
      </c>
      <c r="E474" s="11">
        <f t="shared" si="14"/>
        <v>0.000517986792191563</v>
      </c>
      <c r="F474" s="11">
        <f>SUM($E$7:E474)</f>
        <v>0.810317681470603</v>
      </c>
      <c r="G474" s="12" t="str">
        <f t="shared" si="15"/>
        <v>B</v>
      </c>
      <c r="H474" s="9" t="s">
        <v>74</v>
      </c>
      <c r="I474" s="9" t="s">
        <v>1050</v>
      </c>
      <c r="J474" s="9" t="s">
        <v>29</v>
      </c>
      <c r="K474" s="10" t="str">
        <f>IFERROR(VLOOKUP(A474,'Pedido ESTHER'!$B:$C,2,0),"")</f>
        <v/>
      </c>
      <c r="L474" s="12" t="str">
        <f>IF(N(K474)&gt;0,"COMPRA","NÃO COMPRA")</f>
        <v>NÃO COMPRA</v>
      </c>
    </row>
    <row r="475" spans="1:12">
      <c r="A475" s="8" t="s">
        <v>1051</v>
      </c>
      <c r="B475" s="9" t="s">
        <v>681</v>
      </c>
      <c r="C475" s="9" t="e">
        <f>VLOOKUP(A475,[2]Planilha1!$A:$B,2,0)</f>
        <v>#N/A</v>
      </c>
      <c r="D475" s="10">
        <f>SUMIF([1]Relatório!$A$2:$A$2653,A475,[1]Relatório!$AK$2:$AK$2653)</f>
        <v>301</v>
      </c>
      <c r="E475" s="11">
        <f t="shared" si="14"/>
        <v>0.000514567737457625</v>
      </c>
      <c r="F475" s="11">
        <f>SUM($E$7:E475)</f>
        <v>0.810832249208061</v>
      </c>
      <c r="G475" s="12" t="str">
        <f t="shared" si="15"/>
        <v>B</v>
      </c>
      <c r="H475" s="9" t="s">
        <v>183</v>
      </c>
      <c r="I475" s="9"/>
      <c r="J475" s="9" t="s">
        <v>1052</v>
      </c>
      <c r="K475" s="10" t="str">
        <f>IFERROR(VLOOKUP(A475,'Pedido ESTHER'!$B:$C,2,0),"")</f>
        <v/>
      </c>
      <c r="L475" s="12" t="str">
        <f>IF(N(K475)&gt;0,"COMPRA","NÃO COMPRA")</f>
        <v>NÃO COMPRA</v>
      </c>
    </row>
    <row r="476" spans="1:12">
      <c r="A476" s="8" t="s">
        <v>1053</v>
      </c>
      <c r="B476" s="9" t="s">
        <v>177</v>
      </c>
      <c r="C476" s="9" t="e">
        <f>VLOOKUP(A476,[2]Planilha1!$A:$B,2,0)</f>
        <v>#N/A</v>
      </c>
      <c r="D476" s="10">
        <f>SUMIF([1]Relatório!$A$2:$A$2653,A476,[1]Relatório!$AK$2:$AK$2653)</f>
        <v>301</v>
      </c>
      <c r="E476" s="11">
        <f t="shared" si="14"/>
        <v>0.000514567737457625</v>
      </c>
      <c r="F476" s="11">
        <f>SUM($E$7:E476)</f>
        <v>0.811346816945519</v>
      </c>
      <c r="G476" s="12" t="str">
        <f t="shared" si="15"/>
        <v>B</v>
      </c>
      <c r="H476" s="9" t="s">
        <v>21</v>
      </c>
      <c r="I476" s="9"/>
      <c r="J476" s="9" t="s">
        <v>36</v>
      </c>
      <c r="K476" s="10" t="str">
        <f>IFERROR(VLOOKUP(A476,'Pedido ESTHER'!$B:$C,2,0),"")</f>
        <v/>
      </c>
      <c r="L476" s="12" t="str">
        <f>IF(N(K476)&gt;0,"COMPRA","NÃO COMPRA")</f>
        <v>NÃO COMPRA</v>
      </c>
    </row>
    <row r="477" spans="1:12">
      <c r="A477" s="8" t="s">
        <v>1054</v>
      </c>
      <c r="B477" s="9" t="s">
        <v>1055</v>
      </c>
      <c r="C477" s="9" t="e">
        <f>VLOOKUP(A477,[2]Planilha1!$A:$B,2,0)</f>
        <v>#N/A</v>
      </c>
      <c r="D477" s="10">
        <f>SUMIF([1]Relatório!$A$2:$A$2653,A477,[1]Relatório!$AK$2:$AK$2653)</f>
        <v>300</v>
      </c>
      <c r="E477" s="11">
        <f t="shared" si="14"/>
        <v>0.000512858210090656</v>
      </c>
      <c r="F477" s="11">
        <f>SUM($E$7:E477)</f>
        <v>0.811859675155609</v>
      </c>
      <c r="G477" s="12" t="str">
        <f t="shared" si="15"/>
        <v>B</v>
      </c>
      <c r="H477" s="9" t="s">
        <v>221</v>
      </c>
      <c r="I477" s="9" t="s">
        <v>1056</v>
      </c>
      <c r="J477" s="9" t="s">
        <v>23</v>
      </c>
      <c r="K477" s="10" t="str">
        <f>IFERROR(VLOOKUP(A477,'Pedido ESTHER'!$B:$C,2,0),"")</f>
        <v/>
      </c>
      <c r="L477" s="12" t="str">
        <f>IF(N(K477)&gt;0,"COMPRA","NÃO COMPRA")</f>
        <v>NÃO COMPRA</v>
      </c>
    </row>
    <row r="478" spans="1:12">
      <c r="A478" s="8" t="s">
        <v>1057</v>
      </c>
      <c r="B478" s="9" t="s">
        <v>1058</v>
      </c>
      <c r="C478" s="9" t="e">
        <f>VLOOKUP(A478,[2]Planilha1!$A:$B,2,0)</f>
        <v>#N/A</v>
      </c>
      <c r="D478" s="10">
        <f>SUMIF([1]Relatório!$A$2:$A$2653,A478,[1]Relatório!$AK$2:$AK$2653)</f>
        <v>298</v>
      </c>
      <c r="E478" s="11">
        <f t="shared" si="14"/>
        <v>0.000509439155356719</v>
      </c>
      <c r="F478" s="11">
        <f>SUM($E$7:E478)</f>
        <v>0.812369114310966</v>
      </c>
      <c r="G478" s="12" t="str">
        <f t="shared" si="15"/>
        <v>B</v>
      </c>
      <c r="H478" s="9" t="s">
        <v>1059</v>
      </c>
      <c r="I478" s="9" t="s">
        <v>1060</v>
      </c>
      <c r="J478" s="9" t="s">
        <v>33</v>
      </c>
      <c r="K478" s="10" t="str">
        <f>IFERROR(VLOOKUP(A478,'Pedido ESTHER'!$B:$C,2,0),"")</f>
        <v/>
      </c>
      <c r="L478" s="12" t="str">
        <f>IF(N(K478)&gt;0,"COMPRA","NÃO COMPRA")</f>
        <v>NÃO COMPRA</v>
      </c>
    </row>
    <row r="479" spans="1:12">
      <c r="A479" s="8" t="s">
        <v>1061</v>
      </c>
      <c r="B479" s="9" t="s">
        <v>775</v>
      </c>
      <c r="C479" s="9" t="e">
        <f>VLOOKUP(A479,[2]Planilha1!$A:$B,2,0)</f>
        <v>#N/A</v>
      </c>
      <c r="D479" s="10">
        <f>SUMIF([1]Relatório!$A$2:$A$2653,A479,[1]Relatório!$AK$2:$AK$2653)</f>
        <v>296</v>
      </c>
      <c r="E479" s="11">
        <f t="shared" si="14"/>
        <v>0.000506020100622781</v>
      </c>
      <c r="F479" s="11">
        <f>SUM($E$7:E479)</f>
        <v>0.812875134411589</v>
      </c>
      <c r="G479" s="12" t="str">
        <f t="shared" si="15"/>
        <v>B</v>
      </c>
      <c r="H479" s="9" t="s">
        <v>183</v>
      </c>
      <c r="I479" s="9" t="s">
        <v>1062</v>
      </c>
      <c r="J479" s="9" t="s">
        <v>64</v>
      </c>
      <c r="K479" s="10" t="str">
        <f>IFERROR(VLOOKUP(A479,'Pedido ESTHER'!$B:$C,2,0),"")</f>
        <v/>
      </c>
      <c r="L479" s="12" t="str">
        <f>IF(N(K479)&gt;0,"COMPRA","NÃO COMPRA")</f>
        <v>NÃO COMPRA</v>
      </c>
    </row>
    <row r="480" spans="1:12">
      <c r="A480" s="8" t="s">
        <v>1063</v>
      </c>
      <c r="B480" s="9" t="s">
        <v>293</v>
      </c>
      <c r="C480" s="9" t="e">
        <f>VLOOKUP(A480,[2]Planilha1!$A:$B,2,0)</f>
        <v>#N/A</v>
      </c>
      <c r="D480" s="10">
        <f>SUMIF([1]Relatório!$A$2:$A$2653,A480,[1]Relatório!$AK$2:$AK$2653)</f>
        <v>296</v>
      </c>
      <c r="E480" s="11">
        <f t="shared" si="14"/>
        <v>0.000506020100622781</v>
      </c>
      <c r="F480" s="11">
        <f>SUM($E$7:E480)</f>
        <v>0.813381154512211</v>
      </c>
      <c r="G480" s="12" t="str">
        <f t="shared" si="15"/>
        <v>B</v>
      </c>
      <c r="H480" s="9" t="s">
        <v>892</v>
      </c>
      <c r="I480" s="9" t="s">
        <v>1064</v>
      </c>
      <c r="J480" s="9" t="s">
        <v>83</v>
      </c>
      <c r="K480" s="10" t="str">
        <f>IFERROR(VLOOKUP(A480,'Pedido ESTHER'!$B:$C,2,0),"")</f>
        <v/>
      </c>
      <c r="L480" s="12" t="str">
        <f>IF(N(K480)&gt;0,"COMPRA","NÃO COMPRA")</f>
        <v>NÃO COMPRA</v>
      </c>
    </row>
    <row r="481" spans="1:12">
      <c r="A481" s="8" t="s">
        <v>1065</v>
      </c>
      <c r="B481" s="9" t="s">
        <v>25</v>
      </c>
      <c r="C481" s="9" t="e">
        <f>VLOOKUP(A481,[2]Planilha1!$A:$B,2,0)</f>
        <v>#N/A</v>
      </c>
      <c r="D481" s="10">
        <f>SUMIF([1]Relatório!$A$2:$A$2653,A481,[1]Relatório!$AK$2:$AK$2653)</f>
        <v>293</v>
      </c>
      <c r="E481" s="11">
        <f t="shared" si="14"/>
        <v>0.000500891518521874</v>
      </c>
      <c r="F481" s="11">
        <f>SUM($E$7:E481)</f>
        <v>0.813882046030733</v>
      </c>
      <c r="G481" s="12" t="str">
        <f t="shared" si="15"/>
        <v>B</v>
      </c>
      <c r="H481" s="9" t="s">
        <v>21</v>
      </c>
      <c r="I481" s="9"/>
      <c r="J481" s="9" t="s">
        <v>213</v>
      </c>
      <c r="K481" s="10" t="str">
        <f>IFERROR(VLOOKUP(A481,'Pedido ESTHER'!$B:$C,2,0),"")</f>
        <v/>
      </c>
      <c r="L481" s="12" t="str">
        <f>IF(N(K481)&gt;0,"COMPRA","NÃO COMPRA")</f>
        <v>NÃO COMPRA</v>
      </c>
    </row>
    <row r="482" spans="1:12">
      <c r="A482" s="8" t="s">
        <v>1066</v>
      </c>
      <c r="B482" s="9" t="s">
        <v>1067</v>
      </c>
      <c r="C482" s="9" t="e">
        <f>VLOOKUP(A482,[2]Planilha1!$A:$B,2,0)</f>
        <v>#N/A</v>
      </c>
      <c r="D482" s="10">
        <f>SUMIF([1]Relatório!$A$2:$A$2653,A482,[1]Relatório!$AK$2:$AK$2653)</f>
        <v>293</v>
      </c>
      <c r="E482" s="11">
        <f t="shared" si="14"/>
        <v>0.000500891518521874</v>
      </c>
      <c r="F482" s="11">
        <f>SUM($E$7:E482)</f>
        <v>0.814382937549255</v>
      </c>
      <c r="G482" s="12" t="str">
        <f t="shared" si="15"/>
        <v>B</v>
      </c>
      <c r="H482" s="9" t="s">
        <v>221</v>
      </c>
      <c r="I482" s="9" t="s">
        <v>1068</v>
      </c>
      <c r="J482" s="9" t="s">
        <v>359</v>
      </c>
      <c r="K482" s="10" t="str">
        <f>IFERROR(VLOOKUP(A482,'Pedido ESTHER'!$B:$C,2,0),"")</f>
        <v/>
      </c>
      <c r="L482" s="12" t="str">
        <f>IF(N(K482)&gt;0,"COMPRA","NÃO COMPRA")</f>
        <v>NÃO COMPRA</v>
      </c>
    </row>
    <row r="483" spans="1:12">
      <c r="A483" s="8" t="s">
        <v>1069</v>
      </c>
      <c r="B483" s="9" t="s">
        <v>1070</v>
      </c>
      <c r="C483" s="9" t="e">
        <f>VLOOKUP(A483,[2]Planilha1!$A:$B,2,0)</f>
        <v>#N/A</v>
      </c>
      <c r="D483" s="10">
        <f>SUMIF([1]Relatório!$A$2:$A$2653,A483,[1]Relatório!$AK$2:$AK$2653)</f>
        <v>292</v>
      </c>
      <c r="E483" s="11">
        <f t="shared" si="14"/>
        <v>0.000499181991154905</v>
      </c>
      <c r="F483" s="11">
        <f>SUM($E$7:E483)</f>
        <v>0.81488211954041</v>
      </c>
      <c r="G483" s="12" t="str">
        <f t="shared" si="15"/>
        <v>B</v>
      </c>
      <c r="H483" s="9" t="s">
        <v>74</v>
      </c>
      <c r="I483" s="9" t="s">
        <v>1071</v>
      </c>
      <c r="J483" s="9" t="s">
        <v>44</v>
      </c>
      <c r="K483" s="10" t="str">
        <f>IFERROR(VLOOKUP(A483,'Pedido ESTHER'!$B:$C,2,0),"")</f>
        <v/>
      </c>
      <c r="L483" s="12" t="str">
        <f>IF(N(K483)&gt;0,"COMPRA","NÃO COMPRA")</f>
        <v>NÃO COMPRA</v>
      </c>
    </row>
    <row r="484" spans="1:12">
      <c r="A484" s="8" t="s">
        <v>1072</v>
      </c>
      <c r="B484" s="9" t="s">
        <v>38</v>
      </c>
      <c r="C484" s="9" t="e">
        <f>VLOOKUP(A484,[2]Planilha1!$A:$B,2,0)</f>
        <v>#N/A</v>
      </c>
      <c r="D484" s="10">
        <f>SUMIF([1]Relatório!$A$2:$A$2653,A484,[1]Relatório!$AK$2:$AK$2653)</f>
        <v>292</v>
      </c>
      <c r="E484" s="11">
        <f t="shared" si="14"/>
        <v>0.000499181991154905</v>
      </c>
      <c r="F484" s="11">
        <f>SUM($E$7:E484)</f>
        <v>0.815381301531565</v>
      </c>
      <c r="G484" s="12" t="str">
        <f t="shared" si="15"/>
        <v>B</v>
      </c>
      <c r="H484" s="9" t="s">
        <v>21</v>
      </c>
      <c r="I484" s="9"/>
      <c r="J484" s="9" t="s">
        <v>40</v>
      </c>
      <c r="K484" s="10" t="str">
        <f>IFERROR(VLOOKUP(A484,'Pedido ESTHER'!$B:$C,2,0),"")</f>
        <v/>
      </c>
      <c r="L484" s="12" t="str">
        <f>IF(N(K484)&gt;0,"COMPRA","NÃO COMPRA")</f>
        <v>NÃO COMPRA</v>
      </c>
    </row>
    <row r="485" spans="1:12">
      <c r="A485" s="8" t="s">
        <v>1073</v>
      </c>
      <c r="B485" s="9" t="s">
        <v>1074</v>
      </c>
      <c r="C485" s="9" t="e">
        <f>VLOOKUP(A485,[2]Planilha1!$A:$B,2,0)</f>
        <v>#N/A</v>
      </c>
      <c r="D485" s="10">
        <f>SUMIF([1]Relatório!$A$2:$A$2653,A485,[1]Relatório!$AK$2:$AK$2653)</f>
        <v>292</v>
      </c>
      <c r="E485" s="11">
        <f t="shared" si="14"/>
        <v>0.000499181991154905</v>
      </c>
      <c r="F485" s="11">
        <f>SUM($E$7:E485)</f>
        <v>0.81588048352272</v>
      </c>
      <c r="G485" s="12" t="str">
        <f t="shared" si="15"/>
        <v>B</v>
      </c>
      <c r="H485" s="9" t="s">
        <v>183</v>
      </c>
      <c r="I485" s="9"/>
      <c r="J485" s="9" t="s">
        <v>273</v>
      </c>
      <c r="K485" s="10" t="str">
        <f>IFERROR(VLOOKUP(A485,'Pedido ESTHER'!$B:$C,2,0),"")</f>
        <v/>
      </c>
      <c r="L485" s="12" t="str">
        <f>IF(N(K485)&gt;0,"COMPRA","NÃO COMPRA")</f>
        <v>NÃO COMPRA</v>
      </c>
    </row>
    <row r="486" spans="1:12">
      <c r="A486" s="8" t="s">
        <v>1075</v>
      </c>
      <c r="B486" s="9" t="s">
        <v>574</v>
      </c>
      <c r="C486" s="9" t="e">
        <f>VLOOKUP(A486,[2]Planilha1!$A:$B,2,0)</f>
        <v>#N/A</v>
      </c>
      <c r="D486" s="10">
        <f>SUMIF([1]Relatório!$A$2:$A$2653,A486,[1]Relatório!$AK$2:$AK$2653)</f>
        <v>289</v>
      </c>
      <c r="E486" s="11">
        <f t="shared" si="14"/>
        <v>0.000494053409053999</v>
      </c>
      <c r="F486" s="11">
        <f>SUM($E$7:E486)</f>
        <v>0.816374536931774</v>
      </c>
      <c r="G486" s="12" t="str">
        <f t="shared" si="15"/>
        <v>B</v>
      </c>
      <c r="H486" s="9" t="s">
        <v>221</v>
      </c>
      <c r="I486" s="9" t="s">
        <v>1076</v>
      </c>
      <c r="J486" s="9" t="s">
        <v>213</v>
      </c>
      <c r="K486" s="10" t="str">
        <f>IFERROR(VLOOKUP(A486,'Pedido ESTHER'!$B:$C,2,0),"")</f>
        <v/>
      </c>
      <c r="L486" s="12" t="str">
        <f>IF(N(K486)&gt;0,"COMPRA","NÃO COMPRA")</f>
        <v>NÃO COMPRA</v>
      </c>
    </row>
    <row r="487" spans="1:12">
      <c r="A487" s="8" t="s">
        <v>1077</v>
      </c>
      <c r="B487" s="9" t="s">
        <v>1078</v>
      </c>
      <c r="C487" s="9" t="e">
        <f>VLOOKUP(A487,[2]Planilha1!$A:$B,2,0)</f>
        <v>#N/A</v>
      </c>
      <c r="D487" s="10">
        <f>SUMIF([1]Relatório!$A$2:$A$2653,A487,[1]Relatório!$AK$2:$AK$2653)</f>
        <v>288</v>
      </c>
      <c r="E487" s="11">
        <f t="shared" si="14"/>
        <v>0.00049234388168703</v>
      </c>
      <c r="F487" s="11">
        <f>SUM($E$7:E487)</f>
        <v>0.816866880813461</v>
      </c>
      <c r="G487" s="12" t="str">
        <f t="shared" si="15"/>
        <v>B</v>
      </c>
      <c r="H487" s="9" t="s">
        <v>74</v>
      </c>
      <c r="I487" s="9" t="s">
        <v>1079</v>
      </c>
      <c r="J487" s="9" t="s">
        <v>29</v>
      </c>
      <c r="K487" s="10" t="str">
        <f>IFERROR(VLOOKUP(A487,'Pedido ESTHER'!$B:$C,2,0),"")</f>
        <v/>
      </c>
      <c r="L487" s="12" t="str">
        <f>IF(N(K487)&gt;0,"COMPRA","NÃO COMPRA")</f>
        <v>NÃO COMPRA</v>
      </c>
    </row>
    <row r="488" spans="1:12">
      <c r="A488" s="8" t="s">
        <v>1080</v>
      </c>
      <c r="B488" s="9" t="s">
        <v>27</v>
      </c>
      <c r="C488" s="9" t="e">
        <f>VLOOKUP(A488,[2]Planilha1!$A:$B,2,0)</f>
        <v>#N/A</v>
      </c>
      <c r="D488" s="10">
        <f>SUMIF([1]Relatório!$A$2:$A$2653,A488,[1]Relatório!$AK$2:$AK$2653)</f>
        <v>288</v>
      </c>
      <c r="E488" s="11">
        <f t="shared" si="14"/>
        <v>0.00049234388168703</v>
      </c>
      <c r="F488" s="11">
        <f>SUM($E$7:E488)</f>
        <v>0.817359224695148</v>
      </c>
      <c r="G488" s="12" t="str">
        <f t="shared" si="15"/>
        <v>B</v>
      </c>
      <c r="H488" s="9" t="s">
        <v>21</v>
      </c>
      <c r="I488" s="9"/>
      <c r="J488" s="9" t="s">
        <v>29</v>
      </c>
      <c r="K488" s="10" t="str">
        <f>IFERROR(VLOOKUP(A488,'Pedido ESTHER'!$B:$C,2,0),"")</f>
        <v/>
      </c>
      <c r="L488" s="12" t="str">
        <f>IF(N(K488)&gt;0,"COMPRA","NÃO COMPRA")</f>
        <v>NÃO COMPRA</v>
      </c>
    </row>
    <row r="489" spans="1:12">
      <c r="A489" s="8" t="s">
        <v>1081</v>
      </c>
      <c r="B489" s="9" t="s">
        <v>1082</v>
      </c>
      <c r="C489" s="9" t="e">
        <f>VLOOKUP(A489,[2]Planilha1!$A:$B,2,0)</f>
        <v>#N/A</v>
      </c>
      <c r="D489" s="10">
        <f>SUMIF([1]Relatório!$A$2:$A$2653,A489,[1]Relatório!$AK$2:$AK$2653)</f>
        <v>288</v>
      </c>
      <c r="E489" s="11">
        <f t="shared" si="14"/>
        <v>0.00049234388168703</v>
      </c>
      <c r="F489" s="11">
        <f>SUM($E$7:E489)</f>
        <v>0.817851568576835</v>
      </c>
      <c r="G489" s="12" t="str">
        <f t="shared" si="15"/>
        <v>B</v>
      </c>
      <c r="H489" s="9" t="s">
        <v>183</v>
      </c>
      <c r="I489" s="9" t="s">
        <v>1083</v>
      </c>
      <c r="J489" s="9" t="s">
        <v>273</v>
      </c>
      <c r="K489" s="10" t="str">
        <f>IFERROR(VLOOKUP(A489,'Pedido ESTHER'!$B:$C,2,0),"")</f>
        <v/>
      </c>
      <c r="L489" s="12" t="str">
        <f>IF(N(K489)&gt;0,"COMPRA","NÃO COMPRA")</f>
        <v>NÃO COMPRA</v>
      </c>
    </row>
    <row r="490" spans="1:12">
      <c r="A490" s="8" t="s">
        <v>1084</v>
      </c>
      <c r="B490" s="9" t="s">
        <v>1085</v>
      </c>
      <c r="C490" s="9" t="e">
        <f>VLOOKUP(A490,[2]Planilha1!$A:$B,2,0)</f>
        <v>#N/A</v>
      </c>
      <c r="D490" s="10">
        <f>SUMIF([1]Relatório!$A$2:$A$2653,A490,[1]Relatório!$AK$2:$AK$2653)</f>
        <v>287</v>
      </c>
      <c r="E490" s="11">
        <f t="shared" si="14"/>
        <v>0.000490634354320061</v>
      </c>
      <c r="F490" s="11">
        <f>SUM($E$7:E490)</f>
        <v>0.818342202931155</v>
      </c>
      <c r="G490" s="12" t="str">
        <f t="shared" si="15"/>
        <v>B</v>
      </c>
      <c r="H490" s="9" t="s">
        <v>14</v>
      </c>
      <c r="I490" s="9" t="s">
        <v>1086</v>
      </c>
      <c r="J490" s="9" t="s">
        <v>1087</v>
      </c>
      <c r="K490" s="10" t="str">
        <f>IFERROR(VLOOKUP(A490,'Pedido ESTHER'!$B:$C,2,0),"")</f>
        <v/>
      </c>
      <c r="L490" s="12" t="str">
        <f>IF(N(K490)&gt;0,"COMPRA","NÃO COMPRA")</f>
        <v>NÃO COMPRA</v>
      </c>
    </row>
    <row r="491" spans="1:12">
      <c r="A491" s="8" t="s">
        <v>1088</v>
      </c>
      <c r="B491" s="9" t="s">
        <v>588</v>
      </c>
      <c r="C491" s="9" t="e">
        <f>VLOOKUP(A491,[2]Planilha1!$A:$B,2,0)</f>
        <v>#N/A</v>
      </c>
      <c r="D491" s="10">
        <f>SUMIF([1]Relatório!$A$2:$A$2653,A491,[1]Relatório!$AK$2:$AK$2653)</f>
        <v>286</v>
      </c>
      <c r="E491" s="11">
        <f t="shared" si="14"/>
        <v>0.000488924826953092</v>
      </c>
      <c r="F491" s="11">
        <f>SUM($E$7:E491)</f>
        <v>0.818831127758108</v>
      </c>
      <c r="G491" s="12" t="str">
        <f t="shared" si="15"/>
        <v>B</v>
      </c>
      <c r="H491" s="9" t="s">
        <v>21</v>
      </c>
      <c r="I491" s="9"/>
      <c r="J491" s="9" t="s">
        <v>15</v>
      </c>
      <c r="K491" s="10" t="str">
        <f>IFERROR(VLOOKUP(A491,'Pedido ESTHER'!$B:$C,2,0),"")</f>
        <v/>
      </c>
      <c r="L491" s="12" t="str">
        <f>IF(N(K491)&gt;0,"COMPRA","NÃO COMPRA")</f>
        <v>NÃO COMPRA</v>
      </c>
    </row>
    <row r="492" spans="1:12">
      <c r="A492" s="8" t="s">
        <v>1089</v>
      </c>
      <c r="B492" s="9" t="s">
        <v>116</v>
      </c>
      <c r="C492" s="9" t="e">
        <f>VLOOKUP(A492,[2]Planilha1!$A:$B,2,0)</f>
        <v>#N/A</v>
      </c>
      <c r="D492" s="10">
        <f>SUMIF([1]Relatório!$A$2:$A$2653,A492,[1]Relatório!$AK$2:$AK$2653)</f>
        <v>286</v>
      </c>
      <c r="E492" s="11">
        <f t="shared" si="14"/>
        <v>0.000488924826953092</v>
      </c>
      <c r="F492" s="11">
        <f>SUM($E$7:E492)</f>
        <v>0.819320052585061</v>
      </c>
      <c r="G492" s="12" t="str">
        <f t="shared" si="15"/>
        <v>B</v>
      </c>
      <c r="H492" s="9" t="s">
        <v>117</v>
      </c>
      <c r="I492" s="9" t="s">
        <v>1090</v>
      </c>
      <c r="J492" s="9" t="s">
        <v>33</v>
      </c>
      <c r="K492" s="10" t="str">
        <f>IFERROR(VLOOKUP(A492,'Pedido ESTHER'!$B:$C,2,0),"")</f>
        <v/>
      </c>
      <c r="L492" s="12" t="str">
        <f>IF(N(K492)&gt;0,"COMPRA","NÃO COMPRA")</f>
        <v>NÃO COMPRA</v>
      </c>
    </row>
    <row r="493" spans="1:12">
      <c r="A493" s="8" t="s">
        <v>1091</v>
      </c>
      <c r="B493" s="9" t="s">
        <v>349</v>
      </c>
      <c r="C493" s="9" t="e">
        <f>VLOOKUP(A493,[2]Planilha1!$A:$B,2,0)</f>
        <v>#N/A</v>
      </c>
      <c r="D493" s="10">
        <f>SUMIF([1]Relatório!$A$2:$A$2653,A493,[1]Relatório!$AK$2:$AK$2653)</f>
        <v>284</v>
      </c>
      <c r="E493" s="11">
        <f t="shared" si="14"/>
        <v>0.000485505772219155</v>
      </c>
      <c r="F493" s="11">
        <f>SUM($E$7:E493)</f>
        <v>0.81980555835728</v>
      </c>
      <c r="G493" s="12" t="str">
        <f t="shared" si="15"/>
        <v>B</v>
      </c>
      <c r="H493" s="9" t="s">
        <v>18</v>
      </c>
      <c r="I493" s="9" t="s">
        <v>1092</v>
      </c>
      <c r="J493" s="9" t="s">
        <v>164</v>
      </c>
      <c r="K493" s="10" t="str">
        <f>IFERROR(VLOOKUP(A493,'Pedido ESTHER'!$B:$C,2,0),"")</f>
        <v/>
      </c>
      <c r="L493" s="12" t="str">
        <f>IF(N(K493)&gt;0,"COMPRA","NÃO COMPRA")</f>
        <v>NÃO COMPRA</v>
      </c>
    </row>
    <row r="494" spans="1:12">
      <c r="A494" s="8" t="s">
        <v>1093</v>
      </c>
      <c r="B494" s="9" t="s">
        <v>150</v>
      </c>
      <c r="C494" s="9" t="e">
        <f>VLOOKUP(A494,[2]Planilha1!$A:$B,2,0)</f>
        <v>#N/A</v>
      </c>
      <c r="D494" s="10">
        <f>SUMIF([1]Relatório!$A$2:$A$2653,A494,[1]Relatório!$AK$2:$AK$2653)</f>
        <v>283</v>
      </c>
      <c r="E494" s="11">
        <f t="shared" si="14"/>
        <v>0.000483796244852186</v>
      </c>
      <c r="F494" s="11">
        <f>SUM($E$7:E494)</f>
        <v>0.820289354602133</v>
      </c>
      <c r="G494" s="12" t="str">
        <f t="shared" si="15"/>
        <v>B</v>
      </c>
      <c r="H494" s="9" t="s">
        <v>117</v>
      </c>
      <c r="I494" s="9" t="s">
        <v>1094</v>
      </c>
      <c r="J494" s="9" t="s">
        <v>152</v>
      </c>
      <c r="K494" s="10" t="str">
        <f>IFERROR(VLOOKUP(A494,'Pedido ESTHER'!$B:$C,2,0),"")</f>
        <v/>
      </c>
      <c r="L494" s="12" t="str">
        <f>IF(N(K494)&gt;0,"COMPRA","NÃO COMPRA")</f>
        <v>NÃO COMPRA</v>
      </c>
    </row>
    <row r="495" spans="1:12">
      <c r="A495" s="8" t="s">
        <v>1095</v>
      </c>
      <c r="B495" s="9" t="s">
        <v>676</v>
      </c>
      <c r="C495" s="9" t="e">
        <f>VLOOKUP(A495,[2]Planilha1!$A:$B,2,0)</f>
        <v>#N/A</v>
      </c>
      <c r="D495" s="10">
        <f>SUMIF([1]Relatório!$A$2:$A$2653,A495,[1]Relatório!$AK$2:$AK$2653)</f>
        <v>283</v>
      </c>
      <c r="E495" s="11">
        <f t="shared" si="14"/>
        <v>0.000483796244852186</v>
      </c>
      <c r="F495" s="11">
        <f>SUM($E$7:E495)</f>
        <v>0.820773150846985</v>
      </c>
      <c r="G495" s="12" t="str">
        <f t="shared" si="15"/>
        <v>B</v>
      </c>
      <c r="H495" s="9" t="s">
        <v>117</v>
      </c>
      <c r="I495" s="9" t="s">
        <v>1096</v>
      </c>
      <c r="J495" s="9" t="s">
        <v>36</v>
      </c>
      <c r="K495" s="10" t="str">
        <f>IFERROR(VLOOKUP(A495,'Pedido ESTHER'!$B:$C,2,0),"")</f>
        <v/>
      </c>
      <c r="L495" s="12" t="str">
        <f>IF(N(K495)&gt;0,"COMPRA","NÃO COMPRA")</f>
        <v>NÃO COMPRA</v>
      </c>
    </row>
    <row r="496" spans="1:12">
      <c r="A496" s="8" t="s">
        <v>1097</v>
      </c>
      <c r="B496" s="9" t="s">
        <v>51</v>
      </c>
      <c r="C496" s="9" t="e">
        <f>VLOOKUP(A496,[2]Planilha1!$A:$B,2,0)</f>
        <v>#N/A</v>
      </c>
      <c r="D496" s="10">
        <f>SUMIF([1]Relatório!$A$2:$A$2653,A496,[1]Relatório!$AK$2:$AK$2653)</f>
        <v>282</v>
      </c>
      <c r="E496" s="11">
        <f t="shared" si="14"/>
        <v>0.000482086717485217</v>
      </c>
      <c r="F496" s="11">
        <f>SUM($E$7:E496)</f>
        <v>0.82125523756447</v>
      </c>
      <c r="G496" s="12" t="str">
        <f t="shared" si="15"/>
        <v>B</v>
      </c>
      <c r="H496" s="9" t="s">
        <v>21</v>
      </c>
      <c r="I496" s="9" t="s">
        <v>1098</v>
      </c>
      <c r="J496" s="9" t="s">
        <v>33</v>
      </c>
      <c r="K496" s="10" t="str">
        <f>IFERROR(VLOOKUP(A496,'Pedido ESTHER'!$B:$C,2,0),"")</f>
        <v/>
      </c>
      <c r="L496" s="12" t="str">
        <f>IF(N(K496)&gt;0,"COMPRA","NÃO COMPRA")</f>
        <v>NÃO COMPRA</v>
      </c>
    </row>
    <row r="497" spans="1:12">
      <c r="A497" s="8" t="s">
        <v>1099</v>
      </c>
      <c r="B497" s="9" t="s">
        <v>1100</v>
      </c>
      <c r="C497" s="9" t="e">
        <f>VLOOKUP(A497,[2]Planilha1!$A:$B,2,0)</f>
        <v>#N/A</v>
      </c>
      <c r="D497" s="10">
        <f>SUMIF([1]Relatório!$A$2:$A$2653,A497,[1]Relatório!$AK$2:$AK$2653)</f>
        <v>282</v>
      </c>
      <c r="E497" s="11">
        <f t="shared" si="14"/>
        <v>0.000482086717485217</v>
      </c>
      <c r="F497" s="11">
        <f>SUM($E$7:E497)</f>
        <v>0.821737324281955</v>
      </c>
      <c r="G497" s="12" t="str">
        <f t="shared" si="15"/>
        <v>B</v>
      </c>
      <c r="H497" s="9" t="s">
        <v>74</v>
      </c>
      <c r="I497" s="9" t="s">
        <v>1101</v>
      </c>
      <c r="J497" s="9" t="s">
        <v>880</v>
      </c>
      <c r="K497" s="10" t="str">
        <f>IFERROR(VLOOKUP(A497,'Pedido ESTHER'!$B:$C,2,0),"")</f>
        <v/>
      </c>
      <c r="L497" s="12" t="str">
        <f>IF(N(K497)&gt;0,"COMPRA","NÃO COMPRA")</f>
        <v>NÃO COMPRA</v>
      </c>
    </row>
    <row r="498" spans="1:12">
      <c r="A498" s="8" t="s">
        <v>1102</v>
      </c>
      <c r="B498" s="9" t="s">
        <v>1103</v>
      </c>
      <c r="C498" s="9" t="e">
        <f>VLOOKUP(A498,[2]Planilha1!$A:$B,2,0)</f>
        <v>#N/A</v>
      </c>
      <c r="D498" s="10">
        <f>SUMIF([1]Relatório!$A$2:$A$2653,A498,[1]Relatório!$AK$2:$AK$2653)</f>
        <v>282</v>
      </c>
      <c r="E498" s="11">
        <f t="shared" si="14"/>
        <v>0.000482086717485217</v>
      </c>
      <c r="F498" s="11">
        <f>SUM($E$7:E498)</f>
        <v>0.82221941099944</v>
      </c>
      <c r="G498" s="12" t="str">
        <f t="shared" si="15"/>
        <v>B</v>
      </c>
      <c r="H498" s="9" t="s">
        <v>586</v>
      </c>
      <c r="I498" s="9"/>
      <c r="J498" s="9" t="s">
        <v>164</v>
      </c>
      <c r="K498" s="10" t="str">
        <f>IFERROR(VLOOKUP(A498,'Pedido ESTHER'!$B:$C,2,0),"")</f>
        <v/>
      </c>
      <c r="L498" s="12" t="str">
        <f>IF(N(K498)&gt;0,"COMPRA","NÃO COMPRA")</f>
        <v>NÃO COMPRA</v>
      </c>
    </row>
    <row r="499" spans="1:12">
      <c r="A499" s="8" t="s">
        <v>1104</v>
      </c>
      <c r="B499" s="9" t="s">
        <v>38</v>
      </c>
      <c r="C499" s="9" t="e">
        <f>VLOOKUP(A499,[2]Planilha1!$A:$B,2,0)</f>
        <v>#N/A</v>
      </c>
      <c r="D499" s="10">
        <f>SUMIF([1]Relatório!$A$2:$A$2653,A499,[1]Relatório!$AK$2:$AK$2653)</f>
        <v>281</v>
      </c>
      <c r="E499" s="11">
        <f t="shared" si="14"/>
        <v>0.000480377190118248</v>
      </c>
      <c r="F499" s="11">
        <f>SUM($E$7:E499)</f>
        <v>0.822699788189559</v>
      </c>
      <c r="G499" s="12" t="str">
        <f t="shared" si="15"/>
        <v>B</v>
      </c>
      <c r="H499" s="9" t="s">
        <v>21</v>
      </c>
      <c r="I499" s="9"/>
      <c r="J499" s="9" t="s">
        <v>40</v>
      </c>
      <c r="K499" s="10" t="str">
        <f>IFERROR(VLOOKUP(A499,'Pedido ESTHER'!$B:$C,2,0),"")</f>
        <v/>
      </c>
      <c r="L499" s="12" t="str">
        <f>IF(N(K499)&gt;0,"COMPRA","NÃO COMPRA")</f>
        <v>NÃO COMPRA</v>
      </c>
    </row>
    <row r="500" spans="1:12">
      <c r="A500" s="8" t="s">
        <v>1105</v>
      </c>
      <c r="B500" s="9" t="s">
        <v>193</v>
      </c>
      <c r="C500" s="9" t="e">
        <f>VLOOKUP(A500,[2]Planilha1!$A:$B,2,0)</f>
        <v>#N/A</v>
      </c>
      <c r="D500" s="10">
        <f>SUMIF([1]Relatório!$A$2:$A$2653,A500,[1]Relatório!$AK$2:$AK$2653)</f>
        <v>281</v>
      </c>
      <c r="E500" s="11">
        <f t="shared" si="14"/>
        <v>0.000480377190118248</v>
      </c>
      <c r="F500" s="11">
        <f>SUM($E$7:E500)</f>
        <v>0.823180165379677</v>
      </c>
      <c r="G500" s="12" t="str">
        <f t="shared" si="15"/>
        <v>B</v>
      </c>
      <c r="H500" s="9" t="s">
        <v>183</v>
      </c>
      <c r="I500" s="9" t="s">
        <v>1106</v>
      </c>
      <c r="J500" s="9" t="s">
        <v>49</v>
      </c>
      <c r="K500" s="10" t="str">
        <f>IFERROR(VLOOKUP(A500,'Pedido ESTHER'!$B:$C,2,0),"")</f>
        <v/>
      </c>
      <c r="L500" s="12" t="str">
        <f>IF(N(K500)&gt;0,"COMPRA","NÃO COMPRA")</f>
        <v>NÃO COMPRA</v>
      </c>
    </row>
    <row r="501" spans="1:12">
      <c r="A501" s="8" t="s">
        <v>1107</v>
      </c>
      <c r="B501" s="9" t="s">
        <v>1108</v>
      </c>
      <c r="C501" s="9" t="e">
        <f>VLOOKUP(A501,[2]Planilha1!$A:$B,2,0)</f>
        <v>#N/A</v>
      </c>
      <c r="D501" s="10">
        <f>SUMIF([1]Relatório!$A$2:$A$2653,A501,[1]Relatório!$AK$2:$AK$2653)</f>
        <v>280</v>
      </c>
      <c r="E501" s="11">
        <f t="shared" si="14"/>
        <v>0.000478667662751279</v>
      </c>
      <c r="F501" s="11">
        <f>SUM($E$7:E501)</f>
        <v>0.823658833042428</v>
      </c>
      <c r="G501" s="12" t="str">
        <f t="shared" si="15"/>
        <v>B</v>
      </c>
      <c r="H501" s="9" t="s">
        <v>112</v>
      </c>
      <c r="I501" s="9" t="s">
        <v>1109</v>
      </c>
      <c r="J501" s="9" t="s">
        <v>1110</v>
      </c>
      <c r="K501" s="10" t="str">
        <f>IFERROR(VLOOKUP(A501,'Pedido ESTHER'!$B:$C,2,0),"")</f>
        <v/>
      </c>
      <c r="L501" s="12" t="str">
        <f>IF(N(K501)&gt;0,"COMPRA","NÃO COMPRA")</f>
        <v>NÃO COMPRA</v>
      </c>
    </row>
    <row r="502" spans="1:12">
      <c r="A502" s="8" t="s">
        <v>1111</v>
      </c>
      <c r="B502" s="9" t="s">
        <v>78</v>
      </c>
      <c r="C502" s="9" t="e">
        <f>VLOOKUP(A502,[2]Planilha1!$A:$B,2,0)</f>
        <v>#N/A</v>
      </c>
      <c r="D502" s="10">
        <f>SUMIF([1]Relatório!$A$2:$A$2653,A502,[1]Relatório!$AK$2:$AK$2653)</f>
        <v>280</v>
      </c>
      <c r="E502" s="11">
        <f t="shared" si="14"/>
        <v>0.000478667662751279</v>
      </c>
      <c r="F502" s="11">
        <f>SUM($E$7:E502)</f>
        <v>0.824137500705179</v>
      </c>
      <c r="G502" s="12" t="str">
        <f t="shared" si="15"/>
        <v>B</v>
      </c>
      <c r="H502" s="9" t="s">
        <v>74</v>
      </c>
      <c r="I502" s="9" t="s">
        <v>1112</v>
      </c>
      <c r="J502" s="9" t="s">
        <v>44</v>
      </c>
      <c r="K502" s="10" t="str">
        <f>IFERROR(VLOOKUP(A502,'Pedido ESTHER'!$B:$C,2,0),"")</f>
        <v/>
      </c>
      <c r="L502" s="12" t="str">
        <f>IF(N(K502)&gt;0,"COMPRA","NÃO COMPRA")</f>
        <v>NÃO COMPRA</v>
      </c>
    </row>
    <row r="503" spans="1:12">
      <c r="A503" s="8" t="s">
        <v>1113</v>
      </c>
      <c r="B503" s="9" t="s">
        <v>179</v>
      </c>
      <c r="C503" s="9" t="e">
        <f>VLOOKUP(A503,[2]Planilha1!$A:$B,2,0)</f>
        <v>#N/A</v>
      </c>
      <c r="D503" s="10">
        <f>SUMIF([1]Relatório!$A$2:$A$2653,A503,[1]Relatório!$AK$2:$AK$2653)</f>
        <v>279</v>
      </c>
      <c r="E503" s="11">
        <f t="shared" si="14"/>
        <v>0.00047695813538431</v>
      </c>
      <c r="F503" s="11">
        <f>SUM($E$7:E503)</f>
        <v>0.824614458840564</v>
      </c>
      <c r="G503" s="12" t="str">
        <f t="shared" si="15"/>
        <v>B</v>
      </c>
      <c r="H503" s="9" t="s">
        <v>18</v>
      </c>
      <c r="I503" s="9" t="s">
        <v>1114</v>
      </c>
      <c r="J503" s="9" t="s">
        <v>40</v>
      </c>
      <c r="K503" s="10" t="str">
        <f>IFERROR(VLOOKUP(A503,'Pedido ESTHER'!$B:$C,2,0),"")</f>
        <v/>
      </c>
      <c r="L503" s="12" t="str">
        <f>IF(N(K503)&gt;0,"COMPRA","NÃO COMPRA")</f>
        <v>NÃO COMPRA</v>
      </c>
    </row>
    <row r="504" spans="1:12">
      <c r="A504" s="8" t="s">
        <v>1115</v>
      </c>
      <c r="B504" s="9" t="s">
        <v>1116</v>
      </c>
      <c r="C504" s="9" t="e">
        <f>VLOOKUP(A504,[2]Planilha1!$A:$B,2,0)</f>
        <v>#N/A</v>
      </c>
      <c r="D504" s="10">
        <f>SUMIF([1]Relatório!$A$2:$A$2653,A504,[1]Relatório!$AK$2:$AK$2653)</f>
        <v>279</v>
      </c>
      <c r="E504" s="11">
        <f t="shared" si="14"/>
        <v>0.00047695813538431</v>
      </c>
      <c r="F504" s="11">
        <f>SUM($E$7:E504)</f>
        <v>0.825091416975948</v>
      </c>
      <c r="G504" s="12" t="str">
        <f t="shared" si="15"/>
        <v>B</v>
      </c>
      <c r="H504" s="9" t="s">
        <v>1117</v>
      </c>
      <c r="I504" s="9" t="s">
        <v>1118</v>
      </c>
      <c r="J504" s="9" t="s">
        <v>44</v>
      </c>
      <c r="K504" s="10" t="str">
        <f>IFERROR(VLOOKUP(A504,'Pedido ESTHER'!$B:$C,2,0),"")</f>
        <v/>
      </c>
      <c r="L504" s="12" t="str">
        <f>IF(N(K504)&gt;0,"COMPRA","NÃO COMPRA")</f>
        <v>NÃO COMPRA</v>
      </c>
    </row>
    <row r="505" spans="1:12">
      <c r="A505" s="8" t="s">
        <v>1119</v>
      </c>
      <c r="B505" s="9" t="s">
        <v>363</v>
      </c>
      <c r="C505" s="9" t="e">
        <f>VLOOKUP(A505,[2]Planilha1!$A:$B,2,0)</f>
        <v>#N/A</v>
      </c>
      <c r="D505" s="10">
        <f>SUMIF([1]Relatório!$A$2:$A$2653,A505,[1]Relatório!$AK$2:$AK$2653)</f>
        <v>278</v>
      </c>
      <c r="E505" s="11">
        <f t="shared" si="14"/>
        <v>0.000475248608017341</v>
      </c>
      <c r="F505" s="11">
        <f>SUM($E$7:E505)</f>
        <v>0.825566665583965</v>
      </c>
      <c r="G505" s="12" t="str">
        <f t="shared" si="15"/>
        <v>B</v>
      </c>
      <c r="H505" s="9" t="s">
        <v>183</v>
      </c>
      <c r="I505" s="9" t="s">
        <v>1120</v>
      </c>
      <c r="J505" s="9" t="s">
        <v>40</v>
      </c>
      <c r="K505" s="10" t="str">
        <f>IFERROR(VLOOKUP(A505,'Pedido ESTHER'!$B:$C,2,0),"")</f>
        <v/>
      </c>
      <c r="L505" s="12" t="str">
        <f>IF(N(K505)&gt;0,"COMPRA","NÃO COMPRA")</f>
        <v>NÃO COMPRA</v>
      </c>
    </row>
    <row r="506" spans="1:12">
      <c r="A506" s="8" t="s">
        <v>1121</v>
      </c>
      <c r="B506" s="9" t="s">
        <v>676</v>
      </c>
      <c r="C506" s="9" t="e">
        <f>VLOOKUP(A506,[2]Planilha1!$A:$B,2,0)</f>
        <v>#N/A</v>
      </c>
      <c r="D506" s="10">
        <f>SUMIF([1]Relatório!$A$2:$A$2653,A506,[1]Relatório!$AK$2:$AK$2653)</f>
        <v>277</v>
      </c>
      <c r="E506" s="11">
        <f t="shared" si="14"/>
        <v>0.000473539080650373</v>
      </c>
      <c r="F506" s="11">
        <f>SUM($E$7:E506)</f>
        <v>0.826040204664616</v>
      </c>
      <c r="G506" s="12" t="str">
        <f t="shared" si="15"/>
        <v>B</v>
      </c>
      <c r="H506" s="9" t="s">
        <v>117</v>
      </c>
      <c r="I506" s="9" t="s">
        <v>1122</v>
      </c>
      <c r="J506" s="9" t="s">
        <v>36</v>
      </c>
      <c r="K506" s="10" t="str">
        <f>IFERROR(VLOOKUP(A506,'Pedido ESTHER'!$B:$C,2,0),"")</f>
        <v/>
      </c>
      <c r="L506" s="12" t="str">
        <f>IF(N(K506)&gt;0,"COMPRA","NÃO COMPRA")</f>
        <v>NÃO COMPRA</v>
      </c>
    </row>
    <row r="507" spans="1:12">
      <c r="A507" s="8" t="s">
        <v>1123</v>
      </c>
      <c r="B507" s="9" t="s">
        <v>220</v>
      </c>
      <c r="C507" s="9" t="e">
        <f>VLOOKUP(A507,[2]Planilha1!$A:$B,2,0)</f>
        <v>#N/A</v>
      </c>
      <c r="D507" s="10">
        <f>SUMIF([1]Relatório!$A$2:$A$2653,A507,[1]Relatório!$AK$2:$AK$2653)</f>
        <v>277</v>
      </c>
      <c r="E507" s="11">
        <f t="shared" si="14"/>
        <v>0.000473539080650373</v>
      </c>
      <c r="F507" s="11">
        <f>SUM($E$7:E507)</f>
        <v>0.826513743745266</v>
      </c>
      <c r="G507" s="12" t="str">
        <f t="shared" si="15"/>
        <v>B</v>
      </c>
      <c r="H507" s="9" t="s">
        <v>112</v>
      </c>
      <c r="I507" s="9" t="s">
        <v>1124</v>
      </c>
      <c r="J507" s="9" t="s">
        <v>49</v>
      </c>
      <c r="K507" s="10" t="str">
        <f>IFERROR(VLOOKUP(A507,'Pedido ESTHER'!$B:$C,2,0),"")</f>
        <v/>
      </c>
      <c r="L507" s="12" t="str">
        <f>IF(N(K507)&gt;0,"COMPRA","NÃO COMPRA")</f>
        <v>NÃO COMPRA</v>
      </c>
    </row>
    <row r="508" spans="1:12">
      <c r="A508" s="8" t="s">
        <v>1125</v>
      </c>
      <c r="B508" s="9" t="s">
        <v>1126</v>
      </c>
      <c r="C508" s="9" t="e">
        <f>VLOOKUP(A508,[2]Planilha1!$A:$B,2,0)</f>
        <v>#N/A</v>
      </c>
      <c r="D508" s="10">
        <f>SUMIF([1]Relatório!$A$2:$A$2653,A508,[1]Relatório!$AK$2:$AK$2653)</f>
        <v>277</v>
      </c>
      <c r="E508" s="11">
        <f t="shared" si="14"/>
        <v>0.000473539080650373</v>
      </c>
      <c r="F508" s="11">
        <f>SUM($E$7:E508)</f>
        <v>0.826987282825916</v>
      </c>
      <c r="G508" s="12" t="str">
        <f t="shared" si="15"/>
        <v>B</v>
      </c>
      <c r="H508" s="9" t="s">
        <v>221</v>
      </c>
      <c r="I508" s="9" t="s">
        <v>1127</v>
      </c>
      <c r="J508" s="9" t="s">
        <v>213</v>
      </c>
      <c r="K508" s="10" t="str">
        <f>IFERROR(VLOOKUP(A508,'Pedido ESTHER'!$B:$C,2,0),"")</f>
        <v/>
      </c>
      <c r="L508" s="12" t="str">
        <f>IF(N(K508)&gt;0,"COMPRA","NÃO COMPRA")</f>
        <v>NÃO COMPRA</v>
      </c>
    </row>
    <row r="509" spans="1:12">
      <c r="A509" s="8" t="s">
        <v>1128</v>
      </c>
      <c r="B509" s="9" t="s">
        <v>1129</v>
      </c>
      <c r="C509" s="9" t="e">
        <f>VLOOKUP(A509,[2]Planilha1!$A:$B,2,0)</f>
        <v>#N/A</v>
      </c>
      <c r="D509" s="10">
        <f>SUMIF([1]Relatório!$A$2:$A$2653,A509,[1]Relatório!$AK$2:$AK$2653)</f>
        <v>275</v>
      </c>
      <c r="E509" s="11">
        <f t="shared" si="14"/>
        <v>0.000470120025916435</v>
      </c>
      <c r="F509" s="11">
        <f>SUM($E$7:E509)</f>
        <v>0.827457402851833</v>
      </c>
      <c r="G509" s="12" t="str">
        <f t="shared" si="15"/>
        <v>B</v>
      </c>
      <c r="H509" s="9" t="s">
        <v>183</v>
      </c>
      <c r="I509" s="9" t="s">
        <v>1130</v>
      </c>
      <c r="J509" s="9" t="s">
        <v>15</v>
      </c>
      <c r="K509" s="10" t="str">
        <f>IFERROR(VLOOKUP(A509,'Pedido ESTHER'!$B:$C,2,0),"")</f>
        <v/>
      </c>
      <c r="L509" s="12" t="str">
        <f>IF(N(K509)&gt;0,"COMPRA","NÃO COMPRA")</f>
        <v>NÃO COMPRA</v>
      </c>
    </row>
    <row r="510" spans="1:12">
      <c r="A510" s="8" t="s">
        <v>1131</v>
      </c>
      <c r="B510" s="9" t="s">
        <v>1132</v>
      </c>
      <c r="C510" s="9" t="e">
        <f>VLOOKUP(A510,[2]Planilha1!$A:$B,2,0)</f>
        <v>#N/A</v>
      </c>
      <c r="D510" s="10">
        <f>SUMIF([1]Relatório!$A$2:$A$2653,A510,[1]Relatório!$AK$2:$AK$2653)</f>
        <v>274</v>
      </c>
      <c r="E510" s="11">
        <f t="shared" si="14"/>
        <v>0.000468410498549466</v>
      </c>
      <c r="F510" s="11">
        <f>SUM($E$7:E510)</f>
        <v>0.827925813350382</v>
      </c>
      <c r="G510" s="12" t="str">
        <f t="shared" si="15"/>
        <v>B</v>
      </c>
      <c r="H510" s="9" t="s">
        <v>74</v>
      </c>
      <c r="I510" s="9" t="s">
        <v>1133</v>
      </c>
      <c r="J510" s="9" t="s">
        <v>36</v>
      </c>
      <c r="K510" s="10" t="str">
        <f>IFERROR(VLOOKUP(A510,'Pedido ESTHER'!$B:$C,2,0),"")</f>
        <v/>
      </c>
      <c r="L510" s="12" t="str">
        <f>IF(N(K510)&gt;0,"COMPRA","NÃO COMPRA")</f>
        <v>NÃO COMPRA</v>
      </c>
    </row>
    <row r="511" spans="1:12">
      <c r="A511" s="8" t="s">
        <v>1134</v>
      </c>
      <c r="B511" s="9" t="s">
        <v>38</v>
      </c>
      <c r="C511" s="9" t="e">
        <f>VLOOKUP(A511,[2]Planilha1!$A:$B,2,0)</f>
        <v>#N/A</v>
      </c>
      <c r="D511" s="10">
        <f>SUMIF([1]Relatório!$A$2:$A$2653,A511,[1]Relatório!$AK$2:$AK$2653)</f>
        <v>274</v>
      </c>
      <c r="E511" s="11">
        <f t="shared" si="14"/>
        <v>0.000468410498549466</v>
      </c>
      <c r="F511" s="11">
        <f>SUM($E$7:E511)</f>
        <v>0.828394223848932</v>
      </c>
      <c r="G511" s="12" t="str">
        <f t="shared" si="15"/>
        <v>B</v>
      </c>
      <c r="H511" s="9" t="s">
        <v>21</v>
      </c>
      <c r="I511" s="9" t="s">
        <v>1135</v>
      </c>
      <c r="J511" s="9" t="s">
        <v>40</v>
      </c>
      <c r="K511" s="10" t="str">
        <f>IFERROR(VLOOKUP(A511,'Pedido ESTHER'!$B:$C,2,0),"")</f>
        <v/>
      </c>
      <c r="L511" s="12" t="str">
        <f>IF(N(K511)&gt;0,"COMPRA","NÃO COMPRA")</f>
        <v>NÃO COMPRA</v>
      </c>
    </row>
    <row r="512" spans="1:12">
      <c r="A512" s="8" t="s">
        <v>1136</v>
      </c>
      <c r="B512" s="9" t="s">
        <v>1137</v>
      </c>
      <c r="C512" s="9" t="e">
        <f>VLOOKUP(A512,[2]Planilha1!$A:$B,2,0)</f>
        <v>#N/A</v>
      </c>
      <c r="D512" s="10">
        <f>SUMIF([1]Relatório!$A$2:$A$2653,A512,[1]Relatório!$AK$2:$AK$2653)</f>
        <v>272</v>
      </c>
      <c r="E512" s="11">
        <f t="shared" si="14"/>
        <v>0.000464991443815528</v>
      </c>
      <c r="F512" s="11">
        <f>SUM($E$7:E512)</f>
        <v>0.828859215292747</v>
      </c>
      <c r="G512" s="12" t="str">
        <f t="shared" si="15"/>
        <v>B</v>
      </c>
      <c r="H512" s="9" t="s">
        <v>74</v>
      </c>
      <c r="I512" s="9" t="s">
        <v>1138</v>
      </c>
      <c r="J512" s="9" t="s">
        <v>36</v>
      </c>
      <c r="K512" s="10" t="str">
        <f>IFERROR(VLOOKUP(A512,'Pedido ESTHER'!$B:$C,2,0),"")</f>
        <v/>
      </c>
      <c r="L512" s="12" t="str">
        <f>IF(N(K512)&gt;0,"COMPRA","NÃO COMPRA")</f>
        <v>NÃO COMPRA</v>
      </c>
    </row>
    <row r="513" spans="1:12">
      <c r="A513" s="8" t="s">
        <v>1139</v>
      </c>
      <c r="B513" s="9" t="s">
        <v>426</v>
      </c>
      <c r="C513" s="9" t="e">
        <f>VLOOKUP(A513,[2]Planilha1!$A:$B,2,0)</f>
        <v>#N/A</v>
      </c>
      <c r="D513" s="10">
        <f>SUMIF([1]Relatório!$A$2:$A$2653,A513,[1]Relatório!$AK$2:$AK$2653)</f>
        <v>272</v>
      </c>
      <c r="E513" s="11">
        <f t="shared" si="14"/>
        <v>0.000464991443815528</v>
      </c>
      <c r="F513" s="11">
        <f>SUM($E$7:E513)</f>
        <v>0.829324206736563</v>
      </c>
      <c r="G513" s="12" t="str">
        <f t="shared" si="15"/>
        <v>B</v>
      </c>
      <c r="H513" s="9" t="s">
        <v>117</v>
      </c>
      <c r="I513" s="9" t="s">
        <v>1140</v>
      </c>
      <c r="J513" s="9" t="s">
        <v>268</v>
      </c>
      <c r="K513" s="10" t="str">
        <f>IFERROR(VLOOKUP(A513,'Pedido ESTHER'!$B:$C,2,0),"")</f>
        <v/>
      </c>
      <c r="L513" s="12" t="str">
        <f>IF(N(K513)&gt;0,"COMPRA","NÃO COMPRA")</f>
        <v>NÃO COMPRA</v>
      </c>
    </row>
    <row r="514" spans="1:12">
      <c r="A514" s="8" t="s">
        <v>1141</v>
      </c>
      <c r="B514" s="9" t="s">
        <v>133</v>
      </c>
      <c r="C514" s="9" t="e">
        <f>VLOOKUP(A514,[2]Planilha1!$A:$B,2,0)</f>
        <v>#N/A</v>
      </c>
      <c r="D514" s="10">
        <f>SUMIF([1]Relatório!$A$2:$A$2653,A514,[1]Relatório!$AK$2:$AK$2653)</f>
        <v>271</v>
      </c>
      <c r="E514" s="11">
        <f t="shared" si="14"/>
        <v>0.000463281916448559</v>
      </c>
      <c r="F514" s="11">
        <f>SUM($E$7:E514)</f>
        <v>0.829787488653011</v>
      </c>
      <c r="G514" s="12" t="str">
        <f t="shared" si="15"/>
        <v>B</v>
      </c>
      <c r="H514" s="9" t="s">
        <v>82</v>
      </c>
      <c r="I514" s="9"/>
      <c r="J514" s="9" t="s">
        <v>44</v>
      </c>
      <c r="K514" s="10" t="str">
        <f>IFERROR(VLOOKUP(A514,'Pedido ESTHER'!$B:$C,2,0),"")</f>
        <v/>
      </c>
      <c r="L514" s="12" t="str">
        <f>IF(N(K514)&gt;0,"COMPRA","NÃO COMPRA")</f>
        <v>NÃO COMPRA</v>
      </c>
    </row>
    <row r="515" spans="1:12">
      <c r="A515" s="8" t="s">
        <v>1142</v>
      </c>
      <c r="B515" s="9" t="s">
        <v>812</v>
      </c>
      <c r="C515" s="9" t="e">
        <f>VLOOKUP(A515,[2]Planilha1!$A:$B,2,0)</f>
        <v>#N/A</v>
      </c>
      <c r="D515" s="10">
        <f>SUMIF([1]Relatório!$A$2:$A$2653,A515,[1]Relatório!$AK$2:$AK$2653)</f>
        <v>270</v>
      </c>
      <c r="E515" s="11">
        <f t="shared" si="14"/>
        <v>0.000461572389081591</v>
      </c>
      <c r="F515" s="11">
        <f>SUM($E$7:E515)</f>
        <v>0.830249061042093</v>
      </c>
      <c r="G515" s="12" t="str">
        <f t="shared" si="15"/>
        <v>B</v>
      </c>
      <c r="H515" s="9" t="s">
        <v>776</v>
      </c>
      <c r="I515" s="9"/>
      <c r="J515" s="9" t="s">
        <v>1143</v>
      </c>
      <c r="K515" s="10" t="str">
        <f>IFERROR(VLOOKUP(A515,'Pedido ESTHER'!$B:$C,2,0),"")</f>
        <v/>
      </c>
      <c r="L515" s="12" t="str">
        <f>IF(N(K515)&gt;0,"COMPRA","NÃO COMPRA")</f>
        <v>NÃO COMPRA</v>
      </c>
    </row>
    <row r="516" spans="1:12">
      <c r="A516" s="8" t="s">
        <v>1144</v>
      </c>
      <c r="B516" s="9" t="s">
        <v>887</v>
      </c>
      <c r="C516" s="9" t="e">
        <f>VLOOKUP(A516,[2]Planilha1!$A:$B,2,0)</f>
        <v>#N/A</v>
      </c>
      <c r="D516" s="10">
        <f>SUMIF([1]Relatório!$A$2:$A$2653,A516,[1]Relatório!$AK$2:$AK$2653)</f>
        <v>269</v>
      </c>
      <c r="E516" s="11">
        <f t="shared" si="14"/>
        <v>0.000459862861714622</v>
      </c>
      <c r="F516" s="11">
        <f>SUM($E$7:E516)</f>
        <v>0.830708923903808</v>
      </c>
      <c r="G516" s="12" t="str">
        <f t="shared" si="15"/>
        <v>B</v>
      </c>
      <c r="H516" s="9" t="s">
        <v>831</v>
      </c>
      <c r="I516" s="9" t="s">
        <v>1145</v>
      </c>
      <c r="J516" s="9" t="s">
        <v>359</v>
      </c>
      <c r="K516" s="10" t="str">
        <f>IFERROR(VLOOKUP(A516,'Pedido ESTHER'!$B:$C,2,0),"")</f>
        <v/>
      </c>
      <c r="L516" s="12" t="str">
        <f>IF(N(K516)&gt;0,"COMPRA","NÃO COMPRA")</f>
        <v>NÃO COMPRA</v>
      </c>
    </row>
    <row r="517" spans="1:12">
      <c r="A517" s="8" t="s">
        <v>1146</v>
      </c>
      <c r="B517" s="9" t="s">
        <v>1147</v>
      </c>
      <c r="C517" s="9" t="e">
        <f>VLOOKUP(A517,[2]Planilha1!$A:$B,2,0)</f>
        <v>#N/A</v>
      </c>
      <c r="D517" s="10">
        <f>SUMIF([1]Relatório!$A$2:$A$2653,A517,[1]Relatório!$AK$2:$AK$2653)</f>
        <v>269</v>
      </c>
      <c r="E517" s="11">
        <f t="shared" si="14"/>
        <v>0.000459862861714622</v>
      </c>
      <c r="F517" s="11">
        <f>SUM($E$7:E517)</f>
        <v>0.831168786765522</v>
      </c>
      <c r="G517" s="12" t="str">
        <f t="shared" si="15"/>
        <v>B</v>
      </c>
      <c r="H517" s="9" t="s">
        <v>221</v>
      </c>
      <c r="I517" s="9" t="s">
        <v>1148</v>
      </c>
      <c r="J517" s="9" t="s">
        <v>15</v>
      </c>
      <c r="K517" s="10" t="str">
        <f>IFERROR(VLOOKUP(A517,'Pedido ESTHER'!$B:$C,2,0),"")</f>
        <v/>
      </c>
      <c r="L517" s="12" t="str">
        <f>IF(N(K517)&gt;0,"COMPRA","NÃO COMPRA")</f>
        <v>NÃO COMPRA</v>
      </c>
    </row>
    <row r="518" spans="1:12">
      <c r="A518" s="8" t="s">
        <v>1149</v>
      </c>
      <c r="B518" s="9" t="s">
        <v>263</v>
      </c>
      <c r="C518" s="9" t="e">
        <f>VLOOKUP(A518,[2]Planilha1!$A:$B,2,0)</f>
        <v>#N/A</v>
      </c>
      <c r="D518" s="10">
        <f>SUMIF([1]Relatório!$A$2:$A$2653,A518,[1]Relatório!$AK$2:$AK$2653)</f>
        <v>266</v>
      </c>
      <c r="E518" s="11">
        <f t="shared" si="14"/>
        <v>0.000454734279613715</v>
      </c>
      <c r="F518" s="11">
        <f>SUM($E$7:E518)</f>
        <v>0.831623521045136</v>
      </c>
      <c r="G518" s="12" t="str">
        <f t="shared" si="15"/>
        <v>B</v>
      </c>
      <c r="H518" s="9" t="s">
        <v>117</v>
      </c>
      <c r="I518" s="9" t="s">
        <v>1150</v>
      </c>
      <c r="J518" s="9" t="s">
        <v>40</v>
      </c>
      <c r="K518" s="10" t="str">
        <f>IFERROR(VLOOKUP(A518,'Pedido ESTHER'!$B:$C,2,0),"")</f>
        <v/>
      </c>
      <c r="L518" s="12" t="str">
        <f>IF(N(K518)&gt;0,"COMPRA","NÃO COMPRA")</f>
        <v>NÃO COMPRA</v>
      </c>
    </row>
    <row r="519" spans="1:12">
      <c r="A519" s="8" t="s">
        <v>1151</v>
      </c>
      <c r="B519" s="9" t="s">
        <v>673</v>
      </c>
      <c r="C519" s="9" t="e">
        <f>VLOOKUP(A519,[2]Planilha1!$A:$B,2,0)</f>
        <v>#N/A</v>
      </c>
      <c r="D519" s="10">
        <f>SUMIF([1]Relatório!$A$2:$A$2653,A519,[1]Relatório!$AK$2:$AK$2653)</f>
        <v>266</v>
      </c>
      <c r="E519" s="11">
        <f t="shared" si="14"/>
        <v>0.000454734279613715</v>
      </c>
      <c r="F519" s="11">
        <f>SUM($E$7:E519)</f>
        <v>0.83207825532475</v>
      </c>
      <c r="G519" s="12" t="str">
        <f t="shared" si="15"/>
        <v>B</v>
      </c>
      <c r="H519" s="9" t="s">
        <v>18</v>
      </c>
      <c r="I519" s="9" t="s">
        <v>1152</v>
      </c>
      <c r="J519" s="9" t="s">
        <v>359</v>
      </c>
      <c r="K519" s="10" t="str">
        <f>IFERROR(VLOOKUP(A519,'Pedido ESTHER'!$B:$C,2,0),"")</f>
        <v/>
      </c>
      <c r="L519" s="12" t="str">
        <f>IF(N(K519)&gt;0,"COMPRA","NÃO COMPRA")</f>
        <v>NÃO COMPRA</v>
      </c>
    </row>
    <row r="520" spans="1:12">
      <c r="A520" s="8" t="s">
        <v>1153</v>
      </c>
      <c r="B520" s="9" t="s">
        <v>116</v>
      </c>
      <c r="C520" s="9" t="e">
        <f>VLOOKUP(A520,[2]Planilha1!$A:$B,2,0)</f>
        <v>#N/A</v>
      </c>
      <c r="D520" s="10">
        <f>SUMIF([1]Relatório!$A$2:$A$2653,A520,[1]Relatório!$AK$2:$AK$2653)</f>
        <v>266</v>
      </c>
      <c r="E520" s="11">
        <f t="shared" ref="E520:E583" si="16">D520/SUM($D$7:$D$1708)</f>
        <v>0.000454734279613715</v>
      </c>
      <c r="F520" s="11">
        <f>SUM($E$7:E520)</f>
        <v>0.832532989604364</v>
      </c>
      <c r="G520" s="12" t="str">
        <f t="shared" ref="G520:G583" si="17">IF(F520&lt;=70%,"A",IF(F520&lt;=90%,"B","C"))</f>
        <v>B</v>
      </c>
      <c r="H520" s="9" t="s">
        <v>117</v>
      </c>
      <c r="I520" s="9" t="s">
        <v>1154</v>
      </c>
      <c r="J520" s="9" t="s">
        <v>33</v>
      </c>
      <c r="K520" s="10" t="str">
        <f>IFERROR(VLOOKUP(A520,'Pedido ESTHER'!$B:$C,2,0),"")</f>
        <v/>
      </c>
      <c r="L520" s="12" t="str">
        <f>IF(N(K520)&gt;0,"COMPRA","NÃO COMPRA")</f>
        <v>NÃO COMPRA</v>
      </c>
    </row>
    <row r="521" spans="1:12">
      <c r="A521" s="8" t="s">
        <v>1155</v>
      </c>
      <c r="B521" s="9" t="s">
        <v>38</v>
      </c>
      <c r="C521" s="9" t="e">
        <f>VLOOKUP(A521,[2]Planilha1!$A:$B,2,0)</f>
        <v>#N/A</v>
      </c>
      <c r="D521" s="10">
        <f>SUMIF([1]Relatório!$A$2:$A$2653,A521,[1]Relatório!$AK$2:$AK$2653)</f>
        <v>265</v>
      </c>
      <c r="E521" s="11">
        <f t="shared" si="16"/>
        <v>0.000453024752246746</v>
      </c>
      <c r="F521" s="11">
        <f>SUM($E$7:E521)</f>
        <v>0.83298601435661</v>
      </c>
      <c r="G521" s="12" t="str">
        <f t="shared" si="17"/>
        <v>B</v>
      </c>
      <c r="H521" s="9" t="s">
        <v>21</v>
      </c>
      <c r="I521" s="9"/>
      <c r="J521" s="9" t="s">
        <v>40</v>
      </c>
      <c r="K521" s="10" t="str">
        <f>IFERROR(VLOOKUP(A521,'Pedido ESTHER'!$B:$C,2,0),"")</f>
        <v/>
      </c>
      <c r="L521" s="12" t="str">
        <f>IF(N(K521)&gt;0,"COMPRA","NÃO COMPRA")</f>
        <v>NÃO COMPRA</v>
      </c>
    </row>
    <row r="522" spans="1:12">
      <c r="A522" s="8" t="s">
        <v>1156</v>
      </c>
      <c r="B522" s="9" t="s">
        <v>162</v>
      </c>
      <c r="C522" s="9" t="e">
        <f>VLOOKUP(A522,[2]Planilha1!$A:$B,2,0)</f>
        <v>#N/A</v>
      </c>
      <c r="D522" s="10">
        <f>SUMIF([1]Relatório!$A$2:$A$2653,A522,[1]Relatório!$AK$2:$AK$2653)</f>
        <v>261</v>
      </c>
      <c r="E522" s="11">
        <f t="shared" si="16"/>
        <v>0.000446186642778871</v>
      </c>
      <c r="F522" s="11">
        <f>SUM($E$7:E522)</f>
        <v>0.833432200999389</v>
      </c>
      <c r="G522" s="12" t="str">
        <f t="shared" si="17"/>
        <v>B</v>
      </c>
      <c r="H522" s="9" t="s">
        <v>21</v>
      </c>
      <c r="I522" s="9"/>
      <c r="J522" s="9" t="s">
        <v>164</v>
      </c>
      <c r="K522" s="10" t="str">
        <f>IFERROR(VLOOKUP(A522,'Pedido ESTHER'!$B:$C,2,0),"")</f>
        <v/>
      </c>
      <c r="L522" s="12" t="str">
        <f>IF(N(K522)&gt;0,"COMPRA","NÃO COMPRA")</f>
        <v>NÃO COMPRA</v>
      </c>
    </row>
    <row r="523" spans="1:12">
      <c r="A523" s="8" t="s">
        <v>1157</v>
      </c>
      <c r="B523" s="9" t="s">
        <v>1158</v>
      </c>
      <c r="C523" s="9" t="e">
        <f>VLOOKUP(A523,[2]Planilha1!$A:$B,2,0)</f>
        <v>#N/A</v>
      </c>
      <c r="D523" s="10">
        <f>SUMIF([1]Relatório!$A$2:$A$2653,A523,[1]Relatório!$AK$2:$AK$2653)</f>
        <v>261</v>
      </c>
      <c r="E523" s="11">
        <f t="shared" si="16"/>
        <v>0.000446186642778871</v>
      </c>
      <c r="F523" s="11">
        <f>SUM($E$7:E523)</f>
        <v>0.833878387642168</v>
      </c>
      <c r="G523" s="12" t="str">
        <f t="shared" si="17"/>
        <v>B</v>
      </c>
      <c r="H523" s="9" t="s">
        <v>221</v>
      </c>
      <c r="I523" s="9" t="s">
        <v>1159</v>
      </c>
      <c r="J523" s="9" t="s">
        <v>64</v>
      </c>
      <c r="K523" s="10" t="str">
        <f>IFERROR(VLOOKUP(A523,'Pedido ESTHER'!$B:$C,2,0),"")</f>
        <v/>
      </c>
      <c r="L523" s="12" t="str">
        <f>IF(N(K523)&gt;0,"COMPRA","NÃO COMPRA")</f>
        <v>NÃO COMPRA</v>
      </c>
    </row>
    <row r="524" spans="1:12">
      <c r="A524" s="8" t="s">
        <v>1160</v>
      </c>
      <c r="B524" s="9" t="s">
        <v>1161</v>
      </c>
      <c r="C524" s="9" t="e">
        <f>VLOOKUP(A524,[2]Planilha1!$A:$B,2,0)</f>
        <v>#N/A</v>
      </c>
      <c r="D524" s="10">
        <f>SUMIF([1]Relatório!$A$2:$A$2653,A524,[1]Relatório!$AK$2:$AK$2653)</f>
        <v>260</v>
      </c>
      <c r="E524" s="11">
        <f t="shared" si="16"/>
        <v>0.000444477115411902</v>
      </c>
      <c r="F524" s="11">
        <f>SUM($E$7:E524)</f>
        <v>0.83432286475758</v>
      </c>
      <c r="G524" s="12" t="str">
        <f t="shared" si="17"/>
        <v>B</v>
      </c>
      <c r="H524" s="9" t="s">
        <v>183</v>
      </c>
      <c r="I524" s="9"/>
      <c r="J524" s="9" t="s">
        <v>1017</v>
      </c>
      <c r="K524" s="10" t="str">
        <f>IFERROR(VLOOKUP(A524,'Pedido ESTHER'!$B:$C,2,0),"")</f>
        <v/>
      </c>
      <c r="L524" s="12" t="str">
        <f>IF(N(K524)&gt;0,"COMPRA","NÃO COMPRA")</f>
        <v>NÃO COMPRA</v>
      </c>
    </row>
    <row r="525" spans="1:12">
      <c r="A525" s="8" t="s">
        <v>1162</v>
      </c>
      <c r="B525" s="9" t="s">
        <v>626</v>
      </c>
      <c r="C525" s="9" t="e">
        <f>VLOOKUP(A525,[2]Planilha1!$A:$B,2,0)</f>
        <v>#N/A</v>
      </c>
      <c r="D525" s="10">
        <f>SUMIF([1]Relatório!$A$2:$A$2653,A525,[1]Relatório!$AK$2:$AK$2653)</f>
        <v>258</v>
      </c>
      <c r="E525" s="11">
        <f t="shared" si="16"/>
        <v>0.000441058060677964</v>
      </c>
      <c r="F525" s="11">
        <f>SUM($E$7:E525)</f>
        <v>0.834763922818258</v>
      </c>
      <c r="G525" s="12" t="str">
        <f t="shared" si="17"/>
        <v>B</v>
      </c>
      <c r="H525" s="9" t="s">
        <v>117</v>
      </c>
      <c r="I525" s="9" t="s">
        <v>1163</v>
      </c>
      <c r="J525" s="9" t="s">
        <v>1014</v>
      </c>
      <c r="K525" s="10" t="str">
        <f>IFERROR(VLOOKUP(A525,'Pedido ESTHER'!$B:$C,2,0),"")</f>
        <v/>
      </c>
      <c r="L525" s="12" t="str">
        <f>IF(N(K525)&gt;0,"COMPRA","NÃO COMPRA")</f>
        <v>NÃO COMPRA</v>
      </c>
    </row>
    <row r="526" spans="1:12">
      <c r="A526" s="8" t="s">
        <v>1164</v>
      </c>
      <c r="B526" s="9" t="s">
        <v>388</v>
      </c>
      <c r="C526" s="9" t="e">
        <f>VLOOKUP(A526,[2]Planilha1!$A:$B,2,0)</f>
        <v>#N/A</v>
      </c>
      <c r="D526" s="10">
        <f>SUMIF([1]Relatório!$A$2:$A$2653,A526,[1]Relatório!$AK$2:$AK$2653)</f>
        <v>258</v>
      </c>
      <c r="E526" s="11">
        <f t="shared" si="16"/>
        <v>0.000441058060677964</v>
      </c>
      <c r="F526" s="11">
        <f>SUM($E$7:E526)</f>
        <v>0.835204980878936</v>
      </c>
      <c r="G526" s="12" t="str">
        <f t="shared" si="17"/>
        <v>B</v>
      </c>
      <c r="H526" s="9" t="s">
        <v>21</v>
      </c>
      <c r="I526" s="9" t="s">
        <v>1165</v>
      </c>
      <c r="J526" s="9" t="s">
        <v>390</v>
      </c>
      <c r="K526" s="10" t="str">
        <f>IFERROR(VLOOKUP(A526,'Pedido ESTHER'!$B:$C,2,0),"")</f>
        <v/>
      </c>
      <c r="L526" s="12" t="str">
        <f>IF(N(K526)&gt;0,"COMPRA","NÃO COMPRA")</f>
        <v>NÃO COMPRA</v>
      </c>
    </row>
    <row r="527" spans="1:12">
      <c r="A527" s="8" t="s">
        <v>1166</v>
      </c>
      <c r="B527" s="9" t="s">
        <v>1167</v>
      </c>
      <c r="C527" s="9" t="e">
        <f>VLOOKUP(A527,[2]Planilha1!$A:$B,2,0)</f>
        <v>#N/A</v>
      </c>
      <c r="D527" s="10">
        <f>SUMIF([1]Relatório!$A$2:$A$2653,A527,[1]Relatório!$AK$2:$AK$2653)</f>
        <v>257</v>
      </c>
      <c r="E527" s="11">
        <f t="shared" si="16"/>
        <v>0.000439348533310996</v>
      </c>
      <c r="F527" s="11">
        <f>SUM($E$7:E527)</f>
        <v>0.835644329412247</v>
      </c>
      <c r="G527" s="12" t="str">
        <f t="shared" si="17"/>
        <v>B</v>
      </c>
      <c r="H527" s="9" t="s">
        <v>14</v>
      </c>
      <c r="I527" s="9" t="s">
        <v>1168</v>
      </c>
      <c r="J527" s="9" t="s">
        <v>1169</v>
      </c>
      <c r="K527" s="10" t="str">
        <f>IFERROR(VLOOKUP(A527,'Pedido ESTHER'!$B:$C,2,0),"")</f>
        <v/>
      </c>
      <c r="L527" s="12" t="str">
        <f>IF(N(K527)&gt;0,"COMPRA","NÃO COMPRA")</f>
        <v>NÃO COMPRA</v>
      </c>
    </row>
    <row r="528" spans="1:12">
      <c r="A528" s="8" t="s">
        <v>1170</v>
      </c>
      <c r="B528" s="9" t="s">
        <v>418</v>
      </c>
      <c r="C528" s="9" t="e">
        <f>VLOOKUP(A528,[2]Planilha1!$A:$B,2,0)</f>
        <v>#N/A</v>
      </c>
      <c r="D528" s="10">
        <f>SUMIF([1]Relatório!$A$2:$A$2653,A528,[1]Relatório!$AK$2:$AK$2653)</f>
        <v>257</v>
      </c>
      <c r="E528" s="11">
        <f t="shared" si="16"/>
        <v>0.000439348533310996</v>
      </c>
      <c r="F528" s="11">
        <f>SUM($E$7:E528)</f>
        <v>0.836083677945558</v>
      </c>
      <c r="G528" s="12" t="str">
        <f t="shared" si="17"/>
        <v>B</v>
      </c>
      <c r="H528" s="9" t="s">
        <v>117</v>
      </c>
      <c r="I528" s="9" t="s">
        <v>1171</v>
      </c>
      <c r="J528" s="9" t="s">
        <v>23</v>
      </c>
      <c r="K528" s="10" t="str">
        <f>IFERROR(VLOOKUP(A528,'Pedido ESTHER'!$B:$C,2,0),"")</f>
        <v/>
      </c>
      <c r="L528" s="12" t="str">
        <f>IF(N(K528)&gt;0,"COMPRA","NÃO COMPRA")</f>
        <v>NÃO COMPRA</v>
      </c>
    </row>
    <row r="529" spans="1:12">
      <c r="A529" s="8" t="s">
        <v>1172</v>
      </c>
      <c r="B529" s="9" t="s">
        <v>116</v>
      </c>
      <c r="C529" s="9" t="e">
        <f>VLOOKUP(A529,[2]Planilha1!$A:$B,2,0)</f>
        <v>#N/A</v>
      </c>
      <c r="D529" s="10">
        <f>SUMIF([1]Relatório!$A$2:$A$2653,A529,[1]Relatório!$AK$2:$AK$2653)</f>
        <v>256</v>
      </c>
      <c r="E529" s="11">
        <f t="shared" si="16"/>
        <v>0.000437639005944027</v>
      </c>
      <c r="F529" s="11">
        <f>SUM($E$7:E529)</f>
        <v>0.836521316951502</v>
      </c>
      <c r="G529" s="12" t="str">
        <f t="shared" si="17"/>
        <v>B</v>
      </c>
      <c r="H529" s="9" t="s">
        <v>831</v>
      </c>
      <c r="I529" s="9" t="s">
        <v>1173</v>
      </c>
      <c r="J529" s="9" t="s">
        <v>123</v>
      </c>
      <c r="K529" s="10" t="str">
        <f>IFERROR(VLOOKUP(A529,'Pedido ESTHER'!$B:$C,2,0),"")</f>
        <v/>
      </c>
      <c r="L529" s="12" t="str">
        <f>IF(N(K529)&gt;0,"COMPRA","NÃO COMPRA")</f>
        <v>NÃO COMPRA</v>
      </c>
    </row>
    <row r="530" spans="1:12">
      <c r="A530" s="8" t="s">
        <v>1174</v>
      </c>
      <c r="B530" s="9" t="s">
        <v>1175</v>
      </c>
      <c r="C530" s="9" t="e">
        <f>VLOOKUP(A530,[2]Planilha1!$A:$B,2,0)</f>
        <v>#N/A</v>
      </c>
      <c r="D530" s="10">
        <f>SUMIF([1]Relatório!$A$2:$A$2653,A530,[1]Relatório!$AK$2:$AK$2653)</f>
        <v>255</v>
      </c>
      <c r="E530" s="11">
        <f t="shared" si="16"/>
        <v>0.000435929478577058</v>
      </c>
      <c r="F530" s="11">
        <f>SUM($E$7:E530)</f>
        <v>0.836957246430079</v>
      </c>
      <c r="G530" s="12" t="str">
        <f t="shared" si="17"/>
        <v>B</v>
      </c>
      <c r="H530" s="9" t="s">
        <v>74</v>
      </c>
      <c r="I530" s="9" t="s">
        <v>1176</v>
      </c>
      <c r="J530" s="9" t="s">
        <v>44</v>
      </c>
      <c r="K530" s="10" t="str">
        <f>IFERROR(VLOOKUP(A530,'Pedido ESTHER'!$B:$C,2,0),"")</f>
        <v/>
      </c>
      <c r="L530" s="12" t="str">
        <f>IF(N(K530)&gt;0,"COMPRA","NÃO COMPRA")</f>
        <v>NÃO COMPRA</v>
      </c>
    </row>
    <row r="531" spans="1:12">
      <c r="A531" s="8" t="s">
        <v>1177</v>
      </c>
      <c r="B531" s="9" t="s">
        <v>162</v>
      </c>
      <c r="C531" s="9" t="e">
        <f>VLOOKUP(A531,[2]Planilha1!$A:$B,2,0)</f>
        <v>#N/A</v>
      </c>
      <c r="D531" s="10">
        <f>SUMIF([1]Relatório!$A$2:$A$2653,A531,[1]Relatório!$AK$2:$AK$2653)</f>
        <v>253</v>
      </c>
      <c r="E531" s="11">
        <f t="shared" si="16"/>
        <v>0.00043251042384312</v>
      </c>
      <c r="F531" s="11">
        <f>SUM($E$7:E531)</f>
        <v>0.837389756853922</v>
      </c>
      <c r="G531" s="12" t="str">
        <f t="shared" si="17"/>
        <v>B</v>
      </c>
      <c r="H531" s="9" t="s">
        <v>21</v>
      </c>
      <c r="I531" s="9"/>
      <c r="J531" s="9" t="s">
        <v>164</v>
      </c>
      <c r="K531" s="10" t="str">
        <f>IFERROR(VLOOKUP(A531,'Pedido ESTHER'!$B:$C,2,0),"")</f>
        <v/>
      </c>
      <c r="L531" s="12" t="str">
        <f>IF(N(K531)&gt;0,"COMPRA","NÃO COMPRA")</f>
        <v>NÃO COMPRA</v>
      </c>
    </row>
    <row r="532" spans="1:12">
      <c r="A532" s="8" t="s">
        <v>1178</v>
      </c>
      <c r="B532" s="9" t="s">
        <v>1179</v>
      </c>
      <c r="C532" s="9" t="e">
        <f>VLOOKUP(A532,[2]Planilha1!$A:$B,2,0)</f>
        <v>#N/A</v>
      </c>
      <c r="D532" s="10">
        <f>SUMIF([1]Relatório!$A$2:$A$2653,A532,[1]Relatório!$AK$2:$AK$2653)</f>
        <v>253</v>
      </c>
      <c r="E532" s="11">
        <f t="shared" si="16"/>
        <v>0.00043251042384312</v>
      </c>
      <c r="F532" s="11">
        <f>SUM($E$7:E532)</f>
        <v>0.837822267277765</v>
      </c>
      <c r="G532" s="12" t="str">
        <f t="shared" si="17"/>
        <v>B</v>
      </c>
      <c r="H532" s="9" t="s">
        <v>183</v>
      </c>
      <c r="I532" s="9"/>
      <c r="J532" s="9" t="s">
        <v>1180</v>
      </c>
      <c r="K532" s="10" t="str">
        <f>IFERROR(VLOOKUP(A532,'Pedido ESTHER'!$B:$C,2,0),"")</f>
        <v/>
      </c>
      <c r="L532" s="12" t="str">
        <f>IF(N(K532)&gt;0,"COMPRA","NÃO COMPRA")</f>
        <v>NÃO COMPRA</v>
      </c>
    </row>
    <row r="533" spans="1:12">
      <c r="A533" s="8" t="s">
        <v>1181</v>
      </c>
      <c r="B533" s="9" t="s">
        <v>1182</v>
      </c>
      <c r="C533" s="9" t="e">
        <f>VLOOKUP(A533,[2]Planilha1!$A:$B,2,0)</f>
        <v>#N/A</v>
      </c>
      <c r="D533" s="10">
        <f>SUMIF([1]Relatório!$A$2:$A$2653,A533,[1]Relatório!$AK$2:$AK$2653)</f>
        <v>253</v>
      </c>
      <c r="E533" s="11">
        <f t="shared" si="16"/>
        <v>0.00043251042384312</v>
      </c>
      <c r="F533" s="11">
        <f>SUM($E$7:E533)</f>
        <v>0.838254777701608</v>
      </c>
      <c r="G533" s="12" t="str">
        <f t="shared" si="17"/>
        <v>B</v>
      </c>
      <c r="H533" s="9" t="s">
        <v>221</v>
      </c>
      <c r="I533" s="9" t="s">
        <v>1183</v>
      </c>
      <c r="J533" s="9" t="s">
        <v>158</v>
      </c>
      <c r="K533" s="10" t="str">
        <f>IFERROR(VLOOKUP(A533,'Pedido ESTHER'!$B:$C,2,0),"")</f>
        <v/>
      </c>
      <c r="L533" s="12" t="str">
        <f>IF(N(K533)&gt;0,"COMPRA","NÃO COMPRA")</f>
        <v>NÃO COMPRA</v>
      </c>
    </row>
    <row r="534" spans="1:12">
      <c r="A534" s="8" t="s">
        <v>1184</v>
      </c>
      <c r="B534" s="9" t="s">
        <v>1074</v>
      </c>
      <c r="C534" s="9" t="e">
        <f>VLOOKUP(A534,[2]Planilha1!$A:$B,2,0)</f>
        <v>#N/A</v>
      </c>
      <c r="D534" s="10">
        <f>SUMIF([1]Relatório!$A$2:$A$2653,A534,[1]Relatório!$AK$2:$AK$2653)</f>
        <v>252</v>
      </c>
      <c r="E534" s="11">
        <f t="shared" si="16"/>
        <v>0.000430800896476151</v>
      </c>
      <c r="F534" s="11">
        <f>SUM($E$7:E534)</f>
        <v>0.838685578598084</v>
      </c>
      <c r="G534" s="12" t="str">
        <f t="shared" si="17"/>
        <v>B</v>
      </c>
      <c r="H534" s="9" t="s">
        <v>183</v>
      </c>
      <c r="I534" s="9"/>
      <c r="J534" s="9" t="s">
        <v>273</v>
      </c>
      <c r="K534" s="10" t="str">
        <f>IFERROR(VLOOKUP(A534,'Pedido ESTHER'!$B:$C,2,0),"")</f>
        <v/>
      </c>
      <c r="L534" s="12" t="str">
        <f>IF(N(K534)&gt;0,"COMPRA","NÃO COMPRA")</f>
        <v>NÃO COMPRA</v>
      </c>
    </row>
    <row r="535" spans="1:12">
      <c r="A535" s="8" t="s">
        <v>1185</v>
      </c>
      <c r="B535" s="9" t="s">
        <v>38</v>
      </c>
      <c r="C535" s="9" t="e">
        <f>VLOOKUP(A535,[2]Planilha1!$A:$B,2,0)</f>
        <v>#N/A</v>
      </c>
      <c r="D535" s="10">
        <f>SUMIF([1]Relatório!$A$2:$A$2653,A535,[1]Relatório!$AK$2:$AK$2653)</f>
        <v>251</v>
      </c>
      <c r="E535" s="11">
        <f t="shared" si="16"/>
        <v>0.000429091369109182</v>
      </c>
      <c r="F535" s="11">
        <f>SUM($E$7:E535)</f>
        <v>0.839114669967193</v>
      </c>
      <c r="G535" s="12" t="str">
        <f t="shared" si="17"/>
        <v>B</v>
      </c>
      <c r="H535" s="9" t="s">
        <v>21</v>
      </c>
      <c r="I535" s="9"/>
      <c r="J535" s="9" t="s">
        <v>40</v>
      </c>
      <c r="K535" s="10" t="str">
        <f>IFERROR(VLOOKUP(A535,'Pedido ESTHER'!$B:$C,2,0),"")</f>
        <v/>
      </c>
      <c r="L535" s="12" t="str">
        <f>IF(N(K535)&gt;0,"COMPRA","NÃO COMPRA")</f>
        <v>NÃO COMPRA</v>
      </c>
    </row>
    <row r="536" spans="1:12">
      <c r="A536" s="8" t="s">
        <v>1186</v>
      </c>
      <c r="B536" s="9" t="s">
        <v>1187</v>
      </c>
      <c r="C536" s="9" t="e">
        <f>VLOOKUP(A536,[2]Planilha1!$A:$B,2,0)</f>
        <v>#N/A</v>
      </c>
      <c r="D536" s="10">
        <f>SUMIF([1]Relatório!$A$2:$A$2653,A536,[1]Relatório!$AK$2:$AK$2653)</f>
        <v>251</v>
      </c>
      <c r="E536" s="11">
        <f t="shared" si="16"/>
        <v>0.000429091369109182</v>
      </c>
      <c r="F536" s="11">
        <f>SUM($E$7:E536)</f>
        <v>0.839543761336303</v>
      </c>
      <c r="G536" s="12" t="str">
        <f t="shared" si="17"/>
        <v>B</v>
      </c>
      <c r="H536" s="9" t="s">
        <v>21</v>
      </c>
      <c r="I536" s="9"/>
      <c r="J536" s="9" t="s">
        <v>695</v>
      </c>
      <c r="K536" s="10" t="str">
        <f>IFERROR(VLOOKUP(A536,'Pedido ESTHER'!$B:$C,2,0),"")</f>
        <v/>
      </c>
      <c r="L536" s="12" t="str">
        <f>IF(N(K536)&gt;0,"COMPRA","NÃO COMPRA")</f>
        <v>NÃO COMPRA</v>
      </c>
    </row>
    <row r="537" spans="1:12">
      <c r="A537" s="8" t="s">
        <v>1188</v>
      </c>
      <c r="B537" s="9" t="s">
        <v>528</v>
      </c>
      <c r="C537" s="9" t="e">
        <f>VLOOKUP(A537,[2]Planilha1!$A:$B,2,0)</f>
        <v>#N/A</v>
      </c>
      <c r="D537" s="10">
        <f>SUMIF([1]Relatório!$A$2:$A$2653,A537,[1]Relatório!$AK$2:$AK$2653)</f>
        <v>250</v>
      </c>
      <c r="E537" s="11">
        <f t="shared" si="16"/>
        <v>0.000427381841742214</v>
      </c>
      <c r="F537" s="11">
        <f>SUM($E$7:E537)</f>
        <v>0.839971143178045</v>
      </c>
      <c r="G537" s="12" t="str">
        <f t="shared" si="17"/>
        <v>B</v>
      </c>
      <c r="H537" s="9" t="s">
        <v>21</v>
      </c>
      <c r="I537" s="9"/>
      <c r="J537" s="9" t="s">
        <v>64</v>
      </c>
      <c r="K537" s="10" t="str">
        <f>IFERROR(VLOOKUP(A537,'Pedido ESTHER'!$B:$C,2,0),"")</f>
        <v/>
      </c>
      <c r="L537" s="12" t="str">
        <f>IF(N(K537)&gt;0,"COMPRA","NÃO COMPRA")</f>
        <v>NÃO COMPRA</v>
      </c>
    </row>
    <row r="538" spans="1:12">
      <c r="A538" s="8" t="s">
        <v>1189</v>
      </c>
      <c r="B538" s="9" t="s">
        <v>721</v>
      </c>
      <c r="C538" s="9" t="e">
        <f>VLOOKUP(A538,[2]Planilha1!$A:$B,2,0)</f>
        <v>#N/A</v>
      </c>
      <c r="D538" s="10">
        <f>SUMIF([1]Relatório!$A$2:$A$2653,A538,[1]Relatório!$AK$2:$AK$2653)</f>
        <v>250</v>
      </c>
      <c r="E538" s="11">
        <f t="shared" si="16"/>
        <v>0.000427381841742214</v>
      </c>
      <c r="F538" s="11">
        <f>SUM($E$7:E538)</f>
        <v>0.840398525019787</v>
      </c>
      <c r="G538" s="12" t="str">
        <f t="shared" si="17"/>
        <v>B</v>
      </c>
      <c r="H538" s="9" t="s">
        <v>183</v>
      </c>
      <c r="I538" s="9" t="s">
        <v>1190</v>
      </c>
      <c r="J538" s="9" t="s">
        <v>158</v>
      </c>
      <c r="K538" s="10" t="str">
        <f>IFERROR(VLOOKUP(A538,'Pedido ESTHER'!$B:$C,2,0),"")</f>
        <v/>
      </c>
      <c r="L538" s="12" t="str">
        <f>IF(N(K538)&gt;0,"COMPRA","NÃO COMPRA")</f>
        <v>NÃO COMPRA</v>
      </c>
    </row>
    <row r="539" spans="1:12">
      <c r="A539" s="8" t="s">
        <v>1191</v>
      </c>
      <c r="B539" s="9" t="s">
        <v>522</v>
      </c>
      <c r="C539" s="9" t="e">
        <f>VLOOKUP(A539,[2]Planilha1!$A:$B,2,0)</f>
        <v>#N/A</v>
      </c>
      <c r="D539" s="10">
        <f>SUMIF([1]Relatório!$A$2:$A$2653,A539,[1]Relatório!$AK$2:$AK$2653)</f>
        <v>250</v>
      </c>
      <c r="E539" s="11">
        <f t="shared" si="16"/>
        <v>0.000427381841742214</v>
      </c>
      <c r="F539" s="11">
        <f>SUM($E$7:E539)</f>
        <v>0.840825906861529</v>
      </c>
      <c r="G539" s="12" t="str">
        <f t="shared" si="17"/>
        <v>B</v>
      </c>
      <c r="H539" s="9" t="s">
        <v>117</v>
      </c>
      <c r="I539" s="9" t="s">
        <v>1192</v>
      </c>
      <c r="J539" s="9" t="s">
        <v>201</v>
      </c>
      <c r="K539" s="10" t="str">
        <f>IFERROR(VLOOKUP(A539,'Pedido ESTHER'!$B:$C,2,0),"")</f>
        <v/>
      </c>
      <c r="L539" s="12" t="str">
        <f>IF(N(K539)&gt;0,"COMPRA","NÃO COMPRA")</f>
        <v>NÃO COMPRA</v>
      </c>
    </row>
    <row r="540" spans="1:12">
      <c r="A540" s="8" t="s">
        <v>1193</v>
      </c>
      <c r="B540" s="9" t="s">
        <v>522</v>
      </c>
      <c r="C540" s="9" t="e">
        <f>VLOOKUP(A540,[2]Planilha1!$A:$B,2,0)</f>
        <v>#N/A</v>
      </c>
      <c r="D540" s="10">
        <f>SUMIF([1]Relatório!$A$2:$A$2653,A540,[1]Relatório!$AK$2:$AK$2653)</f>
        <v>249</v>
      </c>
      <c r="E540" s="11">
        <f t="shared" si="16"/>
        <v>0.000425672314375245</v>
      </c>
      <c r="F540" s="11">
        <f>SUM($E$7:E540)</f>
        <v>0.841251579175904</v>
      </c>
      <c r="G540" s="12" t="str">
        <f t="shared" si="17"/>
        <v>B</v>
      </c>
      <c r="H540" s="9" t="s">
        <v>117</v>
      </c>
      <c r="I540" s="9" t="s">
        <v>1194</v>
      </c>
      <c r="J540" s="9" t="s">
        <v>201</v>
      </c>
      <c r="K540" s="10" t="str">
        <f>IFERROR(VLOOKUP(A540,'Pedido ESTHER'!$B:$C,2,0),"")</f>
        <v/>
      </c>
      <c r="L540" s="12" t="str">
        <f>IF(N(K540)&gt;0,"COMPRA","NÃO COMPRA")</f>
        <v>NÃO COMPRA</v>
      </c>
    </row>
    <row r="541" spans="1:12">
      <c r="A541" s="8" t="s">
        <v>1195</v>
      </c>
      <c r="B541" s="9" t="s">
        <v>1196</v>
      </c>
      <c r="C541" s="9" t="e">
        <f>VLOOKUP(A541,[2]Planilha1!$A:$B,2,0)</f>
        <v>#N/A</v>
      </c>
      <c r="D541" s="10">
        <f>SUMIF([1]Relatório!$A$2:$A$2653,A541,[1]Relatório!$AK$2:$AK$2653)</f>
        <v>249</v>
      </c>
      <c r="E541" s="11">
        <f t="shared" si="16"/>
        <v>0.000425672314375245</v>
      </c>
      <c r="F541" s="11">
        <f>SUM($E$7:E541)</f>
        <v>0.84167725149028</v>
      </c>
      <c r="G541" s="12" t="str">
        <f t="shared" si="17"/>
        <v>B</v>
      </c>
      <c r="H541" s="9" t="s">
        <v>112</v>
      </c>
      <c r="I541" s="9" t="s">
        <v>1197</v>
      </c>
      <c r="J541" s="9" t="s">
        <v>40</v>
      </c>
      <c r="K541" s="10" t="str">
        <f>IFERROR(VLOOKUP(A541,'Pedido ESTHER'!$B:$C,2,0),"")</f>
        <v/>
      </c>
      <c r="L541" s="12" t="str">
        <f>IF(N(K541)&gt;0,"COMPRA","NÃO COMPRA")</f>
        <v>NÃO COMPRA</v>
      </c>
    </row>
    <row r="542" spans="1:12">
      <c r="A542" s="8" t="s">
        <v>1198</v>
      </c>
      <c r="B542" s="9" t="s">
        <v>522</v>
      </c>
      <c r="C542" s="9" t="e">
        <f>VLOOKUP(A542,[2]Planilha1!$A:$B,2,0)</f>
        <v>#N/A</v>
      </c>
      <c r="D542" s="10">
        <f>SUMIF([1]Relatório!$A$2:$A$2653,A542,[1]Relatório!$AK$2:$AK$2653)</f>
        <v>247</v>
      </c>
      <c r="E542" s="11">
        <f t="shared" si="16"/>
        <v>0.000422253259641307</v>
      </c>
      <c r="F542" s="11">
        <f>SUM($E$7:E542)</f>
        <v>0.842099504749921</v>
      </c>
      <c r="G542" s="12" t="str">
        <f t="shared" si="17"/>
        <v>B</v>
      </c>
      <c r="H542" s="9" t="s">
        <v>117</v>
      </c>
      <c r="I542" s="9" t="s">
        <v>1199</v>
      </c>
      <c r="J542" s="9" t="s">
        <v>201</v>
      </c>
      <c r="K542" s="10" t="str">
        <f>IFERROR(VLOOKUP(A542,'Pedido ESTHER'!$B:$C,2,0),"")</f>
        <v/>
      </c>
      <c r="L542" s="12" t="str">
        <f>IF(N(K542)&gt;0,"COMPRA","NÃO COMPRA")</f>
        <v>NÃO COMPRA</v>
      </c>
    </row>
    <row r="543" spans="1:12">
      <c r="A543" s="8" t="s">
        <v>1200</v>
      </c>
      <c r="B543" s="9" t="s">
        <v>1201</v>
      </c>
      <c r="C543" s="9" t="e">
        <f>VLOOKUP(A543,[2]Planilha1!$A:$B,2,0)</f>
        <v>#N/A</v>
      </c>
      <c r="D543" s="10">
        <f>SUMIF([1]Relatório!$A$2:$A$2653,A543,[1]Relatório!$AK$2:$AK$2653)</f>
        <v>247</v>
      </c>
      <c r="E543" s="11">
        <f t="shared" si="16"/>
        <v>0.000422253259641307</v>
      </c>
      <c r="F543" s="11">
        <f>SUM($E$7:E543)</f>
        <v>0.842521758009562</v>
      </c>
      <c r="G543" s="12" t="str">
        <f t="shared" si="17"/>
        <v>B</v>
      </c>
      <c r="H543" s="9" t="s">
        <v>586</v>
      </c>
      <c r="I543" s="9" t="s">
        <v>1202</v>
      </c>
      <c r="J543" s="9" t="s">
        <v>359</v>
      </c>
      <c r="K543" s="10" t="str">
        <f>IFERROR(VLOOKUP(A543,'Pedido ESTHER'!$B:$C,2,0),"")</f>
        <v/>
      </c>
      <c r="L543" s="12" t="str">
        <f>IF(N(K543)&gt;0,"COMPRA","NÃO COMPRA")</f>
        <v>NÃO COMPRA</v>
      </c>
    </row>
    <row r="544" spans="1:12">
      <c r="A544" s="8" t="s">
        <v>1203</v>
      </c>
      <c r="B544" s="9" t="s">
        <v>613</v>
      </c>
      <c r="C544" s="9" t="e">
        <f>VLOOKUP(A544,[2]Planilha1!$A:$B,2,0)</f>
        <v>#N/A</v>
      </c>
      <c r="D544" s="10">
        <f>SUMIF([1]Relatório!$A$2:$A$2653,A544,[1]Relatório!$AK$2:$AK$2653)</f>
        <v>245</v>
      </c>
      <c r="E544" s="11">
        <f t="shared" si="16"/>
        <v>0.000418834204907369</v>
      </c>
      <c r="F544" s="11">
        <f>SUM($E$7:E544)</f>
        <v>0.84294059221447</v>
      </c>
      <c r="G544" s="12" t="str">
        <f t="shared" si="17"/>
        <v>B</v>
      </c>
      <c r="H544" s="9" t="s">
        <v>221</v>
      </c>
      <c r="I544" s="9" t="s">
        <v>1204</v>
      </c>
      <c r="J544" s="9" t="s">
        <v>83</v>
      </c>
      <c r="K544" s="10" t="str">
        <f>IFERROR(VLOOKUP(A544,'Pedido ESTHER'!$B:$C,2,0),"")</f>
        <v/>
      </c>
      <c r="L544" s="12" t="str">
        <f>IF(N(K544)&gt;0,"COMPRA","NÃO COMPRA")</f>
        <v>NÃO COMPRA</v>
      </c>
    </row>
    <row r="545" spans="1:12">
      <c r="A545" s="8" t="s">
        <v>1205</v>
      </c>
      <c r="B545" s="9" t="s">
        <v>1206</v>
      </c>
      <c r="C545" s="9" t="e">
        <f>VLOOKUP(A545,[2]Planilha1!$A:$B,2,0)</f>
        <v>#N/A</v>
      </c>
      <c r="D545" s="10">
        <f>SUMIF([1]Relatório!$A$2:$A$2653,A545,[1]Relatório!$AK$2:$AK$2653)</f>
        <v>245</v>
      </c>
      <c r="E545" s="11">
        <f t="shared" si="16"/>
        <v>0.000418834204907369</v>
      </c>
      <c r="F545" s="11">
        <f>SUM($E$7:E545)</f>
        <v>0.843359426419377</v>
      </c>
      <c r="G545" s="12" t="str">
        <f t="shared" si="17"/>
        <v>B</v>
      </c>
      <c r="H545" s="9" t="s">
        <v>1059</v>
      </c>
      <c r="I545" s="9" t="s">
        <v>1207</v>
      </c>
      <c r="J545" s="9" t="s">
        <v>158</v>
      </c>
      <c r="K545" s="10" t="str">
        <f>IFERROR(VLOOKUP(A545,'Pedido ESTHER'!$B:$C,2,0),"")</f>
        <v/>
      </c>
      <c r="L545" s="12" t="str">
        <f>IF(N(K545)&gt;0,"COMPRA","NÃO COMPRA")</f>
        <v>NÃO COMPRA</v>
      </c>
    </row>
    <row r="546" spans="1:12">
      <c r="A546" s="8" t="s">
        <v>1208</v>
      </c>
      <c r="B546" s="9" t="s">
        <v>1209</v>
      </c>
      <c r="C546" s="9" t="e">
        <f>VLOOKUP(A546,[2]Planilha1!$A:$B,2,0)</f>
        <v>#N/A</v>
      </c>
      <c r="D546" s="10">
        <f>SUMIF([1]Relatório!$A$2:$A$2653,A546,[1]Relatório!$AK$2:$AK$2653)</f>
        <v>245</v>
      </c>
      <c r="E546" s="11">
        <f t="shared" si="16"/>
        <v>0.000418834204907369</v>
      </c>
      <c r="F546" s="11">
        <f>SUM($E$7:E546)</f>
        <v>0.843778260624285</v>
      </c>
      <c r="G546" s="12" t="str">
        <f t="shared" si="17"/>
        <v>B</v>
      </c>
      <c r="H546" s="9" t="s">
        <v>18</v>
      </c>
      <c r="I546" s="9" t="s">
        <v>1210</v>
      </c>
      <c r="J546" s="9" t="s">
        <v>58</v>
      </c>
      <c r="K546" s="10" t="str">
        <f>IFERROR(VLOOKUP(A546,'Pedido ESTHER'!$B:$C,2,0),"")</f>
        <v/>
      </c>
      <c r="L546" s="12" t="str">
        <f>IF(N(K546)&gt;0,"COMPRA","NÃO COMPRA")</f>
        <v>NÃO COMPRA</v>
      </c>
    </row>
    <row r="547" spans="1:12">
      <c r="A547" s="8" t="s">
        <v>1211</v>
      </c>
      <c r="B547" s="9" t="s">
        <v>283</v>
      </c>
      <c r="C547" s="9" t="e">
        <f>VLOOKUP(A547,[2]Planilha1!$A:$B,2,0)</f>
        <v>#N/A</v>
      </c>
      <c r="D547" s="10">
        <f>SUMIF([1]Relatório!$A$2:$A$2653,A547,[1]Relatório!$AK$2:$AK$2653)</f>
        <v>244</v>
      </c>
      <c r="E547" s="11">
        <f t="shared" si="16"/>
        <v>0.0004171246775404</v>
      </c>
      <c r="F547" s="11">
        <f>SUM($E$7:E547)</f>
        <v>0.844195385301825</v>
      </c>
      <c r="G547" s="12" t="str">
        <f t="shared" si="17"/>
        <v>B</v>
      </c>
      <c r="H547" s="9" t="s">
        <v>18</v>
      </c>
      <c r="I547" s="9" t="s">
        <v>1212</v>
      </c>
      <c r="J547" s="9" t="s">
        <v>241</v>
      </c>
      <c r="K547" s="10" t="str">
        <f>IFERROR(VLOOKUP(A547,'Pedido ESTHER'!$B:$C,2,0),"")</f>
        <v/>
      </c>
      <c r="L547" s="12" t="str">
        <f>IF(N(K547)&gt;0,"COMPRA","NÃO COMPRA")</f>
        <v>NÃO COMPRA</v>
      </c>
    </row>
    <row r="548" spans="1:12">
      <c r="A548" s="8" t="s">
        <v>1213</v>
      </c>
      <c r="B548" s="9" t="s">
        <v>51</v>
      </c>
      <c r="C548" s="9" t="e">
        <f>VLOOKUP(A548,[2]Planilha1!$A:$B,2,0)</f>
        <v>#N/A</v>
      </c>
      <c r="D548" s="10">
        <f>SUMIF([1]Relatório!$A$2:$A$2653,A548,[1]Relatório!$AK$2:$AK$2653)</f>
        <v>243</v>
      </c>
      <c r="E548" s="11">
        <f t="shared" si="16"/>
        <v>0.000415415150173432</v>
      </c>
      <c r="F548" s="11">
        <f>SUM($E$7:E548)</f>
        <v>0.844610800451998</v>
      </c>
      <c r="G548" s="12" t="str">
        <f t="shared" si="17"/>
        <v>B</v>
      </c>
      <c r="H548" s="9" t="s">
        <v>21</v>
      </c>
      <c r="I548" s="9"/>
      <c r="J548" s="9" t="s">
        <v>123</v>
      </c>
      <c r="K548" s="10" t="str">
        <f>IFERROR(VLOOKUP(A548,'Pedido ESTHER'!$B:$C,2,0),"")</f>
        <v/>
      </c>
      <c r="L548" s="12" t="str">
        <f>IF(N(K548)&gt;0,"COMPRA","NÃO COMPRA")</f>
        <v>NÃO COMPRA</v>
      </c>
    </row>
    <row r="549" spans="1:12">
      <c r="A549" s="8" t="s">
        <v>1214</v>
      </c>
      <c r="B549" s="9" t="s">
        <v>42</v>
      </c>
      <c r="C549" s="9" t="e">
        <f>VLOOKUP(A549,[2]Planilha1!$A:$B,2,0)</f>
        <v>#N/A</v>
      </c>
      <c r="D549" s="10">
        <f>SUMIF([1]Relatório!$A$2:$A$2653,A549,[1]Relatório!$AK$2:$AK$2653)</f>
        <v>243</v>
      </c>
      <c r="E549" s="11">
        <f t="shared" si="16"/>
        <v>0.000415415150173432</v>
      </c>
      <c r="F549" s="11">
        <f>SUM($E$7:E549)</f>
        <v>0.845026215602172</v>
      </c>
      <c r="G549" s="12" t="str">
        <f t="shared" si="17"/>
        <v>B</v>
      </c>
      <c r="H549" s="9" t="s">
        <v>21</v>
      </c>
      <c r="I549" s="9"/>
      <c r="J549" s="9" t="s">
        <v>44</v>
      </c>
      <c r="K549" s="10" t="str">
        <f>IFERROR(VLOOKUP(A549,'Pedido ESTHER'!$B:$C,2,0),"")</f>
        <v/>
      </c>
      <c r="L549" s="12" t="str">
        <f>IF(N(K549)&gt;0,"COMPRA","NÃO COMPRA")</f>
        <v>NÃO COMPRA</v>
      </c>
    </row>
    <row r="550" spans="1:12">
      <c r="A550" s="8" t="s">
        <v>1215</v>
      </c>
      <c r="B550" s="9" t="s">
        <v>283</v>
      </c>
      <c r="C550" s="9" t="e">
        <f>VLOOKUP(A550,[2]Planilha1!$A:$B,2,0)</f>
        <v>#N/A</v>
      </c>
      <c r="D550" s="10">
        <f>SUMIF([1]Relatório!$A$2:$A$2653,A550,[1]Relatório!$AK$2:$AK$2653)</f>
        <v>243</v>
      </c>
      <c r="E550" s="11">
        <f t="shared" si="16"/>
        <v>0.000415415150173432</v>
      </c>
      <c r="F550" s="11">
        <f>SUM($E$7:E550)</f>
        <v>0.845441630752345</v>
      </c>
      <c r="G550" s="12" t="str">
        <f t="shared" si="17"/>
        <v>B</v>
      </c>
      <c r="H550" s="9" t="s">
        <v>18</v>
      </c>
      <c r="I550" s="9" t="s">
        <v>1216</v>
      </c>
      <c r="J550" s="9" t="s">
        <v>241</v>
      </c>
      <c r="K550" s="10" t="str">
        <f>IFERROR(VLOOKUP(A550,'Pedido ESTHER'!$B:$C,2,0),"")</f>
        <v/>
      </c>
      <c r="L550" s="12" t="str">
        <f>IF(N(K550)&gt;0,"COMPRA","NÃO COMPRA")</f>
        <v>NÃO COMPRA</v>
      </c>
    </row>
    <row r="551" spans="1:12">
      <c r="A551" s="8" t="s">
        <v>1217</v>
      </c>
      <c r="B551" s="9" t="s">
        <v>588</v>
      </c>
      <c r="C551" s="9" t="e">
        <f>VLOOKUP(A551,[2]Planilha1!$A:$B,2,0)</f>
        <v>#N/A</v>
      </c>
      <c r="D551" s="10">
        <f>SUMIF([1]Relatório!$A$2:$A$2653,A551,[1]Relatório!$AK$2:$AK$2653)</f>
        <v>242</v>
      </c>
      <c r="E551" s="11">
        <f t="shared" si="16"/>
        <v>0.000413705622806463</v>
      </c>
      <c r="F551" s="11">
        <f>SUM($E$7:E551)</f>
        <v>0.845855336375152</v>
      </c>
      <c r="G551" s="12" t="str">
        <f t="shared" si="17"/>
        <v>B</v>
      </c>
      <c r="H551" s="9" t="s">
        <v>21</v>
      </c>
      <c r="I551" s="9" t="s">
        <v>1218</v>
      </c>
      <c r="J551" s="9" t="s">
        <v>15</v>
      </c>
      <c r="K551" s="10" t="str">
        <f>IFERROR(VLOOKUP(A551,'Pedido ESTHER'!$B:$C,2,0),"")</f>
        <v/>
      </c>
      <c r="L551" s="12" t="str">
        <f>IF(N(K551)&gt;0,"COMPRA","NÃO COMPRA")</f>
        <v>NÃO COMPRA</v>
      </c>
    </row>
    <row r="552" spans="1:12">
      <c r="A552" s="8" t="s">
        <v>1219</v>
      </c>
      <c r="B552" s="9" t="s">
        <v>1220</v>
      </c>
      <c r="C552" s="9" t="e">
        <f>VLOOKUP(A552,[2]Planilha1!$A:$B,2,0)</f>
        <v>#N/A</v>
      </c>
      <c r="D552" s="10">
        <f>SUMIF([1]Relatório!$A$2:$A$2653,A552,[1]Relatório!$AK$2:$AK$2653)</f>
        <v>240</v>
      </c>
      <c r="E552" s="11">
        <f t="shared" si="16"/>
        <v>0.000410286568072525</v>
      </c>
      <c r="F552" s="11">
        <f>SUM($E$7:E552)</f>
        <v>0.846265622943224</v>
      </c>
      <c r="G552" s="12" t="str">
        <f t="shared" si="17"/>
        <v>B</v>
      </c>
      <c r="H552" s="9" t="s">
        <v>117</v>
      </c>
      <c r="I552" s="9" t="s">
        <v>1221</v>
      </c>
      <c r="J552" s="9" t="s">
        <v>101</v>
      </c>
      <c r="K552" s="10" t="str">
        <f>IFERROR(VLOOKUP(A552,'Pedido ESTHER'!$B:$C,2,0),"")</f>
        <v/>
      </c>
      <c r="L552" s="12" t="str">
        <f>IF(N(K552)&gt;0,"COMPRA","NÃO COMPRA")</f>
        <v>NÃO COMPRA</v>
      </c>
    </row>
    <row r="553" spans="1:12">
      <c r="A553" s="8" t="s">
        <v>1222</v>
      </c>
      <c r="B553" s="9" t="s">
        <v>38</v>
      </c>
      <c r="C553" s="9" t="e">
        <f>VLOOKUP(A553,[2]Planilha1!$A:$B,2,0)</f>
        <v>#N/A</v>
      </c>
      <c r="D553" s="10">
        <f>SUMIF([1]Relatório!$A$2:$A$2653,A553,[1]Relatório!$AK$2:$AK$2653)</f>
        <v>239</v>
      </c>
      <c r="E553" s="11">
        <f t="shared" si="16"/>
        <v>0.000408577040705556</v>
      </c>
      <c r="F553" s="11">
        <f>SUM($E$7:E553)</f>
        <v>0.84667419998393</v>
      </c>
      <c r="G553" s="12" t="str">
        <f t="shared" si="17"/>
        <v>B</v>
      </c>
      <c r="H553" s="9" t="s">
        <v>21</v>
      </c>
      <c r="I553" s="9"/>
      <c r="J553" s="9" t="s">
        <v>40</v>
      </c>
      <c r="K553" s="10" t="str">
        <f>IFERROR(VLOOKUP(A553,'Pedido ESTHER'!$B:$C,2,0),"")</f>
        <v/>
      </c>
      <c r="L553" s="12" t="str">
        <f>IF(N(K553)&gt;0,"COMPRA","NÃO COMPRA")</f>
        <v>NÃO COMPRA</v>
      </c>
    </row>
    <row r="554" spans="1:12">
      <c r="A554" s="8" t="s">
        <v>1223</v>
      </c>
      <c r="B554" s="9" t="s">
        <v>162</v>
      </c>
      <c r="C554" s="9" t="e">
        <f>VLOOKUP(A554,[2]Planilha1!$A:$B,2,0)</f>
        <v>#N/A</v>
      </c>
      <c r="D554" s="10">
        <f>SUMIF([1]Relatório!$A$2:$A$2653,A554,[1]Relatório!$AK$2:$AK$2653)</f>
        <v>239</v>
      </c>
      <c r="E554" s="11">
        <f t="shared" si="16"/>
        <v>0.000408577040705556</v>
      </c>
      <c r="F554" s="11">
        <f>SUM($E$7:E554)</f>
        <v>0.847082777024635</v>
      </c>
      <c r="G554" s="12" t="str">
        <f t="shared" si="17"/>
        <v>B</v>
      </c>
      <c r="H554" s="9" t="s">
        <v>21</v>
      </c>
      <c r="I554" s="9" t="s">
        <v>1224</v>
      </c>
      <c r="J554" s="9" t="s">
        <v>164</v>
      </c>
      <c r="K554" s="10" t="str">
        <f>IFERROR(VLOOKUP(A554,'Pedido ESTHER'!$B:$C,2,0),"")</f>
        <v/>
      </c>
      <c r="L554" s="12" t="str">
        <f>IF(N(K554)&gt;0,"COMPRA","NÃO COMPRA")</f>
        <v>NÃO COMPRA</v>
      </c>
    </row>
    <row r="555" spans="1:12">
      <c r="A555" s="8" t="s">
        <v>1225</v>
      </c>
      <c r="B555" s="9" t="s">
        <v>460</v>
      </c>
      <c r="C555" s="9" t="e">
        <f>VLOOKUP(A555,[2]Planilha1!$A:$B,2,0)</f>
        <v>#N/A</v>
      </c>
      <c r="D555" s="10">
        <f>SUMIF([1]Relatório!$A$2:$A$2653,A555,[1]Relatório!$AK$2:$AK$2653)</f>
        <v>238</v>
      </c>
      <c r="E555" s="11">
        <f t="shared" si="16"/>
        <v>0.000406867513338587</v>
      </c>
      <c r="F555" s="11">
        <f>SUM($E$7:E555)</f>
        <v>0.847489644537974</v>
      </c>
      <c r="G555" s="12" t="str">
        <f t="shared" si="17"/>
        <v>B</v>
      </c>
      <c r="H555" s="9" t="s">
        <v>18</v>
      </c>
      <c r="I555" s="9"/>
      <c r="J555" s="9" t="s">
        <v>64</v>
      </c>
      <c r="K555" s="10" t="str">
        <f>IFERROR(VLOOKUP(A555,'Pedido ESTHER'!$B:$C,2,0),"")</f>
        <v/>
      </c>
      <c r="L555" s="12" t="str">
        <f>IF(N(K555)&gt;0,"COMPRA","NÃO COMPRA")</f>
        <v>NÃO COMPRA</v>
      </c>
    </row>
    <row r="556" spans="1:12">
      <c r="A556" s="8" t="s">
        <v>1226</v>
      </c>
      <c r="B556" s="9" t="s">
        <v>681</v>
      </c>
      <c r="C556" s="9" t="e">
        <f>VLOOKUP(A556,[2]Planilha1!$A:$B,2,0)</f>
        <v>#N/A</v>
      </c>
      <c r="D556" s="10">
        <f>SUMIF([1]Relatório!$A$2:$A$2653,A556,[1]Relatório!$AK$2:$AK$2653)</f>
        <v>238</v>
      </c>
      <c r="E556" s="11">
        <f t="shared" si="16"/>
        <v>0.000406867513338587</v>
      </c>
      <c r="F556" s="11">
        <f>SUM($E$7:E556)</f>
        <v>0.847896512051312</v>
      </c>
      <c r="G556" s="12" t="str">
        <f t="shared" si="17"/>
        <v>B</v>
      </c>
      <c r="H556" s="9" t="s">
        <v>183</v>
      </c>
      <c r="I556" s="9"/>
      <c r="J556" s="9" t="s">
        <v>1052</v>
      </c>
      <c r="K556" s="10" t="str">
        <f>IFERROR(VLOOKUP(A556,'Pedido ESTHER'!$B:$C,2,0),"")</f>
        <v/>
      </c>
      <c r="L556" s="12" t="str">
        <f>IF(N(K556)&gt;0,"COMPRA","NÃO COMPRA")</f>
        <v>NÃO COMPRA</v>
      </c>
    </row>
    <row r="557" spans="1:12">
      <c r="A557" s="8" t="s">
        <v>1227</v>
      </c>
      <c r="B557" s="9" t="s">
        <v>38</v>
      </c>
      <c r="C557" s="9" t="e">
        <f>VLOOKUP(A557,[2]Planilha1!$A:$B,2,0)</f>
        <v>#N/A</v>
      </c>
      <c r="D557" s="10">
        <f>SUMIF([1]Relatório!$A$2:$A$2653,A557,[1]Relatório!$AK$2:$AK$2653)</f>
        <v>238</v>
      </c>
      <c r="E557" s="11">
        <f t="shared" si="16"/>
        <v>0.000406867513338587</v>
      </c>
      <c r="F557" s="11">
        <f>SUM($E$7:E557)</f>
        <v>0.848303379564651</v>
      </c>
      <c r="G557" s="12" t="str">
        <f t="shared" si="17"/>
        <v>B</v>
      </c>
      <c r="H557" s="9" t="s">
        <v>21</v>
      </c>
      <c r="I557" s="9" t="s">
        <v>1228</v>
      </c>
      <c r="J557" s="9" t="s">
        <v>40</v>
      </c>
      <c r="K557" s="10" t="str">
        <f>IFERROR(VLOOKUP(A557,'Pedido ESTHER'!$B:$C,2,0),"")</f>
        <v/>
      </c>
      <c r="L557" s="12" t="str">
        <f>IF(N(K557)&gt;0,"COMPRA","NÃO COMPRA")</f>
        <v>NÃO COMPRA</v>
      </c>
    </row>
    <row r="558" spans="1:12">
      <c r="A558" s="8" t="s">
        <v>1229</v>
      </c>
      <c r="B558" s="9" t="s">
        <v>318</v>
      </c>
      <c r="C558" s="9" t="e">
        <f>VLOOKUP(A558,[2]Planilha1!$A:$B,2,0)</f>
        <v>#N/A</v>
      </c>
      <c r="D558" s="10">
        <f>SUMIF([1]Relatório!$A$2:$A$2653,A558,[1]Relatório!$AK$2:$AK$2653)</f>
        <v>237</v>
      </c>
      <c r="E558" s="11">
        <f t="shared" si="16"/>
        <v>0.000405157985971618</v>
      </c>
      <c r="F558" s="11">
        <f>SUM($E$7:E558)</f>
        <v>0.848708537550623</v>
      </c>
      <c r="G558" s="12" t="str">
        <f t="shared" si="17"/>
        <v>B</v>
      </c>
      <c r="H558" s="9" t="s">
        <v>14</v>
      </c>
      <c r="I558" s="9" t="s">
        <v>1230</v>
      </c>
      <c r="J558" s="9" t="s">
        <v>164</v>
      </c>
      <c r="K558" s="10" t="str">
        <f>IFERROR(VLOOKUP(A558,'Pedido ESTHER'!$B:$C,2,0),"")</f>
        <v/>
      </c>
      <c r="L558" s="12" t="str">
        <f>IF(N(K558)&gt;0,"COMPRA","NÃO COMPRA")</f>
        <v>NÃO COMPRA</v>
      </c>
    </row>
    <row r="559" spans="1:12">
      <c r="A559" s="8" t="s">
        <v>1231</v>
      </c>
      <c r="B559" s="9" t="s">
        <v>38</v>
      </c>
      <c r="C559" s="9" t="e">
        <f>VLOOKUP(A559,[2]Planilha1!$A:$B,2,0)</f>
        <v>#N/A</v>
      </c>
      <c r="D559" s="10">
        <f>SUMIF([1]Relatório!$A$2:$A$2653,A559,[1]Relatório!$AK$2:$AK$2653)</f>
        <v>236</v>
      </c>
      <c r="E559" s="11">
        <f t="shared" si="16"/>
        <v>0.00040344845860465</v>
      </c>
      <c r="F559" s="11">
        <f>SUM($E$7:E559)</f>
        <v>0.849111986009227</v>
      </c>
      <c r="G559" s="12" t="str">
        <f t="shared" si="17"/>
        <v>B</v>
      </c>
      <c r="H559" s="9" t="s">
        <v>21</v>
      </c>
      <c r="I559" s="9" t="s">
        <v>1232</v>
      </c>
      <c r="J559" s="9" t="s">
        <v>40</v>
      </c>
      <c r="K559" s="10" t="str">
        <f>IFERROR(VLOOKUP(A559,'Pedido ESTHER'!$B:$C,2,0),"")</f>
        <v/>
      </c>
      <c r="L559" s="12" t="str">
        <f>IF(N(K559)&gt;0,"COMPRA","NÃO COMPRA")</f>
        <v>NÃO COMPRA</v>
      </c>
    </row>
    <row r="560" spans="1:12">
      <c r="A560" s="8" t="s">
        <v>1233</v>
      </c>
      <c r="B560" s="9" t="s">
        <v>215</v>
      </c>
      <c r="C560" s="9" t="e">
        <f>VLOOKUP(A560,[2]Planilha1!$A:$B,2,0)</f>
        <v>#N/A</v>
      </c>
      <c r="D560" s="10">
        <f>SUMIF([1]Relatório!$A$2:$A$2653,A560,[1]Relatório!$AK$2:$AK$2653)</f>
        <v>236</v>
      </c>
      <c r="E560" s="11">
        <f t="shared" si="16"/>
        <v>0.00040344845860465</v>
      </c>
      <c r="F560" s="11">
        <f>SUM($E$7:E560)</f>
        <v>0.849515434467832</v>
      </c>
      <c r="G560" s="12" t="str">
        <f t="shared" si="17"/>
        <v>B</v>
      </c>
      <c r="H560" s="9" t="s">
        <v>143</v>
      </c>
      <c r="I560" s="9"/>
      <c r="J560" s="9" t="s">
        <v>29</v>
      </c>
      <c r="K560" s="10" t="str">
        <f>IFERROR(VLOOKUP(A560,'Pedido ESTHER'!$B:$C,2,0),"")</f>
        <v/>
      </c>
      <c r="L560" s="12" t="str">
        <f>IF(N(K560)&gt;0,"COMPRA","NÃO COMPRA")</f>
        <v>NÃO COMPRA</v>
      </c>
    </row>
    <row r="561" spans="1:12">
      <c r="A561" s="8" t="s">
        <v>1234</v>
      </c>
      <c r="B561" s="9" t="s">
        <v>193</v>
      </c>
      <c r="C561" s="9" t="e">
        <f>VLOOKUP(A561,[2]Planilha1!$A:$B,2,0)</f>
        <v>#N/A</v>
      </c>
      <c r="D561" s="10">
        <f>SUMIF([1]Relatório!$A$2:$A$2653,A561,[1]Relatório!$AK$2:$AK$2653)</f>
        <v>236</v>
      </c>
      <c r="E561" s="11">
        <f t="shared" si="16"/>
        <v>0.00040344845860465</v>
      </c>
      <c r="F561" s="11">
        <f>SUM($E$7:E561)</f>
        <v>0.849918882926437</v>
      </c>
      <c r="G561" s="12" t="str">
        <f t="shared" si="17"/>
        <v>B</v>
      </c>
      <c r="H561" s="9" t="s">
        <v>183</v>
      </c>
      <c r="I561" s="9" t="s">
        <v>1235</v>
      </c>
      <c r="J561" s="9" t="s">
        <v>49</v>
      </c>
      <c r="K561" s="10" t="str">
        <f>IFERROR(VLOOKUP(A561,'Pedido ESTHER'!$B:$C,2,0),"")</f>
        <v/>
      </c>
      <c r="L561" s="12" t="str">
        <f>IF(N(K561)&gt;0,"COMPRA","NÃO COMPRA")</f>
        <v>NÃO COMPRA</v>
      </c>
    </row>
    <row r="562" spans="1:12">
      <c r="A562" s="8" t="s">
        <v>1236</v>
      </c>
      <c r="B562" s="9" t="s">
        <v>827</v>
      </c>
      <c r="C562" s="9" t="e">
        <f>VLOOKUP(A562,[2]Planilha1!$A:$B,2,0)</f>
        <v>#N/A</v>
      </c>
      <c r="D562" s="10">
        <f>SUMIF([1]Relatório!$A$2:$A$2653,A562,[1]Relatório!$AK$2:$AK$2653)</f>
        <v>235</v>
      </c>
      <c r="E562" s="11">
        <f t="shared" si="16"/>
        <v>0.000401738931237681</v>
      </c>
      <c r="F562" s="11">
        <f>SUM($E$7:E562)</f>
        <v>0.850320621857674</v>
      </c>
      <c r="G562" s="12" t="str">
        <f t="shared" si="17"/>
        <v>B</v>
      </c>
      <c r="H562" s="9" t="s">
        <v>183</v>
      </c>
      <c r="I562" s="9"/>
      <c r="J562" s="9" t="s">
        <v>36</v>
      </c>
      <c r="K562" s="10" t="str">
        <f>IFERROR(VLOOKUP(A562,'Pedido ESTHER'!$B:$C,2,0),"")</f>
        <v/>
      </c>
      <c r="L562" s="12" t="str">
        <f>IF(N(K562)&gt;0,"COMPRA","NÃO COMPRA")</f>
        <v>NÃO COMPRA</v>
      </c>
    </row>
    <row r="563" spans="1:12">
      <c r="A563" s="8" t="s">
        <v>1237</v>
      </c>
      <c r="B563" s="9" t="s">
        <v>179</v>
      </c>
      <c r="C563" s="9" t="e">
        <f>VLOOKUP(A563,[2]Planilha1!$A:$B,2,0)</f>
        <v>#N/A</v>
      </c>
      <c r="D563" s="10">
        <f>SUMIF([1]Relatório!$A$2:$A$2653,A563,[1]Relatório!$AK$2:$AK$2653)</f>
        <v>234</v>
      </c>
      <c r="E563" s="11">
        <f t="shared" si="16"/>
        <v>0.000400029403870712</v>
      </c>
      <c r="F563" s="11">
        <f>SUM($E$7:E563)</f>
        <v>0.850720651261545</v>
      </c>
      <c r="G563" s="12" t="str">
        <f t="shared" si="17"/>
        <v>B</v>
      </c>
      <c r="H563" s="9" t="s">
        <v>18</v>
      </c>
      <c r="I563" s="9"/>
      <c r="J563" s="9" t="s">
        <v>40</v>
      </c>
      <c r="K563" s="10" t="str">
        <f>IFERROR(VLOOKUP(A563,'Pedido ESTHER'!$B:$C,2,0),"")</f>
        <v/>
      </c>
      <c r="L563" s="12" t="str">
        <f>IF(N(K563)&gt;0,"COMPRA","NÃO COMPRA")</f>
        <v>NÃO COMPRA</v>
      </c>
    </row>
    <row r="564" spans="1:12">
      <c r="A564" s="8" t="s">
        <v>1238</v>
      </c>
      <c r="B564" s="9" t="s">
        <v>35</v>
      </c>
      <c r="C564" s="9" t="e">
        <f>VLOOKUP(A564,[2]Planilha1!$A:$B,2,0)</f>
        <v>#N/A</v>
      </c>
      <c r="D564" s="10">
        <f>SUMIF([1]Relatório!$A$2:$A$2653,A564,[1]Relatório!$AK$2:$AK$2653)</f>
        <v>233</v>
      </c>
      <c r="E564" s="11">
        <f t="shared" si="16"/>
        <v>0.000398319876503743</v>
      </c>
      <c r="F564" s="11">
        <f>SUM($E$7:E564)</f>
        <v>0.851118971138049</v>
      </c>
      <c r="G564" s="12" t="str">
        <f t="shared" si="17"/>
        <v>B</v>
      </c>
      <c r="H564" s="9" t="s">
        <v>18</v>
      </c>
      <c r="I564" s="9" t="s">
        <v>1239</v>
      </c>
      <c r="J564" s="9" t="s">
        <v>36</v>
      </c>
      <c r="K564" s="10" t="str">
        <f>IFERROR(VLOOKUP(A564,'Pedido ESTHER'!$B:$C,2,0),"")</f>
        <v/>
      </c>
      <c r="L564" s="12" t="str">
        <f>IF(N(K564)&gt;0,"COMPRA","NÃO COMPRA")</f>
        <v>NÃO COMPRA</v>
      </c>
    </row>
    <row r="565" spans="1:12">
      <c r="A565" s="8" t="s">
        <v>1240</v>
      </c>
      <c r="B565" s="9" t="s">
        <v>162</v>
      </c>
      <c r="C565" s="9" t="e">
        <f>VLOOKUP(A565,[2]Planilha1!$A:$B,2,0)</f>
        <v>#N/A</v>
      </c>
      <c r="D565" s="10">
        <f>SUMIF([1]Relatório!$A$2:$A$2653,A565,[1]Relatório!$AK$2:$AK$2653)</f>
        <v>233</v>
      </c>
      <c r="E565" s="11">
        <f t="shared" si="16"/>
        <v>0.000398319876503743</v>
      </c>
      <c r="F565" s="11">
        <f>SUM($E$7:E565)</f>
        <v>0.851517291014552</v>
      </c>
      <c r="G565" s="12" t="str">
        <f t="shared" si="17"/>
        <v>B</v>
      </c>
      <c r="H565" s="9" t="s">
        <v>21</v>
      </c>
      <c r="I565" s="9" t="s">
        <v>1241</v>
      </c>
      <c r="J565" s="9" t="s">
        <v>164</v>
      </c>
      <c r="K565" s="10" t="str">
        <f>IFERROR(VLOOKUP(A565,'Pedido ESTHER'!$B:$C,2,0),"")</f>
        <v/>
      </c>
      <c r="L565" s="12" t="str">
        <f>IF(N(K565)&gt;0,"COMPRA","NÃO COMPRA")</f>
        <v>NÃO COMPRA</v>
      </c>
    </row>
    <row r="566" spans="1:12">
      <c r="A566" s="8" t="s">
        <v>1242</v>
      </c>
      <c r="B566" s="9" t="s">
        <v>1243</v>
      </c>
      <c r="C566" s="9" t="e">
        <f>VLOOKUP(A566,[2]Planilha1!$A:$B,2,0)</f>
        <v>#N/A</v>
      </c>
      <c r="D566" s="10">
        <f>SUMIF([1]Relatório!$A$2:$A$2653,A566,[1]Relatório!$AK$2:$AK$2653)</f>
        <v>233</v>
      </c>
      <c r="E566" s="11">
        <f t="shared" si="16"/>
        <v>0.000398319876503743</v>
      </c>
      <c r="F566" s="11">
        <f>SUM($E$7:E566)</f>
        <v>0.851915610891056</v>
      </c>
      <c r="G566" s="12" t="str">
        <f t="shared" si="17"/>
        <v>B</v>
      </c>
      <c r="H566" s="9" t="s">
        <v>831</v>
      </c>
      <c r="I566" s="9"/>
      <c r="J566" s="9" t="s">
        <v>241</v>
      </c>
      <c r="K566" s="10" t="str">
        <f>IFERROR(VLOOKUP(A566,'Pedido ESTHER'!$B:$C,2,0),"")</f>
        <v/>
      </c>
      <c r="L566" s="12" t="str">
        <f>IF(N(K566)&gt;0,"COMPRA","NÃO COMPRA")</f>
        <v>NÃO COMPRA</v>
      </c>
    </row>
    <row r="567" spans="1:12">
      <c r="A567" s="8" t="s">
        <v>1244</v>
      </c>
      <c r="B567" s="9" t="s">
        <v>749</v>
      </c>
      <c r="C567" s="9" t="e">
        <f>VLOOKUP(A567,[2]Planilha1!$A:$B,2,0)</f>
        <v>#N/A</v>
      </c>
      <c r="D567" s="10">
        <f>SUMIF([1]Relatório!$A$2:$A$2653,A567,[1]Relatório!$AK$2:$AK$2653)</f>
        <v>233</v>
      </c>
      <c r="E567" s="11">
        <f t="shared" si="16"/>
        <v>0.000398319876503743</v>
      </c>
      <c r="F567" s="11">
        <f>SUM($E$7:E567)</f>
        <v>0.85231393076756</v>
      </c>
      <c r="G567" s="12" t="str">
        <f t="shared" si="17"/>
        <v>B</v>
      </c>
      <c r="H567" s="9" t="s">
        <v>183</v>
      </c>
      <c r="I567" s="9" t="s">
        <v>1245</v>
      </c>
      <c r="J567" s="9" t="s">
        <v>359</v>
      </c>
      <c r="K567" s="10" t="str">
        <f>IFERROR(VLOOKUP(A567,'Pedido ESTHER'!$B:$C,2,0),"")</f>
        <v/>
      </c>
      <c r="L567" s="12" t="str">
        <f>IF(N(K567)&gt;0,"COMPRA","NÃO COMPRA")</f>
        <v>NÃO COMPRA</v>
      </c>
    </row>
    <row r="568" spans="1:12">
      <c r="A568" s="8" t="s">
        <v>1246</v>
      </c>
      <c r="B568" s="9" t="s">
        <v>51</v>
      </c>
      <c r="C568" s="9" t="e">
        <f>VLOOKUP(A568,[2]Planilha1!$A:$B,2,0)</f>
        <v>#N/A</v>
      </c>
      <c r="D568" s="10">
        <f>SUMIF([1]Relatório!$A$2:$A$2653,A568,[1]Relatório!$AK$2:$AK$2653)</f>
        <v>232</v>
      </c>
      <c r="E568" s="11">
        <f t="shared" si="16"/>
        <v>0.000396610349136774</v>
      </c>
      <c r="F568" s="11">
        <f>SUM($E$7:E568)</f>
        <v>0.852710541116697</v>
      </c>
      <c r="G568" s="12" t="str">
        <f t="shared" si="17"/>
        <v>B</v>
      </c>
      <c r="H568" s="9" t="s">
        <v>21</v>
      </c>
      <c r="I568" s="9" t="s">
        <v>1247</v>
      </c>
      <c r="J568" s="9" t="s">
        <v>33</v>
      </c>
      <c r="K568" s="10" t="str">
        <f>IFERROR(VLOOKUP(A568,'Pedido ESTHER'!$B:$C,2,0),"")</f>
        <v/>
      </c>
      <c r="L568" s="12" t="str">
        <f>IF(N(K568)&gt;0,"COMPRA","NÃO COMPRA")</f>
        <v>NÃO COMPRA</v>
      </c>
    </row>
    <row r="569" spans="1:12">
      <c r="A569" s="8" t="s">
        <v>1248</v>
      </c>
      <c r="B569" s="9" t="s">
        <v>739</v>
      </c>
      <c r="C569" s="9" t="e">
        <f>VLOOKUP(A569,[2]Planilha1!$A:$B,2,0)</f>
        <v>#N/A</v>
      </c>
      <c r="D569" s="10">
        <f>SUMIF([1]Relatório!$A$2:$A$2653,A569,[1]Relatório!$AK$2:$AK$2653)</f>
        <v>232</v>
      </c>
      <c r="E569" s="11">
        <f t="shared" si="16"/>
        <v>0.000396610349136774</v>
      </c>
      <c r="F569" s="11">
        <f>SUM($E$7:E569)</f>
        <v>0.853107151465833</v>
      </c>
      <c r="G569" s="12" t="str">
        <f t="shared" si="17"/>
        <v>B</v>
      </c>
      <c r="H569" s="9" t="s">
        <v>14</v>
      </c>
      <c r="I569" s="9" t="s">
        <v>1249</v>
      </c>
      <c r="J569" s="9" t="s">
        <v>40</v>
      </c>
      <c r="K569" s="10" t="str">
        <f>IFERROR(VLOOKUP(A569,'Pedido ESTHER'!$B:$C,2,0),"")</f>
        <v/>
      </c>
      <c r="L569" s="12" t="str">
        <f>IF(N(K569)&gt;0,"COMPRA","NÃO COMPRA")</f>
        <v>NÃO COMPRA</v>
      </c>
    </row>
    <row r="570" spans="1:12">
      <c r="A570" s="8" t="s">
        <v>1250</v>
      </c>
      <c r="B570" s="9" t="s">
        <v>1251</v>
      </c>
      <c r="C570" s="9" t="e">
        <f>VLOOKUP(A570,[2]Planilha1!$A:$B,2,0)</f>
        <v>#N/A</v>
      </c>
      <c r="D570" s="10">
        <f>SUMIF([1]Relatório!$A$2:$A$2653,A570,[1]Relatório!$AK$2:$AK$2653)</f>
        <v>231</v>
      </c>
      <c r="E570" s="11">
        <f t="shared" si="16"/>
        <v>0.000394900821769805</v>
      </c>
      <c r="F570" s="11">
        <f>SUM($E$7:E570)</f>
        <v>0.853502052287603</v>
      </c>
      <c r="G570" s="12" t="str">
        <f t="shared" si="17"/>
        <v>B</v>
      </c>
      <c r="H570" s="9" t="s">
        <v>74</v>
      </c>
      <c r="I570" s="9" t="s">
        <v>1252</v>
      </c>
      <c r="J570" s="9" t="s">
        <v>171</v>
      </c>
      <c r="K570" s="10" t="str">
        <f>IFERROR(VLOOKUP(A570,'Pedido ESTHER'!$B:$C,2,0),"")</f>
        <v/>
      </c>
      <c r="L570" s="12" t="str">
        <f>IF(N(K570)&gt;0,"COMPRA","NÃO COMPRA")</f>
        <v>NÃO COMPRA</v>
      </c>
    </row>
    <row r="571" spans="1:12">
      <c r="A571" s="8" t="s">
        <v>1253</v>
      </c>
      <c r="B571" s="9" t="s">
        <v>179</v>
      </c>
      <c r="C571" s="9" t="e">
        <f>VLOOKUP(A571,[2]Planilha1!$A:$B,2,0)</f>
        <v>#N/A</v>
      </c>
      <c r="D571" s="10">
        <f>SUMIF([1]Relatório!$A$2:$A$2653,A571,[1]Relatório!$AK$2:$AK$2653)</f>
        <v>230</v>
      </c>
      <c r="E571" s="11">
        <f t="shared" si="16"/>
        <v>0.000393191294402836</v>
      </c>
      <c r="F571" s="11">
        <f>SUM($E$7:E571)</f>
        <v>0.853895243582006</v>
      </c>
      <c r="G571" s="12" t="str">
        <f t="shared" si="17"/>
        <v>B</v>
      </c>
      <c r="H571" s="9" t="s">
        <v>18</v>
      </c>
      <c r="I571" s="9" t="s">
        <v>1254</v>
      </c>
      <c r="J571" s="9" t="s">
        <v>40</v>
      </c>
      <c r="K571" s="10" t="str">
        <f>IFERROR(VLOOKUP(A571,'Pedido ESTHER'!$B:$C,2,0),"")</f>
        <v/>
      </c>
      <c r="L571" s="12" t="str">
        <f>IF(N(K571)&gt;0,"COMPRA","NÃO COMPRA")</f>
        <v>NÃO COMPRA</v>
      </c>
    </row>
    <row r="572" spans="1:12">
      <c r="A572" s="8" t="s">
        <v>1255</v>
      </c>
      <c r="B572" s="9" t="s">
        <v>358</v>
      </c>
      <c r="C572" s="9" t="e">
        <f>VLOOKUP(A572,[2]Planilha1!$A:$B,2,0)</f>
        <v>#N/A</v>
      </c>
      <c r="D572" s="10">
        <f>SUMIF([1]Relatório!$A$2:$A$2653,A572,[1]Relatório!$AK$2:$AK$2653)</f>
        <v>230</v>
      </c>
      <c r="E572" s="11">
        <f t="shared" si="16"/>
        <v>0.000393191294402836</v>
      </c>
      <c r="F572" s="11">
        <f>SUM($E$7:E572)</f>
        <v>0.854288434876409</v>
      </c>
      <c r="G572" s="12" t="str">
        <f t="shared" si="17"/>
        <v>B</v>
      </c>
      <c r="H572" s="9" t="s">
        <v>21</v>
      </c>
      <c r="I572" s="9" t="s">
        <v>1256</v>
      </c>
      <c r="J572" s="9" t="s">
        <v>359</v>
      </c>
      <c r="K572" s="10" t="str">
        <f>IFERROR(VLOOKUP(A572,'Pedido ESTHER'!$B:$C,2,0),"")</f>
        <v/>
      </c>
      <c r="L572" s="12" t="str">
        <f>IF(N(K572)&gt;0,"COMPRA","NÃO COMPRA")</f>
        <v>NÃO COMPRA</v>
      </c>
    </row>
    <row r="573" spans="1:12">
      <c r="A573" s="8" t="s">
        <v>1257</v>
      </c>
      <c r="B573" s="9" t="s">
        <v>42</v>
      </c>
      <c r="C573" s="9" t="e">
        <f>VLOOKUP(A573,[2]Planilha1!$A:$B,2,0)</f>
        <v>#N/A</v>
      </c>
      <c r="D573" s="10">
        <f>SUMIF([1]Relatório!$A$2:$A$2653,A573,[1]Relatório!$AK$2:$AK$2653)</f>
        <v>230</v>
      </c>
      <c r="E573" s="11">
        <f t="shared" si="16"/>
        <v>0.000393191294402836</v>
      </c>
      <c r="F573" s="11">
        <f>SUM($E$7:E573)</f>
        <v>0.854681626170812</v>
      </c>
      <c r="G573" s="12" t="str">
        <f t="shared" si="17"/>
        <v>B</v>
      </c>
      <c r="H573" s="9" t="s">
        <v>21</v>
      </c>
      <c r="I573" s="9" t="s">
        <v>1258</v>
      </c>
      <c r="J573" s="9" t="s">
        <v>44</v>
      </c>
      <c r="K573" s="10" t="str">
        <f>IFERROR(VLOOKUP(A573,'Pedido ESTHER'!$B:$C,2,0),"")</f>
        <v/>
      </c>
      <c r="L573" s="12" t="str">
        <f>IF(N(K573)&gt;0,"COMPRA","NÃO COMPRA")</f>
        <v>NÃO COMPRA</v>
      </c>
    </row>
    <row r="574" spans="1:12">
      <c r="A574" s="8" t="s">
        <v>1259</v>
      </c>
      <c r="B574" s="9" t="s">
        <v>103</v>
      </c>
      <c r="C574" s="9" t="e">
        <f>VLOOKUP(A574,[2]Planilha1!$A:$B,2,0)</f>
        <v>#N/A</v>
      </c>
      <c r="D574" s="10">
        <f>SUMIF([1]Relatório!$A$2:$A$2653,A574,[1]Relatório!$AK$2:$AK$2653)</f>
        <v>230</v>
      </c>
      <c r="E574" s="11">
        <f t="shared" si="16"/>
        <v>0.000393191294402836</v>
      </c>
      <c r="F574" s="11">
        <f>SUM($E$7:E574)</f>
        <v>0.855074817465215</v>
      </c>
      <c r="G574" s="12" t="str">
        <f t="shared" si="17"/>
        <v>B</v>
      </c>
      <c r="H574" s="9" t="s">
        <v>18</v>
      </c>
      <c r="I574" s="9" t="s">
        <v>1260</v>
      </c>
      <c r="J574" s="9" t="s">
        <v>44</v>
      </c>
      <c r="K574" s="10" t="str">
        <f>IFERROR(VLOOKUP(A574,'Pedido ESTHER'!$B:$C,2,0),"")</f>
        <v/>
      </c>
      <c r="L574" s="12" t="str">
        <f>IF(N(K574)&gt;0,"COMPRA","NÃO COMPRA")</f>
        <v>NÃO COMPRA</v>
      </c>
    </row>
    <row r="575" spans="1:12">
      <c r="A575" s="8" t="s">
        <v>1261</v>
      </c>
      <c r="B575" s="9" t="s">
        <v>154</v>
      </c>
      <c r="C575" s="9" t="e">
        <f>VLOOKUP(A575,[2]Planilha1!$A:$B,2,0)</f>
        <v>#N/A</v>
      </c>
      <c r="D575" s="10">
        <f>SUMIF([1]Relatório!$A$2:$A$2653,A575,[1]Relatório!$AK$2:$AK$2653)</f>
        <v>229</v>
      </c>
      <c r="E575" s="11">
        <f t="shared" si="16"/>
        <v>0.000391481767035868</v>
      </c>
      <c r="F575" s="11">
        <f>SUM($E$7:E575)</f>
        <v>0.85546629923225</v>
      </c>
      <c r="G575" s="12" t="str">
        <f t="shared" si="17"/>
        <v>B</v>
      </c>
      <c r="H575" s="9" t="s">
        <v>117</v>
      </c>
      <c r="I575" s="9" t="s">
        <v>1262</v>
      </c>
      <c r="J575" s="9" t="s">
        <v>44</v>
      </c>
      <c r="K575" s="10" t="str">
        <f>IFERROR(VLOOKUP(A575,'Pedido ESTHER'!$B:$C,2,0),"")</f>
        <v/>
      </c>
      <c r="L575" s="12" t="str">
        <f>IF(N(K575)&gt;0,"COMPRA","NÃO COMPRA")</f>
        <v>NÃO COMPRA</v>
      </c>
    </row>
    <row r="576" spans="1:12">
      <c r="A576" s="8" t="s">
        <v>1263</v>
      </c>
      <c r="B576" s="9" t="s">
        <v>1264</v>
      </c>
      <c r="C576" s="9" t="e">
        <f>VLOOKUP(A576,[2]Planilha1!$A:$B,2,0)</f>
        <v>#N/A</v>
      </c>
      <c r="D576" s="10">
        <f>SUMIF([1]Relatório!$A$2:$A$2653,A576,[1]Relatório!$AK$2:$AK$2653)</f>
        <v>229</v>
      </c>
      <c r="E576" s="11">
        <f t="shared" si="16"/>
        <v>0.000391481767035868</v>
      </c>
      <c r="F576" s="11">
        <f>SUM($E$7:E576)</f>
        <v>0.855857780999286</v>
      </c>
      <c r="G576" s="12" t="str">
        <f t="shared" si="17"/>
        <v>B</v>
      </c>
      <c r="H576" s="9" t="s">
        <v>183</v>
      </c>
      <c r="I576" s="9"/>
      <c r="J576" s="9" t="s">
        <v>695</v>
      </c>
      <c r="K576" s="10" t="str">
        <f>IFERROR(VLOOKUP(A576,'Pedido ESTHER'!$B:$C,2,0),"")</f>
        <v/>
      </c>
      <c r="L576" s="12" t="str">
        <f>IF(N(K576)&gt;0,"COMPRA","NÃO COMPRA")</f>
        <v>NÃO COMPRA</v>
      </c>
    </row>
    <row r="577" spans="1:12">
      <c r="A577" s="8" t="s">
        <v>1265</v>
      </c>
      <c r="B577" s="9" t="s">
        <v>1266</v>
      </c>
      <c r="C577" s="9" t="e">
        <f>VLOOKUP(A577,[2]Planilha1!$A:$B,2,0)</f>
        <v>#N/A</v>
      </c>
      <c r="D577" s="10">
        <f>SUMIF([1]Relatório!$A$2:$A$2653,A577,[1]Relatório!$AK$2:$AK$2653)</f>
        <v>229</v>
      </c>
      <c r="E577" s="11">
        <f t="shared" si="16"/>
        <v>0.000391481767035868</v>
      </c>
      <c r="F577" s="11">
        <f>SUM($E$7:E577)</f>
        <v>0.856249262766322</v>
      </c>
      <c r="G577" s="12" t="str">
        <f t="shared" si="17"/>
        <v>B</v>
      </c>
      <c r="H577" s="9" t="s">
        <v>74</v>
      </c>
      <c r="I577" s="9" t="s">
        <v>1252</v>
      </c>
      <c r="J577" s="9" t="s">
        <v>171</v>
      </c>
      <c r="K577" s="10" t="str">
        <f>IFERROR(VLOOKUP(A577,'Pedido ESTHER'!$B:$C,2,0),"")</f>
        <v/>
      </c>
      <c r="L577" s="12" t="str">
        <f>IF(N(K577)&gt;0,"COMPRA","NÃO COMPRA")</f>
        <v>NÃO COMPRA</v>
      </c>
    </row>
    <row r="578" spans="1:12">
      <c r="A578" s="8" t="s">
        <v>1267</v>
      </c>
      <c r="B578" s="9" t="s">
        <v>1268</v>
      </c>
      <c r="C578" s="9" t="e">
        <f>VLOOKUP(A578,[2]Planilha1!$A:$B,2,0)</f>
        <v>#N/A</v>
      </c>
      <c r="D578" s="10">
        <f>SUMIF([1]Relatório!$A$2:$A$2653,A578,[1]Relatório!$AK$2:$AK$2653)</f>
        <v>229</v>
      </c>
      <c r="E578" s="11">
        <f t="shared" si="16"/>
        <v>0.000391481767035868</v>
      </c>
      <c r="F578" s="11">
        <f>SUM($E$7:E578)</f>
        <v>0.856640744533358</v>
      </c>
      <c r="G578" s="12" t="str">
        <f t="shared" si="17"/>
        <v>B</v>
      </c>
      <c r="H578" s="9" t="s">
        <v>74</v>
      </c>
      <c r="I578" s="9" t="s">
        <v>1269</v>
      </c>
      <c r="J578" s="9" t="s">
        <v>44</v>
      </c>
      <c r="K578" s="10" t="str">
        <f>IFERROR(VLOOKUP(A578,'Pedido ESTHER'!$B:$C,2,0),"")</f>
        <v/>
      </c>
      <c r="L578" s="12" t="str">
        <f>IF(N(K578)&gt;0,"COMPRA","NÃO COMPRA")</f>
        <v>NÃO COMPRA</v>
      </c>
    </row>
    <row r="579" spans="1:12">
      <c r="A579" s="8" t="s">
        <v>1270</v>
      </c>
      <c r="B579" s="9" t="s">
        <v>1271</v>
      </c>
      <c r="C579" s="9" t="e">
        <f>VLOOKUP(A579,[2]Planilha1!$A:$B,2,0)</f>
        <v>#N/A</v>
      </c>
      <c r="D579" s="10">
        <f>SUMIF([1]Relatório!$A$2:$A$2653,A579,[1]Relatório!$AK$2:$AK$2653)</f>
        <v>226</v>
      </c>
      <c r="E579" s="11">
        <f t="shared" si="16"/>
        <v>0.000386353184934961</v>
      </c>
      <c r="F579" s="11">
        <f>SUM($E$7:E579)</f>
        <v>0.857027097718293</v>
      </c>
      <c r="G579" s="12" t="str">
        <f t="shared" si="17"/>
        <v>B</v>
      </c>
      <c r="H579" s="9" t="s">
        <v>117</v>
      </c>
      <c r="I579" s="9" t="s">
        <v>1272</v>
      </c>
      <c r="J579" s="9" t="s">
        <v>1169</v>
      </c>
      <c r="K579" s="10" t="str">
        <f>IFERROR(VLOOKUP(A579,'Pedido ESTHER'!$B:$C,2,0),"")</f>
        <v/>
      </c>
      <c r="L579" s="12" t="str">
        <f>IF(N(K579)&gt;0,"COMPRA","NÃO COMPRA")</f>
        <v>NÃO COMPRA</v>
      </c>
    </row>
    <row r="580" spans="1:12">
      <c r="A580" s="8" t="s">
        <v>1273</v>
      </c>
      <c r="B580" s="9" t="s">
        <v>1147</v>
      </c>
      <c r="C580" s="9" t="e">
        <f>VLOOKUP(A580,[2]Planilha1!$A:$B,2,0)</f>
        <v>#N/A</v>
      </c>
      <c r="D580" s="10">
        <f>SUMIF([1]Relatório!$A$2:$A$2653,A580,[1]Relatório!$AK$2:$AK$2653)</f>
        <v>226</v>
      </c>
      <c r="E580" s="11">
        <f t="shared" si="16"/>
        <v>0.000386353184934961</v>
      </c>
      <c r="F580" s="11">
        <f>SUM($E$7:E580)</f>
        <v>0.857413450903228</v>
      </c>
      <c r="G580" s="12" t="str">
        <f t="shared" si="17"/>
        <v>B</v>
      </c>
      <c r="H580" s="9" t="s">
        <v>221</v>
      </c>
      <c r="I580" s="9" t="s">
        <v>1274</v>
      </c>
      <c r="J580" s="9" t="s">
        <v>158</v>
      </c>
      <c r="K580" s="10" t="str">
        <f>IFERROR(VLOOKUP(A580,'Pedido ESTHER'!$B:$C,2,0),"")</f>
        <v/>
      </c>
      <c r="L580" s="12" t="str">
        <f>IF(N(K580)&gt;0,"COMPRA","NÃO COMPRA")</f>
        <v>NÃO COMPRA</v>
      </c>
    </row>
    <row r="581" spans="1:12">
      <c r="A581" s="8" t="s">
        <v>1275</v>
      </c>
      <c r="B581" s="9" t="s">
        <v>20</v>
      </c>
      <c r="C581" s="9" t="e">
        <f>VLOOKUP(A581,[2]Planilha1!$A:$B,2,0)</f>
        <v>#N/A</v>
      </c>
      <c r="D581" s="10">
        <f>SUMIF([1]Relatório!$A$2:$A$2653,A581,[1]Relatório!$AK$2:$AK$2653)</f>
        <v>226</v>
      </c>
      <c r="E581" s="11">
        <f t="shared" si="16"/>
        <v>0.000386353184934961</v>
      </c>
      <c r="F581" s="11">
        <f>SUM($E$7:E581)</f>
        <v>0.857799804088163</v>
      </c>
      <c r="G581" s="12" t="str">
        <f t="shared" si="17"/>
        <v>B</v>
      </c>
      <c r="H581" s="9" t="s">
        <v>21</v>
      </c>
      <c r="I581" s="9" t="s">
        <v>1276</v>
      </c>
      <c r="J581" s="9" t="s">
        <v>23</v>
      </c>
      <c r="K581" s="10" t="str">
        <f>IFERROR(VLOOKUP(A581,'Pedido ESTHER'!$B:$C,2,0),"")</f>
        <v/>
      </c>
      <c r="L581" s="12" t="str">
        <f>IF(N(K581)&gt;0,"COMPRA","NÃO COMPRA")</f>
        <v>NÃO COMPRA</v>
      </c>
    </row>
    <row r="582" spans="1:12">
      <c r="A582" s="8" t="s">
        <v>1277</v>
      </c>
      <c r="B582" s="9" t="s">
        <v>786</v>
      </c>
      <c r="C582" s="9" t="e">
        <f>VLOOKUP(A582,[2]Planilha1!$A:$B,2,0)</f>
        <v>#N/A</v>
      </c>
      <c r="D582" s="10">
        <f>SUMIF([1]Relatório!$A$2:$A$2653,A582,[1]Relatório!$AK$2:$AK$2653)</f>
        <v>225</v>
      </c>
      <c r="E582" s="11">
        <f t="shared" si="16"/>
        <v>0.000384643657567992</v>
      </c>
      <c r="F582" s="11">
        <f>SUM($E$7:E582)</f>
        <v>0.858184447745731</v>
      </c>
      <c r="G582" s="12" t="str">
        <f t="shared" si="17"/>
        <v>B</v>
      </c>
      <c r="H582" s="9" t="s">
        <v>112</v>
      </c>
      <c r="I582" s="9" t="s">
        <v>1278</v>
      </c>
      <c r="J582" s="9" t="s">
        <v>29</v>
      </c>
      <c r="K582" s="10" t="str">
        <f>IFERROR(VLOOKUP(A582,'Pedido ESTHER'!$B:$C,2,0),"")</f>
        <v/>
      </c>
      <c r="L582" s="12" t="str">
        <f>IF(N(K582)&gt;0,"COMPRA","NÃO COMPRA")</f>
        <v>NÃO COMPRA</v>
      </c>
    </row>
    <row r="583" spans="1:12">
      <c r="A583" s="8" t="s">
        <v>1279</v>
      </c>
      <c r="B583" s="9" t="s">
        <v>42</v>
      </c>
      <c r="C583" s="9" t="e">
        <f>VLOOKUP(A583,[2]Planilha1!$A:$B,2,0)</f>
        <v>#N/A</v>
      </c>
      <c r="D583" s="10">
        <f>SUMIF([1]Relatório!$A$2:$A$2653,A583,[1]Relatório!$AK$2:$AK$2653)</f>
        <v>224</v>
      </c>
      <c r="E583" s="11">
        <f t="shared" si="16"/>
        <v>0.000382934130201023</v>
      </c>
      <c r="F583" s="11">
        <f>SUM($E$7:E583)</f>
        <v>0.858567381875932</v>
      </c>
      <c r="G583" s="12" t="str">
        <f t="shared" si="17"/>
        <v>B</v>
      </c>
      <c r="H583" s="9" t="s">
        <v>21</v>
      </c>
      <c r="I583" s="9" t="s">
        <v>1280</v>
      </c>
      <c r="J583" s="9" t="s">
        <v>44</v>
      </c>
      <c r="K583" s="10" t="str">
        <f>IFERROR(VLOOKUP(A583,'Pedido ESTHER'!$B:$C,2,0),"")</f>
        <v/>
      </c>
      <c r="L583" s="12" t="str">
        <f>IF(N(K583)&gt;0,"COMPRA","NÃO COMPRA")</f>
        <v>NÃO COMPRA</v>
      </c>
    </row>
    <row r="584" spans="1:12">
      <c r="A584" s="8" t="s">
        <v>1281</v>
      </c>
      <c r="B584" s="9" t="s">
        <v>954</v>
      </c>
      <c r="C584" s="9" t="e">
        <f>VLOOKUP(A584,[2]Planilha1!$A:$B,2,0)</f>
        <v>#N/A</v>
      </c>
      <c r="D584" s="10">
        <f>SUMIF([1]Relatório!$A$2:$A$2653,A584,[1]Relatório!$AK$2:$AK$2653)</f>
        <v>223</v>
      </c>
      <c r="E584" s="11">
        <f t="shared" ref="E584:E647" si="18">D584/SUM($D$7:$D$1708)</f>
        <v>0.000381224602834054</v>
      </c>
      <c r="F584" s="11">
        <f>SUM($E$7:E584)</f>
        <v>0.858948606478766</v>
      </c>
      <c r="G584" s="12" t="str">
        <f t="shared" ref="G584:G647" si="19">IF(F584&lt;=70%,"A",IF(F584&lt;=90%,"B","C"))</f>
        <v>B</v>
      </c>
      <c r="H584" s="9" t="s">
        <v>74</v>
      </c>
      <c r="I584" s="9" t="s">
        <v>1282</v>
      </c>
      <c r="J584" s="9" t="s">
        <v>241</v>
      </c>
      <c r="K584" s="10" t="str">
        <f>IFERROR(VLOOKUP(A584,'Pedido ESTHER'!$B:$C,2,0),"")</f>
        <v/>
      </c>
      <c r="L584" s="12" t="str">
        <f>IF(N(K584)&gt;0,"COMPRA","NÃO COMPRA")</f>
        <v>NÃO COMPRA</v>
      </c>
    </row>
    <row r="585" spans="1:12">
      <c r="A585" s="8" t="s">
        <v>1283</v>
      </c>
      <c r="B585" s="9" t="s">
        <v>768</v>
      </c>
      <c r="C585" s="9" t="e">
        <f>VLOOKUP(A585,[2]Planilha1!$A:$B,2,0)</f>
        <v>#N/A</v>
      </c>
      <c r="D585" s="10">
        <f>SUMIF([1]Relatório!$A$2:$A$2653,A585,[1]Relatório!$AK$2:$AK$2653)</f>
        <v>223</v>
      </c>
      <c r="E585" s="11">
        <f t="shared" si="18"/>
        <v>0.000381224602834054</v>
      </c>
      <c r="F585" s="11">
        <f>SUM($E$7:E585)</f>
        <v>0.8593298310816</v>
      </c>
      <c r="G585" s="12" t="str">
        <f t="shared" si="19"/>
        <v>B</v>
      </c>
      <c r="H585" s="9" t="s">
        <v>586</v>
      </c>
      <c r="I585" s="9" t="s">
        <v>1284</v>
      </c>
      <c r="J585" s="9" t="s">
        <v>23</v>
      </c>
      <c r="K585" s="10" t="str">
        <f>IFERROR(VLOOKUP(A585,'Pedido ESTHER'!$B:$C,2,0),"")</f>
        <v/>
      </c>
      <c r="L585" s="12" t="str">
        <f>IF(N(K585)&gt;0,"COMPRA","NÃO COMPRA")</f>
        <v>NÃO COMPRA</v>
      </c>
    </row>
    <row r="586" spans="1:12">
      <c r="A586" s="8" t="s">
        <v>1285</v>
      </c>
      <c r="B586" s="9" t="s">
        <v>1286</v>
      </c>
      <c r="C586" s="9" t="e">
        <f>VLOOKUP(A586,[2]Planilha1!$A:$B,2,0)</f>
        <v>#N/A</v>
      </c>
      <c r="D586" s="10">
        <f>SUMIF([1]Relatório!$A$2:$A$2653,A586,[1]Relatório!$AK$2:$AK$2653)</f>
        <v>223</v>
      </c>
      <c r="E586" s="11">
        <f t="shared" si="18"/>
        <v>0.000381224602834054</v>
      </c>
      <c r="F586" s="11">
        <f>SUM($E$7:E586)</f>
        <v>0.859711055684434</v>
      </c>
      <c r="G586" s="12" t="str">
        <f t="shared" si="19"/>
        <v>B</v>
      </c>
      <c r="H586" s="9" t="s">
        <v>221</v>
      </c>
      <c r="I586" s="9" t="s">
        <v>1287</v>
      </c>
      <c r="J586" s="9" t="s">
        <v>29</v>
      </c>
      <c r="K586" s="10">
        <f>IFERROR(VLOOKUP(A586,'Pedido ESTHER'!$B:$C,2,0),"")</f>
        <v>2</v>
      </c>
      <c r="L586" s="12" t="str">
        <f>IF(N(K586)&gt;0,"COMPRA","NÃO COMPRA")</f>
        <v>COMPRA</v>
      </c>
    </row>
    <row r="587" spans="1:12">
      <c r="A587" s="8" t="s">
        <v>1288</v>
      </c>
      <c r="B587" s="9" t="s">
        <v>349</v>
      </c>
      <c r="C587" s="9" t="e">
        <f>VLOOKUP(A587,[2]Planilha1!$A:$B,2,0)</f>
        <v>#N/A</v>
      </c>
      <c r="D587" s="10">
        <f>SUMIF([1]Relatório!$A$2:$A$2653,A587,[1]Relatório!$AK$2:$AK$2653)</f>
        <v>222</v>
      </c>
      <c r="E587" s="11">
        <f t="shared" si="18"/>
        <v>0.000379515075467086</v>
      </c>
      <c r="F587" s="11">
        <f>SUM($E$7:E587)</f>
        <v>0.860090570759901</v>
      </c>
      <c r="G587" s="12" t="str">
        <f t="shared" si="19"/>
        <v>B</v>
      </c>
      <c r="H587" s="9" t="s">
        <v>18</v>
      </c>
      <c r="I587" s="9"/>
      <c r="J587" s="9" t="s">
        <v>164</v>
      </c>
      <c r="K587" s="10" t="str">
        <f>IFERROR(VLOOKUP(A587,'Pedido ESTHER'!$B:$C,2,0),"")</f>
        <v/>
      </c>
      <c r="L587" s="12" t="str">
        <f>IF(N(K587)&gt;0,"COMPRA","NÃO COMPRA")</f>
        <v>NÃO COMPRA</v>
      </c>
    </row>
    <row r="588" spans="1:12">
      <c r="A588" s="8" t="s">
        <v>1289</v>
      </c>
      <c r="B588" s="9" t="s">
        <v>944</v>
      </c>
      <c r="C588" s="9" t="e">
        <f>VLOOKUP(A588,[2]Planilha1!$A:$B,2,0)</f>
        <v>#N/A</v>
      </c>
      <c r="D588" s="10">
        <f>SUMIF([1]Relatório!$A$2:$A$2653,A588,[1]Relatório!$AK$2:$AK$2653)</f>
        <v>222</v>
      </c>
      <c r="E588" s="11">
        <f t="shared" si="18"/>
        <v>0.000379515075467086</v>
      </c>
      <c r="F588" s="11">
        <f>SUM($E$7:E588)</f>
        <v>0.860470085835368</v>
      </c>
      <c r="G588" s="12" t="str">
        <f t="shared" si="19"/>
        <v>B</v>
      </c>
      <c r="H588" s="9" t="s">
        <v>586</v>
      </c>
      <c r="I588" s="9"/>
      <c r="J588" s="9" t="s">
        <v>201</v>
      </c>
      <c r="K588" s="10" t="str">
        <f>IFERROR(VLOOKUP(A588,'Pedido ESTHER'!$B:$C,2,0),"")</f>
        <v/>
      </c>
      <c r="L588" s="12" t="str">
        <f>IF(N(K588)&gt;0,"COMPRA","NÃO COMPRA")</f>
        <v>NÃO COMPRA</v>
      </c>
    </row>
    <row r="589" spans="1:12">
      <c r="A589" s="8" t="s">
        <v>1290</v>
      </c>
      <c r="B589" s="9" t="s">
        <v>1291</v>
      </c>
      <c r="C589" s="9" t="e">
        <f>VLOOKUP(A589,[2]Planilha1!$A:$B,2,0)</f>
        <v>#N/A</v>
      </c>
      <c r="D589" s="10">
        <f>SUMIF([1]Relatório!$A$2:$A$2653,A589,[1]Relatório!$AK$2:$AK$2653)</f>
        <v>222</v>
      </c>
      <c r="E589" s="11">
        <f t="shared" si="18"/>
        <v>0.000379515075467086</v>
      </c>
      <c r="F589" s="11">
        <f>SUM($E$7:E589)</f>
        <v>0.860849600910835</v>
      </c>
      <c r="G589" s="12" t="str">
        <f t="shared" si="19"/>
        <v>B</v>
      </c>
      <c r="H589" s="9" t="s">
        <v>143</v>
      </c>
      <c r="I589" s="9"/>
      <c r="J589" s="9" t="s">
        <v>1292</v>
      </c>
      <c r="K589" s="10" t="str">
        <f>IFERROR(VLOOKUP(A589,'Pedido ESTHER'!$B:$C,2,0),"")</f>
        <v/>
      </c>
      <c r="L589" s="12" t="str">
        <f>IF(N(K589)&gt;0,"COMPRA","NÃO COMPRA")</f>
        <v>NÃO COMPRA</v>
      </c>
    </row>
    <row r="590" spans="1:12">
      <c r="A590" s="8" t="s">
        <v>1293</v>
      </c>
      <c r="B590" s="9" t="s">
        <v>179</v>
      </c>
      <c r="C590" s="9" t="e">
        <f>VLOOKUP(A590,[2]Planilha1!$A:$B,2,0)</f>
        <v>#N/A</v>
      </c>
      <c r="D590" s="10">
        <f>SUMIF([1]Relatório!$A$2:$A$2653,A590,[1]Relatório!$AK$2:$AK$2653)</f>
        <v>222</v>
      </c>
      <c r="E590" s="11">
        <f t="shared" si="18"/>
        <v>0.000379515075467086</v>
      </c>
      <c r="F590" s="11">
        <f>SUM($E$7:E590)</f>
        <v>0.861229115986302</v>
      </c>
      <c r="G590" s="12" t="str">
        <f t="shared" si="19"/>
        <v>B</v>
      </c>
      <c r="H590" s="9" t="s">
        <v>18</v>
      </c>
      <c r="I590" s="9"/>
      <c r="J590" s="9" t="s">
        <v>40</v>
      </c>
      <c r="K590" s="10" t="str">
        <f>IFERROR(VLOOKUP(A590,'Pedido ESTHER'!$B:$C,2,0),"")</f>
        <v/>
      </c>
      <c r="L590" s="12" t="str">
        <f>IF(N(K590)&gt;0,"COMPRA","NÃO COMPRA")</f>
        <v>NÃO COMPRA</v>
      </c>
    </row>
    <row r="591" spans="1:12">
      <c r="A591" s="8" t="s">
        <v>1294</v>
      </c>
      <c r="B591" s="9" t="s">
        <v>1295</v>
      </c>
      <c r="C591" s="9" t="e">
        <f>VLOOKUP(A591,[2]Planilha1!$A:$B,2,0)</f>
        <v>#N/A</v>
      </c>
      <c r="D591" s="10">
        <f>SUMIF([1]Relatório!$A$2:$A$2653,A591,[1]Relatório!$AK$2:$AK$2653)</f>
        <v>222</v>
      </c>
      <c r="E591" s="11">
        <f t="shared" si="18"/>
        <v>0.000379515075467086</v>
      </c>
      <c r="F591" s="11">
        <f>SUM($E$7:E591)</f>
        <v>0.86160863106177</v>
      </c>
      <c r="G591" s="12" t="str">
        <f t="shared" si="19"/>
        <v>B</v>
      </c>
      <c r="H591" s="9" t="s">
        <v>183</v>
      </c>
      <c r="I591" s="9"/>
      <c r="J591" s="9" t="s">
        <v>1296</v>
      </c>
      <c r="K591" s="10" t="str">
        <f>IFERROR(VLOOKUP(A591,'Pedido ESTHER'!$B:$C,2,0),"")</f>
        <v/>
      </c>
      <c r="L591" s="12" t="str">
        <f>IF(N(K591)&gt;0,"COMPRA","NÃO COMPRA")</f>
        <v>NÃO COMPRA</v>
      </c>
    </row>
    <row r="592" spans="1:12">
      <c r="A592" s="8" t="s">
        <v>1297</v>
      </c>
      <c r="B592" s="9" t="s">
        <v>1298</v>
      </c>
      <c r="C592" s="9" t="e">
        <f>VLOOKUP(A592,[2]Planilha1!$A:$B,2,0)</f>
        <v>#N/A</v>
      </c>
      <c r="D592" s="10">
        <f>SUMIF([1]Relatório!$A$2:$A$2653,A592,[1]Relatório!$AK$2:$AK$2653)</f>
        <v>221</v>
      </c>
      <c r="E592" s="11">
        <f t="shared" si="18"/>
        <v>0.000377805548100117</v>
      </c>
      <c r="F592" s="11">
        <f>SUM($E$7:E592)</f>
        <v>0.86198643660987</v>
      </c>
      <c r="G592" s="12" t="str">
        <f t="shared" si="19"/>
        <v>B</v>
      </c>
      <c r="H592" s="9" t="s">
        <v>74</v>
      </c>
      <c r="I592" s="9" t="s">
        <v>1299</v>
      </c>
      <c r="J592" s="9" t="s">
        <v>23</v>
      </c>
      <c r="K592" s="10" t="str">
        <f>IFERROR(VLOOKUP(A592,'Pedido ESTHER'!$B:$C,2,0),"")</f>
        <v/>
      </c>
      <c r="L592" s="12" t="str">
        <f>IF(N(K592)&gt;0,"COMPRA","NÃO COMPRA")</f>
        <v>NÃO COMPRA</v>
      </c>
    </row>
    <row r="593" spans="1:12">
      <c r="A593" s="8" t="s">
        <v>1300</v>
      </c>
      <c r="B593" s="9" t="s">
        <v>1161</v>
      </c>
      <c r="C593" s="9" t="e">
        <f>VLOOKUP(A593,[2]Planilha1!$A:$B,2,0)</f>
        <v>#N/A</v>
      </c>
      <c r="D593" s="10">
        <f>SUMIF([1]Relatório!$A$2:$A$2653,A593,[1]Relatório!$AK$2:$AK$2653)</f>
        <v>220</v>
      </c>
      <c r="E593" s="11">
        <f t="shared" si="18"/>
        <v>0.000376096020733148</v>
      </c>
      <c r="F593" s="11">
        <f>SUM($E$7:E593)</f>
        <v>0.862362532630603</v>
      </c>
      <c r="G593" s="12" t="str">
        <f t="shared" si="19"/>
        <v>B</v>
      </c>
      <c r="H593" s="9" t="s">
        <v>183</v>
      </c>
      <c r="I593" s="9"/>
      <c r="J593" s="9" t="s">
        <v>1301</v>
      </c>
      <c r="K593" s="10" t="str">
        <f>IFERROR(VLOOKUP(A593,'Pedido ESTHER'!$B:$C,2,0),"")</f>
        <v/>
      </c>
      <c r="L593" s="12" t="str">
        <f>IF(N(K593)&gt;0,"COMPRA","NÃO COMPRA")</f>
        <v>NÃO COMPRA</v>
      </c>
    </row>
    <row r="594" spans="1:12">
      <c r="A594" s="8" t="s">
        <v>1302</v>
      </c>
      <c r="B594" s="9" t="s">
        <v>1303</v>
      </c>
      <c r="C594" s="9" t="e">
        <f>VLOOKUP(A594,[2]Planilha1!$A:$B,2,0)</f>
        <v>#N/A</v>
      </c>
      <c r="D594" s="10">
        <f>SUMIF([1]Relatório!$A$2:$A$2653,A594,[1]Relatório!$AK$2:$AK$2653)</f>
        <v>220</v>
      </c>
      <c r="E594" s="11">
        <f t="shared" si="18"/>
        <v>0.000376096020733148</v>
      </c>
      <c r="F594" s="11">
        <f>SUM($E$7:E594)</f>
        <v>0.862738628651336</v>
      </c>
      <c r="G594" s="12" t="str">
        <f t="shared" si="19"/>
        <v>B</v>
      </c>
      <c r="H594" s="9" t="s">
        <v>74</v>
      </c>
      <c r="I594" s="9" t="s">
        <v>1304</v>
      </c>
      <c r="J594" s="9" t="s">
        <v>58</v>
      </c>
      <c r="K594" s="10" t="str">
        <f>IFERROR(VLOOKUP(A594,'Pedido ESTHER'!$B:$C,2,0),"")</f>
        <v/>
      </c>
      <c r="L594" s="12" t="str">
        <f>IF(N(K594)&gt;0,"COMPRA","NÃO COMPRA")</f>
        <v>NÃO COMPRA</v>
      </c>
    </row>
    <row r="595" spans="1:12">
      <c r="A595" s="8" t="s">
        <v>1305</v>
      </c>
      <c r="B595" s="9" t="s">
        <v>200</v>
      </c>
      <c r="C595" s="9" t="e">
        <f>VLOOKUP(A595,[2]Planilha1!$A:$B,2,0)</f>
        <v>#N/A</v>
      </c>
      <c r="D595" s="10">
        <f>SUMIF([1]Relatório!$A$2:$A$2653,A595,[1]Relatório!$AK$2:$AK$2653)</f>
        <v>219</v>
      </c>
      <c r="E595" s="11">
        <f t="shared" si="18"/>
        <v>0.000374386493366179</v>
      </c>
      <c r="F595" s="11">
        <f>SUM($E$7:E595)</f>
        <v>0.863113015144702</v>
      </c>
      <c r="G595" s="12" t="str">
        <f t="shared" si="19"/>
        <v>B</v>
      </c>
      <c r="H595" s="9" t="s">
        <v>21</v>
      </c>
      <c r="I595" s="9"/>
      <c r="J595" s="9" t="s">
        <v>201</v>
      </c>
      <c r="K595" s="10" t="str">
        <f>IFERROR(VLOOKUP(A595,'Pedido ESTHER'!$B:$C,2,0),"")</f>
        <v/>
      </c>
      <c r="L595" s="12" t="str">
        <f>IF(N(K595)&gt;0,"COMPRA","NÃO COMPRA")</f>
        <v>NÃO COMPRA</v>
      </c>
    </row>
    <row r="596" spans="1:12">
      <c r="A596" s="8" t="s">
        <v>1306</v>
      </c>
      <c r="B596" s="9" t="s">
        <v>1307</v>
      </c>
      <c r="C596" s="9" t="e">
        <f>VLOOKUP(A596,[2]Planilha1!$A:$B,2,0)</f>
        <v>#N/A</v>
      </c>
      <c r="D596" s="10">
        <f>SUMIF([1]Relatório!$A$2:$A$2653,A596,[1]Relatório!$AK$2:$AK$2653)</f>
        <v>216</v>
      </c>
      <c r="E596" s="11">
        <f t="shared" si="18"/>
        <v>0.000369257911265273</v>
      </c>
      <c r="F596" s="11">
        <f>SUM($E$7:E596)</f>
        <v>0.863482273055967</v>
      </c>
      <c r="G596" s="12" t="str">
        <f t="shared" si="19"/>
        <v>B</v>
      </c>
      <c r="H596" s="9" t="s">
        <v>1059</v>
      </c>
      <c r="I596" s="9" t="s">
        <v>1308</v>
      </c>
      <c r="J596" s="9" t="s">
        <v>29</v>
      </c>
      <c r="K596" s="10" t="str">
        <f>IFERROR(VLOOKUP(A596,'Pedido ESTHER'!$B:$C,2,0),"")</f>
        <v/>
      </c>
      <c r="L596" s="12" t="str">
        <f>IF(N(K596)&gt;0,"COMPRA","NÃO COMPRA")</f>
        <v>NÃO COMPRA</v>
      </c>
    </row>
    <row r="597" spans="1:12">
      <c r="A597" s="8" t="s">
        <v>1309</v>
      </c>
      <c r="B597" s="9" t="s">
        <v>1158</v>
      </c>
      <c r="C597" s="9" t="e">
        <f>VLOOKUP(A597,[2]Planilha1!$A:$B,2,0)</f>
        <v>#N/A</v>
      </c>
      <c r="D597" s="10">
        <f>SUMIF([1]Relatório!$A$2:$A$2653,A597,[1]Relatório!$AK$2:$AK$2653)</f>
        <v>215</v>
      </c>
      <c r="E597" s="11">
        <f t="shared" si="18"/>
        <v>0.000367548383898304</v>
      </c>
      <c r="F597" s="11">
        <f>SUM($E$7:E597)</f>
        <v>0.863849821439866</v>
      </c>
      <c r="G597" s="12" t="str">
        <f t="shared" si="19"/>
        <v>B</v>
      </c>
      <c r="H597" s="9" t="s">
        <v>221</v>
      </c>
      <c r="I597" s="9" t="s">
        <v>1310</v>
      </c>
      <c r="J597" s="9" t="s">
        <v>1292</v>
      </c>
      <c r="K597" s="10" t="str">
        <f>IFERROR(VLOOKUP(A597,'Pedido ESTHER'!$B:$C,2,0),"")</f>
        <v/>
      </c>
      <c r="L597" s="12" t="str">
        <f>IF(N(K597)&gt;0,"COMPRA","NÃO COMPRA")</f>
        <v>NÃO COMPRA</v>
      </c>
    </row>
    <row r="598" spans="1:12">
      <c r="A598" s="8" t="s">
        <v>1311</v>
      </c>
      <c r="B598" s="9" t="s">
        <v>1312</v>
      </c>
      <c r="C598" s="9" t="e">
        <f>VLOOKUP(A598,[2]Planilha1!$A:$B,2,0)</f>
        <v>#N/A</v>
      </c>
      <c r="D598" s="10">
        <f>SUMIF([1]Relatório!$A$2:$A$2653,A598,[1]Relatório!$AK$2:$AK$2653)</f>
        <v>214</v>
      </c>
      <c r="E598" s="11">
        <f t="shared" si="18"/>
        <v>0.000365838856531335</v>
      </c>
      <c r="F598" s="11">
        <f>SUM($E$7:E598)</f>
        <v>0.864215660296397</v>
      </c>
      <c r="G598" s="12" t="str">
        <f t="shared" si="19"/>
        <v>B</v>
      </c>
      <c r="H598" s="9" t="s">
        <v>183</v>
      </c>
      <c r="I598" s="9" t="s">
        <v>1313</v>
      </c>
      <c r="J598" s="9" t="s">
        <v>1314</v>
      </c>
      <c r="K598" s="10" t="str">
        <f>IFERROR(VLOOKUP(A598,'Pedido ESTHER'!$B:$C,2,0),"")</f>
        <v/>
      </c>
      <c r="L598" s="12" t="str">
        <f>IF(N(K598)&gt;0,"COMPRA","NÃO COMPRA")</f>
        <v>NÃO COMPRA</v>
      </c>
    </row>
    <row r="599" spans="1:12">
      <c r="A599" s="8" t="s">
        <v>1315</v>
      </c>
      <c r="B599" s="9" t="s">
        <v>1316</v>
      </c>
      <c r="C599" s="9" t="e">
        <f>VLOOKUP(A599,[2]Planilha1!$A:$B,2,0)</f>
        <v>#N/A</v>
      </c>
      <c r="D599" s="10">
        <f>SUMIF([1]Relatório!$A$2:$A$2653,A599,[1]Relatório!$AK$2:$AK$2653)</f>
        <v>213</v>
      </c>
      <c r="E599" s="11">
        <f t="shared" si="18"/>
        <v>0.000364129329164366</v>
      </c>
      <c r="F599" s="11">
        <f>SUM($E$7:E599)</f>
        <v>0.864579789625561</v>
      </c>
      <c r="G599" s="12" t="str">
        <f t="shared" si="19"/>
        <v>B</v>
      </c>
      <c r="H599" s="9" t="s">
        <v>586</v>
      </c>
      <c r="I599" s="9"/>
      <c r="J599" s="9" t="s">
        <v>241</v>
      </c>
      <c r="K599" s="10" t="str">
        <f>IFERROR(VLOOKUP(A599,'Pedido ESTHER'!$B:$C,2,0),"")</f>
        <v/>
      </c>
      <c r="L599" s="12" t="str">
        <f>IF(N(K599)&gt;0,"COMPRA","NÃO COMPRA")</f>
        <v>NÃO COMPRA</v>
      </c>
    </row>
    <row r="600" spans="1:12">
      <c r="A600" s="8" t="s">
        <v>1317</v>
      </c>
      <c r="B600" s="9" t="s">
        <v>1318</v>
      </c>
      <c r="C600" s="9" t="e">
        <f>VLOOKUP(A600,[2]Planilha1!$A:$B,2,0)</f>
        <v>#N/A</v>
      </c>
      <c r="D600" s="10">
        <f>SUMIF([1]Relatório!$A$2:$A$2653,A600,[1]Relatório!$AK$2:$AK$2653)</f>
        <v>213</v>
      </c>
      <c r="E600" s="11">
        <f t="shared" si="18"/>
        <v>0.000364129329164366</v>
      </c>
      <c r="F600" s="11">
        <f>SUM($E$7:E600)</f>
        <v>0.864943918954726</v>
      </c>
      <c r="G600" s="12" t="str">
        <f t="shared" si="19"/>
        <v>B</v>
      </c>
      <c r="H600" s="9" t="s">
        <v>183</v>
      </c>
      <c r="I600" s="9"/>
      <c r="J600" s="9" t="s">
        <v>1314</v>
      </c>
      <c r="K600" s="10" t="str">
        <f>IFERROR(VLOOKUP(A600,'Pedido ESTHER'!$B:$C,2,0),"")</f>
        <v/>
      </c>
      <c r="L600" s="12" t="str">
        <f>IF(N(K600)&gt;0,"COMPRA","NÃO COMPRA")</f>
        <v>NÃO COMPRA</v>
      </c>
    </row>
    <row r="601" spans="1:12">
      <c r="A601" s="8" t="s">
        <v>1319</v>
      </c>
      <c r="B601" s="9" t="s">
        <v>1320</v>
      </c>
      <c r="C601" s="9" t="e">
        <f>VLOOKUP(A601,[2]Planilha1!$A:$B,2,0)</f>
        <v>#N/A</v>
      </c>
      <c r="D601" s="10">
        <f>SUMIF([1]Relatório!$A$2:$A$2653,A601,[1]Relatório!$AK$2:$AK$2653)</f>
        <v>213</v>
      </c>
      <c r="E601" s="11">
        <f t="shared" si="18"/>
        <v>0.000364129329164366</v>
      </c>
      <c r="F601" s="11">
        <f>SUM($E$7:E601)</f>
        <v>0.86530804828389</v>
      </c>
      <c r="G601" s="12" t="str">
        <f t="shared" si="19"/>
        <v>B</v>
      </c>
      <c r="H601" s="9" t="s">
        <v>586</v>
      </c>
      <c r="I601" s="9"/>
      <c r="J601" s="9" t="s">
        <v>29</v>
      </c>
      <c r="K601" s="10" t="str">
        <f>IFERROR(VLOOKUP(A601,'Pedido ESTHER'!$B:$C,2,0),"")</f>
        <v/>
      </c>
      <c r="L601" s="12" t="str">
        <f>IF(N(K601)&gt;0,"COMPRA","NÃO COMPRA")</f>
        <v>NÃO COMPRA</v>
      </c>
    </row>
    <row r="602" spans="1:12">
      <c r="A602" s="8" t="s">
        <v>1321</v>
      </c>
      <c r="B602" s="9" t="s">
        <v>1322</v>
      </c>
      <c r="C602" s="9" t="e">
        <f>VLOOKUP(A602,[2]Planilha1!$A:$B,2,0)</f>
        <v>#N/A</v>
      </c>
      <c r="D602" s="10">
        <f>SUMIF([1]Relatório!$A$2:$A$2653,A602,[1]Relatório!$AK$2:$AK$2653)</f>
        <v>213</v>
      </c>
      <c r="E602" s="11">
        <f t="shared" si="18"/>
        <v>0.000364129329164366</v>
      </c>
      <c r="F602" s="11">
        <f>SUM($E$7:E602)</f>
        <v>0.865672177613055</v>
      </c>
      <c r="G602" s="12" t="str">
        <f t="shared" si="19"/>
        <v>B</v>
      </c>
      <c r="H602" s="9" t="s">
        <v>21</v>
      </c>
      <c r="I602" s="9" t="s">
        <v>1323</v>
      </c>
      <c r="J602" s="9" t="s">
        <v>158</v>
      </c>
      <c r="K602" s="10" t="str">
        <f>IFERROR(VLOOKUP(A602,'Pedido ESTHER'!$B:$C,2,0),"")</f>
        <v/>
      </c>
      <c r="L602" s="12" t="str">
        <f>IF(N(K602)&gt;0,"COMPRA","NÃO COMPRA")</f>
        <v>NÃO COMPRA</v>
      </c>
    </row>
    <row r="603" spans="1:12">
      <c r="A603" s="8" t="s">
        <v>1324</v>
      </c>
      <c r="B603" s="9" t="s">
        <v>38</v>
      </c>
      <c r="C603" s="9" t="e">
        <f>VLOOKUP(A603,[2]Planilha1!$A:$B,2,0)</f>
        <v>#N/A</v>
      </c>
      <c r="D603" s="10">
        <f>SUMIF([1]Relatório!$A$2:$A$2653,A603,[1]Relatório!$AK$2:$AK$2653)</f>
        <v>213</v>
      </c>
      <c r="E603" s="11">
        <f t="shared" si="18"/>
        <v>0.000364129329164366</v>
      </c>
      <c r="F603" s="11">
        <f>SUM($E$7:E603)</f>
        <v>0.866036306942219</v>
      </c>
      <c r="G603" s="12" t="str">
        <f t="shared" si="19"/>
        <v>B</v>
      </c>
      <c r="H603" s="9" t="s">
        <v>21</v>
      </c>
      <c r="I603" s="9"/>
      <c r="J603" s="9" t="s">
        <v>40</v>
      </c>
      <c r="K603" s="10" t="str">
        <f>IFERROR(VLOOKUP(A603,'Pedido ESTHER'!$B:$C,2,0),"")</f>
        <v/>
      </c>
      <c r="L603" s="12" t="str">
        <f>IF(N(K603)&gt;0,"COMPRA","NÃO COMPRA")</f>
        <v>NÃO COMPRA</v>
      </c>
    </row>
    <row r="604" spans="1:12">
      <c r="A604" s="8" t="s">
        <v>1325</v>
      </c>
      <c r="B604" s="9" t="s">
        <v>1206</v>
      </c>
      <c r="C604" s="9" t="e">
        <f>VLOOKUP(A604,[2]Planilha1!$A:$B,2,0)</f>
        <v>#N/A</v>
      </c>
      <c r="D604" s="10">
        <f>SUMIF([1]Relatório!$A$2:$A$2653,A604,[1]Relatório!$AK$2:$AK$2653)</f>
        <v>213</v>
      </c>
      <c r="E604" s="11">
        <f t="shared" si="18"/>
        <v>0.000364129329164366</v>
      </c>
      <c r="F604" s="11">
        <f>SUM($E$7:E604)</f>
        <v>0.866400436271384</v>
      </c>
      <c r="G604" s="12" t="str">
        <f t="shared" si="19"/>
        <v>B</v>
      </c>
      <c r="H604" s="9" t="s">
        <v>1059</v>
      </c>
      <c r="I604" s="9" t="s">
        <v>1326</v>
      </c>
      <c r="J604" s="9" t="s">
        <v>158</v>
      </c>
      <c r="K604" s="10" t="str">
        <f>IFERROR(VLOOKUP(A604,'Pedido ESTHER'!$B:$C,2,0),"")</f>
        <v/>
      </c>
      <c r="L604" s="12" t="str">
        <f>IF(N(K604)&gt;0,"COMPRA","NÃO COMPRA")</f>
        <v>NÃO COMPRA</v>
      </c>
    </row>
    <row r="605" spans="1:12">
      <c r="A605" s="8" t="s">
        <v>1327</v>
      </c>
      <c r="B605" s="9" t="s">
        <v>474</v>
      </c>
      <c r="C605" s="9" t="e">
        <f>VLOOKUP(A605,[2]Planilha1!$A:$B,2,0)</f>
        <v>#N/A</v>
      </c>
      <c r="D605" s="10">
        <f>SUMIF([1]Relatório!$A$2:$A$2653,A605,[1]Relatório!$AK$2:$AK$2653)</f>
        <v>212</v>
      </c>
      <c r="E605" s="11">
        <f t="shared" si="18"/>
        <v>0.000362419801797397</v>
      </c>
      <c r="F605" s="11">
        <f>SUM($E$7:E605)</f>
        <v>0.866762856073181</v>
      </c>
      <c r="G605" s="12" t="str">
        <f t="shared" si="19"/>
        <v>B</v>
      </c>
      <c r="H605" s="9" t="s">
        <v>183</v>
      </c>
      <c r="I605" s="9" t="s">
        <v>1328</v>
      </c>
      <c r="J605" s="9" t="s">
        <v>49</v>
      </c>
      <c r="K605" s="10" t="str">
        <f>IFERROR(VLOOKUP(A605,'Pedido ESTHER'!$B:$C,2,0),"")</f>
        <v/>
      </c>
      <c r="L605" s="12" t="str">
        <f>IF(N(K605)&gt;0,"COMPRA","NÃO COMPRA")</f>
        <v>NÃO COMPRA</v>
      </c>
    </row>
    <row r="606" spans="1:12">
      <c r="A606" s="8" t="s">
        <v>1329</v>
      </c>
      <c r="B606" s="9" t="s">
        <v>1330</v>
      </c>
      <c r="C606" s="9" t="e">
        <f>VLOOKUP(A606,[2]Planilha1!$A:$B,2,0)</f>
        <v>#N/A</v>
      </c>
      <c r="D606" s="10">
        <f>SUMIF([1]Relatório!$A$2:$A$2653,A606,[1]Relatório!$AK$2:$AK$2653)</f>
        <v>212</v>
      </c>
      <c r="E606" s="11">
        <f t="shared" si="18"/>
        <v>0.000362419801797397</v>
      </c>
      <c r="F606" s="11">
        <f>SUM($E$7:E606)</f>
        <v>0.867125275874978</v>
      </c>
      <c r="G606" s="12" t="str">
        <f t="shared" si="19"/>
        <v>B</v>
      </c>
      <c r="H606" s="9" t="s">
        <v>112</v>
      </c>
      <c r="I606" s="9" t="s">
        <v>1331</v>
      </c>
      <c r="J606" s="9" t="s">
        <v>64</v>
      </c>
      <c r="K606" s="10" t="str">
        <f>IFERROR(VLOOKUP(A606,'Pedido ESTHER'!$B:$C,2,0),"")</f>
        <v/>
      </c>
      <c r="L606" s="12" t="str">
        <f>IF(N(K606)&gt;0,"COMPRA","NÃO COMPRA")</f>
        <v>NÃO COMPRA</v>
      </c>
    </row>
    <row r="607" spans="1:12">
      <c r="A607" s="8" t="s">
        <v>1332</v>
      </c>
      <c r="B607" s="9" t="s">
        <v>18</v>
      </c>
      <c r="C607" s="9" t="e">
        <f>VLOOKUP(A607,[2]Planilha1!$A:$B,2,0)</f>
        <v>#N/A</v>
      </c>
      <c r="D607" s="10">
        <f>SUMIF([1]Relatório!$A$2:$A$2653,A607,[1]Relatório!$AK$2:$AK$2653)</f>
        <v>211</v>
      </c>
      <c r="E607" s="11">
        <f t="shared" si="18"/>
        <v>0.000360710274430428</v>
      </c>
      <c r="F607" s="11">
        <f>SUM($E$7:E607)</f>
        <v>0.867485986149409</v>
      </c>
      <c r="G607" s="12" t="str">
        <f t="shared" si="19"/>
        <v>B</v>
      </c>
      <c r="H607" s="9" t="s">
        <v>18</v>
      </c>
      <c r="I607" s="9" t="s">
        <v>1333</v>
      </c>
      <c r="J607" s="9" t="s">
        <v>29</v>
      </c>
      <c r="K607" s="10" t="str">
        <f>IFERROR(VLOOKUP(A607,'Pedido ESTHER'!$B:$C,2,0),"")</f>
        <v/>
      </c>
      <c r="L607" s="12" t="str">
        <f>IF(N(K607)&gt;0,"COMPRA","NÃO COMPRA")</f>
        <v>NÃO COMPRA</v>
      </c>
    </row>
    <row r="608" spans="1:12">
      <c r="A608" s="8" t="s">
        <v>1334</v>
      </c>
      <c r="B608" s="9" t="s">
        <v>1100</v>
      </c>
      <c r="C608" s="9" t="e">
        <f>VLOOKUP(A608,[2]Planilha1!$A:$B,2,0)</f>
        <v>#N/A</v>
      </c>
      <c r="D608" s="10">
        <f>SUMIF([1]Relatório!$A$2:$A$2653,A608,[1]Relatório!$AK$2:$AK$2653)</f>
        <v>210</v>
      </c>
      <c r="E608" s="11">
        <f t="shared" si="18"/>
        <v>0.000359000747063459</v>
      </c>
      <c r="F608" s="11">
        <f>SUM($E$7:E608)</f>
        <v>0.867844986896472</v>
      </c>
      <c r="G608" s="12" t="str">
        <f t="shared" si="19"/>
        <v>B</v>
      </c>
      <c r="H608" s="9" t="s">
        <v>74</v>
      </c>
      <c r="I608" s="9" t="s">
        <v>1335</v>
      </c>
      <c r="J608" s="9" t="s">
        <v>241</v>
      </c>
      <c r="K608" s="10" t="str">
        <f>IFERROR(VLOOKUP(A608,'Pedido ESTHER'!$B:$C,2,0),"")</f>
        <v/>
      </c>
      <c r="L608" s="12" t="str">
        <f>IF(N(K608)&gt;0,"COMPRA","NÃO COMPRA")</f>
        <v>NÃO COMPRA</v>
      </c>
    </row>
    <row r="609" spans="1:12">
      <c r="A609" s="8" t="s">
        <v>1336</v>
      </c>
      <c r="B609" s="9" t="s">
        <v>342</v>
      </c>
      <c r="C609" s="9" t="e">
        <f>VLOOKUP(A609,[2]Planilha1!$A:$B,2,0)</f>
        <v>#N/A</v>
      </c>
      <c r="D609" s="10">
        <f>SUMIF([1]Relatório!$A$2:$A$2653,A609,[1]Relatório!$AK$2:$AK$2653)</f>
        <v>209</v>
      </c>
      <c r="E609" s="11">
        <f t="shared" si="18"/>
        <v>0.000357291219696491</v>
      </c>
      <c r="F609" s="11">
        <f>SUM($E$7:E609)</f>
        <v>0.868202278116169</v>
      </c>
      <c r="G609" s="12" t="str">
        <f t="shared" si="19"/>
        <v>B</v>
      </c>
      <c r="H609" s="9" t="s">
        <v>117</v>
      </c>
      <c r="I609" s="9" t="s">
        <v>1337</v>
      </c>
      <c r="J609" s="9" t="s">
        <v>15</v>
      </c>
      <c r="K609" s="10" t="str">
        <f>IFERROR(VLOOKUP(A609,'Pedido ESTHER'!$B:$C,2,0),"")</f>
        <v/>
      </c>
      <c r="L609" s="12" t="str">
        <f>IF(N(K609)&gt;0,"COMPRA","NÃO COMPRA")</f>
        <v>NÃO COMPRA</v>
      </c>
    </row>
    <row r="610" spans="1:12">
      <c r="A610" s="8" t="s">
        <v>1338</v>
      </c>
      <c r="B610" s="9" t="s">
        <v>240</v>
      </c>
      <c r="C610" s="9" t="e">
        <f>VLOOKUP(A610,[2]Planilha1!$A:$B,2,0)</f>
        <v>#N/A</v>
      </c>
      <c r="D610" s="10">
        <f>SUMIF([1]Relatório!$A$2:$A$2653,A610,[1]Relatório!$AK$2:$AK$2653)</f>
        <v>209</v>
      </c>
      <c r="E610" s="11">
        <f t="shared" si="18"/>
        <v>0.000357291219696491</v>
      </c>
      <c r="F610" s="11">
        <f>SUM($E$7:E610)</f>
        <v>0.868559569335865</v>
      </c>
      <c r="G610" s="12" t="str">
        <f t="shared" si="19"/>
        <v>B</v>
      </c>
      <c r="H610" s="9" t="s">
        <v>21</v>
      </c>
      <c r="I610" s="9" t="s">
        <v>1339</v>
      </c>
      <c r="J610" s="9" t="s">
        <v>241</v>
      </c>
      <c r="K610" s="10" t="str">
        <f>IFERROR(VLOOKUP(A610,'Pedido ESTHER'!$B:$C,2,0),"")</f>
        <v/>
      </c>
      <c r="L610" s="12" t="str">
        <f>IF(N(K610)&gt;0,"COMPRA","NÃO COMPRA")</f>
        <v>NÃO COMPRA</v>
      </c>
    </row>
    <row r="611" spans="1:12">
      <c r="A611" s="8" t="s">
        <v>1340</v>
      </c>
      <c r="B611" s="9" t="s">
        <v>42</v>
      </c>
      <c r="C611" s="9" t="e">
        <f>VLOOKUP(A611,[2]Planilha1!$A:$B,2,0)</f>
        <v>#N/A</v>
      </c>
      <c r="D611" s="10">
        <f>SUMIF([1]Relatório!$A$2:$A$2653,A611,[1]Relatório!$AK$2:$AK$2653)</f>
        <v>207</v>
      </c>
      <c r="E611" s="11">
        <f t="shared" si="18"/>
        <v>0.000353872164962553</v>
      </c>
      <c r="F611" s="11">
        <f>SUM($E$7:E611)</f>
        <v>0.868913441500828</v>
      </c>
      <c r="G611" s="12" t="str">
        <f t="shared" si="19"/>
        <v>B</v>
      </c>
      <c r="H611" s="9" t="s">
        <v>21</v>
      </c>
      <c r="I611" s="9" t="s">
        <v>1341</v>
      </c>
      <c r="J611" s="9" t="s">
        <v>44</v>
      </c>
      <c r="K611" s="10" t="str">
        <f>IFERROR(VLOOKUP(A611,'Pedido ESTHER'!$B:$C,2,0),"")</f>
        <v/>
      </c>
      <c r="L611" s="12" t="str">
        <f>IF(N(K611)&gt;0,"COMPRA","NÃO COMPRA")</f>
        <v>NÃO COMPRA</v>
      </c>
    </row>
    <row r="612" spans="1:12">
      <c r="A612" s="8" t="s">
        <v>1342</v>
      </c>
      <c r="B612" s="9" t="s">
        <v>1343</v>
      </c>
      <c r="C612" s="9" t="e">
        <f>VLOOKUP(A612,[2]Planilha1!$A:$B,2,0)</f>
        <v>#N/A</v>
      </c>
      <c r="D612" s="10">
        <f>SUMIF([1]Relatório!$A$2:$A$2653,A612,[1]Relatório!$AK$2:$AK$2653)</f>
        <v>206</v>
      </c>
      <c r="E612" s="11">
        <f t="shared" si="18"/>
        <v>0.000352162637595584</v>
      </c>
      <c r="F612" s="11">
        <f>SUM($E$7:E612)</f>
        <v>0.869265604138423</v>
      </c>
      <c r="G612" s="12" t="str">
        <f t="shared" si="19"/>
        <v>B</v>
      </c>
      <c r="H612" s="9" t="s">
        <v>1344</v>
      </c>
      <c r="I612" s="9" t="s">
        <v>1345</v>
      </c>
      <c r="J612" s="9" t="s">
        <v>29</v>
      </c>
      <c r="K612" s="10" t="str">
        <f>IFERROR(VLOOKUP(A612,'Pedido ESTHER'!$B:$C,2,0),"")</f>
        <v/>
      </c>
      <c r="L612" s="12" t="str">
        <f>IF(N(K612)&gt;0,"COMPRA","NÃO COMPRA")</f>
        <v>NÃO COMPRA</v>
      </c>
    </row>
    <row r="613" spans="1:12">
      <c r="A613" s="8" t="s">
        <v>1346</v>
      </c>
      <c r="B613" s="9" t="s">
        <v>179</v>
      </c>
      <c r="C613" s="9" t="e">
        <f>VLOOKUP(A613,[2]Planilha1!$A:$B,2,0)</f>
        <v>#N/A</v>
      </c>
      <c r="D613" s="10">
        <f>SUMIF([1]Relatório!$A$2:$A$2653,A613,[1]Relatório!$AK$2:$AK$2653)</f>
        <v>206</v>
      </c>
      <c r="E613" s="11">
        <f t="shared" si="18"/>
        <v>0.000352162637595584</v>
      </c>
      <c r="F613" s="11">
        <f>SUM($E$7:E613)</f>
        <v>0.869617766776019</v>
      </c>
      <c r="G613" s="12" t="str">
        <f t="shared" si="19"/>
        <v>B</v>
      </c>
      <c r="H613" s="9" t="s">
        <v>18</v>
      </c>
      <c r="I613" s="9"/>
      <c r="J613" s="9" t="s">
        <v>40</v>
      </c>
      <c r="K613" s="10" t="str">
        <f>IFERROR(VLOOKUP(A613,'Pedido ESTHER'!$B:$C,2,0),"")</f>
        <v/>
      </c>
      <c r="L613" s="12" t="str">
        <f>IF(N(K613)&gt;0,"COMPRA","NÃO COMPRA")</f>
        <v>NÃO COMPRA</v>
      </c>
    </row>
    <row r="614" spans="1:12">
      <c r="A614" s="8" t="s">
        <v>1347</v>
      </c>
      <c r="B614" s="9" t="s">
        <v>1209</v>
      </c>
      <c r="C614" s="9" t="e">
        <f>VLOOKUP(A614,[2]Planilha1!$A:$B,2,0)</f>
        <v>#N/A</v>
      </c>
      <c r="D614" s="10">
        <f>SUMIF([1]Relatório!$A$2:$A$2653,A614,[1]Relatório!$AK$2:$AK$2653)</f>
        <v>206</v>
      </c>
      <c r="E614" s="11">
        <f t="shared" si="18"/>
        <v>0.000352162637595584</v>
      </c>
      <c r="F614" s="11">
        <f>SUM($E$7:E614)</f>
        <v>0.869969929413615</v>
      </c>
      <c r="G614" s="12" t="str">
        <f t="shared" si="19"/>
        <v>B</v>
      </c>
      <c r="H614" s="9" t="s">
        <v>18</v>
      </c>
      <c r="I614" s="9" t="s">
        <v>1348</v>
      </c>
      <c r="J614" s="9" t="s">
        <v>64</v>
      </c>
      <c r="K614" s="10" t="str">
        <f>IFERROR(VLOOKUP(A614,'Pedido ESTHER'!$B:$C,2,0),"")</f>
        <v/>
      </c>
      <c r="L614" s="12" t="str">
        <f>IF(N(K614)&gt;0,"COMPRA","NÃO COMPRA")</f>
        <v>NÃO COMPRA</v>
      </c>
    </row>
    <row r="615" spans="1:12">
      <c r="A615" s="8" t="s">
        <v>1349</v>
      </c>
      <c r="B615" s="9" t="s">
        <v>363</v>
      </c>
      <c r="C615" s="9" t="e">
        <f>VLOOKUP(A615,[2]Planilha1!$A:$B,2,0)</f>
        <v>#N/A</v>
      </c>
      <c r="D615" s="10">
        <f>SUMIF([1]Relatório!$A$2:$A$2653,A615,[1]Relatório!$AK$2:$AK$2653)</f>
        <v>206</v>
      </c>
      <c r="E615" s="11">
        <f t="shared" si="18"/>
        <v>0.000352162637595584</v>
      </c>
      <c r="F615" s="11">
        <f>SUM($E$7:E615)</f>
        <v>0.87032209205121</v>
      </c>
      <c r="G615" s="12" t="str">
        <f t="shared" si="19"/>
        <v>B</v>
      </c>
      <c r="H615" s="9" t="s">
        <v>183</v>
      </c>
      <c r="I615" s="9" t="s">
        <v>1350</v>
      </c>
      <c r="J615" s="9" t="s">
        <v>40</v>
      </c>
      <c r="K615" s="10" t="str">
        <f>IFERROR(VLOOKUP(A615,'Pedido ESTHER'!$B:$C,2,0),"")</f>
        <v/>
      </c>
      <c r="L615" s="12" t="str">
        <f>IF(N(K615)&gt;0,"COMPRA","NÃO COMPRA")</f>
        <v>NÃO COMPRA</v>
      </c>
    </row>
    <row r="616" spans="1:12">
      <c r="A616" s="8" t="s">
        <v>1351</v>
      </c>
      <c r="B616" s="9" t="s">
        <v>965</v>
      </c>
      <c r="C616" s="9" t="e">
        <f>VLOOKUP(A616,[2]Planilha1!$A:$B,2,0)</f>
        <v>#N/A</v>
      </c>
      <c r="D616" s="10">
        <f>SUMIF([1]Relatório!$A$2:$A$2653,A616,[1]Relatório!$AK$2:$AK$2653)</f>
        <v>205</v>
      </c>
      <c r="E616" s="11">
        <f t="shared" si="18"/>
        <v>0.000350453110228615</v>
      </c>
      <c r="F616" s="11">
        <f>SUM($E$7:E616)</f>
        <v>0.870672545161439</v>
      </c>
      <c r="G616" s="12" t="str">
        <f t="shared" si="19"/>
        <v>B</v>
      </c>
      <c r="H616" s="9" t="s">
        <v>117</v>
      </c>
      <c r="I616" s="9" t="s">
        <v>1352</v>
      </c>
      <c r="J616" s="9" t="s">
        <v>281</v>
      </c>
      <c r="K616" s="10" t="str">
        <f>IFERROR(VLOOKUP(A616,'Pedido ESTHER'!$B:$C,2,0),"")</f>
        <v/>
      </c>
      <c r="L616" s="12" t="str">
        <f>IF(N(K616)&gt;0,"COMPRA","NÃO COMPRA")</f>
        <v>NÃO COMPRA</v>
      </c>
    </row>
    <row r="617" spans="1:12">
      <c r="A617" s="8" t="s">
        <v>1353</v>
      </c>
      <c r="B617" s="9" t="s">
        <v>495</v>
      </c>
      <c r="C617" s="9" t="e">
        <f>VLOOKUP(A617,[2]Planilha1!$A:$B,2,0)</f>
        <v>#N/A</v>
      </c>
      <c r="D617" s="10">
        <f>SUMIF([1]Relatório!$A$2:$A$2653,A617,[1]Relatório!$AK$2:$AK$2653)</f>
        <v>204</v>
      </c>
      <c r="E617" s="11">
        <f t="shared" si="18"/>
        <v>0.000348743582861646</v>
      </c>
      <c r="F617" s="11">
        <f>SUM($E$7:E617)</f>
        <v>0.871021288744301</v>
      </c>
      <c r="G617" s="12" t="str">
        <f t="shared" si="19"/>
        <v>B</v>
      </c>
      <c r="H617" s="9" t="s">
        <v>183</v>
      </c>
      <c r="I617" s="9" t="s">
        <v>1354</v>
      </c>
      <c r="J617" s="9" t="s">
        <v>64</v>
      </c>
      <c r="K617" s="10" t="str">
        <f>IFERROR(VLOOKUP(A617,'Pedido ESTHER'!$B:$C,2,0),"")</f>
        <v/>
      </c>
      <c r="L617" s="12" t="str">
        <f>IF(N(K617)&gt;0,"COMPRA","NÃO COMPRA")</f>
        <v>NÃO COMPRA</v>
      </c>
    </row>
    <row r="618" spans="1:12">
      <c r="A618" s="8" t="s">
        <v>1355</v>
      </c>
      <c r="B618" s="9" t="s">
        <v>812</v>
      </c>
      <c r="C618" s="9" t="e">
        <f>VLOOKUP(A618,[2]Planilha1!$A:$B,2,0)</f>
        <v>#N/A</v>
      </c>
      <c r="D618" s="10">
        <f>SUMIF([1]Relatório!$A$2:$A$2653,A618,[1]Relatório!$AK$2:$AK$2653)</f>
        <v>204</v>
      </c>
      <c r="E618" s="11">
        <f t="shared" si="18"/>
        <v>0.000348743582861646</v>
      </c>
      <c r="F618" s="11">
        <f>SUM($E$7:E618)</f>
        <v>0.871370032327162</v>
      </c>
      <c r="G618" s="12" t="str">
        <f t="shared" si="19"/>
        <v>B</v>
      </c>
      <c r="H618" s="9" t="s">
        <v>183</v>
      </c>
      <c r="I618" s="9" t="s">
        <v>1356</v>
      </c>
      <c r="J618" s="9" t="s">
        <v>1143</v>
      </c>
      <c r="K618" s="10" t="str">
        <f>IFERROR(VLOOKUP(A618,'Pedido ESTHER'!$B:$C,2,0),"")</f>
        <v/>
      </c>
      <c r="L618" s="12" t="str">
        <f>IF(N(K618)&gt;0,"COMPRA","NÃO COMPRA")</f>
        <v>NÃO COMPRA</v>
      </c>
    </row>
    <row r="619" spans="1:12">
      <c r="A619" s="8" t="s">
        <v>1357</v>
      </c>
      <c r="B619" s="9" t="s">
        <v>588</v>
      </c>
      <c r="C619" s="9" t="e">
        <f>VLOOKUP(A619,[2]Planilha1!$A:$B,2,0)</f>
        <v>#N/A</v>
      </c>
      <c r="D619" s="10">
        <f>SUMIF([1]Relatório!$A$2:$A$2653,A619,[1]Relatório!$AK$2:$AK$2653)</f>
        <v>204</v>
      </c>
      <c r="E619" s="11">
        <f t="shared" si="18"/>
        <v>0.000348743582861646</v>
      </c>
      <c r="F619" s="11">
        <f>SUM($E$7:E619)</f>
        <v>0.871718775910024</v>
      </c>
      <c r="G619" s="12" t="str">
        <f t="shared" si="19"/>
        <v>B</v>
      </c>
      <c r="H619" s="9" t="s">
        <v>21</v>
      </c>
      <c r="I619" s="9"/>
      <c r="J619" s="9" t="s">
        <v>15</v>
      </c>
      <c r="K619" s="10" t="str">
        <f>IFERROR(VLOOKUP(A619,'Pedido ESTHER'!$B:$C,2,0),"")</f>
        <v/>
      </c>
      <c r="L619" s="12" t="str">
        <f>IF(N(K619)&gt;0,"COMPRA","NÃO COMPRA")</f>
        <v>NÃO COMPRA</v>
      </c>
    </row>
    <row r="620" spans="1:12">
      <c r="A620" s="8" t="s">
        <v>1358</v>
      </c>
      <c r="B620" s="9" t="s">
        <v>226</v>
      </c>
      <c r="C620" s="9" t="e">
        <f>VLOOKUP(A620,[2]Planilha1!$A:$B,2,0)</f>
        <v>#N/A</v>
      </c>
      <c r="D620" s="10">
        <f>SUMIF([1]Relatório!$A$2:$A$2653,A620,[1]Relatório!$AK$2:$AK$2653)</f>
        <v>203</v>
      </c>
      <c r="E620" s="11">
        <f t="shared" si="18"/>
        <v>0.000347034055494677</v>
      </c>
      <c r="F620" s="11">
        <f>SUM($E$7:E620)</f>
        <v>0.872065809965518</v>
      </c>
      <c r="G620" s="12" t="str">
        <f t="shared" si="19"/>
        <v>B</v>
      </c>
      <c r="H620" s="9" t="s">
        <v>143</v>
      </c>
      <c r="I620" s="9" t="s">
        <v>1359</v>
      </c>
      <c r="J620" s="9" t="s">
        <v>44</v>
      </c>
      <c r="K620" s="10" t="str">
        <f>IFERROR(VLOOKUP(A620,'Pedido ESTHER'!$B:$C,2,0),"")</f>
        <v/>
      </c>
      <c r="L620" s="12" t="str">
        <f>IF(N(K620)&gt;0,"COMPRA","NÃO COMPRA")</f>
        <v>NÃO COMPRA</v>
      </c>
    </row>
    <row r="621" spans="1:12">
      <c r="A621" s="8" t="s">
        <v>1360</v>
      </c>
      <c r="B621" s="9" t="s">
        <v>522</v>
      </c>
      <c r="C621" s="9" t="e">
        <f>VLOOKUP(A621,[2]Planilha1!$A:$B,2,0)</f>
        <v>#N/A</v>
      </c>
      <c r="D621" s="10">
        <f>SUMIF([1]Relatório!$A$2:$A$2653,A621,[1]Relatório!$AK$2:$AK$2653)</f>
        <v>203</v>
      </c>
      <c r="E621" s="11">
        <f t="shared" si="18"/>
        <v>0.000347034055494677</v>
      </c>
      <c r="F621" s="11">
        <f>SUM($E$7:E621)</f>
        <v>0.872412844021013</v>
      </c>
      <c r="G621" s="12" t="str">
        <f t="shared" si="19"/>
        <v>B</v>
      </c>
      <c r="H621" s="9" t="s">
        <v>831</v>
      </c>
      <c r="I621" s="9" t="s">
        <v>1361</v>
      </c>
      <c r="J621" s="9" t="s">
        <v>201</v>
      </c>
      <c r="K621" s="10" t="str">
        <f>IFERROR(VLOOKUP(A621,'Pedido ESTHER'!$B:$C,2,0),"")</f>
        <v/>
      </c>
      <c r="L621" s="12" t="str">
        <f>IF(N(K621)&gt;0,"COMPRA","NÃO COMPRA")</f>
        <v>NÃO COMPRA</v>
      </c>
    </row>
    <row r="622" spans="1:12">
      <c r="A622" s="8" t="s">
        <v>1362</v>
      </c>
      <c r="B622" s="9" t="s">
        <v>1363</v>
      </c>
      <c r="C622" s="9" t="e">
        <f>VLOOKUP(A622,[2]Planilha1!$A:$B,2,0)</f>
        <v>#N/A</v>
      </c>
      <c r="D622" s="10">
        <f>SUMIF([1]Relatório!$A$2:$A$2653,A622,[1]Relatório!$AK$2:$AK$2653)</f>
        <v>202</v>
      </c>
      <c r="E622" s="11">
        <f t="shared" si="18"/>
        <v>0.000345324528127709</v>
      </c>
      <c r="F622" s="11">
        <f>SUM($E$7:E622)</f>
        <v>0.872758168549141</v>
      </c>
      <c r="G622" s="12" t="str">
        <f t="shared" si="19"/>
        <v>B</v>
      </c>
      <c r="H622" s="9" t="s">
        <v>143</v>
      </c>
      <c r="I622" s="9" t="s">
        <v>1364</v>
      </c>
      <c r="J622" s="9" t="s">
        <v>164</v>
      </c>
      <c r="K622" s="10" t="str">
        <f>IFERROR(VLOOKUP(A622,'Pedido ESTHER'!$B:$C,2,0),"")</f>
        <v/>
      </c>
      <c r="L622" s="12" t="str">
        <f>IF(N(K622)&gt;0,"COMPRA","NÃO COMPRA")</f>
        <v>NÃO COMPRA</v>
      </c>
    </row>
    <row r="623" spans="1:12">
      <c r="A623" s="8" t="s">
        <v>1365</v>
      </c>
      <c r="B623" s="9" t="s">
        <v>349</v>
      </c>
      <c r="C623" s="9" t="e">
        <f>VLOOKUP(A623,[2]Planilha1!$A:$B,2,0)</f>
        <v>#N/A</v>
      </c>
      <c r="D623" s="10">
        <f>SUMIF([1]Relatório!$A$2:$A$2653,A623,[1]Relatório!$AK$2:$AK$2653)</f>
        <v>202</v>
      </c>
      <c r="E623" s="11">
        <f t="shared" si="18"/>
        <v>0.000345324528127709</v>
      </c>
      <c r="F623" s="11">
        <f>SUM($E$7:E623)</f>
        <v>0.873103493077269</v>
      </c>
      <c r="G623" s="12" t="str">
        <f t="shared" si="19"/>
        <v>B</v>
      </c>
      <c r="H623" s="9" t="s">
        <v>18</v>
      </c>
      <c r="I623" s="9"/>
      <c r="J623" s="9" t="s">
        <v>164</v>
      </c>
      <c r="K623" s="10" t="str">
        <f>IFERROR(VLOOKUP(A623,'Pedido ESTHER'!$B:$C,2,0),"")</f>
        <v/>
      </c>
      <c r="L623" s="12" t="str">
        <f>IF(N(K623)&gt;0,"COMPRA","NÃO COMPRA")</f>
        <v>NÃO COMPRA</v>
      </c>
    </row>
    <row r="624" spans="1:12">
      <c r="A624" s="8" t="s">
        <v>1366</v>
      </c>
      <c r="B624" s="9" t="s">
        <v>1322</v>
      </c>
      <c r="C624" s="9" t="e">
        <f>VLOOKUP(A624,[2]Planilha1!$A:$B,2,0)</f>
        <v>#N/A</v>
      </c>
      <c r="D624" s="10">
        <f>SUMIF([1]Relatório!$A$2:$A$2653,A624,[1]Relatório!$AK$2:$AK$2653)</f>
        <v>202</v>
      </c>
      <c r="E624" s="11">
        <f t="shared" si="18"/>
        <v>0.000345324528127709</v>
      </c>
      <c r="F624" s="11">
        <f>SUM($E$7:E624)</f>
        <v>0.873448817605396</v>
      </c>
      <c r="G624" s="12" t="str">
        <f t="shared" si="19"/>
        <v>B</v>
      </c>
      <c r="H624" s="9" t="s">
        <v>21</v>
      </c>
      <c r="I624" s="9"/>
      <c r="J624" s="9" t="s">
        <v>158</v>
      </c>
      <c r="K624" s="10" t="str">
        <f>IFERROR(VLOOKUP(A624,'Pedido ESTHER'!$B:$C,2,0),"")</f>
        <v/>
      </c>
      <c r="L624" s="12" t="str">
        <f>IF(N(K624)&gt;0,"COMPRA","NÃO COMPRA")</f>
        <v>NÃO COMPRA</v>
      </c>
    </row>
    <row r="625" spans="1:12">
      <c r="A625" s="8" t="s">
        <v>1367</v>
      </c>
      <c r="B625" s="9" t="s">
        <v>1368</v>
      </c>
      <c r="C625" s="9" t="e">
        <f>VLOOKUP(A625,[2]Planilha1!$A:$B,2,0)</f>
        <v>#N/A</v>
      </c>
      <c r="D625" s="10">
        <f>SUMIF([1]Relatório!$A$2:$A$2653,A625,[1]Relatório!$AK$2:$AK$2653)</f>
        <v>201</v>
      </c>
      <c r="E625" s="11">
        <f t="shared" si="18"/>
        <v>0.00034361500076074</v>
      </c>
      <c r="F625" s="11">
        <f>SUM($E$7:E625)</f>
        <v>0.873792432606157</v>
      </c>
      <c r="G625" s="12" t="str">
        <f t="shared" si="19"/>
        <v>B</v>
      </c>
      <c r="H625" s="9" t="s">
        <v>14</v>
      </c>
      <c r="I625" s="9" t="s">
        <v>1369</v>
      </c>
      <c r="J625" s="9" t="s">
        <v>390</v>
      </c>
      <c r="K625" s="10" t="str">
        <f>IFERROR(VLOOKUP(A625,'Pedido ESTHER'!$B:$C,2,0),"")</f>
        <v/>
      </c>
      <c r="L625" s="12" t="str">
        <f>IF(N(K625)&gt;0,"COMPRA","NÃO COMPRA")</f>
        <v>NÃO COMPRA</v>
      </c>
    </row>
    <row r="626" spans="1:12">
      <c r="A626" s="8" t="s">
        <v>1370</v>
      </c>
      <c r="B626" s="9" t="s">
        <v>876</v>
      </c>
      <c r="C626" s="9" t="e">
        <f>VLOOKUP(A626,[2]Planilha1!$A:$B,2,0)</f>
        <v>#N/A</v>
      </c>
      <c r="D626" s="10">
        <f>SUMIF([1]Relatório!$A$2:$A$2653,A626,[1]Relatório!$AK$2:$AK$2653)</f>
        <v>200</v>
      </c>
      <c r="E626" s="11">
        <f t="shared" si="18"/>
        <v>0.000341905473393771</v>
      </c>
      <c r="F626" s="11">
        <f>SUM($E$7:E626)</f>
        <v>0.874134338079551</v>
      </c>
      <c r="G626" s="12" t="str">
        <f t="shared" si="19"/>
        <v>B</v>
      </c>
      <c r="H626" s="9" t="s">
        <v>586</v>
      </c>
      <c r="I626" s="9"/>
      <c r="J626" s="9" t="s">
        <v>1371</v>
      </c>
      <c r="K626" s="10" t="str">
        <f>IFERROR(VLOOKUP(A626,'Pedido ESTHER'!$B:$C,2,0),"")</f>
        <v/>
      </c>
      <c r="L626" s="12" t="str">
        <f>IF(N(K626)&gt;0,"COMPRA","NÃO COMPRA")</f>
        <v>NÃO COMPRA</v>
      </c>
    </row>
    <row r="627" spans="1:12">
      <c r="A627" s="8" t="s">
        <v>1372</v>
      </c>
      <c r="B627" s="9" t="s">
        <v>1373</v>
      </c>
      <c r="C627" s="9" t="e">
        <f>VLOOKUP(A627,[2]Planilha1!$A:$B,2,0)</f>
        <v>#N/A</v>
      </c>
      <c r="D627" s="10">
        <f>SUMIF([1]Relatório!$A$2:$A$2653,A627,[1]Relatório!$AK$2:$AK$2653)</f>
        <v>200</v>
      </c>
      <c r="E627" s="11">
        <f t="shared" si="18"/>
        <v>0.000341905473393771</v>
      </c>
      <c r="F627" s="11">
        <f>SUM($E$7:E627)</f>
        <v>0.874476243552945</v>
      </c>
      <c r="G627" s="12" t="str">
        <f t="shared" si="19"/>
        <v>B</v>
      </c>
      <c r="H627" s="9" t="s">
        <v>221</v>
      </c>
      <c r="I627" s="9" t="s">
        <v>1374</v>
      </c>
      <c r="J627" s="9" t="s">
        <v>1143</v>
      </c>
      <c r="K627" s="10" t="str">
        <f>IFERROR(VLOOKUP(A627,'Pedido ESTHER'!$B:$C,2,0),"")</f>
        <v/>
      </c>
      <c r="L627" s="12" t="str">
        <f>IF(N(K627)&gt;0,"COMPRA","NÃO COMPRA")</f>
        <v>NÃO COMPRA</v>
      </c>
    </row>
    <row r="628" spans="1:12">
      <c r="A628" s="8" t="s">
        <v>1375</v>
      </c>
      <c r="B628" s="9" t="s">
        <v>1376</v>
      </c>
      <c r="C628" s="9" t="e">
        <f>VLOOKUP(A628,[2]Planilha1!$A:$B,2,0)</f>
        <v>#N/A</v>
      </c>
      <c r="D628" s="10">
        <f>SUMIF([1]Relatório!$A$2:$A$2653,A628,[1]Relatório!$AK$2:$AK$2653)</f>
        <v>199</v>
      </c>
      <c r="E628" s="11">
        <f t="shared" si="18"/>
        <v>0.000340195946026802</v>
      </c>
      <c r="F628" s="11">
        <f>SUM($E$7:E628)</f>
        <v>0.874816439498971</v>
      </c>
      <c r="G628" s="12" t="str">
        <f t="shared" si="19"/>
        <v>B</v>
      </c>
      <c r="H628" s="9" t="s">
        <v>1344</v>
      </c>
      <c r="I628" s="9" t="s">
        <v>1377</v>
      </c>
      <c r="J628" s="9" t="s">
        <v>29</v>
      </c>
      <c r="K628" s="10" t="str">
        <f>IFERROR(VLOOKUP(A628,'Pedido ESTHER'!$B:$C,2,0),"")</f>
        <v/>
      </c>
      <c r="L628" s="12" t="str">
        <f>IF(N(K628)&gt;0,"COMPRA","NÃO COMPRA")</f>
        <v>NÃO COMPRA</v>
      </c>
    </row>
    <row r="629" spans="1:12">
      <c r="A629" s="8" t="s">
        <v>1378</v>
      </c>
      <c r="B629" s="9" t="s">
        <v>749</v>
      </c>
      <c r="C629" s="9" t="e">
        <f>VLOOKUP(A629,[2]Planilha1!$A:$B,2,0)</f>
        <v>#N/A</v>
      </c>
      <c r="D629" s="10">
        <f>SUMIF([1]Relatório!$A$2:$A$2653,A629,[1]Relatório!$AK$2:$AK$2653)</f>
        <v>199</v>
      </c>
      <c r="E629" s="11">
        <f t="shared" si="18"/>
        <v>0.000340195946026802</v>
      </c>
      <c r="F629" s="11">
        <f>SUM($E$7:E629)</f>
        <v>0.875156635444998</v>
      </c>
      <c r="G629" s="12" t="str">
        <f t="shared" si="19"/>
        <v>B</v>
      </c>
      <c r="H629" s="9" t="s">
        <v>776</v>
      </c>
      <c r="I629" s="9" t="s">
        <v>1379</v>
      </c>
      <c r="J629" s="9" t="s">
        <v>359</v>
      </c>
      <c r="K629" s="10" t="str">
        <f>IFERROR(VLOOKUP(A629,'Pedido ESTHER'!$B:$C,2,0),"")</f>
        <v/>
      </c>
      <c r="L629" s="12" t="str">
        <f>IF(N(K629)&gt;0,"COMPRA","NÃO COMPRA")</f>
        <v>NÃO COMPRA</v>
      </c>
    </row>
    <row r="630" spans="1:12">
      <c r="A630" s="8" t="s">
        <v>1380</v>
      </c>
      <c r="B630" s="9" t="s">
        <v>1312</v>
      </c>
      <c r="C630" s="9" t="e">
        <f>VLOOKUP(A630,[2]Planilha1!$A:$B,2,0)</f>
        <v>#N/A</v>
      </c>
      <c r="D630" s="10">
        <f>SUMIF([1]Relatório!$A$2:$A$2653,A630,[1]Relatório!$AK$2:$AK$2653)</f>
        <v>198</v>
      </c>
      <c r="E630" s="11">
        <f t="shared" si="18"/>
        <v>0.000338486418659833</v>
      </c>
      <c r="F630" s="11">
        <f>SUM($E$7:E630)</f>
        <v>0.875495121863658</v>
      </c>
      <c r="G630" s="12" t="str">
        <f t="shared" si="19"/>
        <v>B</v>
      </c>
      <c r="H630" s="9" t="s">
        <v>183</v>
      </c>
      <c r="I630" s="9" t="s">
        <v>1381</v>
      </c>
      <c r="J630" s="9" t="s">
        <v>1314</v>
      </c>
      <c r="K630" s="10" t="str">
        <f>IFERROR(VLOOKUP(A630,'Pedido ESTHER'!$B:$C,2,0),"")</f>
        <v/>
      </c>
      <c r="L630" s="12" t="str">
        <f>IF(N(K630)&gt;0,"COMPRA","NÃO COMPRA")</f>
        <v>NÃO COMPRA</v>
      </c>
    </row>
    <row r="631" spans="1:12">
      <c r="A631" s="8" t="s">
        <v>1382</v>
      </c>
      <c r="B631" s="9" t="s">
        <v>1383</v>
      </c>
      <c r="C631" s="9" t="e">
        <f>VLOOKUP(A631,[2]Planilha1!$A:$B,2,0)</f>
        <v>#N/A</v>
      </c>
      <c r="D631" s="10">
        <f>SUMIF([1]Relatório!$A$2:$A$2653,A631,[1]Relatório!$AK$2:$AK$2653)</f>
        <v>198</v>
      </c>
      <c r="E631" s="11">
        <f t="shared" si="18"/>
        <v>0.000338486418659833</v>
      </c>
      <c r="F631" s="11">
        <f>SUM($E$7:E631)</f>
        <v>0.875833608282318</v>
      </c>
      <c r="G631" s="12" t="str">
        <f t="shared" si="19"/>
        <v>B</v>
      </c>
      <c r="H631" s="9" t="s">
        <v>221</v>
      </c>
      <c r="I631" s="9" t="s">
        <v>1384</v>
      </c>
      <c r="J631" s="9" t="s">
        <v>273</v>
      </c>
      <c r="K631" s="10" t="str">
        <f>IFERROR(VLOOKUP(A631,'Pedido ESTHER'!$B:$C,2,0),"")</f>
        <v/>
      </c>
      <c r="L631" s="12" t="str">
        <f>IF(N(K631)&gt;0,"COMPRA","NÃO COMPRA")</f>
        <v>NÃO COMPRA</v>
      </c>
    </row>
    <row r="632" spans="1:12">
      <c r="A632" s="8" t="s">
        <v>1385</v>
      </c>
      <c r="B632" s="9" t="s">
        <v>1058</v>
      </c>
      <c r="C632" s="9" t="e">
        <f>VLOOKUP(A632,[2]Planilha1!$A:$B,2,0)</f>
        <v>#N/A</v>
      </c>
      <c r="D632" s="10">
        <f>SUMIF([1]Relatório!$A$2:$A$2653,A632,[1]Relatório!$AK$2:$AK$2653)</f>
        <v>198</v>
      </c>
      <c r="E632" s="11">
        <f t="shared" si="18"/>
        <v>0.000338486418659833</v>
      </c>
      <c r="F632" s="11">
        <f>SUM($E$7:E632)</f>
        <v>0.876172094700978</v>
      </c>
      <c r="G632" s="12" t="str">
        <f t="shared" si="19"/>
        <v>B</v>
      </c>
      <c r="H632" s="9" t="s">
        <v>1059</v>
      </c>
      <c r="I632" s="9" t="s">
        <v>1386</v>
      </c>
      <c r="J632" s="9" t="s">
        <v>83</v>
      </c>
      <c r="K632" s="10" t="str">
        <f>IFERROR(VLOOKUP(A632,'Pedido ESTHER'!$B:$C,2,0),"")</f>
        <v/>
      </c>
      <c r="L632" s="12" t="str">
        <f>IF(N(K632)&gt;0,"COMPRA","NÃO COMPRA")</f>
        <v>NÃO COMPRA</v>
      </c>
    </row>
    <row r="633" spans="1:12">
      <c r="A633" s="8" t="s">
        <v>1387</v>
      </c>
      <c r="B633" s="9" t="s">
        <v>1388</v>
      </c>
      <c r="C633" s="9" t="e">
        <f>VLOOKUP(A633,[2]Planilha1!$A:$B,2,0)</f>
        <v>#N/A</v>
      </c>
      <c r="D633" s="10">
        <f>SUMIF([1]Relatório!$A$2:$A$2653,A633,[1]Relatório!$AK$2:$AK$2653)</f>
        <v>198</v>
      </c>
      <c r="E633" s="11">
        <f t="shared" si="18"/>
        <v>0.000338486418659833</v>
      </c>
      <c r="F633" s="11">
        <f>SUM($E$7:E633)</f>
        <v>0.876510581119638</v>
      </c>
      <c r="G633" s="12" t="str">
        <f t="shared" si="19"/>
        <v>B</v>
      </c>
      <c r="H633" s="9" t="s">
        <v>1059</v>
      </c>
      <c r="I633" s="9" t="s">
        <v>1389</v>
      </c>
      <c r="J633" s="9" t="s">
        <v>40</v>
      </c>
      <c r="K633" s="10" t="str">
        <f>IFERROR(VLOOKUP(A633,'Pedido ESTHER'!$B:$C,2,0),"")</f>
        <v/>
      </c>
      <c r="L633" s="12" t="str">
        <f>IF(N(K633)&gt;0,"COMPRA","NÃO COMPRA")</f>
        <v>NÃO COMPRA</v>
      </c>
    </row>
    <row r="634" spans="1:12">
      <c r="A634" s="8" t="s">
        <v>1390</v>
      </c>
      <c r="B634" s="9" t="s">
        <v>1391</v>
      </c>
      <c r="C634" s="9" t="e">
        <f>VLOOKUP(A634,[2]Planilha1!$A:$B,2,0)</f>
        <v>#N/A</v>
      </c>
      <c r="D634" s="10">
        <f>SUMIF([1]Relatório!$A$2:$A$2653,A634,[1]Relatório!$AK$2:$AK$2653)</f>
        <v>197</v>
      </c>
      <c r="E634" s="11">
        <f t="shared" si="18"/>
        <v>0.000336776891292864</v>
      </c>
      <c r="F634" s="11">
        <f>SUM($E$7:E634)</f>
        <v>0.87684735801093</v>
      </c>
      <c r="G634" s="12" t="str">
        <f t="shared" si="19"/>
        <v>B</v>
      </c>
      <c r="H634" s="9" t="s">
        <v>14</v>
      </c>
      <c r="I634" s="9" t="s">
        <v>1392</v>
      </c>
      <c r="J634" s="9" t="s">
        <v>213</v>
      </c>
      <c r="K634" s="10" t="str">
        <f>IFERROR(VLOOKUP(A634,'Pedido ESTHER'!$B:$C,2,0),"")</f>
        <v/>
      </c>
      <c r="L634" s="12" t="str">
        <f>IF(N(K634)&gt;0,"COMPRA","NÃO COMPRA")</f>
        <v>NÃO COMPRA</v>
      </c>
    </row>
    <row r="635" spans="1:12">
      <c r="A635" s="8" t="s">
        <v>1393</v>
      </c>
      <c r="B635" s="9" t="s">
        <v>342</v>
      </c>
      <c r="C635" s="9" t="e">
        <f>VLOOKUP(A635,[2]Planilha1!$A:$B,2,0)</f>
        <v>#N/A</v>
      </c>
      <c r="D635" s="10">
        <f>SUMIF([1]Relatório!$A$2:$A$2653,A635,[1]Relatório!$AK$2:$AK$2653)</f>
        <v>197</v>
      </c>
      <c r="E635" s="11">
        <f t="shared" si="18"/>
        <v>0.000336776891292864</v>
      </c>
      <c r="F635" s="11">
        <f>SUM($E$7:E635)</f>
        <v>0.877184134902223</v>
      </c>
      <c r="G635" s="12" t="str">
        <f t="shared" si="19"/>
        <v>B</v>
      </c>
      <c r="H635" s="9" t="s">
        <v>831</v>
      </c>
      <c r="I635" s="9" t="s">
        <v>1394</v>
      </c>
      <c r="J635" s="9" t="s">
        <v>158</v>
      </c>
      <c r="K635" s="10" t="str">
        <f>IFERROR(VLOOKUP(A635,'Pedido ESTHER'!$B:$C,2,0),"")</f>
        <v/>
      </c>
      <c r="L635" s="12" t="str">
        <f>IF(N(K635)&gt;0,"COMPRA","NÃO COMPRA")</f>
        <v>NÃO COMPRA</v>
      </c>
    </row>
    <row r="636" spans="1:12">
      <c r="A636" s="8" t="s">
        <v>1395</v>
      </c>
      <c r="B636" s="9" t="s">
        <v>335</v>
      </c>
      <c r="C636" s="9" t="e">
        <f>VLOOKUP(A636,[2]Planilha1!$A:$B,2,0)</f>
        <v>#N/A</v>
      </c>
      <c r="D636" s="10">
        <f>SUMIF([1]Relatório!$A$2:$A$2653,A636,[1]Relatório!$AK$2:$AK$2653)</f>
        <v>197</v>
      </c>
      <c r="E636" s="11">
        <f t="shared" si="18"/>
        <v>0.000336776891292864</v>
      </c>
      <c r="F636" s="11">
        <f>SUM($E$7:E636)</f>
        <v>0.877520911793516</v>
      </c>
      <c r="G636" s="12" t="str">
        <f t="shared" si="19"/>
        <v>B</v>
      </c>
      <c r="H636" s="9" t="s">
        <v>183</v>
      </c>
      <c r="I636" s="9" t="s">
        <v>1396</v>
      </c>
      <c r="J636" s="9" t="s">
        <v>44</v>
      </c>
      <c r="K636" s="10" t="str">
        <f>IFERROR(VLOOKUP(A636,'Pedido ESTHER'!$B:$C,2,0),"")</f>
        <v/>
      </c>
      <c r="L636" s="12" t="str">
        <f>IF(N(K636)&gt;0,"COMPRA","NÃO COMPRA")</f>
        <v>NÃO COMPRA</v>
      </c>
    </row>
    <row r="637" spans="1:12">
      <c r="A637" s="8" t="s">
        <v>1397</v>
      </c>
      <c r="B637" s="9" t="s">
        <v>240</v>
      </c>
      <c r="C637" s="9" t="e">
        <f>VLOOKUP(A637,[2]Planilha1!$A:$B,2,0)</f>
        <v>#N/A</v>
      </c>
      <c r="D637" s="10">
        <f>SUMIF([1]Relatório!$A$2:$A$2653,A637,[1]Relatório!$AK$2:$AK$2653)</f>
        <v>196</v>
      </c>
      <c r="E637" s="11">
        <f t="shared" si="18"/>
        <v>0.000335067363925895</v>
      </c>
      <c r="F637" s="11">
        <f>SUM($E$7:E637)</f>
        <v>0.877855979157442</v>
      </c>
      <c r="G637" s="12" t="str">
        <f t="shared" si="19"/>
        <v>B</v>
      </c>
      <c r="H637" s="9" t="s">
        <v>21</v>
      </c>
      <c r="I637" s="9"/>
      <c r="J637" s="9" t="s">
        <v>241</v>
      </c>
      <c r="K637" s="10" t="str">
        <f>IFERROR(VLOOKUP(A637,'Pedido ESTHER'!$B:$C,2,0),"")</f>
        <v/>
      </c>
      <c r="L637" s="12" t="str">
        <f>IF(N(K637)&gt;0,"COMPRA","NÃO COMPRA")</f>
        <v>NÃO COMPRA</v>
      </c>
    </row>
    <row r="638" spans="1:12">
      <c r="A638" s="8" t="s">
        <v>1398</v>
      </c>
      <c r="B638" s="9" t="s">
        <v>1058</v>
      </c>
      <c r="C638" s="9" t="e">
        <f>VLOOKUP(A638,[2]Planilha1!$A:$B,2,0)</f>
        <v>#N/A</v>
      </c>
      <c r="D638" s="10">
        <f>SUMIF([1]Relatório!$A$2:$A$2653,A638,[1]Relatório!$AK$2:$AK$2653)</f>
        <v>196</v>
      </c>
      <c r="E638" s="11">
        <f t="shared" si="18"/>
        <v>0.000335067363925895</v>
      </c>
      <c r="F638" s="11">
        <f>SUM($E$7:E638)</f>
        <v>0.878191046521368</v>
      </c>
      <c r="G638" s="12" t="str">
        <f t="shared" si="19"/>
        <v>B</v>
      </c>
      <c r="H638" s="9" t="s">
        <v>1059</v>
      </c>
      <c r="I638" s="9" t="s">
        <v>1399</v>
      </c>
      <c r="J638" s="9" t="s">
        <v>83</v>
      </c>
      <c r="K638" s="10" t="str">
        <f>IFERROR(VLOOKUP(A638,'Pedido ESTHER'!$B:$C,2,0),"")</f>
        <v/>
      </c>
      <c r="L638" s="12" t="str">
        <f>IF(N(K638)&gt;0,"COMPRA","NÃO COMPRA")</f>
        <v>NÃO COMPRA</v>
      </c>
    </row>
    <row r="639" spans="1:12">
      <c r="A639" s="8" t="s">
        <v>1400</v>
      </c>
      <c r="B639" s="9" t="s">
        <v>1388</v>
      </c>
      <c r="C639" s="9" t="e">
        <f>VLOOKUP(A639,[2]Planilha1!$A:$B,2,0)</f>
        <v>#N/A</v>
      </c>
      <c r="D639" s="10">
        <f>SUMIF([1]Relatório!$A$2:$A$2653,A639,[1]Relatório!$AK$2:$AK$2653)</f>
        <v>196</v>
      </c>
      <c r="E639" s="11">
        <f t="shared" si="18"/>
        <v>0.000335067363925895</v>
      </c>
      <c r="F639" s="11">
        <f>SUM($E$7:E639)</f>
        <v>0.878526113885294</v>
      </c>
      <c r="G639" s="12" t="str">
        <f t="shared" si="19"/>
        <v>B</v>
      </c>
      <c r="H639" s="9" t="s">
        <v>1059</v>
      </c>
      <c r="I639" s="9" t="s">
        <v>1401</v>
      </c>
      <c r="J639" s="9" t="s">
        <v>40</v>
      </c>
      <c r="K639" s="10" t="str">
        <f>IFERROR(VLOOKUP(A639,'Pedido ESTHER'!$B:$C,2,0),"")</f>
        <v/>
      </c>
      <c r="L639" s="12" t="str">
        <f>IF(N(K639)&gt;0,"COMPRA","NÃO COMPRA")</f>
        <v>NÃO COMPRA</v>
      </c>
    </row>
    <row r="640" spans="1:12">
      <c r="A640" s="8" t="s">
        <v>1402</v>
      </c>
      <c r="B640" s="9" t="s">
        <v>1343</v>
      </c>
      <c r="C640" s="9" t="e">
        <f>VLOOKUP(A640,[2]Planilha1!$A:$B,2,0)</f>
        <v>#N/A</v>
      </c>
      <c r="D640" s="10">
        <f>SUMIF([1]Relatório!$A$2:$A$2653,A640,[1]Relatório!$AK$2:$AK$2653)</f>
        <v>195</v>
      </c>
      <c r="E640" s="11">
        <f t="shared" si="18"/>
        <v>0.000333357836558927</v>
      </c>
      <c r="F640" s="11">
        <f>SUM($E$7:E640)</f>
        <v>0.878859471721853</v>
      </c>
      <c r="G640" s="12" t="str">
        <f t="shared" si="19"/>
        <v>B</v>
      </c>
      <c r="H640" s="9" t="s">
        <v>1344</v>
      </c>
      <c r="I640" s="9" t="s">
        <v>1403</v>
      </c>
      <c r="J640" s="9" t="s">
        <v>29</v>
      </c>
      <c r="K640" s="10" t="str">
        <f>IFERROR(VLOOKUP(A640,'Pedido ESTHER'!$B:$C,2,0),"")</f>
        <v/>
      </c>
      <c r="L640" s="12" t="str">
        <f>IF(N(K640)&gt;0,"COMPRA","NÃO COMPRA")</f>
        <v>NÃO COMPRA</v>
      </c>
    </row>
    <row r="641" spans="1:12">
      <c r="A641" s="8" t="s">
        <v>1404</v>
      </c>
      <c r="B641" s="9" t="s">
        <v>1405</v>
      </c>
      <c r="C641" s="9" t="e">
        <f>VLOOKUP(A641,[2]Planilha1!$A:$B,2,0)</f>
        <v>#N/A</v>
      </c>
      <c r="D641" s="10">
        <f>SUMIF([1]Relatório!$A$2:$A$2653,A641,[1]Relatório!$AK$2:$AK$2653)</f>
        <v>194</v>
      </c>
      <c r="E641" s="11">
        <f t="shared" si="18"/>
        <v>0.000331648309191958</v>
      </c>
      <c r="F641" s="11">
        <f>SUM($E$7:E641)</f>
        <v>0.879191120031045</v>
      </c>
      <c r="G641" s="12" t="str">
        <f t="shared" si="19"/>
        <v>B</v>
      </c>
      <c r="H641" s="9" t="s">
        <v>1059</v>
      </c>
      <c r="I641" s="9" t="s">
        <v>1406</v>
      </c>
      <c r="J641" s="9" t="s">
        <v>64</v>
      </c>
      <c r="K641" s="10" t="str">
        <f>IFERROR(VLOOKUP(A641,'Pedido ESTHER'!$B:$C,2,0),"")</f>
        <v/>
      </c>
      <c r="L641" s="12" t="str">
        <f>IF(N(K641)&gt;0,"COMPRA","NÃO COMPRA")</f>
        <v>NÃO COMPRA</v>
      </c>
    </row>
    <row r="642" spans="1:12">
      <c r="A642" s="8" t="s">
        <v>1407</v>
      </c>
      <c r="B642" s="9" t="s">
        <v>1376</v>
      </c>
      <c r="C642" s="9" t="e">
        <f>VLOOKUP(A642,[2]Planilha1!$A:$B,2,0)</f>
        <v>#N/A</v>
      </c>
      <c r="D642" s="10">
        <f>SUMIF([1]Relatório!$A$2:$A$2653,A642,[1]Relatório!$AK$2:$AK$2653)</f>
        <v>193</v>
      </c>
      <c r="E642" s="11">
        <f t="shared" si="18"/>
        <v>0.000329938781824989</v>
      </c>
      <c r="F642" s="11">
        <f>SUM($E$7:E642)</f>
        <v>0.87952105881287</v>
      </c>
      <c r="G642" s="12" t="str">
        <f t="shared" si="19"/>
        <v>B</v>
      </c>
      <c r="H642" s="9" t="s">
        <v>1344</v>
      </c>
      <c r="I642" s="9" t="s">
        <v>1408</v>
      </c>
      <c r="J642" s="9" t="s">
        <v>29</v>
      </c>
      <c r="K642" s="10" t="str">
        <f>IFERROR(VLOOKUP(A642,'Pedido ESTHER'!$B:$C,2,0),"")</f>
        <v/>
      </c>
      <c r="L642" s="12" t="str">
        <f>IF(N(K642)&gt;0,"COMPRA","NÃO COMPRA")</f>
        <v>NÃO COMPRA</v>
      </c>
    </row>
    <row r="643" spans="1:12">
      <c r="A643" s="8" t="s">
        <v>1409</v>
      </c>
      <c r="B643" s="9" t="s">
        <v>38</v>
      </c>
      <c r="C643" s="9" t="e">
        <f>VLOOKUP(A643,[2]Planilha1!$A:$B,2,0)</f>
        <v>#N/A</v>
      </c>
      <c r="D643" s="10">
        <f>SUMIF([1]Relatório!$A$2:$A$2653,A643,[1]Relatório!$AK$2:$AK$2653)</f>
        <v>193</v>
      </c>
      <c r="E643" s="11">
        <f t="shared" si="18"/>
        <v>0.000329938781824989</v>
      </c>
      <c r="F643" s="11">
        <f>SUM($E$7:E643)</f>
        <v>0.879850997594695</v>
      </c>
      <c r="G643" s="12" t="str">
        <f t="shared" si="19"/>
        <v>B</v>
      </c>
      <c r="H643" s="9" t="s">
        <v>21</v>
      </c>
      <c r="I643" s="9" t="s">
        <v>1410</v>
      </c>
      <c r="J643" s="9" t="s">
        <v>40</v>
      </c>
      <c r="K643" s="10" t="str">
        <f>IFERROR(VLOOKUP(A643,'Pedido ESTHER'!$B:$C,2,0),"")</f>
        <v/>
      </c>
      <c r="L643" s="12" t="str">
        <f>IF(N(K643)&gt;0,"COMPRA","NÃO COMPRA")</f>
        <v>NÃO COMPRA</v>
      </c>
    </row>
    <row r="644" spans="1:12">
      <c r="A644" s="8" t="s">
        <v>1411</v>
      </c>
      <c r="B644" s="9" t="s">
        <v>27</v>
      </c>
      <c r="C644" s="9" t="e">
        <f>VLOOKUP(A644,[2]Planilha1!$A:$B,2,0)</f>
        <v>#N/A</v>
      </c>
      <c r="D644" s="10">
        <f>SUMIF([1]Relatório!$A$2:$A$2653,A644,[1]Relatório!$AK$2:$AK$2653)</f>
        <v>193</v>
      </c>
      <c r="E644" s="11">
        <f t="shared" si="18"/>
        <v>0.000329938781824989</v>
      </c>
      <c r="F644" s="11">
        <f>SUM($E$7:E644)</f>
        <v>0.88018093637652</v>
      </c>
      <c r="G644" s="12" t="str">
        <f t="shared" si="19"/>
        <v>B</v>
      </c>
      <c r="H644" s="9" t="s">
        <v>21</v>
      </c>
      <c r="I644" s="9"/>
      <c r="J644" s="9" t="s">
        <v>29</v>
      </c>
      <c r="K644" s="10" t="str">
        <f>IFERROR(VLOOKUP(A644,'Pedido ESTHER'!$B:$C,2,0),"")</f>
        <v/>
      </c>
      <c r="L644" s="12" t="str">
        <f>IF(N(K644)&gt;0,"COMPRA","NÃO COMPRA")</f>
        <v>NÃO COMPRA</v>
      </c>
    </row>
    <row r="645" spans="1:12">
      <c r="A645" s="8" t="s">
        <v>1412</v>
      </c>
      <c r="B645" s="9" t="s">
        <v>1243</v>
      </c>
      <c r="C645" s="9" t="e">
        <f>VLOOKUP(A645,[2]Planilha1!$A:$B,2,0)</f>
        <v>#N/A</v>
      </c>
      <c r="D645" s="10">
        <f>SUMIF([1]Relatório!$A$2:$A$2653,A645,[1]Relatório!$AK$2:$AK$2653)</f>
        <v>193</v>
      </c>
      <c r="E645" s="11">
        <f t="shared" si="18"/>
        <v>0.000329938781824989</v>
      </c>
      <c r="F645" s="11">
        <f>SUM($E$7:E645)</f>
        <v>0.880510875158345</v>
      </c>
      <c r="G645" s="12" t="str">
        <f t="shared" si="19"/>
        <v>B</v>
      </c>
      <c r="H645" s="9" t="s">
        <v>831</v>
      </c>
      <c r="I645" s="9" t="s">
        <v>1413</v>
      </c>
      <c r="J645" s="9" t="s">
        <v>241</v>
      </c>
      <c r="K645" s="10" t="str">
        <f>IFERROR(VLOOKUP(A645,'Pedido ESTHER'!$B:$C,2,0),"")</f>
        <v/>
      </c>
      <c r="L645" s="12" t="str">
        <f>IF(N(K645)&gt;0,"COMPRA","NÃO COMPRA")</f>
        <v>NÃO COMPRA</v>
      </c>
    </row>
    <row r="646" spans="1:12">
      <c r="A646" s="8" t="s">
        <v>1414</v>
      </c>
      <c r="B646" s="9" t="s">
        <v>27</v>
      </c>
      <c r="C646" s="9" t="e">
        <f>VLOOKUP(A646,[2]Planilha1!$A:$B,2,0)</f>
        <v>#N/A</v>
      </c>
      <c r="D646" s="10">
        <f>SUMIF([1]Relatório!$A$2:$A$2653,A646,[1]Relatório!$AK$2:$AK$2653)</f>
        <v>193</v>
      </c>
      <c r="E646" s="11">
        <f t="shared" si="18"/>
        <v>0.000329938781824989</v>
      </c>
      <c r="F646" s="11">
        <f>SUM($E$7:E646)</f>
        <v>0.88084081394017</v>
      </c>
      <c r="G646" s="12" t="str">
        <f t="shared" si="19"/>
        <v>B</v>
      </c>
      <c r="H646" s="9" t="s">
        <v>21</v>
      </c>
      <c r="I646" s="9" t="s">
        <v>1415</v>
      </c>
      <c r="J646" s="9" t="s">
        <v>29</v>
      </c>
      <c r="K646" s="10" t="str">
        <f>IFERROR(VLOOKUP(A646,'Pedido ESTHER'!$B:$C,2,0),"")</f>
        <v/>
      </c>
      <c r="L646" s="12" t="str">
        <f>IF(N(K646)&gt;0,"COMPRA","NÃO COMPRA")</f>
        <v>NÃO COMPRA</v>
      </c>
    </row>
    <row r="647" spans="1:12">
      <c r="A647" s="8" t="s">
        <v>1416</v>
      </c>
      <c r="B647" s="9" t="s">
        <v>1264</v>
      </c>
      <c r="C647" s="9" t="e">
        <f>VLOOKUP(A647,[2]Planilha1!$A:$B,2,0)</f>
        <v>#N/A</v>
      </c>
      <c r="D647" s="10">
        <f>SUMIF([1]Relatório!$A$2:$A$2653,A647,[1]Relatório!$AK$2:$AK$2653)</f>
        <v>192</v>
      </c>
      <c r="E647" s="11">
        <f t="shared" si="18"/>
        <v>0.00032822925445802</v>
      </c>
      <c r="F647" s="11">
        <f>SUM($E$7:E647)</f>
        <v>0.881169043194628</v>
      </c>
      <c r="G647" s="12" t="str">
        <f t="shared" si="19"/>
        <v>B</v>
      </c>
      <c r="H647" s="9" t="s">
        <v>776</v>
      </c>
      <c r="I647" s="9" t="s">
        <v>1417</v>
      </c>
      <c r="J647" s="9" t="s">
        <v>1418</v>
      </c>
      <c r="K647" s="10" t="str">
        <f>IFERROR(VLOOKUP(A647,'Pedido ESTHER'!$B:$C,2,0),"")</f>
        <v/>
      </c>
      <c r="L647" s="12" t="str">
        <f>IF(N(K647)&gt;0,"COMPRA","NÃO COMPRA")</f>
        <v>NÃO COMPRA</v>
      </c>
    </row>
    <row r="648" spans="1:12">
      <c r="A648" s="8" t="s">
        <v>1419</v>
      </c>
      <c r="B648" s="9" t="s">
        <v>574</v>
      </c>
      <c r="C648" s="9" t="e">
        <f>VLOOKUP(A648,[2]Planilha1!$A:$B,2,0)</f>
        <v>#N/A</v>
      </c>
      <c r="D648" s="10">
        <f>SUMIF([1]Relatório!$A$2:$A$2653,A648,[1]Relatório!$AK$2:$AK$2653)</f>
        <v>191</v>
      </c>
      <c r="E648" s="11">
        <f t="shared" ref="E648:E711" si="20">D648/SUM($D$7:$D$1708)</f>
        <v>0.000326519727091051</v>
      </c>
      <c r="F648" s="11">
        <f>SUM($E$7:E648)</f>
        <v>0.881495562921719</v>
      </c>
      <c r="G648" s="12" t="str">
        <f t="shared" ref="G648:G711" si="21">IF(F648&lt;=70%,"A",IF(F648&lt;=90%,"B","C"))</f>
        <v>B</v>
      </c>
      <c r="H648" s="9" t="s">
        <v>112</v>
      </c>
      <c r="I648" s="9" t="s">
        <v>1420</v>
      </c>
      <c r="J648" s="9" t="s">
        <v>213</v>
      </c>
      <c r="K648" s="10" t="str">
        <f>IFERROR(VLOOKUP(A648,'Pedido ESTHER'!$B:$C,2,0),"")</f>
        <v/>
      </c>
      <c r="L648" s="12" t="str">
        <f>IF(N(K648)&gt;0,"COMPRA","NÃO COMPRA")</f>
        <v>NÃO COMPRA</v>
      </c>
    </row>
    <row r="649" spans="1:12">
      <c r="A649" s="8" t="s">
        <v>1421</v>
      </c>
      <c r="B649" s="9" t="s">
        <v>1422</v>
      </c>
      <c r="C649" s="9" t="e">
        <f>VLOOKUP(A649,[2]Planilha1!$A:$B,2,0)</f>
        <v>#N/A</v>
      </c>
      <c r="D649" s="10">
        <f>SUMIF([1]Relatório!$A$2:$A$2653,A649,[1]Relatório!$AK$2:$AK$2653)</f>
        <v>191</v>
      </c>
      <c r="E649" s="11">
        <f t="shared" si="20"/>
        <v>0.000326519727091051</v>
      </c>
      <c r="F649" s="11">
        <f>SUM($E$7:E649)</f>
        <v>0.88182208264881</v>
      </c>
      <c r="G649" s="12" t="str">
        <f t="shared" si="21"/>
        <v>B</v>
      </c>
      <c r="H649" s="9" t="s">
        <v>221</v>
      </c>
      <c r="I649" s="9" t="s">
        <v>1423</v>
      </c>
      <c r="J649" s="9" t="s">
        <v>29</v>
      </c>
      <c r="K649" s="10" t="str">
        <f>IFERROR(VLOOKUP(A649,'Pedido ESTHER'!$B:$C,2,0),"")</f>
        <v/>
      </c>
      <c r="L649" s="12" t="str">
        <f>IF(N(K649)&gt;0,"COMPRA","NÃO COMPRA")</f>
        <v>NÃO COMPRA</v>
      </c>
    </row>
    <row r="650" spans="1:12">
      <c r="A650" s="8" t="s">
        <v>1424</v>
      </c>
      <c r="B650" s="9" t="s">
        <v>1243</v>
      </c>
      <c r="C650" s="9" t="e">
        <f>VLOOKUP(A650,[2]Planilha1!$A:$B,2,0)</f>
        <v>#N/A</v>
      </c>
      <c r="D650" s="10">
        <f>SUMIF([1]Relatório!$A$2:$A$2653,A650,[1]Relatório!$AK$2:$AK$2653)</f>
        <v>190</v>
      </c>
      <c r="E650" s="11">
        <f t="shared" si="20"/>
        <v>0.000324810199724082</v>
      </c>
      <c r="F650" s="11">
        <f>SUM($E$7:E650)</f>
        <v>0.882146892848534</v>
      </c>
      <c r="G650" s="12" t="str">
        <f t="shared" si="21"/>
        <v>B</v>
      </c>
      <c r="H650" s="9" t="s">
        <v>117</v>
      </c>
      <c r="I650" s="9" t="s">
        <v>1425</v>
      </c>
      <c r="J650" s="9" t="s">
        <v>241</v>
      </c>
      <c r="K650" s="10" t="str">
        <f>IFERROR(VLOOKUP(A650,'Pedido ESTHER'!$B:$C,2,0),"")</f>
        <v/>
      </c>
      <c r="L650" s="12" t="str">
        <f>IF(N(K650)&gt;0,"COMPRA","NÃO COMPRA")</f>
        <v>NÃO COMPRA</v>
      </c>
    </row>
    <row r="651" spans="1:12">
      <c r="A651" s="8" t="s">
        <v>1426</v>
      </c>
      <c r="B651" s="9" t="s">
        <v>474</v>
      </c>
      <c r="C651" s="9" t="e">
        <f>VLOOKUP(A651,[2]Planilha1!$A:$B,2,0)</f>
        <v>#N/A</v>
      </c>
      <c r="D651" s="10">
        <f>SUMIF([1]Relatório!$A$2:$A$2653,A651,[1]Relatório!$AK$2:$AK$2653)</f>
        <v>189</v>
      </c>
      <c r="E651" s="11">
        <f t="shared" si="20"/>
        <v>0.000323100672357113</v>
      </c>
      <c r="F651" s="11">
        <f>SUM($E$7:E651)</f>
        <v>0.882469993520891</v>
      </c>
      <c r="G651" s="12" t="str">
        <f t="shared" si="21"/>
        <v>B</v>
      </c>
      <c r="H651" s="9" t="s">
        <v>183</v>
      </c>
      <c r="I651" s="9"/>
      <c r="J651" s="9" t="s">
        <v>201</v>
      </c>
      <c r="K651" s="10" t="str">
        <f>IFERROR(VLOOKUP(A651,'Pedido ESTHER'!$B:$C,2,0),"")</f>
        <v/>
      </c>
      <c r="L651" s="12" t="str">
        <f>IF(N(K651)&gt;0,"COMPRA","NÃO COMPRA")</f>
        <v>NÃO COMPRA</v>
      </c>
    </row>
    <row r="652" spans="1:12">
      <c r="A652" s="8" t="s">
        <v>1427</v>
      </c>
      <c r="B652" s="9" t="s">
        <v>1428</v>
      </c>
      <c r="C652" s="9" t="e">
        <f>VLOOKUP(A652,[2]Planilha1!$A:$B,2,0)</f>
        <v>#N/A</v>
      </c>
      <c r="D652" s="10">
        <f>SUMIF([1]Relatório!$A$2:$A$2653,A652,[1]Relatório!$AK$2:$AK$2653)</f>
        <v>188</v>
      </c>
      <c r="E652" s="11">
        <f t="shared" si="20"/>
        <v>0.000321391144990145</v>
      </c>
      <c r="F652" s="11">
        <f>SUM($E$7:E652)</f>
        <v>0.882791384665881</v>
      </c>
      <c r="G652" s="12" t="str">
        <f t="shared" si="21"/>
        <v>B</v>
      </c>
      <c r="H652" s="9" t="s">
        <v>1117</v>
      </c>
      <c r="I652" s="9" t="s">
        <v>1429</v>
      </c>
      <c r="J652" s="9" t="s">
        <v>213</v>
      </c>
      <c r="K652" s="10" t="str">
        <f>IFERROR(VLOOKUP(A652,'Pedido ESTHER'!$B:$C,2,0),"")</f>
        <v/>
      </c>
      <c r="L652" s="12" t="str">
        <f>IF(N(K652)&gt;0,"COMPRA","NÃO COMPRA")</f>
        <v>NÃO COMPRA</v>
      </c>
    </row>
    <row r="653" spans="1:12">
      <c r="A653" s="8" t="s">
        <v>1430</v>
      </c>
      <c r="B653" s="9" t="s">
        <v>208</v>
      </c>
      <c r="C653" s="9" t="e">
        <f>VLOOKUP(A653,[2]Planilha1!$A:$B,2,0)</f>
        <v>#N/A</v>
      </c>
      <c r="D653" s="10">
        <f>SUMIF([1]Relatório!$A$2:$A$2653,A653,[1]Relatório!$AK$2:$AK$2653)</f>
        <v>188</v>
      </c>
      <c r="E653" s="11">
        <f t="shared" si="20"/>
        <v>0.000321391144990145</v>
      </c>
      <c r="F653" s="11">
        <f>SUM($E$7:E653)</f>
        <v>0.883112775810871</v>
      </c>
      <c r="G653" s="12" t="str">
        <f t="shared" si="21"/>
        <v>B</v>
      </c>
      <c r="H653" s="9" t="s">
        <v>74</v>
      </c>
      <c r="I653" s="9" t="s">
        <v>1431</v>
      </c>
      <c r="J653" s="9" t="s">
        <v>29</v>
      </c>
      <c r="K653" s="10" t="str">
        <f>IFERROR(VLOOKUP(A653,'Pedido ESTHER'!$B:$C,2,0),"")</f>
        <v/>
      </c>
      <c r="L653" s="12" t="str">
        <f>IF(N(K653)&gt;0,"COMPRA","NÃO COMPRA")</f>
        <v>NÃO COMPRA</v>
      </c>
    </row>
    <row r="654" spans="1:12">
      <c r="A654" s="8" t="s">
        <v>1432</v>
      </c>
      <c r="B654" s="9" t="s">
        <v>263</v>
      </c>
      <c r="C654" s="9" t="e">
        <f>VLOOKUP(A654,[2]Planilha1!$A:$B,2,0)</f>
        <v>#N/A</v>
      </c>
      <c r="D654" s="10">
        <f>SUMIF([1]Relatório!$A$2:$A$2653,A654,[1]Relatório!$AK$2:$AK$2653)</f>
        <v>187</v>
      </c>
      <c r="E654" s="11">
        <f t="shared" si="20"/>
        <v>0.000319681617623176</v>
      </c>
      <c r="F654" s="11">
        <f>SUM($E$7:E654)</f>
        <v>0.883432457428494</v>
      </c>
      <c r="G654" s="12" t="str">
        <f t="shared" si="21"/>
        <v>B</v>
      </c>
      <c r="H654" s="9" t="s">
        <v>117</v>
      </c>
      <c r="I654" s="9" t="s">
        <v>1433</v>
      </c>
      <c r="J654" s="9" t="s">
        <v>152</v>
      </c>
      <c r="K654" s="10" t="str">
        <f>IFERROR(VLOOKUP(A654,'Pedido ESTHER'!$B:$C,2,0),"")</f>
        <v/>
      </c>
      <c r="L654" s="12" t="str">
        <f>IF(N(K654)&gt;0,"COMPRA","NÃO COMPRA")</f>
        <v>NÃO COMPRA</v>
      </c>
    </row>
    <row r="655" spans="1:12">
      <c r="A655" s="8" t="s">
        <v>1434</v>
      </c>
      <c r="B655" s="9" t="s">
        <v>734</v>
      </c>
      <c r="C655" s="9" t="e">
        <f>VLOOKUP(A655,[2]Planilha1!$A:$B,2,0)</f>
        <v>#N/A</v>
      </c>
      <c r="D655" s="10">
        <f>SUMIF([1]Relatório!$A$2:$A$2653,A655,[1]Relatório!$AK$2:$AK$2653)</f>
        <v>187</v>
      </c>
      <c r="E655" s="11">
        <f t="shared" si="20"/>
        <v>0.000319681617623176</v>
      </c>
      <c r="F655" s="11">
        <f>SUM($E$7:E655)</f>
        <v>0.883752139046118</v>
      </c>
      <c r="G655" s="12" t="str">
        <f t="shared" si="21"/>
        <v>B</v>
      </c>
      <c r="H655" s="9" t="s">
        <v>586</v>
      </c>
      <c r="I655" s="9" t="s">
        <v>1435</v>
      </c>
      <c r="J655" s="9" t="s">
        <v>1143</v>
      </c>
      <c r="K655" s="10" t="str">
        <f>IFERROR(VLOOKUP(A655,'Pedido ESTHER'!$B:$C,2,0),"")</f>
        <v/>
      </c>
      <c r="L655" s="12" t="str">
        <f>IF(N(K655)&gt;0,"COMPRA","NÃO COMPRA")</f>
        <v>NÃO COMPRA</v>
      </c>
    </row>
    <row r="656" spans="1:12">
      <c r="A656" s="8" t="s">
        <v>1436</v>
      </c>
      <c r="B656" s="9" t="s">
        <v>681</v>
      </c>
      <c r="C656" s="9" t="e">
        <f>VLOOKUP(A656,[2]Planilha1!$A:$B,2,0)</f>
        <v>#N/A</v>
      </c>
      <c r="D656" s="10">
        <f>SUMIF([1]Relatório!$A$2:$A$2653,A656,[1]Relatório!$AK$2:$AK$2653)</f>
        <v>187</v>
      </c>
      <c r="E656" s="11">
        <f t="shared" si="20"/>
        <v>0.000319681617623176</v>
      </c>
      <c r="F656" s="11">
        <f>SUM($E$7:E656)</f>
        <v>0.884071820663741</v>
      </c>
      <c r="G656" s="12" t="str">
        <f t="shared" si="21"/>
        <v>B</v>
      </c>
      <c r="H656" s="9" t="s">
        <v>183</v>
      </c>
      <c r="I656" s="9" t="s">
        <v>1437</v>
      </c>
      <c r="J656" s="9" t="s">
        <v>281</v>
      </c>
      <c r="K656" s="10" t="str">
        <f>IFERROR(VLOOKUP(A656,'Pedido ESTHER'!$B:$C,2,0),"")</f>
        <v/>
      </c>
      <c r="L656" s="12" t="str">
        <f>IF(N(K656)&gt;0,"COMPRA","NÃO COMPRA")</f>
        <v>NÃO COMPRA</v>
      </c>
    </row>
    <row r="657" spans="1:12">
      <c r="A657" s="8" t="s">
        <v>1438</v>
      </c>
      <c r="B657" s="9" t="s">
        <v>1439</v>
      </c>
      <c r="C657" s="9" t="e">
        <f>VLOOKUP(A657,[2]Planilha1!$A:$B,2,0)</f>
        <v>#N/A</v>
      </c>
      <c r="D657" s="10">
        <f>SUMIF([1]Relatório!$A$2:$A$2653,A657,[1]Relatório!$AK$2:$AK$2653)</f>
        <v>187</v>
      </c>
      <c r="E657" s="11">
        <f t="shared" si="20"/>
        <v>0.000319681617623176</v>
      </c>
      <c r="F657" s="11">
        <f>SUM($E$7:E657)</f>
        <v>0.884391502281364</v>
      </c>
      <c r="G657" s="12" t="str">
        <f t="shared" si="21"/>
        <v>B</v>
      </c>
      <c r="H657" s="9" t="s">
        <v>112</v>
      </c>
      <c r="I657" s="9" t="s">
        <v>1440</v>
      </c>
      <c r="J657" s="9" t="s">
        <v>164</v>
      </c>
      <c r="K657" s="10" t="str">
        <f>IFERROR(VLOOKUP(A657,'Pedido ESTHER'!$B:$C,2,0),"")</f>
        <v/>
      </c>
      <c r="L657" s="12" t="str">
        <f>IF(N(K657)&gt;0,"COMPRA","NÃO COMPRA")</f>
        <v>NÃO COMPRA</v>
      </c>
    </row>
    <row r="658" spans="1:12">
      <c r="A658" s="8" t="s">
        <v>1441</v>
      </c>
      <c r="B658" s="9" t="s">
        <v>56</v>
      </c>
      <c r="C658" s="9" t="e">
        <f>VLOOKUP(A658,[2]Planilha1!$A:$B,2,0)</f>
        <v>#N/A</v>
      </c>
      <c r="D658" s="10">
        <f>SUMIF([1]Relatório!$A$2:$A$2653,A658,[1]Relatório!$AK$2:$AK$2653)</f>
        <v>185</v>
      </c>
      <c r="E658" s="11">
        <f t="shared" si="20"/>
        <v>0.000316262562889238</v>
      </c>
      <c r="F658" s="11">
        <f>SUM($E$7:E658)</f>
        <v>0.884707764844253</v>
      </c>
      <c r="G658" s="12" t="str">
        <f t="shared" si="21"/>
        <v>B</v>
      </c>
      <c r="H658" s="9" t="s">
        <v>21</v>
      </c>
      <c r="I658" s="9"/>
      <c r="J658" s="9" t="s">
        <v>58</v>
      </c>
      <c r="K658" s="10" t="str">
        <f>IFERROR(VLOOKUP(A658,'Pedido ESTHER'!$B:$C,2,0),"")</f>
        <v/>
      </c>
      <c r="L658" s="12" t="str">
        <f>IF(N(K658)&gt;0,"COMPRA","NÃO COMPRA")</f>
        <v>NÃO COMPRA</v>
      </c>
    </row>
    <row r="659" spans="1:12">
      <c r="A659" s="8" t="s">
        <v>1442</v>
      </c>
      <c r="B659" s="9" t="s">
        <v>1322</v>
      </c>
      <c r="C659" s="9" t="e">
        <f>VLOOKUP(A659,[2]Planilha1!$A:$B,2,0)</f>
        <v>#N/A</v>
      </c>
      <c r="D659" s="10">
        <f>SUMIF([1]Relatório!$A$2:$A$2653,A659,[1]Relatório!$AK$2:$AK$2653)</f>
        <v>184</v>
      </c>
      <c r="E659" s="11">
        <f t="shared" si="20"/>
        <v>0.000314553035522269</v>
      </c>
      <c r="F659" s="11">
        <f>SUM($E$7:E659)</f>
        <v>0.885022317879775</v>
      </c>
      <c r="G659" s="12" t="str">
        <f t="shared" si="21"/>
        <v>B</v>
      </c>
      <c r="H659" s="9" t="s">
        <v>21</v>
      </c>
      <c r="I659" s="9"/>
      <c r="J659" s="9" t="s">
        <v>1443</v>
      </c>
      <c r="K659" s="10" t="str">
        <f>IFERROR(VLOOKUP(A659,'Pedido ESTHER'!$B:$C,2,0),"")</f>
        <v/>
      </c>
      <c r="L659" s="12" t="str">
        <f>IF(N(K659)&gt;0,"COMPRA","NÃO COMPRA")</f>
        <v>NÃO COMPRA</v>
      </c>
    </row>
    <row r="660" spans="1:12">
      <c r="A660" s="8" t="s">
        <v>1444</v>
      </c>
      <c r="B660" s="9" t="s">
        <v>812</v>
      </c>
      <c r="C660" s="9" t="e">
        <f>VLOOKUP(A660,[2]Planilha1!$A:$B,2,0)</f>
        <v>#N/A</v>
      </c>
      <c r="D660" s="10">
        <f>SUMIF([1]Relatório!$A$2:$A$2653,A660,[1]Relatório!$AK$2:$AK$2653)</f>
        <v>184</v>
      </c>
      <c r="E660" s="11">
        <f t="shared" si="20"/>
        <v>0.000314553035522269</v>
      </c>
      <c r="F660" s="11">
        <f>SUM($E$7:E660)</f>
        <v>0.885336870915298</v>
      </c>
      <c r="G660" s="12" t="str">
        <f t="shared" si="21"/>
        <v>B</v>
      </c>
      <c r="H660" s="9" t="s">
        <v>183</v>
      </c>
      <c r="I660" s="9" t="s">
        <v>1445</v>
      </c>
      <c r="J660" s="9" t="s">
        <v>1143</v>
      </c>
      <c r="K660" s="10" t="str">
        <f>IFERROR(VLOOKUP(A660,'Pedido ESTHER'!$B:$C,2,0),"")</f>
        <v/>
      </c>
      <c r="L660" s="12" t="str">
        <f>IF(N(K660)&gt;0,"COMPRA","NÃO COMPRA")</f>
        <v>NÃO COMPRA</v>
      </c>
    </row>
    <row r="661" spans="1:12">
      <c r="A661" s="8" t="s">
        <v>1446</v>
      </c>
      <c r="B661" s="9" t="s">
        <v>706</v>
      </c>
      <c r="C661" s="9" t="e">
        <f>VLOOKUP(A661,[2]Planilha1!$A:$B,2,0)</f>
        <v>#N/A</v>
      </c>
      <c r="D661" s="10">
        <f>SUMIF([1]Relatório!$A$2:$A$2653,A661,[1]Relatório!$AK$2:$AK$2653)</f>
        <v>184</v>
      </c>
      <c r="E661" s="11">
        <f t="shared" si="20"/>
        <v>0.000314553035522269</v>
      </c>
      <c r="F661" s="11">
        <f>SUM($E$7:E661)</f>
        <v>0.88565142395082</v>
      </c>
      <c r="G661" s="12" t="str">
        <f t="shared" si="21"/>
        <v>B</v>
      </c>
      <c r="H661" s="9" t="s">
        <v>183</v>
      </c>
      <c r="I661" s="9"/>
      <c r="J661" s="9" t="s">
        <v>241</v>
      </c>
      <c r="K661" s="10" t="str">
        <f>IFERROR(VLOOKUP(A661,'Pedido ESTHER'!$B:$C,2,0),"")</f>
        <v/>
      </c>
      <c r="L661" s="12" t="str">
        <f>IF(N(K661)&gt;0,"COMPRA","NÃO COMPRA")</f>
        <v>NÃO COMPRA</v>
      </c>
    </row>
    <row r="662" spans="1:12">
      <c r="A662" s="8" t="s">
        <v>1447</v>
      </c>
      <c r="B662" s="9" t="s">
        <v>460</v>
      </c>
      <c r="C662" s="9" t="e">
        <f>VLOOKUP(A662,[2]Planilha1!$A:$B,2,0)</f>
        <v>#N/A</v>
      </c>
      <c r="D662" s="10">
        <f>SUMIF([1]Relatório!$A$2:$A$2653,A662,[1]Relatório!$AK$2:$AK$2653)</f>
        <v>182</v>
      </c>
      <c r="E662" s="11">
        <f t="shared" si="20"/>
        <v>0.000311133980788331</v>
      </c>
      <c r="F662" s="11">
        <f>SUM($E$7:E662)</f>
        <v>0.885962557931608</v>
      </c>
      <c r="G662" s="12" t="str">
        <f t="shared" si="21"/>
        <v>B</v>
      </c>
      <c r="H662" s="9" t="s">
        <v>18</v>
      </c>
      <c r="I662" s="9" t="s">
        <v>1448</v>
      </c>
      <c r="J662" s="9" t="s">
        <v>268</v>
      </c>
      <c r="K662" s="10" t="str">
        <f>IFERROR(VLOOKUP(A662,'Pedido ESTHER'!$B:$C,2,0),"")</f>
        <v/>
      </c>
      <c r="L662" s="12" t="str">
        <f>IF(N(K662)&gt;0,"COMPRA","NÃO COMPRA")</f>
        <v>NÃO COMPRA</v>
      </c>
    </row>
    <row r="663" spans="1:12">
      <c r="A663" s="8" t="s">
        <v>1449</v>
      </c>
      <c r="B663" s="9" t="s">
        <v>263</v>
      </c>
      <c r="C663" s="9" t="e">
        <f>VLOOKUP(A663,[2]Planilha1!$A:$B,2,0)</f>
        <v>#N/A</v>
      </c>
      <c r="D663" s="10">
        <f>SUMIF([1]Relatório!$A$2:$A$2653,A663,[1]Relatório!$AK$2:$AK$2653)</f>
        <v>182</v>
      </c>
      <c r="E663" s="11">
        <f t="shared" si="20"/>
        <v>0.000311133980788331</v>
      </c>
      <c r="F663" s="11">
        <f>SUM($E$7:E663)</f>
        <v>0.886273691912397</v>
      </c>
      <c r="G663" s="12" t="str">
        <f t="shared" si="21"/>
        <v>B</v>
      </c>
      <c r="H663" s="9" t="s">
        <v>117</v>
      </c>
      <c r="I663" s="9" t="s">
        <v>1450</v>
      </c>
      <c r="J663" s="9" t="s">
        <v>40</v>
      </c>
      <c r="K663" s="10" t="str">
        <f>IFERROR(VLOOKUP(A663,'Pedido ESTHER'!$B:$C,2,0),"")</f>
        <v/>
      </c>
      <c r="L663" s="12" t="str">
        <f>IF(N(K663)&gt;0,"COMPRA","NÃO COMPRA")</f>
        <v>NÃO COMPRA</v>
      </c>
    </row>
    <row r="664" spans="1:12">
      <c r="A664" s="8" t="s">
        <v>1451</v>
      </c>
      <c r="B664" s="9" t="s">
        <v>38</v>
      </c>
      <c r="C664" s="9" t="e">
        <f>VLOOKUP(A664,[2]Planilha1!$A:$B,2,0)</f>
        <v>#N/A</v>
      </c>
      <c r="D664" s="10">
        <f>SUMIF([1]Relatório!$A$2:$A$2653,A664,[1]Relatório!$AK$2:$AK$2653)</f>
        <v>182</v>
      </c>
      <c r="E664" s="11">
        <f t="shared" si="20"/>
        <v>0.000311133980788331</v>
      </c>
      <c r="F664" s="11">
        <f>SUM($E$7:E664)</f>
        <v>0.886584825893185</v>
      </c>
      <c r="G664" s="12" t="str">
        <f t="shared" si="21"/>
        <v>B</v>
      </c>
      <c r="H664" s="9" t="s">
        <v>21</v>
      </c>
      <c r="I664" s="9" t="s">
        <v>1452</v>
      </c>
      <c r="J664" s="9" t="s">
        <v>40</v>
      </c>
      <c r="K664" s="10" t="str">
        <f>IFERROR(VLOOKUP(A664,'Pedido ESTHER'!$B:$C,2,0),"")</f>
        <v/>
      </c>
      <c r="L664" s="12" t="str">
        <f>IF(N(K664)&gt;0,"COMPRA","NÃO COMPRA")</f>
        <v>NÃO COMPRA</v>
      </c>
    </row>
    <row r="665" spans="1:12">
      <c r="A665" s="8" t="s">
        <v>1453</v>
      </c>
      <c r="B665" s="9" t="s">
        <v>365</v>
      </c>
      <c r="C665" s="9" t="e">
        <f>VLOOKUP(A665,[2]Planilha1!$A:$B,2,0)</f>
        <v>#N/A</v>
      </c>
      <c r="D665" s="10">
        <f>SUMIF([1]Relatório!$A$2:$A$2653,A665,[1]Relatório!$AK$2:$AK$2653)</f>
        <v>181</v>
      </c>
      <c r="E665" s="11">
        <f t="shared" si="20"/>
        <v>0.000309424453421363</v>
      </c>
      <c r="F665" s="11">
        <f>SUM($E$7:E665)</f>
        <v>0.886894250346606</v>
      </c>
      <c r="G665" s="12" t="str">
        <f t="shared" si="21"/>
        <v>B</v>
      </c>
      <c r="H665" s="9" t="s">
        <v>18</v>
      </c>
      <c r="I665" s="9" t="s">
        <v>1454</v>
      </c>
      <c r="J665" s="9" t="s">
        <v>23</v>
      </c>
      <c r="K665" s="10" t="str">
        <f>IFERROR(VLOOKUP(A665,'Pedido ESTHER'!$B:$C,2,0),"")</f>
        <v/>
      </c>
      <c r="L665" s="12" t="str">
        <f>IF(N(K665)&gt;0,"COMPRA","NÃO COMPRA")</f>
        <v>NÃO COMPRA</v>
      </c>
    </row>
    <row r="666" spans="1:12">
      <c r="A666" s="8" t="s">
        <v>1455</v>
      </c>
      <c r="B666" s="9" t="s">
        <v>27</v>
      </c>
      <c r="C666" s="9" t="e">
        <f>VLOOKUP(A666,[2]Planilha1!$A:$B,2,0)</f>
        <v>#N/A</v>
      </c>
      <c r="D666" s="10">
        <f>SUMIF([1]Relatório!$A$2:$A$2653,A666,[1]Relatório!$AK$2:$AK$2653)</f>
        <v>181</v>
      </c>
      <c r="E666" s="11">
        <f t="shared" si="20"/>
        <v>0.000309424453421363</v>
      </c>
      <c r="F666" s="11">
        <f>SUM($E$7:E666)</f>
        <v>0.887203674800028</v>
      </c>
      <c r="G666" s="12" t="str">
        <f t="shared" si="21"/>
        <v>B</v>
      </c>
      <c r="H666" s="9" t="s">
        <v>21</v>
      </c>
      <c r="I666" s="9"/>
      <c r="J666" s="9" t="s">
        <v>29</v>
      </c>
      <c r="K666" s="10" t="str">
        <f>IFERROR(VLOOKUP(A666,'Pedido ESTHER'!$B:$C,2,0),"")</f>
        <v/>
      </c>
      <c r="L666" s="12" t="str">
        <f>IF(N(K666)&gt;0,"COMPRA","NÃO COMPRA")</f>
        <v>NÃO COMPRA</v>
      </c>
    </row>
    <row r="667" spans="1:12">
      <c r="A667" s="8" t="s">
        <v>1456</v>
      </c>
      <c r="B667" s="9" t="s">
        <v>200</v>
      </c>
      <c r="C667" s="9" t="e">
        <f>VLOOKUP(A667,[2]Planilha1!$A:$B,2,0)</f>
        <v>#N/A</v>
      </c>
      <c r="D667" s="10">
        <f>SUMIF([1]Relatório!$A$2:$A$2653,A667,[1]Relatório!$AK$2:$AK$2653)</f>
        <v>181</v>
      </c>
      <c r="E667" s="11">
        <f t="shared" si="20"/>
        <v>0.000309424453421363</v>
      </c>
      <c r="F667" s="11">
        <f>SUM($E$7:E667)</f>
        <v>0.887513099253449</v>
      </c>
      <c r="G667" s="12" t="str">
        <f t="shared" si="21"/>
        <v>B</v>
      </c>
      <c r="H667" s="9" t="s">
        <v>21</v>
      </c>
      <c r="I667" s="9" t="s">
        <v>1457</v>
      </c>
      <c r="J667" s="9" t="s">
        <v>201</v>
      </c>
      <c r="K667" s="10" t="str">
        <f>IFERROR(VLOOKUP(A667,'Pedido ESTHER'!$B:$C,2,0),"")</f>
        <v/>
      </c>
      <c r="L667" s="12" t="str">
        <f>IF(N(K667)&gt;0,"COMPRA","NÃO COMPRA")</f>
        <v>NÃO COMPRA</v>
      </c>
    </row>
    <row r="668" spans="1:12">
      <c r="A668" s="8" t="s">
        <v>1458</v>
      </c>
      <c r="B668" s="9" t="s">
        <v>283</v>
      </c>
      <c r="C668" s="9" t="e">
        <f>VLOOKUP(A668,[2]Planilha1!$A:$B,2,0)</f>
        <v>#N/A</v>
      </c>
      <c r="D668" s="10">
        <f>SUMIF([1]Relatório!$A$2:$A$2653,A668,[1]Relatório!$AK$2:$AK$2653)</f>
        <v>181</v>
      </c>
      <c r="E668" s="11">
        <f t="shared" si="20"/>
        <v>0.000309424453421363</v>
      </c>
      <c r="F668" s="11">
        <f>SUM($E$7:E668)</f>
        <v>0.887822523706871</v>
      </c>
      <c r="G668" s="12" t="str">
        <f t="shared" si="21"/>
        <v>B</v>
      </c>
      <c r="H668" s="9" t="s">
        <v>18</v>
      </c>
      <c r="I668" s="9" t="s">
        <v>1459</v>
      </c>
      <c r="J668" s="9" t="s">
        <v>241</v>
      </c>
      <c r="K668" s="10" t="str">
        <f>IFERROR(VLOOKUP(A668,'Pedido ESTHER'!$B:$C,2,0),"")</f>
        <v/>
      </c>
      <c r="L668" s="12" t="str">
        <f>IF(N(K668)&gt;0,"COMPRA","NÃO COMPRA")</f>
        <v>NÃO COMPRA</v>
      </c>
    </row>
    <row r="669" spans="1:12">
      <c r="A669" s="8" t="s">
        <v>1460</v>
      </c>
      <c r="B669" s="9" t="s">
        <v>13</v>
      </c>
      <c r="C669" s="9" t="e">
        <f>VLOOKUP(A669,[2]Planilha1!$A:$B,2,0)</f>
        <v>#N/A</v>
      </c>
      <c r="D669" s="10">
        <f>SUMIF([1]Relatório!$A$2:$A$2653,A669,[1]Relatório!$AK$2:$AK$2653)</f>
        <v>181</v>
      </c>
      <c r="E669" s="11">
        <f t="shared" si="20"/>
        <v>0.000309424453421363</v>
      </c>
      <c r="F669" s="11">
        <f>SUM($E$7:E669)</f>
        <v>0.888131948160292</v>
      </c>
      <c r="G669" s="12" t="str">
        <f t="shared" si="21"/>
        <v>B</v>
      </c>
      <c r="H669" s="9" t="s">
        <v>14</v>
      </c>
      <c r="I669" s="9"/>
      <c r="J669" s="9" t="s">
        <v>15</v>
      </c>
      <c r="K669" s="10" t="str">
        <f>IFERROR(VLOOKUP(A669,'Pedido ESTHER'!$B:$C,2,0),"")</f>
        <v/>
      </c>
      <c r="L669" s="12" t="str">
        <f>IF(N(K669)&gt;0,"COMPRA","NÃO COMPRA")</f>
        <v>NÃO COMPRA</v>
      </c>
    </row>
    <row r="670" spans="1:12">
      <c r="A670" s="8" t="s">
        <v>1461</v>
      </c>
      <c r="B670" s="9" t="s">
        <v>1322</v>
      </c>
      <c r="C670" s="9" t="e">
        <f>VLOOKUP(A670,[2]Planilha1!$A:$B,2,0)</f>
        <v>#N/A</v>
      </c>
      <c r="D670" s="10">
        <f>SUMIF([1]Relatório!$A$2:$A$2653,A670,[1]Relatório!$AK$2:$AK$2653)</f>
        <v>181</v>
      </c>
      <c r="E670" s="11">
        <f t="shared" si="20"/>
        <v>0.000309424453421363</v>
      </c>
      <c r="F670" s="11">
        <f>SUM($E$7:E670)</f>
        <v>0.888441372613713</v>
      </c>
      <c r="G670" s="12" t="str">
        <f t="shared" si="21"/>
        <v>B</v>
      </c>
      <c r="H670" s="9" t="s">
        <v>21</v>
      </c>
      <c r="I670" s="9" t="s">
        <v>1462</v>
      </c>
      <c r="J670" s="9" t="s">
        <v>1169</v>
      </c>
      <c r="K670" s="10" t="str">
        <f>IFERROR(VLOOKUP(A670,'Pedido ESTHER'!$B:$C,2,0),"")</f>
        <v/>
      </c>
      <c r="L670" s="12" t="str">
        <f>IF(N(K670)&gt;0,"COMPRA","NÃO COMPRA")</f>
        <v>NÃO COMPRA</v>
      </c>
    </row>
    <row r="671" spans="1:12">
      <c r="A671" s="8" t="s">
        <v>1463</v>
      </c>
      <c r="B671" s="9" t="s">
        <v>193</v>
      </c>
      <c r="C671" s="9" t="e">
        <f>VLOOKUP(A671,[2]Planilha1!$A:$B,2,0)</f>
        <v>#N/A</v>
      </c>
      <c r="D671" s="10">
        <f>SUMIF([1]Relatório!$A$2:$A$2653,A671,[1]Relatório!$AK$2:$AK$2653)</f>
        <v>180</v>
      </c>
      <c r="E671" s="11">
        <f t="shared" si="20"/>
        <v>0.000307714926054394</v>
      </c>
      <c r="F671" s="11">
        <f>SUM($E$7:E671)</f>
        <v>0.888749087539768</v>
      </c>
      <c r="G671" s="12" t="str">
        <f t="shared" si="21"/>
        <v>B</v>
      </c>
      <c r="H671" s="9" t="s">
        <v>183</v>
      </c>
      <c r="I671" s="9"/>
      <c r="J671" s="9" t="s">
        <v>29</v>
      </c>
      <c r="K671" s="10" t="str">
        <f>IFERROR(VLOOKUP(A671,'Pedido ESTHER'!$B:$C,2,0),"")</f>
        <v/>
      </c>
      <c r="L671" s="12" t="str">
        <f>IF(N(K671)&gt;0,"COMPRA","NÃO COMPRA")</f>
        <v>NÃO COMPRA</v>
      </c>
    </row>
    <row r="672" spans="1:12">
      <c r="A672" s="8" t="s">
        <v>1464</v>
      </c>
      <c r="B672" s="9" t="s">
        <v>1465</v>
      </c>
      <c r="C672" s="9" t="e">
        <f>VLOOKUP(A672,[2]Planilha1!$A:$B,2,0)</f>
        <v>#N/A</v>
      </c>
      <c r="D672" s="10">
        <f>SUMIF([1]Relatório!$A$2:$A$2653,A672,[1]Relatório!$AK$2:$AK$2653)</f>
        <v>180</v>
      </c>
      <c r="E672" s="11">
        <f t="shared" si="20"/>
        <v>0.000307714926054394</v>
      </c>
      <c r="F672" s="11">
        <f>SUM($E$7:E672)</f>
        <v>0.889056802465822</v>
      </c>
      <c r="G672" s="12" t="str">
        <f t="shared" si="21"/>
        <v>B</v>
      </c>
      <c r="H672" s="9" t="s">
        <v>183</v>
      </c>
      <c r="I672" s="9" t="s">
        <v>1466</v>
      </c>
      <c r="J672" s="9" t="s">
        <v>1467</v>
      </c>
      <c r="K672" s="10" t="str">
        <f>IFERROR(VLOOKUP(A672,'Pedido ESTHER'!$B:$C,2,0),"")</f>
        <v/>
      </c>
      <c r="L672" s="12" t="str">
        <f>IF(N(K672)&gt;0,"COMPRA","NÃO COMPRA")</f>
        <v>NÃO COMPRA</v>
      </c>
    </row>
    <row r="673" spans="1:12">
      <c r="A673" s="8" t="s">
        <v>1468</v>
      </c>
      <c r="B673" s="9" t="s">
        <v>342</v>
      </c>
      <c r="C673" s="9" t="e">
        <f>VLOOKUP(A673,[2]Planilha1!$A:$B,2,0)</f>
        <v>#N/A</v>
      </c>
      <c r="D673" s="10">
        <f>SUMIF([1]Relatório!$A$2:$A$2653,A673,[1]Relatório!$AK$2:$AK$2653)</f>
        <v>180</v>
      </c>
      <c r="E673" s="11">
        <f t="shared" si="20"/>
        <v>0.000307714926054394</v>
      </c>
      <c r="F673" s="11">
        <f>SUM($E$7:E673)</f>
        <v>0.889364517391877</v>
      </c>
      <c r="G673" s="12" t="str">
        <f t="shared" si="21"/>
        <v>B</v>
      </c>
      <c r="H673" s="9" t="s">
        <v>831</v>
      </c>
      <c r="I673" s="9" t="s">
        <v>1469</v>
      </c>
      <c r="J673" s="9" t="s">
        <v>158</v>
      </c>
      <c r="K673" s="10" t="str">
        <f>IFERROR(VLOOKUP(A673,'Pedido ESTHER'!$B:$C,2,0),"")</f>
        <v/>
      </c>
      <c r="L673" s="12" t="str">
        <f>IF(N(K673)&gt;0,"COMPRA","NÃO COMPRA")</f>
        <v>NÃO COMPRA</v>
      </c>
    </row>
    <row r="674" spans="1:12">
      <c r="A674" s="8" t="s">
        <v>1470</v>
      </c>
      <c r="B674" s="9" t="s">
        <v>815</v>
      </c>
      <c r="C674" s="9" t="e">
        <f>VLOOKUP(A674,[2]Planilha1!$A:$B,2,0)</f>
        <v>#N/A</v>
      </c>
      <c r="D674" s="10">
        <f>SUMIF([1]Relatório!$A$2:$A$2653,A674,[1]Relatório!$AK$2:$AK$2653)</f>
        <v>180</v>
      </c>
      <c r="E674" s="11">
        <f t="shared" si="20"/>
        <v>0.000307714926054394</v>
      </c>
      <c r="F674" s="11">
        <f>SUM($E$7:E674)</f>
        <v>0.889672232317931</v>
      </c>
      <c r="G674" s="12" t="str">
        <f t="shared" si="21"/>
        <v>B</v>
      </c>
      <c r="H674" s="9" t="s">
        <v>14</v>
      </c>
      <c r="I674" s="9" t="s">
        <v>1471</v>
      </c>
      <c r="J674" s="9" t="s">
        <v>241</v>
      </c>
      <c r="K674" s="10" t="str">
        <f>IFERROR(VLOOKUP(A674,'Pedido ESTHER'!$B:$C,2,0),"")</f>
        <v/>
      </c>
      <c r="L674" s="12" t="str">
        <f>IF(N(K674)&gt;0,"COMPRA","NÃO COMPRA")</f>
        <v>NÃO COMPRA</v>
      </c>
    </row>
    <row r="675" spans="1:12">
      <c r="A675" s="8" t="s">
        <v>1472</v>
      </c>
      <c r="B675" s="9" t="s">
        <v>349</v>
      </c>
      <c r="C675" s="9" t="e">
        <f>VLOOKUP(A675,[2]Planilha1!$A:$B,2,0)</f>
        <v>#N/A</v>
      </c>
      <c r="D675" s="10">
        <f>SUMIF([1]Relatório!$A$2:$A$2653,A675,[1]Relatório!$AK$2:$AK$2653)</f>
        <v>179</v>
      </c>
      <c r="E675" s="11">
        <f t="shared" si="20"/>
        <v>0.000306005398687425</v>
      </c>
      <c r="F675" s="11">
        <f>SUM($E$7:E675)</f>
        <v>0.889978237716619</v>
      </c>
      <c r="G675" s="12" t="str">
        <f t="shared" si="21"/>
        <v>B</v>
      </c>
      <c r="H675" s="9" t="s">
        <v>18</v>
      </c>
      <c r="I675" s="9"/>
      <c r="J675" s="9" t="s">
        <v>164</v>
      </c>
      <c r="K675" s="10" t="str">
        <f>IFERROR(VLOOKUP(A675,'Pedido ESTHER'!$B:$C,2,0),"")</f>
        <v/>
      </c>
      <c r="L675" s="12" t="str">
        <f>IF(N(K675)&gt;0,"COMPRA","NÃO COMPRA")</f>
        <v>NÃO COMPRA</v>
      </c>
    </row>
    <row r="676" spans="1:12">
      <c r="A676" s="8" t="s">
        <v>1473</v>
      </c>
      <c r="B676" s="9" t="s">
        <v>38</v>
      </c>
      <c r="C676" s="9" t="e">
        <f>VLOOKUP(A676,[2]Planilha1!$A:$B,2,0)</f>
        <v>#N/A</v>
      </c>
      <c r="D676" s="10">
        <f>SUMIF([1]Relatório!$A$2:$A$2653,A676,[1]Relatório!$AK$2:$AK$2653)</f>
        <v>178</v>
      </c>
      <c r="E676" s="11">
        <f t="shared" si="20"/>
        <v>0.000304295871320456</v>
      </c>
      <c r="F676" s="11">
        <f>SUM($E$7:E676)</f>
        <v>0.890282533587939</v>
      </c>
      <c r="G676" s="12" t="str">
        <f t="shared" si="21"/>
        <v>B</v>
      </c>
      <c r="H676" s="9" t="s">
        <v>21</v>
      </c>
      <c r="I676" s="9" t="s">
        <v>1474</v>
      </c>
      <c r="J676" s="9" t="s">
        <v>40</v>
      </c>
      <c r="K676" s="10" t="str">
        <f>IFERROR(VLOOKUP(A676,'Pedido ESTHER'!$B:$C,2,0),"")</f>
        <v/>
      </c>
      <c r="L676" s="12" t="str">
        <f>IF(N(K676)&gt;0,"COMPRA","NÃO COMPRA")</f>
        <v>NÃO COMPRA</v>
      </c>
    </row>
    <row r="677" spans="1:12">
      <c r="A677" s="8" t="s">
        <v>1475</v>
      </c>
      <c r="B677" s="9" t="s">
        <v>426</v>
      </c>
      <c r="C677" s="9" t="e">
        <f>VLOOKUP(A677,[2]Planilha1!$A:$B,2,0)</f>
        <v>#N/A</v>
      </c>
      <c r="D677" s="10">
        <f>SUMIF([1]Relatório!$A$2:$A$2653,A677,[1]Relatório!$AK$2:$AK$2653)</f>
        <v>178</v>
      </c>
      <c r="E677" s="11">
        <f t="shared" si="20"/>
        <v>0.000304295871320456</v>
      </c>
      <c r="F677" s="11">
        <f>SUM($E$7:E677)</f>
        <v>0.890586829459259</v>
      </c>
      <c r="G677" s="12" t="str">
        <f t="shared" si="21"/>
        <v>B</v>
      </c>
      <c r="H677" s="9" t="s">
        <v>831</v>
      </c>
      <c r="I677" s="9" t="s">
        <v>1476</v>
      </c>
      <c r="J677" s="9" t="s">
        <v>1477</v>
      </c>
      <c r="K677" s="10" t="str">
        <f>IFERROR(VLOOKUP(A677,'Pedido ESTHER'!$B:$C,2,0),"")</f>
        <v/>
      </c>
      <c r="L677" s="12" t="str">
        <f>IF(N(K677)&gt;0,"COMPRA","NÃO COMPRA")</f>
        <v>NÃO COMPRA</v>
      </c>
    </row>
    <row r="678" spans="1:12">
      <c r="A678" s="8" t="s">
        <v>1478</v>
      </c>
      <c r="B678" s="9" t="s">
        <v>342</v>
      </c>
      <c r="C678" s="9" t="e">
        <f>VLOOKUP(A678,[2]Planilha1!$A:$B,2,0)</f>
        <v>#N/A</v>
      </c>
      <c r="D678" s="10">
        <f>SUMIF([1]Relatório!$A$2:$A$2653,A678,[1]Relatório!$AK$2:$AK$2653)</f>
        <v>178</v>
      </c>
      <c r="E678" s="11">
        <f t="shared" si="20"/>
        <v>0.000304295871320456</v>
      </c>
      <c r="F678" s="11">
        <f>SUM($E$7:E678)</f>
        <v>0.89089112533058</v>
      </c>
      <c r="G678" s="12" t="str">
        <f t="shared" si="21"/>
        <v>B</v>
      </c>
      <c r="H678" s="9" t="s">
        <v>831</v>
      </c>
      <c r="I678" s="9" t="s">
        <v>1479</v>
      </c>
      <c r="J678" s="9" t="s">
        <v>158</v>
      </c>
      <c r="K678" s="10" t="str">
        <f>IFERROR(VLOOKUP(A678,'Pedido ESTHER'!$B:$C,2,0),"")</f>
        <v/>
      </c>
      <c r="L678" s="12" t="str">
        <f>IF(N(K678)&gt;0,"COMPRA","NÃO COMPRA")</f>
        <v>NÃO COMPRA</v>
      </c>
    </row>
    <row r="679" spans="1:12">
      <c r="A679" s="8" t="s">
        <v>1480</v>
      </c>
      <c r="B679" s="9" t="s">
        <v>1264</v>
      </c>
      <c r="C679" s="9" t="e">
        <f>VLOOKUP(A679,[2]Planilha1!$A:$B,2,0)</f>
        <v>#N/A</v>
      </c>
      <c r="D679" s="10">
        <f>SUMIF([1]Relatório!$A$2:$A$2653,A679,[1]Relatório!$AK$2:$AK$2653)</f>
        <v>178</v>
      </c>
      <c r="E679" s="11">
        <f t="shared" si="20"/>
        <v>0.000304295871320456</v>
      </c>
      <c r="F679" s="11">
        <f>SUM($E$7:E679)</f>
        <v>0.8911954212019</v>
      </c>
      <c r="G679" s="12" t="str">
        <f t="shared" si="21"/>
        <v>B</v>
      </c>
      <c r="H679" s="9" t="s">
        <v>183</v>
      </c>
      <c r="I679" s="9"/>
      <c r="J679" s="9" t="s">
        <v>1418</v>
      </c>
      <c r="K679" s="10" t="str">
        <f>IFERROR(VLOOKUP(A679,'Pedido ESTHER'!$B:$C,2,0),"")</f>
        <v/>
      </c>
      <c r="L679" s="12" t="str">
        <f>IF(N(K679)&gt;0,"COMPRA","NÃO COMPRA")</f>
        <v>NÃO COMPRA</v>
      </c>
    </row>
    <row r="680" spans="1:12">
      <c r="A680" s="8" t="s">
        <v>1481</v>
      </c>
      <c r="B680" s="9" t="s">
        <v>706</v>
      </c>
      <c r="C680" s="9" t="e">
        <f>VLOOKUP(A680,[2]Planilha1!$A:$B,2,0)</f>
        <v>#N/A</v>
      </c>
      <c r="D680" s="10">
        <f>SUMIF([1]Relatório!$A$2:$A$2653,A680,[1]Relatório!$AK$2:$AK$2653)</f>
        <v>178</v>
      </c>
      <c r="E680" s="11">
        <f t="shared" si="20"/>
        <v>0.000304295871320456</v>
      </c>
      <c r="F680" s="11">
        <f>SUM($E$7:E680)</f>
        <v>0.891499717073221</v>
      </c>
      <c r="G680" s="12" t="str">
        <f t="shared" si="21"/>
        <v>B</v>
      </c>
      <c r="H680" s="9" t="s">
        <v>183</v>
      </c>
      <c r="I680" s="9" t="s">
        <v>1482</v>
      </c>
      <c r="J680" s="9" t="s">
        <v>1483</v>
      </c>
      <c r="K680" s="10" t="str">
        <f>IFERROR(VLOOKUP(A680,'Pedido ESTHER'!$B:$C,2,0),"")</f>
        <v/>
      </c>
      <c r="L680" s="12" t="str">
        <f>IF(N(K680)&gt;0,"COMPRA","NÃO COMPRA")</f>
        <v>NÃO COMPRA</v>
      </c>
    </row>
    <row r="681" spans="1:12">
      <c r="A681" s="8" t="s">
        <v>1484</v>
      </c>
      <c r="B681" s="9" t="s">
        <v>1485</v>
      </c>
      <c r="C681" s="9" t="e">
        <f>VLOOKUP(A681,[2]Planilha1!$A:$B,2,0)</f>
        <v>#N/A</v>
      </c>
      <c r="D681" s="10">
        <f>SUMIF([1]Relatório!$A$2:$A$2653,A681,[1]Relatório!$AK$2:$AK$2653)</f>
        <v>177</v>
      </c>
      <c r="E681" s="11">
        <f t="shared" si="20"/>
        <v>0.000302586343953487</v>
      </c>
      <c r="F681" s="11">
        <f>SUM($E$7:E681)</f>
        <v>0.891802303417174</v>
      </c>
      <c r="G681" s="12" t="str">
        <f t="shared" si="21"/>
        <v>B</v>
      </c>
      <c r="H681" s="9" t="s">
        <v>21</v>
      </c>
      <c r="I681" s="9" t="s">
        <v>1486</v>
      </c>
      <c r="J681" s="9" t="s">
        <v>359</v>
      </c>
      <c r="K681" s="10" t="str">
        <f>IFERROR(VLOOKUP(A681,'Pedido ESTHER'!$B:$C,2,0),"")</f>
        <v/>
      </c>
      <c r="L681" s="12" t="str">
        <f>IF(N(K681)&gt;0,"COMPRA","NÃO COMPRA")</f>
        <v>NÃO COMPRA</v>
      </c>
    </row>
    <row r="682" spans="1:12">
      <c r="A682" s="8" t="s">
        <v>1487</v>
      </c>
      <c r="B682" s="9" t="s">
        <v>474</v>
      </c>
      <c r="C682" s="9" t="e">
        <f>VLOOKUP(A682,[2]Planilha1!$A:$B,2,0)</f>
        <v>#N/A</v>
      </c>
      <c r="D682" s="10">
        <f>SUMIF([1]Relatório!$A$2:$A$2653,A682,[1]Relatório!$AK$2:$AK$2653)</f>
        <v>176</v>
      </c>
      <c r="E682" s="11">
        <f t="shared" si="20"/>
        <v>0.000300876816586518</v>
      </c>
      <c r="F682" s="11">
        <f>SUM($E$7:E682)</f>
        <v>0.892103180233761</v>
      </c>
      <c r="G682" s="12" t="str">
        <f t="shared" si="21"/>
        <v>B</v>
      </c>
      <c r="H682" s="9" t="s">
        <v>892</v>
      </c>
      <c r="I682" s="9" t="s">
        <v>1488</v>
      </c>
      <c r="J682" s="9" t="s">
        <v>201</v>
      </c>
      <c r="K682" s="10" t="str">
        <f>IFERROR(VLOOKUP(A682,'Pedido ESTHER'!$B:$C,2,0),"")</f>
        <v/>
      </c>
      <c r="L682" s="12" t="str">
        <f>IF(N(K682)&gt;0,"COMPRA","NÃO COMPRA")</f>
        <v>NÃO COMPRA</v>
      </c>
    </row>
    <row r="683" spans="1:12">
      <c r="A683" s="8" t="s">
        <v>1489</v>
      </c>
      <c r="B683" s="9" t="s">
        <v>588</v>
      </c>
      <c r="C683" s="9" t="e">
        <f>VLOOKUP(A683,[2]Planilha1!$A:$B,2,0)</f>
        <v>#N/A</v>
      </c>
      <c r="D683" s="10">
        <f>SUMIF([1]Relatório!$A$2:$A$2653,A683,[1]Relatório!$AK$2:$AK$2653)</f>
        <v>175</v>
      </c>
      <c r="E683" s="11">
        <f t="shared" si="20"/>
        <v>0.000299167289219549</v>
      </c>
      <c r="F683" s="11">
        <f>SUM($E$7:E683)</f>
        <v>0.89240234752298</v>
      </c>
      <c r="G683" s="12" t="str">
        <f t="shared" si="21"/>
        <v>B</v>
      </c>
      <c r="H683" s="9" t="s">
        <v>21</v>
      </c>
      <c r="I683" s="9" t="s">
        <v>1490</v>
      </c>
      <c r="J683" s="9" t="s">
        <v>158</v>
      </c>
      <c r="K683" s="10" t="str">
        <f>IFERROR(VLOOKUP(A683,'Pedido ESTHER'!$B:$C,2,0),"")</f>
        <v/>
      </c>
      <c r="L683" s="12" t="str">
        <f>IF(N(K683)&gt;0,"COMPRA","NÃO COMPRA")</f>
        <v>NÃO COMPRA</v>
      </c>
    </row>
    <row r="684" spans="1:12">
      <c r="A684" s="8" t="s">
        <v>1491</v>
      </c>
      <c r="B684" s="9" t="s">
        <v>923</v>
      </c>
      <c r="C684" s="9" t="e">
        <f>VLOOKUP(A684,[2]Planilha1!$A:$B,2,0)</f>
        <v>#N/A</v>
      </c>
      <c r="D684" s="10">
        <f>SUMIF([1]Relatório!$A$2:$A$2653,A684,[1]Relatório!$AK$2:$AK$2653)</f>
        <v>175</v>
      </c>
      <c r="E684" s="11">
        <f t="shared" si="20"/>
        <v>0.000299167289219549</v>
      </c>
      <c r="F684" s="11">
        <f>SUM($E$7:E684)</f>
        <v>0.8927015148122</v>
      </c>
      <c r="G684" s="12" t="str">
        <f t="shared" si="21"/>
        <v>B</v>
      </c>
      <c r="H684" s="9" t="s">
        <v>776</v>
      </c>
      <c r="I684" s="9" t="s">
        <v>1492</v>
      </c>
      <c r="J684" s="9" t="s">
        <v>671</v>
      </c>
      <c r="K684" s="10" t="str">
        <f>IFERROR(VLOOKUP(A684,'Pedido ESTHER'!$B:$C,2,0),"")</f>
        <v/>
      </c>
      <c r="L684" s="12" t="str">
        <f>IF(N(K684)&gt;0,"COMPRA","NÃO COMPRA")</f>
        <v>NÃO COMPRA</v>
      </c>
    </row>
    <row r="685" spans="1:12">
      <c r="A685" s="8" t="s">
        <v>1493</v>
      </c>
      <c r="B685" s="9" t="s">
        <v>1494</v>
      </c>
      <c r="C685" s="9" t="e">
        <f>VLOOKUP(A685,[2]Planilha1!$A:$B,2,0)</f>
        <v>#N/A</v>
      </c>
      <c r="D685" s="10">
        <f>SUMIF([1]Relatório!$A$2:$A$2653,A685,[1]Relatório!$AK$2:$AK$2653)</f>
        <v>174</v>
      </c>
      <c r="E685" s="11">
        <f t="shared" si="20"/>
        <v>0.000297457761852581</v>
      </c>
      <c r="F685" s="11">
        <f>SUM($E$7:E685)</f>
        <v>0.892998972574052</v>
      </c>
      <c r="G685" s="12" t="str">
        <f t="shared" si="21"/>
        <v>B</v>
      </c>
      <c r="H685" s="9" t="s">
        <v>21</v>
      </c>
      <c r="I685" s="9" t="s">
        <v>1495</v>
      </c>
      <c r="J685" s="9" t="s">
        <v>1496</v>
      </c>
      <c r="K685" s="10" t="str">
        <f>IFERROR(VLOOKUP(A685,'Pedido ESTHER'!$B:$C,2,0),"")</f>
        <v/>
      </c>
      <c r="L685" s="12" t="str">
        <f>IF(N(K685)&gt;0,"COMPRA","NÃO COMPRA")</f>
        <v>NÃO COMPRA</v>
      </c>
    </row>
    <row r="686" spans="1:12">
      <c r="A686" s="8" t="s">
        <v>1497</v>
      </c>
      <c r="B686" s="9" t="s">
        <v>1498</v>
      </c>
      <c r="C686" s="9" t="e">
        <f>VLOOKUP(A686,[2]Planilha1!$A:$B,2,0)</f>
        <v>#N/A</v>
      </c>
      <c r="D686" s="10">
        <f>SUMIF([1]Relatório!$A$2:$A$2653,A686,[1]Relatório!$AK$2:$AK$2653)</f>
        <v>174</v>
      </c>
      <c r="E686" s="11">
        <f t="shared" si="20"/>
        <v>0.000297457761852581</v>
      </c>
      <c r="F686" s="11">
        <f>SUM($E$7:E686)</f>
        <v>0.893296430335905</v>
      </c>
      <c r="G686" s="12" t="str">
        <f t="shared" si="21"/>
        <v>B</v>
      </c>
      <c r="H686" s="9" t="s">
        <v>221</v>
      </c>
      <c r="I686" s="9" t="s">
        <v>1499</v>
      </c>
      <c r="J686" s="9" t="s">
        <v>44</v>
      </c>
      <c r="K686" s="10" t="str">
        <f>IFERROR(VLOOKUP(A686,'Pedido ESTHER'!$B:$C,2,0),"")</f>
        <v/>
      </c>
      <c r="L686" s="12" t="str">
        <f>IF(N(K686)&gt;0,"COMPRA","NÃO COMPRA")</f>
        <v>NÃO COMPRA</v>
      </c>
    </row>
    <row r="687" spans="1:12">
      <c r="A687" s="8" t="s">
        <v>1500</v>
      </c>
      <c r="B687" s="9" t="s">
        <v>681</v>
      </c>
      <c r="C687" s="9" t="e">
        <f>VLOOKUP(A687,[2]Planilha1!$A:$B,2,0)</f>
        <v>#N/A</v>
      </c>
      <c r="D687" s="10">
        <f>SUMIF([1]Relatório!$A$2:$A$2653,A687,[1]Relatório!$AK$2:$AK$2653)</f>
        <v>173</v>
      </c>
      <c r="E687" s="11">
        <f t="shared" si="20"/>
        <v>0.000295748234485612</v>
      </c>
      <c r="F687" s="11">
        <f>SUM($E$7:E687)</f>
        <v>0.89359217857039</v>
      </c>
      <c r="G687" s="12" t="str">
        <f t="shared" si="21"/>
        <v>B</v>
      </c>
      <c r="H687" s="9" t="s">
        <v>183</v>
      </c>
      <c r="I687" s="9"/>
      <c r="J687" s="9" t="s">
        <v>281</v>
      </c>
      <c r="K687" s="10" t="str">
        <f>IFERROR(VLOOKUP(A687,'Pedido ESTHER'!$B:$C,2,0),"")</f>
        <v/>
      </c>
      <c r="L687" s="12" t="str">
        <f>IF(N(K687)&gt;0,"COMPRA","NÃO COMPRA")</f>
        <v>NÃO COMPRA</v>
      </c>
    </row>
    <row r="688" spans="1:12">
      <c r="A688" s="8" t="s">
        <v>1501</v>
      </c>
      <c r="B688" s="9" t="s">
        <v>193</v>
      </c>
      <c r="C688" s="9" t="e">
        <f>VLOOKUP(A688,[2]Planilha1!$A:$B,2,0)</f>
        <v>#N/A</v>
      </c>
      <c r="D688" s="10">
        <f>SUMIF([1]Relatório!$A$2:$A$2653,A688,[1]Relatório!$AK$2:$AK$2653)</f>
        <v>173</v>
      </c>
      <c r="E688" s="11">
        <f t="shared" si="20"/>
        <v>0.000295748234485612</v>
      </c>
      <c r="F688" s="11">
        <f>SUM($E$7:E688)</f>
        <v>0.893887926804876</v>
      </c>
      <c r="G688" s="12" t="str">
        <f t="shared" si="21"/>
        <v>B</v>
      </c>
      <c r="H688" s="9" t="s">
        <v>183</v>
      </c>
      <c r="I688" s="9" t="s">
        <v>1502</v>
      </c>
      <c r="J688" s="9" t="s">
        <v>29</v>
      </c>
      <c r="K688" s="10" t="str">
        <f>IFERROR(VLOOKUP(A688,'Pedido ESTHER'!$B:$C,2,0),"")</f>
        <v/>
      </c>
      <c r="L688" s="12" t="str">
        <f>IF(N(K688)&gt;0,"COMPRA","NÃO COMPRA")</f>
        <v>NÃO COMPRA</v>
      </c>
    </row>
    <row r="689" spans="1:12">
      <c r="A689" s="8" t="s">
        <v>1503</v>
      </c>
      <c r="B689" s="9" t="s">
        <v>179</v>
      </c>
      <c r="C689" s="9" t="e">
        <f>VLOOKUP(A689,[2]Planilha1!$A:$B,2,0)</f>
        <v>#N/A</v>
      </c>
      <c r="D689" s="10">
        <f>SUMIF([1]Relatório!$A$2:$A$2653,A689,[1]Relatório!$AK$2:$AK$2653)</f>
        <v>173</v>
      </c>
      <c r="E689" s="11">
        <f t="shared" si="20"/>
        <v>0.000295748234485612</v>
      </c>
      <c r="F689" s="11">
        <f>SUM($E$7:E689)</f>
        <v>0.894183675039362</v>
      </c>
      <c r="G689" s="12" t="str">
        <f t="shared" si="21"/>
        <v>B</v>
      </c>
      <c r="H689" s="9" t="s">
        <v>18</v>
      </c>
      <c r="I689" s="9" t="s">
        <v>1504</v>
      </c>
      <c r="J689" s="9" t="s">
        <v>40</v>
      </c>
      <c r="K689" s="10" t="str">
        <f>IFERROR(VLOOKUP(A689,'Pedido ESTHER'!$B:$C,2,0),"")</f>
        <v/>
      </c>
      <c r="L689" s="12" t="str">
        <f>IF(N(K689)&gt;0,"COMPRA","NÃO COMPRA")</f>
        <v>NÃO COMPRA</v>
      </c>
    </row>
    <row r="690" spans="1:12">
      <c r="A690" s="8" t="s">
        <v>1505</v>
      </c>
      <c r="B690" s="9" t="s">
        <v>1506</v>
      </c>
      <c r="C690" s="9" t="e">
        <f>VLOOKUP(A690,[2]Planilha1!$A:$B,2,0)</f>
        <v>#N/A</v>
      </c>
      <c r="D690" s="10">
        <f>SUMIF([1]Relatório!$A$2:$A$2653,A690,[1]Relatório!$AK$2:$AK$2653)</f>
        <v>173</v>
      </c>
      <c r="E690" s="11">
        <f t="shared" si="20"/>
        <v>0.000295748234485612</v>
      </c>
      <c r="F690" s="11">
        <f>SUM($E$7:E690)</f>
        <v>0.894479423273847</v>
      </c>
      <c r="G690" s="12" t="str">
        <f t="shared" si="21"/>
        <v>B</v>
      </c>
      <c r="H690" s="9" t="s">
        <v>112</v>
      </c>
      <c r="I690" s="9" t="s">
        <v>1507</v>
      </c>
      <c r="J690" s="9" t="s">
        <v>201</v>
      </c>
      <c r="K690" s="10" t="str">
        <f>IFERROR(VLOOKUP(A690,'Pedido ESTHER'!$B:$C,2,0),"")</f>
        <v/>
      </c>
      <c r="L690" s="12" t="str">
        <f>IF(N(K690)&gt;0,"COMPRA","NÃO COMPRA")</f>
        <v>NÃO COMPRA</v>
      </c>
    </row>
    <row r="691" spans="1:12">
      <c r="A691" s="8" t="s">
        <v>1508</v>
      </c>
      <c r="B691" s="9" t="s">
        <v>1055</v>
      </c>
      <c r="C691" s="9" t="e">
        <f>VLOOKUP(A691,[2]Planilha1!$A:$B,2,0)</f>
        <v>#N/A</v>
      </c>
      <c r="D691" s="10">
        <f>SUMIF([1]Relatório!$A$2:$A$2653,A691,[1]Relatório!$AK$2:$AK$2653)</f>
        <v>172</v>
      </c>
      <c r="E691" s="11">
        <f t="shared" si="20"/>
        <v>0.000294038707118643</v>
      </c>
      <c r="F691" s="11">
        <f>SUM($E$7:E691)</f>
        <v>0.894773461980966</v>
      </c>
      <c r="G691" s="12" t="str">
        <f t="shared" si="21"/>
        <v>B</v>
      </c>
      <c r="H691" s="9" t="s">
        <v>1509</v>
      </c>
      <c r="I691" s="9" t="s">
        <v>1510</v>
      </c>
      <c r="J691" s="9" t="s">
        <v>213</v>
      </c>
      <c r="K691" s="10" t="str">
        <f>IFERROR(VLOOKUP(A691,'Pedido ESTHER'!$B:$C,2,0),"")</f>
        <v/>
      </c>
      <c r="L691" s="12" t="str">
        <f>IF(N(K691)&gt;0,"COMPRA","NÃO COMPRA")</f>
        <v>NÃO COMPRA</v>
      </c>
    </row>
    <row r="692" spans="1:12">
      <c r="A692" s="8" t="s">
        <v>1511</v>
      </c>
      <c r="B692" s="9" t="s">
        <v>1512</v>
      </c>
      <c r="C692" s="9" t="e">
        <f>VLOOKUP(A692,[2]Planilha1!$A:$B,2,0)</f>
        <v>#N/A</v>
      </c>
      <c r="D692" s="10">
        <f>SUMIF([1]Relatório!$A$2:$A$2653,A692,[1]Relatório!$AK$2:$AK$2653)</f>
        <v>171</v>
      </c>
      <c r="E692" s="11">
        <f t="shared" si="20"/>
        <v>0.000292329179751674</v>
      </c>
      <c r="F692" s="11">
        <f>SUM($E$7:E692)</f>
        <v>0.895065791160718</v>
      </c>
      <c r="G692" s="12" t="str">
        <f t="shared" si="21"/>
        <v>B</v>
      </c>
      <c r="H692" s="9" t="s">
        <v>82</v>
      </c>
      <c r="I692" s="9" t="s">
        <v>1513</v>
      </c>
      <c r="J692" s="9" t="s">
        <v>213</v>
      </c>
      <c r="K692" s="10" t="str">
        <f>IFERROR(VLOOKUP(A692,'Pedido ESTHER'!$B:$C,2,0),"")</f>
        <v/>
      </c>
      <c r="L692" s="12" t="str">
        <f>IF(N(K692)&gt;0,"COMPRA","NÃO COMPRA")</f>
        <v>NÃO COMPRA</v>
      </c>
    </row>
    <row r="693" spans="1:12">
      <c r="A693" s="8" t="s">
        <v>1514</v>
      </c>
      <c r="B693" s="9" t="s">
        <v>944</v>
      </c>
      <c r="C693" s="9" t="e">
        <f>VLOOKUP(A693,[2]Planilha1!$A:$B,2,0)</f>
        <v>#N/A</v>
      </c>
      <c r="D693" s="10">
        <f>SUMIF([1]Relatório!$A$2:$A$2653,A693,[1]Relatório!$AK$2:$AK$2653)</f>
        <v>171</v>
      </c>
      <c r="E693" s="11">
        <f t="shared" si="20"/>
        <v>0.000292329179751674</v>
      </c>
      <c r="F693" s="11">
        <f>SUM($E$7:E693)</f>
        <v>0.895358120340469</v>
      </c>
      <c r="G693" s="12" t="str">
        <f t="shared" si="21"/>
        <v>B</v>
      </c>
      <c r="H693" s="9" t="s">
        <v>586</v>
      </c>
      <c r="I693" s="9"/>
      <c r="J693" s="9" t="s">
        <v>201</v>
      </c>
      <c r="K693" s="10" t="str">
        <f>IFERROR(VLOOKUP(A693,'Pedido ESTHER'!$B:$C,2,0),"")</f>
        <v/>
      </c>
      <c r="L693" s="12" t="str">
        <f>IF(N(K693)&gt;0,"COMPRA","NÃO COMPRA")</f>
        <v>NÃO COMPRA</v>
      </c>
    </row>
    <row r="694" spans="1:12">
      <c r="A694" s="8" t="s">
        <v>1515</v>
      </c>
      <c r="B694" s="9" t="s">
        <v>1082</v>
      </c>
      <c r="C694" s="9" t="e">
        <f>VLOOKUP(A694,[2]Planilha1!$A:$B,2,0)</f>
        <v>#N/A</v>
      </c>
      <c r="D694" s="10">
        <f>SUMIF([1]Relatório!$A$2:$A$2653,A694,[1]Relatório!$AK$2:$AK$2653)</f>
        <v>170</v>
      </c>
      <c r="E694" s="11">
        <f t="shared" si="20"/>
        <v>0.000290619652384705</v>
      </c>
      <c r="F694" s="11">
        <f>SUM($E$7:E694)</f>
        <v>0.895648739992854</v>
      </c>
      <c r="G694" s="12" t="str">
        <f t="shared" si="21"/>
        <v>B</v>
      </c>
      <c r="H694" s="9" t="s">
        <v>183</v>
      </c>
      <c r="I694" s="9" t="s">
        <v>1516</v>
      </c>
      <c r="J694" s="9" t="s">
        <v>313</v>
      </c>
      <c r="K694" s="10" t="str">
        <f>IFERROR(VLOOKUP(A694,'Pedido ESTHER'!$B:$C,2,0),"")</f>
        <v/>
      </c>
      <c r="L694" s="12" t="str">
        <f>IF(N(K694)&gt;0,"COMPRA","NÃO COMPRA")</f>
        <v>NÃO COMPRA</v>
      </c>
    </row>
    <row r="695" spans="1:12">
      <c r="A695" s="8" t="s">
        <v>1517</v>
      </c>
      <c r="B695" s="9" t="s">
        <v>78</v>
      </c>
      <c r="C695" s="9" t="e">
        <f>VLOOKUP(A695,[2]Planilha1!$A:$B,2,0)</f>
        <v>#N/A</v>
      </c>
      <c r="D695" s="10">
        <f>SUMIF([1]Relatório!$A$2:$A$2653,A695,[1]Relatório!$AK$2:$AK$2653)</f>
        <v>170</v>
      </c>
      <c r="E695" s="11">
        <f t="shared" si="20"/>
        <v>0.000290619652384705</v>
      </c>
      <c r="F695" s="11">
        <f>SUM($E$7:E695)</f>
        <v>0.895939359645239</v>
      </c>
      <c r="G695" s="12" t="str">
        <f t="shared" si="21"/>
        <v>B</v>
      </c>
      <c r="H695" s="9" t="s">
        <v>74</v>
      </c>
      <c r="I695" s="9" t="s">
        <v>1518</v>
      </c>
      <c r="J695" s="9" t="s">
        <v>44</v>
      </c>
      <c r="K695" s="10" t="str">
        <f>IFERROR(VLOOKUP(A695,'Pedido ESTHER'!$B:$C,2,0),"")</f>
        <v/>
      </c>
      <c r="L695" s="12" t="str">
        <f>IF(N(K695)&gt;0,"COMPRA","NÃO COMPRA")</f>
        <v>NÃO COMPRA</v>
      </c>
    </row>
    <row r="696" spans="1:12">
      <c r="A696" s="8" t="s">
        <v>1519</v>
      </c>
      <c r="B696" s="9" t="s">
        <v>91</v>
      </c>
      <c r="C696" s="9" t="e">
        <f>VLOOKUP(A696,[2]Planilha1!$A:$B,2,0)</f>
        <v>#N/A</v>
      </c>
      <c r="D696" s="10">
        <f>SUMIF([1]Relatório!$A$2:$A$2653,A696,[1]Relatório!$AK$2:$AK$2653)</f>
        <v>170</v>
      </c>
      <c r="E696" s="11">
        <f t="shared" si="20"/>
        <v>0.000290619652384705</v>
      </c>
      <c r="F696" s="11">
        <f>SUM($E$7:E696)</f>
        <v>0.896229979297623</v>
      </c>
      <c r="G696" s="12" t="str">
        <f t="shared" si="21"/>
        <v>B</v>
      </c>
      <c r="H696" s="9" t="s">
        <v>74</v>
      </c>
      <c r="I696" s="9" t="s">
        <v>1520</v>
      </c>
      <c r="J696" s="9" t="s">
        <v>33</v>
      </c>
      <c r="K696" s="10" t="str">
        <f>IFERROR(VLOOKUP(A696,'Pedido ESTHER'!$B:$C,2,0),"")</f>
        <v/>
      </c>
      <c r="L696" s="12" t="str">
        <f>IF(N(K696)&gt;0,"COMPRA","NÃO COMPRA")</f>
        <v>NÃO COMPRA</v>
      </c>
    </row>
    <row r="697" spans="1:12">
      <c r="A697" s="8" t="s">
        <v>1521</v>
      </c>
      <c r="B697" s="9" t="s">
        <v>1522</v>
      </c>
      <c r="C697" s="9" t="e">
        <f>VLOOKUP(A697,[2]Planilha1!$A:$B,2,0)</f>
        <v>#N/A</v>
      </c>
      <c r="D697" s="10">
        <f>SUMIF([1]Relatório!$A$2:$A$2653,A697,[1]Relatório!$AK$2:$AK$2653)</f>
        <v>167</v>
      </c>
      <c r="E697" s="11">
        <f t="shared" si="20"/>
        <v>0.000285491070283799</v>
      </c>
      <c r="F697" s="11">
        <f>SUM($E$7:E697)</f>
        <v>0.896515470367907</v>
      </c>
      <c r="G697" s="12" t="str">
        <f t="shared" si="21"/>
        <v>B</v>
      </c>
      <c r="H697" s="9" t="s">
        <v>183</v>
      </c>
      <c r="I697" s="9" t="s">
        <v>1523</v>
      </c>
      <c r="J697" s="9" t="s">
        <v>64</v>
      </c>
      <c r="K697" s="10" t="str">
        <f>IFERROR(VLOOKUP(A697,'Pedido ESTHER'!$B:$C,2,0),"")</f>
        <v/>
      </c>
      <c r="L697" s="12" t="str">
        <f>IF(N(K697)&gt;0,"COMPRA","NÃO COMPRA")</f>
        <v>NÃO COMPRA</v>
      </c>
    </row>
    <row r="698" spans="1:12">
      <c r="A698" s="8" t="s">
        <v>1524</v>
      </c>
      <c r="B698" s="9" t="s">
        <v>1525</v>
      </c>
      <c r="C698" s="9" t="e">
        <f>VLOOKUP(A698,[2]Planilha1!$A:$B,2,0)</f>
        <v>#N/A</v>
      </c>
      <c r="D698" s="10">
        <f>SUMIF([1]Relatório!$A$2:$A$2653,A698,[1]Relatório!$AK$2:$AK$2653)</f>
        <v>167</v>
      </c>
      <c r="E698" s="11">
        <f t="shared" si="20"/>
        <v>0.000285491070283799</v>
      </c>
      <c r="F698" s="11">
        <f>SUM($E$7:E698)</f>
        <v>0.896800961438191</v>
      </c>
      <c r="G698" s="12" t="str">
        <f t="shared" si="21"/>
        <v>B</v>
      </c>
      <c r="H698" s="9" t="s">
        <v>183</v>
      </c>
      <c r="I698" s="9"/>
      <c r="J698" s="9" t="s">
        <v>671</v>
      </c>
      <c r="K698" s="10" t="str">
        <f>IFERROR(VLOOKUP(A698,'Pedido ESTHER'!$B:$C,2,0),"")</f>
        <v/>
      </c>
      <c r="L698" s="12" t="str">
        <f>IF(N(K698)&gt;0,"COMPRA","NÃO COMPRA")</f>
        <v>NÃO COMPRA</v>
      </c>
    </row>
    <row r="699" spans="1:12">
      <c r="A699" s="8" t="s">
        <v>1526</v>
      </c>
      <c r="B699" s="9" t="s">
        <v>1527</v>
      </c>
      <c r="C699" s="9" t="e">
        <f>VLOOKUP(A699,[2]Planilha1!$A:$B,2,0)</f>
        <v>#N/A</v>
      </c>
      <c r="D699" s="10">
        <f>SUMIF([1]Relatório!$A$2:$A$2653,A699,[1]Relatório!$AK$2:$AK$2653)</f>
        <v>167</v>
      </c>
      <c r="E699" s="11">
        <f t="shared" si="20"/>
        <v>0.000285491070283799</v>
      </c>
      <c r="F699" s="11">
        <f>SUM($E$7:E699)</f>
        <v>0.897086452508475</v>
      </c>
      <c r="G699" s="12" t="str">
        <f t="shared" si="21"/>
        <v>B</v>
      </c>
      <c r="H699" s="9" t="s">
        <v>1059</v>
      </c>
      <c r="I699" s="9" t="s">
        <v>1528</v>
      </c>
      <c r="J699" s="9" t="s">
        <v>164</v>
      </c>
      <c r="K699" s="10" t="str">
        <f>IFERROR(VLOOKUP(A699,'Pedido ESTHER'!$B:$C,2,0),"")</f>
        <v/>
      </c>
      <c r="L699" s="12" t="str">
        <f>IF(N(K699)&gt;0,"COMPRA","NÃO COMPRA")</f>
        <v>NÃO COMPRA</v>
      </c>
    </row>
    <row r="700" spans="1:12">
      <c r="A700" s="8" t="s">
        <v>1529</v>
      </c>
      <c r="B700" s="9" t="s">
        <v>460</v>
      </c>
      <c r="C700" s="9" t="e">
        <f>VLOOKUP(A700,[2]Planilha1!$A:$B,2,0)</f>
        <v>#N/A</v>
      </c>
      <c r="D700" s="10">
        <f>SUMIF([1]Relatório!$A$2:$A$2653,A700,[1]Relatório!$AK$2:$AK$2653)</f>
        <v>166</v>
      </c>
      <c r="E700" s="11">
        <f t="shared" si="20"/>
        <v>0.00028378154291683</v>
      </c>
      <c r="F700" s="11">
        <f>SUM($E$7:E700)</f>
        <v>0.897370234051392</v>
      </c>
      <c r="G700" s="12" t="str">
        <f t="shared" si="21"/>
        <v>B</v>
      </c>
      <c r="H700" s="9" t="s">
        <v>18</v>
      </c>
      <c r="I700" s="9" t="s">
        <v>1530</v>
      </c>
      <c r="J700" s="9" t="s">
        <v>268</v>
      </c>
      <c r="K700" s="10" t="str">
        <f>IFERROR(VLOOKUP(A700,'Pedido ESTHER'!$B:$C,2,0),"")</f>
        <v/>
      </c>
      <c r="L700" s="12" t="str">
        <f>IF(N(K700)&gt;0,"COMPRA","NÃO COMPRA")</f>
        <v>NÃO COMPRA</v>
      </c>
    </row>
    <row r="701" spans="1:12">
      <c r="A701" s="8" t="s">
        <v>1531</v>
      </c>
      <c r="B701" s="9" t="s">
        <v>827</v>
      </c>
      <c r="C701" s="9" t="e">
        <f>VLOOKUP(A701,[2]Planilha1!$A:$B,2,0)</f>
        <v>#N/A</v>
      </c>
      <c r="D701" s="10">
        <f>SUMIF([1]Relatório!$A$2:$A$2653,A701,[1]Relatório!$AK$2:$AK$2653)</f>
        <v>166</v>
      </c>
      <c r="E701" s="11">
        <f t="shared" si="20"/>
        <v>0.00028378154291683</v>
      </c>
      <c r="F701" s="11">
        <f>SUM($E$7:E701)</f>
        <v>0.897654015594308</v>
      </c>
      <c r="G701" s="12" t="str">
        <f t="shared" si="21"/>
        <v>B</v>
      </c>
      <c r="H701" s="9" t="s">
        <v>183</v>
      </c>
      <c r="I701" s="9" t="s">
        <v>1532</v>
      </c>
      <c r="J701" s="9" t="s">
        <v>36</v>
      </c>
      <c r="K701" s="10" t="str">
        <f>IFERROR(VLOOKUP(A701,'Pedido ESTHER'!$B:$C,2,0),"")</f>
        <v/>
      </c>
      <c r="L701" s="12" t="str">
        <f>IF(N(K701)&gt;0,"COMPRA","NÃO COMPRA")</f>
        <v>NÃO COMPRA</v>
      </c>
    </row>
    <row r="702" spans="1:12">
      <c r="A702" s="8" t="s">
        <v>1533</v>
      </c>
      <c r="B702" s="9" t="s">
        <v>626</v>
      </c>
      <c r="C702" s="9" t="e">
        <f>VLOOKUP(A702,[2]Planilha1!$A:$B,2,0)</f>
        <v>#N/A</v>
      </c>
      <c r="D702" s="10">
        <f>SUMIF([1]Relatório!$A$2:$A$2653,A702,[1]Relatório!$AK$2:$AK$2653)</f>
        <v>166</v>
      </c>
      <c r="E702" s="11">
        <f t="shared" si="20"/>
        <v>0.00028378154291683</v>
      </c>
      <c r="F702" s="11">
        <f>SUM($E$7:E702)</f>
        <v>0.897937797137225</v>
      </c>
      <c r="G702" s="12" t="str">
        <f t="shared" si="21"/>
        <v>B</v>
      </c>
      <c r="H702" s="9" t="s">
        <v>831</v>
      </c>
      <c r="I702" s="9" t="s">
        <v>1534</v>
      </c>
      <c r="J702" s="9" t="s">
        <v>1535</v>
      </c>
      <c r="K702" s="10" t="str">
        <f>IFERROR(VLOOKUP(A702,'Pedido ESTHER'!$B:$C,2,0),"")</f>
        <v/>
      </c>
      <c r="L702" s="12" t="str">
        <f>IF(N(K702)&gt;0,"COMPRA","NÃO COMPRA")</f>
        <v>NÃO COMPRA</v>
      </c>
    </row>
    <row r="703" spans="1:12">
      <c r="A703" s="8" t="s">
        <v>1536</v>
      </c>
      <c r="B703" s="9" t="s">
        <v>1055</v>
      </c>
      <c r="C703" s="9" t="e">
        <f>VLOOKUP(A703,[2]Planilha1!$A:$B,2,0)</f>
        <v>#N/A</v>
      </c>
      <c r="D703" s="10">
        <f>SUMIF([1]Relatório!$A$2:$A$2653,A703,[1]Relatório!$AK$2:$AK$2653)</f>
        <v>166</v>
      </c>
      <c r="E703" s="11">
        <f t="shared" si="20"/>
        <v>0.00028378154291683</v>
      </c>
      <c r="F703" s="11">
        <f>SUM($E$7:E703)</f>
        <v>0.898221578680142</v>
      </c>
      <c r="G703" s="12" t="str">
        <f t="shared" si="21"/>
        <v>B</v>
      </c>
      <c r="H703" s="9" t="s">
        <v>221</v>
      </c>
      <c r="I703" s="9" t="s">
        <v>1537</v>
      </c>
      <c r="J703" s="9" t="s">
        <v>213</v>
      </c>
      <c r="K703" s="10" t="str">
        <f>IFERROR(VLOOKUP(A703,'Pedido ESTHER'!$B:$C,2,0),"")</f>
        <v/>
      </c>
      <c r="L703" s="12" t="str">
        <f>IF(N(K703)&gt;0,"COMPRA","NÃO COMPRA")</f>
        <v>NÃO COMPRA</v>
      </c>
    </row>
    <row r="704" spans="1:12">
      <c r="A704" s="8" t="s">
        <v>1538</v>
      </c>
      <c r="B704" s="9" t="s">
        <v>27</v>
      </c>
      <c r="C704" s="9" t="e">
        <f>VLOOKUP(A704,[2]Planilha1!$A:$B,2,0)</f>
        <v>#N/A</v>
      </c>
      <c r="D704" s="10">
        <f>SUMIF([1]Relatório!$A$2:$A$2653,A704,[1]Relatório!$AK$2:$AK$2653)</f>
        <v>166</v>
      </c>
      <c r="E704" s="11">
        <f t="shared" si="20"/>
        <v>0.00028378154291683</v>
      </c>
      <c r="F704" s="11">
        <f>SUM($E$7:E704)</f>
        <v>0.898505360223059</v>
      </c>
      <c r="G704" s="12" t="str">
        <f t="shared" si="21"/>
        <v>B</v>
      </c>
      <c r="H704" s="9" t="s">
        <v>21</v>
      </c>
      <c r="I704" s="9" t="s">
        <v>1539</v>
      </c>
      <c r="J704" s="9" t="s">
        <v>29</v>
      </c>
      <c r="K704" s="10" t="str">
        <f>IFERROR(VLOOKUP(A704,'Pedido ESTHER'!$B:$C,2,0),"")</f>
        <v/>
      </c>
      <c r="L704" s="12" t="str">
        <f>IF(N(K704)&gt;0,"COMPRA","NÃO COMPRA")</f>
        <v>NÃO COMPRA</v>
      </c>
    </row>
    <row r="705" spans="1:12">
      <c r="A705" s="8" t="s">
        <v>1540</v>
      </c>
      <c r="B705" s="9" t="s">
        <v>837</v>
      </c>
      <c r="C705" s="9" t="e">
        <f>VLOOKUP(A705,[2]Planilha1!$A:$B,2,0)</f>
        <v>#N/A</v>
      </c>
      <c r="D705" s="10">
        <f>SUMIF([1]Relatório!$A$2:$A$2653,A705,[1]Relatório!$AK$2:$AK$2653)</f>
        <v>165</v>
      </c>
      <c r="E705" s="11">
        <f t="shared" si="20"/>
        <v>0.000282072015549861</v>
      </c>
      <c r="F705" s="11">
        <f>SUM($E$7:E705)</f>
        <v>0.898787432238609</v>
      </c>
      <c r="G705" s="12" t="str">
        <f t="shared" si="21"/>
        <v>B</v>
      </c>
      <c r="H705" s="9" t="s">
        <v>18</v>
      </c>
      <c r="I705" s="9"/>
      <c r="J705" s="9" t="s">
        <v>213</v>
      </c>
      <c r="K705" s="10" t="str">
        <f>IFERROR(VLOOKUP(A705,'Pedido ESTHER'!$B:$C,2,0),"")</f>
        <v/>
      </c>
      <c r="L705" s="12" t="str">
        <f>IF(N(K705)&gt;0,"COMPRA","NÃO COMPRA")</f>
        <v>NÃO COMPRA</v>
      </c>
    </row>
    <row r="706" spans="1:12">
      <c r="A706" s="8" t="s">
        <v>1541</v>
      </c>
      <c r="B706" s="9" t="s">
        <v>1542</v>
      </c>
      <c r="C706" s="9" t="e">
        <f>VLOOKUP(A706,[2]Planilha1!$A:$B,2,0)</f>
        <v>#N/A</v>
      </c>
      <c r="D706" s="10">
        <f>SUMIF([1]Relatório!$A$2:$A$2653,A706,[1]Relatório!$AK$2:$AK$2653)</f>
        <v>165</v>
      </c>
      <c r="E706" s="11">
        <f t="shared" si="20"/>
        <v>0.000282072015549861</v>
      </c>
      <c r="F706" s="11">
        <f>SUM($E$7:E706)</f>
        <v>0.899069504254159</v>
      </c>
      <c r="G706" s="12" t="str">
        <f t="shared" si="21"/>
        <v>B</v>
      </c>
      <c r="H706" s="9" t="s">
        <v>1117</v>
      </c>
      <c r="I706" s="9" t="s">
        <v>1543</v>
      </c>
      <c r="J706" s="9" t="s">
        <v>644</v>
      </c>
      <c r="K706" s="10" t="str">
        <f>IFERROR(VLOOKUP(A706,'Pedido ESTHER'!$B:$C,2,0),"")</f>
        <v/>
      </c>
      <c r="L706" s="12" t="str">
        <f>IF(N(K706)&gt;0,"COMPRA","NÃO COMPRA")</f>
        <v>NÃO COMPRA</v>
      </c>
    </row>
    <row r="707" spans="1:12">
      <c r="A707" s="8" t="s">
        <v>1544</v>
      </c>
      <c r="B707" s="9" t="s">
        <v>38</v>
      </c>
      <c r="C707" s="9" t="e">
        <f>VLOOKUP(A707,[2]Planilha1!$A:$B,2,0)</f>
        <v>#N/A</v>
      </c>
      <c r="D707" s="10">
        <f>SUMIF([1]Relatório!$A$2:$A$2653,A707,[1]Relatório!$AK$2:$AK$2653)</f>
        <v>164</v>
      </c>
      <c r="E707" s="11">
        <f t="shared" si="20"/>
        <v>0.000280362488182892</v>
      </c>
      <c r="F707" s="11">
        <f>SUM($E$7:E707)</f>
        <v>0.899349866742342</v>
      </c>
      <c r="G707" s="12" t="str">
        <f t="shared" si="21"/>
        <v>B</v>
      </c>
      <c r="H707" s="9" t="s">
        <v>21</v>
      </c>
      <c r="I707" s="9" t="s">
        <v>1545</v>
      </c>
      <c r="J707" s="9" t="s">
        <v>40</v>
      </c>
      <c r="K707" s="10" t="str">
        <f>IFERROR(VLOOKUP(A707,'Pedido ESTHER'!$B:$C,2,0),"")</f>
        <v/>
      </c>
      <c r="L707" s="12" t="str">
        <f>IF(N(K707)&gt;0,"COMPRA","NÃO COMPRA")</f>
        <v>NÃO COMPRA</v>
      </c>
    </row>
    <row r="708" spans="1:12">
      <c r="A708" s="8" t="s">
        <v>1546</v>
      </c>
      <c r="B708" s="9" t="s">
        <v>1547</v>
      </c>
      <c r="C708" s="9" t="e">
        <f>VLOOKUP(A708,[2]Planilha1!$A:$B,2,0)</f>
        <v>#N/A</v>
      </c>
      <c r="D708" s="10">
        <f>SUMIF([1]Relatório!$A$2:$A$2653,A708,[1]Relatório!$AK$2:$AK$2653)</f>
        <v>164</v>
      </c>
      <c r="E708" s="11">
        <f t="shared" si="20"/>
        <v>0.000280362488182892</v>
      </c>
      <c r="F708" s="11">
        <f>SUM($E$7:E708)</f>
        <v>0.899630229230524</v>
      </c>
      <c r="G708" s="12" t="str">
        <f t="shared" si="21"/>
        <v>B</v>
      </c>
      <c r="H708" s="9" t="s">
        <v>21</v>
      </c>
      <c r="I708" s="9" t="s">
        <v>1548</v>
      </c>
      <c r="J708" s="9" t="s">
        <v>40</v>
      </c>
      <c r="K708" s="10" t="str">
        <f>IFERROR(VLOOKUP(A708,'Pedido ESTHER'!$B:$C,2,0),"")</f>
        <v/>
      </c>
      <c r="L708" s="12" t="str">
        <f>IF(N(K708)&gt;0,"COMPRA","NÃO COMPRA")</f>
        <v>NÃO COMPRA</v>
      </c>
    </row>
    <row r="709" spans="1:12">
      <c r="A709" s="8" t="s">
        <v>1549</v>
      </c>
      <c r="B709" s="9" t="s">
        <v>1550</v>
      </c>
      <c r="C709" s="9" t="e">
        <f>VLOOKUP(A709,[2]Planilha1!$A:$B,2,0)</f>
        <v>#N/A</v>
      </c>
      <c r="D709" s="10">
        <f>SUMIF([1]Relatório!$A$2:$A$2653,A709,[1]Relatório!$AK$2:$AK$2653)</f>
        <v>164</v>
      </c>
      <c r="E709" s="11">
        <f t="shared" si="20"/>
        <v>0.000280362488182892</v>
      </c>
      <c r="F709" s="11">
        <f>SUM($E$7:E709)</f>
        <v>0.899910591718707</v>
      </c>
      <c r="G709" s="12" t="str">
        <f t="shared" si="21"/>
        <v>B</v>
      </c>
      <c r="H709" s="9" t="s">
        <v>183</v>
      </c>
      <c r="I709" s="9" t="s">
        <v>1551</v>
      </c>
      <c r="J709" s="9" t="s">
        <v>593</v>
      </c>
      <c r="K709" s="10" t="str">
        <f>IFERROR(VLOOKUP(A709,'Pedido ESTHER'!$B:$C,2,0),"")</f>
        <v/>
      </c>
      <c r="L709" s="12" t="str">
        <f>IF(N(K709)&gt;0,"COMPRA","NÃO COMPRA")</f>
        <v>NÃO COMPRA</v>
      </c>
    </row>
    <row r="710" spans="1:12">
      <c r="A710" s="8" t="s">
        <v>1552</v>
      </c>
      <c r="B710" s="9" t="s">
        <v>1553</v>
      </c>
      <c r="C710" s="9" t="e">
        <f>VLOOKUP(A710,[2]Planilha1!$A:$B,2,0)</f>
        <v>#N/A</v>
      </c>
      <c r="D710" s="10">
        <f>SUMIF([1]Relatório!$A$2:$A$2653,A710,[1]Relatório!$AK$2:$AK$2653)</f>
        <v>164</v>
      </c>
      <c r="E710" s="11">
        <f t="shared" si="20"/>
        <v>0.000280362488182892</v>
      </c>
      <c r="F710" s="11">
        <f>SUM($E$7:E710)</f>
        <v>0.90019095420689</v>
      </c>
      <c r="G710" s="12" t="str">
        <f t="shared" si="21"/>
        <v>C</v>
      </c>
      <c r="H710" s="9" t="s">
        <v>183</v>
      </c>
      <c r="I710" s="9" t="s">
        <v>1554</v>
      </c>
      <c r="J710" s="9" t="s">
        <v>1555</v>
      </c>
      <c r="K710" s="10" t="str">
        <f>IFERROR(VLOOKUP(A710,'Pedido ESTHER'!$B:$C,2,0),"")</f>
        <v/>
      </c>
      <c r="L710" s="12" t="str">
        <f>IF(N(K710)&gt;0,"COMPRA","NÃO COMPRA")</f>
        <v>NÃO COMPRA</v>
      </c>
    </row>
    <row r="711" spans="1:12">
      <c r="A711" s="8" t="s">
        <v>1556</v>
      </c>
      <c r="B711" s="9" t="s">
        <v>1557</v>
      </c>
      <c r="C711" s="9" t="e">
        <f>VLOOKUP(A711,[2]Planilha1!$A:$B,2,0)</f>
        <v>#N/A</v>
      </c>
      <c r="D711" s="10">
        <f>SUMIF([1]Relatório!$A$2:$A$2653,A711,[1]Relatório!$AK$2:$AK$2653)</f>
        <v>164</v>
      </c>
      <c r="E711" s="11">
        <f t="shared" si="20"/>
        <v>0.000280362488182892</v>
      </c>
      <c r="F711" s="11">
        <f>SUM($E$7:E711)</f>
        <v>0.900471316695073</v>
      </c>
      <c r="G711" s="12" t="str">
        <f t="shared" si="21"/>
        <v>C</v>
      </c>
      <c r="H711" s="9" t="s">
        <v>1059</v>
      </c>
      <c r="I711" s="9" t="s">
        <v>1558</v>
      </c>
      <c r="J711" s="9" t="s">
        <v>49</v>
      </c>
      <c r="K711" s="10" t="str">
        <f>IFERROR(VLOOKUP(A711,'Pedido ESTHER'!$B:$C,2,0),"")</f>
        <v/>
      </c>
      <c r="L711" s="12" t="str">
        <f>IF(N(K711)&gt;0,"COMPRA","NÃO COMPRA")</f>
        <v>NÃO COMPRA</v>
      </c>
    </row>
    <row r="712" spans="1:12">
      <c r="A712" s="8" t="s">
        <v>1559</v>
      </c>
      <c r="B712" s="9" t="s">
        <v>469</v>
      </c>
      <c r="C712" s="9" t="e">
        <f>VLOOKUP(A712,[2]Planilha1!$A:$B,2,0)</f>
        <v>#N/A</v>
      </c>
      <c r="D712" s="10">
        <f>SUMIF([1]Relatório!$A$2:$A$2653,A712,[1]Relatório!$AK$2:$AK$2653)</f>
        <v>163</v>
      </c>
      <c r="E712" s="11">
        <f t="shared" ref="E712:E775" si="22">D712/SUM($D$7:$D$1708)</f>
        <v>0.000278652960815923</v>
      </c>
      <c r="F712" s="11">
        <f>SUM($E$7:E712)</f>
        <v>0.900749969655889</v>
      </c>
      <c r="G712" s="12" t="str">
        <f t="shared" ref="G712:G775" si="23">IF(F712&lt;=70%,"A",IF(F712&lt;=90%,"B","C"))</f>
        <v>C</v>
      </c>
      <c r="H712" s="9" t="s">
        <v>183</v>
      </c>
      <c r="I712" s="9" t="s">
        <v>1560</v>
      </c>
      <c r="J712" s="9" t="s">
        <v>23</v>
      </c>
      <c r="K712" s="10" t="str">
        <f>IFERROR(VLOOKUP(A712,'Pedido ESTHER'!$B:$C,2,0),"")</f>
        <v/>
      </c>
      <c r="L712" s="12" t="str">
        <f>IF(N(K712)&gt;0,"COMPRA","NÃO COMPRA")</f>
        <v>NÃO COMPRA</v>
      </c>
    </row>
    <row r="713" spans="1:12">
      <c r="A713" s="8" t="s">
        <v>1561</v>
      </c>
      <c r="B713" s="9" t="s">
        <v>1562</v>
      </c>
      <c r="C713" s="9" t="e">
        <f>VLOOKUP(A713,[2]Planilha1!$A:$B,2,0)</f>
        <v>#N/A</v>
      </c>
      <c r="D713" s="10">
        <f>SUMIF([1]Relatório!$A$2:$A$2653,A713,[1]Relatório!$AK$2:$AK$2653)</f>
        <v>162</v>
      </c>
      <c r="E713" s="11">
        <f t="shared" si="22"/>
        <v>0.000276943433448954</v>
      </c>
      <c r="F713" s="11">
        <f>SUM($E$7:E713)</f>
        <v>0.901026913089338</v>
      </c>
      <c r="G713" s="12" t="str">
        <f t="shared" si="23"/>
        <v>C</v>
      </c>
      <c r="H713" s="9" t="s">
        <v>21</v>
      </c>
      <c r="I713" s="9"/>
      <c r="J713" s="9" t="s">
        <v>40</v>
      </c>
      <c r="K713" s="10" t="str">
        <f>IFERROR(VLOOKUP(A713,'Pedido ESTHER'!$B:$C,2,0),"")</f>
        <v/>
      </c>
      <c r="L713" s="12" t="str">
        <f>IF(N(K713)&gt;0,"COMPRA","NÃO COMPRA")</f>
        <v>NÃO COMPRA</v>
      </c>
    </row>
    <row r="714" spans="1:12">
      <c r="A714" s="8" t="s">
        <v>1563</v>
      </c>
      <c r="B714" s="9" t="s">
        <v>1243</v>
      </c>
      <c r="C714" s="9" t="e">
        <f>VLOOKUP(A714,[2]Planilha1!$A:$B,2,0)</f>
        <v>#N/A</v>
      </c>
      <c r="D714" s="10">
        <f>SUMIF([1]Relatório!$A$2:$A$2653,A714,[1]Relatório!$AK$2:$AK$2653)</f>
        <v>162</v>
      </c>
      <c r="E714" s="11">
        <f t="shared" si="22"/>
        <v>0.000276943433448954</v>
      </c>
      <c r="F714" s="11">
        <f>SUM($E$7:E714)</f>
        <v>0.901303856522787</v>
      </c>
      <c r="G714" s="12" t="str">
        <f t="shared" si="23"/>
        <v>C</v>
      </c>
      <c r="H714" s="9" t="s">
        <v>117</v>
      </c>
      <c r="I714" s="9" t="s">
        <v>1564</v>
      </c>
      <c r="J714" s="9" t="s">
        <v>241</v>
      </c>
      <c r="K714" s="10" t="str">
        <f>IFERROR(VLOOKUP(A714,'Pedido ESTHER'!$B:$C,2,0),"")</f>
        <v/>
      </c>
      <c r="L714" s="12" t="str">
        <f>IF(N(K714)&gt;0,"COMPRA","NÃO COMPRA")</f>
        <v>NÃO COMPRA</v>
      </c>
    </row>
    <row r="715" spans="1:12">
      <c r="A715" s="8" t="s">
        <v>1565</v>
      </c>
      <c r="B715" s="9" t="s">
        <v>673</v>
      </c>
      <c r="C715" s="9" t="e">
        <f>VLOOKUP(A715,[2]Planilha1!$A:$B,2,0)</f>
        <v>#N/A</v>
      </c>
      <c r="D715" s="10">
        <f>SUMIF([1]Relatório!$A$2:$A$2653,A715,[1]Relatório!$AK$2:$AK$2653)</f>
        <v>162</v>
      </c>
      <c r="E715" s="11">
        <f t="shared" si="22"/>
        <v>0.000276943433448954</v>
      </c>
      <c r="F715" s="11">
        <f>SUM($E$7:E715)</f>
        <v>0.901580799956236</v>
      </c>
      <c r="G715" s="12" t="str">
        <f t="shared" si="23"/>
        <v>C</v>
      </c>
      <c r="H715" s="9" t="s">
        <v>18</v>
      </c>
      <c r="I715" s="9" t="s">
        <v>1566</v>
      </c>
      <c r="J715" s="9" t="s">
        <v>359</v>
      </c>
      <c r="K715" s="10" t="str">
        <f>IFERROR(VLOOKUP(A715,'Pedido ESTHER'!$B:$C,2,0),"")</f>
        <v/>
      </c>
      <c r="L715" s="12" t="str">
        <f>IF(N(K715)&gt;0,"COMPRA","NÃO COMPRA")</f>
        <v>NÃO COMPRA</v>
      </c>
    </row>
    <row r="716" spans="1:12">
      <c r="A716" s="8" t="s">
        <v>1567</v>
      </c>
      <c r="B716" s="9" t="s">
        <v>365</v>
      </c>
      <c r="C716" s="9" t="e">
        <f>VLOOKUP(A716,[2]Planilha1!$A:$B,2,0)</f>
        <v>#N/A</v>
      </c>
      <c r="D716" s="10">
        <f>SUMIF([1]Relatório!$A$2:$A$2653,A716,[1]Relatório!$AK$2:$AK$2653)</f>
        <v>161</v>
      </c>
      <c r="E716" s="11">
        <f t="shared" si="22"/>
        <v>0.000275233906081986</v>
      </c>
      <c r="F716" s="11">
        <f>SUM($E$7:E716)</f>
        <v>0.901856033862318</v>
      </c>
      <c r="G716" s="12" t="str">
        <f t="shared" si="23"/>
        <v>C</v>
      </c>
      <c r="H716" s="9" t="s">
        <v>18</v>
      </c>
      <c r="I716" s="9" t="s">
        <v>1568</v>
      </c>
      <c r="J716" s="9" t="s">
        <v>23</v>
      </c>
      <c r="K716" s="10" t="str">
        <f>IFERROR(VLOOKUP(A716,'Pedido ESTHER'!$B:$C,2,0),"")</f>
        <v/>
      </c>
      <c r="L716" s="12" t="str">
        <f>IF(N(K716)&gt;0,"COMPRA","NÃO COMPRA")</f>
        <v>NÃO COMPRA</v>
      </c>
    </row>
    <row r="717" spans="1:12">
      <c r="A717" s="8" t="s">
        <v>1569</v>
      </c>
      <c r="B717" s="9" t="s">
        <v>358</v>
      </c>
      <c r="C717" s="9" t="e">
        <f>VLOOKUP(A717,[2]Planilha1!$A:$B,2,0)</f>
        <v>#N/A</v>
      </c>
      <c r="D717" s="10">
        <f>SUMIF([1]Relatório!$A$2:$A$2653,A717,[1]Relatório!$AK$2:$AK$2653)</f>
        <v>160</v>
      </c>
      <c r="E717" s="11">
        <f t="shared" si="22"/>
        <v>0.000273524378715017</v>
      </c>
      <c r="F717" s="11">
        <f>SUM($E$7:E717)</f>
        <v>0.902129558241033</v>
      </c>
      <c r="G717" s="12" t="str">
        <f t="shared" si="23"/>
        <v>C</v>
      </c>
      <c r="H717" s="9" t="s">
        <v>21</v>
      </c>
      <c r="I717" s="9" t="s">
        <v>1570</v>
      </c>
      <c r="J717" s="9" t="s">
        <v>359</v>
      </c>
      <c r="K717" s="10" t="str">
        <f>IFERROR(VLOOKUP(A717,'Pedido ESTHER'!$B:$C,2,0),"")</f>
        <v/>
      </c>
      <c r="L717" s="12" t="str">
        <f>IF(N(K717)&gt;0,"COMPRA","NÃO COMPRA")</f>
        <v>NÃO COMPRA</v>
      </c>
    </row>
    <row r="718" spans="1:12">
      <c r="A718" s="8" t="s">
        <v>1571</v>
      </c>
      <c r="B718" s="9" t="s">
        <v>681</v>
      </c>
      <c r="C718" s="9" t="e">
        <f>VLOOKUP(A718,[2]Planilha1!$A:$B,2,0)</f>
        <v>#N/A</v>
      </c>
      <c r="D718" s="10">
        <f>SUMIF([1]Relatório!$A$2:$A$2653,A718,[1]Relatório!$AK$2:$AK$2653)</f>
        <v>160</v>
      </c>
      <c r="E718" s="11">
        <f t="shared" si="22"/>
        <v>0.000273524378715017</v>
      </c>
      <c r="F718" s="11">
        <f>SUM($E$7:E718)</f>
        <v>0.902403082619748</v>
      </c>
      <c r="G718" s="12" t="str">
        <f t="shared" si="23"/>
        <v>C</v>
      </c>
      <c r="H718" s="9" t="s">
        <v>183</v>
      </c>
      <c r="I718" s="9"/>
      <c r="J718" s="9" t="s">
        <v>1052</v>
      </c>
      <c r="K718" s="10" t="str">
        <f>IFERROR(VLOOKUP(A718,'Pedido ESTHER'!$B:$C,2,0),"")</f>
        <v/>
      </c>
      <c r="L718" s="12" t="str">
        <f>IF(N(K718)&gt;0,"COMPRA","NÃO COMPRA")</f>
        <v>NÃO COMPRA</v>
      </c>
    </row>
    <row r="719" spans="1:12">
      <c r="A719" s="8" t="s">
        <v>1572</v>
      </c>
      <c r="B719" s="9" t="s">
        <v>1573</v>
      </c>
      <c r="C719" s="9" t="e">
        <f>VLOOKUP(A719,[2]Planilha1!$A:$B,2,0)</f>
        <v>#N/A</v>
      </c>
      <c r="D719" s="10">
        <f>SUMIF([1]Relatório!$A$2:$A$2653,A719,[1]Relatório!$AK$2:$AK$2653)</f>
        <v>159</v>
      </c>
      <c r="E719" s="11">
        <f t="shared" si="22"/>
        <v>0.000271814851348048</v>
      </c>
      <c r="F719" s="11">
        <f>SUM($E$7:E719)</f>
        <v>0.902674897471096</v>
      </c>
      <c r="G719" s="12" t="str">
        <f t="shared" si="23"/>
        <v>C</v>
      </c>
      <c r="H719" s="9" t="s">
        <v>312</v>
      </c>
      <c r="I719" s="9"/>
      <c r="J719" s="9" t="s">
        <v>158</v>
      </c>
      <c r="K719" s="10" t="str">
        <f>IFERROR(VLOOKUP(A719,'Pedido ESTHER'!$B:$C,2,0),"")</f>
        <v/>
      </c>
      <c r="L719" s="12" t="str">
        <f>IF(N(K719)&gt;0,"COMPRA","NÃO COMPRA")</f>
        <v>NÃO COMPRA</v>
      </c>
    </row>
    <row r="720" spans="1:12">
      <c r="A720" s="8" t="s">
        <v>1574</v>
      </c>
      <c r="B720" s="9" t="s">
        <v>1320</v>
      </c>
      <c r="C720" s="9" t="e">
        <f>VLOOKUP(A720,[2]Planilha1!$A:$B,2,0)</f>
        <v>#N/A</v>
      </c>
      <c r="D720" s="10">
        <f>SUMIF([1]Relatório!$A$2:$A$2653,A720,[1]Relatório!$AK$2:$AK$2653)</f>
        <v>158</v>
      </c>
      <c r="E720" s="11">
        <f t="shared" si="22"/>
        <v>0.000270105323981079</v>
      </c>
      <c r="F720" s="11">
        <f>SUM($E$7:E720)</f>
        <v>0.902945002795077</v>
      </c>
      <c r="G720" s="12" t="str">
        <f t="shared" si="23"/>
        <v>C</v>
      </c>
      <c r="H720" s="9" t="s">
        <v>82</v>
      </c>
      <c r="I720" s="9"/>
      <c r="J720" s="9" t="s">
        <v>201</v>
      </c>
      <c r="K720" s="10" t="str">
        <f>IFERROR(VLOOKUP(A720,'Pedido ESTHER'!$B:$C,2,0),"")</f>
        <v/>
      </c>
      <c r="L720" s="12" t="str">
        <f>IF(N(K720)&gt;0,"COMPRA","NÃO COMPRA")</f>
        <v>NÃO COMPRA</v>
      </c>
    </row>
    <row r="721" spans="1:12">
      <c r="A721" s="8" t="s">
        <v>1575</v>
      </c>
      <c r="B721" s="9" t="s">
        <v>1576</v>
      </c>
      <c r="C721" s="9" t="e">
        <f>VLOOKUP(A721,[2]Planilha1!$A:$B,2,0)</f>
        <v>#N/A</v>
      </c>
      <c r="D721" s="10">
        <f>SUMIF([1]Relatório!$A$2:$A$2653,A721,[1]Relatório!$AK$2:$AK$2653)</f>
        <v>156</v>
      </c>
      <c r="E721" s="11">
        <f t="shared" si="22"/>
        <v>0.000266686269247141</v>
      </c>
      <c r="F721" s="11">
        <f>SUM($E$7:E721)</f>
        <v>0.903211689064324</v>
      </c>
      <c r="G721" s="12" t="str">
        <f t="shared" si="23"/>
        <v>C</v>
      </c>
      <c r="H721" s="9" t="s">
        <v>82</v>
      </c>
      <c r="I721" s="9"/>
      <c r="J721" s="9" t="s">
        <v>64</v>
      </c>
      <c r="K721" s="10" t="str">
        <f>IFERROR(VLOOKUP(A721,'Pedido ESTHER'!$B:$C,2,0),"")</f>
        <v/>
      </c>
      <c r="L721" s="12" t="str">
        <f>IF(N(K721)&gt;0,"COMPRA","NÃO COMPRA")</f>
        <v>NÃO COMPRA</v>
      </c>
    </row>
    <row r="722" spans="1:12">
      <c r="A722" s="8" t="s">
        <v>1577</v>
      </c>
      <c r="B722" s="9" t="s">
        <v>215</v>
      </c>
      <c r="C722" s="9" t="e">
        <f>VLOOKUP(A722,[2]Planilha1!$A:$B,2,0)</f>
        <v>#N/A</v>
      </c>
      <c r="D722" s="10">
        <f>SUMIF([1]Relatório!$A$2:$A$2653,A722,[1]Relatório!$AK$2:$AK$2653)</f>
        <v>156</v>
      </c>
      <c r="E722" s="11">
        <f t="shared" si="22"/>
        <v>0.000266686269247141</v>
      </c>
      <c r="F722" s="11">
        <f>SUM($E$7:E722)</f>
        <v>0.903478375333571</v>
      </c>
      <c r="G722" s="12" t="str">
        <f t="shared" si="23"/>
        <v>C</v>
      </c>
      <c r="H722" s="9" t="s">
        <v>143</v>
      </c>
      <c r="I722" s="9" t="s">
        <v>1578</v>
      </c>
      <c r="J722" s="9" t="s">
        <v>29</v>
      </c>
      <c r="K722" s="10" t="str">
        <f>IFERROR(VLOOKUP(A722,'Pedido ESTHER'!$B:$C,2,0),"")</f>
        <v/>
      </c>
      <c r="L722" s="12" t="str">
        <f>IF(N(K722)&gt;0,"COMPRA","NÃO COMPRA")</f>
        <v>NÃO COMPRA</v>
      </c>
    </row>
    <row r="723" spans="1:12">
      <c r="A723" s="8" t="s">
        <v>1579</v>
      </c>
      <c r="B723" s="9" t="s">
        <v>749</v>
      </c>
      <c r="C723" s="9" t="e">
        <f>VLOOKUP(A723,[2]Planilha1!$A:$B,2,0)</f>
        <v>#N/A</v>
      </c>
      <c r="D723" s="10">
        <f>SUMIF([1]Relatório!$A$2:$A$2653,A723,[1]Relatório!$AK$2:$AK$2653)</f>
        <v>156</v>
      </c>
      <c r="E723" s="11">
        <f t="shared" si="22"/>
        <v>0.000266686269247141</v>
      </c>
      <c r="F723" s="11">
        <f>SUM($E$7:E723)</f>
        <v>0.903745061602819</v>
      </c>
      <c r="G723" s="12" t="str">
        <f t="shared" si="23"/>
        <v>C</v>
      </c>
      <c r="H723" s="9" t="s">
        <v>183</v>
      </c>
      <c r="I723" s="9" t="s">
        <v>1580</v>
      </c>
      <c r="J723" s="9" t="s">
        <v>359</v>
      </c>
      <c r="K723" s="10" t="str">
        <f>IFERROR(VLOOKUP(A723,'Pedido ESTHER'!$B:$C,2,0),"")</f>
        <v/>
      </c>
      <c r="L723" s="12" t="str">
        <f>IF(N(K723)&gt;0,"COMPRA","NÃO COMPRA")</f>
        <v>NÃO COMPRA</v>
      </c>
    </row>
    <row r="724" spans="1:12">
      <c r="A724" s="8" t="s">
        <v>1581</v>
      </c>
      <c r="B724" s="9" t="s">
        <v>220</v>
      </c>
      <c r="C724" s="9" t="e">
        <f>VLOOKUP(A724,[2]Planilha1!$A:$B,2,0)</f>
        <v>#N/A</v>
      </c>
      <c r="D724" s="10">
        <f>SUMIF([1]Relatório!$A$2:$A$2653,A724,[1]Relatório!$AK$2:$AK$2653)</f>
        <v>156</v>
      </c>
      <c r="E724" s="11">
        <f t="shared" si="22"/>
        <v>0.000266686269247141</v>
      </c>
      <c r="F724" s="11">
        <f>SUM($E$7:E724)</f>
        <v>0.904011747872066</v>
      </c>
      <c r="G724" s="12" t="str">
        <f t="shared" si="23"/>
        <v>C</v>
      </c>
      <c r="H724" s="9" t="s">
        <v>221</v>
      </c>
      <c r="I724" s="9" t="s">
        <v>1582</v>
      </c>
      <c r="J724" s="9" t="s">
        <v>201</v>
      </c>
      <c r="K724" s="10" t="str">
        <f>IFERROR(VLOOKUP(A724,'Pedido ESTHER'!$B:$C,2,0),"")</f>
        <v/>
      </c>
      <c r="L724" s="12" t="str">
        <f>IF(N(K724)&gt;0,"COMPRA","NÃO COMPRA")</f>
        <v>NÃO COMPRA</v>
      </c>
    </row>
    <row r="725" spans="1:12">
      <c r="A725" s="8" t="s">
        <v>1583</v>
      </c>
      <c r="B725" s="9" t="s">
        <v>177</v>
      </c>
      <c r="C725" s="9" t="e">
        <f>VLOOKUP(A725,[2]Planilha1!$A:$B,2,0)</f>
        <v>#N/A</v>
      </c>
      <c r="D725" s="10">
        <f>SUMIF([1]Relatório!$A$2:$A$2653,A725,[1]Relatório!$AK$2:$AK$2653)</f>
        <v>155</v>
      </c>
      <c r="E725" s="11">
        <f t="shared" si="22"/>
        <v>0.000264976741880172</v>
      </c>
      <c r="F725" s="11">
        <f>SUM($E$7:E725)</f>
        <v>0.904276724613946</v>
      </c>
      <c r="G725" s="12" t="str">
        <f t="shared" si="23"/>
        <v>C</v>
      </c>
      <c r="H725" s="9" t="s">
        <v>21</v>
      </c>
      <c r="I725" s="9" t="s">
        <v>1584</v>
      </c>
      <c r="J725" s="9" t="s">
        <v>36</v>
      </c>
      <c r="K725" s="10" t="str">
        <f>IFERROR(VLOOKUP(A725,'Pedido ESTHER'!$B:$C,2,0),"")</f>
        <v/>
      </c>
      <c r="L725" s="12" t="str">
        <f>IF(N(K725)&gt;0,"COMPRA","NÃO COMPRA")</f>
        <v>NÃO COMPRA</v>
      </c>
    </row>
    <row r="726" spans="1:12">
      <c r="A726" s="8" t="s">
        <v>1585</v>
      </c>
      <c r="B726" s="9" t="s">
        <v>1586</v>
      </c>
      <c r="C726" s="9" t="e">
        <f>VLOOKUP(A726,[2]Planilha1!$A:$B,2,0)</f>
        <v>#N/A</v>
      </c>
      <c r="D726" s="10">
        <f>SUMIF([1]Relatório!$A$2:$A$2653,A726,[1]Relatório!$AK$2:$AK$2653)</f>
        <v>153</v>
      </c>
      <c r="E726" s="11">
        <f t="shared" si="22"/>
        <v>0.000261557687146235</v>
      </c>
      <c r="F726" s="11">
        <f>SUM($E$7:E726)</f>
        <v>0.904538282301092</v>
      </c>
      <c r="G726" s="12" t="str">
        <f t="shared" si="23"/>
        <v>C</v>
      </c>
      <c r="H726" s="9" t="s">
        <v>112</v>
      </c>
      <c r="I726" s="9" t="s">
        <v>1587</v>
      </c>
      <c r="J726" s="9" t="s">
        <v>1143</v>
      </c>
      <c r="K726" s="10" t="str">
        <f>IFERROR(VLOOKUP(A726,'Pedido ESTHER'!$B:$C,2,0),"")</f>
        <v/>
      </c>
      <c r="L726" s="12" t="str">
        <f>IF(N(K726)&gt;0,"COMPRA","NÃO COMPRA")</f>
        <v>NÃO COMPRA</v>
      </c>
    </row>
    <row r="727" spans="1:12">
      <c r="A727" s="8" t="s">
        <v>1588</v>
      </c>
      <c r="B727" s="9" t="s">
        <v>1527</v>
      </c>
      <c r="C727" s="9" t="e">
        <f>VLOOKUP(A727,[2]Planilha1!$A:$B,2,0)</f>
        <v>#N/A</v>
      </c>
      <c r="D727" s="10">
        <f>SUMIF([1]Relatório!$A$2:$A$2653,A727,[1]Relatório!$AK$2:$AK$2653)</f>
        <v>153</v>
      </c>
      <c r="E727" s="11">
        <f t="shared" si="22"/>
        <v>0.000261557687146235</v>
      </c>
      <c r="F727" s="11">
        <f>SUM($E$7:E727)</f>
        <v>0.904799839988238</v>
      </c>
      <c r="G727" s="12" t="str">
        <f t="shared" si="23"/>
        <v>C</v>
      </c>
      <c r="H727" s="9" t="s">
        <v>1059</v>
      </c>
      <c r="I727" s="9" t="s">
        <v>1589</v>
      </c>
      <c r="J727" s="9" t="s">
        <v>1590</v>
      </c>
      <c r="K727" s="10" t="str">
        <f>IFERROR(VLOOKUP(A727,'Pedido ESTHER'!$B:$C,2,0),"")</f>
        <v/>
      </c>
      <c r="L727" s="12" t="str">
        <f>IF(N(K727)&gt;0,"COMPRA","NÃO COMPRA")</f>
        <v>NÃO COMPRA</v>
      </c>
    </row>
    <row r="728" spans="1:12">
      <c r="A728" s="8" t="s">
        <v>1591</v>
      </c>
      <c r="B728" s="9" t="s">
        <v>1573</v>
      </c>
      <c r="C728" s="9" t="e">
        <f>VLOOKUP(A728,[2]Planilha1!$A:$B,2,0)</f>
        <v>#N/A</v>
      </c>
      <c r="D728" s="10">
        <f>SUMIF([1]Relatório!$A$2:$A$2653,A728,[1]Relatório!$AK$2:$AK$2653)</f>
        <v>151</v>
      </c>
      <c r="E728" s="11">
        <f t="shared" si="22"/>
        <v>0.000258138632412297</v>
      </c>
      <c r="F728" s="11">
        <f>SUM($E$7:E728)</f>
        <v>0.905057978620651</v>
      </c>
      <c r="G728" s="12" t="str">
        <f t="shared" si="23"/>
        <v>C</v>
      </c>
      <c r="H728" s="9" t="s">
        <v>82</v>
      </c>
      <c r="I728" s="9"/>
      <c r="J728" s="9" t="s">
        <v>15</v>
      </c>
      <c r="K728" s="10" t="str">
        <f>IFERROR(VLOOKUP(A728,'Pedido ESTHER'!$B:$C,2,0),"")</f>
        <v/>
      </c>
      <c r="L728" s="12" t="str">
        <f>IF(N(K728)&gt;0,"COMPRA","NÃO COMPRA")</f>
        <v>NÃO COMPRA</v>
      </c>
    </row>
    <row r="729" spans="1:12">
      <c r="A729" s="8" t="s">
        <v>1592</v>
      </c>
      <c r="B729" s="9" t="s">
        <v>1322</v>
      </c>
      <c r="C729" s="9" t="e">
        <f>VLOOKUP(A729,[2]Planilha1!$A:$B,2,0)</f>
        <v>#N/A</v>
      </c>
      <c r="D729" s="10">
        <f>SUMIF([1]Relatório!$A$2:$A$2653,A729,[1]Relatório!$AK$2:$AK$2653)</f>
        <v>151</v>
      </c>
      <c r="E729" s="11">
        <f t="shared" si="22"/>
        <v>0.000258138632412297</v>
      </c>
      <c r="F729" s="11">
        <f>SUM($E$7:E729)</f>
        <v>0.905316117253063</v>
      </c>
      <c r="G729" s="12" t="str">
        <f t="shared" si="23"/>
        <v>C</v>
      </c>
      <c r="H729" s="9" t="s">
        <v>21</v>
      </c>
      <c r="I729" s="9" t="s">
        <v>1593</v>
      </c>
      <c r="J729" s="9" t="s">
        <v>1169</v>
      </c>
      <c r="K729" s="10" t="str">
        <f>IFERROR(VLOOKUP(A729,'Pedido ESTHER'!$B:$C,2,0),"")</f>
        <v/>
      </c>
      <c r="L729" s="12" t="str">
        <f>IF(N(K729)&gt;0,"COMPRA","NÃO COMPRA")</f>
        <v>NÃO COMPRA</v>
      </c>
    </row>
    <row r="730" spans="1:12">
      <c r="A730" s="8" t="s">
        <v>1594</v>
      </c>
      <c r="B730" s="9" t="s">
        <v>342</v>
      </c>
      <c r="C730" s="9" t="e">
        <f>VLOOKUP(A730,[2]Planilha1!$A:$B,2,0)</f>
        <v>#N/A</v>
      </c>
      <c r="D730" s="10">
        <f>SUMIF([1]Relatório!$A$2:$A$2653,A730,[1]Relatório!$AK$2:$AK$2653)</f>
        <v>148</v>
      </c>
      <c r="E730" s="11">
        <f t="shared" si="22"/>
        <v>0.00025301005031139</v>
      </c>
      <c r="F730" s="11">
        <f>SUM($E$7:E730)</f>
        <v>0.905569127303374</v>
      </c>
      <c r="G730" s="12" t="str">
        <f t="shared" si="23"/>
        <v>C</v>
      </c>
      <c r="H730" s="9" t="s">
        <v>831</v>
      </c>
      <c r="I730" s="9" t="s">
        <v>1595</v>
      </c>
      <c r="J730" s="9" t="s">
        <v>158</v>
      </c>
      <c r="K730" s="10" t="str">
        <f>IFERROR(VLOOKUP(A730,'Pedido ESTHER'!$B:$C,2,0),"")</f>
        <v/>
      </c>
      <c r="L730" s="12" t="str">
        <f>IF(N(K730)&gt;0,"COMPRA","NÃO COMPRA")</f>
        <v>NÃO COMPRA</v>
      </c>
    </row>
    <row r="731" spans="1:12">
      <c r="A731" s="8" t="s">
        <v>1596</v>
      </c>
      <c r="B731" s="9" t="s">
        <v>474</v>
      </c>
      <c r="C731" s="9" t="e">
        <f>VLOOKUP(A731,[2]Planilha1!$A:$B,2,0)</f>
        <v>#N/A</v>
      </c>
      <c r="D731" s="10">
        <f>SUMIF([1]Relatório!$A$2:$A$2653,A731,[1]Relatório!$AK$2:$AK$2653)</f>
        <v>148</v>
      </c>
      <c r="E731" s="11">
        <f t="shared" si="22"/>
        <v>0.00025301005031139</v>
      </c>
      <c r="F731" s="11">
        <f>SUM($E$7:E731)</f>
        <v>0.905822137353686</v>
      </c>
      <c r="G731" s="12" t="str">
        <f t="shared" si="23"/>
        <v>C</v>
      </c>
      <c r="H731" s="9" t="s">
        <v>183</v>
      </c>
      <c r="I731" s="9" t="s">
        <v>1597</v>
      </c>
      <c r="J731" s="9" t="s">
        <v>49</v>
      </c>
      <c r="K731" s="10" t="str">
        <f>IFERROR(VLOOKUP(A731,'Pedido ESTHER'!$B:$C,2,0),"")</f>
        <v/>
      </c>
      <c r="L731" s="12" t="str">
        <f>IF(N(K731)&gt;0,"COMPRA","NÃO COMPRA")</f>
        <v>NÃO COMPRA</v>
      </c>
    </row>
    <row r="732" spans="1:12">
      <c r="A732" s="8" t="s">
        <v>1598</v>
      </c>
      <c r="B732" s="9" t="s">
        <v>1167</v>
      </c>
      <c r="C732" s="9" t="e">
        <f>VLOOKUP(A732,[2]Planilha1!$A:$B,2,0)</f>
        <v>#N/A</v>
      </c>
      <c r="D732" s="10">
        <f>SUMIF([1]Relatório!$A$2:$A$2653,A732,[1]Relatório!$AK$2:$AK$2653)</f>
        <v>147</v>
      </c>
      <c r="E732" s="11">
        <f t="shared" si="22"/>
        <v>0.000251300522944422</v>
      </c>
      <c r="F732" s="11">
        <f>SUM($E$7:E732)</f>
        <v>0.90607343787663</v>
      </c>
      <c r="G732" s="12" t="str">
        <f t="shared" si="23"/>
        <v>C</v>
      </c>
      <c r="H732" s="9" t="s">
        <v>14</v>
      </c>
      <c r="I732" s="9"/>
      <c r="J732" s="9" t="s">
        <v>1443</v>
      </c>
      <c r="K732" s="10" t="str">
        <f>IFERROR(VLOOKUP(A732,'Pedido ESTHER'!$B:$C,2,0),"")</f>
        <v/>
      </c>
      <c r="L732" s="12" t="str">
        <f>IF(N(K732)&gt;0,"COMPRA","NÃO COMPRA")</f>
        <v>NÃO COMPRA</v>
      </c>
    </row>
    <row r="733" spans="1:12">
      <c r="A733" s="8" t="s">
        <v>1599</v>
      </c>
      <c r="B733" s="9" t="s">
        <v>1600</v>
      </c>
      <c r="C733" s="9" t="e">
        <f>VLOOKUP(A733,[2]Planilha1!$A:$B,2,0)</f>
        <v>#N/A</v>
      </c>
      <c r="D733" s="10">
        <f>SUMIF([1]Relatório!$A$2:$A$2653,A733,[1]Relatório!$AK$2:$AK$2653)</f>
        <v>147</v>
      </c>
      <c r="E733" s="11">
        <f t="shared" si="22"/>
        <v>0.000251300522944422</v>
      </c>
      <c r="F733" s="11">
        <f>SUM($E$7:E733)</f>
        <v>0.906324738399575</v>
      </c>
      <c r="G733" s="12" t="str">
        <f t="shared" si="23"/>
        <v>C</v>
      </c>
      <c r="H733" s="9" t="s">
        <v>74</v>
      </c>
      <c r="I733" s="9" t="s">
        <v>794</v>
      </c>
      <c r="J733" s="9" t="s">
        <v>201</v>
      </c>
      <c r="K733" s="10" t="str">
        <f>IFERROR(VLOOKUP(A733,'Pedido ESTHER'!$B:$C,2,0),"")</f>
        <v/>
      </c>
      <c r="L733" s="12" t="str">
        <f>IF(N(K733)&gt;0,"COMPRA","NÃO COMPRA")</f>
        <v>NÃO COMPRA</v>
      </c>
    </row>
    <row r="734" spans="1:12">
      <c r="A734" s="8" t="s">
        <v>1601</v>
      </c>
      <c r="B734" s="9" t="s">
        <v>42</v>
      </c>
      <c r="C734" s="9" t="e">
        <f>VLOOKUP(A734,[2]Planilha1!$A:$B,2,0)</f>
        <v>#N/A</v>
      </c>
      <c r="D734" s="10">
        <f>SUMIF([1]Relatório!$A$2:$A$2653,A734,[1]Relatório!$AK$2:$AK$2653)</f>
        <v>146</v>
      </c>
      <c r="E734" s="11">
        <f t="shared" si="22"/>
        <v>0.000249590995577453</v>
      </c>
      <c r="F734" s="11">
        <f>SUM($E$7:E734)</f>
        <v>0.906574329395152</v>
      </c>
      <c r="G734" s="12" t="str">
        <f t="shared" si="23"/>
        <v>C</v>
      </c>
      <c r="H734" s="9" t="s">
        <v>21</v>
      </c>
      <c r="I734" s="9" t="s">
        <v>1602</v>
      </c>
      <c r="J734" s="9" t="s">
        <v>44</v>
      </c>
      <c r="K734" s="10" t="str">
        <f>IFERROR(VLOOKUP(A734,'Pedido ESTHER'!$B:$C,2,0),"")</f>
        <v/>
      </c>
      <c r="L734" s="12" t="str">
        <f>IF(N(K734)&gt;0,"COMPRA","NÃO COMPRA")</f>
        <v>NÃO COMPRA</v>
      </c>
    </row>
    <row r="735" spans="1:12">
      <c r="A735" s="8" t="s">
        <v>1603</v>
      </c>
      <c r="B735" s="9" t="s">
        <v>1604</v>
      </c>
      <c r="C735" s="9" t="e">
        <f>VLOOKUP(A735,[2]Planilha1!$A:$B,2,0)</f>
        <v>#N/A</v>
      </c>
      <c r="D735" s="10">
        <f>SUMIF([1]Relatório!$A$2:$A$2653,A735,[1]Relatório!$AK$2:$AK$2653)</f>
        <v>146</v>
      </c>
      <c r="E735" s="11">
        <f t="shared" si="22"/>
        <v>0.000249590995577453</v>
      </c>
      <c r="F735" s="11">
        <f>SUM($E$7:E735)</f>
        <v>0.90682392039073</v>
      </c>
      <c r="G735" s="12" t="str">
        <f t="shared" si="23"/>
        <v>C</v>
      </c>
      <c r="H735" s="9" t="s">
        <v>1059</v>
      </c>
      <c r="I735" s="9" t="s">
        <v>1605</v>
      </c>
      <c r="J735" s="9" t="s">
        <v>44</v>
      </c>
      <c r="K735" s="10" t="str">
        <f>IFERROR(VLOOKUP(A735,'Pedido ESTHER'!$B:$C,2,0),"")</f>
        <v/>
      </c>
      <c r="L735" s="12" t="str">
        <f>IF(N(K735)&gt;0,"COMPRA","NÃO COMPRA")</f>
        <v>NÃO COMPRA</v>
      </c>
    </row>
    <row r="736" spans="1:12">
      <c r="A736" s="8" t="s">
        <v>1606</v>
      </c>
      <c r="B736" s="9" t="s">
        <v>91</v>
      </c>
      <c r="C736" s="9" t="e">
        <f>VLOOKUP(A736,[2]Planilha1!$A:$B,2,0)</f>
        <v>#N/A</v>
      </c>
      <c r="D736" s="10">
        <f>SUMIF([1]Relatório!$A$2:$A$2653,A736,[1]Relatório!$AK$2:$AK$2653)</f>
        <v>146</v>
      </c>
      <c r="E736" s="11">
        <f t="shared" si="22"/>
        <v>0.000249590995577453</v>
      </c>
      <c r="F736" s="11">
        <f>SUM($E$7:E736)</f>
        <v>0.907073511386307</v>
      </c>
      <c r="G736" s="12" t="str">
        <f t="shared" si="23"/>
        <v>C</v>
      </c>
      <c r="H736" s="9" t="s">
        <v>74</v>
      </c>
      <c r="I736" s="9" t="s">
        <v>1607</v>
      </c>
      <c r="J736" s="9" t="s">
        <v>33</v>
      </c>
      <c r="K736" s="10" t="str">
        <f>IFERROR(VLOOKUP(A736,'Pedido ESTHER'!$B:$C,2,0),"")</f>
        <v/>
      </c>
      <c r="L736" s="12" t="str">
        <f>IF(N(K736)&gt;0,"COMPRA","NÃO COMPRA")</f>
        <v>NÃO COMPRA</v>
      </c>
    </row>
    <row r="737" spans="1:12">
      <c r="A737" s="8" t="s">
        <v>1608</v>
      </c>
      <c r="B737" s="9" t="s">
        <v>1609</v>
      </c>
      <c r="C737" s="9" t="e">
        <f>VLOOKUP(A737,[2]Planilha1!$A:$B,2,0)</f>
        <v>#N/A</v>
      </c>
      <c r="D737" s="10">
        <f>SUMIF([1]Relatório!$A$2:$A$2653,A737,[1]Relatório!$AK$2:$AK$2653)</f>
        <v>145</v>
      </c>
      <c r="E737" s="11">
        <f t="shared" si="22"/>
        <v>0.000247881468210484</v>
      </c>
      <c r="F737" s="11">
        <f>SUM($E$7:E737)</f>
        <v>0.907321392854518</v>
      </c>
      <c r="G737" s="12" t="str">
        <f t="shared" si="23"/>
        <v>C</v>
      </c>
      <c r="H737" s="9" t="s">
        <v>183</v>
      </c>
      <c r="I737" s="9" t="s">
        <v>1610</v>
      </c>
      <c r="J737" s="9" t="s">
        <v>1143</v>
      </c>
      <c r="K737" s="10" t="str">
        <f>IFERROR(VLOOKUP(A737,'Pedido ESTHER'!$B:$C,2,0),"")</f>
        <v/>
      </c>
      <c r="L737" s="12" t="str">
        <f>IF(N(K737)&gt;0,"COMPRA","NÃO COMPRA")</f>
        <v>NÃO COMPRA</v>
      </c>
    </row>
    <row r="738" spans="1:12">
      <c r="A738" s="8" t="s">
        <v>1611</v>
      </c>
      <c r="B738" s="9" t="s">
        <v>1612</v>
      </c>
      <c r="C738" s="9" t="e">
        <f>VLOOKUP(A738,[2]Planilha1!$A:$B,2,0)</f>
        <v>#N/A</v>
      </c>
      <c r="D738" s="10">
        <f>SUMIF([1]Relatório!$A$2:$A$2653,A738,[1]Relatório!$AK$2:$AK$2653)</f>
        <v>144</v>
      </c>
      <c r="E738" s="11">
        <f t="shared" si="22"/>
        <v>0.000246171940843515</v>
      </c>
      <c r="F738" s="11">
        <f>SUM($E$7:E738)</f>
        <v>0.907567564795361</v>
      </c>
      <c r="G738" s="12" t="str">
        <f t="shared" si="23"/>
        <v>C</v>
      </c>
      <c r="H738" s="9" t="s">
        <v>1344</v>
      </c>
      <c r="I738" s="9" t="s">
        <v>1613</v>
      </c>
      <c r="J738" s="9" t="s">
        <v>33</v>
      </c>
      <c r="K738" s="10" t="str">
        <f>IFERROR(VLOOKUP(A738,'Pedido ESTHER'!$B:$C,2,0),"")</f>
        <v/>
      </c>
      <c r="L738" s="12" t="str">
        <f>IF(N(K738)&gt;0,"COMPRA","NÃO COMPRA")</f>
        <v>NÃO COMPRA</v>
      </c>
    </row>
    <row r="739" spans="1:12">
      <c r="A739" s="8" t="s">
        <v>1614</v>
      </c>
      <c r="B739" s="9" t="s">
        <v>280</v>
      </c>
      <c r="C739" s="9" t="e">
        <f>VLOOKUP(A739,[2]Planilha1!$A:$B,2,0)</f>
        <v>#N/A</v>
      </c>
      <c r="D739" s="10">
        <f>SUMIF([1]Relatório!$A$2:$A$2653,A739,[1]Relatório!$AK$2:$AK$2653)</f>
        <v>144</v>
      </c>
      <c r="E739" s="11">
        <f t="shared" si="22"/>
        <v>0.000246171940843515</v>
      </c>
      <c r="F739" s="11">
        <f>SUM($E$7:E739)</f>
        <v>0.907813736736205</v>
      </c>
      <c r="G739" s="12" t="str">
        <f t="shared" si="23"/>
        <v>C</v>
      </c>
      <c r="H739" s="9" t="s">
        <v>21</v>
      </c>
      <c r="I739" s="9"/>
      <c r="J739" s="9" t="s">
        <v>281</v>
      </c>
      <c r="K739" s="10" t="str">
        <f>IFERROR(VLOOKUP(A739,'Pedido ESTHER'!$B:$C,2,0),"")</f>
        <v/>
      </c>
      <c r="L739" s="12" t="str">
        <f>IF(N(K739)&gt;0,"COMPRA","NÃO COMPRA")</f>
        <v>NÃO COMPRA</v>
      </c>
    </row>
    <row r="740" spans="1:12">
      <c r="A740" s="8" t="s">
        <v>1615</v>
      </c>
      <c r="B740" s="9" t="s">
        <v>538</v>
      </c>
      <c r="C740" s="9" t="e">
        <f>VLOOKUP(A740,[2]Planilha1!$A:$B,2,0)</f>
        <v>#N/A</v>
      </c>
      <c r="D740" s="10">
        <f>SUMIF([1]Relatório!$A$2:$A$2653,A740,[1]Relatório!$AK$2:$AK$2653)</f>
        <v>144</v>
      </c>
      <c r="E740" s="11">
        <f t="shared" si="22"/>
        <v>0.000246171940843515</v>
      </c>
      <c r="F740" s="11">
        <f>SUM($E$7:E740)</f>
        <v>0.908059908677048</v>
      </c>
      <c r="G740" s="12" t="str">
        <f t="shared" si="23"/>
        <v>C</v>
      </c>
      <c r="H740" s="9" t="s">
        <v>183</v>
      </c>
      <c r="I740" s="9"/>
      <c r="J740" s="9" t="s">
        <v>158</v>
      </c>
      <c r="K740" s="10" t="str">
        <f>IFERROR(VLOOKUP(A740,'Pedido ESTHER'!$B:$C,2,0),"")</f>
        <v/>
      </c>
      <c r="L740" s="12" t="str">
        <f>IF(N(K740)&gt;0,"COMPRA","NÃO COMPRA")</f>
        <v>NÃO COMPRA</v>
      </c>
    </row>
    <row r="741" spans="1:12">
      <c r="A741" s="8" t="s">
        <v>1616</v>
      </c>
      <c r="B741" s="9" t="s">
        <v>1617</v>
      </c>
      <c r="C741" s="9" t="e">
        <f>VLOOKUP(A741,[2]Planilha1!$A:$B,2,0)</f>
        <v>#N/A</v>
      </c>
      <c r="D741" s="10">
        <f>SUMIF([1]Relatório!$A$2:$A$2653,A741,[1]Relatório!$AK$2:$AK$2653)</f>
        <v>143</v>
      </c>
      <c r="E741" s="11">
        <f t="shared" si="22"/>
        <v>0.000244462413476546</v>
      </c>
      <c r="F741" s="11">
        <f>SUM($E$7:E741)</f>
        <v>0.908304371090525</v>
      </c>
      <c r="G741" s="12" t="str">
        <f t="shared" si="23"/>
        <v>C</v>
      </c>
      <c r="H741" s="9" t="s">
        <v>1344</v>
      </c>
      <c r="I741" s="9" t="s">
        <v>1618</v>
      </c>
      <c r="J741" s="9" t="s">
        <v>58</v>
      </c>
      <c r="K741" s="10" t="str">
        <f>IFERROR(VLOOKUP(A741,'Pedido ESTHER'!$B:$C,2,0),"")</f>
        <v/>
      </c>
      <c r="L741" s="12" t="str">
        <f>IF(N(K741)&gt;0,"COMPRA","NÃO COMPRA")</f>
        <v>NÃO COMPRA</v>
      </c>
    </row>
    <row r="742" spans="1:12">
      <c r="A742" s="8" t="s">
        <v>1619</v>
      </c>
      <c r="B742" s="9" t="s">
        <v>721</v>
      </c>
      <c r="C742" s="9" t="e">
        <f>VLOOKUP(A742,[2]Planilha1!$A:$B,2,0)</f>
        <v>#N/A</v>
      </c>
      <c r="D742" s="10">
        <f>SUMIF([1]Relatório!$A$2:$A$2653,A742,[1]Relatório!$AK$2:$AK$2653)</f>
        <v>143</v>
      </c>
      <c r="E742" s="11">
        <f t="shared" si="22"/>
        <v>0.000244462413476546</v>
      </c>
      <c r="F742" s="11">
        <f>SUM($E$7:E742)</f>
        <v>0.908548833504001</v>
      </c>
      <c r="G742" s="12" t="str">
        <f t="shared" si="23"/>
        <v>C</v>
      </c>
      <c r="H742" s="9" t="s">
        <v>183</v>
      </c>
      <c r="I742" s="9" t="s">
        <v>1620</v>
      </c>
      <c r="J742" s="9" t="s">
        <v>158</v>
      </c>
      <c r="K742" s="10" t="str">
        <f>IFERROR(VLOOKUP(A742,'Pedido ESTHER'!$B:$C,2,0),"")</f>
        <v/>
      </c>
      <c r="L742" s="12" t="str">
        <f>IF(N(K742)&gt;0,"COMPRA","NÃO COMPRA")</f>
        <v>NÃO COMPRA</v>
      </c>
    </row>
    <row r="743" spans="1:12">
      <c r="A743" s="8" t="s">
        <v>1621</v>
      </c>
      <c r="B743" s="9" t="s">
        <v>923</v>
      </c>
      <c r="C743" s="9" t="e">
        <f>VLOOKUP(A743,[2]Planilha1!$A:$B,2,0)</f>
        <v>#N/A</v>
      </c>
      <c r="D743" s="10">
        <f>SUMIF([1]Relatório!$A$2:$A$2653,A743,[1]Relatório!$AK$2:$AK$2653)</f>
        <v>142</v>
      </c>
      <c r="E743" s="11">
        <f t="shared" si="22"/>
        <v>0.000242752886109577</v>
      </c>
      <c r="F743" s="11">
        <f>SUM($E$7:E743)</f>
        <v>0.908791586390111</v>
      </c>
      <c r="G743" s="12" t="str">
        <f t="shared" si="23"/>
        <v>C</v>
      </c>
      <c r="H743" s="9" t="s">
        <v>183</v>
      </c>
      <c r="I743" s="9"/>
      <c r="J743" s="9" t="s">
        <v>671</v>
      </c>
      <c r="K743" s="10" t="str">
        <f>IFERROR(VLOOKUP(A743,'Pedido ESTHER'!$B:$C,2,0),"")</f>
        <v/>
      </c>
      <c r="L743" s="12" t="str">
        <f>IF(N(K743)&gt;0,"COMPRA","NÃO COMPRA")</f>
        <v>NÃO COMPRA</v>
      </c>
    </row>
    <row r="744" spans="1:12">
      <c r="A744" s="8" t="s">
        <v>1622</v>
      </c>
      <c r="B744" s="9" t="s">
        <v>226</v>
      </c>
      <c r="C744" s="9" t="e">
        <f>VLOOKUP(A744,[2]Planilha1!$A:$B,2,0)</f>
        <v>#N/A</v>
      </c>
      <c r="D744" s="10">
        <f>SUMIF([1]Relatório!$A$2:$A$2653,A744,[1]Relatório!$AK$2:$AK$2653)</f>
        <v>142</v>
      </c>
      <c r="E744" s="11">
        <f t="shared" si="22"/>
        <v>0.000242752886109577</v>
      </c>
      <c r="F744" s="11">
        <f>SUM($E$7:E744)</f>
        <v>0.90903433927622</v>
      </c>
      <c r="G744" s="12" t="str">
        <f t="shared" si="23"/>
        <v>C</v>
      </c>
      <c r="H744" s="9" t="s">
        <v>143</v>
      </c>
      <c r="I744" s="9" t="s">
        <v>1623</v>
      </c>
      <c r="J744" s="9" t="s">
        <v>44</v>
      </c>
      <c r="K744" s="10" t="str">
        <f>IFERROR(VLOOKUP(A744,'Pedido ESTHER'!$B:$C,2,0),"")</f>
        <v/>
      </c>
      <c r="L744" s="12" t="str">
        <f>IF(N(K744)&gt;0,"COMPRA","NÃO COMPRA")</f>
        <v>NÃO COMPRA</v>
      </c>
    </row>
    <row r="745" spans="1:12">
      <c r="A745" s="8" t="s">
        <v>1624</v>
      </c>
      <c r="B745" s="9" t="s">
        <v>1055</v>
      </c>
      <c r="C745" s="9" t="e">
        <f>VLOOKUP(A745,[2]Planilha1!$A:$B,2,0)</f>
        <v>#N/A</v>
      </c>
      <c r="D745" s="10">
        <f>SUMIF([1]Relatório!$A$2:$A$2653,A745,[1]Relatório!$AK$2:$AK$2653)</f>
        <v>142</v>
      </c>
      <c r="E745" s="11">
        <f t="shared" si="22"/>
        <v>0.000242752886109577</v>
      </c>
      <c r="F745" s="11">
        <f>SUM($E$7:E745)</f>
        <v>0.90927709216233</v>
      </c>
      <c r="G745" s="12" t="str">
        <f t="shared" si="23"/>
        <v>C</v>
      </c>
      <c r="H745" s="9" t="s">
        <v>221</v>
      </c>
      <c r="I745" s="9" t="s">
        <v>1625</v>
      </c>
      <c r="J745" s="9" t="s">
        <v>213</v>
      </c>
      <c r="K745" s="10" t="str">
        <f>IFERROR(VLOOKUP(A745,'Pedido ESTHER'!$B:$C,2,0),"")</f>
        <v/>
      </c>
      <c r="L745" s="12" t="str">
        <f>IF(N(K745)&gt;0,"COMPRA","NÃO COMPRA")</f>
        <v>NÃO COMPRA</v>
      </c>
    </row>
    <row r="746" spans="1:12">
      <c r="A746" s="8" t="s">
        <v>1626</v>
      </c>
      <c r="B746" s="9" t="s">
        <v>1376</v>
      </c>
      <c r="C746" s="9" t="e">
        <f>VLOOKUP(A746,[2]Planilha1!$A:$B,2,0)</f>
        <v>#N/A</v>
      </c>
      <c r="D746" s="10">
        <f>SUMIF([1]Relatório!$A$2:$A$2653,A746,[1]Relatório!$AK$2:$AK$2653)</f>
        <v>141</v>
      </c>
      <c r="E746" s="11">
        <f t="shared" si="22"/>
        <v>0.000241043358742608</v>
      </c>
      <c r="F746" s="11">
        <f>SUM($E$7:E746)</f>
        <v>0.909518135521072</v>
      </c>
      <c r="G746" s="12" t="str">
        <f t="shared" si="23"/>
        <v>C</v>
      </c>
      <c r="H746" s="9" t="s">
        <v>1344</v>
      </c>
      <c r="I746" s="9" t="s">
        <v>1627</v>
      </c>
      <c r="J746" s="9" t="s">
        <v>29</v>
      </c>
      <c r="K746" s="10" t="str">
        <f>IFERROR(VLOOKUP(A746,'Pedido ESTHER'!$B:$C,2,0),"")</f>
        <v/>
      </c>
      <c r="L746" s="12" t="str">
        <f>IF(N(K746)&gt;0,"COMPRA","NÃO COMPRA")</f>
        <v>NÃO COMPRA</v>
      </c>
    </row>
    <row r="747" spans="1:12">
      <c r="A747" s="8" t="s">
        <v>1628</v>
      </c>
      <c r="B747" s="9" t="s">
        <v>1343</v>
      </c>
      <c r="C747" s="9" t="e">
        <f>VLOOKUP(A747,[2]Planilha1!$A:$B,2,0)</f>
        <v>#N/A</v>
      </c>
      <c r="D747" s="10">
        <f>SUMIF([1]Relatório!$A$2:$A$2653,A747,[1]Relatório!$AK$2:$AK$2653)</f>
        <v>141</v>
      </c>
      <c r="E747" s="11">
        <f t="shared" si="22"/>
        <v>0.000241043358742608</v>
      </c>
      <c r="F747" s="11">
        <f>SUM($E$7:E747)</f>
        <v>0.909759178879815</v>
      </c>
      <c r="G747" s="12" t="str">
        <f t="shared" si="23"/>
        <v>C</v>
      </c>
      <c r="H747" s="9" t="s">
        <v>1344</v>
      </c>
      <c r="I747" s="9" t="s">
        <v>1629</v>
      </c>
      <c r="J747" s="9" t="s">
        <v>29</v>
      </c>
      <c r="K747" s="10" t="str">
        <f>IFERROR(VLOOKUP(A747,'Pedido ESTHER'!$B:$C,2,0),"")</f>
        <v/>
      </c>
      <c r="L747" s="12" t="str">
        <f>IF(N(K747)&gt;0,"COMPRA","NÃO COMPRA")</f>
        <v>NÃO COMPRA</v>
      </c>
    </row>
    <row r="748" spans="1:12">
      <c r="A748" s="8" t="s">
        <v>1630</v>
      </c>
      <c r="B748" s="9" t="s">
        <v>1631</v>
      </c>
      <c r="C748" s="9" t="e">
        <f>VLOOKUP(A748,[2]Planilha1!$A:$B,2,0)</f>
        <v>#N/A</v>
      </c>
      <c r="D748" s="10">
        <f>SUMIF([1]Relatório!$A$2:$A$2653,A748,[1]Relatório!$AK$2:$AK$2653)</f>
        <v>141</v>
      </c>
      <c r="E748" s="11">
        <f t="shared" si="22"/>
        <v>0.000241043358742608</v>
      </c>
      <c r="F748" s="11">
        <f>SUM($E$7:E748)</f>
        <v>0.910000222238558</v>
      </c>
      <c r="G748" s="12" t="str">
        <f t="shared" si="23"/>
        <v>C</v>
      </c>
      <c r="H748" s="9" t="s">
        <v>143</v>
      </c>
      <c r="I748" s="9"/>
      <c r="J748" s="9" t="s">
        <v>281</v>
      </c>
      <c r="K748" s="10" t="str">
        <f>IFERROR(VLOOKUP(A748,'Pedido ESTHER'!$B:$C,2,0),"")</f>
        <v/>
      </c>
      <c r="L748" s="12" t="str">
        <f>IF(N(K748)&gt;0,"COMPRA","NÃO COMPRA")</f>
        <v>NÃO COMPRA</v>
      </c>
    </row>
    <row r="749" spans="1:12">
      <c r="A749" s="8" t="s">
        <v>1632</v>
      </c>
      <c r="B749" s="9" t="s">
        <v>193</v>
      </c>
      <c r="C749" s="9" t="e">
        <f>VLOOKUP(A749,[2]Planilha1!$A:$B,2,0)</f>
        <v>#N/A</v>
      </c>
      <c r="D749" s="10">
        <f>SUMIF([1]Relatório!$A$2:$A$2653,A749,[1]Relatório!$AK$2:$AK$2653)</f>
        <v>141</v>
      </c>
      <c r="E749" s="11">
        <f t="shared" si="22"/>
        <v>0.000241043358742608</v>
      </c>
      <c r="F749" s="11">
        <f>SUM($E$7:E749)</f>
        <v>0.9102412655973</v>
      </c>
      <c r="G749" s="12" t="str">
        <f t="shared" si="23"/>
        <v>C</v>
      </c>
      <c r="H749" s="9" t="s">
        <v>183</v>
      </c>
      <c r="I749" s="9" t="s">
        <v>1633</v>
      </c>
      <c r="J749" s="9" t="s">
        <v>29</v>
      </c>
      <c r="K749" s="10" t="str">
        <f>IFERROR(VLOOKUP(A749,'Pedido ESTHER'!$B:$C,2,0),"")</f>
        <v/>
      </c>
      <c r="L749" s="12" t="str">
        <f>IF(N(K749)&gt;0,"COMPRA","NÃO COMPRA")</f>
        <v>NÃO COMPRA</v>
      </c>
    </row>
    <row r="750" spans="1:12">
      <c r="A750" s="8" t="s">
        <v>1634</v>
      </c>
      <c r="B750" s="9" t="s">
        <v>1635</v>
      </c>
      <c r="C750" s="9" t="e">
        <f>VLOOKUP(A750,[2]Planilha1!$A:$B,2,0)</f>
        <v>#N/A</v>
      </c>
      <c r="D750" s="10">
        <f>SUMIF([1]Relatório!$A$2:$A$2653,A750,[1]Relatório!$AK$2:$AK$2653)</f>
        <v>141</v>
      </c>
      <c r="E750" s="11">
        <f t="shared" si="22"/>
        <v>0.000241043358742608</v>
      </c>
      <c r="F750" s="11">
        <f>SUM($E$7:E750)</f>
        <v>0.910482308956043</v>
      </c>
      <c r="G750" s="12" t="str">
        <f t="shared" si="23"/>
        <v>C</v>
      </c>
      <c r="H750" s="9" t="s">
        <v>221</v>
      </c>
      <c r="I750" s="9" t="s">
        <v>1636</v>
      </c>
      <c r="J750" s="9" t="s">
        <v>1143</v>
      </c>
      <c r="K750" s="10" t="str">
        <f>IFERROR(VLOOKUP(A750,'Pedido ESTHER'!$B:$C,2,0),"")</f>
        <v/>
      </c>
      <c r="L750" s="12" t="str">
        <f>IF(N(K750)&gt;0,"COMPRA","NÃO COMPRA")</f>
        <v>NÃO COMPRA</v>
      </c>
    </row>
    <row r="751" spans="1:12">
      <c r="A751" s="8" t="s">
        <v>1637</v>
      </c>
      <c r="B751" s="9" t="s">
        <v>1638</v>
      </c>
      <c r="C751" s="9" t="e">
        <f>VLOOKUP(A751,[2]Planilha1!$A:$B,2,0)</f>
        <v>#N/A</v>
      </c>
      <c r="D751" s="10">
        <f>SUMIF([1]Relatório!$A$2:$A$2653,A751,[1]Relatório!$AK$2:$AK$2653)</f>
        <v>140</v>
      </c>
      <c r="E751" s="11">
        <f t="shared" si="22"/>
        <v>0.00023933383137564</v>
      </c>
      <c r="F751" s="11">
        <f>SUM($E$7:E751)</f>
        <v>0.910721642787419</v>
      </c>
      <c r="G751" s="12" t="str">
        <f t="shared" si="23"/>
        <v>C</v>
      </c>
      <c r="H751" s="9" t="s">
        <v>1344</v>
      </c>
      <c r="I751" s="9" t="s">
        <v>1639</v>
      </c>
      <c r="J751" s="9" t="s">
        <v>33</v>
      </c>
      <c r="K751" s="10" t="str">
        <f>IFERROR(VLOOKUP(A751,'Pedido ESTHER'!$B:$C,2,0),"")</f>
        <v/>
      </c>
      <c r="L751" s="12" t="str">
        <f>IF(N(K751)&gt;0,"COMPRA","NÃO COMPRA")</f>
        <v>NÃO COMPRA</v>
      </c>
    </row>
    <row r="752" spans="1:12">
      <c r="A752" s="8" t="s">
        <v>1640</v>
      </c>
      <c r="B752" s="9" t="s">
        <v>1641</v>
      </c>
      <c r="C752" s="9" t="e">
        <f>VLOOKUP(A752,[2]Planilha1!$A:$B,2,0)</f>
        <v>#N/A</v>
      </c>
      <c r="D752" s="10">
        <f>SUMIF([1]Relatório!$A$2:$A$2653,A752,[1]Relatório!$AK$2:$AK$2653)</f>
        <v>140</v>
      </c>
      <c r="E752" s="11">
        <f t="shared" si="22"/>
        <v>0.00023933383137564</v>
      </c>
      <c r="F752" s="11">
        <f>SUM($E$7:E752)</f>
        <v>0.910960976618794</v>
      </c>
      <c r="G752" s="12" t="str">
        <f t="shared" si="23"/>
        <v>C</v>
      </c>
      <c r="H752" s="9" t="s">
        <v>21</v>
      </c>
      <c r="I752" s="9"/>
      <c r="J752" s="9" t="s">
        <v>1143</v>
      </c>
      <c r="K752" s="10" t="str">
        <f>IFERROR(VLOOKUP(A752,'Pedido ESTHER'!$B:$C,2,0),"")</f>
        <v/>
      </c>
      <c r="L752" s="12" t="str">
        <f>IF(N(K752)&gt;0,"COMPRA","NÃO COMPRA")</f>
        <v>NÃO COMPRA</v>
      </c>
    </row>
    <row r="753" spans="1:12">
      <c r="A753" s="8" t="s">
        <v>1642</v>
      </c>
      <c r="B753" s="9" t="s">
        <v>522</v>
      </c>
      <c r="C753" s="9" t="e">
        <f>VLOOKUP(A753,[2]Planilha1!$A:$B,2,0)</f>
        <v>#N/A</v>
      </c>
      <c r="D753" s="10">
        <f>SUMIF([1]Relatório!$A$2:$A$2653,A753,[1]Relatório!$AK$2:$AK$2653)</f>
        <v>139</v>
      </c>
      <c r="E753" s="11">
        <f t="shared" si="22"/>
        <v>0.000237624304008671</v>
      </c>
      <c r="F753" s="11">
        <f>SUM($E$7:E753)</f>
        <v>0.911198600922803</v>
      </c>
      <c r="G753" s="12" t="str">
        <f t="shared" si="23"/>
        <v>C</v>
      </c>
      <c r="H753" s="9" t="s">
        <v>117</v>
      </c>
      <c r="I753" s="9" t="s">
        <v>1643</v>
      </c>
      <c r="J753" s="9" t="s">
        <v>1535</v>
      </c>
      <c r="K753" s="10" t="str">
        <f>IFERROR(VLOOKUP(A753,'Pedido ESTHER'!$B:$C,2,0),"")</f>
        <v/>
      </c>
      <c r="L753" s="12" t="str">
        <f>IF(N(K753)&gt;0,"COMPRA","NÃO COMPRA")</f>
        <v>NÃO COMPRA</v>
      </c>
    </row>
    <row r="754" spans="1:12">
      <c r="A754" s="8" t="s">
        <v>1644</v>
      </c>
      <c r="B754" s="9" t="s">
        <v>1645</v>
      </c>
      <c r="C754" s="9" t="e">
        <f>VLOOKUP(A754,[2]Planilha1!$A:$B,2,0)</f>
        <v>#N/A</v>
      </c>
      <c r="D754" s="10">
        <f>SUMIF([1]Relatório!$A$2:$A$2653,A754,[1]Relatório!$AK$2:$AK$2653)</f>
        <v>139</v>
      </c>
      <c r="E754" s="11">
        <f t="shared" si="22"/>
        <v>0.000237624304008671</v>
      </c>
      <c r="F754" s="11">
        <f>SUM($E$7:E754)</f>
        <v>0.911436225226812</v>
      </c>
      <c r="G754" s="12" t="str">
        <f t="shared" si="23"/>
        <v>C</v>
      </c>
      <c r="H754" s="9" t="s">
        <v>183</v>
      </c>
      <c r="I754" s="9" t="s">
        <v>1646</v>
      </c>
      <c r="J754" s="9" t="s">
        <v>33</v>
      </c>
      <c r="K754" s="10" t="str">
        <f>IFERROR(VLOOKUP(A754,'Pedido ESTHER'!$B:$C,2,0),"")</f>
        <v/>
      </c>
      <c r="L754" s="12" t="str">
        <f>IF(N(K754)&gt;0,"COMPRA","NÃO COMPRA")</f>
        <v>NÃO COMPRA</v>
      </c>
    </row>
    <row r="755" spans="1:12">
      <c r="A755" s="8" t="s">
        <v>1647</v>
      </c>
      <c r="B755" s="9" t="s">
        <v>749</v>
      </c>
      <c r="C755" s="9" t="e">
        <f>VLOOKUP(A755,[2]Planilha1!$A:$B,2,0)</f>
        <v>#N/A</v>
      </c>
      <c r="D755" s="10">
        <f>SUMIF([1]Relatório!$A$2:$A$2653,A755,[1]Relatório!$AK$2:$AK$2653)</f>
        <v>139</v>
      </c>
      <c r="E755" s="11">
        <f t="shared" si="22"/>
        <v>0.000237624304008671</v>
      </c>
      <c r="F755" s="11">
        <f>SUM($E$7:E755)</f>
        <v>0.91167384953082</v>
      </c>
      <c r="G755" s="12" t="str">
        <f t="shared" si="23"/>
        <v>C</v>
      </c>
      <c r="H755" s="9" t="s">
        <v>183</v>
      </c>
      <c r="I755" s="9" t="s">
        <v>1648</v>
      </c>
      <c r="J755" s="9" t="s">
        <v>359</v>
      </c>
      <c r="K755" s="10" t="str">
        <f>IFERROR(VLOOKUP(A755,'Pedido ESTHER'!$B:$C,2,0),"")</f>
        <v/>
      </c>
      <c r="L755" s="12" t="str">
        <f>IF(N(K755)&gt;0,"COMPRA","NÃO COMPRA")</f>
        <v>NÃO COMPRA</v>
      </c>
    </row>
    <row r="756" spans="1:12">
      <c r="A756" s="8" t="s">
        <v>1649</v>
      </c>
      <c r="B756" s="9" t="s">
        <v>681</v>
      </c>
      <c r="C756" s="9" t="e">
        <f>VLOOKUP(A756,[2]Planilha1!$A:$B,2,0)</f>
        <v>#N/A</v>
      </c>
      <c r="D756" s="10">
        <f>SUMIF([1]Relatório!$A$2:$A$2653,A756,[1]Relatório!$AK$2:$AK$2653)</f>
        <v>139</v>
      </c>
      <c r="E756" s="11">
        <f t="shared" si="22"/>
        <v>0.000237624304008671</v>
      </c>
      <c r="F756" s="11">
        <f>SUM($E$7:E756)</f>
        <v>0.911911473834829</v>
      </c>
      <c r="G756" s="12" t="str">
        <f t="shared" si="23"/>
        <v>C</v>
      </c>
      <c r="H756" s="9" t="s">
        <v>183</v>
      </c>
      <c r="I756" s="9"/>
      <c r="J756" s="9" t="s">
        <v>281</v>
      </c>
      <c r="K756" s="10" t="str">
        <f>IFERROR(VLOOKUP(A756,'Pedido ESTHER'!$B:$C,2,0),"")</f>
        <v/>
      </c>
      <c r="L756" s="12" t="str">
        <f>IF(N(K756)&gt;0,"COMPRA","NÃO COMPRA")</f>
        <v>NÃO COMPRA</v>
      </c>
    </row>
    <row r="757" spans="1:12">
      <c r="A757" s="8" t="s">
        <v>1650</v>
      </c>
      <c r="B757" s="9" t="s">
        <v>200</v>
      </c>
      <c r="C757" s="9" t="e">
        <f>VLOOKUP(A757,[2]Planilha1!$A:$B,2,0)</f>
        <v>#N/A</v>
      </c>
      <c r="D757" s="10">
        <f>SUMIF([1]Relatório!$A$2:$A$2653,A757,[1]Relatório!$AK$2:$AK$2653)</f>
        <v>138</v>
      </c>
      <c r="E757" s="11">
        <f t="shared" si="22"/>
        <v>0.000235914776641702</v>
      </c>
      <c r="F757" s="11">
        <f>SUM($E$7:E757)</f>
        <v>0.912147388611471</v>
      </c>
      <c r="G757" s="12" t="str">
        <f t="shared" si="23"/>
        <v>C</v>
      </c>
      <c r="H757" s="9" t="s">
        <v>21</v>
      </c>
      <c r="I757" s="9"/>
      <c r="J757" s="9" t="s">
        <v>201</v>
      </c>
      <c r="K757" s="10" t="str">
        <f>IFERROR(VLOOKUP(A757,'Pedido ESTHER'!$B:$C,2,0),"")</f>
        <v/>
      </c>
      <c r="L757" s="12" t="str">
        <f>IF(N(K757)&gt;0,"COMPRA","NÃO COMPRA")</f>
        <v>NÃO COMPRA</v>
      </c>
    </row>
    <row r="758" spans="1:12">
      <c r="A758" s="8" t="s">
        <v>1651</v>
      </c>
      <c r="B758" s="9" t="s">
        <v>1388</v>
      </c>
      <c r="C758" s="9" t="e">
        <f>VLOOKUP(A758,[2]Planilha1!$A:$B,2,0)</f>
        <v>#N/A</v>
      </c>
      <c r="D758" s="10">
        <f>SUMIF([1]Relatório!$A$2:$A$2653,A758,[1]Relatório!$AK$2:$AK$2653)</f>
        <v>137</v>
      </c>
      <c r="E758" s="11">
        <f t="shared" si="22"/>
        <v>0.000234205249274733</v>
      </c>
      <c r="F758" s="11">
        <f>SUM($E$7:E758)</f>
        <v>0.912381593860745</v>
      </c>
      <c r="G758" s="12" t="str">
        <f t="shared" si="23"/>
        <v>C</v>
      </c>
      <c r="H758" s="9" t="s">
        <v>1059</v>
      </c>
      <c r="I758" s="9" t="s">
        <v>1652</v>
      </c>
      <c r="J758" s="9" t="s">
        <v>273</v>
      </c>
      <c r="K758" s="10" t="str">
        <f>IFERROR(VLOOKUP(A758,'Pedido ESTHER'!$B:$C,2,0),"")</f>
        <v/>
      </c>
      <c r="L758" s="12" t="str">
        <f>IF(N(K758)&gt;0,"COMPRA","NÃO COMPRA")</f>
        <v>NÃO COMPRA</v>
      </c>
    </row>
    <row r="759" spans="1:12">
      <c r="A759" s="8" t="s">
        <v>1653</v>
      </c>
      <c r="B759" s="9" t="s">
        <v>365</v>
      </c>
      <c r="C759" s="9" t="e">
        <f>VLOOKUP(A759,[2]Planilha1!$A:$B,2,0)</f>
        <v>#N/A</v>
      </c>
      <c r="D759" s="10">
        <f>SUMIF([1]Relatório!$A$2:$A$2653,A759,[1]Relatório!$AK$2:$AK$2653)</f>
        <v>137</v>
      </c>
      <c r="E759" s="11">
        <f t="shared" si="22"/>
        <v>0.000234205249274733</v>
      </c>
      <c r="F759" s="11">
        <f>SUM($E$7:E759)</f>
        <v>0.91261579911002</v>
      </c>
      <c r="G759" s="12" t="str">
        <f t="shared" si="23"/>
        <v>C</v>
      </c>
      <c r="H759" s="9" t="s">
        <v>18</v>
      </c>
      <c r="I759" s="9" t="s">
        <v>1654</v>
      </c>
      <c r="J759" s="9" t="s">
        <v>23</v>
      </c>
      <c r="K759" s="10" t="str">
        <f>IFERROR(VLOOKUP(A759,'Pedido ESTHER'!$B:$C,2,0),"")</f>
        <v/>
      </c>
      <c r="L759" s="12" t="str">
        <f>IF(N(K759)&gt;0,"COMPRA","NÃO COMPRA")</f>
        <v>NÃO COMPRA</v>
      </c>
    </row>
    <row r="760" spans="1:12">
      <c r="A760" s="8" t="s">
        <v>1655</v>
      </c>
      <c r="B760" s="9" t="s">
        <v>103</v>
      </c>
      <c r="C760" s="9" t="e">
        <f>VLOOKUP(A760,[2]Planilha1!$A:$B,2,0)</f>
        <v>#N/A</v>
      </c>
      <c r="D760" s="10">
        <f>SUMIF([1]Relatório!$A$2:$A$2653,A760,[1]Relatório!$AK$2:$AK$2653)</f>
        <v>136</v>
      </c>
      <c r="E760" s="11">
        <f t="shared" si="22"/>
        <v>0.000232495721907764</v>
      </c>
      <c r="F760" s="11">
        <f>SUM($E$7:E760)</f>
        <v>0.912848294831928</v>
      </c>
      <c r="G760" s="12" t="str">
        <f t="shared" si="23"/>
        <v>C</v>
      </c>
      <c r="H760" s="9" t="s">
        <v>18</v>
      </c>
      <c r="I760" s="9" t="s">
        <v>1656</v>
      </c>
      <c r="J760" s="9" t="s">
        <v>44</v>
      </c>
      <c r="K760" s="10" t="str">
        <f>IFERROR(VLOOKUP(A760,'Pedido ESTHER'!$B:$C,2,0),"")</f>
        <v/>
      </c>
      <c r="L760" s="12" t="str">
        <f>IF(N(K760)&gt;0,"COMPRA","NÃO COMPRA")</f>
        <v>NÃO COMPRA</v>
      </c>
    </row>
    <row r="761" spans="1:12">
      <c r="A761" s="8" t="s">
        <v>1657</v>
      </c>
      <c r="B761" s="9" t="s">
        <v>339</v>
      </c>
      <c r="C761" s="9" t="e">
        <f>VLOOKUP(A761,[2]Planilha1!$A:$B,2,0)</f>
        <v>#N/A</v>
      </c>
      <c r="D761" s="10">
        <f>SUMIF([1]Relatório!$A$2:$A$2653,A761,[1]Relatório!$AK$2:$AK$2653)</f>
        <v>136</v>
      </c>
      <c r="E761" s="11">
        <f t="shared" si="22"/>
        <v>0.000232495721907764</v>
      </c>
      <c r="F761" s="11">
        <f>SUM($E$7:E761)</f>
        <v>0.913080790553836</v>
      </c>
      <c r="G761" s="12" t="str">
        <f t="shared" si="23"/>
        <v>C</v>
      </c>
      <c r="H761" s="9" t="s">
        <v>74</v>
      </c>
      <c r="I761" s="9" t="s">
        <v>1658</v>
      </c>
      <c r="J761" s="9" t="s">
        <v>164</v>
      </c>
      <c r="K761" s="10" t="str">
        <f>IFERROR(VLOOKUP(A761,'Pedido ESTHER'!$B:$C,2,0),"")</f>
        <v/>
      </c>
      <c r="L761" s="12" t="str">
        <f>IF(N(K761)&gt;0,"COMPRA","NÃO COMPRA")</f>
        <v>NÃO COMPRA</v>
      </c>
    </row>
    <row r="762" spans="1:12">
      <c r="A762" s="8" t="s">
        <v>1659</v>
      </c>
      <c r="B762" s="9" t="s">
        <v>1660</v>
      </c>
      <c r="C762" s="9" t="e">
        <f>VLOOKUP(A762,[2]Planilha1!$A:$B,2,0)</f>
        <v>#N/A</v>
      </c>
      <c r="D762" s="10">
        <f>SUMIF([1]Relatório!$A$2:$A$2653,A762,[1]Relatório!$AK$2:$AK$2653)</f>
        <v>136</v>
      </c>
      <c r="E762" s="11">
        <f t="shared" si="22"/>
        <v>0.000232495721907764</v>
      </c>
      <c r="F762" s="11">
        <f>SUM($E$7:E762)</f>
        <v>0.913313286275743</v>
      </c>
      <c r="G762" s="12" t="str">
        <f t="shared" si="23"/>
        <v>C</v>
      </c>
      <c r="H762" s="9" t="s">
        <v>1059</v>
      </c>
      <c r="I762" s="9"/>
      <c r="J762" s="9" t="s">
        <v>281</v>
      </c>
      <c r="K762" s="10" t="str">
        <f>IFERROR(VLOOKUP(A762,'Pedido ESTHER'!$B:$C,2,0),"")</f>
        <v/>
      </c>
      <c r="L762" s="12" t="str">
        <f>IF(N(K762)&gt;0,"COMPRA","NÃO COMPRA")</f>
        <v>NÃO COMPRA</v>
      </c>
    </row>
    <row r="763" spans="1:12">
      <c r="A763" s="8" t="s">
        <v>1661</v>
      </c>
      <c r="B763" s="9" t="s">
        <v>21</v>
      </c>
      <c r="C763" s="9" t="e">
        <f>VLOOKUP(A763,[2]Planilha1!$A:$B,2,0)</f>
        <v>#N/A</v>
      </c>
      <c r="D763" s="10">
        <f>SUMIF([1]Relatório!$A$2:$A$2653,A763,[1]Relatório!$AK$2:$AK$2653)</f>
        <v>136</v>
      </c>
      <c r="E763" s="11">
        <f t="shared" si="22"/>
        <v>0.000232495721907764</v>
      </c>
      <c r="F763" s="11">
        <f>SUM($E$7:E763)</f>
        <v>0.913545781997651</v>
      </c>
      <c r="G763" s="12" t="str">
        <f t="shared" si="23"/>
        <v>C</v>
      </c>
      <c r="H763" s="9" t="s">
        <v>21</v>
      </c>
      <c r="I763" s="9"/>
      <c r="J763" s="9" t="s">
        <v>23</v>
      </c>
      <c r="K763" s="10" t="str">
        <f>IFERROR(VLOOKUP(A763,'Pedido ESTHER'!$B:$C,2,0),"")</f>
        <v/>
      </c>
      <c r="L763" s="12" t="str">
        <f>IF(N(K763)&gt;0,"COMPRA","NÃO COMPRA")</f>
        <v>NÃO COMPRA</v>
      </c>
    </row>
    <row r="764" spans="1:12">
      <c r="A764" s="8" t="s">
        <v>1662</v>
      </c>
      <c r="B764" s="9" t="s">
        <v>469</v>
      </c>
      <c r="C764" s="9" t="e">
        <f>VLOOKUP(A764,[2]Planilha1!$A:$B,2,0)</f>
        <v>#N/A</v>
      </c>
      <c r="D764" s="10">
        <f>SUMIF([1]Relatório!$A$2:$A$2653,A764,[1]Relatório!$AK$2:$AK$2653)</f>
        <v>135</v>
      </c>
      <c r="E764" s="11">
        <f t="shared" si="22"/>
        <v>0.000230786194540795</v>
      </c>
      <c r="F764" s="11">
        <f>SUM($E$7:E764)</f>
        <v>0.913776568192192</v>
      </c>
      <c r="G764" s="12" t="str">
        <f t="shared" si="23"/>
        <v>C</v>
      </c>
      <c r="H764" s="9" t="s">
        <v>892</v>
      </c>
      <c r="I764" s="9" t="s">
        <v>1663</v>
      </c>
      <c r="J764" s="9" t="s">
        <v>23</v>
      </c>
      <c r="K764" s="10" t="str">
        <f>IFERROR(VLOOKUP(A764,'Pedido ESTHER'!$B:$C,2,0),"")</f>
        <v/>
      </c>
      <c r="L764" s="12" t="str">
        <f>IF(N(K764)&gt;0,"COMPRA","NÃO COMPRA")</f>
        <v>NÃO COMPRA</v>
      </c>
    </row>
    <row r="765" spans="1:12">
      <c r="A765" s="8" t="s">
        <v>1664</v>
      </c>
      <c r="B765" s="9" t="s">
        <v>1391</v>
      </c>
      <c r="C765" s="9" t="e">
        <f>VLOOKUP(A765,[2]Planilha1!$A:$B,2,0)</f>
        <v>#N/A</v>
      </c>
      <c r="D765" s="10">
        <f>SUMIF([1]Relatório!$A$2:$A$2653,A765,[1]Relatório!$AK$2:$AK$2653)</f>
        <v>135</v>
      </c>
      <c r="E765" s="11">
        <f t="shared" si="22"/>
        <v>0.000230786194540795</v>
      </c>
      <c r="F765" s="11">
        <f>SUM($E$7:E765)</f>
        <v>0.914007354386733</v>
      </c>
      <c r="G765" s="12" t="str">
        <f t="shared" si="23"/>
        <v>C</v>
      </c>
      <c r="H765" s="9" t="s">
        <v>14</v>
      </c>
      <c r="I765" s="9" t="s">
        <v>1665</v>
      </c>
      <c r="J765" s="9" t="s">
        <v>213</v>
      </c>
      <c r="K765" s="10" t="str">
        <f>IFERROR(VLOOKUP(A765,'Pedido ESTHER'!$B:$C,2,0),"")</f>
        <v/>
      </c>
      <c r="L765" s="12" t="str">
        <f>IF(N(K765)&gt;0,"COMPRA","NÃO COMPRA")</f>
        <v>NÃO COMPRA</v>
      </c>
    </row>
    <row r="766" spans="1:12">
      <c r="A766" s="8" t="s">
        <v>1666</v>
      </c>
      <c r="B766" s="9" t="s">
        <v>706</v>
      </c>
      <c r="C766" s="9" t="e">
        <f>VLOOKUP(A766,[2]Planilha1!$A:$B,2,0)</f>
        <v>#N/A</v>
      </c>
      <c r="D766" s="10">
        <f>SUMIF([1]Relatório!$A$2:$A$2653,A766,[1]Relatório!$AK$2:$AK$2653)</f>
        <v>135</v>
      </c>
      <c r="E766" s="11">
        <f t="shared" si="22"/>
        <v>0.000230786194540795</v>
      </c>
      <c r="F766" s="11">
        <f>SUM($E$7:E766)</f>
        <v>0.914238140581273</v>
      </c>
      <c r="G766" s="12" t="str">
        <f t="shared" si="23"/>
        <v>C</v>
      </c>
      <c r="H766" s="9" t="s">
        <v>183</v>
      </c>
      <c r="I766" s="9" t="s">
        <v>1667</v>
      </c>
      <c r="J766" s="9" t="s">
        <v>880</v>
      </c>
      <c r="K766" s="10" t="str">
        <f>IFERROR(VLOOKUP(A766,'Pedido ESTHER'!$B:$C,2,0),"")</f>
        <v/>
      </c>
      <c r="L766" s="12" t="str">
        <f>IF(N(K766)&gt;0,"COMPRA","NÃO COMPRA")</f>
        <v>NÃO COMPRA</v>
      </c>
    </row>
    <row r="767" spans="1:12">
      <c r="A767" s="8" t="s">
        <v>1668</v>
      </c>
      <c r="B767" s="9" t="s">
        <v>42</v>
      </c>
      <c r="C767" s="9" t="e">
        <f>VLOOKUP(A767,[2]Planilha1!$A:$B,2,0)</f>
        <v>#N/A</v>
      </c>
      <c r="D767" s="10">
        <f>SUMIF([1]Relatório!$A$2:$A$2653,A767,[1]Relatório!$AK$2:$AK$2653)</f>
        <v>135</v>
      </c>
      <c r="E767" s="11">
        <f t="shared" si="22"/>
        <v>0.000230786194540795</v>
      </c>
      <c r="F767" s="11">
        <f>SUM($E$7:E767)</f>
        <v>0.914468926775814</v>
      </c>
      <c r="G767" s="12" t="str">
        <f t="shared" si="23"/>
        <v>C</v>
      </c>
      <c r="H767" s="9" t="s">
        <v>21</v>
      </c>
      <c r="I767" s="9" t="s">
        <v>1669</v>
      </c>
      <c r="J767" s="9" t="s">
        <v>44</v>
      </c>
      <c r="K767" s="10" t="str">
        <f>IFERROR(VLOOKUP(A767,'Pedido ESTHER'!$B:$C,2,0),"")</f>
        <v/>
      </c>
      <c r="L767" s="12" t="str">
        <f>IF(N(K767)&gt;0,"COMPRA","NÃO COMPRA")</f>
        <v>NÃO COMPRA</v>
      </c>
    </row>
    <row r="768" spans="1:12">
      <c r="A768" s="8" t="s">
        <v>1670</v>
      </c>
      <c r="B768" s="9" t="s">
        <v>38</v>
      </c>
      <c r="C768" s="9" t="e">
        <f>VLOOKUP(A768,[2]Planilha1!$A:$B,2,0)</f>
        <v>#N/A</v>
      </c>
      <c r="D768" s="10">
        <f>SUMIF([1]Relatório!$A$2:$A$2653,A768,[1]Relatório!$AK$2:$AK$2653)</f>
        <v>135</v>
      </c>
      <c r="E768" s="11">
        <f t="shared" si="22"/>
        <v>0.000230786194540795</v>
      </c>
      <c r="F768" s="11">
        <f>SUM($E$7:E768)</f>
        <v>0.914699712970355</v>
      </c>
      <c r="G768" s="12" t="str">
        <f t="shared" si="23"/>
        <v>C</v>
      </c>
      <c r="H768" s="9" t="s">
        <v>21</v>
      </c>
      <c r="I768" s="9" t="s">
        <v>1671</v>
      </c>
      <c r="J768" s="9" t="s">
        <v>40</v>
      </c>
      <c r="K768" s="10" t="str">
        <f>IFERROR(VLOOKUP(A768,'Pedido ESTHER'!$B:$C,2,0),"")</f>
        <v/>
      </c>
      <c r="L768" s="12" t="str">
        <f>IF(N(K768)&gt;0,"COMPRA","NÃO COMPRA")</f>
        <v>NÃO COMPRA</v>
      </c>
    </row>
    <row r="769" spans="1:12">
      <c r="A769" s="8" t="s">
        <v>1672</v>
      </c>
      <c r="B769" s="9" t="s">
        <v>1673</v>
      </c>
      <c r="C769" s="9" t="e">
        <f>VLOOKUP(A769,[2]Planilha1!$A:$B,2,0)</f>
        <v>#N/A</v>
      </c>
      <c r="D769" s="10">
        <f>SUMIF([1]Relatório!$A$2:$A$2653,A769,[1]Relatório!$AK$2:$AK$2653)</f>
        <v>135</v>
      </c>
      <c r="E769" s="11">
        <f t="shared" si="22"/>
        <v>0.000230786194540795</v>
      </c>
      <c r="F769" s="11">
        <f>SUM($E$7:E769)</f>
        <v>0.914930499164896</v>
      </c>
      <c r="G769" s="12" t="str">
        <f t="shared" si="23"/>
        <v>C</v>
      </c>
      <c r="H769" s="9" t="s">
        <v>74</v>
      </c>
      <c r="I769" s="9" t="s">
        <v>1269</v>
      </c>
      <c r="J769" s="9" t="s">
        <v>44</v>
      </c>
      <c r="K769" s="10" t="str">
        <f>IFERROR(VLOOKUP(A769,'Pedido ESTHER'!$B:$C,2,0),"")</f>
        <v/>
      </c>
      <c r="L769" s="12" t="str">
        <f>IF(N(K769)&gt;0,"COMPRA","NÃO COMPRA")</f>
        <v>NÃO COMPRA</v>
      </c>
    </row>
    <row r="770" spans="1:12">
      <c r="A770" s="8" t="s">
        <v>1674</v>
      </c>
      <c r="B770" s="9" t="s">
        <v>1675</v>
      </c>
      <c r="C770" s="9" t="e">
        <f>VLOOKUP(A770,[2]Planilha1!$A:$B,2,0)</f>
        <v>#N/A</v>
      </c>
      <c r="D770" s="10">
        <f>SUMIF([1]Relatório!$A$2:$A$2653,A770,[1]Relatório!$AK$2:$AK$2653)</f>
        <v>134</v>
      </c>
      <c r="E770" s="11">
        <f t="shared" si="22"/>
        <v>0.000229076667173826</v>
      </c>
      <c r="F770" s="11">
        <f>SUM($E$7:E770)</f>
        <v>0.91515957583207</v>
      </c>
      <c r="G770" s="12" t="str">
        <f t="shared" si="23"/>
        <v>C</v>
      </c>
      <c r="H770" s="9" t="s">
        <v>1344</v>
      </c>
      <c r="I770" s="9" t="s">
        <v>1676</v>
      </c>
      <c r="J770" s="9" t="s">
        <v>58</v>
      </c>
      <c r="K770" s="10" t="str">
        <f>IFERROR(VLOOKUP(A770,'Pedido ESTHER'!$B:$C,2,0),"")</f>
        <v/>
      </c>
      <c r="L770" s="12" t="str">
        <f>IF(N(K770)&gt;0,"COMPRA","NÃO COMPRA")</f>
        <v>NÃO COMPRA</v>
      </c>
    </row>
    <row r="771" spans="1:12">
      <c r="A771" s="8" t="s">
        <v>1677</v>
      </c>
      <c r="B771" s="9" t="s">
        <v>200</v>
      </c>
      <c r="C771" s="9" t="e">
        <f>VLOOKUP(A771,[2]Planilha1!$A:$B,2,0)</f>
        <v>#N/A</v>
      </c>
      <c r="D771" s="10">
        <f>SUMIF([1]Relatório!$A$2:$A$2653,A771,[1]Relatório!$AK$2:$AK$2653)</f>
        <v>134</v>
      </c>
      <c r="E771" s="11">
        <f t="shared" si="22"/>
        <v>0.000229076667173826</v>
      </c>
      <c r="F771" s="11">
        <f>SUM($E$7:E771)</f>
        <v>0.915388652499243</v>
      </c>
      <c r="G771" s="12" t="str">
        <f t="shared" si="23"/>
        <v>C</v>
      </c>
      <c r="H771" s="9" t="s">
        <v>21</v>
      </c>
      <c r="I771" s="9"/>
      <c r="J771" s="9" t="s">
        <v>201</v>
      </c>
      <c r="K771" s="10" t="str">
        <f>IFERROR(VLOOKUP(A771,'Pedido ESTHER'!$B:$C,2,0),"")</f>
        <v/>
      </c>
      <c r="L771" s="12" t="str">
        <f>IF(N(K771)&gt;0,"COMPRA","NÃO COMPRA")</f>
        <v>NÃO COMPRA</v>
      </c>
    </row>
    <row r="772" spans="1:12">
      <c r="A772" s="8" t="s">
        <v>1678</v>
      </c>
      <c r="B772" s="9" t="s">
        <v>335</v>
      </c>
      <c r="C772" s="9" t="e">
        <f>VLOOKUP(A772,[2]Planilha1!$A:$B,2,0)</f>
        <v>#N/A</v>
      </c>
      <c r="D772" s="10">
        <f>SUMIF([1]Relatório!$A$2:$A$2653,A772,[1]Relatório!$AK$2:$AK$2653)</f>
        <v>134</v>
      </c>
      <c r="E772" s="11">
        <f t="shared" si="22"/>
        <v>0.000229076667173826</v>
      </c>
      <c r="F772" s="11">
        <f>SUM($E$7:E772)</f>
        <v>0.915617729166417</v>
      </c>
      <c r="G772" s="12" t="str">
        <f t="shared" si="23"/>
        <v>C</v>
      </c>
      <c r="H772" s="9" t="s">
        <v>183</v>
      </c>
      <c r="I772" s="9" t="s">
        <v>1679</v>
      </c>
      <c r="J772" s="9" t="s">
        <v>44</v>
      </c>
      <c r="K772" s="10" t="str">
        <f>IFERROR(VLOOKUP(A772,'Pedido ESTHER'!$B:$C,2,0),"")</f>
        <v/>
      </c>
      <c r="L772" s="12" t="str">
        <f>IF(N(K772)&gt;0,"COMPRA","NÃO COMPRA")</f>
        <v>NÃO COMPRA</v>
      </c>
    </row>
    <row r="773" spans="1:12">
      <c r="A773" s="8" t="s">
        <v>1680</v>
      </c>
      <c r="B773" s="9" t="s">
        <v>1681</v>
      </c>
      <c r="C773" s="9" t="e">
        <f>VLOOKUP(A773,[2]Planilha1!$A:$B,2,0)</f>
        <v>#N/A</v>
      </c>
      <c r="D773" s="10">
        <f>SUMIF([1]Relatório!$A$2:$A$2653,A773,[1]Relatório!$AK$2:$AK$2653)</f>
        <v>134</v>
      </c>
      <c r="E773" s="11">
        <f t="shared" si="22"/>
        <v>0.000229076667173826</v>
      </c>
      <c r="F773" s="11">
        <f>SUM($E$7:E773)</f>
        <v>0.915846805833591</v>
      </c>
      <c r="G773" s="12" t="str">
        <f t="shared" si="23"/>
        <v>C</v>
      </c>
      <c r="H773" s="9" t="s">
        <v>221</v>
      </c>
      <c r="I773" s="9" t="s">
        <v>1682</v>
      </c>
      <c r="J773" s="9" t="s">
        <v>695</v>
      </c>
      <c r="K773" s="10" t="str">
        <f>IFERROR(VLOOKUP(A773,'Pedido ESTHER'!$B:$C,2,0),"")</f>
        <v/>
      </c>
      <c r="L773" s="12" t="str">
        <f>IF(N(K773)&gt;0,"COMPRA","NÃO COMPRA")</f>
        <v>NÃO COMPRA</v>
      </c>
    </row>
    <row r="774" spans="1:12">
      <c r="A774" s="8" t="s">
        <v>1683</v>
      </c>
      <c r="B774" s="9" t="s">
        <v>1684</v>
      </c>
      <c r="C774" s="9" t="e">
        <f>VLOOKUP(A774,[2]Planilha1!$A:$B,2,0)</f>
        <v>#N/A</v>
      </c>
      <c r="D774" s="10">
        <f>SUMIF([1]Relatório!$A$2:$A$2653,A774,[1]Relatório!$AK$2:$AK$2653)</f>
        <v>133</v>
      </c>
      <c r="E774" s="11">
        <f t="shared" si="22"/>
        <v>0.000227367139806858</v>
      </c>
      <c r="F774" s="11">
        <f>SUM($E$7:E774)</f>
        <v>0.916074172973398</v>
      </c>
      <c r="G774" s="12" t="str">
        <f t="shared" si="23"/>
        <v>C</v>
      </c>
      <c r="H774" s="9" t="s">
        <v>1344</v>
      </c>
      <c r="I774" s="9" t="s">
        <v>1685</v>
      </c>
      <c r="J774" s="9" t="s">
        <v>23</v>
      </c>
      <c r="K774" s="10" t="str">
        <f>IFERROR(VLOOKUP(A774,'Pedido ESTHER'!$B:$C,2,0),"")</f>
        <v/>
      </c>
      <c r="L774" s="12" t="str">
        <f>IF(N(K774)&gt;0,"COMPRA","NÃO COMPRA")</f>
        <v>NÃO COMPRA</v>
      </c>
    </row>
    <row r="775" spans="1:12">
      <c r="A775" s="8" t="s">
        <v>1686</v>
      </c>
      <c r="B775" s="9" t="s">
        <v>495</v>
      </c>
      <c r="C775" s="9" t="e">
        <f>VLOOKUP(A775,[2]Planilha1!$A:$B,2,0)</f>
        <v>#N/A</v>
      </c>
      <c r="D775" s="10">
        <f>SUMIF([1]Relatório!$A$2:$A$2653,A775,[1]Relatório!$AK$2:$AK$2653)</f>
        <v>133</v>
      </c>
      <c r="E775" s="11">
        <f t="shared" si="22"/>
        <v>0.000227367139806858</v>
      </c>
      <c r="F775" s="11">
        <f>SUM($E$7:E775)</f>
        <v>0.916301540113205</v>
      </c>
      <c r="G775" s="12" t="str">
        <f t="shared" si="23"/>
        <v>C</v>
      </c>
      <c r="H775" s="9" t="s">
        <v>183</v>
      </c>
      <c r="I775" s="9" t="s">
        <v>1687</v>
      </c>
      <c r="J775" s="9" t="s">
        <v>64</v>
      </c>
      <c r="K775" s="10" t="str">
        <f>IFERROR(VLOOKUP(A775,'Pedido ESTHER'!$B:$C,2,0),"")</f>
        <v/>
      </c>
      <c r="L775" s="12" t="str">
        <f>IF(N(K775)&gt;0,"COMPRA","NÃO COMPRA")</f>
        <v>NÃO COMPRA</v>
      </c>
    </row>
    <row r="776" spans="1:12">
      <c r="A776" s="8" t="s">
        <v>1688</v>
      </c>
      <c r="B776" s="9" t="s">
        <v>1689</v>
      </c>
      <c r="C776" s="9" t="e">
        <f>VLOOKUP(A776,[2]Planilha1!$A:$B,2,0)</f>
        <v>#N/A</v>
      </c>
      <c r="D776" s="10">
        <f>SUMIF([1]Relatório!$A$2:$A$2653,A776,[1]Relatório!$AK$2:$AK$2653)</f>
        <v>132</v>
      </c>
      <c r="E776" s="11">
        <f t="shared" ref="E776:E839" si="24">D776/SUM($D$7:$D$1708)</f>
        <v>0.000225657612439889</v>
      </c>
      <c r="F776" s="11">
        <f>SUM($E$7:E776)</f>
        <v>0.916527197725645</v>
      </c>
      <c r="G776" s="12" t="str">
        <f t="shared" ref="G776:G839" si="25">IF(F776&lt;=70%,"A",IF(F776&lt;=90%,"B","C"))</f>
        <v>C</v>
      </c>
      <c r="H776" s="9" t="s">
        <v>1344</v>
      </c>
      <c r="I776" s="9" t="s">
        <v>1690</v>
      </c>
      <c r="J776" s="9" t="s">
        <v>23</v>
      </c>
      <c r="K776" s="10" t="str">
        <f>IFERROR(VLOOKUP(A776,'Pedido ESTHER'!$B:$C,2,0),"")</f>
        <v/>
      </c>
      <c r="L776" s="12" t="str">
        <f>IF(N(K776)&gt;0,"COMPRA","NÃO COMPRA")</f>
        <v>NÃO COMPRA</v>
      </c>
    </row>
    <row r="777" spans="1:12">
      <c r="A777" s="8" t="s">
        <v>1691</v>
      </c>
      <c r="B777" s="9" t="s">
        <v>706</v>
      </c>
      <c r="C777" s="9" t="e">
        <f>VLOOKUP(A777,[2]Planilha1!$A:$B,2,0)</f>
        <v>#N/A</v>
      </c>
      <c r="D777" s="10">
        <f>SUMIF([1]Relatório!$A$2:$A$2653,A777,[1]Relatório!$AK$2:$AK$2653)</f>
        <v>132</v>
      </c>
      <c r="E777" s="11">
        <f t="shared" si="24"/>
        <v>0.000225657612439889</v>
      </c>
      <c r="F777" s="11">
        <f>SUM($E$7:E777)</f>
        <v>0.916752855338085</v>
      </c>
      <c r="G777" s="12" t="str">
        <f t="shared" si="25"/>
        <v>C</v>
      </c>
      <c r="H777" s="9" t="s">
        <v>183</v>
      </c>
      <c r="I777" s="9" t="s">
        <v>1692</v>
      </c>
      <c r="J777" s="9" t="s">
        <v>1693</v>
      </c>
      <c r="K777" s="10" t="str">
        <f>IFERROR(VLOOKUP(A777,'Pedido ESTHER'!$B:$C,2,0),"")</f>
        <v/>
      </c>
      <c r="L777" s="12" t="str">
        <f>IF(N(K777)&gt;0,"COMPRA","NÃO COMPRA")</f>
        <v>NÃO COMPRA</v>
      </c>
    </row>
    <row r="778" spans="1:12">
      <c r="A778" s="8" t="s">
        <v>1694</v>
      </c>
      <c r="B778" s="9" t="s">
        <v>1695</v>
      </c>
      <c r="C778" s="9" t="e">
        <f>VLOOKUP(A778,[2]Planilha1!$A:$B,2,0)</f>
        <v>#N/A</v>
      </c>
      <c r="D778" s="10">
        <f>SUMIF([1]Relatório!$A$2:$A$2653,A778,[1]Relatório!$AK$2:$AK$2653)</f>
        <v>131</v>
      </c>
      <c r="E778" s="11">
        <f t="shared" si="24"/>
        <v>0.00022394808507292</v>
      </c>
      <c r="F778" s="11">
        <f>SUM($E$7:E778)</f>
        <v>0.916976803423157</v>
      </c>
      <c r="G778" s="12" t="str">
        <f t="shared" si="25"/>
        <v>C</v>
      </c>
      <c r="H778" s="9" t="s">
        <v>18</v>
      </c>
      <c r="I778" s="9"/>
      <c r="J778" s="9" t="s">
        <v>281</v>
      </c>
      <c r="K778" s="10" t="str">
        <f>IFERROR(VLOOKUP(A778,'Pedido ESTHER'!$B:$C,2,0),"")</f>
        <v/>
      </c>
      <c r="L778" s="12" t="str">
        <f>IF(N(K778)&gt;0,"COMPRA","NÃO COMPRA")</f>
        <v>NÃO COMPRA</v>
      </c>
    </row>
    <row r="779" spans="1:12">
      <c r="A779" s="8" t="s">
        <v>1696</v>
      </c>
      <c r="B779" s="9" t="s">
        <v>1243</v>
      </c>
      <c r="C779" s="9" t="e">
        <f>VLOOKUP(A779,[2]Planilha1!$A:$B,2,0)</f>
        <v>#N/A</v>
      </c>
      <c r="D779" s="10">
        <f>SUMIF([1]Relatório!$A$2:$A$2653,A779,[1]Relatório!$AK$2:$AK$2653)</f>
        <v>131</v>
      </c>
      <c r="E779" s="11">
        <f t="shared" si="24"/>
        <v>0.00022394808507292</v>
      </c>
      <c r="F779" s="11">
        <f>SUM($E$7:E779)</f>
        <v>0.91720075150823</v>
      </c>
      <c r="G779" s="12" t="str">
        <f t="shared" si="25"/>
        <v>C</v>
      </c>
      <c r="H779" s="9" t="s">
        <v>117</v>
      </c>
      <c r="I779" s="9" t="s">
        <v>1697</v>
      </c>
      <c r="J779" s="9" t="s">
        <v>241</v>
      </c>
      <c r="K779" s="10" t="str">
        <f>IFERROR(VLOOKUP(A779,'Pedido ESTHER'!$B:$C,2,0),"")</f>
        <v/>
      </c>
      <c r="L779" s="12" t="str">
        <f>IF(N(K779)&gt;0,"COMPRA","NÃO COMPRA")</f>
        <v>NÃO COMPRA</v>
      </c>
    </row>
    <row r="780" spans="1:12">
      <c r="A780" s="8" t="s">
        <v>1698</v>
      </c>
      <c r="B780" s="9" t="s">
        <v>1699</v>
      </c>
      <c r="C780" s="9" t="e">
        <f>VLOOKUP(A780,[2]Planilha1!$A:$B,2,0)</f>
        <v>#N/A</v>
      </c>
      <c r="D780" s="10">
        <f>SUMIF([1]Relatório!$A$2:$A$2653,A780,[1]Relatório!$AK$2:$AK$2653)</f>
        <v>131</v>
      </c>
      <c r="E780" s="11">
        <f t="shared" si="24"/>
        <v>0.00022394808507292</v>
      </c>
      <c r="F780" s="11">
        <f>SUM($E$7:E780)</f>
        <v>0.917424699593303</v>
      </c>
      <c r="G780" s="12" t="str">
        <f t="shared" si="25"/>
        <v>C</v>
      </c>
      <c r="H780" s="9" t="s">
        <v>1700</v>
      </c>
      <c r="I780" s="9" t="s">
        <v>1701</v>
      </c>
      <c r="J780" s="9" t="s">
        <v>201</v>
      </c>
      <c r="K780" s="10" t="str">
        <f>IFERROR(VLOOKUP(A780,'Pedido ESTHER'!$B:$C,2,0),"")</f>
        <v/>
      </c>
      <c r="L780" s="12" t="str">
        <f>IF(N(K780)&gt;0,"COMPRA","NÃO COMPRA")</f>
        <v>NÃO COMPRA</v>
      </c>
    </row>
    <row r="781" spans="1:12">
      <c r="A781" s="8" t="s">
        <v>1702</v>
      </c>
      <c r="B781" s="9" t="s">
        <v>342</v>
      </c>
      <c r="C781" s="9" t="e">
        <f>VLOOKUP(A781,[2]Planilha1!$A:$B,2,0)</f>
        <v>#N/A</v>
      </c>
      <c r="D781" s="10">
        <f>SUMIF([1]Relatório!$A$2:$A$2653,A781,[1]Relatório!$AK$2:$AK$2653)</f>
        <v>130</v>
      </c>
      <c r="E781" s="11">
        <f t="shared" si="24"/>
        <v>0.000222238557705951</v>
      </c>
      <c r="F781" s="11">
        <f>SUM($E$7:E781)</f>
        <v>0.917646938151009</v>
      </c>
      <c r="G781" s="12" t="str">
        <f t="shared" si="25"/>
        <v>C</v>
      </c>
      <c r="H781" s="9" t="s">
        <v>117</v>
      </c>
      <c r="I781" s="9" t="s">
        <v>1703</v>
      </c>
      <c r="J781" s="9" t="s">
        <v>1704</v>
      </c>
      <c r="K781" s="10" t="str">
        <f>IFERROR(VLOOKUP(A781,'Pedido ESTHER'!$B:$C,2,0),"")</f>
        <v/>
      </c>
      <c r="L781" s="12" t="str">
        <f>IF(N(K781)&gt;0,"COMPRA","NÃO COMPRA")</f>
        <v>NÃO COMPRA</v>
      </c>
    </row>
    <row r="782" spans="1:12">
      <c r="A782" s="8" t="s">
        <v>1705</v>
      </c>
      <c r="B782" s="9" t="s">
        <v>749</v>
      </c>
      <c r="C782" s="9" t="e">
        <f>VLOOKUP(A782,[2]Planilha1!$A:$B,2,0)</f>
        <v>#N/A</v>
      </c>
      <c r="D782" s="10">
        <f>SUMIF([1]Relatório!$A$2:$A$2653,A782,[1]Relatório!$AK$2:$AK$2653)</f>
        <v>130</v>
      </c>
      <c r="E782" s="11">
        <f t="shared" si="24"/>
        <v>0.000222238557705951</v>
      </c>
      <c r="F782" s="11">
        <f>SUM($E$7:E782)</f>
        <v>0.917869176708715</v>
      </c>
      <c r="G782" s="12" t="str">
        <f t="shared" si="25"/>
        <v>C</v>
      </c>
      <c r="H782" s="9" t="s">
        <v>183</v>
      </c>
      <c r="I782" s="9" t="s">
        <v>1706</v>
      </c>
      <c r="J782" s="9" t="s">
        <v>359</v>
      </c>
      <c r="K782" s="10" t="str">
        <f>IFERROR(VLOOKUP(A782,'Pedido ESTHER'!$B:$C,2,0),"")</f>
        <v/>
      </c>
      <c r="L782" s="12" t="str">
        <f>IF(N(K782)&gt;0,"COMPRA","NÃO COMPRA")</f>
        <v>NÃO COMPRA</v>
      </c>
    </row>
    <row r="783" spans="1:12">
      <c r="A783" s="8" t="s">
        <v>1707</v>
      </c>
      <c r="B783" s="9" t="s">
        <v>1708</v>
      </c>
      <c r="C783" s="9" t="e">
        <f>VLOOKUP(A783,[2]Planilha1!$A:$B,2,0)</f>
        <v>#N/A</v>
      </c>
      <c r="D783" s="10">
        <f>SUMIF([1]Relatório!$A$2:$A$2653,A783,[1]Relatório!$AK$2:$AK$2653)</f>
        <v>130</v>
      </c>
      <c r="E783" s="11">
        <f t="shared" si="24"/>
        <v>0.000222238557705951</v>
      </c>
      <c r="F783" s="11">
        <f>SUM($E$7:E783)</f>
        <v>0.918091415266421</v>
      </c>
      <c r="G783" s="12" t="str">
        <f t="shared" si="25"/>
        <v>C</v>
      </c>
      <c r="H783" s="9" t="s">
        <v>183</v>
      </c>
      <c r="I783" s="9" t="s">
        <v>1709</v>
      </c>
      <c r="J783" s="9" t="s">
        <v>1710</v>
      </c>
      <c r="K783" s="10" t="str">
        <f>IFERROR(VLOOKUP(A783,'Pedido ESTHER'!$B:$C,2,0),"")</f>
        <v/>
      </c>
      <c r="L783" s="12" t="str">
        <f>IF(N(K783)&gt;0,"COMPRA","NÃO COMPRA")</f>
        <v>NÃO COMPRA</v>
      </c>
    </row>
    <row r="784" spans="1:12">
      <c r="A784" s="8" t="s">
        <v>1711</v>
      </c>
      <c r="B784" s="9" t="s">
        <v>1428</v>
      </c>
      <c r="C784" s="9" t="e">
        <f>VLOOKUP(A784,[2]Planilha1!$A:$B,2,0)</f>
        <v>#N/A</v>
      </c>
      <c r="D784" s="10">
        <f>SUMIF([1]Relatório!$A$2:$A$2653,A784,[1]Relatório!$AK$2:$AK$2653)</f>
        <v>130</v>
      </c>
      <c r="E784" s="11">
        <f t="shared" si="24"/>
        <v>0.000222238557705951</v>
      </c>
      <c r="F784" s="11">
        <f>SUM($E$7:E784)</f>
        <v>0.918313653824127</v>
      </c>
      <c r="G784" s="12" t="str">
        <f t="shared" si="25"/>
        <v>C</v>
      </c>
      <c r="H784" s="9" t="s">
        <v>1117</v>
      </c>
      <c r="I784" s="9" t="s">
        <v>1712</v>
      </c>
      <c r="J784" s="9" t="s">
        <v>213</v>
      </c>
      <c r="K784" s="10" t="str">
        <f>IFERROR(VLOOKUP(A784,'Pedido ESTHER'!$B:$C,2,0),"")</f>
        <v/>
      </c>
      <c r="L784" s="12" t="str">
        <f>IF(N(K784)&gt;0,"COMPRA","NÃO COMPRA")</f>
        <v>NÃO COMPRA</v>
      </c>
    </row>
    <row r="785" spans="1:12">
      <c r="A785" s="8" t="s">
        <v>1713</v>
      </c>
      <c r="B785" s="9" t="s">
        <v>1645</v>
      </c>
      <c r="C785" s="9" t="e">
        <f>VLOOKUP(A785,[2]Planilha1!$A:$B,2,0)</f>
        <v>#N/A</v>
      </c>
      <c r="D785" s="10">
        <f>SUMIF([1]Relatório!$A$2:$A$2653,A785,[1]Relatório!$AK$2:$AK$2653)</f>
        <v>129</v>
      </c>
      <c r="E785" s="11">
        <f t="shared" si="24"/>
        <v>0.000220529030338982</v>
      </c>
      <c r="F785" s="11">
        <f>SUM($E$7:E785)</f>
        <v>0.918534182854466</v>
      </c>
      <c r="G785" s="12" t="str">
        <f t="shared" si="25"/>
        <v>C</v>
      </c>
      <c r="H785" s="9" t="s">
        <v>183</v>
      </c>
      <c r="I785" s="9"/>
      <c r="J785" s="9" t="s">
        <v>33</v>
      </c>
      <c r="K785" s="10" t="str">
        <f>IFERROR(VLOOKUP(A785,'Pedido ESTHER'!$B:$C,2,0),"")</f>
        <v/>
      </c>
      <c r="L785" s="12" t="str">
        <f>IF(N(K785)&gt;0,"COMPRA","NÃO COMPRA")</f>
        <v>NÃO COMPRA</v>
      </c>
    </row>
    <row r="786" spans="1:12">
      <c r="A786" s="8" t="s">
        <v>1714</v>
      </c>
      <c r="B786" s="9" t="s">
        <v>283</v>
      </c>
      <c r="C786" s="9" t="e">
        <f>VLOOKUP(A786,[2]Planilha1!$A:$B,2,0)</f>
        <v>#N/A</v>
      </c>
      <c r="D786" s="10">
        <f>SUMIF([1]Relatório!$A$2:$A$2653,A786,[1]Relatório!$AK$2:$AK$2653)</f>
        <v>128</v>
      </c>
      <c r="E786" s="11">
        <f t="shared" si="24"/>
        <v>0.000218819502972013</v>
      </c>
      <c r="F786" s="11">
        <f>SUM($E$7:E786)</f>
        <v>0.918753002357438</v>
      </c>
      <c r="G786" s="12" t="str">
        <f t="shared" si="25"/>
        <v>C</v>
      </c>
      <c r="H786" s="9" t="s">
        <v>18</v>
      </c>
      <c r="I786" s="9"/>
      <c r="J786" s="9" t="s">
        <v>241</v>
      </c>
      <c r="K786" s="10" t="str">
        <f>IFERROR(VLOOKUP(A786,'Pedido ESTHER'!$B:$C,2,0),"")</f>
        <v/>
      </c>
      <c r="L786" s="12" t="str">
        <f>IF(N(K786)&gt;0,"COMPRA","NÃO COMPRA")</f>
        <v>NÃO COMPRA</v>
      </c>
    </row>
    <row r="787" spans="1:12">
      <c r="A787" s="8" t="s">
        <v>1715</v>
      </c>
      <c r="B787" s="9" t="s">
        <v>749</v>
      </c>
      <c r="C787" s="9" t="e">
        <f>VLOOKUP(A787,[2]Planilha1!$A:$B,2,0)</f>
        <v>#N/A</v>
      </c>
      <c r="D787" s="10">
        <f>SUMIF([1]Relatório!$A$2:$A$2653,A787,[1]Relatório!$AK$2:$AK$2653)</f>
        <v>128</v>
      </c>
      <c r="E787" s="11">
        <f t="shared" si="24"/>
        <v>0.000218819502972013</v>
      </c>
      <c r="F787" s="11">
        <f>SUM($E$7:E787)</f>
        <v>0.91897182186041</v>
      </c>
      <c r="G787" s="12" t="str">
        <f t="shared" si="25"/>
        <v>C</v>
      </c>
      <c r="H787" s="9" t="s">
        <v>183</v>
      </c>
      <c r="I787" s="9"/>
      <c r="J787" s="9" t="s">
        <v>359</v>
      </c>
      <c r="K787" s="10" t="str">
        <f>IFERROR(VLOOKUP(A787,'Pedido ESTHER'!$B:$C,2,0),"")</f>
        <v/>
      </c>
      <c r="L787" s="12" t="str">
        <f>IF(N(K787)&gt;0,"COMPRA","NÃO COMPRA")</f>
        <v>NÃO COMPRA</v>
      </c>
    </row>
    <row r="788" spans="1:12">
      <c r="A788" s="8" t="s">
        <v>1716</v>
      </c>
      <c r="B788" s="9" t="s">
        <v>1645</v>
      </c>
      <c r="C788" s="9" t="e">
        <f>VLOOKUP(A788,[2]Planilha1!$A:$B,2,0)</f>
        <v>#N/A</v>
      </c>
      <c r="D788" s="10">
        <f>SUMIF([1]Relatório!$A$2:$A$2653,A788,[1]Relatório!$AK$2:$AK$2653)</f>
        <v>127</v>
      </c>
      <c r="E788" s="11">
        <f t="shared" si="24"/>
        <v>0.000217109975605044</v>
      </c>
      <c r="F788" s="11">
        <f>SUM($E$7:E788)</f>
        <v>0.919188931836015</v>
      </c>
      <c r="G788" s="12" t="str">
        <f t="shared" si="25"/>
        <v>C</v>
      </c>
      <c r="H788" s="9" t="s">
        <v>183</v>
      </c>
      <c r="I788" s="9" t="s">
        <v>1717</v>
      </c>
      <c r="J788" s="9" t="s">
        <v>33</v>
      </c>
      <c r="K788" s="10" t="str">
        <f>IFERROR(VLOOKUP(A788,'Pedido ESTHER'!$B:$C,2,0),"")</f>
        <v/>
      </c>
      <c r="L788" s="12" t="str">
        <f>IF(N(K788)&gt;0,"COMPRA","NÃO COMPRA")</f>
        <v>NÃO COMPRA</v>
      </c>
    </row>
    <row r="789" spans="1:12">
      <c r="A789" s="8" t="s">
        <v>1718</v>
      </c>
      <c r="B789" s="9" t="s">
        <v>122</v>
      </c>
      <c r="C789" s="9" t="e">
        <f>VLOOKUP(A789,[2]Planilha1!$A:$B,2,0)</f>
        <v>#N/A</v>
      </c>
      <c r="D789" s="10">
        <f>SUMIF([1]Relatório!$A$2:$A$2653,A789,[1]Relatório!$AK$2:$AK$2653)</f>
        <v>126</v>
      </c>
      <c r="E789" s="11">
        <f t="shared" si="24"/>
        <v>0.000215400448238076</v>
      </c>
      <c r="F789" s="11">
        <f>SUM($E$7:E789)</f>
        <v>0.919404332284253</v>
      </c>
      <c r="G789" s="12" t="str">
        <f t="shared" si="25"/>
        <v>C</v>
      </c>
      <c r="H789" s="9" t="s">
        <v>18</v>
      </c>
      <c r="I789" s="9" t="s">
        <v>1719</v>
      </c>
      <c r="J789" s="9" t="s">
        <v>33</v>
      </c>
      <c r="K789" s="10" t="str">
        <f>IFERROR(VLOOKUP(A789,'Pedido ESTHER'!$B:$C,2,0),"")</f>
        <v/>
      </c>
      <c r="L789" s="12" t="str">
        <f>IF(N(K789)&gt;0,"COMPRA","NÃO COMPRA")</f>
        <v>NÃO COMPRA</v>
      </c>
    </row>
    <row r="790" spans="1:12">
      <c r="A790" s="8" t="s">
        <v>1720</v>
      </c>
      <c r="B790" s="9" t="s">
        <v>266</v>
      </c>
      <c r="C790" s="9" t="e">
        <f>VLOOKUP(A790,[2]Planilha1!$A:$B,2,0)</f>
        <v>#N/A</v>
      </c>
      <c r="D790" s="10">
        <f>SUMIF([1]Relatório!$A$2:$A$2653,A790,[1]Relatório!$AK$2:$AK$2653)</f>
        <v>126</v>
      </c>
      <c r="E790" s="11">
        <f t="shared" si="24"/>
        <v>0.000215400448238076</v>
      </c>
      <c r="F790" s="11">
        <f>SUM($E$7:E790)</f>
        <v>0.919619732732491</v>
      </c>
      <c r="G790" s="12" t="str">
        <f t="shared" si="25"/>
        <v>C</v>
      </c>
      <c r="H790" s="9" t="s">
        <v>74</v>
      </c>
      <c r="I790" s="9" t="s">
        <v>1721</v>
      </c>
      <c r="J790" s="9" t="s">
        <v>268</v>
      </c>
      <c r="K790" s="10" t="str">
        <f>IFERROR(VLOOKUP(A790,'Pedido ESTHER'!$B:$C,2,0),"")</f>
        <v/>
      </c>
      <c r="L790" s="12" t="str">
        <f>IF(N(K790)&gt;0,"COMPRA","NÃO COMPRA")</f>
        <v>NÃO COMPRA</v>
      </c>
    </row>
    <row r="791" spans="1:12">
      <c r="A791" s="8" t="s">
        <v>1722</v>
      </c>
      <c r="B791" s="9" t="s">
        <v>1512</v>
      </c>
      <c r="C791" s="9" t="e">
        <f>VLOOKUP(A791,[2]Planilha1!$A:$B,2,0)</f>
        <v>#N/A</v>
      </c>
      <c r="D791" s="10">
        <f>SUMIF([1]Relatório!$A$2:$A$2653,A791,[1]Relatório!$AK$2:$AK$2653)</f>
        <v>125</v>
      </c>
      <c r="E791" s="11">
        <f t="shared" si="24"/>
        <v>0.000213690920871107</v>
      </c>
      <c r="F791" s="11">
        <f>SUM($E$7:E791)</f>
        <v>0.919833423653362</v>
      </c>
      <c r="G791" s="12" t="str">
        <f t="shared" si="25"/>
        <v>C</v>
      </c>
      <c r="H791" s="9" t="s">
        <v>586</v>
      </c>
      <c r="I791" s="9" t="s">
        <v>1723</v>
      </c>
      <c r="J791" s="9" t="s">
        <v>213</v>
      </c>
      <c r="K791" s="10" t="str">
        <f>IFERROR(VLOOKUP(A791,'Pedido ESTHER'!$B:$C,2,0),"")</f>
        <v/>
      </c>
      <c r="L791" s="12" t="str">
        <f>IF(N(K791)&gt;0,"COMPRA","NÃO COMPRA")</f>
        <v>NÃO COMPRA</v>
      </c>
    </row>
    <row r="792" spans="1:12">
      <c r="A792" s="8" t="s">
        <v>1724</v>
      </c>
      <c r="B792" s="9" t="s">
        <v>812</v>
      </c>
      <c r="C792" s="9" t="e">
        <f>VLOOKUP(A792,[2]Planilha1!$A:$B,2,0)</f>
        <v>#N/A</v>
      </c>
      <c r="D792" s="10">
        <f>SUMIF([1]Relatório!$A$2:$A$2653,A792,[1]Relatório!$AK$2:$AK$2653)</f>
        <v>125</v>
      </c>
      <c r="E792" s="11">
        <f t="shared" si="24"/>
        <v>0.000213690920871107</v>
      </c>
      <c r="F792" s="11">
        <f>SUM($E$7:E792)</f>
        <v>0.920047114574233</v>
      </c>
      <c r="G792" s="12" t="str">
        <f t="shared" si="25"/>
        <v>C</v>
      </c>
      <c r="H792" s="9" t="s">
        <v>776</v>
      </c>
      <c r="I792" s="9"/>
      <c r="J792" s="9" t="s">
        <v>1143</v>
      </c>
      <c r="K792" s="10" t="str">
        <f>IFERROR(VLOOKUP(A792,'Pedido ESTHER'!$B:$C,2,0),"")</f>
        <v/>
      </c>
      <c r="L792" s="12" t="str">
        <f>IF(N(K792)&gt;0,"COMPRA","NÃO COMPRA")</f>
        <v>NÃO COMPRA</v>
      </c>
    </row>
    <row r="793" spans="1:12">
      <c r="A793" s="8" t="s">
        <v>1725</v>
      </c>
      <c r="B793" s="9" t="s">
        <v>1726</v>
      </c>
      <c r="C793" s="9" t="e">
        <f>VLOOKUP(A793,[2]Planilha1!$A:$B,2,0)</f>
        <v>#N/A</v>
      </c>
      <c r="D793" s="10">
        <f>SUMIF([1]Relatório!$A$2:$A$2653,A793,[1]Relatório!$AK$2:$AK$2653)</f>
        <v>125</v>
      </c>
      <c r="E793" s="11">
        <f t="shared" si="24"/>
        <v>0.000213690920871107</v>
      </c>
      <c r="F793" s="11">
        <f>SUM($E$7:E793)</f>
        <v>0.920260805495105</v>
      </c>
      <c r="G793" s="12" t="str">
        <f t="shared" si="25"/>
        <v>C</v>
      </c>
      <c r="H793" s="9" t="s">
        <v>1117</v>
      </c>
      <c r="I793" s="9" t="s">
        <v>1727</v>
      </c>
      <c r="J793" s="9" t="s">
        <v>40</v>
      </c>
      <c r="K793" s="10" t="str">
        <f>IFERROR(VLOOKUP(A793,'Pedido ESTHER'!$B:$C,2,0),"")</f>
        <v/>
      </c>
      <c r="L793" s="12" t="str">
        <f>IF(N(K793)&gt;0,"COMPRA","NÃO COMPRA")</f>
        <v>NÃO COMPRA</v>
      </c>
    </row>
    <row r="794" spans="1:12">
      <c r="A794" s="8" t="s">
        <v>1728</v>
      </c>
      <c r="B794" s="9" t="s">
        <v>20</v>
      </c>
      <c r="C794" s="9" t="e">
        <f>VLOOKUP(A794,[2]Planilha1!$A:$B,2,0)</f>
        <v>#N/A</v>
      </c>
      <c r="D794" s="10">
        <f>SUMIF([1]Relatório!$A$2:$A$2653,A794,[1]Relatório!$AK$2:$AK$2653)</f>
        <v>125</v>
      </c>
      <c r="E794" s="11">
        <f t="shared" si="24"/>
        <v>0.000213690920871107</v>
      </c>
      <c r="F794" s="11">
        <f>SUM($E$7:E794)</f>
        <v>0.920474496415976</v>
      </c>
      <c r="G794" s="12" t="str">
        <f t="shared" si="25"/>
        <v>C</v>
      </c>
      <c r="H794" s="9" t="s">
        <v>21</v>
      </c>
      <c r="I794" s="9" t="s">
        <v>1729</v>
      </c>
      <c r="J794" s="9" t="s">
        <v>23</v>
      </c>
      <c r="K794" s="10" t="str">
        <f>IFERROR(VLOOKUP(A794,'Pedido ESTHER'!$B:$C,2,0),"")</f>
        <v/>
      </c>
      <c r="L794" s="12" t="str">
        <f>IF(N(K794)&gt;0,"COMPRA","NÃO COMPRA")</f>
        <v>NÃO COMPRA</v>
      </c>
    </row>
    <row r="795" spans="1:12">
      <c r="A795" s="8" t="s">
        <v>1730</v>
      </c>
      <c r="B795" s="9" t="s">
        <v>1428</v>
      </c>
      <c r="C795" s="9" t="e">
        <f>VLOOKUP(A795,[2]Planilha1!$A:$B,2,0)</f>
        <v>#N/A</v>
      </c>
      <c r="D795" s="10">
        <f>SUMIF([1]Relatório!$A$2:$A$2653,A795,[1]Relatório!$AK$2:$AK$2653)</f>
        <v>124</v>
      </c>
      <c r="E795" s="11">
        <f t="shared" si="24"/>
        <v>0.000211981393504138</v>
      </c>
      <c r="F795" s="11">
        <f>SUM($E$7:E795)</f>
        <v>0.92068647780948</v>
      </c>
      <c r="G795" s="12" t="str">
        <f t="shared" si="25"/>
        <v>C</v>
      </c>
      <c r="H795" s="9" t="s">
        <v>1117</v>
      </c>
      <c r="I795" s="9" t="s">
        <v>1731</v>
      </c>
      <c r="J795" s="9" t="s">
        <v>213</v>
      </c>
      <c r="K795" s="10" t="str">
        <f>IFERROR(VLOOKUP(A795,'Pedido ESTHER'!$B:$C,2,0),"")</f>
        <v/>
      </c>
      <c r="L795" s="12" t="str">
        <f>IF(N(K795)&gt;0,"COMPRA","NÃO COMPRA")</f>
        <v>NÃO COMPRA</v>
      </c>
    </row>
    <row r="796" spans="1:12">
      <c r="A796" s="8" t="s">
        <v>1732</v>
      </c>
      <c r="B796" s="9" t="s">
        <v>20</v>
      </c>
      <c r="C796" s="9" t="e">
        <f>VLOOKUP(A796,[2]Planilha1!$A:$B,2,0)</f>
        <v>#N/A</v>
      </c>
      <c r="D796" s="10">
        <f>SUMIF([1]Relatório!$A$2:$A$2653,A796,[1]Relatório!$AK$2:$AK$2653)</f>
        <v>124</v>
      </c>
      <c r="E796" s="11">
        <f t="shared" si="24"/>
        <v>0.000211981393504138</v>
      </c>
      <c r="F796" s="11">
        <f>SUM($E$7:E796)</f>
        <v>0.920898459202984</v>
      </c>
      <c r="G796" s="12" t="str">
        <f t="shared" si="25"/>
        <v>C</v>
      </c>
      <c r="H796" s="9" t="s">
        <v>21</v>
      </c>
      <c r="I796" s="9" t="s">
        <v>1733</v>
      </c>
      <c r="J796" s="9" t="s">
        <v>213</v>
      </c>
      <c r="K796" s="10" t="str">
        <f>IFERROR(VLOOKUP(A796,'Pedido ESTHER'!$B:$C,2,0),"")</f>
        <v/>
      </c>
      <c r="L796" s="12" t="str">
        <f>IF(N(K796)&gt;0,"COMPRA","NÃO COMPRA")</f>
        <v>NÃO COMPRA</v>
      </c>
    </row>
    <row r="797" spans="1:12">
      <c r="A797" s="8" t="s">
        <v>1734</v>
      </c>
      <c r="B797" s="9" t="s">
        <v>1316</v>
      </c>
      <c r="C797" s="9" t="e">
        <f>VLOOKUP(A797,[2]Planilha1!$A:$B,2,0)</f>
        <v>#N/A</v>
      </c>
      <c r="D797" s="10">
        <f>SUMIF([1]Relatório!$A$2:$A$2653,A797,[1]Relatório!$AK$2:$AK$2653)</f>
        <v>123</v>
      </c>
      <c r="E797" s="11">
        <f t="shared" si="24"/>
        <v>0.000210271866137169</v>
      </c>
      <c r="F797" s="11">
        <f>SUM($E$7:E797)</f>
        <v>0.921108731069121</v>
      </c>
      <c r="G797" s="12" t="str">
        <f t="shared" si="25"/>
        <v>C</v>
      </c>
      <c r="H797" s="9" t="s">
        <v>82</v>
      </c>
      <c r="I797" s="9"/>
      <c r="J797" s="9" t="s">
        <v>241</v>
      </c>
      <c r="K797" s="10" t="str">
        <f>IFERROR(VLOOKUP(A797,'Pedido ESTHER'!$B:$C,2,0),"")</f>
        <v/>
      </c>
      <c r="L797" s="12" t="str">
        <f>IF(N(K797)&gt;0,"COMPRA","NÃO COMPRA")</f>
        <v>NÃO COMPRA</v>
      </c>
    </row>
    <row r="798" spans="1:12">
      <c r="A798" s="8" t="s">
        <v>1735</v>
      </c>
      <c r="B798" s="9" t="s">
        <v>1322</v>
      </c>
      <c r="C798" s="9" t="e">
        <f>VLOOKUP(A798,[2]Planilha1!$A:$B,2,0)</f>
        <v>#N/A</v>
      </c>
      <c r="D798" s="10">
        <f>SUMIF([1]Relatório!$A$2:$A$2653,A798,[1]Relatório!$AK$2:$AK$2653)</f>
        <v>122</v>
      </c>
      <c r="E798" s="11">
        <f t="shared" si="24"/>
        <v>0.0002085623387702</v>
      </c>
      <c r="F798" s="11">
        <f>SUM($E$7:E798)</f>
        <v>0.921317293407891</v>
      </c>
      <c r="G798" s="12" t="str">
        <f t="shared" si="25"/>
        <v>C</v>
      </c>
      <c r="H798" s="9" t="s">
        <v>21</v>
      </c>
      <c r="I798" s="9"/>
      <c r="J798" s="9" t="s">
        <v>158</v>
      </c>
      <c r="K798" s="10" t="str">
        <f>IFERROR(VLOOKUP(A798,'Pedido ESTHER'!$B:$C,2,0),"")</f>
        <v/>
      </c>
      <c r="L798" s="12" t="str">
        <f>IF(N(K798)&gt;0,"COMPRA","NÃO COMPRA")</f>
        <v>NÃO COMPRA</v>
      </c>
    </row>
    <row r="799" spans="1:12">
      <c r="A799" s="8" t="s">
        <v>1736</v>
      </c>
      <c r="B799" s="9" t="s">
        <v>1737</v>
      </c>
      <c r="C799" s="9" t="e">
        <f>VLOOKUP(A799,[2]Planilha1!$A:$B,2,0)</f>
        <v>#N/A</v>
      </c>
      <c r="D799" s="10">
        <f>SUMIF([1]Relatório!$A$2:$A$2653,A799,[1]Relatório!$AK$2:$AK$2653)</f>
        <v>122</v>
      </c>
      <c r="E799" s="11">
        <f t="shared" si="24"/>
        <v>0.0002085623387702</v>
      </c>
      <c r="F799" s="11">
        <f>SUM($E$7:E799)</f>
        <v>0.921525855746661</v>
      </c>
      <c r="G799" s="12" t="str">
        <f t="shared" si="25"/>
        <v>C</v>
      </c>
      <c r="H799" s="9" t="s">
        <v>18</v>
      </c>
      <c r="I799" s="9" t="s">
        <v>1738</v>
      </c>
      <c r="J799" s="9" t="s">
        <v>1169</v>
      </c>
      <c r="K799" s="10" t="str">
        <f>IFERROR(VLOOKUP(A799,'Pedido ESTHER'!$B:$C,2,0),"")</f>
        <v/>
      </c>
      <c r="L799" s="12" t="str">
        <f>IF(N(K799)&gt;0,"COMPRA","NÃO COMPRA")</f>
        <v>NÃO COMPRA</v>
      </c>
    </row>
    <row r="800" spans="1:12">
      <c r="A800" s="8" t="s">
        <v>1739</v>
      </c>
      <c r="B800" s="9" t="s">
        <v>775</v>
      </c>
      <c r="C800" s="9" t="e">
        <f>VLOOKUP(A800,[2]Planilha1!$A:$B,2,0)</f>
        <v>#N/A</v>
      </c>
      <c r="D800" s="10">
        <f>SUMIF([1]Relatório!$A$2:$A$2653,A800,[1]Relatório!$AK$2:$AK$2653)</f>
        <v>122</v>
      </c>
      <c r="E800" s="11">
        <f t="shared" si="24"/>
        <v>0.0002085623387702</v>
      </c>
      <c r="F800" s="11">
        <f>SUM($E$7:E800)</f>
        <v>0.921734418085432</v>
      </c>
      <c r="G800" s="12" t="str">
        <f t="shared" si="25"/>
        <v>C</v>
      </c>
      <c r="H800" s="9" t="s">
        <v>183</v>
      </c>
      <c r="I800" s="9"/>
      <c r="J800" s="9" t="s">
        <v>64</v>
      </c>
      <c r="K800" s="10" t="str">
        <f>IFERROR(VLOOKUP(A800,'Pedido ESTHER'!$B:$C,2,0),"")</f>
        <v/>
      </c>
      <c r="L800" s="12" t="str">
        <f>IF(N(K800)&gt;0,"COMPRA","NÃO COMPRA")</f>
        <v>NÃO COMPRA</v>
      </c>
    </row>
    <row r="801" spans="1:12">
      <c r="A801" s="8" t="s">
        <v>1740</v>
      </c>
      <c r="B801" s="9" t="s">
        <v>1638</v>
      </c>
      <c r="C801" s="9" t="e">
        <f>VLOOKUP(A801,[2]Planilha1!$A:$B,2,0)</f>
        <v>#N/A</v>
      </c>
      <c r="D801" s="10">
        <f>SUMIF([1]Relatório!$A$2:$A$2653,A801,[1]Relatório!$AK$2:$AK$2653)</f>
        <v>121</v>
      </c>
      <c r="E801" s="11">
        <f t="shared" si="24"/>
        <v>0.000206852811403231</v>
      </c>
      <c r="F801" s="11">
        <f>SUM($E$7:E801)</f>
        <v>0.921941270896835</v>
      </c>
      <c r="G801" s="12" t="str">
        <f t="shared" si="25"/>
        <v>C</v>
      </c>
      <c r="H801" s="9" t="s">
        <v>1344</v>
      </c>
      <c r="I801" s="9" t="s">
        <v>1741</v>
      </c>
      <c r="J801" s="9" t="s">
        <v>33</v>
      </c>
      <c r="K801" s="10" t="str">
        <f>IFERROR(VLOOKUP(A801,'Pedido ESTHER'!$B:$C,2,0),"")</f>
        <v/>
      </c>
      <c r="L801" s="12" t="str">
        <f>IF(N(K801)&gt;0,"COMPRA","NÃO COMPRA")</f>
        <v>NÃO COMPRA</v>
      </c>
    </row>
    <row r="802" spans="1:12">
      <c r="A802" s="8" t="s">
        <v>1742</v>
      </c>
      <c r="B802" s="9" t="s">
        <v>20</v>
      </c>
      <c r="C802" s="9" t="e">
        <f>VLOOKUP(A802,[2]Planilha1!$A:$B,2,0)</f>
        <v>#N/A</v>
      </c>
      <c r="D802" s="10">
        <f>SUMIF([1]Relatório!$A$2:$A$2653,A802,[1]Relatório!$AK$2:$AK$2653)</f>
        <v>121</v>
      </c>
      <c r="E802" s="11">
        <f t="shared" si="24"/>
        <v>0.000206852811403231</v>
      </c>
      <c r="F802" s="11">
        <f>SUM($E$7:E802)</f>
        <v>0.922148123708238</v>
      </c>
      <c r="G802" s="12" t="str">
        <f t="shared" si="25"/>
        <v>C</v>
      </c>
      <c r="H802" s="9" t="s">
        <v>21</v>
      </c>
      <c r="I802" s="9" t="s">
        <v>1743</v>
      </c>
      <c r="J802" s="9" t="s">
        <v>23</v>
      </c>
      <c r="K802" s="10" t="str">
        <f>IFERROR(VLOOKUP(A802,'Pedido ESTHER'!$B:$C,2,0),"")</f>
        <v/>
      </c>
      <c r="L802" s="12" t="str">
        <f>IF(N(K802)&gt;0,"COMPRA","NÃO COMPRA")</f>
        <v>NÃO COMPRA</v>
      </c>
    </row>
    <row r="803" spans="1:12">
      <c r="A803" s="8" t="s">
        <v>1744</v>
      </c>
      <c r="B803" s="9" t="s">
        <v>827</v>
      </c>
      <c r="C803" s="9" t="e">
        <f>VLOOKUP(A803,[2]Planilha1!$A:$B,2,0)</f>
        <v>#N/A</v>
      </c>
      <c r="D803" s="10">
        <f>SUMIF([1]Relatório!$A$2:$A$2653,A803,[1]Relatório!$AK$2:$AK$2653)</f>
        <v>121</v>
      </c>
      <c r="E803" s="11">
        <f t="shared" si="24"/>
        <v>0.000206852811403231</v>
      </c>
      <c r="F803" s="11">
        <f>SUM($E$7:E803)</f>
        <v>0.922354976519641</v>
      </c>
      <c r="G803" s="12" t="str">
        <f t="shared" si="25"/>
        <v>C</v>
      </c>
      <c r="H803" s="9" t="s">
        <v>183</v>
      </c>
      <c r="I803" s="9" t="s">
        <v>1745</v>
      </c>
      <c r="J803" s="9" t="s">
        <v>36</v>
      </c>
      <c r="K803" s="10" t="str">
        <f>IFERROR(VLOOKUP(A803,'Pedido ESTHER'!$B:$C,2,0),"")</f>
        <v/>
      </c>
      <c r="L803" s="12" t="str">
        <f>IF(N(K803)&gt;0,"COMPRA","NÃO COMPRA")</f>
        <v>NÃO COMPRA</v>
      </c>
    </row>
    <row r="804" spans="1:12">
      <c r="A804" s="8" t="s">
        <v>1746</v>
      </c>
      <c r="B804" s="9" t="s">
        <v>1747</v>
      </c>
      <c r="C804" s="9" t="e">
        <f>VLOOKUP(A804,[2]Planilha1!$A:$B,2,0)</f>
        <v>#N/A</v>
      </c>
      <c r="D804" s="10">
        <f>SUMIF([1]Relatório!$A$2:$A$2653,A804,[1]Relatório!$AK$2:$AK$2653)</f>
        <v>121</v>
      </c>
      <c r="E804" s="11">
        <f t="shared" si="24"/>
        <v>0.000206852811403231</v>
      </c>
      <c r="F804" s="11">
        <f>SUM($E$7:E804)</f>
        <v>0.922561829331044</v>
      </c>
      <c r="G804" s="12" t="str">
        <f t="shared" si="25"/>
        <v>C</v>
      </c>
      <c r="H804" s="9" t="s">
        <v>183</v>
      </c>
      <c r="I804" s="9" t="s">
        <v>1748</v>
      </c>
      <c r="J804" s="9" t="s">
        <v>1017</v>
      </c>
      <c r="K804" s="10" t="str">
        <f>IFERROR(VLOOKUP(A804,'Pedido ESTHER'!$B:$C,2,0),"")</f>
        <v/>
      </c>
      <c r="L804" s="12" t="str">
        <f>IF(N(K804)&gt;0,"COMPRA","NÃO COMPRA")</f>
        <v>NÃO COMPRA</v>
      </c>
    </row>
    <row r="805" spans="1:12">
      <c r="A805" s="8" t="s">
        <v>1749</v>
      </c>
      <c r="B805" s="9" t="s">
        <v>706</v>
      </c>
      <c r="C805" s="9" t="e">
        <f>VLOOKUP(A805,[2]Planilha1!$A:$B,2,0)</f>
        <v>#N/A</v>
      </c>
      <c r="D805" s="10">
        <f>SUMIF([1]Relatório!$A$2:$A$2653,A805,[1]Relatório!$AK$2:$AK$2653)</f>
        <v>121</v>
      </c>
      <c r="E805" s="11">
        <f t="shared" si="24"/>
        <v>0.000206852811403231</v>
      </c>
      <c r="F805" s="11">
        <f>SUM($E$7:E805)</f>
        <v>0.922768682142448</v>
      </c>
      <c r="G805" s="12" t="str">
        <f t="shared" si="25"/>
        <v>C</v>
      </c>
      <c r="H805" s="9" t="s">
        <v>183</v>
      </c>
      <c r="I805" s="9"/>
      <c r="J805" s="9" t="s">
        <v>241</v>
      </c>
      <c r="K805" s="10" t="str">
        <f>IFERROR(VLOOKUP(A805,'Pedido ESTHER'!$B:$C,2,0),"")</f>
        <v/>
      </c>
      <c r="L805" s="12" t="str">
        <f>IF(N(K805)&gt;0,"COMPRA","NÃO COMPRA")</f>
        <v>NÃO COMPRA</v>
      </c>
    </row>
    <row r="806" spans="1:12">
      <c r="A806" s="8" t="s">
        <v>1750</v>
      </c>
      <c r="B806" s="9" t="s">
        <v>1103</v>
      </c>
      <c r="C806" s="9" t="e">
        <f>VLOOKUP(A806,[2]Planilha1!$A:$B,2,0)</f>
        <v>#N/A</v>
      </c>
      <c r="D806" s="10">
        <f>SUMIF([1]Relatório!$A$2:$A$2653,A806,[1]Relatório!$AK$2:$AK$2653)</f>
        <v>120</v>
      </c>
      <c r="E806" s="11">
        <f t="shared" si="24"/>
        <v>0.000205143284036262</v>
      </c>
      <c r="F806" s="11">
        <f>SUM($E$7:E806)</f>
        <v>0.922973825426484</v>
      </c>
      <c r="G806" s="12" t="str">
        <f t="shared" si="25"/>
        <v>C</v>
      </c>
      <c r="H806" s="9" t="s">
        <v>82</v>
      </c>
      <c r="I806" s="9"/>
      <c r="J806" s="9" t="s">
        <v>164</v>
      </c>
      <c r="K806" s="10" t="str">
        <f>IFERROR(VLOOKUP(A806,'Pedido ESTHER'!$B:$C,2,0),"")</f>
        <v/>
      </c>
      <c r="L806" s="12" t="str">
        <f>IF(N(K806)&gt;0,"COMPRA","NÃO COMPRA")</f>
        <v>NÃO COMPRA</v>
      </c>
    </row>
    <row r="807" spans="1:12">
      <c r="A807" s="8" t="s">
        <v>1751</v>
      </c>
      <c r="B807" s="9" t="s">
        <v>923</v>
      </c>
      <c r="C807" s="9" t="e">
        <f>VLOOKUP(A807,[2]Planilha1!$A:$B,2,0)</f>
        <v>#N/A</v>
      </c>
      <c r="D807" s="10">
        <f>SUMIF([1]Relatório!$A$2:$A$2653,A807,[1]Relatório!$AK$2:$AK$2653)</f>
        <v>120</v>
      </c>
      <c r="E807" s="11">
        <f t="shared" si="24"/>
        <v>0.000205143284036262</v>
      </c>
      <c r="F807" s="11">
        <f>SUM($E$7:E807)</f>
        <v>0.92317896871052</v>
      </c>
      <c r="G807" s="12" t="str">
        <f t="shared" si="25"/>
        <v>C</v>
      </c>
      <c r="H807" s="9" t="s">
        <v>183</v>
      </c>
      <c r="I807" s="9"/>
      <c r="J807" s="9" t="s">
        <v>671</v>
      </c>
      <c r="K807" s="10" t="str">
        <f>IFERROR(VLOOKUP(A807,'Pedido ESTHER'!$B:$C,2,0),"")</f>
        <v/>
      </c>
      <c r="L807" s="12" t="str">
        <f>IF(N(K807)&gt;0,"COMPRA","NÃO COMPRA")</f>
        <v>NÃO COMPRA</v>
      </c>
    </row>
    <row r="808" spans="1:12">
      <c r="A808" s="8" t="s">
        <v>1752</v>
      </c>
      <c r="B808" s="9" t="s">
        <v>923</v>
      </c>
      <c r="C808" s="9" t="e">
        <f>VLOOKUP(A808,[2]Planilha1!$A:$B,2,0)</f>
        <v>#N/A</v>
      </c>
      <c r="D808" s="10">
        <f>SUMIF([1]Relatório!$A$2:$A$2653,A808,[1]Relatório!$AK$2:$AK$2653)</f>
        <v>120</v>
      </c>
      <c r="E808" s="11">
        <f t="shared" si="24"/>
        <v>0.000205143284036262</v>
      </c>
      <c r="F808" s="11">
        <f>SUM($E$7:E808)</f>
        <v>0.923384111994557</v>
      </c>
      <c r="G808" s="12" t="str">
        <f t="shared" si="25"/>
        <v>C</v>
      </c>
      <c r="H808" s="9" t="s">
        <v>183</v>
      </c>
      <c r="I808" s="9"/>
      <c r="J808" s="9" t="s">
        <v>671</v>
      </c>
      <c r="K808" s="10" t="str">
        <f>IFERROR(VLOOKUP(A808,'Pedido ESTHER'!$B:$C,2,0),"")</f>
        <v/>
      </c>
      <c r="L808" s="12" t="str">
        <f>IF(N(K808)&gt;0,"COMPRA","NÃO COMPRA")</f>
        <v>NÃO COMPRA</v>
      </c>
    </row>
    <row r="809" spans="1:12">
      <c r="A809" s="8" t="s">
        <v>1753</v>
      </c>
      <c r="B809" s="9" t="s">
        <v>1754</v>
      </c>
      <c r="C809" s="9" t="e">
        <f>VLOOKUP(A809,[2]Planilha1!$A:$B,2,0)</f>
        <v>#N/A</v>
      </c>
      <c r="D809" s="10">
        <f>SUMIF([1]Relatório!$A$2:$A$2653,A809,[1]Relatório!$AK$2:$AK$2653)</f>
        <v>120</v>
      </c>
      <c r="E809" s="11">
        <f t="shared" si="24"/>
        <v>0.000205143284036262</v>
      </c>
      <c r="F809" s="11">
        <f>SUM($E$7:E809)</f>
        <v>0.923589255278593</v>
      </c>
      <c r="G809" s="12" t="str">
        <f t="shared" si="25"/>
        <v>C</v>
      </c>
      <c r="H809" s="9" t="s">
        <v>221</v>
      </c>
      <c r="I809" s="9" t="s">
        <v>1755</v>
      </c>
      <c r="J809" s="9" t="s">
        <v>671</v>
      </c>
      <c r="K809" s="10" t="str">
        <f>IFERROR(VLOOKUP(A809,'Pedido ESTHER'!$B:$C,2,0),"")</f>
        <v/>
      </c>
      <c r="L809" s="12" t="str">
        <f>IF(N(K809)&gt;0,"COMPRA","NÃO COMPRA")</f>
        <v>NÃO COMPRA</v>
      </c>
    </row>
    <row r="810" spans="1:12">
      <c r="A810" s="8" t="s">
        <v>1756</v>
      </c>
      <c r="B810" s="9" t="s">
        <v>1757</v>
      </c>
      <c r="C810" s="9" t="e">
        <f>VLOOKUP(A810,[2]Planilha1!$A:$B,2,0)</f>
        <v>#N/A</v>
      </c>
      <c r="D810" s="10">
        <f>SUMIF([1]Relatório!$A$2:$A$2653,A810,[1]Relatório!$AK$2:$AK$2653)</f>
        <v>120</v>
      </c>
      <c r="E810" s="11">
        <f t="shared" si="24"/>
        <v>0.000205143284036262</v>
      </c>
      <c r="F810" s="11">
        <f>SUM($E$7:E810)</f>
        <v>0.923794398562629</v>
      </c>
      <c r="G810" s="12" t="str">
        <f t="shared" si="25"/>
        <v>C</v>
      </c>
      <c r="H810" s="9" t="s">
        <v>1059</v>
      </c>
      <c r="I810" s="9" t="s">
        <v>1758</v>
      </c>
      <c r="J810" s="9" t="s">
        <v>1759</v>
      </c>
      <c r="K810" s="10" t="str">
        <f>IFERROR(VLOOKUP(A810,'Pedido ESTHER'!$B:$C,2,0),"")</f>
        <v/>
      </c>
      <c r="L810" s="12" t="str">
        <f>IF(N(K810)&gt;0,"COMPRA","NÃO COMPRA")</f>
        <v>NÃO COMPRA</v>
      </c>
    </row>
    <row r="811" spans="1:12">
      <c r="A811" s="8" t="s">
        <v>1760</v>
      </c>
      <c r="B811" s="9" t="s">
        <v>154</v>
      </c>
      <c r="C811" s="9" t="e">
        <f>VLOOKUP(A811,[2]Planilha1!$A:$B,2,0)</f>
        <v>#N/A</v>
      </c>
      <c r="D811" s="10">
        <f>SUMIF([1]Relatório!$A$2:$A$2653,A811,[1]Relatório!$AK$2:$AK$2653)</f>
        <v>120</v>
      </c>
      <c r="E811" s="11">
        <f t="shared" si="24"/>
        <v>0.000205143284036262</v>
      </c>
      <c r="F811" s="11">
        <f>SUM($E$7:E811)</f>
        <v>0.923999541846666</v>
      </c>
      <c r="G811" s="12" t="str">
        <f t="shared" si="25"/>
        <v>C</v>
      </c>
      <c r="H811" s="9" t="s">
        <v>117</v>
      </c>
      <c r="I811" s="9" t="s">
        <v>1761</v>
      </c>
      <c r="J811" s="9" t="s">
        <v>44</v>
      </c>
      <c r="K811" s="10" t="str">
        <f>IFERROR(VLOOKUP(A811,'Pedido ESTHER'!$B:$C,2,0),"")</f>
        <v/>
      </c>
      <c r="L811" s="12" t="str">
        <f>IF(N(K811)&gt;0,"COMPRA","NÃO COMPRA")</f>
        <v>NÃO COMPRA</v>
      </c>
    </row>
    <row r="812" spans="1:12">
      <c r="A812" s="8" t="s">
        <v>1762</v>
      </c>
      <c r="B812" s="9" t="s">
        <v>1103</v>
      </c>
      <c r="C812" s="9" t="e">
        <f>VLOOKUP(A812,[2]Planilha1!$A:$B,2,0)</f>
        <v>#N/A</v>
      </c>
      <c r="D812" s="10">
        <f>SUMIF([1]Relatório!$A$2:$A$2653,A812,[1]Relatório!$AK$2:$AK$2653)</f>
        <v>119</v>
      </c>
      <c r="E812" s="11">
        <f t="shared" si="24"/>
        <v>0.000203433756669294</v>
      </c>
      <c r="F812" s="11">
        <f>SUM($E$7:E812)</f>
        <v>0.924202975603335</v>
      </c>
      <c r="G812" s="12" t="str">
        <f t="shared" si="25"/>
        <v>C</v>
      </c>
      <c r="H812" s="9" t="s">
        <v>82</v>
      </c>
      <c r="I812" s="9"/>
      <c r="J812" s="9" t="s">
        <v>164</v>
      </c>
      <c r="K812" s="10" t="str">
        <f>IFERROR(VLOOKUP(A812,'Pedido ESTHER'!$B:$C,2,0),"")</f>
        <v/>
      </c>
      <c r="L812" s="12" t="str">
        <f>IF(N(K812)&gt;0,"COMPRA","NÃO COMPRA")</f>
        <v>NÃO COMPRA</v>
      </c>
    </row>
    <row r="813" spans="1:12">
      <c r="A813" s="8" t="s">
        <v>1763</v>
      </c>
      <c r="B813" s="9" t="s">
        <v>365</v>
      </c>
      <c r="C813" s="9" t="e">
        <f>VLOOKUP(A813,[2]Planilha1!$A:$B,2,0)</f>
        <v>#N/A</v>
      </c>
      <c r="D813" s="10">
        <f>SUMIF([1]Relatório!$A$2:$A$2653,A813,[1]Relatório!$AK$2:$AK$2653)</f>
        <v>119</v>
      </c>
      <c r="E813" s="11">
        <f t="shared" si="24"/>
        <v>0.000203433756669294</v>
      </c>
      <c r="F813" s="11">
        <f>SUM($E$7:E813)</f>
        <v>0.924406409360004</v>
      </c>
      <c r="G813" s="12" t="str">
        <f t="shared" si="25"/>
        <v>C</v>
      </c>
      <c r="H813" s="9" t="s">
        <v>18</v>
      </c>
      <c r="I813" s="9" t="s">
        <v>1764</v>
      </c>
      <c r="J813" s="9" t="s">
        <v>23</v>
      </c>
      <c r="K813" s="10" t="str">
        <f>IFERROR(VLOOKUP(A813,'Pedido ESTHER'!$B:$C,2,0),"")</f>
        <v/>
      </c>
      <c r="L813" s="12" t="str">
        <f>IF(N(K813)&gt;0,"COMPRA","NÃO COMPRA")</f>
        <v>NÃO COMPRA</v>
      </c>
    </row>
    <row r="814" spans="1:12">
      <c r="A814" s="8" t="s">
        <v>1765</v>
      </c>
      <c r="B814" s="9" t="s">
        <v>379</v>
      </c>
      <c r="C814" s="9" t="e">
        <f>VLOOKUP(A814,[2]Planilha1!$A:$B,2,0)</f>
        <v>#N/A</v>
      </c>
      <c r="D814" s="10">
        <f>SUMIF([1]Relatório!$A$2:$A$2653,A814,[1]Relatório!$AK$2:$AK$2653)</f>
        <v>119</v>
      </c>
      <c r="E814" s="11">
        <f t="shared" si="24"/>
        <v>0.000203433756669294</v>
      </c>
      <c r="F814" s="11">
        <f>SUM($E$7:E814)</f>
        <v>0.924609843116673</v>
      </c>
      <c r="G814" s="12" t="str">
        <f t="shared" si="25"/>
        <v>C</v>
      </c>
      <c r="H814" s="9" t="s">
        <v>143</v>
      </c>
      <c r="I814" s="9" t="s">
        <v>1766</v>
      </c>
      <c r="J814" s="9" t="s">
        <v>359</v>
      </c>
      <c r="K814" s="10" t="str">
        <f>IFERROR(VLOOKUP(A814,'Pedido ESTHER'!$B:$C,2,0),"")</f>
        <v/>
      </c>
      <c r="L814" s="12" t="str">
        <f>IF(N(K814)&gt;0,"COMPRA","NÃO COMPRA")</f>
        <v>NÃO COMPRA</v>
      </c>
    </row>
    <row r="815" spans="1:12">
      <c r="A815" s="8" t="s">
        <v>1767</v>
      </c>
      <c r="B815" s="9" t="s">
        <v>280</v>
      </c>
      <c r="C815" s="9" t="e">
        <f>VLOOKUP(A815,[2]Planilha1!$A:$B,2,0)</f>
        <v>#N/A</v>
      </c>
      <c r="D815" s="10">
        <f>SUMIF([1]Relatório!$A$2:$A$2653,A815,[1]Relatório!$AK$2:$AK$2653)</f>
        <v>119</v>
      </c>
      <c r="E815" s="11">
        <f t="shared" si="24"/>
        <v>0.000203433756669294</v>
      </c>
      <c r="F815" s="11">
        <f>SUM($E$7:E815)</f>
        <v>0.924813276873343</v>
      </c>
      <c r="G815" s="12" t="str">
        <f t="shared" si="25"/>
        <v>C</v>
      </c>
      <c r="H815" s="9" t="s">
        <v>21</v>
      </c>
      <c r="I815" s="9"/>
      <c r="J815" s="9" t="s">
        <v>281</v>
      </c>
      <c r="K815" s="10" t="str">
        <f>IFERROR(VLOOKUP(A815,'Pedido ESTHER'!$B:$C,2,0),"")</f>
        <v/>
      </c>
      <c r="L815" s="12" t="str">
        <f>IF(N(K815)&gt;0,"COMPRA","NÃO COMPRA")</f>
        <v>NÃO COMPRA</v>
      </c>
    </row>
    <row r="816" spans="1:12">
      <c r="A816" s="8" t="s">
        <v>1768</v>
      </c>
      <c r="B816" s="9" t="s">
        <v>1769</v>
      </c>
      <c r="C816" s="9" t="e">
        <f>VLOOKUP(A816,[2]Planilha1!$A:$B,2,0)</f>
        <v>#N/A</v>
      </c>
      <c r="D816" s="10">
        <f>SUMIF([1]Relatório!$A$2:$A$2653,A816,[1]Relatório!$AK$2:$AK$2653)</f>
        <v>119</v>
      </c>
      <c r="E816" s="11">
        <f t="shared" si="24"/>
        <v>0.000203433756669294</v>
      </c>
      <c r="F816" s="11">
        <f>SUM($E$7:E816)</f>
        <v>0.925016710630012</v>
      </c>
      <c r="G816" s="12" t="str">
        <f t="shared" si="25"/>
        <v>C</v>
      </c>
      <c r="H816" s="9" t="s">
        <v>1059</v>
      </c>
      <c r="I816" s="9" t="s">
        <v>1770</v>
      </c>
      <c r="J816" s="9" t="s">
        <v>359</v>
      </c>
      <c r="K816" s="10" t="str">
        <f>IFERROR(VLOOKUP(A816,'Pedido ESTHER'!$B:$C,2,0),"")</f>
        <v/>
      </c>
      <c r="L816" s="12" t="str">
        <f>IF(N(K816)&gt;0,"COMPRA","NÃO COMPRA")</f>
        <v>NÃO COMPRA</v>
      </c>
    </row>
    <row r="817" spans="1:12">
      <c r="A817" s="8" t="s">
        <v>1771</v>
      </c>
      <c r="B817" s="9" t="s">
        <v>1737</v>
      </c>
      <c r="C817" s="9" t="e">
        <f>VLOOKUP(A817,[2]Planilha1!$A:$B,2,0)</f>
        <v>#N/A</v>
      </c>
      <c r="D817" s="10">
        <f>SUMIF([1]Relatório!$A$2:$A$2653,A817,[1]Relatório!$AK$2:$AK$2653)</f>
        <v>118</v>
      </c>
      <c r="E817" s="11">
        <f t="shared" si="24"/>
        <v>0.000201724229302325</v>
      </c>
      <c r="F817" s="11">
        <f>SUM($E$7:E817)</f>
        <v>0.925218434859314</v>
      </c>
      <c r="G817" s="12" t="str">
        <f t="shared" si="25"/>
        <v>C</v>
      </c>
      <c r="H817" s="9" t="s">
        <v>18</v>
      </c>
      <c r="I817" s="9" t="s">
        <v>1772</v>
      </c>
      <c r="J817" s="9" t="s">
        <v>1443</v>
      </c>
      <c r="K817" s="10" t="str">
        <f>IFERROR(VLOOKUP(A817,'Pedido ESTHER'!$B:$C,2,0),"")</f>
        <v/>
      </c>
      <c r="L817" s="12" t="str">
        <f>IF(N(K817)&gt;0,"COMPRA","NÃO COMPRA")</f>
        <v>NÃO COMPRA</v>
      </c>
    </row>
    <row r="818" spans="1:12">
      <c r="A818" s="8" t="s">
        <v>1773</v>
      </c>
      <c r="B818" s="9" t="s">
        <v>1522</v>
      </c>
      <c r="C818" s="9" t="e">
        <f>VLOOKUP(A818,[2]Planilha1!$A:$B,2,0)</f>
        <v>#N/A</v>
      </c>
      <c r="D818" s="10">
        <f>SUMIF([1]Relatório!$A$2:$A$2653,A818,[1]Relatório!$AK$2:$AK$2653)</f>
        <v>118</v>
      </c>
      <c r="E818" s="11">
        <f t="shared" si="24"/>
        <v>0.000201724229302325</v>
      </c>
      <c r="F818" s="11">
        <f>SUM($E$7:E818)</f>
        <v>0.925420159088617</v>
      </c>
      <c r="G818" s="12" t="str">
        <f t="shared" si="25"/>
        <v>C</v>
      </c>
      <c r="H818" s="9" t="s">
        <v>183</v>
      </c>
      <c r="I818" s="9" t="s">
        <v>1774</v>
      </c>
      <c r="J818" s="9" t="s">
        <v>58</v>
      </c>
      <c r="K818" s="10" t="str">
        <f>IFERROR(VLOOKUP(A818,'Pedido ESTHER'!$B:$C,2,0),"")</f>
        <v/>
      </c>
      <c r="L818" s="12" t="str">
        <f>IF(N(K818)&gt;0,"COMPRA","NÃO COMPRA")</f>
        <v>NÃO COMPRA</v>
      </c>
    </row>
    <row r="819" spans="1:12">
      <c r="A819" s="8" t="s">
        <v>1775</v>
      </c>
      <c r="B819" s="9" t="s">
        <v>1312</v>
      </c>
      <c r="C819" s="9" t="e">
        <f>VLOOKUP(A819,[2]Planilha1!$A:$B,2,0)</f>
        <v>#N/A</v>
      </c>
      <c r="D819" s="10">
        <f>SUMIF([1]Relatório!$A$2:$A$2653,A819,[1]Relatório!$AK$2:$AK$2653)</f>
        <v>118</v>
      </c>
      <c r="E819" s="11">
        <f t="shared" si="24"/>
        <v>0.000201724229302325</v>
      </c>
      <c r="F819" s="11">
        <f>SUM($E$7:E819)</f>
        <v>0.925621883317919</v>
      </c>
      <c r="G819" s="12" t="str">
        <f t="shared" si="25"/>
        <v>C</v>
      </c>
      <c r="H819" s="9" t="s">
        <v>183</v>
      </c>
      <c r="I819" s="9"/>
      <c r="J819" s="9" t="s">
        <v>164</v>
      </c>
      <c r="K819" s="10" t="str">
        <f>IFERROR(VLOOKUP(A819,'Pedido ESTHER'!$B:$C,2,0),"")</f>
        <v/>
      </c>
      <c r="L819" s="12" t="str">
        <f>IF(N(K819)&gt;0,"COMPRA","NÃO COMPRA")</f>
        <v>NÃO COMPRA</v>
      </c>
    </row>
    <row r="820" spans="1:12">
      <c r="A820" s="8" t="s">
        <v>1776</v>
      </c>
      <c r="B820" s="9" t="s">
        <v>125</v>
      </c>
      <c r="C820" s="9" t="e">
        <f>VLOOKUP(A820,[2]Planilha1!$A:$B,2,0)</f>
        <v>#N/A</v>
      </c>
      <c r="D820" s="10">
        <f>SUMIF([1]Relatório!$A$2:$A$2653,A820,[1]Relatório!$AK$2:$AK$2653)</f>
        <v>117</v>
      </c>
      <c r="E820" s="11">
        <f t="shared" si="24"/>
        <v>0.000200014701935356</v>
      </c>
      <c r="F820" s="11">
        <f>SUM($E$7:E820)</f>
        <v>0.925821898019854</v>
      </c>
      <c r="G820" s="12" t="str">
        <f t="shared" si="25"/>
        <v>C</v>
      </c>
      <c r="H820" s="9" t="s">
        <v>74</v>
      </c>
      <c r="I820" s="9" t="s">
        <v>1777</v>
      </c>
      <c r="J820" s="9" t="s">
        <v>23</v>
      </c>
      <c r="K820" s="10" t="str">
        <f>IFERROR(VLOOKUP(A820,'Pedido ESTHER'!$B:$C,2,0),"")</f>
        <v/>
      </c>
      <c r="L820" s="12" t="str">
        <f>IF(N(K820)&gt;0,"COMPRA","NÃO COMPRA")</f>
        <v>NÃO COMPRA</v>
      </c>
    </row>
    <row r="821" spans="1:12">
      <c r="A821" s="8" t="s">
        <v>1778</v>
      </c>
      <c r="B821" s="9" t="s">
        <v>1612</v>
      </c>
      <c r="C821" s="9" t="e">
        <f>VLOOKUP(A821,[2]Planilha1!$A:$B,2,0)</f>
        <v>#N/A</v>
      </c>
      <c r="D821" s="10">
        <f>SUMIF([1]Relatório!$A$2:$A$2653,A821,[1]Relatório!$AK$2:$AK$2653)</f>
        <v>116</v>
      </c>
      <c r="E821" s="11">
        <f t="shared" si="24"/>
        <v>0.000198305174568387</v>
      </c>
      <c r="F821" s="11">
        <f>SUM($E$7:E821)</f>
        <v>0.926020203194423</v>
      </c>
      <c r="G821" s="12" t="str">
        <f t="shared" si="25"/>
        <v>C</v>
      </c>
      <c r="H821" s="9" t="s">
        <v>1344</v>
      </c>
      <c r="I821" s="9" t="s">
        <v>1779</v>
      </c>
      <c r="J821" s="9" t="s">
        <v>33</v>
      </c>
      <c r="K821" s="10" t="str">
        <f>IFERROR(VLOOKUP(A821,'Pedido ESTHER'!$B:$C,2,0),"")</f>
        <v/>
      </c>
      <c r="L821" s="12" t="str">
        <f>IF(N(K821)&gt;0,"COMPRA","NÃO COMPRA")</f>
        <v>NÃO COMPRA</v>
      </c>
    </row>
    <row r="822" spans="1:12">
      <c r="A822" s="8" t="s">
        <v>1780</v>
      </c>
      <c r="B822" s="9" t="s">
        <v>1781</v>
      </c>
      <c r="C822" s="9" t="e">
        <f>VLOOKUP(A822,[2]Planilha1!$A:$B,2,0)</f>
        <v>#N/A</v>
      </c>
      <c r="D822" s="10">
        <f>SUMIF([1]Relatório!$A$2:$A$2653,A822,[1]Relatório!$AK$2:$AK$2653)</f>
        <v>116</v>
      </c>
      <c r="E822" s="11">
        <f t="shared" si="24"/>
        <v>0.000198305174568387</v>
      </c>
      <c r="F822" s="11">
        <f>SUM($E$7:E822)</f>
        <v>0.926218508368991</v>
      </c>
      <c r="G822" s="12" t="str">
        <f t="shared" si="25"/>
        <v>C</v>
      </c>
      <c r="H822" s="9" t="s">
        <v>1344</v>
      </c>
      <c r="I822" s="9" t="s">
        <v>1782</v>
      </c>
      <c r="J822" s="9" t="s">
        <v>201</v>
      </c>
      <c r="K822" s="10" t="str">
        <f>IFERROR(VLOOKUP(A822,'Pedido ESTHER'!$B:$C,2,0),"")</f>
        <v/>
      </c>
      <c r="L822" s="12" t="str">
        <f>IF(N(K822)&gt;0,"COMPRA","NÃO COMPRA")</f>
        <v>NÃO COMPRA</v>
      </c>
    </row>
    <row r="823" spans="1:12">
      <c r="A823" s="8" t="s">
        <v>1783</v>
      </c>
      <c r="B823" s="9" t="s">
        <v>1754</v>
      </c>
      <c r="C823" s="9" t="e">
        <f>VLOOKUP(A823,[2]Planilha1!$A:$B,2,0)</f>
        <v>#N/A</v>
      </c>
      <c r="D823" s="10">
        <f>SUMIF([1]Relatório!$A$2:$A$2653,A823,[1]Relatório!$AK$2:$AK$2653)</f>
        <v>116</v>
      </c>
      <c r="E823" s="11">
        <f t="shared" si="24"/>
        <v>0.000198305174568387</v>
      </c>
      <c r="F823" s="11">
        <f>SUM($E$7:E823)</f>
        <v>0.92641681354356</v>
      </c>
      <c r="G823" s="12" t="str">
        <f t="shared" si="25"/>
        <v>C</v>
      </c>
      <c r="H823" s="9" t="s">
        <v>221</v>
      </c>
      <c r="I823" s="9" t="s">
        <v>1784</v>
      </c>
      <c r="J823" s="9" t="s">
        <v>671</v>
      </c>
      <c r="K823" s="10" t="str">
        <f>IFERROR(VLOOKUP(A823,'Pedido ESTHER'!$B:$C,2,0),"")</f>
        <v/>
      </c>
      <c r="L823" s="12" t="str">
        <f>IF(N(K823)&gt;0,"COMPRA","NÃO COMPRA")</f>
        <v>NÃO COMPRA</v>
      </c>
    </row>
    <row r="824" spans="1:12">
      <c r="A824" s="8" t="s">
        <v>1785</v>
      </c>
      <c r="B824" s="9" t="s">
        <v>1660</v>
      </c>
      <c r="C824" s="9" t="e">
        <f>VLOOKUP(A824,[2]Planilha1!$A:$B,2,0)</f>
        <v>#N/A</v>
      </c>
      <c r="D824" s="10">
        <f>SUMIF([1]Relatório!$A$2:$A$2653,A824,[1]Relatório!$AK$2:$AK$2653)</f>
        <v>116</v>
      </c>
      <c r="E824" s="11">
        <f t="shared" si="24"/>
        <v>0.000198305174568387</v>
      </c>
      <c r="F824" s="11">
        <f>SUM($E$7:E824)</f>
        <v>0.926615118718128</v>
      </c>
      <c r="G824" s="12" t="str">
        <f t="shared" si="25"/>
        <v>C</v>
      </c>
      <c r="H824" s="9" t="s">
        <v>1059</v>
      </c>
      <c r="I824" s="9" t="s">
        <v>1786</v>
      </c>
      <c r="J824" s="9" t="s">
        <v>281</v>
      </c>
      <c r="K824" s="10" t="str">
        <f>IFERROR(VLOOKUP(A824,'Pedido ESTHER'!$B:$C,2,0),"")</f>
        <v/>
      </c>
      <c r="L824" s="12" t="str">
        <f>IF(N(K824)&gt;0,"COMPRA","NÃO COMPRA")</f>
        <v>NÃO COMPRA</v>
      </c>
    </row>
    <row r="825" spans="1:12">
      <c r="A825" s="8" t="s">
        <v>1787</v>
      </c>
      <c r="B825" s="9" t="s">
        <v>1405</v>
      </c>
      <c r="C825" s="9" t="e">
        <f>VLOOKUP(A825,[2]Planilha1!$A:$B,2,0)</f>
        <v>#N/A</v>
      </c>
      <c r="D825" s="10">
        <f>SUMIF([1]Relatório!$A$2:$A$2653,A825,[1]Relatório!$AK$2:$AK$2653)</f>
        <v>116</v>
      </c>
      <c r="E825" s="11">
        <f t="shared" si="24"/>
        <v>0.000198305174568387</v>
      </c>
      <c r="F825" s="11">
        <f>SUM($E$7:E825)</f>
        <v>0.926813423892696</v>
      </c>
      <c r="G825" s="12" t="str">
        <f t="shared" si="25"/>
        <v>C</v>
      </c>
      <c r="H825" s="9" t="s">
        <v>1059</v>
      </c>
      <c r="I825" s="9" t="s">
        <v>1788</v>
      </c>
      <c r="J825" s="9" t="s">
        <v>64</v>
      </c>
      <c r="K825" s="10" t="str">
        <f>IFERROR(VLOOKUP(A825,'Pedido ESTHER'!$B:$C,2,0),"")</f>
        <v/>
      </c>
      <c r="L825" s="12" t="str">
        <f>IF(N(K825)&gt;0,"COMPRA","NÃO COMPRA")</f>
        <v>NÃO COMPRA</v>
      </c>
    </row>
    <row r="826" spans="1:12">
      <c r="A826" s="8" t="s">
        <v>1789</v>
      </c>
      <c r="B826" s="9" t="s">
        <v>1388</v>
      </c>
      <c r="C826" s="9" t="e">
        <f>VLOOKUP(A826,[2]Planilha1!$A:$B,2,0)</f>
        <v>#N/A</v>
      </c>
      <c r="D826" s="10">
        <f>SUMIF([1]Relatório!$A$2:$A$2653,A826,[1]Relatório!$AK$2:$AK$2653)</f>
        <v>116</v>
      </c>
      <c r="E826" s="11">
        <f t="shared" si="24"/>
        <v>0.000198305174568387</v>
      </c>
      <c r="F826" s="11">
        <f>SUM($E$7:E826)</f>
        <v>0.927011729067265</v>
      </c>
      <c r="G826" s="12" t="str">
        <f t="shared" si="25"/>
        <v>C</v>
      </c>
      <c r="H826" s="9" t="s">
        <v>1059</v>
      </c>
      <c r="I826" s="9" t="s">
        <v>1790</v>
      </c>
      <c r="J826" s="9" t="s">
        <v>40</v>
      </c>
      <c r="K826" s="10" t="str">
        <f>IFERROR(VLOOKUP(A826,'Pedido ESTHER'!$B:$C,2,0),"")</f>
        <v/>
      </c>
      <c r="L826" s="12" t="str">
        <f>IF(N(K826)&gt;0,"COMPRA","NÃO COMPRA")</f>
        <v>NÃO COMPRA</v>
      </c>
    </row>
    <row r="827" spans="1:12">
      <c r="A827" s="8" t="s">
        <v>1791</v>
      </c>
      <c r="B827" s="9" t="s">
        <v>528</v>
      </c>
      <c r="C827" s="9" t="e">
        <f>VLOOKUP(A827,[2]Planilha1!$A:$B,2,0)</f>
        <v>#N/A</v>
      </c>
      <c r="D827" s="10">
        <f>SUMIF([1]Relatório!$A$2:$A$2653,A827,[1]Relatório!$AK$2:$AK$2653)</f>
        <v>116</v>
      </c>
      <c r="E827" s="11">
        <f t="shared" si="24"/>
        <v>0.000198305174568387</v>
      </c>
      <c r="F827" s="11">
        <f>SUM($E$7:E827)</f>
        <v>0.927210034241833</v>
      </c>
      <c r="G827" s="12" t="str">
        <f t="shared" si="25"/>
        <v>C</v>
      </c>
      <c r="H827" s="9" t="s">
        <v>21</v>
      </c>
      <c r="I827" s="9" t="s">
        <v>1792</v>
      </c>
      <c r="J827" s="9" t="s">
        <v>268</v>
      </c>
      <c r="K827" s="10" t="str">
        <f>IFERROR(VLOOKUP(A827,'Pedido ESTHER'!$B:$C,2,0),"")</f>
        <v/>
      </c>
      <c r="L827" s="12" t="str">
        <f>IF(N(K827)&gt;0,"COMPRA","NÃO COMPRA")</f>
        <v>NÃO COMPRA</v>
      </c>
    </row>
    <row r="828" spans="1:12">
      <c r="A828" s="8" t="s">
        <v>1793</v>
      </c>
      <c r="B828" s="9" t="s">
        <v>13</v>
      </c>
      <c r="C828" s="9" t="e">
        <f>VLOOKUP(A828,[2]Planilha1!$A:$B,2,0)</f>
        <v>#N/A</v>
      </c>
      <c r="D828" s="10">
        <f>SUMIF([1]Relatório!$A$2:$A$2653,A828,[1]Relatório!$AK$2:$AK$2653)</f>
        <v>116</v>
      </c>
      <c r="E828" s="11">
        <f t="shared" si="24"/>
        <v>0.000198305174568387</v>
      </c>
      <c r="F828" s="11">
        <f>SUM($E$7:E828)</f>
        <v>0.927408339416402</v>
      </c>
      <c r="G828" s="12" t="str">
        <f t="shared" si="25"/>
        <v>C</v>
      </c>
      <c r="H828" s="9" t="s">
        <v>14</v>
      </c>
      <c r="I828" s="9" t="s">
        <v>1794</v>
      </c>
      <c r="J828" s="9" t="s">
        <v>15</v>
      </c>
      <c r="K828" s="10" t="str">
        <f>IFERROR(VLOOKUP(A828,'Pedido ESTHER'!$B:$C,2,0),"")</f>
        <v/>
      </c>
      <c r="L828" s="12" t="str">
        <f>IF(N(K828)&gt;0,"COMPRA","NÃO COMPRA")</f>
        <v>NÃO COMPRA</v>
      </c>
    </row>
    <row r="829" spans="1:12">
      <c r="A829" s="8" t="s">
        <v>1795</v>
      </c>
      <c r="B829" s="9" t="s">
        <v>1796</v>
      </c>
      <c r="C829" s="9" t="e">
        <f>VLOOKUP(A829,[2]Planilha1!$A:$B,2,0)</f>
        <v>#N/A</v>
      </c>
      <c r="D829" s="10">
        <f>SUMIF([1]Relatório!$A$2:$A$2653,A829,[1]Relatório!$AK$2:$AK$2653)</f>
        <v>115</v>
      </c>
      <c r="E829" s="11">
        <f t="shared" si="24"/>
        <v>0.000196595647201418</v>
      </c>
      <c r="F829" s="11">
        <f>SUM($E$7:E829)</f>
        <v>0.927604935063603</v>
      </c>
      <c r="G829" s="12" t="str">
        <f t="shared" si="25"/>
        <v>C</v>
      </c>
      <c r="H829" s="9" t="s">
        <v>1344</v>
      </c>
      <c r="I829" s="9" t="s">
        <v>1797</v>
      </c>
      <c r="J829" s="9" t="s">
        <v>201</v>
      </c>
      <c r="K829" s="10" t="str">
        <f>IFERROR(VLOOKUP(A829,'Pedido ESTHER'!$B:$C,2,0),"")</f>
        <v/>
      </c>
      <c r="L829" s="12" t="str">
        <f>IF(N(K829)&gt;0,"COMPRA","NÃO COMPRA")</f>
        <v>NÃO COMPRA</v>
      </c>
    </row>
    <row r="830" spans="1:12">
      <c r="A830" s="8" t="s">
        <v>1798</v>
      </c>
      <c r="B830" s="9" t="s">
        <v>1799</v>
      </c>
      <c r="C830" s="9" t="e">
        <f>VLOOKUP(A830,[2]Planilha1!$A:$B,2,0)</f>
        <v>#N/A</v>
      </c>
      <c r="D830" s="10">
        <f>SUMIF([1]Relatório!$A$2:$A$2653,A830,[1]Relatório!$AK$2:$AK$2653)</f>
        <v>115</v>
      </c>
      <c r="E830" s="11">
        <f t="shared" si="24"/>
        <v>0.000196595647201418</v>
      </c>
      <c r="F830" s="11">
        <f>SUM($E$7:E830)</f>
        <v>0.927801530710805</v>
      </c>
      <c r="G830" s="12" t="str">
        <f t="shared" si="25"/>
        <v>C</v>
      </c>
      <c r="H830" s="9" t="s">
        <v>1059</v>
      </c>
      <c r="I830" s="9" t="s">
        <v>1800</v>
      </c>
      <c r="J830" s="9" t="s">
        <v>23</v>
      </c>
      <c r="K830" s="10" t="str">
        <f>IFERROR(VLOOKUP(A830,'Pedido ESTHER'!$B:$C,2,0),"")</f>
        <v/>
      </c>
      <c r="L830" s="12" t="str">
        <f>IF(N(K830)&gt;0,"COMPRA","NÃO COMPRA")</f>
        <v>NÃO COMPRA</v>
      </c>
    </row>
    <row r="831" spans="1:12">
      <c r="A831" s="8" t="s">
        <v>1801</v>
      </c>
      <c r="B831" s="9" t="s">
        <v>1802</v>
      </c>
      <c r="C831" s="9" t="e">
        <f>VLOOKUP(A831,[2]Planilha1!$A:$B,2,0)</f>
        <v>#N/A</v>
      </c>
      <c r="D831" s="10">
        <f>SUMIF([1]Relatório!$A$2:$A$2653,A831,[1]Relatório!$AK$2:$AK$2653)</f>
        <v>114</v>
      </c>
      <c r="E831" s="11">
        <f t="shared" si="24"/>
        <v>0.000194886119834449</v>
      </c>
      <c r="F831" s="11">
        <f>SUM($E$7:E831)</f>
        <v>0.927996416830639</v>
      </c>
      <c r="G831" s="12" t="str">
        <f t="shared" si="25"/>
        <v>C</v>
      </c>
      <c r="H831" s="9" t="s">
        <v>831</v>
      </c>
      <c r="I831" s="9" t="s">
        <v>1803</v>
      </c>
      <c r="J831" s="9" t="s">
        <v>390</v>
      </c>
      <c r="K831" s="10" t="str">
        <f>IFERROR(VLOOKUP(A831,'Pedido ESTHER'!$B:$C,2,0),"")</f>
        <v/>
      </c>
      <c r="L831" s="12" t="str">
        <f>IF(N(K831)&gt;0,"COMPRA","NÃO COMPRA")</f>
        <v>NÃO COMPRA</v>
      </c>
    </row>
    <row r="832" spans="1:12">
      <c r="A832" s="8" t="s">
        <v>1804</v>
      </c>
      <c r="B832" s="9" t="s">
        <v>402</v>
      </c>
      <c r="C832" s="9" t="e">
        <f>VLOOKUP(A832,[2]Planilha1!$A:$B,2,0)</f>
        <v>#N/A</v>
      </c>
      <c r="D832" s="10">
        <f>SUMIF([1]Relatório!$A$2:$A$2653,A832,[1]Relatório!$AK$2:$AK$2653)</f>
        <v>114</v>
      </c>
      <c r="E832" s="11">
        <f t="shared" si="24"/>
        <v>0.000194886119834449</v>
      </c>
      <c r="F832" s="11">
        <f>SUM($E$7:E832)</f>
        <v>0.928191302950473</v>
      </c>
      <c r="G832" s="12" t="str">
        <f t="shared" si="25"/>
        <v>C</v>
      </c>
      <c r="H832" s="9" t="s">
        <v>18</v>
      </c>
      <c r="I832" s="9" t="s">
        <v>1805</v>
      </c>
      <c r="J832" s="9" t="s">
        <v>916</v>
      </c>
      <c r="K832" s="10" t="str">
        <f>IFERROR(VLOOKUP(A832,'Pedido ESTHER'!$B:$C,2,0),"")</f>
        <v/>
      </c>
      <c r="L832" s="12" t="str">
        <f>IF(N(K832)&gt;0,"COMPRA","NÃO COMPRA")</f>
        <v>NÃO COMPRA</v>
      </c>
    </row>
    <row r="833" spans="1:12">
      <c r="A833" s="8" t="s">
        <v>1806</v>
      </c>
      <c r="B833" s="9" t="s">
        <v>827</v>
      </c>
      <c r="C833" s="9" t="e">
        <f>VLOOKUP(A833,[2]Planilha1!$A:$B,2,0)</f>
        <v>#N/A</v>
      </c>
      <c r="D833" s="10">
        <f>SUMIF([1]Relatório!$A$2:$A$2653,A833,[1]Relatório!$AK$2:$AK$2653)</f>
        <v>114</v>
      </c>
      <c r="E833" s="11">
        <f t="shared" si="24"/>
        <v>0.000194886119834449</v>
      </c>
      <c r="F833" s="11">
        <f>SUM($E$7:E833)</f>
        <v>0.928386189070308</v>
      </c>
      <c r="G833" s="12" t="str">
        <f t="shared" si="25"/>
        <v>C</v>
      </c>
      <c r="H833" s="9" t="s">
        <v>183</v>
      </c>
      <c r="I833" s="9"/>
      <c r="J833" s="9" t="s">
        <v>36</v>
      </c>
      <c r="K833" s="10" t="str">
        <f>IFERROR(VLOOKUP(A833,'Pedido ESTHER'!$B:$C,2,0),"")</f>
        <v/>
      </c>
      <c r="L833" s="12" t="str">
        <f>IF(N(K833)&gt;0,"COMPRA","NÃO COMPRA")</f>
        <v>NÃO COMPRA</v>
      </c>
    </row>
    <row r="834" spans="1:12">
      <c r="A834" s="8" t="s">
        <v>1807</v>
      </c>
      <c r="B834" s="9" t="s">
        <v>1808</v>
      </c>
      <c r="C834" s="9" t="e">
        <f>VLOOKUP(A834,[2]Planilha1!$A:$B,2,0)</f>
        <v>#N/A</v>
      </c>
      <c r="D834" s="10">
        <f>SUMIF([1]Relatório!$A$2:$A$2653,A834,[1]Relatório!$AK$2:$AK$2653)</f>
        <v>114</v>
      </c>
      <c r="E834" s="11">
        <f t="shared" si="24"/>
        <v>0.000194886119834449</v>
      </c>
      <c r="F834" s="11">
        <f>SUM($E$7:E834)</f>
        <v>0.928581075190142</v>
      </c>
      <c r="G834" s="12" t="str">
        <f t="shared" si="25"/>
        <v>C</v>
      </c>
      <c r="H834" s="9" t="s">
        <v>586</v>
      </c>
      <c r="I834" s="9" t="s">
        <v>1809</v>
      </c>
      <c r="J834" s="9" t="s">
        <v>1810</v>
      </c>
      <c r="K834" s="10" t="str">
        <f>IFERROR(VLOOKUP(A834,'Pedido ESTHER'!$B:$C,2,0),"")</f>
        <v/>
      </c>
      <c r="L834" s="12" t="str">
        <f>IF(N(K834)&gt;0,"COMPRA","NÃO COMPRA")</f>
        <v>NÃO COMPRA</v>
      </c>
    </row>
    <row r="835" spans="1:12">
      <c r="A835" s="8" t="s">
        <v>1811</v>
      </c>
      <c r="B835" s="9" t="s">
        <v>1754</v>
      </c>
      <c r="C835" s="9" t="e">
        <f>VLOOKUP(A835,[2]Planilha1!$A:$B,2,0)</f>
        <v>#N/A</v>
      </c>
      <c r="D835" s="10">
        <f>SUMIF([1]Relatório!$A$2:$A$2653,A835,[1]Relatório!$AK$2:$AK$2653)</f>
        <v>114</v>
      </c>
      <c r="E835" s="11">
        <f t="shared" si="24"/>
        <v>0.000194886119834449</v>
      </c>
      <c r="F835" s="11">
        <f>SUM($E$7:E835)</f>
        <v>0.928775961309977</v>
      </c>
      <c r="G835" s="12" t="str">
        <f t="shared" si="25"/>
        <v>C</v>
      </c>
      <c r="H835" s="9" t="s">
        <v>221</v>
      </c>
      <c r="I835" s="9" t="s">
        <v>1812</v>
      </c>
      <c r="J835" s="9" t="s">
        <v>644</v>
      </c>
      <c r="K835" s="10" t="str">
        <f>IFERROR(VLOOKUP(A835,'Pedido ESTHER'!$B:$C,2,0),"")</f>
        <v/>
      </c>
      <c r="L835" s="12" t="str">
        <f>IF(N(K835)&gt;0,"COMPRA","NÃO COMPRA")</f>
        <v>NÃO COMPRA</v>
      </c>
    </row>
    <row r="836" spans="1:12">
      <c r="A836" s="8" t="s">
        <v>1813</v>
      </c>
      <c r="B836" s="9" t="s">
        <v>116</v>
      </c>
      <c r="C836" s="9" t="e">
        <f>VLOOKUP(A836,[2]Planilha1!$A:$B,2,0)</f>
        <v>#N/A</v>
      </c>
      <c r="D836" s="10">
        <f>SUMIF([1]Relatório!$A$2:$A$2653,A836,[1]Relatório!$AK$2:$AK$2653)</f>
        <v>114</v>
      </c>
      <c r="E836" s="11">
        <f t="shared" si="24"/>
        <v>0.000194886119834449</v>
      </c>
      <c r="F836" s="11">
        <f>SUM($E$7:E836)</f>
        <v>0.928970847429811</v>
      </c>
      <c r="G836" s="12" t="str">
        <f t="shared" si="25"/>
        <v>C</v>
      </c>
      <c r="H836" s="9" t="s">
        <v>117</v>
      </c>
      <c r="I836" s="9" t="s">
        <v>1814</v>
      </c>
      <c r="J836" s="9" t="s">
        <v>33</v>
      </c>
      <c r="K836" s="10" t="str">
        <f>IFERROR(VLOOKUP(A836,'Pedido ESTHER'!$B:$C,2,0),"")</f>
        <v/>
      </c>
      <c r="L836" s="12" t="str">
        <f>IF(N(K836)&gt;0,"COMPRA","NÃO COMPRA")</f>
        <v>NÃO COMPRA</v>
      </c>
    </row>
    <row r="837" spans="1:12">
      <c r="A837" s="8" t="s">
        <v>1815</v>
      </c>
      <c r="B837" s="9" t="s">
        <v>1660</v>
      </c>
      <c r="C837" s="9" t="e">
        <f>VLOOKUP(A837,[2]Planilha1!$A:$B,2,0)</f>
        <v>#N/A</v>
      </c>
      <c r="D837" s="10">
        <f>SUMIF([1]Relatório!$A$2:$A$2653,A837,[1]Relatório!$AK$2:$AK$2653)</f>
        <v>114</v>
      </c>
      <c r="E837" s="11">
        <f t="shared" si="24"/>
        <v>0.000194886119834449</v>
      </c>
      <c r="F837" s="11">
        <f>SUM($E$7:E837)</f>
        <v>0.929165733549646</v>
      </c>
      <c r="G837" s="12" t="str">
        <f t="shared" si="25"/>
        <v>C</v>
      </c>
      <c r="H837" s="9" t="s">
        <v>1059</v>
      </c>
      <c r="I837" s="9" t="s">
        <v>1816</v>
      </c>
      <c r="J837" s="9" t="s">
        <v>281</v>
      </c>
      <c r="K837" s="10" t="str">
        <f>IFERROR(VLOOKUP(A837,'Pedido ESTHER'!$B:$C,2,0),"")</f>
        <v/>
      </c>
      <c r="L837" s="12" t="str">
        <f>IF(N(K837)&gt;0,"COMPRA","NÃO COMPRA")</f>
        <v>NÃO COMPRA</v>
      </c>
    </row>
    <row r="838" spans="1:12">
      <c r="A838" s="8" t="s">
        <v>1817</v>
      </c>
      <c r="B838" s="9" t="s">
        <v>1405</v>
      </c>
      <c r="C838" s="9" t="e">
        <f>VLOOKUP(A838,[2]Planilha1!$A:$B,2,0)</f>
        <v>#N/A</v>
      </c>
      <c r="D838" s="10">
        <f>SUMIF([1]Relatório!$A$2:$A$2653,A838,[1]Relatório!$AK$2:$AK$2653)</f>
        <v>114</v>
      </c>
      <c r="E838" s="11">
        <f t="shared" si="24"/>
        <v>0.000194886119834449</v>
      </c>
      <c r="F838" s="11">
        <f>SUM($E$7:E838)</f>
        <v>0.92936061966948</v>
      </c>
      <c r="G838" s="12" t="str">
        <f t="shared" si="25"/>
        <v>C</v>
      </c>
      <c r="H838" s="9" t="s">
        <v>1059</v>
      </c>
      <c r="I838" s="9" t="s">
        <v>1818</v>
      </c>
      <c r="J838" s="9" t="s">
        <v>64</v>
      </c>
      <c r="K838" s="10" t="str">
        <f>IFERROR(VLOOKUP(A838,'Pedido ESTHER'!$B:$C,2,0),"")</f>
        <v/>
      </c>
      <c r="L838" s="12" t="str">
        <f>IF(N(K838)&gt;0,"COMPRA","NÃO COMPRA")</f>
        <v>NÃO COMPRA</v>
      </c>
    </row>
    <row r="839" spans="1:12">
      <c r="A839" s="8" t="s">
        <v>1819</v>
      </c>
      <c r="B839" s="9" t="s">
        <v>706</v>
      </c>
      <c r="C839" s="9" t="e">
        <f>VLOOKUP(A839,[2]Planilha1!$A:$B,2,0)</f>
        <v>#N/A</v>
      </c>
      <c r="D839" s="10">
        <f>SUMIF([1]Relatório!$A$2:$A$2653,A839,[1]Relatório!$AK$2:$AK$2653)</f>
        <v>113</v>
      </c>
      <c r="E839" s="11">
        <f t="shared" si="24"/>
        <v>0.000193176592467481</v>
      </c>
      <c r="F839" s="11">
        <f>SUM($E$7:E839)</f>
        <v>0.929553796261947</v>
      </c>
      <c r="G839" s="12" t="str">
        <f t="shared" si="25"/>
        <v>C</v>
      </c>
      <c r="H839" s="9" t="s">
        <v>183</v>
      </c>
      <c r="I839" s="9"/>
      <c r="J839" s="9" t="s">
        <v>241</v>
      </c>
      <c r="K839" s="10" t="str">
        <f>IFERROR(VLOOKUP(A839,'Pedido ESTHER'!$B:$C,2,0),"")</f>
        <v/>
      </c>
      <c r="L839" s="12" t="str">
        <f>IF(N(K839)&gt;0,"COMPRA","NÃO COMPRA")</f>
        <v>NÃO COMPRA</v>
      </c>
    </row>
    <row r="840" spans="1:12">
      <c r="A840" s="8" t="s">
        <v>1820</v>
      </c>
      <c r="B840" s="9" t="s">
        <v>1821</v>
      </c>
      <c r="C840" s="9" t="e">
        <f>VLOOKUP(A840,[2]Planilha1!$A:$B,2,0)</f>
        <v>#N/A</v>
      </c>
      <c r="D840" s="10">
        <f>SUMIF([1]Relatório!$A$2:$A$2653,A840,[1]Relatório!$AK$2:$AK$2653)</f>
        <v>113</v>
      </c>
      <c r="E840" s="11">
        <f t="shared" ref="E840:E903" si="26">D840/SUM($D$7:$D$1708)</f>
        <v>0.000193176592467481</v>
      </c>
      <c r="F840" s="11">
        <f>SUM($E$7:E840)</f>
        <v>0.929746972854415</v>
      </c>
      <c r="G840" s="12" t="str">
        <f t="shared" ref="G840:G903" si="27">IF(F840&lt;=70%,"A",IF(F840&lt;=90%,"B","C"))</f>
        <v>C</v>
      </c>
      <c r="H840" s="9" t="s">
        <v>776</v>
      </c>
      <c r="I840" s="9"/>
      <c r="J840" s="9" t="s">
        <v>164</v>
      </c>
      <c r="K840" s="10" t="str">
        <f>IFERROR(VLOOKUP(A840,'Pedido ESTHER'!$B:$C,2,0),"")</f>
        <v/>
      </c>
      <c r="L840" s="12" t="str">
        <f>IF(N(K840)&gt;0,"COMPRA","NÃO COMPRA")</f>
        <v>NÃO COMPRA</v>
      </c>
    </row>
    <row r="841" spans="1:12">
      <c r="A841" s="8" t="s">
        <v>1822</v>
      </c>
      <c r="B841" s="9" t="s">
        <v>1067</v>
      </c>
      <c r="C841" s="9" t="e">
        <f>VLOOKUP(A841,[2]Planilha1!$A:$B,2,0)</f>
        <v>#N/A</v>
      </c>
      <c r="D841" s="10">
        <f>SUMIF([1]Relatório!$A$2:$A$2653,A841,[1]Relatório!$AK$2:$AK$2653)</f>
        <v>113</v>
      </c>
      <c r="E841" s="11">
        <f t="shared" si="26"/>
        <v>0.000193176592467481</v>
      </c>
      <c r="F841" s="11">
        <f>SUM($E$7:E841)</f>
        <v>0.929940149446882</v>
      </c>
      <c r="G841" s="12" t="str">
        <f t="shared" si="27"/>
        <v>C</v>
      </c>
      <c r="H841" s="9" t="s">
        <v>221</v>
      </c>
      <c r="I841" s="9" t="s">
        <v>1823</v>
      </c>
      <c r="J841" s="9" t="s">
        <v>359</v>
      </c>
      <c r="K841" s="10" t="str">
        <f>IFERROR(VLOOKUP(A841,'Pedido ESTHER'!$B:$C,2,0),"")</f>
        <v/>
      </c>
      <c r="L841" s="12" t="str">
        <f>IF(N(K841)&gt;0,"COMPRA","NÃO COMPRA")</f>
        <v>NÃO COMPRA</v>
      </c>
    </row>
    <row r="842" spans="1:12">
      <c r="A842" s="8" t="s">
        <v>1824</v>
      </c>
      <c r="B842" s="9" t="s">
        <v>426</v>
      </c>
      <c r="C842" s="9" t="e">
        <f>VLOOKUP(A842,[2]Planilha1!$A:$B,2,0)</f>
        <v>#N/A</v>
      </c>
      <c r="D842" s="10">
        <f>SUMIF([1]Relatório!$A$2:$A$2653,A842,[1]Relatório!$AK$2:$AK$2653)</f>
        <v>113</v>
      </c>
      <c r="E842" s="11">
        <f t="shared" si="26"/>
        <v>0.000193176592467481</v>
      </c>
      <c r="F842" s="11">
        <f>SUM($E$7:E842)</f>
        <v>0.93013332603935</v>
      </c>
      <c r="G842" s="12" t="str">
        <f t="shared" si="27"/>
        <v>C</v>
      </c>
      <c r="H842" s="9" t="s">
        <v>117</v>
      </c>
      <c r="I842" s="9" t="s">
        <v>1825</v>
      </c>
      <c r="J842" s="9" t="s">
        <v>268</v>
      </c>
      <c r="K842" s="10" t="str">
        <f>IFERROR(VLOOKUP(A842,'Pedido ESTHER'!$B:$C,2,0),"")</f>
        <v/>
      </c>
      <c r="L842" s="12" t="str">
        <f>IF(N(K842)&gt;0,"COMPRA","NÃO COMPRA")</f>
        <v>NÃO COMPRA</v>
      </c>
    </row>
    <row r="843" spans="1:12">
      <c r="A843" s="8" t="s">
        <v>1826</v>
      </c>
      <c r="B843" s="9" t="s">
        <v>1827</v>
      </c>
      <c r="C843" s="9" t="e">
        <f>VLOOKUP(A843,[2]Planilha1!$A:$B,2,0)</f>
        <v>#N/A</v>
      </c>
      <c r="D843" s="10">
        <f>SUMIF([1]Relatório!$A$2:$A$2653,A843,[1]Relatório!$AK$2:$AK$2653)</f>
        <v>112</v>
      </c>
      <c r="E843" s="11">
        <f t="shared" si="26"/>
        <v>0.000191467065100512</v>
      </c>
      <c r="F843" s="11">
        <f>SUM($E$7:E843)</f>
        <v>0.93032479310445</v>
      </c>
      <c r="G843" s="12" t="str">
        <f t="shared" si="27"/>
        <v>C</v>
      </c>
      <c r="H843" s="9" t="s">
        <v>183</v>
      </c>
      <c r="I843" s="9"/>
      <c r="J843" s="9" t="s">
        <v>213</v>
      </c>
      <c r="K843" s="10" t="str">
        <f>IFERROR(VLOOKUP(A843,'Pedido ESTHER'!$B:$C,2,0),"")</f>
        <v/>
      </c>
      <c r="L843" s="12" t="str">
        <f>IF(N(K843)&gt;0,"COMPRA","NÃO COMPRA")</f>
        <v>NÃO COMPRA</v>
      </c>
    </row>
    <row r="844" spans="1:12">
      <c r="A844" s="8" t="s">
        <v>1828</v>
      </c>
      <c r="B844" s="9" t="s">
        <v>1645</v>
      </c>
      <c r="C844" s="9" t="e">
        <f>VLOOKUP(A844,[2]Planilha1!$A:$B,2,0)</f>
        <v>#N/A</v>
      </c>
      <c r="D844" s="10">
        <f>SUMIF([1]Relatório!$A$2:$A$2653,A844,[1]Relatório!$AK$2:$AK$2653)</f>
        <v>112</v>
      </c>
      <c r="E844" s="11">
        <f t="shared" si="26"/>
        <v>0.000191467065100512</v>
      </c>
      <c r="F844" s="11">
        <f>SUM($E$7:E844)</f>
        <v>0.930516260169551</v>
      </c>
      <c r="G844" s="12" t="str">
        <f t="shared" si="27"/>
        <v>C</v>
      </c>
      <c r="H844" s="9" t="s">
        <v>183</v>
      </c>
      <c r="I844" s="9" t="s">
        <v>1829</v>
      </c>
      <c r="J844" s="9" t="s">
        <v>33</v>
      </c>
      <c r="K844" s="10" t="str">
        <f>IFERROR(VLOOKUP(A844,'Pedido ESTHER'!$B:$C,2,0),"")</f>
        <v/>
      </c>
      <c r="L844" s="12" t="str">
        <f>IF(N(K844)&gt;0,"COMPRA","NÃO COMPRA")</f>
        <v>NÃO COMPRA</v>
      </c>
    </row>
    <row r="845" spans="1:12">
      <c r="A845" s="8" t="s">
        <v>1830</v>
      </c>
      <c r="B845" s="9" t="s">
        <v>602</v>
      </c>
      <c r="C845" s="9" t="e">
        <f>VLOOKUP(A845,[2]Planilha1!$A:$B,2,0)</f>
        <v>#N/A</v>
      </c>
      <c r="D845" s="10">
        <f>SUMIF([1]Relatório!$A$2:$A$2653,A845,[1]Relatório!$AK$2:$AK$2653)</f>
        <v>111</v>
      </c>
      <c r="E845" s="11">
        <f t="shared" si="26"/>
        <v>0.000189757537733543</v>
      </c>
      <c r="F845" s="11">
        <f>SUM($E$7:E845)</f>
        <v>0.930706017707284</v>
      </c>
      <c r="G845" s="12" t="str">
        <f t="shared" si="27"/>
        <v>C</v>
      </c>
      <c r="H845" s="9" t="s">
        <v>183</v>
      </c>
      <c r="I845" s="9"/>
      <c r="J845" s="9" t="s">
        <v>213</v>
      </c>
      <c r="K845" s="10" t="str">
        <f>IFERROR(VLOOKUP(A845,'Pedido ESTHER'!$B:$C,2,0),"")</f>
        <v/>
      </c>
      <c r="L845" s="12" t="str">
        <f>IF(N(K845)&gt;0,"COMPRA","NÃO COMPRA")</f>
        <v>NÃO COMPRA</v>
      </c>
    </row>
    <row r="846" spans="1:12">
      <c r="A846" s="8" t="s">
        <v>1831</v>
      </c>
      <c r="B846" s="9" t="s">
        <v>1832</v>
      </c>
      <c r="C846" s="9" t="e">
        <f>VLOOKUP(A846,[2]Planilha1!$A:$B,2,0)</f>
        <v>#N/A</v>
      </c>
      <c r="D846" s="10">
        <f>SUMIF([1]Relatório!$A$2:$A$2653,A846,[1]Relatório!$AK$2:$AK$2653)</f>
        <v>111</v>
      </c>
      <c r="E846" s="11">
        <f t="shared" si="26"/>
        <v>0.000189757537733543</v>
      </c>
      <c r="F846" s="11">
        <f>SUM($E$7:E846)</f>
        <v>0.930895775245018</v>
      </c>
      <c r="G846" s="12" t="str">
        <f t="shared" si="27"/>
        <v>C</v>
      </c>
      <c r="H846" s="9" t="s">
        <v>21</v>
      </c>
      <c r="I846" s="9"/>
      <c r="J846" s="9" t="s">
        <v>44</v>
      </c>
      <c r="K846" s="10" t="str">
        <f>IFERROR(VLOOKUP(A846,'Pedido ESTHER'!$B:$C,2,0),"")</f>
        <v/>
      </c>
      <c r="L846" s="12" t="str">
        <f>IF(N(K846)&gt;0,"COMPRA","NÃO COMPRA")</f>
        <v>NÃO COMPRA</v>
      </c>
    </row>
    <row r="847" spans="1:12">
      <c r="A847" s="8" t="s">
        <v>1833</v>
      </c>
      <c r="B847" s="9" t="s">
        <v>1147</v>
      </c>
      <c r="C847" s="9" t="e">
        <f>VLOOKUP(A847,[2]Planilha1!$A:$B,2,0)</f>
        <v>#N/A</v>
      </c>
      <c r="D847" s="10">
        <f>SUMIF([1]Relatório!$A$2:$A$2653,A847,[1]Relatório!$AK$2:$AK$2653)</f>
        <v>111</v>
      </c>
      <c r="E847" s="11">
        <f t="shared" si="26"/>
        <v>0.000189757537733543</v>
      </c>
      <c r="F847" s="11">
        <f>SUM($E$7:E847)</f>
        <v>0.931085532782751</v>
      </c>
      <c r="G847" s="12" t="str">
        <f t="shared" si="27"/>
        <v>C</v>
      </c>
      <c r="H847" s="9" t="s">
        <v>221</v>
      </c>
      <c r="I847" s="9" t="s">
        <v>1834</v>
      </c>
      <c r="J847" s="9" t="s">
        <v>15</v>
      </c>
      <c r="K847" s="10" t="str">
        <f>IFERROR(VLOOKUP(A847,'Pedido ESTHER'!$B:$C,2,0),"")</f>
        <v/>
      </c>
      <c r="L847" s="12" t="str">
        <f>IF(N(K847)&gt;0,"COMPRA","NÃO COMPRA")</f>
        <v>NÃO COMPRA</v>
      </c>
    </row>
    <row r="848" spans="1:12">
      <c r="A848" s="8" t="s">
        <v>1835</v>
      </c>
      <c r="B848" s="9" t="s">
        <v>1158</v>
      </c>
      <c r="C848" s="9" t="e">
        <f>VLOOKUP(A848,[2]Planilha1!$A:$B,2,0)</f>
        <v>#N/A</v>
      </c>
      <c r="D848" s="10">
        <f>SUMIF([1]Relatório!$A$2:$A$2653,A848,[1]Relatório!$AK$2:$AK$2653)</f>
        <v>111</v>
      </c>
      <c r="E848" s="11">
        <f t="shared" si="26"/>
        <v>0.000189757537733543</v>
      </c>
      <c r="F848" s="11">
        <f>SUM($E$7:E848)</f>
        <v>0.931275290320485</v>
      </c>
      <c r="G848" s="12" t="str">
        <f t="shared" si="27"/>
        <v>C</v>
      </c>
      <c r="H848" s="9" t="s">
        <v>221</v>
      </c>
      <c r="I848" s="9" t="s">
        <v>1836</v>
      </c>
      <c r="J848" s="9" t="s">
        <v>64</v>
      </c>
      <c r="K848" s="10" t="str">
        <f>IFERROR(VLOOKUP(A848,'Pedido ESTHER'!$B:$C,2,0),"")</f>
        <v/>
      </c>
      <c r="L848" s="12" t="str">
        <f>IF(N(K848)&gt;0,"COMPRA","NÃO COMPRA")</f>
        <v>NÃO COMPRA</v>
      </c>
    </row>
    <row r="849" spans="1:12">
      <c r="A849" s="8" t="s">
        <v>1837</v>
      </c>
      <c r="B849" s="9" t="s">
        <v>27</v>
      </c>
      <c r="C849" s="9" t="e">
        <f>VLOOKUP(A849,[2]Planilha1!$A:$B,2,0)</f>
        <v>#N/A</v>
      </c>
      <c r="D849" s="10">
        <f>SUMIF([1]Relatório!$A$2:$A$2653,A849,[1]Relatório!$AK$2:$AK$2653)</f>
        <v>111</v>
      </c>
      <c r="E849" s="11">
        <f t="shared" si="26"/>
        <v>0.000189757537733543</v>
      </c>
      <c r="F849" s="11">
        <f>SUM($E$7:E849)</f>
        <v>0.931465047858218</v>
      </c>
      <c r="G849" s="12" t="str">
        <f t="shared" si="27"/>
        <v>C</v>
      </c>
      <c r="H849" s="9" t="s">
        <v>21</v>
      </c>
      <c r="I849" s="9" t="s">
        <v>1838</v>
      </c>
      <c r="J849" s="9" t="s">
        <v>29</v>
      </c>
      <c r="K849" s="10" t="str">
        <f>IFERROR(VLOOKUP(A849,'Pedido ESTHER'!$B:$C,2,0),"")</f>
        <v/>
      </c>
      <c r="L849" s="12" t="str">
        <f>IF(N(K849)&gt;0,"COMPRA","NÃO COMPRA")</f>
        <v>NÃO COMPRA</v>
      </c>
    </row>
    <row r="850" spans="1:12">
      <c r="A850" s="8" t="s">
        <v>1839</v>
      </c>
      <c r="B850" s="9" t="s">
        <v>706</v>
      </c>
      <c r="C850" s="9" t="e">
        <f>VLOOKUP(A850,[2]Planilha1!$A:$B,2,0)</f>
        <v>#N/A</v>
      </c>
      <c r="D850" s="10">
        <f>SUMIF([1]Relatório!$A$2:$A$2653,A850,[1]Relatório!$AK$2:$AK$2653)</f>
        <v>110</v>
      </c>
      <c r="E850" s="11">
        <f t="shared" si="26"/>
        <v>0.000188048010366574</v>
      </c>
      <c r="F850" s="11">
        <f>SUM($E$7:E850)</f>
        <v>0.931653095868585</v>
      </c>
      <c r="G850" s="12" t="str">
        <f t="shared" si="27"/>
        <v>C</v>
      </c>
      <c r="H850" s="9" t="s">
        <v>183</v>
      </c>
      <c r="I850" s="9"/>
      <c r="J850" s="9" t="s">
        <v>241</v>
      </c>
      <c r="K850" s="10" t="str">
        <f>IFERROR(VLOOKUP(A850,'Pedido ESTHER'!$B:$C,2,0),"")</f>
        <v/>
      </c>
      <c r="L850" s="12" t="str">
        <f>IF(N(K850)&gt;0,"COMPRA","NÃO COMPRA")</f>
        <v>NÃO COMPRA</v>
      </c>
    </row>
    <row r="851" spans="1:12">
      <c r="A851" s="8" t="s">
        <v>1840</v>
      </c>
      <c r="B851" s="9" t="s">
        <v>1428</v>
      </c>
      <c r="C851" s="9" t="e">
        <f>VLOOKUP(A851,[2]Planilha1!$A:$B,2,0)</f>
        <v>#N/A</v>
      </c>
      <c r="D851" s="10">
        <f>SUMIF([1]Relatório!$A$2:$A$2653,A851,[1]Relatório!$AK$2:$AK$2653)</f>
        <v>110</v>
      </c>
      <c r="E851" s="11">
        <f t="shared" si="26"/>
        <v>0.000188048010366574</v>
      </c>
      <c r="F851" s="11">
        <f>SUM($E$7:E851)</f>
        <v>0.931841143878952</v>
      </c>
      <c r="G851" s="12" t="str">
        <f t="shared" si="27"/>
        <v>C</v>
      </c>
      <c r="H851" s="9" t="s">
        <v>1117</v>
      </c>
      <c r="I851" s="9" t="s">
        <v>1841</v>
      </c>
      <c r="J851" s="9" t="s">
        <v>1842</v>
      </c>
      <c r="K851" s="10" t="str">
        <f>IFERROR(VLOOKUP(A851,'Pedido ESTHER'!$B:$C,2,0),"")</f>
        <v/>
      </c>
      <c r="L851" s="12" t="str">
        <f>IF(N(K851)&gt;0,"COMPRA","NÃO COMPRA")</f>
        <v>NÃO COMPRA</v>
      </c>
    </row>
    <row r="852" spans="1:12">
      <c r="A852" s="8" t="s">
        <v>1843</v>
      </c>
      <c r="B852" s="9" t="s">
        <v>1312</v>
      </c>
      <c r="C852" s="9" t="e">
        <f>VLOOKUP(A852,[2]Planilha1!$A:$B,2,0)</f>
        <v>#N/A</v>
      </c>
      <c r="D852" s="10">
        <f>SUMIF([1]Relatório!$A$2:$A$2653,A852,[1]Relatório!$AK$2:$AK$2653)</f>
        <v>108</v>
      </c>
      <c r="E852" s="11">
        <f t="shared" si="26"/>
        <v>0.000184628955632636</v>
      </c>
      <c r="F852" s="11">
        <f>SUM($E$7:E852)</f>
        <v>0.932025772834584</v>
      </c>
      <c r="G852" s="12" t="str">
        <f t="shared" si="27"/>
        <v>C</v>
      </c>
      <c r="H852" s="9" t="s">
        <v>183</v>
      </c>
      <c r="I852" s="9" t="s">
        <v>1844</v>
      </c>
      <c r="J852" s="9" t="s">
        <v>164</v>
      </c>
      <c r="K852" s="10" t="str">
        <f>IFERROR(VLOOKUP(A852,'Pedido ESTHER'!$B:$C,2,0),"")</f>
        <v/>
      </c>
      <c r="L852" s="12" t="str">
        <f>IF(N(K852)&gt;0,"COMPRA","NÃO COMPRA")</f>
        <v>NÃO COMPRA</v>
      </c>
    </row>
    <row r="853" spans="1:12">
      <c r="A853" s="8" t="s">
        <v>1845</v>
      </c>
      <c r="B853" s="9" t="s">
        <v>17</v>
      </c>
      <c r="C853" s="9" t="e">
        <f>VLOOKUP(A853,[2]Planilha1!$A:$B,2,0)</f>
        <v>#N/A</v>
      </c>
      <c r="D853" s="10">
        <f>SUMIF([1]Relatório!$A$2:$A$2653,A853,[1]Relatório!$AK$2:$AK$2653)</f>
        <v>108</v>
      </c>
      <c r="E853" s="11">
        <f t="shared" si="26"/>
        <v>0.000184628955632636</v>
      </c>
      <c r="F853" s="11">
        <f>SUM($E$7:E853)</f>
        <v>0.932210401790217</v>
      </c>
      <c r="G853" s="12" t="str">
        <f t="shared" si="27"/>
        <v>C</v>
      </c>
      <c r="H853" s="9" t="s">
        <v>18</v>
      </c>
      <c r="I853" s="9"/>
      <c r="J853" s="9" t="s">
        <v>15</v>
      </c>
      <c r="K853" s="10" t="str">
        <f>IFERROR(VLOOKUP(A853,'Pedido ESTHER'!$B:$C,2,0),"")</f>
        <v/>
      </c>
      <c r="L853" s="12" t="str">
        <f>IF(N(K853)&gt;0,"COMPRA","NÃO COMPRA")</f>
        <v>NÃO COMPRA</v>
      </c>
    </row>
    <row r="854" spans="1:12">
      <c r="A854" s="8" t="s">
        <v>1846</v>
      </c>
      <c r="B854" s="9" t="s">
        <v>200</v>
      </c>
      <c r="C854" s="9" t="e">
        <f>VLOOKUP(A854,[2]Planilha1!$A:$B,2,0)</f>
        <v>#N/A</v>
      </c>
      <c r="D854" s="10">
        <f>SUMIF([1]Relatório!$A$2:$A$2653,A854,[1]Relatório!$AK$2:$AK$2653)</f>
        <v>108</v>
      </c>
      <c r="E854" s="11">
        <f t="shared" si="26"/>
        <v>0.000184628955632636</v>
      </c>
      <c r="F854" s="11">
        <f>SUM($E$7:E854)</f>
        <v>0.93239503074585</v>
      </c>
      <c r="G854" s="12" t="str">
        <f t="shared" si="27"/>
        <v>C</v>
      </c>
      <c r="H854" s="9" t="s">
        <v>21</v>
      </c>
      <c r="I854" s="9"/>
      <c r="J854" s="9" t="s">
        <v>201</v>
      </c>
      <c r="K854" s="10" t="str">
        <f>IFERROR(VLOOKUP(A854,'Pedido ESTHER'!$B:$C,2,0),"")</f>
        <v/>
      </c>
      <c r="L854" s="12" t="str">
        <f>IF(N(K854)&gt;0,"COMPRA","NÃO COMPRA")</f>
        <v>NÃO COMPRA</v>
      </c>
    </row>
    <row r="855" spans="1:12">
      <c r="A855" s="8" t="s">
        <v>1847</v>
      </c>
      <c r="B855" s="9" t="s">
        <v>1781</v>
      </c>
      <c r="C855" s="9" t="e">
        <f>VLOOKUP(A855,[2]Planilha1!$A:$B,2,0)</f>
        <v>#N/A</v>
      </c>
      <c r="D855" s="10">
        <f>SUMIF([1]Relatório!$A$2:$A$2653,A855,[1]Relatório!$AK$2:$AK$2653)</f>
        <v>107</v>
      </c>
      <c r="E855" s="11">
        <f t="shared" si="26"/>
        <v>0.000182919428265667</v>
      </c>
      <c r="F855" s="11">
        <f>SUM($E$7:E855)</f>
        <v>0.932577950174115</v>
      </c>
      <c r="G855" s="12" t="str">
        <f t="shared" si="27"/>
        <v>C</v>
      </c>
      <c r="H855" s="9" t="s">
        <v>1344</v>
      </c>
      <c r="I855" s="9" t="s">
        <v>1848</v>
      </c>
      <c r="J855" s="9" t="s">
        <v>201</v>
      </c>
      <c r="K855" s="10" t="str">
        <f>IFERROR(VLOOKUP(A855,'Pedido ESTHER'!$B:$C,2,0),"")</f>
        <v/>
      </c>
      <c r="L855" s="12" t="str">
        <f>IF(N(K855)&gt;0,"COMPRA","NÃO COMPRA")</f>
        <v>NÃO COMPRA</v>
      </c>
    </row>
    <row r="856" spans="1:12">
      <c r="A856" s="8" t="s">
        <v>1849</v>
      </c>
      <c r="B856" s="9" t="s">
        <v>193</v>
      </c>
      <c r="C856" s="9" t="e">
        <f>VLOOKUP(A856,[2]Planilha1!$A:$B,2,0)</f>
        <v>#N/A</v>
      </c>
      <c r="D856" s="10">
        <f>SUMIF([1]Relatório!$A$2:$A$2653,A856,[1]Relatório!$AK$2:$AK$2653)</f>
        <v>107</v>
      </c>
      <c r="E856" s="11">
        <f t="shared" si="26"/>
        <v>0.000182919428265667</v>
      </c>
      <c r="F856" s="11">
        <f>SUM($E$7:E856)</f>
        <v>0.932760869602381</v>
      </c>
      <c r="G856" s="12" t="str">
        <f t="shared" si="27"/>
        <v>C</v>
      </c>
      <c r="H856" s="9" t="s">
        <v>183</v>
      </c>
      <c r="I856" s="9" t="s">
        <v>1850</v>
      </c>
      <c r="J856" s="9" t="s">
        <v>1759</v>
      </c>
      <c r="K856" s="10" t="str">
        <f>IFERROR(VLOOKUP(A856,'Pedido ESTHER'!$B:$C,2,0),"")</f>
        <v/>
      </c>
      <c r="L856" s="12" t="str">
        <f>IF(N(K856)&gt;0,"COMPRA","NÃO COMPRA")</f>
        <v>NÃO COMPRA</v>
      </c>
    </row>
    <row r="857" spans="1:12">
      <c r="A857" s="8" t="s">
        <v>1851</v>
      </c>
      <c r="B857" s="9" t="s">
        <v>1852</v>
      </c>
      <c r="C857" s="9" t="e">
        <f>VLOOKUP(A857,[2]Planilha1!$A:$B,2,0)</f>
        <v>#N/A</v>
      </c>
      <c r="D857" s="10">
        <f>SUMIF([1]Relatório!$A$2:$A$2653,A857,[1]Relatório!$AK$2:$AK$2653)</f>
        <v>107</v>
      </c>
      <c r="E857" s="11">
        <f t="shared" si="26"/>
        <v>0.000182919428265667</v>
      </c>
      <c r="F857" s="11">
        <f>SUM($E$7:E857)</f>
        <v>0.932943789030646</v>
      </c>
      <c r="G857" s="12" t="str">
        <f t="shared" si="27"/>
        <v>C</v>
      </c>
      <c r="H857" s="9" t="s">
        <v>117</v>
      </c>
      <c r="I857" s="9" t="s">
        <v>1853</v>
      </c>
      <c r="J857" s="9" t="s">
        <v>1296</v>
      </c>
      <c r="K857" s="10" t="str">
        <f>IFERROR(VLOOKUP(A857,'Pedido ESTHER'!$B:$C,2,0),"")</f>
        <v/>
      </c>
      <c r="L857" s="12" t="str">
        <f>IF(N(K857)&gt;0,"COMPRA","NÃO COMPRA")</f>
        <v>NÃO COMPRA</v>
      </c>
    </row>
    <row r="858" spans="1:12">
      <c r="A858" s="8" t="s">
        <v>1854</v>
      </c>
      <c r="B858" s="9" t="s">
        <v>226</v>
      </c>
      <c r="C858" s="9" t="e">
        <f>VLOOKUP(A858,[2]Planilha1!$A:$B,2,0)</f>
        <v>#N/A</v>
      </c>
      <c r="D858" s="10">
        <f>SUMIF([1]Relatório!$A$2:$A$2653,A858,[1]Relatório!$AK$2:$AK$2653)</f>
        <v>106</v>
      </c>
      <c r="E858" s="11">
        <f t="shared" si="26"/>
        <v>0.000181209900898699</v>
      </c>
      <c r="F858" s="11">
        <f>SUM($E$7:E858)</f>
        <v>0.933124998931545</v>
      </c>
      <c r="G858" s="12" t="str">
        <f t="shared" si="27"/>
        <v>C</v>
      </c>
      <c r="H858" s="9" t="s">
        <v>143</v>
      </c>
      <c r="I858" s="9" t="s">
        <v>1855</v>
      </c>
      <c r="J858" s="9" t="s">
        <v>44</v>
      </c>
      <c r="K858" s="10" t="str">
        <f>IFERROR(VLOOKUP(A858,'Pedido ESTHER'!$B:$C,2,0),"")</f>
        <v/>
      </c>
      <c r="L858" s="12" t="str">
        <f>IF(N(K858)&gt;0,"COMPRA","NÃO COMPRA")</f>
        <v>NÃO COMPRA</v>
      </c>
    </row>
    <row r="859" spans="1:12">
      <c r="A859" s="8" t="s">
        <v>1856</v>
      </c>
      <c r="B859" s="9" t="s">
        <v>363</v>
      </c>
      <c r="C859" s="9" t="e">
        <f>VLOOKUP(A859,[2]Planilha1!$A:$B,2,0)</f>
        <v>#N/A</v>
      </c>
      <c r="D859" s="10">
        <f>SUMIF([1]Relatório!$A$2:$A$2653,A859,[1]Relatório!$AK$2:$AK$2653)</f>
        <v>106</v>
      </c>
      <c r="E859" s="11">
        <f t="shared" si="26"/>
        <v>0.000181209900898699</v>
      </c>
      <c r="F859" s="11">
        <f>SUM($E$7:E859)</f>
        <v>0.933306208832444</v>
      </c>
      <c r="G859" s="12" t="str">
        <f t="shared" si="27"/>
        <v>C</v>
      </c>
      <c r="H859" s="9" t="s">
        <v>183</v>
      </c>
      <c r="I859" s="9" t="s">
        <v>1857</v>
      </c>
      <c r="J859" s="9"/>
      <c r="K859" s="10" t="str">
        <f>IFERROR(VLOOKUP(A859,'Pedido ESTHER'!$B:$C,2,0),"")</f>
        <v/>
      </c>
      <c r="L859" s="12" t="str">
        <f>IF(N(K859)&gt;0,"COMPRA","NÃO COMPRA")</f>
        <v>NÃO COMPRA</v>
      </c>
    </row>
    <row r="860" spans="1:12">
      <c r="A860" s="8" t="s">
        <v>1858</v>
      </c>
      <c r="B860" s="9" t="s">
        <v>1859</v>
      </c>
      <c r="C860" s="9" t="e">
        <f>VLOOKUP(A860,[2]Planilha1!$A:$B,2,0)</f>
        <v>#N/A</v>
      </c>
      <c r="D860" s="10">
        <f>SUMIF([1]Relatório!$A$2:$A$2653,A860,[1]Relatório!$AK$2:$AK$2653)</f>
        <v>106</v>
      </c>
      <c r="E860" s="11">
        <f t="shared" si="26"/>
        <v>0.000181209900898699</v>
      </c>
      <c r="F860" s="11">
        <f>SUM($E$7:E860)</f>
        <v>0.933487418733342</v>
      </c>
      <c r="G860" s="12" t="str">
        <f t="shared" si="27"/>
        <v>C</v>
      </c>
      <c r="H860" s="9" t="s">
        <v>112</v>
      </c>
      <c r="I860" s="9" t="s">
        <v>1860</v>
      </c>
      <c r="J860" s="9" t="s">
        <v>273</v>
      </c>
      <c r="K860" s="10" t="str">
        <f>IFERROR(VLOOKUP(A860,'Pedido ESTHER'!$B:$C,2,0),"")</f>
        <v/>
      </c>
      <c r="L860" s="12" t="str">
        <f>IF(N(K860)&gt;0,"COMPRA","NÃO COMPRA")</f>
        <v>NÃO COMPRA</v>
      </c>
    </row>
    <row r="861" spans="1:12">
      <c r="A861" s="8" t="s">
        <v>1861</v>
      </c>
      <c r="B861" s="9" t="s">
        <v>363</v>
      </c>
      <c r="C861" s="9" t="e">
        <f>VLOOKUP(A861,[2]Planilha1!$A:$B,2,0)</f>
        <v>#N/A</v>
      </c>
      <c r="D861" s="10">
        <f>SUMIF([1]Relatório!$A$2:$A$2653,A861,[1]Relatório!$AK$2:$AK$2653)</f>
        <v>106</v>
      </c>
      <c r="E861" s="11">
        <f t="shared" si="26"/>
        <v>0.000181209900898699</v>
      </c>
      <c r="F861" s="11">
        <f>SUM($E$7:E861)</f>
        <v>0.933668628634241</v>
      </c>
      <c r="G861" s="12" t="str">
        <f t="shared" si="27"/>
        <v>C</v>
      </c>
      <c r="H861" s="9" t="s">
        <v>183</v>
      </c>
      <c r="I861" s="9" t="s">
        <v>1862</v>
      </c>
      <c r="J861" s="9" t="s">
        <v>40</v>
      </c>
      <c r="K861" s="10" t="str">
        <f>IFERROR(VLOOKUP(A861,'Pedido ESTHER'!$B:$C,2,0),"")</f>
        <v/>
      </c>
      <c r="L861" s="12" t="str">
        <f>IF(N(K861)&gt;0,"COMPRA","NÃO COMPRA")</f>
        <v>NÃO COMPRA</v>
      </c>
    </row>
    <row r="862" spans="1:12">
      <c r="A862" s="8" t="s">
        <v>1863</v>
      </c>
      <c r="B862" s="9" t="s">
        <v>1864</v>
      </c>
      <c r="C862" s="9" t="e">
        <f>VLOOKUP(A862,[2]Planilha1!$A:$B,2,0)</f>
        <v>#N/A</v>
      </c>
      <c r="D862" s="10">
        <f>SUMIF([1]Relatório!$A$2:$A$2653,A862,[1]Relatório!$AK$2:$AK$2653)</f>
        <v>105</v>
      </c>
      <c r="E862" s="11">
        <f t="shared" si="26"/>
        <v>0.00017950037353173</v>
      </c>
      <c r="F862" s="11">
        <f>SUM($E$7:E862)</f>
        <v>0.933848129007773</v>
      </c>
      <c r="G862" s="12" t="str">
        <f t="shared" si="27"/>
        <v>C</v>
      </c>
      <c r="H862" s="9" t="s">
        <v>1344</v>
      </c>
      <c r="I862" s="9" t="s">
        <v>1865</v>
      </c>
      <c r="J862" s="9" t="s">
        <v>164</v>
      </c>
      <c r="K862" s="10" t="str">
        <f>IFERROR(VLOOKUP(A862,'Pedido ESTHER'!$B:$C,2,0),"")</f>
        <v/>
      </c>
      <c r="L862" s="12" t="str">
        <f>IF(N(K862)&gt;0,"COMPRA","NÃO COMPRA")</f>
        <v>NÃO COMPRA</v>
      </c>
    </row>
    <row r="863" spans="1:12">
      <c r="A863" s="8" t="s">
        <v>1866</v>
      </c>
      <c r="B863" s="9" t="s">
        <v>1867</v>
      </c>
      <c r="C863" s="9" t="e">
        <f>VLOOKUP(A863,[2]Planilha1!$A:$B,2,0)</f>
        <v>#N/A</v>
      </c>
      <c r="D863" s="10">
        <f>SUMIF([1]Relatório!$A$2:$A$2653,A863,[1]Relatório!$AK$2:$AK$2653)</f>
        <v>105</v>
      </c>
      <c r="E863" s="11">
        <f t="shared" si="26"/>
        <v>0.00017950037353173</v>
      </c>
      <c r="F863" s="11">
        <f>SUM($E$7:E863)</f>
        <v>0.934027629381305</v>
      </c>
      <c r="G863" s="12" t="str">
        <f t="shared" si="27"/>
        <v>C</v>
      </c>
      <c r="H863" s="9" t="s">
        <v>1344</v>
      </c>
      <c r="I863" s="9" t="s">
        <v>1868</v>
      </c>
      <c r="J863" s="9" t="s">
        <v>44</v>
      </c>
      <c r="K863" s="10" t="str">
        <f>IFERROR(VLOOKUP(A863,'Pedido ESTHER'!$B:$C,2,0),"")</f>
        <v/>
      </c>
      <c r="L863" s="12" t="str">
        <f>IF(N(K863)&gt;0,"COMPRA","NÃO COMPRA")</f>
        <v>NÃO COMPRA</v>
      </c>
    </row>
    <row r="864" spans="1:12">
      <c r="A864" s="8" t="s">
        <v>1869</v>
      </c>
      <c r="B864" s="9" t="s">
        <v>122</v>
      </c>
      <c r="C864" s="9" t="e">
        <f>VLOOKUP(A864,[2]Planilha1!$A:$B,2,0)</f>
        <v>#N/A</v>
      </c>
      <c r="D864" s="10">
        <f>SUMIF([1]Relatório!$A$2:$A$2653,A864,[1]Relatório!$AK$2:$AK$2653)</f>
        <v>105</v>
      </c>
      <c r="E864" s="11">
        <f t="shared" si="26"/>
        <v>0.00017950037353173</v>
      </c>
      <c r="F864" s="11">
        <f>SUM($E$7:E864)</f>
        <v>0.934207129754836</v>
      </c>
      <c r="G864" s="12" t="str">
        <f t="shared" si="27"/>
        <v>C</v>
      </c>
      <c r="H864" s="9" t="s">
        <v>18</v>
      </c>
      <c r="I864" s="9" t="s">
        <v>1870</v>
      </c>
      <c r="J864" s="9" t="s">
        <v>33</v>
      </c>
      <c r="K864" s="10" t="str">
        <f>IFERROR(VLOOKUP(A864,'Pedido ESTHER'!$B:$C,2,0),"")</f>
        <v/>
      </c>
      <c r="L864" s="12" t="str">
        <f>IF(N(K864)&gt;0,"COMPRA","NÃO COMPRA")</f>
        <v>NÃO COMPRA</v>
      </c>
    </row>
    <row r="865" spans="1:12">
      <c r="A865" s="8" t="s">
        <v>1871</v>
      </c>
      <c r="B865" s="9" t="s">
        <v>602</v>
      </c>
      <c r="C865" s="9" t="e">
        <f>VLOOKUP(A865,[2]Planilha1!$A:$B,2,0)</f>
        <v>#N/A</v>
      </c>
      <c r="D865" s="10">
        <f>SUMIF([1]Relatório!$A$2:$A$2653,A865,[1]Relatório!$AK$2:$AK$2653)</f>
        <v>105</v>
      </c>
      <c r="E865" s="11">
        <f t="shared" si="26"/>
        <v>0.00017950037353173</v>
      </c>
      <c r="F865" s="11">
        <f>SUM($E$7:E865)</f>
        <v>0.934386630128368</v>
      </c>
      <c r="G865" s="12" t="str">
        <f t="shared" si="27"/>
        <v>C</v>
      </c>
      <c r="H865" s="9" t="s">
        <v>892</v>
      </c>
      <c r="I865" s="9" t="s">
        <v>1872</v>
      </c>
      <c r="J865" s="9" t="s">
        <v>213</v>
      </c>
      <c r="K865" s="10" t="str">
        <f>IFERROR(VLOOKUP(A865,'Pedido ESTHER'!$B:$C,2,0),"")</f>
        <v/>
      </c>
      <c r="L865" s="12" t="str">
        <f>IF(N(K865)&gt;0,"COMPRA","NÃO COMPRA")</f>
        <v>NÃO COMPRA</v>
      </c>
    </row>
    <row r="866" spans="1:12">
      <c r="A866" s="8" t="s">
        <v>1873</v>
      </c>
      <c r="B866" s="9" t="s">
        <v>588</v>
      </c>
      <c r="C866" s="9" t="e">
        <f>VLOOKUP(A866,[2]Planilha1!$A:$B,2,0)</f>
        <v>#N/A</v>
      </c>
      <c r="D866" s="10">
        <f>SUMIF([1]Relatório!$A$2:$A$2653,A866,[1]Relatório!$AK$2:$AK$2653)</f>
        <v>105</v>
      </c>
      <c r="E866" s="11">
        <f t="shared" si="26"/>
        <v>0.00017950037353173</v>
      </c>
      <c r="F866" s="11">
        <f>SUM($E$7:E866)</f>
        <v>0.9345661305019</v>
      </c>
      <c r="G866" s="12" t="str">
        <f t="shared" si="27"/>
        <v>C</v>
      </c>
      <c r="H866" s="9" t="s">
        <v>21</v>
      </c>
      <c r="I866" s="9"/>
      <c r="J866" s="9" t="s">
        <v>15</v>
      </c>
      <c r="K866" s="10" t="str">
        <f>IFERROR(VLOOKUP(A866,'Pedido ESTHER'!$B:$C,2,0),"")</f>
        <v/>
      </c>
      <c r="L866" s="12" t="str">
        <f>IF(N(K866)&gt;0,"COMPRA","NÃO COMPRA")</f>
        <v>NÃO COMPRA</v>
      </c>
    </row>
    <row r="867" spans="1:12">
      <c r="A867" s="8" t="s">
        <v>1874</v>
      </c>
      <c r="B867" s="9" t="s">
        <v>706</v>
      </c>
      <c r="C867" s="9" t="e">
        <f>VLOOKUP(A867,[2]Planilha1!$A:$B,2,0)</f>
        <v>#N/A</v>
      </c>
      <c r="D867" s="10">
        <f>SUMIF([1]Relatório!$A$2:$A$2653,A867,[1]Relatório!$AK$2:$AK$2653)</f>
        <v>105</v>
      </c>
      <c r="E867" s="11">
        <f t="shared" si="26"/>
        <v>0.00017950037353173</v>
      </c>
      <c r="F867" s="11">
        <f>SUM($E$7:E867)</f>
        <v>0.934745630875432</v>
      </c>
      <c r="G867" s="12" t="str">
        <f t="shared" si="27"/>
        <v>C</v>
      </c>
      <c r="H867" s="9" t="s">
        <v>183</v>
      </c>
      <c r="I867" s="9" t="s">
        <v>1875</v>
      </c>
      <c r="J867" s="9" t="s">
        <v>241</v>
      </c>
      <c r="K867" s="10" t="str">
        <f>IFERROR(VLOOKUP(A867,'Pedido ESTHER'!$B:$C,2,0),"")</f>
        <v/>
      </c>
      <c r="L867" s="12" t="str">
        <f>IF(N(K867)&gt;0,"COMPRA","NÃO COMPRA")</f>
        <v>NÃO COMPRA</v>
      </c>
    </row>
    <row r="868" spans="1:12">
      <c r="A868" s="8" t="s">
        <v>1876</v>
      </c>
      <c r="B868" s="9" t="s">
        <v>923</v>
      </c>
      <c r="C868" s="9" t="e">
        <f>VLOOKUP(A868,[2]Planilha1!$A:$B,2,0)</f>
        <v>#N/A</v>
      </c>
      <c r="D868" s="10">
        <f>SUMIF([1]Relatório!$A$2:$A$2653,A868,[1]Relatório!$AK$2:$AK$2653)</f>
        <v>105</v>
      </c>
      <c r="E868" s="11">
        <f t="shared" si="26"/>
        <v>0.00017950037353173</v>
      </c>
      <c r="F868" s="11">
        <f>SUM($E$7:E868)</f>
        <v>0.934925131248963</v>
      </c>
      <c r="G868" s="12" t="str">
        <f t="shared" si="27"/>
        <v>C</v>
      </c>
      <c r="H868" s="9" t="s">
        <v>776</v>
      </c>
      <c r="I868" s="9" t="s">
        <v>1877</v>
      </c>
      <c r="J868" s="9" t="s">
        <v>925</v>
      </c>
      <c r="K868" s="10" t="str">
        <f>IFERROR(VLOOKUP(A868,'Pedido ESTHER'!$B:$C,2,0),"")</f>
        <v/>
      </c>
      <c r="L868" s="12" t="str">
        <f>IF(N(K868)&gt;0,"COMPRA","NÃO COMPRA")</f>
        <v>NÃO COMPRA</v>
      </c>
    </row>
    <row r="869" spans="1:12">
      <c r="A869" s="8" t="s">
        <v>1878</v>
      </c>
      <c r="B869" s="9" t="s">
        <v>250</v>
      </c>
      <c r="C869" s="9" t="e">
        <f>VLOOKUP(A869,[2]Planilha1!$A:$B,2,0)</f>
        <v>#N/A</v>
      </c>
      <c r="D869" s="10">
        <f>SUMIF([1]Relatório!$A$2:$A$2653,A869,[1]Relatório!$AK$2:$AK$2653)</f>
        <v>105</v>
      </c>
      <c r="E869" s="11">
        <f t="shared" si="26"/>
        <v>0.00017950037353173</v>
      </c>
      <c r="F869" s="11">
        <f>SUM($E$7:E869)</f>
        <v>0.935104631622495</v>
      </c>
      <c r="G869" s="12" t="str">
        <f t="shared" si="27"/>
        <v>C</v>
      </c>
      <c r="H869" s="9" t="s">
        <v>74</v>
      </c>
      <c r="I869" s="9" t="s">
        <v>1879</v>
      </c>
      <c r="J869" s="9" t="s">
        <v>152</v>
      </c>
      <c r="K869" s="10" t="str">
        <f>IFERROR(VLOOKUP(A869,'Pedido ESTHER'!$B:$C,2,0),"")</f>
        <v/>
      </c>
      <c r="L869" s="12" t="str">
        <f>IF(N(K869)&gt;0,"COMPRA","NÃO COMPRA")</f>
        <v>NÃO COMPRA</v>
      </c>
    </row>
    <row r="870" spans="1:12">
      <c r="A870" s="8" t="s">
        <v>1880</v>
      </c>
      <c r="B870" s="9" t="s">
        <v>1881</v>
      </c>
      <c r="C870" s="9" t="e">
        <f>VLOOKUP(A870,[2]Planilha1!$A:$B,2,0)</f>
        <v>#N/A</v>
      </c>
      <c r="D870" s="10">
        <f>SUMIF([1]Relatório!$A$2:$A$2653,A870,[1]Relatório!$AK$2:$AK$2653)</f>
        <v>105</v>
      </c>
      <c r="E870" s="11">
        <f t="shared" si="26"/>
        <v>0.00017950037353173</v>
      </c>
      <c r="F870" s="11">
        <f>SUM($E$7:E870)</f>
        <v>0.935284131996027</v>
      </c>
      <c r="G870" s="12" t="str">
        <f t="shared" si="27"/>
        <v>C</v>
      </c>
      <c r="H870" s="9" t="s">
        <v>21</v>
      </c>
      <c r="I870" s="9" t="s">
        <v>1882</v>
      </c>
      <c r="J870" s="9" t="s">
        <v>1883</v>
      </c>
      <c r="K870" s="10" t="str">
        <f>IFERROR(VLOOKUP(A870,'Pedido ESTHER'!$B:$C,2,0),"")</f>
        <v/>
      </c>
      <c r="L870" s="12" t="str">
        <f>IF(N(K870)&gt;0,"COMPRA","NÃO COMPRA")</f>
        <v>NÃO COMPRA</v>
      </c>
    </row>
    <row r="871" spans="1:12">
      <c r="A871" s="8" t="s">
        <v>1884</v>
      </c>
      <c r="B871" s="9" t="s">
        <v>1885</v>
      </c>
      <c r="C871" s="9" t="e">
        <f>VLOOKUP(A871,[2]Planilha1!$A:$B,2,0)</f>
        <v>#N/A</v>
      </c>
      <c r="D871" s="10">
        <f>SUMIF([1]Relatório!$A$2:$A$2653,A871,[1]Relatório!$AK$2:$AK$2653)</f>
        <v>104</v>
      </c>
      <c r="E871" s="11">
        <f t="shared" si="26"/>
        <v>0.000177790846164761</v>
      </c>
      <c r="F871" s="11">
        <f>SUM($E$7:E871)</f>
        <v>0.935461922842192</v>
      </c>
      <c r="G871" s="12" t="str">
        <f t="shared" si="27"/>
        <v>C</v>
      </c>
      <c r="H871" s="9" t="s">
        <v>1344</v>
      </c>
      <c r="I871" s="9"/>
      <c r="J871" s="9" t="s">
        <v>281</v>
      </c>
      <c r="K871" s="10" t="str">
        <f>IFERROR(VLOOKUP(A871,'Pedido ESTHER'!$B:$C,2,0),"")</f>
        <v/>
      </c>
      <c r="L871" s="12" t="str">
        <f>IF(N(K871)&gt;0,"COMPRA","NÃO COMPRA")</f>
        <v>NÃO COMPRA</v>
      </c>
    </row>
    <row r="872" spans="1:12">
      <c r="A872" s="8" t="s">
        <v>1886</v>
      </c>
      <c r="B872" s="9" t="s">
        <v>1695</v>
      </c>
      <c r="C872" s="9" t="e">
        <f>VLOOKUP(A872,[2]Planilha1!$A:$B,2,0)</f>
        <v>#N/A</v>
      </c>
      <c r="D872" s="10">
        <f>SUMIF([1]Relatório!$A$2:$A$2653,A872,[1]Relatório!$AK$2:$AK$2653)</f>
        <v>104</v>
      </c>
      <c r="E872" s="11">
        <f t="shared" si="26"/>
        <v>0.000177790846164761</v>
      </c>
      <c r="F872" s="11">
        <f>SUM($E$7:E872)</f>
        <v>0.935639713688356</v>
      </c>
      <c r="G872" s="12" t="str">
        <f t="shared" si="27"/>
        <v>C</v>
      </c>
      <c r="H872" s="9" t="s">
        <v>18</v>
      </c>
      <c r="I872" s="9"/>
      <c r="J872" s="9" t="s">
        <v>281</v>
      </c>
      <c r="K872" s="10" t="str">
        <f>IFERROR(VLOOKUP(A872,'Pedido ESTHER'!$B:$C,2,0),"")</f>
        <v/>
      </c>
      <c r="L872" s="12" t="str">
        <f>IF(N(K872)&gt;0,"COMPRA","NÃO COMPRA")</f>
        <v>NÃO COMPRA</v>
      </c>
    </row>
    <row r="873" spans="1:12">
      <c r="A873" s="8" t="s">
        <v>1887</v>
      </c>
      <c r="B873" s="9" t="s">
        <v>1175</v>
      </c>
      <c r="C873" s="9" t="e">
        <f>VLOOKUP(A873,[2]Planilha1!$A:$B,2,0)</f>
        <v>#N/A</v>
      </c>
      <c r="D873" s="10">
        <f>SUMIF([1]Relatório!$A$2:$A$2653,A873,[1]Relatório!$AK$2:$AK$2653)</f>
        <v>104</v>
      </c>
      <c r="E873" s="11">
        <f t="shared" si="26"/>
        <v>0.000177790846164761</v>
      </c>
      <c r="F873" s="11">
        <f>SUM($E$7:E873)</f>
        <v>0.935817504534521</v>
      </c>
      <c r="G873" s="12" t="str">
        <f t="shared" si="27"/>
        <v>C</v>
      </c>
      <c r="H873" s="9" t="s">
        <v>74</v>
      </c>
      <c r="I873" s="9" t="s">
        <v>1888</v>
      </c>
      <c r="J873" s="9" t="s">
        <v>44</v>
      </c>
      <c r="K873" s="10" t="str">
        <f>IFERROR(VLOOKUP(A873,'Pedido ESTHER'!$B:$C,2,0),"")</f>
        <v/>
      </c>
      <c r="L873" s="12" t="str">
        <f>IF(N(K873)&gt;0,"COMPRA","NÃO COMPRA")</f>
        <v>NÃO COMPRA</v>
      </c>
    </row>
    <row r="874" spans="1:12">
      <c r="A874" s="8" t="s">
        <v>1889</v>
      </c>
      <c r="B874" s="9" t="s">
        <v>1796</v>
      </c>
      <c r="C874" s="9" t="e">
        <f>VLOOKUP(A874,[2]Planilha1!$A:$B,2,0)</f>
        <v>#N/A</v>
      </c>
      <c r="D874" s="10">
        <f>SUMIF([1]Relatório!$A$2:$A$2653,A874,[1]Relatório!$AK$2:$AK$2653)</f>
        <v>103</v>
      </c>
      <c r="E874" s="11">
        <f t="shared" si="26"/>
        <v>0.000176081318797792</v>
      </c>
      <c r="F874" s="11">
        <f>SUM($E$7:E874)</f>
        <v>0.935993585853319</v>
      </c>
      <c r="G874" s="12" t="str">
        <f t="shared" si="27"/>
        <v>C</v>
      </c>
      <c r="H874" s="9" t="s">
        <v>1344</v>
      </c>
      <c r="I874" s="9" t="s">
        <v>1890</v>
      </c>
      <c r="J874" s="9" t="s">
        <v>201</v>
      </c>
      <c r="K874" s="10" t="str">
        <f>IFERROR(VLOOKUP(A874,'Pedido ESTHER'!$B:$C,2,0),"")</f>
        <v/>
      </c>
      <c r="L874" s="12" t="str">
        <f>IF(N(K874)&gt;0,"COMPRA","NÃO COMPRA")</f>
        <v>NÃO COMPRA</v>
      </c>
    </row>
    <row r="875" spans="1:12">
      <c r="A875" s="8" t="s">
        <v>1891</v>
      </c>
      <c r="B875" s="9" t="s">
        <v>1892</v>
      </c>
      <c r="C875" s="9" t="e">
        <f>VLOOKUP(A875,[2]Planilha1!$A:$B,2,0)</f>
        <v>#N/A</v>
      </c>
      <c r="D875" s="10">
        <f>SUMIF([1]Relatório!$A$2:$A$2653,A875,[1]Relatório!$AK$2:$AK$2653)</f>
        <v>103</v>
      </c>
      <c r="E875" s="11">
        <f t="shared" si="26"/>
        <v>0.000176081318797792</v>
      </c>
      <c r="F875" s="11">
        <f>SUM($E$7:E875)</f>
        <v>0.936169667172117</v>
      </c>
      <c r="G875" s="12" t="str">
        <f t="shared" si="27"/>
        <v>C</v>
      </c>
      <c r="H875" s="9" t="s">
        <v>1344</v>
      </c>
      <c r="I875" s="9" t="s">
        <v>1893</v>
      </c>
      <c r="J875" s="9" t="s">
        <v>40</v>
      </c>
      <c r="K875" s="10" t="str">
        <f>IFERROR(VLOOKUP(A875,'Pedido ESTHER'!$B:$C,2,0),"")</f>
        <v/>
      </c>
      <c r="L875" s="12" t="str">
        <f>IF(N(K875)&gt;0,"COMPRA","NÃO COMPRA")</f>
        <v>NÃO COMPRA</v>
      </c>
    </row>
    <row r="876" spans="1:12">
      <c r="A876" s="8" t="s">
        <v>1894</v>
      </c>
      <c r="B876" s="9" t="s">
        <v>1895</v>
      </c>
      <c r="C876" s="9" t="e">
        <f>VLOOKUP(A876,[2]Planilha1!$A:$B,2,0)</f>
        <v>#N/A</v>
      </c>
      <c r="D876" s="10">
        <f>SUMIF([1]Relatório!$A$2:$A$2653,A876,[1]Relatório!$AK$2:$AK$2653)</f>
        <v>103</v>
      </c>
      <c r="E876" s="11">
        <f t="shared" si="26"/>
        <v>0.000176081318797792</v>
      </c>
      <c r="F876" s="11">
        <f>SUM($E$7:E876)</f>
        <v>0.936345748490914</v>
      </c>
      <c r="G876" s="12" t="str">
        <f t="shared" si="27"/>
        <v>C</v>
      </c>
      <c r="H876" s="9" t="s">
        <v>1344</v>
      </c>
      <c r="I876" s="9" t="s">
        <v>1896</v>
      </c>
      <c r="J876" s="9" t="s">
        <v>15</v>
      </c>
      <c r="K876" s="10" t="str">
        <f>IFERROR(VLOOKUP(A876,'Pedido ESTHER'!$B:$C,2,0),"")</f>
        <v/>
      </c>
      <c r="L876" s="12" t="str">
        <f>IF(N(K876)&gt;0,"COMPRA","NÃO COMPRA")</f>
        <v>NÃO COMPRA</v>
      </c>
    </row>
    <row r="877" spans="1:12">
      <c r="A877" s="8" t="s">
        <v>1897</v>
      </c>
      <c r="B877" s="9" t="s">
        <v>335</v>
      </c>
      <c r="C877" s="9" t="e">
        <f>VLOOKUP(A877,[2]Planilha1!$A:$B,2,0)</f>
        <v>#N/A</v>
      </c>
      <c r="D877" s="10">
        <f>SUMIF([1]Relatório!$A$2:$A$2653,A877,[1]Relatório!$AK$2:$AK$2653)</f>
        <v>103</v>
      </c>
      <c r="E877" s="11">
        <f t="shared" si="26"/>
        <v>0.000176081318797792</v>
      </c>
      <c r="F877" s="11">
        <f>SUM($E$7:E877)</f>
        <v>0.936521829809712</v>
      </c>
      <c r="G877" s="12" t="str">
        <f t="shared" si="27"/>
        <v>C</v>
      </c>
      <c r="H877" s="9" t="s">
        <v>183</v>
      </c>
      <c r="I877" s="9" t="s">
        <v>1898</v>
      </c>
      <c r="J877" s="9" t="s">
        <v>44</v>
      </c>
      <c r="K877" s="10" t="str">
        <f>IFERROR(VLOOKUP(A877,'Pedido ESTHER'!$B:$C,2,0),"")</f>
        <v/>
      </c>
      <c r="L877" s="12" t="str">
        <f>IF(N(K877)&gt;0,"COMPRA","NÃO COMPRA")</f>
        <v>NÃO COMPRA</v>
      </c>
    </row>
    <row r="878" spans="1:12">
      <c r="A878" s="8" t="s">
        <v>1899</v>
      </c>
      <c r="B878" s="9" t="s">
        <v>1900</v>
      </c>
      <c r="C878" s="9" t="e">
        <f>VLOOKUP(A878,[2]Planilha1!$A:$B,2,0)</f>
        <v>#N/A</v>
      </c>
      <c r="D878" s="10">
        <f>SUMIF([1]Relatório!$A$2:$A$2653,A878,[1]Relatório!$AK$2:$AK$2653)</f>
        <v>103</v>
      </c>
      <c r="E878" s="11">
        <f t="shared" si="26"/>
        <v>0.000176081318797792</v>
      </c>
      <c r="F878" s="11">
        <f>SUM($E$7:E878)</f>
        <v>0.93669791112851</v>
      </c>
      <c r="G878" s="12" t="str">
        <f t="shared" si="27"/>
        <v>C</v>
      </c>
      <c r="H878" s="9" t="s">
        <v>183</v>
      </c>
      <c r="I878" s="9" t="s">
        <v>1901</v>
      </c>
      <c r="J878" s="9" t="s">
        <v>213</v>
      </c>
      <c r="K878" s="10" t="str">
        <f>IFERROR(VLOOKUP(A878,'Pedido ESTHER'!$B:$C,2,0),"")</f>
        <v/>
      </c>
      <c r="L878" s="12" t="str">
        <f>IF(N(K878)&gt;0,"COMPRA","NÃO COMPRA")</f>
        <v>NÃO COMPRA</v>
      </c>
    </row>
    <row r="879" spans="1:12">
      <c r="A879" s="8" t="s">
        <v>1902</v>
      </c>
      <c r="B879" s="9" t="s">
        <v>335</v>
      </c>
      <c r="C879" s="9" t="e">
        <f>VLOOKUP(A879,[2]Planilha1!$A:$B,2,0)</f>
        <v>#N/A</v>
      </c>
      <c r="D879" s="10">
        <f>SUMIF([1]Relatório!$A$2:$A$2653,A879,[1]Relatório!$AK$2:$AK$2653)</f>
        <v>103</v>
      </c>
      <c r="E879" s="11">
        <f t="shared" si="26"/>
        <v>0.000176081318797792</v>
      </c>
      <c r="F879" s="11">
        <f>SUM($E$7:E879)</f>
        <v>0.936873992447308</v>
      </c>
      <c r="G879" s="12" t="str">
        <f t="shared" si="27"/>
        <v>C</v>
      </c>
      <c r="H879" s="9" t="s">
        <v>183</v>
      </c>
      <c r="I879" s="9" t="s">
        <v>1903</v>
      </c>
      <c r="J879" s="9" t="s">
        <v>44</v>
      </c>
      <c r="K879" s="10" t="str">
        <f>IFERROR(VLOOKUP(A879,'Pedido ESTHER'!$B:$C,2,0),"")</f>
        <v/>
      </c>
      <c r="L879" s="12" t="str">
        <f>IF(N(K879)&gt;0,"COMPRA","NÃO COMPRA")</f>
        <v>NÃO COMPRA</v>
      </c>
    </row>
    <row r="880" spans="1:12">
      <c r="A880" s="8" t="s">
        <v>1904</v>
      </c>
      <c r="B880" s="9" t="s">
        <v>1905</v>
      </c>
      <c r="C880" s="9" t="e">
        <f>VLOOKUP(A880,[2]Planilha1!$A:$B,2,0)</f>
        <v>#N/A</v>
      </c>
      <c r="D880" s="10">
        <f>SUMIF([1]Relatório!$A$2:$A$2653,A880,[1]Relatório!$AK$2:$AK$2653)</f>
        <v>102</v>
      </c>
      <c r="E880" s="11">
        <f t="shared" si="26"/>
        <v>0.000174371791430823</v>
      </c>
      <c r="F880" s="11">
        <f>SUM($E$7:E880)</f>
        <v>0.937048364238739</v>
      </c>
      <c r="G880" s="12" t="str">
        <f t="shared" si="27"/>
        <v>C</v>
      </c>
      <c r="H880" s="9" t="s">
        <v>1344</v>
      </c>
      <c r="I880" s="9" t="s">
        <v>1906</v>
      </c>
      <c r="J880" s="9" t="s">
        <v>164</v>
      </c>
      <c r="K880" s="10" t="str">
        <f>IFERROR(VLOOKUP(A880,'Pedido ESTHER'!$B:$C,2,0),"")</f>
        <v/>
      </c>
      <c r="L880" s="12" t="str">
        <f>IF(N(K880)&gt;0,"COMPRA","NÃO COMPRA")</f>
        <v>NÃO COMPRA</v>
      </c>
    </row>
    <row r="881" spans="1:12">
      <c r="A881" s="8" t="s">
        <v>1907</v>
      </c>
      <c r="B881" s="9" t="s">
        <v>812</v>
      </c>
      <c r="C881" s="9" t="e">
        <f>VLOOKUP(A881,[2]Planilha1!$A:$B,2,0)</f>
        <v>#N/A</v>
      </c>
      <c r="D881" s="10">
        <f>SUMIF([1]Relatório!$A$2:$A$2653,A881,[1]Relatório!$AK$2:$AK$2653)</f>
        <v>102</v>
      </c>
      <c r="E881" s="11">
        <f t="shared" si="26"/>
        <v>0.000174371791430823</v>
      </c>
      <c r="F881" s="11">
        <f>SUM($E$7:E881)</f>
        <v>0.937222736030169</v>
      </c>
      <c r="G881" s="12" t="str">
        <f t="shared" si="27"/>
        <v>C</v>
      </c>
      <c r="H881" s="9" t="s">
        <v>776</v>
      </c>
      <c r="I881" s="9"/>
      <c r="J881" s="9" t="s">
        <v>1143</v>
      </c>
      <c r="K881" s="10" t="str">
        <f>IFERROR(VLOOKUP(A881,'Pedido ESTHER'!$B:$C,2,0),"")</f>
        <v/>
      </c>
      <c r="L881" s="12" t="str">
        <f>IF(N(K881)&gt;0,"COMPRA","NÃO COMPRA")</f>
        <v>NÃO COMPRA</v>
      </c>
    </row>
    <row r="882" spans="1:12">
      <c r="A882" s="8" t="s">
        <v>1908</v>
      </c>
      <c r="B882" s="9" t="s">
        <v>588</v>
      </c>
      <c r="C882" s="9" t="e">
        <f>VLOOKUP(A882,[2]Planilha1!$A:$B,2,0)</f>
        <v>#N/A</v>
      </c>
      <c r="D882" s="10">
        <f>SUMIF([1]Relatório!$A$2:$A$2653,A882,[1]Relatório!$AK$2:$AK$2653)</f>
        <v>102</v>
      </c>
      <c r="E882" s="11">
        <f t="shared" si="26"/>
        <v>0.000174371791430823</v>
      </c>
      <c r="F882" s="11">
        <f>SUM($E$7:E882)</f>
        <v>0.9373971078216</v>
      </c>
      <c r="G882" s="12" t="str">
        <f t="shared" si="27"/>
        <v>C</v>
      </c>
      <c r="H882" s="9" t="s">
        <v>21</v>
      </c>
      <c r="I882" s="9"/>
      <c r="J882" s="9" t="s">
        <v>15</v>
      </c>
      <c r="K882" s="10" t="str">
        <f>IFERROR(VLOOKUP(A882,'Pedido ESTHER'!$B:$C,2,0),"")</f>
        <v/>
      </c>
      <c r="L882" s="12" t="str">
        <f>IF(N(K882)&gt;0,"COMPRA","NÃO COMPRA")</f>
        <v>NÃO COMPRA</v>
      </c>
    </row>
    <row r="883" spans="1:12">
      <c r="A883" s="8" t="s">
        <v>1909</v>
      </c>
      <c r="B883" s="9" t="s">
        <v>283</v>
      </c>
      <c r="C883" s="9" t="e">
        <f>VLOOKUP(A883,[2]Planilha1!$A:$B,2,0)</f>
        <v>#N/A</v>
      </c>
      <c r="D883" s="10">
        <f>SUMIF([1]Relatório!$A$2:$A$2653,A883,[1]Relatório!$AK$2:$AK$2653)</f>
        <v>102</v>
      </c>
      <c r="E883" s="11">
        <f t="shared" si="26"/>
        <v>0.000174371791430823</v>
      </c>
      <c r="F883" s="11">
        <f>SUM($E$7:E883)</f>
        <v>0.937571479613031</v>
      </c>
      <c r="G883" s="12" t="str">
        <f t="shared" si="27"/>
        <v>C</v>
      </c>
      <c r="H883" s="9" t="s">
        <v>18</v>
      </c>
      <c r="I883" s="9"/>
      <c r="J883" s="9" t="s">
        <v>241</v>
      </c>
      <c r="K883" s="10" t="str">
        <f>IFERROR(VLOOKUP(A883,'Pedido ESTHER'!$B:$C,2,0),"")</f>
        <v/>
      </c>
      <c r="L883" s="12" t="str">
        <f>IF(N(K883)&gt;0,"COMPRA","NÃO COMPRA")</f>
        <v>NÃO COMPRA</v>
      </c>
    </row>
    <row r="884" spans="1:12">
      <c r="A884" s="8" t="s">
        <v>1910</v>
      </c>
      <c r="B884" s="9" t="s">
        <v>1911</v>
      </c>
      <c r="C884" s="9" t="e">
        <f>VLOOKUP(A884,[2]Planilha1!$A:$B,2,0)</f>
        <v>#N/A</v>
      </c>
      <c r="D884" s="10">
        <f>SUMIF([1]Relatório!$A$2:$A$2653,A884,[1]Relatório!$AK$2:$AK$2653)</f>
        <v>102</v>
      </c>
      <c r="E884" s="11">
        <f t="shared" si="26"/>
        <v>0.000174371791430823</v>
      </c>
      <c r="F884" s="11">
        <f>SUM($E$7:E884)</f>
        <v>0.937745851404462</v>
      </c>
      <c r="G884" s="12" t="str">
        <f t="shared" si="27"/>
        <v>C</v>
      </c>
      <c r="H884" s="9" t="s">
        <v>1117</v>
      </c>
      <c r="I884" s="9" t="s">
        <v>1912</v>
      </c>
      <c r="J884" s="9" t="s">
        <v>64</v>
      </c>
      <c r="K884" s="10" t="str">
        <f>IFERROR(VLOOKUP(A884,'Pedido ESTHER'!$B:$C,2,0),"")</f>
        <v/>
      </c>
      <c r="L884" s="12" t="str">
        <f>IF(N(K884)&gt;0,"COMPRA","NÃO COMPRA")</f>
        <v>NÃO COMPRA</v>
      </c>
    </row>
    <row r="885" spans="1:12">
      <c r="A885" s="8" t="s">
        <v>1913</v>
      </c>
      <c r="B885" s="9" t="s">
        <v>1914</v>
      </c>
      <c r="C885" s="9" t="e">
        <f>VLOOKUP(A885,[2]Planilha1!$A:$B,2,0)</f>
        <v>#N/A</v>
      </c>
      <c r="D885" s="10">
        <f>SUMIF([1]Relatório!$A$2:$A$2653,A885,[1]Relatório!$AK$2:$AK$2653)</f>
        <v>101</v>
      </c>
      <c r="E885" s="11">
        <f t="shared" si="26"/>
        <v>0.000172662264063854</v>
      </c>
      <c r="F885" s="11">
        <f>SUM($E$7:E885)</f>
        <v>0.937918513668526</v>
      </c>
      <c r="G885" s="12" t="str">
        <f t="shared" si="27"/>
        <v>C</v>
      </c>
      <c r="H885" s="9" t="s">
        <v>1344</v>
      </c>
      <c r="I885" s="9" t="s">
        <v>1915</v>
      </c>
      <c r="J885" s="9" t="s">
        <v>64</v>
      </c>
      <c r="K885" s="10" t="str">
        <f>IFERROR(VLOOKUP(A885,'Pedido ESTHER'!$B:$C,2,0),"")</f>
        <v/>
      </c>
      <c r="L885" s="12" t="str">
        <f>IF(N(K885)&gt;0,"COMPRA","NÃO COMPRA")</f>
        <v>NÃO COMPRA</v>
      </c>
    </row>
    <row r="886" spans="1:12">
      <c r="A886" s="8" t="s">
        <v>1916</v>
      </c>
      <c r="B886" s="9" t="s">
        <v>1917</v>
      </c>
      <c r="C886" s="9" t="e">
        <f>VLOOKUP(A886,[2]Planilha1!$A:$B,2,0)</f>
        <v>#N/A</v>
      </c>
      <c r="D886" s="10">
        <f>SUMIF([1]Relatório!$A$2:$A$2653,A886,[1]Relatório!$AK$2:$AK$2653)</f>
        <v>101</v>
      </c>
      <c r="E886" s="11">
        <f t="shared" si="26"/>
        <v>0.000172662264063854</v>
      </c>
      <c r="F886" s="11">
        <f>SUM($E$7:E886)</f>
        <v>0.93809117593259</v>
      </c>
      <c r="G886" s="12" t="str">
        <f t="shared" si="27"/>
        <v>C</v>
      </c>
      <c r="H886" s="9" t="s">
        <v>1344</v>
      </c>
      <c r="I886" s="9" t="s">
        <v>1918</v>
      </c>
      <c r="J886" s="9" t="s">
        <v>40</v>
      </c>
      <c r="K886" s="10" t="str">
        <f>IFERROR(VLOOKUP(A886,'Pedido ESTHER'!$B:$C,2,0),"")</f>
        <v/>
      </c>
      <c r="L886" s="12" t="str">
        <f>IF(N(K886)&gt;0,"COMPRA","NÃO COMPRA")</f>
        <v>NÃO COMPRA</v>
      </c>
    </row>
    <row r="887" spans="1:12">
      <c r="A887" s="8" t="s">
        <v>1919</v>
      </c>
      <c r="B887" s="9" t="s">
        <v>1914</v>
      </c>
      <c r="C887" s="9" t="e">
        <f>VLOOKUP(A887,[2]Planilha1!$A:$B,2,0)</f>
        <v>#N/A</v>
      </c>
      <c r="D887" s="10">
        <f>SUMIF([1]Relatório!$A$2:$A$2653,A887,[1]Relatório!$AK$2:$AK$2653)</f>
        <v>101</v>
      </c>
      <c r="E887" s="11">
        <f t="shared" si="26"/>
        <v>0.000172662264063854</v>
      </c>
      <c r="F887" s="11">
        <f>SUM($E$7:E887)</f>
        <v>0.938263838196654</v>
      </c>
      <c r="G887" s="12" t="str">
        <f t="shared" si="27"/>
        <v>C</v>
      </c>
      <c r="H887" s="9" t="s">
        <v>1344</v>
      </c>
      <c r="I887" s="9" t="s">
        <v>1920</v>
      </c>
      <c r="J887" s="9" t="s">
        <v>64</v>
      </c>
      <c r="K887" s="10" t="str">
        <f>IFERROR(VLOOKUP(A887,'Pedido ESTHER'!$B:$C,2,0),"")</f>
        <v/>
      </c>
      <c r="L887" s="12" t="str">
        <f>IF(N(K887)&gt;0,"COMPRA","NÃO COMPRA")</f>
        <v>NÃO COMPRA</v>
      </c>
    </row>
    <row r="888" spans="1:12">
      <c r="A888" s="8" t="s">
        <v>1921</v>
      </c>
      <c r="B888" s="9" t="s">
        <v>1612</v>
      </c>
      <c r="C888" s="9" t="e">
        <f>VLOOKUP(A888,[2]Planilha1!$A:$B,2,0)</f>
        <v>#N/A</v>
      </c>
      <c r="D888" s="10">
        <f>SUMIF([1]Relatório!$A$2:$A$2653,A888,[1]Relatório!$AK$2:$AK$2653)</f>
        <v>101</v>
      </c>
      <c r="E888" s="11">
        <f t="shared" si="26"/>
        <v>0.000172662264063854</v>
      </c>
      <c r="F888" s="11">
        <f>SUM($E$7:E888)</f>
        <v>0.938436500460718</v>
      </c>
      <c r="G888" s="12" t="str">
        <f t="shared" si="27"/>
        <v>C</v>
      </c>
      <c r="H888" s="9" t="s">
        <v>1344</v>
      </c>
      <c r="I888" s="9" t="s">
        <v>1922</v>
      </c>
      <c r="J888" s="9" t="s">
        <v>33</v>
      </c>
      <c r="K888" s="10" t="str">
        <f>IFERROR(VLOOKUP(A888,'Pedido ESTHER'!$B:$C,2,0),"")</f>
        <v/>
      </c>
      <c r="L888" s="12" t="str">
        <f>IF(N(K888)&gt;0,"COMPRA","NÃO COMPRA")</f>
        <v>NÃO COMPRA</v>
      </c>
    </row>
    <row r="889" spans="1:12">
      <c r="A889" s="8" t="s">
        <v>1923</v>
      </c>
      <c r="B889" s="9" t="s">
        <v>1638</v>
      </c>
      <c r="C889" s="9" t="e">
        <f>VLOOKUP(A889,[2]Planilha1!$A:$B,2,0)</f>
        <v>#N/A</v>
      </c>
      <c r="D889" s="10">
        <f>SUMIF([1]Relatório!$A$2:$A$2653,A889,[1]Relatório!$AK$2:$AK$2653)</f>
        <v>101</v>
      </c>
      <c r="E889" s="11">
        <f t="shared" si="26"/>
        <v>0.000172662264063854</v>
      </c>
      <c r="F889" s="11">
        <f>SUM($E$7:E889)</f>
        <v>0.938609162724781</v>
      </c>
      <c r="G889" s="12" t="str">
        <f t="shared" si="27"/>
        <v>C</v>
      </c>
      <c r="H889" s="9" t="s">
        <v>1344</v>
      </c>
      <c r="I889" s="9" t="s">
        <v>1924</v>
      </c>
      <c r="J889" s="9" t="s">
        <v>33</v>
      </c>
      <c r="K889" s="10" t="str">
        <f>IFERROR(VLOOKUP(A889,'Pedido ESTHER'!$B:$C,2,0),"")</f>
        <v/>
      </c>
      <c r="L889" s="12" t="str">
        <f>IF(N(K889)&gt;0,"COMPRA","NÃO COMPRA")</f>
        <v>NÃO COMPRA</v>
      </c>
    </row>
    <row r="890" spans="1:12">
      <c r="A890" s="8" t="s">
        <v>1925</v>
      </c>
      <c r="B890" s="9" t="s">
        <v>1322</v>
      </c>
      <c r="C890" s="9" t="e">
        <f>VLOOKUP(A890,[2]Planilha1!$A:$B,2,0)</f>
        <v>#N/A</v>
      </c>
      <c r="D890" s="10">
        <f>SUMIF([1]Relatório!$A$2:$A$2653,A890,[1]Relatório!$AK$2:$AK$2653)</f>
        <v>101</v>
      </c>
      <c r="E890" s="11">
        <f t="shared" si="26"/>
        <v>0.000172662264063854</v>
      </c>
      <c r="F890" s="11">
        <f>SUM($E$7:E890)</f>
        <v>0.938781824988845</v>
      </c>
      <c r="G890" s="12" t="str">
        <f t="shared" si="27"/>
        <v>C</v>
      </c>
      <c r="H890" s="9" t="s">
        <v>21</v>
      </c>
      <c r="I890" s="9"/>
      <c r="J890" s="9" t="s">
        <v>1169</v>
      </c>
      <c r="K890" s="10" t="str">
        <f>IFERROR(VLOOKUP(A890,'Pedido ESTHER'!$B:$C,2,0),"")</f>
        <v/>
      </c>
      <c r="L890" s="12" t="str">
        <f>IF(N(K890)&gt;0,"COMPRA","NÃO COMPRA")</f>
        <v>NÃO COMPRA</v>
      </c>
    </row>
    <row r="891" spans="1:12">
      <c r="A891" s="8" t="s">
        <v>1926</v>
      </c>
      <c r="B891" s="9" t="s">
        <v>193</v>
      </c>
      <c r="C891" s="9" t="e">
        <f>VLOOKUP(A891,[2]Planilha1!$A:$B,2,0)</f>
        <v>#N/A</v>
      </c>
      <c r="D891" s="10">
        <f>SUMIF([1]Relatório!$A$2:$A$2653,A891,[1]Relatório!$AK$2:$AK$2653)</f>
        <v>101</v>
      </c>
      <c r="E891" s="11">
        <f t="shared" si="26"/>
        <v>0.000172662264063854</v>
      </c>
      <c r="F891" s="11">
        <f>SUM($E$7:E891)</f>
        <v>0.938954487252909</v>
      </c>
      <c r="G891" s="12" t="str">
        <f t="shared" si="27"/>
        <v>C</v>
      </c>
      <c r="H891" s="9" t="s">
        <v>183</v>
      </c>
      <c r="I891" s="9" t="s">
        <v>1927</v>
      </c>
      <c r="J891" s="9" t="s">
        <v>29</v>
      </c>
      <c r="K891" s="10" t="str">
        <f>IFERROR(VLOOKUP(A891,'Pedido ESTHER'!$B:$C,2,0),"")</f>
        <v/>
      </c>
      <c r="L891" s="12" t="str">
        <f>IF(N(K891)&gt;0,"COMPRA","NÃO COMPRA")</f>
        <v>NÃO COMPRA</v>
      </c>
    </row>
    <row r="892" spans="1:12">
      <c r="A892" s="8" t="s">
        <v>1928</v>
      </c>
      <c r="B892" s="9" t="s">
        <v>1635</v>
      </c>
      <c r="C892" s="9" t="e">
        <f>VLOOKUP(A892,[2]Planilha1!$A:$B,2,0)</f>
        <v>#N/A</v>
      </c>
      <c r="D892" s="10">
        <f>SUMIF([1]Relatório!$A$2:$A$2653,A892,[1]Relatório!$AK$2:$AK$2653)</f>
        <v>101</v>
      </c>
      <c r="E892" s="11">
        <f t="shared" si="26"/>
        <v>0.000172662264063854</v>
      </c>
      <c r="F892" s="11">
        <f>SUM($E$7:E892)</f>
        <v>0.939127149516973</v>
      </c>
      <c r="G892" s="12" t="str">
        <f t="shared" si="27"/>
        <v>C</v>
      </c>
      <c r="H892" s="9" t="s">
        <v>221</v>
      </c>
      <c r="I892" s="9" t="s">
        <v>1929</v>
      </c>
      <c r="J892" s="9" t="s">
        <v>1143</v>
      </c>
      <c r="K892" s="10" t="str">
        <f>IFERROR(VLOOKUP(A892,'Pedido ESTHER'!$B:$C,2,0),"")</f>
        <v/>
      </c>
      <c r="L892" s="12" t="str">
        <f>IF(N(K892)&gt;0,"COMPRA","NÃO COMPRA")</f>
        <v>NÃO COMPRA</v>
      </c>
    </row>
    <row r="893" spans="1:12">
      <c r="A893" s="8" t="s">
        <v>1930</v>
      </c>
      <c r="B893" s="9" t="s">
        <v>1506</v>
      </c>
      <c r="C893" s="9" t="e">
        <f>VLOOKUP(A893,[2]Planilha1!$A:$B,2,0)</f>
        <v>#N/A</v>
      </c>
      <c r="D893" s="10">
        <f>SUMIF([1]Relatório!$A$2:$A$2653,A893,[1]Relatório!$AK$2:$AK$2653)</f>
        <v>101</v>
      </c>
      <c r="E893" s="11">
        <f t="shared" si="26"/>
        <v>0.000172662264063854</v>
      </c>
      <c r="F893" s="11">
        <f>SUM($E$7:E893)</f>
        <v>0.939299811781037</v>
      </c>
      <c r="G893" s="12" t="str">
        <f t="shared" si="27"/>
        <v>C</v>
      </c>
      <c r="H893" s="9" t="s">
        <v>112</v>
      </c>
      <c r="I893" s="9" t="s">
        <v>1931</v>
      </c>
      <c r="J893" s="9" t="s">
        <v>201</v>
      </c>
      <c r="K893" s="10" t="str">
        <f>IFERROR(VLOOKUP(A893,'Pedido ESTHER'!$B:$C,2,0),"")</f>
        <v/>
      </c>
      <c r="L893" s="12" t="str">
        <f>IF(N(K893)&gt;0,"COMPRA","NÃO COMPRA")</f>
        <v>NÃO COMPRA</v>
      </c>
    </row>
    <row r="894" spans="1:12">
      <c r="A894" s="8" t="s">
        <v>1932</v>
      </c>
      <c r="B894" s="9" t="s">
        <v>1933</v>
      </c>
      <c r="C894" s="9" t="e">
        <f>VLOOKUP(A894,[2]Planilha1!$A:$B,2,0)</f>
        <v>#N/A</v>
      </c>
      <c r="D894" s="10">
        <f>SUMIF([1]Relatório!$A$2:$A$2653,A894,[1]Relatório!$AK$2:$AK$2653)</f>
        <v>100</v>
      </c>
      <c r="E894" s="11">
        <f t="shared" si="26"/>
        <v>0.000170952736696885</v>
      </c>
      <c r="F894" s="11">
        <f>SUM($E$7:E894)</f>
        <v>0.939470764517734</v>
      </c>
      <c r="G894" s="12" t="str">
        <f t="shared" si="27"/>
        <v>C</v>
      </c>
      <c r="H894" s="9" t="s">
        <v>1344</v>
      </c>
      <c r="I894" s="9" t="s">
        <v>1934</v>
      </c>
      <c r="J894" s="9" t="s">
        <v>23</v>
      </c>
      <c r="K894" s="10" t="str">
        <f>IFERROR(VLOOKUP(A894,'Pedido ESTHER'!$B:$C,2,0),"")</f>
        <v/>
      </c>
      <c r="L894" s="12" t="str">
        <f>IF(N(K894)&gt;0,"COMPRA","NÃO COMPRA")</f>
        <v>NÃO COMPRA</v>
      </c>
    </row>
    <row r="895" spans="1:12">
      <c r="A895" s="8" t="s">
        <v>1935</v>
      </c>
      <c r="B895" s="9" t="s">
        <v>1936</v>
      </c>
      <c r="C895" s="9" t="e">
        <f>VLOOKUP(A895,[2]Planilha1!$A:$B,2,0)</f>
        <v>#N/A</v>
      </c>
      <c r="D895" s="10">
        <f>SUMIF([1]Relatório!$A$2:$A$2653,A895,[1]Relatório!$AK$2:$AK$2653)</f>
        <v>100</v>
      </c>
      <c r="E895" s="11">
        <f t="shared" si="26"/>
        <v>0.000170952736696885</v>
      </c>
      <c r="F895" s="11">
        <f>SUM($E$7:E895)</f>
        <v>0.939641717254431</v>
      </c>
      <c r="G895" s="12" t="str">
        <f t="shared" si="27"/>
        <v>C</v>
      </c>
      <c r="H895" s="9" t="s">
        <v>1937</v>
      </c>
      <c r="I895" s="9" t="s">
        <v>1938</v>
      </c>
      <c r="J895" s="9" t="s">
        <v>40</v>
      </c>
      <c r="K895" s="10" t="str">
        <f>IFERROR(VLOOKUP(A895,'Pedido ESTHER'!$B:$C,2,0),"")</f>
        <v/>
      </c>
      <c r="L895" s="12" t="str">
        <f>IF(N(K895)&gt;0,"COMPRA","NÃO COMPRA")</f>
        <v>NÃO COMPRA</v>
      </c>
    </row>
    <row r="896" spans="1:12">
      <c r="A896" s="8" t="s">
        <v>1939</v>
      </c>
      <c r="B896" s="9" t="s">
        <v>1940</v>
      </c>
      <c r="C896" s="9" t="e">
        <f>VLOOKUP(A896,[2]Planilha1!$A:$B,2,0)</f>
        <v>#N/A</v>
      </c>
      <c r="D896" s="10">
        <f>SUMIF([1]Relatório!$A$2:$A$2653,A896,[1]Relatório!$AK$2:$AK$2653)</f>
        <v>100</v>
      </c>
      <c r="E896" s="11">
        <f t="shared" si="26"/>
        <v>0.000170952736696885</v>
      </c>
      <c r="F896" s="11">
        <f>SUM($E$7:E896)</f>
        <v>0.939812669991128</v>
      </c>
      <c r="G896" s="12" t="str">
        <f t="shared" si="27"/>
        <v>C</v>
      </c>
      <c r="H896" s="9" t="s">
        <v>1344</v>
      </c>
      <c r="I896" s="9" t="s">
        <v>1941</v>
      </c>
      <c r="J896" s="9" t="s">
        <v>281</v>
      </c>
      <c r="K896" s="10" t="str">
        <f>IFERROR(VLOOKUP(A896,'Pedido ESTHER'!$B:$C,2,0),"")</f>
        <v/>
      </c>
      <c r="L896" s="12" t="str">
        <f>IF(N(K896)&gt;0,"COMPRA","NÃO COMPRA")</f>
        <v>NÃO COMPRA</v>
      </c>
    </row>
    <row r="897" spans="1:12">
      <c r="A897" s="8" t="s">
        <v>1942</v>
      </c>
      <c r="B897" s="9" t="s">
        <v>1917</v>
      </c>
      <c r="C897" s="9" t="e">
        <f>VLOOKUP(A897,[2]Planilha1!$A:$B,2,0)</f>
        <v>#N/A</v>
      </c>
      <c r="D897" s="10">
        <f>SUMIF([1]Relatório!$A$2:$A$2653,A897,[1]Relatório!$AK$2:$AK$2653)</f>
        <v>100</v>
      </c>
      <c r="E897" s="11">
        <f t="shared" si="26"/>
        <v>0.000170952736696885</v>
      </c>
      <c r="F897" s="11">
        <f>SUM($E$7:E897)</f>
        <v>0.939983622727824</v>
      </c>
      <c r="G897" s="12" t="str">
        <f t="shared" si="27"/>
        <v>C</v>
      </c>
      <c r="H897" s="9" t="s">
        <v>1344</v>
      </c>
      <c r="I897" s="9" t="s">
        <v>1943</v>
      </c>
      <c r="J897" s="9" t="s">
        <v>40</v>
      </c>
      <c r="K897" s="10" t="str">
        <f>IFERROR(VLOOKUP(A897,'Pedido ESTHER'!$B:$C,2,0),"")</f>
        <v/>
      </c>
      <c r="L897" s="12" t="str">
        <f>IF(N(K897)&gt;0,"COMPRA","NÃO COMPRA")</f>
        <v>NÃO COMPRA</v>
      </c>
    </row>
    <row r="898" spans="1:12">
      <c r="A898" s="8" t="s">
        <v>1944</v>
      </c>
      <c r="B898" s="9" t="s">
        <v>1945</v>
      </c>
      <c r="C898" s="9" t="e">
        <f>VLOOKUP(A898,[2]Planilha1!$A:$B,2,0)</f>
        <v>#N/A</v>
      </c>
      <c r="D898" s="10">
        <f>SUMIF([1]Relatório!$A$2:$A$2653,A898,[1]Relatório!$AK$2:$AK$2653)</f>
        <v>100</v>
      </c>
      <c r="E898" s="11">
        <f t="shared" si="26"/>
        <v>0.000170952736696885</v>
      </c>
      <c r="F898" s="11">
        <f>SUM($E$7:E898)</f>
        <v>0.940154575464521</v>
      </c>
      <c r="G898" s="12" t="str">
        <f t="shared" si="27"/>
        <v>C</v>
      </c>
      <c r="H898" s="9" t="s">
        <v>1344</v>
      </c>
      <c r="I898" s="9" t="s">
        <v>1946</v>
      </c>
      <c r="J898" s="9" t="s">
        <v>15</v>
      </c>
      <c r="K898" s="10" t="str">
        <f>IFERROR(VLOOKUP(A898,'Pedido ESTHER'!$B:$C,2,0),"")</f>
        <v/>
      </c>
      <c r="L898" s="12" t="str">
        <f>IF(N(K898)&gt;0,"COMPRA","NÃO COMPRA")</f>
        <v>NÃO COMPRA</v>
      </c>
    </row>
    <row r="899" spans="1:12">
      <c r="A899" s="8" t="s">
        <v>1947</v>
      </c>
      <c r="B899" s="9" t="s">
        <v>534</v>
      </c>
      <c r="C899" s="9" t="e">
        <f>VLOOKUP(A899,[2]Planilha1!$A:$B,2,0)</f>
        <v>#N/A</v>
      </c>
      <c r="D899" s="10">
        <f>SUMIF([1]Relatório!$A$2:$A$2653,A899,[1]Relatório!$AK$2:$AK$2653)</f>
        <v>100</v>
      </c>
      <c r="E899" s="11">
        <f t="shared" si="26"/>
        <v>0.000170952736696885</v>
      </c>
      <c r="F899" s="11">
        <f>SUM($E$7:E899)</f>
        <v>0.940325528201218</v>
      </c>
      <c r="G899" s="12" t="str">
        <f t="shared" si="27"/>
        <v>C</v>
      </c>
      <c r="H899" s="9" t="s">
        <v>143</v>
      </c>
      <c r="I899" s="9" t="s">
        <v>1948</v>
      </c>
      <c r="J899" s="9" t="s">
        <v>40</v>
      </c>
      <c r="K899" s="10" t="str">
        <f>IFERROR(VLOOKUP(A899,'Pedido ESTHER'!$B:$C,2,0),"")</f>
        <v/>
      </c>
      <c r="L899" s="12" t="str">
        <f>IF(N(K899)&gt;0,"COMPRA","NÃO COMPRA")</f>
        <v>NÃO COMPRA</v>
      </c>
    </row>
    <row r="900" spans="1:12">
      <c r="A900" s="8" t="s">
        <v>1949</v>
      </c>
      <c r="B900" s="9" t="s">
        <v>1103</v>
      </c>
      <c r="C900" s="9" t="e">
        <f>VLOOKUP(A900,[2]Planilha1!$A:$B,2,0)</f>
        <v>#N/A</v>
      </c>
      <c r="D900" s="10">
        <f>SUMIF([1]Relatório!$A$2:$A$2653,A900,[1]Relatório!$AK$2:$AK$2653)</f>
        <v>100</v>
      </c>
      <c r="E900" s="11">
        <f t="shared" si="26"/>
        <v>0.000170952736696885</v>
      </c>
      <c r="F900" s="11">
        <f>SUM($E$7:E900)</f>
        <v>0.940496480937915</v>
      </c>
      <c r="G900" s="12" t="str">
        <f t="shared" si="27"/>
        <v>C</v>
      </c>
      <c r="H900" s="9" t="s">
        <v>82</v>
      </c>
      <c r="I900" s="9"/>
      <c r="J900" s="9" t="s">
        <v>164</v>
      </c>
      <c r="K900" s="10" t="str">
        <f>IFERROR(VLOOKUP(A900,'Pedido ESTHER'!$B:$C,2,0),"")</f>
        <v/>
      </c>
      <c r="L900" s="12" t="str">
        <f>IF(N(K900)&gt;0,"COMPRA","NÃO COMPRA")</f>
        <v>NÃO COMPRA</v>
      </c>
    </row>
    <row r="901" spans="1:12">
      <c r="A901" s="8" t="s">
        <v>1950</v>
      </c>
      <c r="B901" s="9" t="s">
        <v>1074</v>
      </c>
      <c r="C901" s="9" t="e">
        <f>VLOOKUP(A901,[2]Planilha1!$A:$B,2,0)</f>
        <v>#N/A</v>
      </c>
      <c r="D901" s="10">
        <f>SUMIF([1]Relatório!$A$2:$A$2653,A901,[1]Relatório!$AK$2:$AK$2653)</f>
        <v>100</v>
      </c>
      <c r="E901" s="11">
        <f t="shared" si="26"/>
        <v>0.000170952736696885</v>
      </c>
      <c r="F901" s="11">
        <f>SUM($E$7:E901)</f>
        <v>0.940667433674612</v>
      </c>
      <c r="G901" s="12" t="str">
        <f t="shared" si="27"/>
        <v>C</v>
      </c>
      <c r="H901" s="9" t="s">
        <v>183</v>
      </c>
      <c r="I901" s="9"/>
      <c r="J901" s="9" t="s">
        <v>273</v>
      </c>
      <c r="K901" s="10" t="str">
        <f>IFERROR(VLOOKUP(A901,'Pedido ESTHER'!$B:$C,2,0),"")</f>
        <v/>
      </c>
      <c r="L901" s="12" t="str">
        <f>IF(N(K901)&gt;0,"COMPRA","NÃO COMPRA")</f>
        <v>NÃO COMPRA</v>
      </c>
    </row>
    <row r="902" spans="1:12">
      <c r="A902" s="8" t="s">
        <v>1951</v>
      </c>
      <c r="B902" s="9" t="s">
        <v>469</v>
      </c>
      <c r="C902" s="9" t="e">
        <f>VLOOKUP(A902,[2]Planilha1!$A:$B,2,0)</f>
        <v>#N/A</v>
      </c>
      <c r="D902" s="10">
        <f>SUMIF([1]Relatório!$A$2:$A$2653,A902,[1]Relatório!$AK$2:$AK$2653)</f>
        <v>100</v>
      </c>
      <c r="E902" s="11">
        <f t="shared" si="26"/>
        <v>0.000170952736696885</v>
      </c>
      <c r="F902" s="11">
        <f>SUM($E$7:E902)</f>
        <v>0.940838386411309</v>
      </c>
      <c r="G902" s="12" t="str">
        <f t="shared" si="27"/>
        <v>C</v>
      </c>
      <c r="H902" s="9" t="s">
        <v>183</v>
      </c>
      <c r="I902" s="9"/>
      <c r="J902" s="9" t="s">
        <v>23</v>
      </c>
      <c r="K902" s="10" t="str">
        <f>IFERROR(VLOOKUP(A902,'Pedido ESTHER'!$B:$C,2,0),"")</f>
        <v/>
      </c>
      <c r="L902" s="12" t="str">
        <f>IF(N(K902)&gt;0,"COMPRA","NÃO COMPRA")</f>
        <v>NÃO COMPRA</v>
      </c>
    </row>
    <row r="903" spans="1:12">
      <c r="A903" s="8" t="s">
        <v>1952</v>
      </c>
      <c r="B903" s="9" t="s">
        <v>812</v>
      </c>
      <c r="C903" s="9" t="e">
        <f>VLOOKUP(A903,[2]Planilha1!$A:$B,2,0)</f>
        <v>#N/A</v>
      </c>
      <c r="D903" s="10">
        <f>SUMIF([1]Relatório!$A$2:$A$2653,A903,[1]Relatório!$AK$2:$AK$2653)</f>
        <v>100</v>
      </c>
      <c r="E903" s="11">
        <f t="shared" si="26"/>
        <v>0.000170952736696885</v>
      </c>
      <c r="F903" s="11">
        <f>SUM($E$7:E903)</f>
        <v>0.941009339148006</v>
      </c>
      <c r="G903" s="12" t="str">
        <f t="shared" si="27"/>
        <v>C</v>
      </c>
      <c r="H903" s="9" t="s">
        <v>183</v>
      </c>
      <c r="I903" s="9"/>
      <c r="J903" s="9" t="s">
        <v>1143</v>
      </c>
      <c r="K903" s="10" t="str">
        <f>IFERROR(VLOOKUP(A903,'Pedido ESTHER'!$B:$C,2,0),"")</f>
        <v/>
      </c>
      <c r="L903" s="12" t="str">
        <f>IF(N(K903)&gt;0,"COMPRA","NÃO COMPRA")</f>
        <v>NÃO COMPRA</v>
      </c>
    </row>
    <row r="904" spans="1:12">
      <c r="A904" s="8" t="s">
        <v>1953</v>
      </c>
      <c r="B904" s="9" t="s">
        <v>1428</v>
      </c>
      <c r="C904" s="9" t="e">
        <f>VLOOKUP(A904,[2]Planilha1!$A:$B,2,0)</f>
        <v>#N/A</v>
      </c>
      <c r="D904" s="10">
        <f>SUMIF([1]Relatório!$A$2:$A$2653,A904,[1]Relatório!$AK$2:$AK$2653)</f>
        <v>100</v>
      </c>
      <c r="E904" s="11">
        <f t="shared" ref="E904:E967" si="28">D904/SUM($D$7:$D$1708)</f>
        <v>0.000170952736696885</v>
      </c>
      <c r="F904" s="11">
        <f>SUM($E$7:E904)</f>
        <v>0.941180291884703</v>
      </c>
      <c r="G904" s="12" t="str">
        <f t="shared" ref="G904:G967" si="29">IF(F904&lt;=70%,"A",IF(F904&lt;=90%,"B","C"))</f>
        <v>C</v>
      </c>
      <c r="H904" s="9" t="s">
        <v>1117</v>
      </c>
      <c r="I904" s="9" t="s">
        <v>1954</v>
      </c>
      <c r="J904" s="9" t="s">
        <v>213</v>
      </c>
      <c r="K904" s="10" t="str">
        <f>IFERROR(VLOOKUP(A904,'Pedido ESTHER'!$B:$C,2,0),"")</f>
        <v/>
      </c>
      <c r="L904" s="12" t="str">
        <f>IF(N(K904)&gt;0,"COMPRA","NÃO COMPRA")</f>
        <v>NÃO COMPRA</v>
      </c>
    </row>
    <row r="905" spans="1:12">
      <c r="A905" s="8" t="s">
        <v>1955</v>
      </c>
      <c r="B905" s="9" t="s">
        <v>1956</v>
      </c>
      <c r="C905" s="9" t="e">
        <f>VLOOKUP(A905,[2]Planilha1!$A:$B,2,0)</f>
        <v>#N/A</v>
      </c>
      <c r="D905" s="10">
        <f>SUMIF([1]Relatório!$A$2:$A$2653,A905,[1]Relatório!$AK$2:$AK$2653)</f>
        <v>100</v>
      </c>
      <c r="E905" s="11">
        <f t="shared" si="28"/>
        <v>0.000170952736696885</v>
      </c>
      <c r="F905" s="11">
        <f>SUM($E$7:E905)</f>
        <v>0.941351244621399</v>
      </c>
      <c r="G905" s="12" t="str">
        <f t="shared" si="29"/>
        <v>C</v>
      </c>
      <c r="H905" s="9" t="s">
        <v>183</v>
      </c>
      <c r="I905" s="9" t="s">
        <v>1957</v>
      </c>
      <c r="J905" s="9" t="s">
        <v>390</v>
      </c>
      <c r="K905" s="10" t="str">
        <f>IFERROR(VLOOKUP(A905,'Pedido ESTHER'!$B:$C,2,0),"")</f>
        <v/>
      </c>
      <c r="L905" s="12" t="str">
        <f>IF(N(K905)&gt;0,"COMPRA","NÃO COMPRA")</f>
        <v>NÃO COMPRA</v>
      </c>
    </row>
    <row r="906" spans="1:12">
      <c r="A906" s="8" t="s">
        <v>1958</v>
      </c>
      <c r="B906" s="9" t="s">
        <v>1956</v>
      </c>
      <c r="C906" s="9" t="e">
        <f>VLOOKUP(A906,[2]Planilha1!$A:$B,2,0)</f>
        <v>#N/A</v>
      </c>
      <c r="D906" s="10">
        <f>SUMIF([1]Relatório!$A$2:$A$2653,A906,[1]Relatório!$AK$2:$AK$2653)</f>
        <v>100</v>
      </c>
      <c r="E906" s="11">
        <f t="shared" si="28"/>
        <v>0.000170952736696885</v>
      </c>
      <c r="F906" s="11">
        <f>SUM($E$7:E906)</f>
        <v>0.941522197358096</v>
      </c>
      <c r="G906" s="12" t="str">
        <f t="shared" si="29"/>
        <v>C</v>
      </c>
      <c r="H906" s="9" t="s">
        <v>183</v>
      </c>
      <c r="I906" s="9" t="s">
        <v>1959</v>
      </c>
      <c r="J906" s="9" t="s">
        <v>1960</v>
      </c>
      <c r="K906" s="10" t="str">
        <f>IFERROR(VLOOKUP(A906,'Pedido ESTHER'!$B:$C,2,0),"")</f>
        <v/>
      </c>
      <c r="L906" s="12" t="str">
        <f>IF(N(K906)&gt;0,"COMPRA","NÃO COMPRA")</f>
        <v>NÃO COMPRA</v>
      </c>
    </row>
    <row r="907" spans="1:12">
      <c r="A907" s="8" t="s">
        <v>1961</v>
      </c>
      <c r="B907" s="9" t="s">
        <v>1769</v>
      </c>
      <c r="C907" s="9" t="e">
        <f>VLOOKUP(A907,[2]Planilha1!$A:$B,2,0)</f>
        <v>#N/A</v>
      </c>
      <c r="D907" s="10">
        <f>SUMIF([1]Relatório!$A$2:$A$2653,A907,[1]Relatório!$AK$2:$AK$2653)</f>
        <v>100</v>
      </c>
      <c r="E907" s="11">
        <f t="shared" si="28"/>
        <v>0.000170952736696885</v>
      </c>
      <c r="F907" s="11">
        <f>SUM($E$7:E907)</f>
        <v>0.941693150094793</v>
      </c>
      <c r="G907" s="12" t="str">
        <f t="shared" si="29"/>
        <v>C</v>
      </c>
      <c r="H907" s="9" t="s">
        <v>1059</v>
      </c>
      <c r="I907" s="9" t="s">
        <v>1962</v>
      </c>
      <c r="J907" s="9" t="s">
        <v>359</v>
      </c>
      <c r="K907" s="10" t="str">
        <f>IFERROR(VLOOKUP(A907,'Pedido ESTHER'!$B:$C,2,0),"")</f>
        <v/>
      </c>
      <c r="L907" s="12" t="str">
        <f>IF(N(K907)&gt;0,"COMPRA","NÃO COMPRA")</f>
        <v>NÃO COMPRA</v>
      </c>
    </row>
    <row r="908" spans="1:12">
      <c r="A908" s="8" t="s">
        <v>1963</v>
      </c>
      <c r="B908" s="9" t="s">
        <v>1769</v>
      </c>
      <c r="C908" s="9" t="e">
        <f>VLOOKUP(A908,[2]Planilha1!$A:$B,2,0)</f>
        <v>#N/A</v>
      </c>
      <c r="D908" s="10">
        <f>SUMIF([1]Relatório!$A$2:$A$2653,A908,[1]Relatório!$AK$2:$AK$2653)</f>
        <v>100</v>
      </c>
      <c r="E908" s="11">
        <f t="shared" si="28"/>
        <v>0.000170952736696885</v>
      </c>
      <c r="F908" s="11">
        <f>SUM($E$7:E908)</f>
        <v>0.94186410283149</v>
      </c>
      <c r="G908" s="12" t="str">
        <f t="shared" si="29"/>
        <v>C</v>
      </c>
      <c r="H908" s="9" t="s">
        <v>1059</v>
      </c>
      <c r="I908" s="9" t="s">
        <v>1964</v>
      </c>
      <c r="J908" s="9" t="s">
        <v>359</v>
      </c>
      <c r="K908" s="10" t="str">
        <f>IFERROR(VLOOKUP(A908,'Pedido ESTHER'!$B:$C,2,0),"")</f>
        <v/>
      </c>
      <c r="L908" s="12" t="str">
        <f>IF(N(K908)&gt;0,"COMPRA","NÃO COMPRA")</f>
        <v>NÃO COMPRA</v>
      </c>
    </row>
    <row r="909" spans="1:12">
      <c r="A909" s="8" t="s">
        <v>1965</v>
      </c>
      <c r="B909" s="9" t="s">
        <v>1892</v>
      </c>
      <c r="C909" s="9" t="e">
        <f>VLOOKUP(A909,[2]Planilha1!$A:$B,2,0)</f>
        <v>#N/A</v>
      </c>
      <c r="D909" s="10">
        <f>SUMIF([1]Relatório!$A$2:$A$2653,A909,[1]Relatório!$AK$2:$AK$2653)</f>
        <v>99</v>
      </c>
      <c r="E909" s="11">
        <f t="shared" si="28"/>
        <v>0.000169243209329917</v>
      </c>
      <c r="F909" s="11">
        <f>SUM($E$7:E909)</f>
        <v>0.94203334604082</v>
      </c>
      <c r="G909" s="12" t="str">
        <f t="shared" si="29"/>
        <v>C</v>
      </c>
      <c r="H909" s="9" t="s">
        <v>1344</v>
      </c>
      <c r="I909" s="9" t="s">
        <v>1966</v>
      </c>
      <c r="J909" s="9" t="s">
        <v>40</v>
      </c>
      <c r="K909" s="10" t="str">
        <f>IFERROR(VLOOKUP(A909,'Pedido ESTHER'!$B:$C,2,0),"")</f>
        <v/>
      </c>
      <c r="L909" s="12" t="str">
        <f>IF(N(K909)&gt;0,"COMPRA","NÃO COMPRA")</f>
        <v>NÃO COMPRA</v>
      </c>
    </row>
    <row r="910" spans="1:12">
      <c r="A910" s="8" t="s">
        <v>1967</v>
      </c>
      <c r="B910" s="9" t="s">
        <v>1968</v>
      </c>
      <c r="C910" s="9" t="e">
        <f>VLOOKUP(A910,[2]Planilha1!$A:$B,2,0)</f>
        <v>#N/A</v>
      </c>
      <c r="D910" s="10">
        <f>SUMIF([1]Relatório!$A$2:$A$2653,A910,[1]Relatório!$AK$2:$AK$2653)</f>
        <v>99</v>
      </c>
      <c r="E910" s="11">
        <f t="shared" si="28"/>
        <v>0.000169243209329917</v>
      </c>
      <c r="F910" s="11">
        <f>SUM($E$7:E910)</f>
        <v>0.94220258925015</v>
      </c>
      <c r="G910" s="12" t="str">
        <f t="shared" si="29"/>
        <v>C</v>
      </c>
      <c r="H910" s="9" t="s">
        <v>1344</v>
      </c>
      <c r="I910" s="9"/>
      <c r="J910" s="9" t="s">
        <v>281</v>
      </c>
      <c r="K910" s="10" t="str">
        <f>IFERROR(VLOOKUP(A910,'Pedido ESTHER'!$B:$C,2,0),"")</f>
        <v/>
      </c>
      <c r="L910" s="12" t="str">
        <f>IF(N(K910)&gt;0,"COMPRA","NÃO COMPRA")</f>
        <v>NÃO COMPRA</v>
      </c>
    </row>
    <row r="911" spans="1:12">
      <c r="A911" s="8" t="s">
        <v>1969</v>
      </c>
      <c r="B911" s="9" t="s">
        <v>1405</v>
      </c>
      <c r="C911" s="9" t="e">
        <f>VLOOKUP(A911,[2]Planilha1!$A:$B,2,0)</f>
        <v>#N/A</v>
      </c>
      <c r="D911" s="10">
        <f>SUMIF([1]Relatório!$A$2:$A$2653,A911,[1]Relatório!$AK$2:$AK$2653)</f>
        <v>99</v>
      </c>
      <c r="E911" s="11">
        <f t="shared" si="28"/>
        <v>0.000169243209329917</v>
      </c>
      <c r="F911" s="11">
        <f>SUM($E$7:E911)</f>
        <v>0.94237183245948</v>
      </c>
      <c r="G911" s="12" t="str">
        <f t="shared" si="29"/>
        <v>C</v>
      </c>
      <c r="H911" s="9" t="s">
        <v>1059</v>
      </c>
      <c r="I911" s="9" t="s">
        <v>1970</v>
      </c>
      <c r="J911" s="9" t="s">
        <v>64</v>
      </c>
      <c r="K911" s="10" t="str">
        <f>IFERROR(VLOOKUP(A911,'Pedido ESTHER'!$B:$C,2,0),"")</f>
        <v/>
      </c>
      <c r="L911" s="12" t="str">
        <f>IF(N(K911)&gt;0,"COMPRA","NÃO COMPRA")</f>
        <v>NÃO COMPRA</v>
      </c>
    </row>
    <row r="912" spans="1:12">
      <c r="A912" s="8" t="s">
        <v>1971</v>
      </c>
      <c r="B912" s="9" t="s">
        <v>1972</v>
      </c>
      <c r="C912" s="9" t="e">
        <f>VLOOKUP(A912,[2]Planilha1!$A:$B,2,0)</f>
        <v>#N/A</v>
      </c>
      <c r="D912" s="10">
        <f>SUMIF([1]Relatório!$A$2:$A$2653,A912,[1]Relatório!$AK$2:$AK$2653)</f>
        <v>98</v>
      </c>
      <c r="E912" s="11">
        <f t="shared" si="28"/>
        <v>0.000167533681962948</v>
      </c>
      <c r="F912" s="11">
        <f>SUM($E$7:E912)</f>
        <v>0.942539366141443</v>
      </c>
      <c r="G912" s="12" t="str">
        <f t="shared" si="29"/>
        <v>C</v>
      </c>
      <c r="H912" s="9" t="s">
        <v>1344</v>
      </c>
      <c r="I912" s="9"/>
      <c r="J912" s="9" t="s">
        <v>1973</v>
      </c>
      <c r="K912" s="10" t="str">
        <f>IFERROR(VLOOKUP(A912,'Pedido ESTHER'!$B:$C,2,0),"")</f>
        <v/>
      </c>
      <c r="L912" s="12" t="str">
        <f>IF(N(K912)&gt;0,"COMPRA","NÃO COMPRA")</f>
        <v>NÃO COMPRA</v>
      </c>
    </row>
    <row r="913" spans="1:12">
      <c r="A913" s="8" t="s">
        <v>1974</v>
      </c>
      <c r="B913" s="9" t="s">
        <v>162</v>
      </c>
      <c r="C913" s="9" t="e">
        <f>VLOOKUP(A913,[2]Planilha1!$A:$B,2,0)</f>
        <v>#N/A</v>
      </c>
      <c r="D913" s="10">
        <f>SUMIF([1]Relatório!$A$2:$A$2653,A913,[1]Relatório!$AK$2:$AK$2653)</f>
        <v>98</v>
      </c>
      <c r="E913" s="11">
        <f t="shared" si="28"/>
        <v>0.000167533681962948</v>
      </c>
      <c r="F913" s="11">
        <f>SUM($E$7:E913)</f>
        <v>0.942706899823406</v>
      </c>
      <c r="G913" s="12" t="str">
        <f t="shared" si="29"/>
        <v>C</v>
      </c>
      <c r="H913" s="9" t="s">
        <v>21</v>
      </c>
      <c r="I913" s="9"/>
      <c r="J913" s="9" t="s">
        <v>164</v>
      </c>
      <c r="K913" s="10" t="str">
        <f>IFERROR(VLOOKUP(A913,'Pedido ESTHER'!$B:$C,2,0),"")</f>
        <v/>
      </c>
      <c r="L913" s="12" t="str">
        <f>IF(N(K913)&gt;0,"COMPRA","NÃO COMPRA")</f>
        <v>NÃO COMPRA</v>
      </c>
    </row>
    <row r="914" spans="1:12">
      <c r="A914" s="8" t="s">
        <v>1975</v>
      </c>
      <c r="B914" s="9" t="s">
        <v>335</v>
      </c>
      <c r="C914" s="9" t="e">
        <f>VLOOKUP(A914,[2]Planilha1!$A:$B,2,0)</f>
        <v>#N/A</v>
      </c>
      <c r="D914" s="10">
        <f>SUMIF([1]Relatório!$A$2:$A$2653,A914,[1]Relatório!$AK$2:$AK$2653)</f>
        <v>98</v>
      </c>
      <c r="E914" s="11">
        <f t="shared" si="28"/>
        <v>0.000167533681962948</v>
      </c>
      <c r="F914" s="11">
        <f>SUM($E$7:E914)</f>
        <v>0.942874433505369</v>
      </c>
      <c r="G914" s="12" t="str">
        <f t="shared" si="29"/>
        <v>C</v>
      </c>
      <c r="H914" s="9" t="s">
        <v>183</v>
      </c>
      <c r="I914" s="9" t="s">
        <v>1976</v>
      </c>
      <c r="J914" s="9" t="s">
        <v>44</v>
      </c>
      <c r="K914" s="10" t="str">
        <f>IFERROR(VLOOKUP(A914,'Pedido ESTHER'!$B:$C,2,0),"")</f>
        <v/>
      </c>
      <c r="L914" s="12" t="str">
        <f>IF(N(K914)&gt;0,"COMPRA","NÃO COMPRA")</f>
        <v>NÃO COMPRA</v>
      </c>
    </row>
    <row r="915" spans="1:12">
      <c r="A915" s="8" t="s">
        <v>1977</v>
      </c>
      <c r="B915" s="9" t="s">
        <v>335</v>
      </c>
      <c r="C915" s="9" t="e">
        <f>VLOOKUP(A915,[2]Planilha1!$A:$B,2,0)</f>
        <v>#N/A</v>
      </c>
      <c r="D915" s="10">
        <f>SUMIF([1]Relatório!$A$2:$A$2653,A915,[1]Relatório!$AK$2:$AK$2653)</f>
        <v>98</v>
      </c>
      <c r="E915" s="11">
        <f t="shared" si="28"/>
        <v>0.000167533681962948</v>
      </c>
      <c r="F915" s="11">
        <f>SUM($E$7:E915)</f>
        <v>0.943041967187332</v>
      </c>
      <c r="G915" s="12" t="str">
        <f t="shared" si="29"/>
        <v>C</v>
      </c>
      <c r="H915" s="9" t="s">
        <v>183</v>
      </c>
      <c r="I915" s="9" t="s">
        <v>1978</v>
      </c>
      <c r="J915" s="9" t="s">
        <v>44</v>
      </c>
      <c r="K915" s="10" t="str">
        <f>IFERROR(VLOOKUP(A915,'Pedido ESTHER'!$B:$C,2,0),"")</f>
        <v/>
      </c>
      <c r="L915" s="12" t="str">
        <f>IF(N(K915)&gt;0,"COMPRA","NÃO COMPRA")</f>
        <v>NÃO COMPRA</v>
      </c>
    </row>
    <row r="916" spans="1:12">
      <c r="A916" s="8" t="s">
        <v>1979</v>
      </c>
      <c r="B916" s="9" t="s">
        <v>162</v>
      </c>
      <c r="C916" s="9" t="e">
        <f>VLOOKUP(A916,[2]Planilha1!$A:$B,2,0)</f>
        <v>#N/A</v>
      </c>
      <c r="D916" s="10">
        <f>SUMIF([1]Relatório!$A$2:$A$2653,A916,[1]Relatório!$AK$2:$AK$2653)</f>
        <v>98</v>
      </c>
      <c r="E916" s="11">
        <f t="shared" si="28"/>
        <v>0.000167533681962948</v>
      </c>
      <c r="F916" s="11">
        <f>SUM($E$7:E916)</f>
        <v>0.943209500869295</v>
      </c>
      <c r="G916" s="12" t="str">
        <f t="shared" si="29"/>
        <v>C</v>
      </c>
      <c r="H916" s="9" t="s">
        <v>21</v>
      </c>
      <c r="I916" s="9" t="s">
        <v>1980</v>
      </c>
      <c r="J916" s="9" t="s">
        <v>164</v>
      </c>
      <c r="K916" s="10" t="str">
        <f>IFERROR(VLOOKUP(A916,'Pedido ESTHER'!$B:$C,2,0),"")</f>
        <v/>
      </c>
      <c r="L916" s="12" t="str">
        <f>IF(N(K916)&gt;0,"COMPRA","NÃO COMPRA")</f>
        <v>NÃO COMPRA</v>
      </c>
    </row>
    <row r="917" spans="1:12">
      <c r="A917" s="8" t="s">
        <v>1981</v>
      </c>
      <c r="B917" s="9" t="s">
        <v>177</v>
      </c>
      <c r="C917" s="9" t="e">
        <f>VLOOKUP(A917,[2]Planilha1!$A:$B,2,0)</f>
        <v>#N/A</v>
      </c>
      <c r="D917" s="10">
        <f>SUMIF([1]Relatório!$A$2:$A$2653,A917,[1]Relatório!$AK$2:$AK$2653)</f>
        <v>98</v>
      </c>
      <c r="E917" s="11">
        <f t="shared" si="28"/>
        <v>0.000167533681962948</v>
      </c>
      <c r="F917" s="11">
        <f>SUM($E$7:E917)</f>
        <v>0.943377034551258</v>
      </c>
      <c r="G917" s="12" t="str">
        <f t="shared" si="29"/>
        <v>C</v>
      </c>
      <c r="H917" s="9" t="s">
        <v>21</v>
      </c>
      <c r="I917" s="9" t="s">
        <v>1982</v>
      </c>
      <c r="J917" s="9" t="s">
        <v>36</v>
      </c>
      <c r="K917" s="10" t="str">
        <f>IFERROR(VLOOKUP(A917,'Pedido ESTHER'!$B:$C,2,0),"")</f>
        <v/>
      </c>
      <c r="L917" s="12" t="str">
        <f>IF(N(K917)&gt;0,"COMPRA","NÃO COMPRA")</f>
        <v>NÃO COMPRA</v>
      </c>
    </row>
    <row r="918" spans="1:12">
      <c r="A918" s="8" t="s">
        <v>1983</v>
      </c>
      <c r="B918" s="9" t="s">
        <v>1058</v>
      </c>
      <c r="C918" s="9" t="e">
        <f>VLOOKUP(A918,[2]Planilha1!$A:$B,2,0)</f>
        <v>#N/A</v>
      </c>
      <c r="D918" s="10">
        <f>SUMIF([1]Relatório!$A$2:$A$2653,A918,[1]Relatório!$AK$2:$AK$2653)</f>
        <v>98</v>
      </c>
      <c r="E918" s="11">
        <f t="shared" si="28"/>
        <v>0.000167533681962948</v>
      </c>
      <c r="F918" s="11">
        <f>SUM($E$7:E918)</f>
        <v>0.943544568233221</v>
      </c>
      <c r="G918" s="12" t="str">
        <f t="shared" si="29"/>
        <v>C</v>
      </c>
      <c r="H918" s="9" t="s">
        <v>1059</v>
      </c>
      <c r="I918" s="9" t="s">
        <v>1984</v>
      </c>
      <c r="J918" s="9" t="s">
        <v>664</v>
      </c>
      <c r="K918" s="10" t="str">
        <f>IFERROR(VLOOKUP(A918,'Pedido ESTHER'!$B:$C,2,0),"")</f>
        <v/>
      </c>
      <c r="L918" s="12" t="str">
        <f>IF(N(K918)&gt;0,"COMPRA","NÃO COMPRA")</f>
        <v>NÃO COMPRA</v>
      </c>
    </row>
    <row r="919" spans="1:12">
      <c r="A919" s="8" t="s">
        <v>1985</v>
      </c>
      <c r="B919" s="9" t="s">
        <v>1058</v>
      </c>
      <c r="C919" s="9" t="e">
        <f>VLOOKUP(A919,[2]Planilha1!$A:$B,2,0)</f>
        <v>#N/A</v>
      </c>
      <c r="D919" s="10">
        <f>SUMIF([1]Relatório!$A$2:$A$2653,A919,[1]Relatório!$AK$2:$AK$2653)</f>
        <v>98</v>
      </c>
      <c r="E919" s="11">
        <f t="shared" si="28"/>
        <v>0.000167533681962948</v>
      </c>
      <c r="F919" s="11">
        <f>SUM($E$7:E919)</f>
        <v>0.943712101915184</v>
      </c>
      <c r="G919" s="12" t="str">
        <f t="shared" si="29"/>
        <v>C</v>
      </c>
      <c r="H919" s="9" t="s">
        <v>1059</v>
      </c>
      <c r="I919" s="9" t="s">
        <v>1986</v>
      </c>
      <c r="J919" s="9" t="s">
        <v>33</v>
      </c>
      <c r="K919" s="10" t="str">
        <f>IFERROR(VLOOKUP(A919,'Pedido ESTHER'!$B:$C,2,0),"")</f>
        <v/>
      </c>
      <c r="L919" s="12" t="str">
        <f>IF(N(K919)&gt;0,"COMPRA","NÃO COMPRA")</f>
        <v>NÃO COMPRA</v>
      </c>
    </row>
    <row r="920" spans="1:12">
      <c r="A920" s="8" t="s">
        <v>1987</v>
      </c>
      <c r="B920" s="9" t="s">
        <v>1058</v>
      </c>
      <c r="C920" s="9" t="e">
        <f>VLOOKUP(A920,[2]Planilha1!$A:$B,2,0)</f>
        <v>#N/A</v>
      </c>
      <c r="D920" s="10">
        <f>SUMIF([1]Relatório!$A$2:$A$2653,A920,[1]Relatório!$AK$2:$AK$2653)</f>
        <v>98</v>
      </c>
      <c r="E920" s="11">
        <f t="shared" si="28"/>
        <v>0.000167533681962948</v>
      </c>
      <c r="F920" s="11">
        <f>SUM($E$7:E920)</f>
        <v>0.943879635597146</v>
      </c>
      <c r="G920" s="12" t="str">
        <f t="shared" si="29"/>
        <v>C</v>
      </c>
      <c r="H920" s="9" t="s">
        <v>1059</v>
      </c>
      <c r="I920" s="9" t="s">
        <v>1988</v>
      </c>
      <c r="J920" s="9" t="s">
        <v>83</v>
      </c>
      <c r="K920" s="10" t="str">
        <f>IFERROR(VLOOKUP(A920,'Pedido ESTHER'!$B:$C,2,0),"")</f>
        <v/>
      </c>
      <c r="L920" s="12" t="str">
        <f>IF(N(K920)&gt;0,"COMPRA","NÃO COMPRA")</f>
        <v>NÃO COMPRA</v>
      </c>
    </row>
    <row r="921" spans="1:12">
      <c r="A921" s="8" t="s">
        <v>1989</v>
      </c>
      <c r="B921" s="9" t="s">
        <v>1058</v>
      </c>
      <c r="C921" s="9" t="e">
        <f>VLOOKUP(A921,[2]Planilha1!$A:$B,2,0)</f>
        <v>#N/A</v>
      </c>
      <c r="D921" s="10">
        <f>SUMIF([1]Relatório!$A$2:$A$2653,A921,[1]Relatório!$AK$2:$AK$2653)</f>
        <v>98</v>
      </c>
      <c r="E921" s="11">
        <f t="shared" si="28"/>
        <v>0.000167533681962948</v>
      </c>
      <c r="F921" s="11">
        <f>SUM($E$7:E921)</f>
        <v>0.944047169279109</v>
      </c>
      <c r="G921" s="12" t="str">
        <f t="shared" si="29"/>
        <v>C</v>
      </c>
      <c r="H921" s="9" t="s">
        <v>1059</v>
      </c>
      <c r="I921" s="9" t="s">
        <v>1990</v>
      </c>
      <c r="J921" s="9" t="s">
        <v>1991</v>
      </c>
      <c r="K921" s="10" t="str">
        <f>IFERROR(VLOOKUP(A921,'Pedido ESTHER'!$B:$C,2,0),"")</f>
        <v/>
      </c>
      <c r="L921" s="12" t="str">
        <f>IF(N(K921)&gt;0,"COMPRA","NÃO COMPRA")</f>
        <v>NÃO COMPRA</v>
      </c>
    </row>
    <row r="922" spans="1:12">
      <c r="A922" s="8" t="s">
        <v>1992</v>
      </c>
      <c r="B922" s="9" t="s">
        <v>1307</v>
      </c>
      <c r="C922" s="9" t="e">
        <f>VLOOKUP(A922,[2]Planilha1!$A:$B,2,0)</f>
        <v>#N/A</v>
      </c>
      <c r="D922" s="10">
        <f>SUMIF([1]Relatório!$A$2:$A$2653,A922,[1]Relatório!$AK$2:$AK$2653)</f>
        <v>98</v>
      </c>
      <c r="E922" s="11">
        <f t="shared" si="28"/>
        <v>0.000167533681962948</v>
      </c>
      <c r="F922" s="11">
        <f>SUM($E$7:E922)</f>
        <v>0.944214702961072</v>
      </c>
      <c r="G922" s="12" t="str">
        <f t="shared" si="29"/>
        <v>C</v>
      </c>
      <c r="H922" s="9" t="s">
        <v>1059</v>
      </c>
      <c r="I922" s="9" t="s">
        <v>1993</v>
      </c>
      <c r="J922" s="9" t="s">
        <v>29</v>
      </c>
      <c r="K922" s="10" t="str">
        <f>IFERROR(VLOOKUP(A922,'Pedido ESTHER'!$B:$C,2,0),"")</f>
        <v/>
      </c>
      <c r="L922" s="12" t="str">
        <f>IF(N(K922)&gt;0,"COMPRA","NÃO COMPRA")</f>
        <v>NÃO COMPRA</v>
      </c>
    </row>
    <row r="923" spans="1:12">
      <c r="A923" s="8" t="s">
        <v>1994</v>
      </c>
      <c r="B923" s="9" t="s">
        <v>1995</v>
      </c>
      <c r="C923" s="9" t="e">
        <f>VLOOKUP(A923,[2]Planilha1!$A:$B,2,0)</f>
        <v>#N/A</v>
      </c>
      <c r="D923" s="10">
        <f>SUMIF([1]Relatório!$A$2:$A$2653,A923,[1]Relatório!$AK$2:$AK$2653)</f>
        <v>97</v>
      </c>
      <c r="E923" s="11">
        <f t="shared" si="28"/>
        <v>0.000165824154595979</v>
      </c>
      <c r="F923" s="11">
        <f>SUM($E$7:E923)</f>
        <v>0.944380527115668</v>
      </c>
      <c r="G923" s="12" t="str">
        <f t="shared" si="29"/>
        <v>C</v>
      </c>
      <c r="H923" s="9" t="s">
        <v>1937</v>
      </c>
      <c r="I923" s="9" t="s">
        <v>1996</v>
      </c>
      <c r="J923" s="9" t="s">
        <v>33</v>
      </c>
      <c r="K923" s="10" t="str">
        <f>IFERROR(VLOOKUP(A923,'Pedido ESTHER'!$B:$C,2,0),"")</f>
        <v/>
      </c>
      <c r="L923" s="12" t="str">
        <f>IF(N(K923)&gt;0,"COMPRA","NÃO COMPRA")</f>
        <v>NÃO COMPRA</v>
      </c>
    </row>
    <row r="924" spans="1:12">
      <c r="A924" s="8" t="s">
        <v>1997</v>
      </c>
      <c r="B924" s="9" t="s">
        <v>1343</v>
      </c>
      <c r="C924" s="9" t="e">
        <f>VLOOKUP(A924,[2]Planilha1!$A:$B,2,0)</f>
        <v>#N/A</v>
      </c>
      <c r="D924" s="10">
        <f>SUMIF([1]Relatório!$A$2:$A$2653,A924,[1]Relatório!$AK$2:$AK$2653)</f>
        <v>97</v>
      </c>
      <c r="E924" s="11">
        <f t="shared" si="28"/>
        <v>0.000165824154595979</v>
      </c>
      <c r="F924" s="11">
        <f>SUM($E$7:E924)</f>
        <v>0.944546351270264</v>
      </c>
      <c r="G924" s="12" t="str">
        <f t="shared" si="29"/>
        <v>C</v>
      </c>
      <c r="H924" s="9" t="s">
        <v>1344</v>
      </c>
      <c r="I924" s="9" t="s">
        <v>1998</v>
      </c>
      <c r="J924" s="9" t="s">
        <v>29</v>
      </c>
      <c r="K924" s="10" t="str">
        <f>IFERROR(VLOOKUP(A924,'Pedido ESTHER'!$B:$C,2,0),"")</f>
        <v/>
      </c>
      <c r="L924" s="12" t="str">
        <f>IF(N(K924)&gt;0,"COMPRA","NÃO COMPRA")</f>
        <v>NÃO COMPRA</v>
      </c>
    </row>
    <row r="925" spans="1:12">
      <c r="A925" s="8" t="s">
        <v>1999</v>
      </c>
      <c r="B925" s="9" t="s">
        <v>200</v>
      </c>
      <c r="C925" s="9" t="e">
        <f>VLOOKUP(A925,[2]Planilha1!$A:$B,2,0)</f>
        <v>#N/A</v>
      </c>
      <c r="D925" s="10">
        <f>SUMIF([1]Relatório!$A$2:$A$2653,A925,[1]Relatório!$AK$2:$AK$2653)</f>
        <v>97</v>
      </c>
      <c r="E925" s="11">
        <f t="shared" si="28"/>
        <v>0.000165824154595979</v>
      </c>
      <c r="F925" s="11">
        <f>SUM($E$7:E925)</f>
        <v>0.94471217542486</v>
      </c>
      <c r="G925" s="12" t="str">
        <f t="shared" si="29"/>
        <v>C</v>
      </c>
      <c r="H925" s="9" t="s">
        <v>21</v>
      </c>
      <c r="I925" s="9"/>
      <c r="J925" s="9" t="s">
        <v>201</v>
      </c>
      <c r="K925" s="10" t="str">
        <f>IFERROR(VLOOKUP(A925,'Pedido ESTHER'!$B:$C,2,0),"")</f>
        <v/>
      </c>
      <c r="L925" s="12" t="str">
        <f>IF(N(K925)&gt;0,"COMPRA","NÃO COMPRA")</f>
        <v>NÃO COMPRA</v>
      </c>
    </row>
    <row r="926" spans="1:12">
      <c r="A926" s="8" t="s">
        <v>2000</v>
      </c>
      <c r="B926" s="9" t="s">
        <v>1316</v>
      </c>
      <c r="C926" s="9" t="e">
        <f>VLOOKUP(A926,[2]Planilha1!$A:$B,2,0)</f>
        <v>#N/A</v>
      </c>
      <c r="D926" s="10">
        <f>SUMIF([1]Relatório!$A$2:$A$2653,A926,[1]Relatório!$AK$2:$AK$2653)</f>
        <v>97</v>
      </c>
      <c r="E926" s="11">
        <f t="shared" si="28"/>
        <v>0.000165824154595979</v>
      </c>
      <c r="F926" s="11">
        <f>SUM($E$7:E926)</f>
        <v>0.944877999579456</v>
      </c>
      <c r="G926" s="12" t="str">
        <f t="shared" si="29"/>
        <v>C</v>
      </c>
      <c r="H926" s="9" t="s">
        <v>82</v>
      </c>
      <c r="I926" s="9"/>
      <c r="J926" s="9" t="s">
        <v>241</v>
      </c>
      <c r="K926" s="10" t="str">
        <f>IFERROR(VLOOKUP(A926,'Pedido ESTHER'!$B:$C,2,0),"")</f>
        <v/>
      </c>
      <c r="L926" s="12" t="str">
        <f>IF(N(K926)&gt;0,"COMPRA","NÃO COMPRA")</f>
        <v>NÃO COMPRA</v>
      </c>
    </row>
    <row r="927" spans="1:12">
      <c r="A927" s="8" t="s">
        <v>2001</v>
      </c>
      <c r="B927" s="9" t="s">
        <v>2002</v>
      </c>
      <c r="C927" s="9" t="e">
        <f>VLOOKUP(A927,[2]Planilha1!$A:$B,2,0)</f>
        <v>#N/A</v>
      </c>
      <c r="D927" s="10">
        <f>SUMIF([1]Relatório!$A$2:$A$2653,A927,[1]Relatório!$AK$2:$AK$2653)</f>
        <v>97</v>
      </c>
      <c r="E927" s="11">
        <f t="shared" si="28"/>
        <v>0.000165824154595979</v>
      </c>
      <c r="F927" s="11">
        <f>SUM($E$7:E927)</f>
        <v>0.945043823734052</v>
      </c>
      <c r="G927" s="12" t="str">
        <f t="shared" si="29"/>
        <v>C</v>
      </c>
      <c r="H927" s="9" t="s">
        <v>1344</v>
      </c>
      <c r="I927" s="9"/>
      <c r="J927" s="9" t="s">
        <v>1973</v>
      </c>
      <c r="K927" s="10" t="str">
        <f>IFERROR(VLOOKUP(A927,'Pedido ESTHER'!$B:$C,2,0),"")</f>
        <v/>
      </c>
      <c r="L927" s="12" t="str">
        <f>IF(N(K927)&gt;0,"COMPRA","NÃO COMPRA")</f>
        <v>NÃO COMPRA</v>
      </c>
    </row>
    <row r="928" spans="1:12">
      <c r="A928" s="8" t="s">
        <v>2003</v>
      </c>
      <c r="B928" s="9" t="s">
        <v>1312</v>
      </c>
      <c r="C928" s="9" t="e">
        <f>VLOOKUP(A928,[2]Planilha1!$A:$B,2,0)</f>
        <v>#N/A</v>
      </c>
      <c r="D928" s="10">
        <f>SUMIF([1]Relatório!$A$2:$A$2653,A928,[1]Relatório!$AK$2:$AK$2653)</f>
        <v>97</v>
      </c>
      <c r="E928" s="11">
        <f t="shared" si="28"/>
        <v>0.000165824154595979</v>
      </c>
      <c r="F928" s="11">
        <f>SUM($E$7:E928)</f>
        <v>0.945209647888648</v>
      </c>
      <c r="G928" s="12" t="str">
        <f t="shared" si="29"/>
        <v>C</v>
      </c>
      <c r="H928" s="9" t="s">
        <v>183</v>
      </c>
      <c r="I928" s="9" t="s">
        <v>2004</v>
      </c>
      <c r="J928" s="9" t="s">
        <v>164</v>
      </c>
      <c r="K928" s="10" t="str">
        <f>IFERROR(VLOOKUP(A928,'Pedido ESTHER'!$B:$C,2,0),"")</f>
        <v/>
      </c>
      <c r="L928" s="12" t="str">
        <f>IF(N(K928)&gt;0,"COMPRA","NÃO COMPRA")</f>
        <v>NÃO COMPRA</v>
      </c>
    </row>
    <row r="929" spans="1:12">
      <c r="A929" s="8" t="s">
        <v>2005</v>
      </c>
      <c r="B929" s="9" t="s">
        <v>2006</v>
      </c>
      <c r="C929" s="9" t="e">
        <f>VLOOKUP(A929,[2]Planilha1!$A:$B,2,0)</f>
        <v>#N/A</v>
      </c>
      <c r="D929" s="10">
        <f>SUMIF([1]Relatório!$A$2:$A$2653,A929,[1]Relatório!$AK$2:$AK$2653)</f>
        <v>97</v>
      </c>
      <c r="E929" s="11">
        <f t="shared" si="28"/>
        <v>0.000165824154595979</v>
      </c>
      <c r="F929" s="11">
        <f>SUM($E$7:E929)</f>
        <v>0.945375472043244</v>
      </c>
      <c r="G929" s="12" t="str">
        <f t="shared" si="29"/>
        <v>C</v>
      </c>
      <c r="H929" s="9" t="s">
        <v>2007</v>
      </c>
      <c r="I929" s="9" t="s">
        <v>2008</v>
      </c>
      <c r="J929" s="9" t="s">
        <v>916</v>
      </c>
      <c r="K929" s="10" t="str">
        <f>IFERROR(VLOOKUP(A929,'Pedido ESTHER'!$B:$C,2,0),"")</f>
        <v/>
      </c>
      <c r="L929" s="12" t="str">
        <f>IF(N(K929)&gt;0,"COMPRA","NÃO COMPRA")</f>
        <v>NÃO COMPRA</v>
      </c>
    </row>
    <row r="930" spans="1:12">
      <c r="A930" s="8" t="s">
        <v>2009</v>
      </c>
      <c r="B930" s="9" t="s">
        <v>177</v>
      </c>
      <c r="C930" s="9" t="e">
        <f>VLOOKUP(A930,[2]Planilha1!$A:$B,2,0)</f>
        <v>#N/A</v>
      </c>
      <c r="D930" s="10">
        <f>SUMIF([1]Relatório!$A$2:$A$2653,A930,[1]Relatório!$AK$2:$AK$2653)</f>
        <v>97</v>
      </c>
      <c r="E930" s="11">
        <f t="shared" si="28"/>
        <v>0.000165824154595979</v>
      </c>
      <c r="F930" s="11">
        <f>SUM($E$7:E930)</f>
        <v>0.94554129619784</v>
      </c>
      <c r="G930" s="12" t="str">
        <f t="shared" si="29"/>
        <v>C</v>
      </c>
      <c r="H930" s="9" t="s">
        <v>21</v>
      </c>
      <c r="I930" s="9" t="s">
        <v>2010</v>
      </c>
      <c r="J930" s="9" t="s">
        <v>36</v>
      </c>
      <c r="K930" s="10" t="str">
        <f>IFERROR(VLOOKUP(A930,'Pedido ESTHER'!$B:$C,2,0),"")</f>
        <v/>
      </c>
      <c r="L930" s="12" t="str">
        <f>IF(N(K930)&gt;0,"COMPRA","NÃO COMPRA")</f>
        <v>NÃO COMPRA</v>
      </c>
    </row>
    <row r="931" spans="1:12">
      <c r="A931" s="8" t="s">
        <v>2011</v>
      </c>
      <c r="B931" s="9" t="s">
        <v>2012</v>
      </c>
      <c r="C931" s="9" t="e">
        <f>VLOOKUP(A931,[2]Planilha1!$A:$B,2,0)</f>
        <v>#N/A</v>
      </c>
      <c r="D931" s="10">
        <f>SUMIF([1]Relatório!$A$2:$A$2653,A931,[1]Relatório!$AK$2:$AK$2653)</f>
        <v>97</v>
      </c>
      <c r="E931" s="11">
        <f t="shared" si="28"/>
        <v>0.000165824154595979</v>
      </c>
      <c r="F931" s="11">
        <f>SUM($E$7:E931)</f>
        <v>0.945707120352436</v>
      </c>
      <c r="G931" s="12" t="str">
        <f t="shared" si="29"/>
        <v>C</v>
      </c>
      <c r="H931" s="9" t="s">
        <v>1059</v>
      </c>
      <c r="I931" s="9" t="s">
        <v>2013</v>
      </c>
      <c r="J931" s="9" t="s">
        <v>1143</v>
      </c>
      <c r="K931" s="10" t="str">
        <f>IFERROR(VLOOKUP(A931,'Pedido ESTHER'!$B:$C,2,0),"")</f>
        <v/>
      </c>
      <c r="L931" s="12" t="str">
        <f>IF(N(K931)&gt;0,"COMPRA","NÃO COMPRA")</f>
        <v>NÃO COMPRA</v>
      </c>
    </row>
    <row r="932" spans="1:12">
      <c r="A932" s="8" t="s">
        <v>2014</v>
      </c>
      <c r="B932" s="9" t="s">
        <v>1307</v>
      </c>
      <c r="C932" s="9" t="e">
        <f>VLOOKUP(A932,[2]Planilha1!$A:$B,2,0)</f>
        <v>#N/A</v>
      </c>
      <c r="D932" s="10">
        <f>SUMIF([1]Relatório!$A$2:$A$2653,A932,[1]Relatório!$AK$2:$AK$2653)</f>
        <v>97</v>
      </c>
      <c r="E932" s="11">
        <f t="shared" si="28"/>
        <v>0.000165824154595979</v>
      </c>
      <c r="F932" s="11">
        <f>SUM($E$7:E932)</f>
        <v>0.945872944507032</v>
      </c>
      <c r="G932" s="12" t="str">
        <f t="shared" si="29"/>
        <v>C</v>
      </c>
      <c r="H932" s="9" t="s">
        <v>1059</v>
      </c>
      <c r="I932" s="9" t="s">
        <v>2015</v>
      </c>
      <c r="J932" s="9" t="s">
        <v>29</v>
      </c>
      <c r="K932" s="10" t="str">
        <f>IFERROR(VLOOKUP(A932,'Pedido ESTHER'!$B:$C,2,0),"")</f>
        <v/>
      </c>
      <c r="L932" s="12" t="str">
        <f>IF(N(K932)&gt;0,"COMPRA","NÃO COMPRA")</f>
        <v>NÃO COMPRA</v>
      </c>
    </row>
    <row r="933" spans="1:12">
      <c r="A933" s="8" t="s">
        <v>2016</v>
      </c>
      <c r="B933" s="9" t="s">
        <v>2017</v>
      </c>
      <c r="C933" s="9" t="e">
        <f>VLOOKUP(A933,[2]Planilha1!$A:$B,2,0)</f>
        <v>#N/A</v>
      </c>
      <c r="D933" s="10">
        <f>SUMIF([1]Relatório!$A$2:$A$2653,A933,[1]Relatório!$AK$2:$AK$2653)</f>
        <v>96</v>
      </c>
      <c r="E933" s="11">
        <f t="shared" si="28"/>
        <v>0.00016411462722901</v>
      </c>
      <c r="F933" s="11">
        <f>SUM($E$7:E933)</f>
        <v>0.946037059134261</v>
      </c>
      <c r="G933" s="12" t="str">
        <f t="shared" si="29"/>
        <v>C</v>
      </c>
      <c r="H933" s="9" t="s">
        <v>1344</v>
      </c>
      <c r="I933" s="9" t="s">
        <v>2018</v>
      </c>
      <c r="J933" s="9" t="s">
        <v>23</v>
      </c>
      <c r="K933" s="10" t="str">
        <f>IFERROR(VLOOKUP(A933,'Pedido ESTHER'!$B:$C,2,0),"")</f>
        <v/>
      </c>
      <c r="L933" s="12" t="str">
        <f>IF(N(K933)&gt;0,"COMPRA","NÃO COMPRA")</f>
        <v>NÃO COMPRA</v>
      </c>
    </row>
    <row r="934" spans="1:12">
      <c r="A934" s="8" t="s">
        <v>2019</v>
      </c>
      <c r="B934" s="9" t="s">
        <v>2020</v>
      </c>
      <c r="C934" s="9" t="e">
        <f>VLOOKUP(A934,[2]Planilha1!$A:$B,2,0)</f>
        <v>#N/A</v>
      </c>
      <c r="D934" s="10">
        <f>SUMIF([1]Relatório!$A$2:$A$2653,A934,[1]Relatório!$AK$2:$AK$2653)</f>
        <v>96</v>
      </c>
      <c r="E934" s="11">
        <f t="shared" si="28"/>
        <v>0.00016411462722901</v>
      </c>
      <c r="F934" s="11">
        <f>SUM($E$7:E934)</f>
        <v>0.94620117376149</v>
      </c>
      <c r="G934" s="12" t="str">
        <f t="shared" si="29"/>
        <v>C</v>
      </c>
      <c r="H934" s="9" t="s">
        <v>1700</v>
      </c>
      <c r="I934" s="9" t="s">
        <v>2021</v>
      </c>
      <c r="J934" s="9" t="s">
        <v>158</v>
      </c>
      <c r="K934" s="10" t="str">
        <f>IFERROR(VLOOKUP(A934,'Pedido ESTHER'!$B:$C,2,0),"")</f>
        <v/>
      </c>
      <c r="L934" s="12" t="str">
        <f>IF(N(K934)&gt;0,"COMPRA","NÃO COMPRA")</f>
        <v>NÃO COMPRA</v>
      </c>
    </row>
    <row r="935" spans="1:12">
      <c r="A935" s="8" t="s">
        <v>2022</v>
      </c>
      <c r="B935" s="9" t="s">
        <v>1307</v>
      </c>
      <c r="C935" s="9" t="e">
        <f>VLOOKUP(A935,[2]Planilha1!$A:$B,2,0)</f>
        <v>#N/A</v>
      </c>
      <c r="D935" s="10">
        <f>SUMIF([1]Relatório!$A$2:$A$2653,A935,[1]Relatório!$AK$2:$AK$2653)</f>
        <v>96</v>
      </c>
      <c r="E935" s="11">
        <f t="shared" si="28"/>
        <v>0.00016411462722901</v>
      </c>
      <c r="F935" s="11">
        <f>SUM($E$7:E935)</f>
        <v>0.946365288388719</v>
      </c>
      <c r="G935" s="12" t="str">
        <f t="shared" si="29"/>
        <v>C</v>
      </c>
      <c r="H935" s="9" t="s">
        <v>1059</v>
      </c>
      <c r="I935" s="9" t="s">
        <v>2023</v>
      </c>
      <c r="J935" s="9" t="s">
        <v>29</v>
      </c>
      <c r="K935" s="10" t="str">
        <f>IFERROR(VLOOKUP(A935,'Pedido ESTHER'!$B:$C,2,0),"")</f>
        <v/>
      </c>
      <c r="L935" s="12" t="str">
        <f>IF(N(K935)&gt;0,"COMPRA","NÃO COMPRA")</f>
        <v>NÃO COMPRA</v>
      </c>
    </row>
    <row r="936" spans="1:12">
      <c r="A936" s="8" t="s">
        <v>2024</v>
      </c>
      <c r="B936" s="9" t="s">
        <v>1376</v>
      </c>
      <c r="C936" s="9" t="e">
        <f>VLOOKUP(A936,[2]Planilha1!$A:$B,2,0)</f>
        <v>#N/A</v>
      </c>
      <c r="D936" s="10">
        <f>SUMIF([1]Relatório!$A$2:$A$2653,A936,[1]Relatório!$AK$2:$AK$2653)</f>
        <v>95</v>
      </c>
      <c r="E936" s="11">
        <f t="shared" si="28"/>
        <v>0.000162405099862041</v>
      </c>
      <c r="F936" s="11">
        <f>SUM($E$7:E936)</f>
        <v>0.946527693488581</v>
      </c>
      <c r="G936" s="12" t="str">
        <f t="shared" si="29"/>
        <v>C</v>
      </c>
      <c r="H936" s="9" t="s">
        <v>1344</v>
      </c>
      <c r="I936" s="9" t="s">
        <v>2025</v>
      </c>
      <c r="J936" s="9" t="s">
        <v>29</v>
      </c>
      <c r="K936" s="10" t="str">
        <f>IFERROR(VLOOKUP(A936,'Pedido ESTHER'!$B:$C,2,0),"")</f>
        <v/>
      </c>
      <c r="L936" s="12" t="str">
        <f>IF(N(K936)&gt;0,"COMPRA","NÃO COMPRA")</f>
        <v>NÃO COMPRA</v>
      </c>
    </row>
    <row r="937" spans="1:12">
      <c r="A937" s="8" t="s">
        <v>2026</v>
      </c>
      <c r="B937" s="9" t="s">
        <v>2027</v>
      </c>
      <c r="C937" s="9" t="e">
        <f>VLOOKUP(A937,[2]Planilha1!$A:$B,2,0)</f>
        <v>#N/A</v>
      </c>
      <c r="D937" s="10">
        <f>SUMIF([1]Relatório!$A$2:$A$2653,A937,[1]Relatório!$AK$2:$AK$2653)</f>
        <v>95</v>
      </c>
      <c r="E937" s="11">
        <f t="shared" si="28"/>
        <v>0.000162405099862041</v>
      </c>
      <c r="F937" s="11">
        <f>SUM($E$7:E937)</f>
        <v>0.946690098588443</v>
      </c>
      <c r="G937" s="12" t="str">
        <f t="shared" si="29"/>
        <v>C</v>
      </c>
      <c r="H937" s="9" t="s">
        <v>1344</v>
      </c>
      <c r="I937" s="9" t="s">
        <v>2028</v>
      </c>
      <c r="J937" s="9" t="s">
        <v>64</v>
      </c>
      <c r="K937" s="10" t="str">
        <f>IFERROR(VLOOKUP(A937,'Pedido ESTHER'!$B:$C,2,0),"")</f>
        <v/>
      </c>
      <c r="L937" s="12" t="str">
        <f>IF(N(K937)&gt;0,"COMPRA","NÃO COMPRA")</f>
        <v>NÃO COMPRA</v>
      </c>
    </row>
    <row r="938" spans="1:12">
      <c r="A938" s="8" t="s">
        <v>2029</v>
      </c>
      <c r="B938" s="9" t="s">
        <v>749</v>
      </c>
      <c r="C938" s="9" t="e">
        <f>VLOOKUP(A938,[2]Planilha1!$A:$B,2,0)</f>
        <v>#N/A</v>
      </c>
      <c r="D938" s="10">
        <f>SUMIF([1]Relatório!$A$2:$A$2653,A938,[1]Relatório!$AK$2:$AK$2653)</f>
        <v>95</v>
      </c>
      <c r="E938" s="11">
        <f t="shared" si="28"/>
        <v>0.000162405099862041</v>
      </c>
      <c r="F938" s="11">
        <f>SUM($E$7:E938)</f>
        <v>0.946852503688306</v>
      </c>
      <c r="G938" s="12" t="str">
        <f t="shared" si="29"/>
        <v>C</v>
      </c>
      <c r="H938" s="9" t="s">
        <v>183</v>
      </c>
      <c r="I938" s="9"/>
      <c r="J938" s="9" t="s">
        <v>359</v>
      </c>
      <c r="K938" s="10" t="str">
        <f>IFERROR(VLOOKUP(A938,'Pedido ESTHER'!$B:$C,2,0),"")</f>
        <v/>
      </c>
      <c r="L938" s="12" t="str">
        <f>IF(N(K938)&gt;0,"COMPRA","NÃO COMPRA")</f>
        <v>NÃO COMPRA</v>
      </c>
    </row>
    <row r="939" spans="1:12">
      <c r="A939" s="8" t="s">
        <v>2030</v>
      </c>
      <c r="B939" s="9" t="s">
        <v>706</v>
      </c>
      <c r="C939" s="9" t="e">
        <f>VLOOKUP(A939,[2]Planilha1!$A:$B,2,0)</f>
        <v>#N/A</v>
      </c>
      <c r="D939" s="10">
        <f>SUMIF([1]Relatório!$A$2:$A$2653,A939,[1]Relatório!$AK$2:$AK$2653)</f>
        <v>95</v>
      </c>
      <c r="E939" s="11">
        <f t="shared" si="28"/>
        <v>0.000162405099862041</v>
      </c>
      <c r="F939" s="11">
        <f>SUM($E$7:E939)</f>
        <v>0.947014908788168</v>
      </c>
      <c r="G939" s="12" t="str">
        <f t="shared" si="29"/>
        <v>C</v>
      </c>
      <c r="H939" s="9" t="s">
        <v>183</v>
      </c>
      <c r="I939" s="9" t="s">
        <v>2031</v>
      </c>
      <c r="J939" s="9" t="s">
        <v>241</v>
      </c>
      <c r="K939" s="10" t="str">
        <f>IFERROR(VLOOKUP(A939,'Pedido ESTHER'!$B:$C,2,0),"")</f>
        <v/>
      </c>
      <c r="L939" s="12" t="str">
        <f>IF(N(K939)&gt;0,"COMPRA","NÃO COMPRA")</f>
        <v>NÃO COMPRA</v>
      </c>
    </row>
    <row r="940" spans="1:12">
      <c r="A940" s="8" t="s">
        <v>2032</v>
      </c>
      <c r="B940" s="9" t="s">
        <v>775</v>
      </c>
      <c r="C940" s="9" t="e">
        <f>VLOOKUP(A940,[2]Planilha1!$A:$B,2,0)</f>
        <v>#N/A</v>
      </c>
      <c r="D940" s="10">
        <f>SUMIF([1]Relatório!$A$2:$A$2653,A940,[1]Relatório!$AK$2:$AK$2653)</f>
        <v>95</v>
      </c>
      <c r="E940" s="11">
        <f t="shared" si="28"/>
        <v>0.000162405099862041</v>
      </c>
      <c r="F940" s="11">
        <f>SUM($E$7:E940)</f>
        <v>0.94717731388803</v>
      </c>
      <c r="G940" s="12" t="str">
        <f t="shared" si="29"/>
        <v>C</v>
      </c>
      <c r="H940" s="9" t="s">
        <v>183</v>
      </c>
      <c r="I940" s="9" t="s">
        <v>2033</v>
      </c>
      <c r="J940" s="9" t="s">
        <v>64</v>
      </c>
      <c r="K940" s="10" t="str">
        <f>IFERROR(VLOOKUP(A940,'Pedido ESTHER'!$B:$C,2,0),"")</f>
        <v/>
      </c>
      <c r="L940" s="12" t="str">
        <f>IF(N(K940)&gt;0,"COMPRA","NÃO COMPRA")</f>
        <v>NÃO COMPRA</v>
      </c>
    </row>
    <row r="941" spans="1:12">
      <c r="A941" s="8" t="s">
        <v>2034</v>
      </c>
      <c r="B941" s="9" t="s">
        <v>42</v>
      </c>
      <c r="C941" s="9" t="e">
        <f>VLOOKUP(A941,[2]Planilha1!$A:$B,2,0)</f>
        <v>#N/A</v>
      </c>
      <c r="D941" s="10">
        <f>SUMIF([1]Relatório!$A$2:$A$2653,A941,[1]Relatório!$AK$2:$AK$2653)</f>
        <v>95</v>
      </c>
      <c r="E941" s="11">
        <f t="shared" si="28"/>
        <v>0.000162405099862041</v>
      </c>
      <c r="F941" s="11">
        <f>SUM($E$7:E941)</f>
        <v>0.947339718987892</v>
      </c>
      <c r="G941" s="12" t="str">
        <f t="shared" si="29"/>
        <v>C</v>
      </c>
      <c r="H941" s="9" t="s">
        <v>21</v>
      </c>
      <c r="I941" s="9" t="s">
        <v>2035</v>
      </c>
      <c r="J941" s="9" t="s">
        <v>44</v>
      </c>
      <c r="K941" s="10" t="str">
        <f>IFERROR(VLOOKUP(A941,'Pedido ESTHER'!$B:$C,2,0),"")</f>
        <v/>
      </c>
      <c r="L941" s="12" t="str">
        <f>IF(N(K941)&gt;0,"COMPRA","NÃO COMPRA")</f>
        <v>NÃO COMPRA</v>
      </c>
    </row>
    <row r="942" spans="1:12">
      <c r="A942" s="8" t="s">
        <v>2036</v>
      </c>
      <c r="B942" s="9" t="s">
        <v>200</v>
      </c>
      <c r="C942" s="9" t="e">
        <f>VLOOKUP(A942,[2]Planilha1!$A:$B,2,0)</f>
        <v>#N/A</v>
      </c>
      <c r="D942" s="10">
        <f>SUMIF([1]Relatório!$A$2:$A$2653,A942,[1]Relatório!$AK$2:$AK$2653)</f>
        <v>94</v>
      </c>
      <c r="E942" s="11">
        <f t="shared" si="28"/>
        <v>0.000160695572495072</v>
      </c>
      <c r="F942" s="11">
        <f>SUM($E$7:E942)</f>
        <v>0.947500414560387</v>
      </c>
      <c r="G942" s="12" t="str">
        <f t="shared" si="29"/>
        <v>C</v>
      </c>
      <c r="H942" s="9" t="s">
        <v>21</v>
      </c>
      <c r="I942" s="9"/>
      <c r="J942" s="9" t="s">
        <v>201</v>
      </c>
      <c r="K942" s="10" t="str">
        <f>IFERROR(VLOOKUP(A942,'Pedido ESTHER'!$B:$C,2,0),"")</f>
        <v/>
      </c>
      <c r="L942" s="12" t="str">
        <f>IF(N(K942)&gt;0,"COMPRA","NÃO COMPRA")</f>
        <v>NÃO COMPRA</v>
      </c>
    </row>
    <row r="943" spans="1:12">
      <c r="A943" s="8" t="s">
        <v>2037</v>
      </c>
      <c r="B943" s="9" t="s">
        <v>827</v>
      </c>
      <c r="C943" s="9" t="e">
        <f>VLOOKUP(A943,[2]Planilha1!$A:$B,2,0)</f>
        <v>#N/A</v>
      </c>
      <c r="D943" s="10">
        <f>SUMIF([1]Relatório!$A$2:$A$2653,A943,[1]Relatório!$AK$2:$AK$2653)</f>
        <v>94</v>
      </c>
      <c r="E943" s="11">
        <f t="shared" si="28"/>
        <v>0.000160695572495072</v>
      </c>
      <c r="F943" s="11">
        <f>SUM($E$7:E943)</f>
        <v>0.947661110132882</v>
      </c>
      <c r="G943" s="12" t="str">
        <f t="shared" si="29"/>
        <v>C</v>
      </c>
      <c r="H943" s="9" t="s">
        <v>183</v>
      </c>
      <c r="I943" s="9"/>
      <c r="J943" s="9" t="s">
        <v>36</v>
      </c>
      <c r="K943" s="10" t="str">
        <f>IFERROR(VLOOKUP(A943,'Pedido ESTHER'!$B:$C,2,0),"")</f>
        <v/>
      </c>
      <c r="L943" s="12" t="str">
        <f>IF(N(K943)&gt;0,"COMPRA","NÃO COMPRA")</f>
        <v>NÃO COMPRA</v>
      </c>
    </row>
    <row r="944" spans="1:12">
      <c r="A944" s="8" t="s">
        <v>2038</v>
      </c>
      <c r="B944" s="9" t="s">
        <v>1900</v>
      </c>
      <c r="C944" s="9" t="e">
        <f>VLOOKUP(A944,[2]Planilha1!$A:$B,2,0)</f>
        <v>#N/A</v>
      </c>
      <c r="D944" s="10">
        <f>SUMIF([1]Relatório!$A$2:$A$2653,A944,[1]Relatório!$AK$2:$AK$2653)</f>
        <v>94</v>
      </c>
      <c r="E944" s="11">
        <f t="shared" si="28"/>
        <v>0.000160695572495072</v>
      </c>
      <c r="F944" s="11">
        <f>SUM($E$7:E944)</f>
        <v>0.947821805705377</v>
      </c>
      <c r="G944" s="12" t="str">
        <f t="shared" si="29"/>
        <v>C</v>
      </c>
      <c r="H944" s="9" t="s">
        <v>183</v>
      </c>
      <c r="I944" s="9" t="s">
        <v>2039</v>
      </c>
      <c r="J944" s="9" t="s">
        <v>213</v>
      </c>
      <c r="K944" s="10" t="str">
        <f>IFERROR(VLOOKUP(A944,'Pedido ESTHER'!$B:$C,2,0),"")</f>
        <v/>
      </c>
      <c r="L944" s="12" t="str">
        <f>IF(N(K944)&gt;0,"COMPRA","NÃO COMPRA")</f>
        <v>NÃO COMPRA</v>
      </c>
    </row>
    <row r="945" spans="1:12">
      <c r="A945" s="8" t="s">
        <v>2040</v>
      </c>
      <c r="B945" s="9" t="s">
        <v>1312</v>
      </c>
      <c r="C945" s="9" t="e">
        <f>VLOOKUP(A945,[2]Planilha1!$A:$B,2,0)</f>
        <v>#N/A</v>
      </c>
      <c r="D945" s="10">
        <f>SUMIF([1]Relatório!$A$2:$A$2653,A945,[1]Relatório!$AK$2:$AK$2653)</f>
        <v>94</v>
      </c>
      <c r="E945" s="11">
        <f t="shared" si="28"/>
        <v>0.000160695572495072</v>
      </c>
      <c r="F945" s="11">
        <f>SUM($E$7:E945)</f>
        <v>0.947982501277872</v>
      </c>
      <c r="G945" s="12" t="str">
        <f t="shared" si="29"/>
        <v>C</v>
      </c>
      <c r="H945" s="9" t="s">
        <v>183</v>
      </c>
      <c r="I945" s="9" t="s">
        <v>2041</v>
      </c>
      <c r="J945" s="9" t="s">
        <v>164</v>
      </c>
      <c r="K945" s="10" t="str">
        <f>IFERROR(VLOOKUP(A945,'Pedido ESTHER'!$B:$C,2,0),"")</f>
        <v/>
      </c>
      <c r="L945" s="12" t="str">
        <f>IF(N(K945)&gt;0,"COMPRA","NÃO COMPRA")</f>
        <v>NÃO COMPRA</v>
      </c>
    </row>
    <row r="946" spans="1:12">
      <c r="A946" s="8" t="s">
        <v>2042</v>
      </c>
      <c r="B946" s="9" t="s">
        <v>749</v>
      </c>
      <c r="C946" s="9" t="e">
        <f>VLOOKUP(A946,[2]Planilha1!$A:$B,2,0)</f>
        <v>#N/A</v>
      </c>
      <c r="D946" s="10">
        <f>SUMIF([1]Relatório!$A$2:$A$2653,A946,[1]Relatório!$AK$2:$AK$2653)</f>
        <v>94</v>
      </c>
      <c r="E946" s="11">
        <f t="shared" si="28"/>
        <v>0.000160695572495072</v>
      </c>
      <c r="F946" s="11">
        <f>SUM($E$7:E946)</f>
        <v>0.948143196850367</v>
      </c>
      <c r="G946" s="12" t="str">
        <f t="shared" si="29"/>
        <v>C</v>
      </c>
      <c r="H946" s="9" t="s">
        <v>183</v>
      </c>
      <c r="I946" s="9" t="s">
        <v>2043</v>
      </c>
      <c r="J946" s="9" t="s">
        <v>359</v>
      </c>
      <c r="K946" s="10" t="str">
        <f>IFERROR(VLOOKUP(A946,'Pedido ESTHER'!$B:$C,2,0),"")</f>
        <v/>
      </c>
      <c r="L946" s="12" t="str">
        <f>IF(N(K946)&gt;0,"COMPRA","NÃO COMPRA")</f>
        <v>NÃO COMPRA</v>
      </c>
    </row>
    <row r="947" spans="1:12">
      <c r="A947" s="8" t="s">
        <v>2044</v>
      </c>
      <c r="B947" s="9" t="s">
        <v>1388</v>
      </c>
      <c r="C947" s="9" t="e">
        <f>VLOOKUP(A947,[2]Planilha1!$A:$B,2,0)</f>
        <v>#N/A</v>
      </c>
      <c r="D947" s="10">
        <f>SUMIF([1]Relatório!$A$2:$A$2653,A947,[1]Relatório!$AK$2:$AK$2653)</f>
        <v>94</v>
      </c>
      <c r="E947" s="11">
        <f t="shared" si="28"/>
        <v>0.000160695572495072</v>
      </c>
      <c r="F947" s="11">
        <f>SUM($E$7:E947)</f>
        <v>0.948303892422862</v>
      </c>
      <c r="G947" s="12" t="str">
        <f t="shared" si="29"/>
        <v>C</v>
      </c>
      <c r="H947" s="9" t="s">
        <v>1059</v>
      </c>
      <c r="I947" s="9" t="s">
        <v>2045</v>
      </c>
      <c r="J947" s="9" t="s">
        <v>40</v>
      </c>
      <c r="K947" s="10" t="str">
        <f>IFERROR(VLOOKUP(A947,'Pedido ESTHER'!$B:$C,2,0),"")</f>
        <v/>
      </c>
      <c r="L947" s="12" t="str">
        <f>IF(N(K947)&gt;0,"COMPRA","NÃO COMPRA")</f>
        <v>NÃO COMPRA</v>
      </c>
    </row>
    <row r="948" spans="1:12">
      <c r="A948" s="8" t="s">
        <v>2046</v>
      </c>
      <c r="B948" s="9" t="s">
        <v>2047</v>
      </c>
      <c r="C948" s="9" t="e">
        <f>VLOOKUP(A948,[2]Planilha1!$A:$B,2,0)</f>
        <v>#N/A</v>
      </c>
      <c r="D948" s="10">
        <f>SUMIF([1]Relatório!$A$2:$A$2653,A948,[1]Relatório!$AK$2:$AK$2653)</f>
        <v>93</v>
      </c>
      <c r="E948" s="11">
        <f t="shared" si="28"/>
        <v>0.000158986045128103</v>
      </c>
      <c r="F948" s="11">
        <f>SUM($E$7:E948)</f>
        <v>0.94846287846799</v>
      </c>
      <c r="G948" s="12" t="str">
        <f t="shared" si="29"/>
        <v>C</v>
      </c>
      <c r="H948" s="9" t="s">
        <v>74</v>
      </c>
      <c r="I948" s="9"/>
      <c r="J948" s="9" t="s">
        <v>2048</v>
      </c>
      <c r="K948" s="10" t="str">
        <f>IFERROR(VLOOKUP(A948,'Pedido ESTHER'!$B:$C,2,0),"")</f>
        <v/>
      </c>
      <c r="L948" s="12" t="str">
        <f>IF(N(K948)&gt;0,"COMPRA","NÃO COMPRA")</f>
        <v>NÃO COMPRA</v>
      </c>
    </row>
    <row r="949" spans="1:12">
      <c r="A949" s="8" t="s">
        <v>2049</v>
      </c>
      <c r="B949" s="9" t="s">
        <v>2050</v>
      </c>
      <c r="C949" s="9" t="e">
        <f>VLOOKUP(A949,[2]Planilha1!$A:$B,2,0)</f>
        <v>#N/A</v>
      </c>
      <c r="D949" s="10">
        <f>SUMIF([1]Relatório!$A$2:$A$2653,A949,[1]Relatório!$AK$2:$AK$2653)</f>
        <v>93</v>
      </c>
      <c r="E949" s="11">
        <f t="shared" si="28"/>
        <v>0.000158986045128103</v>
      </c>
      <c r="F949" s="11">
        <f>SUM($E$7:E949)</f>
        <v>0.948621864513119</v>
      </c>
      <c r="G949" s="12" t="str">
        <f t="shared" si="29"/>
        <v>C</v>
      </c>
      <c r="H949" s="9" t="s">
        <v>21</v>
      </c>
      <c r="I949" s="9"/>
      <c r="J949" s="9" t="s">
        <v>1296</v>
      </c>
      <c r="K949" s="10" t="str">
        <f>IFERROR(VLOOKUP(A949,'Pedido ESTHER'!$B:$C,2,0),"")</f>
        <v/>
      </c>
      <c r="L949" s="12" t="str">
        <f>IF(N(K949)&gt;0,"COMPRA","NÃO COMPRA")</f>
        <v>NÃO COMPRA</v>
      </c>
    </row>
    <row r="950" spans="1:12">
      <c r="A950" s="8" t="s">
        <v>2051</v>
      </c>
      <c r="B950" s="9" t="s">
        <v>2052</v>
      </c>
      <c r="C950" s="9" t="e">
        <f>VLOOKUP(A950,[2]Planilha1!$A:$B,2,0)</f>
        <v>#N/A</v>
      </c>
      <c r="D950" s="10">
        <f>SUMIF([1]Relatório!$A$2:$A$2653,A950,[1]Relatório!$AK$2:$AK$2653)</f>
        <v>93</v>
      </c>
      <c r="E950" s="11">
        <f t="shared" si="28"/>
        <v>0.000158986045128103</v>
      </c>
      <c r="F950" s="11">
        <f>SUM($E$7:E950)</f>
        <v>0.948780850558247</v>
      </c>
      <c r="G950" s="12" t="str">
        <f t="shared" si="29"/>
        <v>C</v>
      </c>
      <c r="H950" s="9" t="s">
        <v>183</v>
      </c>
      <c r="I950" s="9"/>
      <c r="J950" s="9" t="s">
        <v>2053</v>
      </c>
      <c r="K950" s="10" t="str">
        <f>IFERROR(VLOOKUP(A950,'Pedido ESTHER'!$B:$C,2,0),"")</f>
        <v/>
      </c>
      <c r="L950" s="12" t="str">
        <f>IF(N(K950)&gt;0,"COMPRA","NÃO COMPRA")</f>
        <v>NÃO COMPRA</v>
      </c>
    </row>
    <row r="951" spans="1:12">
      <c r="A951" s="8" t="s">
        <v>2054</v>
      </c>
      <c r="B951" s="9" t="s">
        <v>2055</v>
      </c>
      <c r="C951" s="9" t="e">
        <f>VLOOKUP(A951,[2]Planilha1!$A:$B,2,0)</f>
        <v>#N/A</v>
      </c>
      <c r="D951" s="10">
        <f>SUMIF([1]Relatório!$A$2:$A$2653,A951,[1]Relatório!$AK$2:$AK$2653)</f>
        <v>93</v>
      </c>
      <c r="E951" s="11">
        <f t="shared" si="28"/>
        <v>0.000158986045128103</v>
      </c>
      <c r="F951" s="11">
        <f>SUM($E$7:E951)</f>
        <v>0.948939836603375</v>
      </c>
      <c r="G951" s="12" t="str">
        <f t="shared" si="29"/>
        <v>C</v>
      </c>
      <c r="H951" s="9" t="s">
        <v>112</v>
      </c>
      <c r="I951" s="9" t="s">
        <v>2056</v>
      </c>
      <c r="J951" s="9" t="s">
        <v>359</v>
      </c>
      <c r="K951" s="10" t="str">
        <f>IFERROR(VLOOKUP(A951,'Pedido ESTHER'!$B:$C,2,0),"")</f>
        <v/>
      </c>
      <c r="L951" s="12" t="str">
        <f>IF(N(K951)&gt;0,"COMPRA","NÃO COMPRA")</f>
        <v>NÃO COMPRA</v>
      </c>
    </row>
    <row r="952" spans="1:12">
      <c r="A952" s="8" t="s">
        <v>2057</v>
      </c>
      <c r="B952" s="9" t="s">
        <v>2058</v>
      </c>
      <c r="C952" s="9" t="e">
        <f>VLOOKUP(A952,[2]Planilha1!$A:$B,2,0)</f>
        <v>#N/A</v>
      </c>
      <c r="D952" s="10">
        <f>SUMIF([1]Relatório!$A$2:$A$2653,A952,[1]Relatório!$AK$2:$AK$2653)</f>
        <v>93</v>
      </c>
      <c r="E952" s="11">
        <f t="shared" si="28"/>
        <v>0.000158986045128103</v>
      </c>
      <c r="F952" s="11">
        <f>SUM($E$7:E952)</f>
        <v>0.949098822648503</v>
      </c>
      <c r="G952" s="12" t="str">
        <f t="shared" si="29"/>
        <v>C</v>
      </c>
      <c r="H952" s="9" t="s">
        <v>74</v>
      </c>
      <c r="I952" s="9" t="s">
        <v>2059</v>
      </c>
      <c r="J952" s="9" t="s">
        <v>1169</v>
      </c>
      <c r="K952" s="10" t="str">
        <f>IFERROR(VLOOKUP(A952,'Pedido ESTHER'!$B:$C,2,0),"")</f>
        <v/>
      </c>
      <c r="L952" s="12" t="str">
        <f>IF(N(K952)&gt;0,"COMPRA","NÃO COMPRA")</f>
        <v>NÃO COMPRA</v>
      </c>
    </row>
    <row r="953" spans="1:12">
      <c r="A953" s="8" t="s">
        <v>2060</v>
      </c>
      <c r="B953" s="9" t="s">
        <v>827</v>
      </c>
      <c r="C953" s="9" t="e">
        <f>VLOOKUP(A953,[2]Planilha1!$A:$B,2,0)</f>
        <v>#N/A</v>
      </c>
      <c r="D953" s="10">
        <f>SUMIF([1]Relatório!$A$2:$A$2653,A953,[1]Relatório!$AK$2:$AK$2653)</f>
        <v>92</v>
      </c>
      <c r="E953" s="11">
        <f t="shared" si="28"/>
        <v>0.000157276517761135</v>
      </c>
      <c r="F953" s="11">
        <f>SUM($E$7:E953)</f>
        <v>0.949256099166264</v>
      </c>
      <c r="G953" s="12" t="str">
        <f t="shared" si="29"/>
        <v>C</v>
      </c>
      <c r="H953" s="9" t="s">
        <v>183</v>
      </c>
      <c r="I953" s="9" t="s">
        <v>2061</v>
      </c>
      <c r="J953" s="9" t="s">
        <v>36</v>
      </c>
      <c r="K953" s="10" t="str">
        <f>IFERROR(VLOOKUP(A953,'Pedido ESTHER'!$B:$C,2,0),"")</f>
        <v/>
      </c>
      <c r="L953" s="12" t="str">
        <f>IF(N(K953)&gt;0,"COMPRA","NÃO COMPRA")</f>
        <v>NÃO COMPRA</v>
      </c>
    </row>
    <row r="954" spans="1:12">
      <c r="A954" s="8" t="s">
        <v>2062</v>
      </c>
      <c r="B954" s="9" t="s">
        <v>1945</v>
      </c>
      <c r="C954" s="9" t="e">
        <f>VLOOKUP(A954,[2]Planilha1!$A:$B,2,0)</f>
        <v>#N/A</v>
      </c>
      <c r="D954" s="10">
        <f>SUMIF([1]Relatório!$A$2:$A$2653,A954,[1]Relatório!$AK$2:$AK$2653)</f>
        <v>92</v>
      </c>
      <c r="E954" s="11">
        <f t="shared" si="28"/>
        <v>0.000157276517761135</v>
      </c>
      <c r="F954" s="11">
        <f>SUM($E$7:E954)</f>
        <v>0.949413375684025</v>
      </c>
      <c r="G954" s="12" t="str">
        <f t="shared" si="29"/>
        <v>C</v>
      </c>
      <c r="H954" s="9" t="s">
        <v>1344</v>
      </c>
      <c r="I954" s="9" t="s">
        <v>2063</v>
      </c>
      <c r="J954" s="9" t="s">
        <v>15</v>
      </c>
      <c r="K954" s="10" t="str">
        <f>IFERROR(VLOOKUP(A954,'Pedido ESTHER'!$B:$C,2,0),"")</f>
        <v/>
      </c>
      <c r="L954" s="12" t="str">
        <f>IF(N(K954)&gt;0,"COMPRA","NÃO COMPRA")</f>
        <v>NÃO COMPRA</v>
      </c>
    </row>
    <row r="955" spans="1:12">
      <c r="A955" s="8" t="s">
        <v>2064</v>
      </c>
      <c r="B955" s="9" t="s">
        <v>2065</v>
      </c>
      <c r="C955" s="9" t="e">
        <f>VLOOKUP(A955,[2]Planilha1!$A:$B,2,0)</f>
        <v>#N/A</v>
      </c>
      <c r="D955" s="10">
        <f>SUMIF([1]Relatório!$A$2:$A$2653,A955,[1]Relatório!$AK$2:$AK$2653)</f>
        <v>92</v>
      </c>
      <c r="E955" s="11">
        <f t="shared" si="28"/>
        <v>0.000157276517761135</v>
      </c>
      <c r="F955" s="11">
        <f>SUM($E$7:E955)</f>
        <v>0.949570652201786</v>
      </c>
      <c r="G955" s="12" t="str">
        <f t="shared" si="29"/>
        <v>C</v>
      </c>
      <c r="H955" s="9" t="s">
        <v>1344</v>
      </c>
      <c r="I955" s="9"/>
      <c r="J955" s="9" t="s">
        <v>1973</v>
      </c>
      <c r="K955" s="10" t="str">
        <f>IFERROR(VLOOKUP(A955,'Pedido ESTHER'!$B:$C,2,0),"")</f>
        <v/>
      </c>
      <c r="L955" s="12" t="str">
        <f>IF(N(K955)&gt;0,"COMPRA","NÃO COMPRA")</f>
        <v>NÃO COMPRA</v>
      </c>
    </row>
    <row r="956" spans="1:12">
      <c r="A956" s="8" t="s">
        <v>2066</v>
      </c>
      <c r="B956" s="9" t="s">
        <v>1645</v>
      </c>
      <c r="C956" s="9" t="e">
        <f>VLOOKUP(A956,[2]Planilha1!$A:$B,2,0)</f>
        <v>#N/A</v>
      </c>
      <c r="D956" s="10">
        <f>SUMIF([1]Relatório!$A$2:$A$2653,A956,[1]Relatório!$AK$2:$AK$2653)</f>
        <v>92</v>
      </c>
      <c r="E956" s="11">
        <f t="shared" si="28"/>
        <v>0.000157276517761135</v>
      </c>
      <c r="F956" s="11">
        <f>SUM($E$7:E956)</f>
        <v>0.949727928719547</v>
      </c>
      <c r="G956" s="12" t="str">
        <f t="shared" si="29"/>
        <v>C</v>
      </c>
      <c r="H956" s="9" t="s">
        <v>183</v>
      </c>
      <c r="I956" s="9" t="s">
        <v>2067</v>
      </c>
      <c r="J956" s="9" t="s">
        <v>33</v>
      </c>
      <c r="K956" s="10" t="str">
        <f>IFERROR(VLOOKUP(A956,'Pedido ESTHER'!$B:$C,2,0),"")</f>
        <v/>
      </c>
      <c r="L956" s="12" t="str">
        <f>IF(N(K956)&gt;0,"COMPRA","NÃO COMPRA")</f>
        <v>NÃO COMPRA</v>
      </c>
    </row>
    <row r="957" spans="1:12">
      <c r="A957" s="8" t="s">
        <v>2068</v>
      </c>
      <c r="B957" s="9" t="s">
        <v>1522</v>
      </c>
      <c r="C957" s="9" t="e">
        <f>VLOOKUP(A957,[2]Planilha1!$A:$B,2,0)</f>
        <v>#N/A</v>
      </c>
      <c r="D957" s="10">
        <f>SUMIF([1]Relatório!$A$2:$A$2653,A957,[1]Relatório!$AK$2:$AK$2653)</f>
        <v>92</v>
      </c>
      <c r="E957" s="11">
        <f t="shared" si="28"/>
        <v>0.000157276517761135</v>
      </c>
      <c r="F957" s="11">
        <f>SUM($E$7:E957)</f>
        <v>0.949885205237308</v>
      </c>
      <c r="G957" s="12" t="str">
        <f t="shared" si="29"/>
        <v>C</v>
      </c>
      <c r="H957" s="9" t="s">
        <v>183</v>
      </c>
      <c r="I957" s="9" t="s">
        <v>2069</v>
      </c>
      <c r="J957" s="9" t="s">
        <v>64</v>
      </c>
      <c r="K957" s="10" t="str">
        <f>IFERROR(VLOOKUP(A957,'Pedido ESTHER'!$B:$C,2,0),"")</f>
        <v/>
      </c>
      <c r="L957" s="12" t="str">
        <f>IF(N(K957)&gt;0,"COMPRA","NÃO COMPRA")</f>
        <v>NÃO COMPRA</v>
      </c>
    </row>
    <row r="958" spans="1:12">
      <c r="A958" s="8" t="s">
        <v>2070</v>
      </c>
      <c r="B958" s="9" t="s">
        <v>495</v>
      </c>
      <c r="C958" s="9" t="e">
        <f>VLOOKUP(A958,[2]Planilha1!$A:$B,2,0)</f>
        <v>#N/A</v>
      </c>
      <c r="D958" s="10">
        <f>SUMIF([1]Relatório!$A$2:$A$2653,A958,[1]Relatório!$AK$2:$AK$2653)</f>
        <v>92</v>
      </c>
      <c r="E958" s="11">
        <f t="shared" si="28"/>
        <v>0.000157276517761135</v>
      </c>
      <c r="F958" s="11">
        <f>SUM($E$7:E958)</f>
        <v>0.950042481755069</v>
      </c>
      <c r="G958" s="12" t="str">
        <f t="shared" si="29"/>
        <v>C</v>
      </c>
      <c r="H958" s="9" t="s">
        <v>183</v>
      </c>
      <c r="I958" s="9" t="s">
        <v>2071</v>
      </c>
      <c r="J958" s="9" t="s">
        <v>64</v>
      </c>
      <c r="K958" s="10" t="str">
        <f>IFERROR(VLOOKUP(A958,'Pedido ESTHER'!$B:$C,2,0),"")</f>
        <v/>
      </c>
      <c r="L958" s="12" t="str">
        <f>IF(N(K958)&gt;0,"COMPRA","NÃO COMPRA")</f>
        <v>NÃO COMPRA</v>
      </c>
    </row>
    <row r="959" spans="1:12">
      <c r="A959" s="8" t="s">
        <v>2072</v>
      </c>
      <c r="B959" s="9" t="s">
        <v>2073</v>
      </c>
      <c r="C959" s="9" t="e">
        <f>VLOOKUP(A959,[2]Planilha1!$A:$B,2,0)</f>
        <v>#N/A</v>
      </c>
      <c r="D959" s="10">
        <f>SUMIF([1]Relatório!$A$2:$A$2653,A959,[1]Relatório!$AK$2:$AK$2653)</f>
        <v>92</v>
      </c>
      <c r="E959" s="11">
        <f t="shared" si="28"/>
        <v>0.000157276517761135</v>
      </c>
      <c r="F959" s="11">
        <f>SUM($E$7:E959)</f>
        <v>0.950199758272831</v>
      </c>
      <c r="G959" s="12" t="str">
        <f t="shared" si="29"/>
        <v>C</v>
      </c>
      <c r="H959" s="9" t="s">
        <v>183</v>
      </c>
      <c r="I959" s="9" t="s">
        <v>2074</v>
      </c>
      <c r="J959" s="9" t="s">
        <v>2075</v>
      </c>
      <c r="K959" s="10" t="str">
        <f>IFERROR(VLOOKUP(A959,'Pedido ESTHER'!$B:$C,2,0),"")</f>
        <v/>
      </c>
      <c r="L959" s="12" t="str">
        <f>IF(N(K959)&gt;0,"COMPRA","NÃO COMPRA")</f>
        <v>NÃO COMPRA</v>
      </c>
    </row>
    <row r="960" spans="1:12">
      <c r="A960" s="8" t="s">
        <v>2076</v>
      </c>
      <c r="B960" s="9" t="s">
        <v>1405</v>
      </c>
      <c r="C960" s="9" t="e">
        <f>VLOOKUP(A960,[2]Planilha1!$A:$B,2,0)</f>
        <v>#N/A</v>
      </c>
      <c r="D960" s="10">
        <f>SUMIF([1]Relatório!$A$2:$A$2653,A960,[1]Relatório!$AK$2:$AK$2653)</f>
        <v>92</v>
      </c>
      <c r="E960" s="11">
        <f t="shared" si="28"/>
        <v>0.000157276517761135</v>
      </c>
      <c r="F960" s="11">
        <f>SUM($E$7:E960)</f>
        <v>0.950357034790592</v>
      </c>
      <c r="G960" s="12" t="str">
        <f t="shared" si="29"/>
        <v>C</v>
      </c>
      <c r="H960" s="9" t="s">
        <v>1059</v>
      </c>
      <c r="I960" s="9" t="s">
        <v>2077</v>
      </c>
      <c r="J960" s="9" t="s">
        <v>64</v>
      </c>
      <c r="K960" s="10" t="str">
        <f>IFERROR(VLOOKUP(A960,'Pedido ESTHER'!$B:$C,2,0),"")</f>
        <v/>
      </c>
      <c r="L960" s="12" t="str">
        <f>IF(N(K960)&gt;0,"COMPRA","NÃO COMPRA")</f>
        <v>NÃO COMPRA</v>
      </c>
    </row>
    <row r="961" spans="1:12">
      <c r="A961" s="8" t="s">
        <v>2078</v>
      </c>
      <c r="B961" s="9" t="s">
        <v>1058</v>
      </c>
      <c r="C961" s="9" t="e">
        <f>VLOOKUP(A961,[2]Planilha1!$A:$B,2,0)</f>
        <v>#N/A</v>
      </c>
      <c r="D961" s="10">
        <f>SUMIF([1]Relatório!$A$2:$A$2653,A961,[1]Relatório!$AK$2:$AK$2653)</f>
        <v>92</v>
      </c>
      <c r="E961" s="11">
        <f t="shared" si="28"/>
        <v>0.000157276517761135</v>
      </c>
      <c r="F961" s="11">
        <f>SUM($E$7:E961)</f>
        <v>0.950514311308353</v>
      </c>
      <c r="G961" s="12" t="str">
        <f t="shared" si="29"/>
        <v>C</v>
      </c>
      <c r="H961" s="9" t="s">
        <v>1059</v>
      </c>
      <c r="I961" s="9" t="s">
        <v>2079</v>
      </c>
      <c r="J961" s="9" t="s">
        <v>568</v>
      </c>
      <c r="K961" s="10" t="str">
        <f>IFERROR(VLOOKUP(A961,'Pedido ESTHER'!$B:$C,2,0),"")</f>
        <v/>
      </c>
      <c r="L961" s="12" t="str">
        <f>IF(N(K961)&gt;0,"COMPRA","NÃO COMPRA")</f>
        <v>NÃO COMPRA</v>
      </c>
    </row>
    <row r="962" spans="1:12">
      <c r="A962" s="8" t="s">
        <v>2080</v>
      </c>
      <c r="B962" s="9" t="s">
        <v>51</v>
      </c>
      <c r="C962" s="9" t="e">
        <f>VLOOKUP(A962,[2]Planilha1!$A:$B,2,0)</f>
        <v>#N/A</v>
      </c>
      <c r="D962" s="10">
        <f>SUMIF([1]Relatório!$A$2:$A$2653,A962,[1]Relatório!$AK$2:$AK$2653)</f>
        <v>92</v>
      </c>
      <c r="E962" s="11">
        <f t="shared" si="28"/>
        <v>0.000157276517761135</v>
      </c>
      <c r="F962" s="11">
        <f>SUM($E$7:E962)</f>
        <v>0.950671587826114</v>
      </c>
      <c r="G962" s="12" t="str">
        <f t="shared" si="29"/>
        <v>C</v>
      </c>
      <c r="H962" s="9" t="s">
        <v>21</v>
      </c>
      <c r="I962" s="9" t="s">
        <v>2081</v>
      </c>
      <c r="J962" s="9" t="s">
        <v>33</v>
      </c>
      <c r="K962" s="10" t="str">
        <f>IFERROR(VLOOKUP(A962,'Pedido ESTHER'!$B:$C,2,0),"")</f>
        <v/>
      </c>
      <c r="L962" s="12" t="str">
        <f>IF(N(K962)&gt;0,"COMPRA","NÃO COMPRA")</f>
        <v>NÃO COMPRA</v>
      </c>
    </row>
    <row r="963" spans="1:12">
      <c r="A963" s="8" t="s">
        <v>2082</v>
      </c>
      <c r="B963" s="9" t="s">
        <v>1070</v>
      </c>
      <c r="C963" s="9" t="e">
        <f>VLOOKUP(A963,[2]Planilha1!$A:$B,2,0)</f>
        <v>#N/A</v>
      </c>
      <c r="D963" s="10">
        <f>SUMIF([1]Relatório!$A$2:$A$2653,A963,[1]Relatório!$AK$2:$AK$2653)</f>
        <v>92</v>
      </c>
      <c r="E963" s="11">
        <f t="shared" si="28"/>
        <v>0.000157276517761135</v>
      </c>
      <c r="F963" s="11">
        <f>SUM($E$7:E963)</f>
        <v>0.950828864343875</v>
      </c>
      <c r="G963" s="12" t="str">
        <f t="shared" si="29"/>
        <v>C</v>
      </c>
      <c r="H963" s="9" t="s">
        <v>74</v>
      </c>
      <c r="I963" s="9" t="s">
        <v>2083</v>
      </c>
      <c r="J963" s="9" t="s">
        <v>44</v>
      </c>
      <c r="K963" s="10" t="str">
        <f>IFERROR(VLOOKUP(A963,'Pedido ESTHER'!$B:$C,2,0),"")</f>
        <v/>
      </c>
      <c r="L963" s="12" t="str">
        <f>IF(N(K963)&gt;0,"COMPRA","NÃO COMPRA")</f>
        <v>NÃO COMPRA</v>
      </c>
    </row>
    <row r="964" spans="1:12">
      <c r="A964" s="8" t="s">
        <v>2084</v>
      </c>
      <c r="B964" s="9" t="s">
        <v>2085</v>
      </c>
      <c r="C964" s="9" t="e">
        <f>VLOOKUP(A964,[2]Planilha1!$A:$B,2,0)</f>
        <v>#N/A</v>
      </c>
      <c r="D964" s="10">
        <f>SUMIF([1]Relatório!$A$2:$A$2653,A964,[1]Relatório!$AK$2:$AK$2653)</f>
        <v>91</v>
      </c>
      <c r="E964" s="11">
        <f t="shared" si="28"/>
        <v>0.000155566990394166</v>
      </c>
      <c r="F964" s="11">
        <f>SUM($E$7:E964)</f>
        <v>0.950984431334269</v>
      </c>
      <c r="G964" s="12" t="str">
        <f t="shared" si="29"/>
        <v>C</v>
      </c>
      <c r="H964" s="9" t="s">
        <v>1344</v>
      </c>
      <c r="I964" s="9" t="s">
        <v>2086</v>
      </c>
      <c r="J964" s="9" t="s">
        <v>44</v>
      </c>
      <c r="K964" s="10" t="str">
        <f>IFERROR(VLOOKUP(A964,'Pedido ESTHER'!$B:$C,2,0),"")</f>
        <v/>
      </c>
      <c r="L964" s="12" t="str">
        <f>IF(N(K964)&gt;0,"COMPRA","NÃO COMPRA")</f>
        <v>NÃO COMPRA</v>
      </c>
    </row>
    <row r="965" spans="1:12">
      <c r="A965" s="8" t="s">
        <v>2087</v>
      </c>
      <c r="B965" s="9" t="s">
        <v>469</v>
      </c>
      <c r="C965" s="9" t="e">
        <f>VLOOKUP(A965,[2]Planilha1!$A:$B,2,0)</f>
        <v>#N/A</v>
      </c>
      <c r="D965" s="10">
        <f>SUMIF([1]Relatório!$A$2:$A$2653,A965,[1]Relatório!$AK$2:$AK$2653)</f>
        <v>91</v>
      </c>
      <c r="E965" s="11">
        <f t="shared" si="28"/>
        <v>0.000155566990394166</v>
      </c>
      <c r="F965" s="11">
        <f>SUM($E$7:E965)</f>
        <v>0.951139998324663</v>
      </c>
      <c r="G965" s="12" t="str">
        <f t="shared" si="29"/>
        <v>C</v>
      </c>
      <c r="H965" s="9" t="s">
        <v>183</v>
      </c>
      <c r="I965" s="9"/>
      <c r="J965" s="9" t="s">
        <v>23</v>
      </c>
      <c r="K965" s="10" t="str">
        <f>IFERROR(VLOOKUP(A965,'Pedido ESTHER'!$B:$C,2,0),"")</f>
        <v/>
      </c>
      <c r="L965" s="12" t="str">
        <f>IF(N(K965)&gt;0,"COMPRA","NÃO COMPRA")</f>
        <v>NÃO COMPRA</v>
      </c>
    </row>
    <row r="966" spans="1:12">
      <c r="A966" s="8" t="s">
        <v>2088</v>
      </c>
      <c r="B966" s="9" t="s">
        <v>827</v>
      </c>
      <c r="C966" s="9" t="e">
        <f>VLOOKUP(A966,[2]Planilha1!$A:$B,2,0)</f>
        <v>#N/A</v>
      </c>
      <c r="D966" s="10">
        <f>SUMIF([1]Relatório!$A$2:$A$2653,A966,[1]Relatório!$AK$2:$AK$2653)</f>
        <v>91</v>
      </c>
      <c r="E966" s="11">
        <f t="shared" si="28"/>
        <v>0.000155566990394166</v>
      </c>
      <c r="F966" s="11">
        <f>SUM($E$7:E966)</f>
        <v>0.951295565315058</v>
      </c>
      <c r="G966" s="12" t="str">
        <f t="shared" si="29"/>
        <v>C</v>
      </c>
      <c r="H966" s="9" t="s">
        <v>183</v>
      </c>
      <c r="I966" s="9" t="s">
        <v>2089</v>
      </c>
      <c r="J966" s="9" t="s">
        <v>36</v>
      </c>
      <c r="K966" s="10" t="str">
        <f>IFERROR(VLOOKUP(A966,'Pedido ESTHER'!$B:$C,2,0),"")</f>
        <v/>
      </c>
      <c r="L966" s="12" t="str">
        <f>IF(N(K966)&gt;0,"COMPRA","NÃO COMPRA")</f>
        <v>NÃO COMPRA</v>
      </c>
    </row>
    <row r="967" spans="1:12">
      <c r="A967" s="8" t="s">
        <v>2090</v>
      </c>
      <c r="B967" s="9" t="s">
        <v>749</v>
      </c>
      <c r="C967" s="9" t="e">
        <f>VLOOKUP(A967,[2]Planilha1!$A:$B,2,0)</f>
        <v>#N/A</v>
      </c>
      <c r="D967" s="10">
        <f>SUMIF([1]Relatório!$A$2:$A$2653,A967,[1]Relatório!$AK$2:$AK$2653)</f>
        <v>91</v>
      </c>
      <c r="E967" s="11">
        <f t="shared" si="28"/>
        <v>0.000155566990394166</v>
      </c>
      <c r="F967" s="11">
        <f>SUM($E$7:E967)</f>
        <v>0.951451132305452</v>
      </c>
      <c r="G967" s="12" t="str">
        <f t="shared" si="29"/>
        <v>C</v>
      </c>
      <c r="H967" s="9" t="s">
        <v>183</v>
      </c>
      <c r="I967" s="9" t="s">
        <v>2091</v>
      </c>
      <c r="J967" s="9" t="s">
        <v>359</v>
      </c>
      <c r="K967" s="10" t="str">
        <f>IFERROR(VLOOKUP(A967,'Pedido ESTHER'!$B:$C,2,0),"")</f>
        <v/>
      </c>
      <c r="L967" s="12" t="str">
        <f>IF(N(K967)&gt;0,"COMPRA","NÃO COMPRA")</f>
        <v>NÃO COMPRA</v>
      </c>
    </row>
    <row r="968" spans="1:12">
      <c r="A968" s="8" t="s">
        <v>2092</v>
      </c>
      <c r="B968" s="9" t="s">
        <v>363</v>
      </c>
      <c r="C968" s="9" t="e">
        <f>VLOOKUP(A968,[2]Planilha1!$A:$B,2,0)</f>
        <v>#N/A</v>
      </c>
      <c r="D968" s="10">
        <f>SUMIF([1]Relatório!$A$2:$A$2653,A968,[1]Relatório!$AK$2:$AK$2653)</f>
        <v>91</v>
      </c>
      <c r="E968" s="11">
        <f t="shared" ref="E968:E1031" si="30">D968/SUM($D$7:$D$1708)</f>
        <v>0.000155566990394166</v>
      </c>
      <c r="F968" s="11">
        <f>SUM($E$7:E968)</f>
        <v>0.951606699295846</v>
      </c>
      <c r="G968" s="12" t="str">
        <f t="shared" ref="G968:G1031" si="31">IF(F968&lt;=70%,"A",IF(F968&lt;=90%,"B","C"))</f>
        <v>C</v>
      </c>
      <c r="H968" s="9" t="s">
        <v>183</v>
      </c>
      <c r="I968" s="9"/>
      <c r="J968" s="9" t="s">
        <v>40</v>
      </c>
      <c r="K968" s="10" t="str">
        <f>IFERROR(VLOOKUP(A968,'Pedido ESTHER'!$B:$C,2,0),"")</f>
        <v/>
      </c>
      <c r="L968" s="12" t="str">
        <f>IF(N(K968)&gt;0,"COMPRA","NÃO COMPRA")</f>
        <v>NÃO COMPRA</v>
      </c>
    </row>
    <row r="969" spans="1:12">
      <c r="A969" s="8" t="s">
        <v>2093</v>
      </c>
      <c r="B969" s="9" t="s">
        <v>363</v>
      </c>
      <c r="C969" s="9" t="e">
        <f>VLOOKUP(A969,[2]Planilha1!$A:$B,2,0)</f>
        <v>#N/A</v>
      </c>
      <c r="D969" s="10">
        <f>SUMIF([1]Relatório!$A$2:$A$2653,A969,[1]Relatório!$AK$2:$AK$2653)</f>
        <v>91</v>
      </c>
      <c r="E969" s="11">
        <f t="shared" si="30"/>
        <v>0.000155566990394166</v>
      </c>
      <c r="F969" s="11">
        <f>SUM($E$7:E969)</f>
        <v>0.95176226628624</v>
      </c>
      <c r="G969" s="12" t="str">
        <f t="shared" si="31"/>
        <v>C</v>
      </c>
      <c r="H969" s="9" t="s">
        <v>183</v>
      </c>
      <c r="I969" s="9" t="s">
        <v>2094</v>
      </c>
      <c r="J969" s="9" t="s">
        <v>40</v>
      </c>
      <c r="K969" s="10" t="str">
        <f>IFERROR(VLOOKUP(A969,'Pedido ESTHER'!$B:$C,2,0),"")</f>
        <v/>
      </c>
      <c r="L969" s="12" t="str">
        <f>IF(N(K969)&gt;0,"COMPRA","NÃO COMPRA")</f>
        <v>NÃO COMPRA</v>
      </c>
    </row>
    <row r="970" spans="1:12">
      <c r="A970" s="8" t="s">
        <v>2095</v>
      </c>
      <c r="B970" s="9" t="s">
        <v>2096</v>
      </c>
      <c r="C970" s="9" t="e">
        <f>VLOOKUP(A970,[2]Planilha1!$A:$B,2,0)</f>
        <v>#N/A</v>
      </c>
      <c r="D970" s="10">
        <f>SUMIF([1]Relatório!$A$2:$A$2653,A970,[1]Relatório!$AK$2:$AK$2653)</f>
        <v>91</v>
      </c>
      <c r="E970" s="11">
        <f t="shared" si="30"/>
        <v>0.000155566990394166</v>
      </c>
      <c r="F970" s="11">
        <f>SUM($E$7:E970)</f>
        <v>0.951917833276634</v>
      </c>
      <c r="G970" s="12" t="str">
        <f t="shared" si="31"/>
        <v>C</v>
      </c>
      <c r="H970" s="9" t="s">
        <v>221</v>
      </c>
      <c r="I970" s="9" t="s">
        <v>2097</v>
      </c>
      <c r="J970" s="9" t="s">
        <v>29</v>
      </c>
      <c r="K970" s="10">
        <f>IFERROR(VLOOKUP(A970,'Pedido ESTHER'!$B:$C,2,0),"")</f>
        <v>2</v>
      </c>
      <c r="L970" s="12" t="str">
        <f>IF(N(K970)&gt;0,"COMPRA","NÃO COMPRA")</f>
        <v>COMPRA</v>
      </c>
    </row>
    <row r="971" spans="1:12">
      <c r="A971" s="8" t="s">
        <v>2098</v>
      </c>
      <c r="B971" s="9" t="s">
        <v>588</v>
      </c>
      <c r="C971" s="9" t="e">
        <f>VLOOKUP(A971,[2]Planilha1!$A:$B,2,0)</f>
        <v>#N/A</v>
      </c>
      <c r="D971" s="10">
        <f>SUMIF([1]Relatório!$A$2:$A$2653,A971,[1]Relatório!$AK$2:$AK$2653)</f>
        <v>90</v>
      </c>
      <c r="E971" s="11">
        <f t="shared" si="30"/>
        <v>0.000153857463027197</v>
      </c>
      <c r="F971" s="11">
        <f>SUM($E$7:E971)</f>
        <v>0.952071690739662</v>
      </c>
      <c r="G971" s="12" t="str">
        <f t="shared" si="31"/>
        <v>C</v>
      </c>
      <c r="H971" s="9" t="s">
        <v>21</v>
      </c>
      <c r="I971" s="9"/>
      <c r="J971" s="9" t="s">
        <v>15</v>
      </c>
      <c r="K971" s="10" t="str">
        <f>IFERROR(VLOOKUP(A971,'Pedido ESTHER'!$B:$C,2,0),"")</f>
        <v/>
      </c>
      <c r="L971" s="12" t="str">
        <f>IF(N(K971)&gt;0,"COMPRA","NÃO COMPRA")</f>
        <v>NÃO COMPRA</v>
      </c>
    </row>
    <row r="972" spans="1:12">
      <c r="A972" s="8" t="s">
        <v>2099</v>
      </c>
      <c r="B972" s="9" t="s">
        <v>1900</v>
      </c>
      <c r="C972" s="9" t="e">
        <f>VLOOKUP(A972,[2]Planilha1!$A:$B,2,0)</f>
        <v>#N/A</v>
      </c>
      <c r="D972" s="10">
        <f>SUMIF([1]Relatório!$A$2:$A$2653,A972,[1]Relatório!$AK$2:$AK$2653)</f>
        <v>90</v>
      </c>
      <c r="E972" s="11">
        <f t="shared" si="30"/>
        <v>0.000153857463027197</v>
      </c>
      <c r="F972" s="11">
        <f>SUM($E$7:E972)</f>
        <v>0.952225548202689</v>
      </c>
      <c r="G972" s="12" t="str">
        <f t="shared" si="31"/>
        <v>C</v>
      </c>
      <c r="H972" s="9" t="s">
        <v>183</v>
      </c>
      <c r="I972" s="9" t="s">
        <v>2100</v>
      </c>
      <c r="J972" s="9" t="s">
        <v>213</v>
      </c>
      <c r="K972" s="10" t="str">
        <f>IFERROR(VLOOKUP(A972,'Pedido ESTHER'!$B:$C,2,0),"")</f>
        <v/>
      </c>
      <c r="L972" s="12" t="str">
        <f>IF(N(K972)&gt;0,"COMPRA","NÃO COMPRA")</f>
        <v>NÃO COMPRA</v>
      </c>
    </row>
    <row r="973" spans="1:12">
      <c r="A973" s="8" t="s">
        <v>2101</v>
      </c>
      <c r="B973" s="9" t="s">
        <v>2102</v>
      </c>
      <c r="C973" s="9" t="e">
        <f>VLOOKUP(A973,[2]Planilha1!$A:$B,2,0)</f>
        <v>#N/A</v>
      </c>
      <c r="D973" s="10">
        <f>SUMIF([1]Relatório!$A$2:$A$2653,A973,[1]Relatório!$AK$2:$AK$2653)</f>
        <v>90</v>
      </c>
      <c r="E973" s="11">
        <f t="shared" si="30"/>
        <v>0.000153857463027197</v>
      </c>
      <c r="F973" s="11">
        <f>SUM($E$7:E973)</f>
        <v>0.952379405665716</v>
      </c>
      <c r="G973" s="12" t="str">
        <f t="shared" si="31"/>
        <v>C</v>
      </c>
      <c r="H973" s="9" t="s">
        <v>1117</v>
      </c>
      <c r="I973" s="9" t="s">
        <v>2103</v>
      </c>
      <c r="J973" s="9" t="s">
        <v>1143</v>
      </c>
      <c r="K973" s="10" t="str">
        <f>IFERROR(VLOOKUP(A973,'Pedido ESTHER'!$B:$C,2,0),"")</f>
        <v/>
      </c>
      <c r="L973" s="12" t="str">
        <f>IF(N(K973)&gt;0,"COMPRA","NÃO COMPRA")</f>
        <v>NÃO COMPRA</v>
      </c>
    </row>
    <row r="974" spans="1:12">
      <c r="A974" s="8" t="s">
        <v>2104</v>
      </c>
      <c r="B974" s="9" t="s">
        <v>1645</v>
      </c>
      <c r="C974" s="9" t="e">
        <f>VLOOKUP(A974,[2]Planilha1!$A:$B,2,0)</f>
        <v>#N/A</v>
      </c>
      <c r="D974" s="10">
        <f>SUMIF([1]Relatório!$A$2:$A$2653,A974,[1]Relatório!$AK$2:$AK$2653)</f>
        <v>90</v>
      </c>
      <c r="E974" s="11">
        <f t="shared" si="30"/>
        <v>0.000153857463027197</v>
      </c>
      <c r="F974" s="11">
        <f>SUM($E$7:E974)</f>
        <v>0.952533263128743</v>
      </c>
      <c r="G974" s="12" t="str">
        <f t="shared" si="31"/>
        <v>C</v>
      </c>
      <c r="H974" s="9" t="s">
        <v>183</v>
      </c>
      <c r="I974" s="9" t="s">
        <v>2105</v>
      </c>
      <c r="J974" s="9" t="s">
        <v>123</v>
      </c>
      <c r="K974" s="10" t="str">
        <f>IFERROR(VLOOKUP(A974,'Pedido ESTHER'!$B:$C,2,0),"")</f>
        <v/>
      </c>
      <c r="L974" s="12" t="str">
        <f>IF(N(K974)&gt;0,"COMPRA","NÃO COMPRA")</f>
        <v>NÃO COMPRA</v>
      </c>
    </row>
    <row r="975" spans="1:12">
      <c r="A975" s="8" t="s">
        <v>2106</v>
      </c>
      <c r="B975" s="9" t="s">
        <v>1769</v>
      </c>
      <c r="C975" s="9" t="e">
        <f>VLOOKUP(A975,[2]Planilha1!$A:$B,2,0)</f>
        <v>#N/A</v>
      </c>
      <c r="D975" s="10">
        <f>SUMIF([1]Relatório!$A$2:$A$2653,A975,[1]Relatório!$AK$2:$AK$2653)</f>
        <v>90</v>
      </c>
      <c r="E975" s="11">
        <f t="shared" si="30"/>
        <v>0.000153857463027197</v>
      </c>
      <c r="F975" s="11">
        <f>SUM($E$7:E975)</f>
        <v>0.95268712059177</v>
      </c>
      <c r="G975" s="12" t="str">
        <f t="shared" si="31"/>
        <v>C</v>
      </c>
      <c r="H975" s="9" t="s">
        <v>1059</v>
      </c>
      <c r="I975" s="9" t="s">
        <v>2107</v>
      </c>
      <c r="J975" s="9" t="s">
        <v>359</v>
      </c>
      <c r="K975" s="10" t="str">
        <f>IFERROR(VLOOKUP(A975,'Pedido ESTHER'!$B:$C,2,0),"")</f>
        <v/>
      </c>
      <c r="L975" s="12" t="str">
        <f>IF(N(K975)&gt;0,"COMPRA","NÃO COMPRA")</f>
        <v>NÃO COMPRA</v>
      </c>
    </row>
    <row r="976" spans="1:12">
      <c r="A976" s="8" t="s">
        <v>2108</v>
      </c>
      <c r="B976" s="9" t="s">
        <v>162</v>
      </c>
      <c r="C976" s="9" t="e">
        <f>VLOOKUP(A976,[2]Planilha1!$A:$B,2,0)</f>
        <v>#N/A</v>
      </c>
      <c r="D976" s="10">
        <f>SUMIF([1]Relatório!$A$2:$A$2653,A976,[1]Relatório!$AK$2:$AK$2653)</f>
        <v>90</v>
      </c>
      <c r="E976" s="11">
        <f t="shared" si="30"/>
        <v>0.000153857463027197</v>
      </c>
      <c r="F976" s="11">
        <f>SUM($E$7:E976)</f>
        <v>0.952840978054798</v>
      </c>
      <c r="G976" s="12" t="str">
        <f t="shared" si="31"/>
        <v>C</v>
      </c>
      <c r="H976" s="9" t="s">
        <v>21</v>
      </c>
      <c r="I976" s="9" t="s">
        <v>2109</v>
      </c>
      <c r="J976" s="9" t="s">
        <v>164</v>
      </c>
      <c r="K976" s="10" t="str">
        <f>IFERROR(VLOOKUP(A976,'Pedido ESTHER'!$B:$C,2,0),"")</f>
        <v/>
      </c>
      <c r="L976" s="12" t="str">
        <f>IF(N(K976)&gt;0,"COMPRA","NÃO COMPRA")</f>
        <v>NÃO COMPRA</v>
      </c>
    </row>
    <row r="977" spans="1:12">
      <c r="A977" s="8" t="s">
        <v>2110</v>
      </c>
      <c r="B977" s="9" t="s">
        <v>2111</v>
      </c>
      <c r="C977" s="9" t="e">
        <f>VLOOKUP(A977,[2]Planilha1!$A:$B,2,0)</f>
        <v>#N/A</v>
      </c>
      <c r="D977" s="10">
        <f>SUMIF([1]Relatório!$A$2:$A$2653,A977,[1]Relatório!$AK$2:$AK$2653)</f>
        <v>89</v>
      </c>
      <c r="E977" s="11">
        <f t="shared" si="30"/>
        <v>0.000152147935660228</v>
      </c>
      <c r="F977" s="11">
        <f>SUM($E$7:E977)</f>
        <v>0.952993125990458</v>
      </c>
      <c r="G977" s="12" t="str">
        <f t="shared" si="31"/>
        <v>C</v>
      </c>
      <c r="H977" s="9" t="s">
        <v>776</v>
      </c>
      <c r="I977" s="9"/>
      <c r="J977" s="9" t="s">
        <v>164</v>
      </c>
      <c r="K977" s="10" t="str">
        <f>IFERROR(VLOOKUP(A977,'Pedido ESTHER'!$B:$C,2,0),"")</f>
        <v/>
      </c>
      <c r="L977" s="12" t="str">
        <f>IF(N(K977)&gt;0,"COMPRA","NÃO COMPRA")</f>
        <v>NÃO COMPRA</v>
      </c>
    </row>
    <row r="978" spans="1:12">
      <c r="A978" s="8" t="s">
        <v>2112</v>
      </c>
      <c r="B978" s="9" t="s">
        <v>827</v>
      </c>
      <c r="C978" s="9" t="e">
        <f>VLOOKUP(A978,[2]Planilha1!$A:$B,2,0)</f>
        <v>#N/A</v>
      </c>
      <c r="D978" s="10">
        <f>SUMIF([1]Relatório!$A$2:$A$2653,A978,[1]Relatório!$AK$2:$AK$2653)</f>
        <v>89</v>
      </c>
      <c r="E978" s="11">
        <f t="shared" si="30"/>
        <v>0.000152147935660228</v>
      </c>
      <c r="F978" s="11">
        <f>SUM($E$7:E978)</f>
        <v>0.953145273926118</v>
      </c>
      <c r="G978" s="12" t="str">
        <f t="shared" si="31"/>
        <v>C</v>
      </c>
      <c r="H978" s="9" t="s">
        <v>183</v>
      </c>
      <c r="I978" s="9"/>
      <c r="J978" s="9" t="s">
        <v>36</v>
      </c>
      <c r="K978" s="10" t="str">
        <f>IFERROR(VLOOKUP(A978,'Pedido ESTHER'!$B:$C,2,0),"")</f>
        <v/>
      </c>
      <c r="L978" s="12" t="str">
        <f>IF(N(K978)&gt;0,"COMPRA","NÃO COMPRA")</f>
        <v>NÃO COMPRA</v>
      </c>
    </row>
    <row r="979" spans="1:12">
      <c r="A979" s="8" t="s">
        <v>2113</v>
      </c>
      <c r="B979" s="9" t="s">
        <v>469</v>
      </c>
      <c r="C979" s="9" t="e">
        <f>VLOOKUP(A979,[2]Planilha1!$A:$B,2,0)</f>
        <v>#N/A</v>
      </c>
      <c r="D979" s="10">
        <f>SUMIF([1]Relatório!$A$2:$A$2653,A979,[1]Relatório!$AK$2:$AK$2653)</f>
        <v>89</v>
      </c>
      <c r="E979" s="11">
        <f t="shared" si="30"/>
        <v>0.000152147935660228</v>
      </c>
      <c r="F979" s="11">
        <f>SUM($E$7:E979)</f>
        <v>0.953297421861778</v>
      </c>
      <c r="G979" s="12" t="str">
        <f t="shared" si="31"/>
        <v>C</v>
      </c>
      <c r="H979" s="9" t="s">
        <v>183</v>
      </c>
      <c r="I979" s="9" t="s">
        <v>2114</v>
      </c>
      <c r="J979" s="9" t="s">
        <v>23</v>
      </c>
      <c r="K979" s="10" t="str">
        <f>IFERROR(VLOOKUP(A979,'Pedido ESTHER'!$B:$C,2,0),"")</f>
        <v/>
      </c>
      <c r="L979" s="12" t="str">
        <f>IF(N(K979)&gt;0,"COMPRA","NÃO COMPRA")</f>
        <v>NÃO COMPRA</v>
      </c>
    </row>
    <row r="980" spans="1:12">
      <c r="A980" s="8" t="s">
        <v>2115</v>
      </c>
      <c r="B980" s="9" t="s">
        <v>734</v>
      </c>
      <c r="C980" s="9" t="e">
        <f>VLOOKUP(A980,[2]Planilha1!$A:$B,2,0)</f>
        <v>#N/A</v>
      </c>
      <c r="D980" s="10">
        <f>SUMIF([1]Relatório!$A$2:$A$2653,A980,[1]Relatório!$AK$2:$AK$2653)</f>
        <v>89</v>
      </c>
      <c r="E980" s="11">
        <f t="shared" si="30"/>
        <v>0.000152147935660228</v>
      </c>
      <c r="F980" s="11">
        <f>SUM($E$7:E980)</f>
        <v>0.953449569797438</v>
      </c>
      <c r="G980" s="12" t="str">
        <f t="shared" si="31"/>
        <v>C</v>
      </c>
      <c r="H980" s="9" t="s">
        <v>586</v>
      </c>
      <c r="I980" s="9" t="s">
        <v>2116</v>
      </c>
      <c r="J980" s="9" t="s">
        <v>1143</v>
      </c>
      <c r="K980" s="10" t="str">
        <f>IFERROR(VLOOKUP(A980,'Pedido ESTHER'!$B:$C,2,0),"")</f>
        <v/>
      </c>
      <c r="L980" s="12" t="str">
        <f>IF(N(K980)&gt;0,"COMPRA","NÃO COMPRA")</f>
        <v>NÃO COMPRA</v>
      </c>
    </row>
    <row r="981" spans="1:12">
      <c r="A981" s="8" t="s">
        <v>2117</v>
      </c>
      <c r="B981" s="9" t="s">
        <v>2118</v>
      </c>
      <c r="C981" s="9" t="e">
        <f>VLOOKUP(A981,[2]Planilha1!$A:$B,2,0)</f>
        <v>#N/A</v>
      </c>
      <c r="D981" s="10">
        <f>SUMIF([1]Relatório!$A$2:$A$2653,A981,[1]Relatório!$AK$2:$AK$2653)</f>
        <v>88</v>
      </c>
      <c r="E981" s="11">
        <f t="shared" si="30"/>
        <v>0.000150438408293259</v>
      </c>
      <c r="F981" s="11">
        <f>SUM($E$7:E981)</f>
        <v>0.953600008205732</v>
      </c>
      <c r="G981" s="12" t="str">
        <f t="shared" si="31"/>
        <v>C</v>
      </c>
      <c r="H981" s="9" t="s">
        <v>117</v>
      </c>
      <c r="I981" s="9" t="s">
        <v>2119</v>
      </c>
      <c r="J981" s="9" t="s">
        <v>1180</v>
      </c>
      <c r="K981" s="10" t="str">
        <f>IFERROR(VLOOKUP(A981,'Pedido ESTHER'!$B:$C,2,0),"")</f>
        <v/>
      </c>
      <c r="L981" s="12" t="str">
        <f>IF(N(K981)&gt;0,"COMPRA","NÃO COMPRA")</f>
        <v>NÃO COMPRA</v>
      </c>
    </row>
    <row r="982" spans="1:12">
      <c r="A982" s="8" t="s">
        <v>2120</v>
      </c>
      <c r="B982" s="9" t="s">
        <v>1067</v>
      </c>
      <c r="C982" s="9" t="e">
        <f>VLOOKUP(A982,[2]Planilha1!$A:$B,2,0)</f>
        <v>#N/A</v>
      </c>
      <c r="D982" s="10">
        <f>SUMIF([1]Relatório!$A$2:$A$2653,A982,[1]Relatório!$AK$2:$AK$2653)</f>
        <v>88</v>
      </c>
      <c r="E982" s="11">
        <f t="shared" si="30"/>
        <v>0.000150438408293259</v>
      </c>
      <c r="F982" s="11">
        <f>SUM($E$7:E982)</f>
        <v>0.953750446614025</v>
      </c>
      <c r="G982" s="12" t="str">
        <f t="shared" si="31"/>
        <v>C</v>
      </c>
      <c r="H982" s="9" t="s">
        <v>221</v>
      </c>
      <c r="I982" s="9" t="s">
        <v>2121</v>
      </c>
      <c r="J982" s="9" t="s">
        <v>359</v>
      </c>
      <c r="K982" s="10" t="str">
        <f>IFERROR(VLOOKUP(A982,'Pedido ESTHER'!$B:$C,2,0),"")</f>
        <v/>
      </c>
      <c r="L982" s="12" t="str">
        <f>IF(N(K982)&gt;0,"COMPRA","NÃO COMPRA")</f>
        <v>NÃO COMPRA</v>
      </c>
    </row>
    <row r="983" spans="1:12">
      <c r="A983" s="8" t="s">
        <v>2122</v>
      </c>
      <c r="B983" s="9" t="s">
        <v>2123</v>
      </c>
      <c r="C983" s="9" t="e">
        <f>VLOOKUP(A983,[2]Planilha1!$A:$B,2,0)</f>
        <v>#N/A</v>
      </c>
      <c r="D983" s="10">
        <f>SUMIF([1]Relatório!$A$2:$A$2653,A983,[1]Relatório!$AK$2:$AK$2653)</f>
        <v>87</v>
      </c>
      <c r="E983" s="11">
        <f t="shared" si="30"/>
        <v>0.00014872888092629</v>
      </c>
      <c r="F983" s="11">
        <f>SUM($E$7:E983)</f>
        <v>0.953899175494951</v>
      </c>
      <c r="G983" s="12" t="str">
        <f t="shared" si="31"/>
        <v>C</v>
      </c>
      <c r="H983" s="9" t="s">
        <v>183</v>
      </c>
      <c r="I983" s="9" t="s">
        <v>2124</v>
      </c>
      <c r="J983" s="9" t="s">
        <v>1169</v>
      </c>
      <c r="K983" s="10" t="str">
        <f>IFERROR(VLOOKUP(A983,'Pedido ESTHER'!$B:$C,2,0),"")</f>
        <v/>
      </c>
      <c r="L983" s="12" t="str">
        <f>IF(N(K983)&gt;0,"COMPRA","NÃO COMPRA")</f>
        <v>NÃO COMPRA</v>
      </c>
    </row>
    <row r="984" spans="1:12">
      <c r="A984" s="8" t="s">
        <v>2125</v>
      </c>
      <c r="B984" s="9" t="s">
        <v>1312</v>
      </c>
      <c r="C984" s="9" t="e">
        <f>VLOOKUP(A984,[2]Planilha1!$A:$B,2,0)</f>
        <v>#N/A</v>
      </c>
      <c r="D984" s="10">
        <f>SUMIF([1]Relatório!$A$2:$A$2653,A984,[1]Relatório!$AK$2:$AK$2653)</f>
        <v>87</v>
      </c>
      <c r="E984" s="11">
        <f t="shared" si="30"/>
        <v>0.00014872888092629</v>
      </c>
      <c r="F984" s="11">
        <f>SUM($E$7:E984)</f>
        <v>0.954047904375877</v>
      </c>
      <c r="G984" s="12" t="str">
        <f t="shared" si="31"/>
        <v>C</v>
      </c>
      <c r="H984" s="9" t="s">
        <v>183</v>
      </c>
      <c r="I984" s="9" t="s">
        <v>2126</v>
      </c>
      <c r="J984" s="9" t="s">
        <v>164</v>
      </c>
      <c r="K984" s="10" t="str">
        <f>IFERROR(VLOOKUP(A984,'Pedido ESTHER'!$B:$C,2,0),"")</f>
        <v/>
      </c>
      <c r="L984" s="12" t="str">
        <f>IF(N(K984)&gt;0,"COMPRA","NÃO COMPRA")</f>
        <v>NÃO COMPRA</v>
      </c>
    </row>
    <row r="985" spans="1:12">
      <c r="A985" s="8" t="s">
        <v>2127</v>
      </c>
      <c r="B985" s="9" t="s">
        <v>2128</v>
      </c>
      <c r="C985" s="9" t="e">
        <f>VLOOKUP(A985,[2]Planilha1!$A:$B,2,0)</f>
        <v>#N/A</v>
      </c>
      <c r="D985" s="10">
        <f>SUMIF([1]Relatório!$A$2:$A$2653,A985,[1]Relatório!$AK$2:$AK$2653)</f>
        <v>86</v>
      </c>
      <c r="E985" s="11">
        <f t="shared" si="30"/>
        <v>0.000147019353559321</v>
      </c>
      <c r="F985" s="11">
        <f>SUM($E$7:E985)</f>
        <v>0.954194923729437</v>
      </c>
      <c r="G985" s="12" t="str">
        <f t="shared" si="31"/>
        <v>C</v>
      </c>
      <c r="H985" s="9" t="s">
        <v>1344</v>
      </c>
      <c r="I985" s="9" t="s">
        <v>2129</v>
      </c>
      <c r="J985" s="9" t="s">
        <v>23</v>
      </c>
      <c r="K985" s="10" t="str">
        <f>IFERROR(VLOOKUP(A985,'Pedido ESTHER'!$B:$C,2,0),"")</f>
        <v/>
      </c>
      <c r="L985" s="12" t="str">
        <f>IF(N(K985)&gt;0,"COMPRA","NÃO COMPRA")</f>
        <v>NÃO COMPRA</v>
      </c>
    </row>
    <row r="986" spans="1:12">
      <c r="A986" s="8" t="s">
        <v>2130</v>
      </c>
      <c r="B986" s="9" t="s">
        <v>38</v>
      </c>
      <c r="C986" s="9" t="e">
        <f>VLOOKUP(A986,[2]Planilha1!$A:$B,2,0)</f>
        <v>#N/A</v>
      </c>
      <c r="D986" s="10">
        <f>SUMIF([1]Relatório!$A$2:$A$2653,A986,[1]Relatório!$AK$2:$AK$2653)</f>
        <v>86</v>
      </c>
      <c r="E986" s="11">
        <f t="shared" si="30"/>
        <v>0.000147019353559321</v>
      </c>
      <c r="F986" s="11">
        <f>SUM($E$7:E986)</f>
        <v>0.954341943082996</v>
      </c>
      <c r="G986" s="12" t="str">
        <f t="shared" si="31"/>
        <v>C</v>
      </c>
      <c r="H986" s="9" t="s">
        <v>21</v>
      </c>
      <c r="I986" s="9"/>
      <c r="J986" s="9" t="s">
        <v>40</v>
      </c>
      <c r="K986" s="10" t="str">
        <f>IFERROR(VLOOKUP(A986,'Pedido ESTHER'!$B:$C,2,0),"")</f>
        <v/>
      </c>
      <c r="L986" s="12" t="str">
        <f>IF(N(K986)&gt;0,"COMPRA","NÃO COMPRA")</f>
        <v>NÃO COMPRA</v>
      </c>
    </row>
    <row r="987" spans="1:12">
      <c r="A987" s="8" t="s">
        <v>2131</v>
      </c>
      <c r="B987" s="9" t="s">
        <v>363</v>
      </c>
      <c r="C987" s="9" t="e">
        <f>VLOOKUP(A987,[2]Planilha1!$A:$B,2,0)</f>
        <v>#N/A</v>
      </c>
      <c r="D987" s="10">
        <f>SUMIF([1]Relatório!$A$2:$A$2653,A987,[1]Relatório!$AK$2:$AK$2653)</f>
        <v>86</v>
      </c>
      <c r="E987" s="11">
        <f t="shared" si="30"/>
        <v>0.000147019353559321</v>
      </c>
      <c r="F987" s="11">
        <f>SUM($E$7:E987)</f>
        <v>0.954488962436555</v>
      </c>
      <c r="G987" s="12" t="str">
        <f t="shared" si="31"/>
        <v>C</v>
      </c>
      <c r="H987" s="9" t="s">
        <v>183</v>
      </c>
      <c r="I987" s="9" t="s">
        <v>2132</v>
      </c>
      <c r="J987" s="9" t="s">
        <v>40</v>
      </c>
      <c r="K987" s="10" t="str">
        <f>IFERROR(VLOOKUP(A987,'Pedido ESTHER'!$B:$C,2,0),"")</f>
        <v/>
      </c>
      <c r="L987" s="12" t="str">
        <f>IF(N(K987)&gt;0,"COMPRA","NÃO COMPRA")</f>
        <v>NÃO COMPRA</v>
      </c>
    </row>
    <row r="988" spans="1:12">
      <c r="A988" s="8" t="s">
        <v>2133</v>
      </c>
      <c r="B988" s="9" t="s">
        <v>1645</v>
      </c>
      <c r="C988" s="9" t="e">
        <f>VLOOKUP(A988,[2]Planilha1!$A:$B,2,0)</f>
        <v>#N/A</v>
      </c>
      <c r="D988" s="10">
        <f>SUMIF([1]Relatório!$A$2:$A$2653,A988,[1]Relatório!$AK$2:$AK$2653)</f>
        <v>86</v>
      </c>
      <c r="E988" s="11">
        <f t="shared" si="30"/>
        <v>0.000147019353559321</v>
      </c>
      <c r="F988" s="11">
        <f>SUM($E$7:E988)</f>
        <v>0.954635981790115</v>
      </c>
      <c r="G988" s="12" t="str">
        <f t="shared" si="31"/>
        <v>C</v>
      </c>
      <c r="H988" s="9" t="s">
        <v>183</v>
      </c>
      <c r="I988" s="9"/>
      <c r="J988" s="9" t="s">
        <v>123</v>
      </c>
      <c r="K988" s="10" t="str">
        <f>IFERROR(VLOOKUP(A988,'Pedido ESTHER'!$B:$C,2,0),"")</f>
        <v/>
      </c>
      <c r="L988" s="12" t="str">
        <f>IF(N(K988)&gt;0,"COMPRA","NÃO COMPRA")</f>
        <v>NÃO COMPRA</v>
      </c>
    </row>
    <row r="989" spans="1:12">
      <c r="A989" s="8" t="s">
        <v>2134</v>
      </c>
      <c r="B989" s="9" t="s">
        <v>1376</v>
      </c>
      <c r="C989" s="9" t="e">
        <f>VLOOKUP(A989,[2]Planilha1!$A:$B,2,0)</f>
        <v>#N/A</v>
      </c>
      <c r="D989" s="10">
        <f>SUMIF([1]Relatório!$A$2:$A$2653,A989,[1]Relatório!$AK$2:$AK$2653)</f>
        <v>85</v>
      </c>
      <c r="E989" s="11">
        <f t="shared" si="30"/>
        <v>0.000145309826192353</v>
      </c>
      <c r="F989" s="11">
        <f>SUM($E$7:E989)</f>
        <v>0.954781291616307</v>
      </c>
      <c r="G989" s="12" t="str">
        <f t="shared" si="31"/>
        <v>C</v>
      </c>
      <c r="H989" s="9" t="s">
        <v>1344</v>
      </c>
      <c r="I989" s="9" t="s">
        <v>2135</v>
      </c>
      <c r="J989" s="9" t="s">
        <v>29</v>
      </c>
      <c r="K989" s="10" t="str">
        <f>IFERROR(VLOOKUP(A989,'Pedido ESTHER'!$B:$C,2,0),"")</f>
        <v/>
      </c>
      <c r="L989" s="12" t="str">
        <f>IF(N(K989)&gt;0,"COMPRA","NÃO COMPRA")</f>
        <v>NÃO COMPRA</v>
      </c>
    </row>
    <row r="990" spans="1:12">
      <c r="A990" s="8" t="s">
        <v>2136</v>
      </c>
      <c r="B990" s="9" t="s">
        <v>2137</v>
      </c>
      <c r="C990" s="9" t="e">
        <f>VLOOKUP(A990,[2]Planilha1!$A:$B,2,0)</f>
        <v>#N/A</v>
      </c>
      <c r="D990" s="10">
        <f>SUMIF([1]Relatório!$A$2:$A$2653,A990,[1]Relatório!$AK$2:$AK$2653)</f>
        <v>85</v>
      </c>
      <c r="E990" s="11">
        <f t="shared" si="30"/>
        <v>0.000145309826192353</v>
      </c>
      <c r="F990" s="11">
        <f>SUM($E$7:E990)</f>
        <v>0.954926601442499</v>
      </c>
      <c r="G990" s="12" t="str">
        <f t="shared" si="31"/>
        <v>C</v>
      </c>
      <c r="H990" s="9" t="s">
        <v>586</v>
      </c>
      <c r="I990" s="9" t="s">
        <v>2138</v>
      </c>
      <c r="J990" s="9" t="s">
        <v>2139</v>
      </c>
      <c r="K990" s="10" t="str">
        <f>IFERROR(VLOOKUP(A990,'Pedido ESTHER'!$B:$C,2,0),"")</f>
        <v/>
      </c>
      <c r="L990" s="12" t="str">
        <f>IF(N(K990)&gt;0,"COMPRA","NÃO COMPRA")</f>
        <v>NÃO COMPRA</v>
      </c>
    </row>
    <row r="991" spans="1:12">
      <c r="A991" s="8" t="s">
        <v>2140</v>
      </c>
      <c r="B991" s="9" t="s">
        <v>1428</v>
      </c>
      <c r="C991" s="9" t="e">
        <f>VLOOKUP(A991,[2]Planilha1!$A:$B,2,0)</f>
        <v>#N/A</v>
      </c>
      <c r="D991" s="10">
        <f>SUMIF([1]Relatório!$A$2:$A$2653,A991,[1]Relatório!$AK$2:$AK$2653)</f>
        <v>85</v>
      </c>
      <c r="E991" s="11">
        <f t="shared" si="30"/>
        <v>0.000145309826192353</v>
      </c>
      <c r="F991" s="11">
        <f>SUM($E$7:E991)</f>
        <v>0.955071911268692</v>
      </c>
      <c r="G991" s="12" t="str">
        <f t="shared" si="31"/>
        <v>C</v>
      </c>
      <c r="H991" s="9" t="s">
        <v>1117</v>
      </c>
      <c r="I991" s="9" t="s">
        <v>2141</v>
      </c>
      <c r="J991" s="9" t="s">
        <v>213</v>
      </c>
      <c r="K991" s="10" t="str">
        <f>IFERROR(VLOOKUP(A991,'Pedido ESTHER'!$B:$C,2,0),"")</f>
        <v/>
      </c>
      <c r="L991" s="12" t="str">
        <f>IF(N(K991)&gt;0,"COMPRA","NÃO COMPRA")</f>
        <v>NÃO COMPRA</v>
      </c>
    </row>
    <row r="992" spans="1:12">
      <c r="A992" s="8" t="s">
        <v>2142</v>
      </c>
      <c r="B992" s="9" t="s">
        <v>1645</v>
      </c>
      <c r="C992" s="9" t="e">
        <f>VLOOKUP(A992,[2]Planilha1!$A:$B,2,0)</f>
        <v>#N/A</v>
      </c>
      <c r="D992" s="10">
        <f>SUMIF([1]Relatório!$A$2:$A$2653,A992,[1]Relatório!$AK$2:$AK$2653)</f>
        <v>85</v>
      </c>
      <c r="E992" s="11">
        <f t="shared" si="30"/>
        <v>0.000145309826192353</v>
      </c>
      <c r="F992" s="11">
        <f>SUM($E$7:E992)</f>
        <v>0.955217221094884</v>
      </c>
      <c r="G992" s="12" t="str">
        <f t="shared" si="31"/>
        <v>C</v>
      </c>
      <c r="H992" s="9" t="s">
        <v>183</v>
      </c>
      <c r="I992" s="9" t="s">
        <v>2143</v>
      </c>
      <c r="J992" s="9" t="s">
        <v>33</v>
      </c>
      <c r="K992" s="10" t="str">
        <f>IFERROR(VLOOKUP(A992,'Pedido ESTHER'!$B:$C,2,0),"")</f>
        <v/>
      </c>
      <c r="L992" s="12" t="str">
        <f>IF(N(K992)&gt;0,"COMPRA","NÃO COMPRA")</f>
        <v>NÃO COMPRA</v>
      </c>
    </row>
    <row r="993" spans="1:12">
      <c r="A993" s="8" t="s">
        <v>2144</v>
      </c>
      <c r="B993" s="9" t="s">
        <v>2027</v>
      </c>
      <c r="C993" s="9" t="e">
        <f>VLOOKUP(A993,[2]Planilha1!$A:$B,2,0)</f>
        <v>#N/A</v>
      </c>
      <c r="D993" s="10">
        <f>SUMIF([1]Relatório!$A$2:$A$2653,A993,[1]Relatório!$AK$2:$AK$2653)</f>
        <v>84</v>
      </c>
      <c r="E993" s="11">
        <f t="shared" si="30"/>
        <v>0.000143600298825384</v>
      </c>
      <c r="F993" s="11">
        <f>SUM($E$7:E993)</f>
        <v>0.955360821393709</v>
      </c>
      <c r="G993" s="12" t="str">
        <f t="shared" si="31"/>
        <v>C</v>
      </c>
      <c r="H993" s="9" t="s">
        <v>1344</v>
      </c>
      <c r="I993" s="9" t="s">
        <v>2145</v>
      </c>
      <c r="J993" s="9" t="s">
        <v>64</v>
      </c>
      <c r="K993" s="10" t="str">
        <f>IFERROR(VLOOKUP(A993,'Pedido ESTHER'!$B:$C,2,0),"")</f>
        <v/>
      </c>
      <c r="L993" s="12" t="str">
        <f>IF(N(K993)&gt;0,"COMPRA","NÃO COMPRA")</f>
        <v>NÃO COMPRA</v>
      </c>
    </row>
    <row r="994" spans="1:12">
      <c r="A994" s="8" t="s">
        <v>2146</v>
      </c>
      <c r="B994" s="9" t="s">
        <v>335</v>
      </c>
      <c r="C994" s="9" t="e">
        <f>VLOOKUP(A994,[2]Planilha1!$A:$B,2,0)</f>
        <v>#N/A</v>
      </c>
      <c r="D994" s="10">
        <f>SUMIF([1]Relatório!$A$2:$A$2653,A994,[1]Relatório!$AK$2:$AK$2653)</f>
        <v>84</v>
      </c>
      <c r="E994" s="11">
        <f t="shared" si="30"/>
        <v>0.000143600298825384</v>
      </c>
      <c r="F994" s="11">
        <f>SUM($E$7:E994)</f>
        <v>0.955504421692535</v>
      </c>
      <c r="G994" s="12" t="str">
        <f t="shared" si="31"/>
        <v>C</v>
      </c>
      <c r="H994" s="9" t="s">
        <v>183</v>
      </c>
      <c r="I994" s="9" t="s">
        <v>2147</v>
      </c>
      <c r="J994" s="9" t="s">
        <v>44</v>
      </c>
      <c r="K994" s="10" t="str">
        <f>IFERROR(VLOOKUP(A994,'Pedido ESTHER'!$B:$C,2,0),"")</f>
        <v/>
      </c>
      <c r="L994" s="12" t="str">
        <f>IF(N(K994)&gt;0,"COMPRA","NÃO COMPRA")</f>
        <v>NÃO COMPRA</v>
      </c>
    </row>
    <row r="995" spans="1:12">
      <c r="A995" s="8" t="s">
        <v>2148</v>
      </c>
      <c r="B995" s="9" t="s">
        <v>1808</v>
      </c>
      <c r="C995" s="9" t="e">
        <f>VLOOKUP(A995,[2]Planilha1!$A:$B,2,0)</f>
        <v>#N/A</v>
      </c>
      <c r="D995" s="10">
        <f>SUMIF([1]Relatório!$A$2:$A$2653,A995,[1]Relatório!$AK$2:$AK$2653)</f>
        <v>84</v>
      </c>
      <c r="E995" s="11">
        <f t="shared" si="30"/>
        <v>0.000143600298825384</v>
      </c>
      <c r="F995" s="11">
        <f>SUM($E$7:E995)</f>
        <v>0.95564802199136</v>
      </c>
      <c r="G995" s="12" t="str">
        <f t="shared" si="31"/>
        <v>C</v>
      </c>
      <c r="H995" s="9" t="s">
        <v>82</v>
      </c>
      <c r="I995" s="9" t="s">
        <v>1809</v>
      </c>
      <c r="J995" s="9" t="s">
        <v>359</v>
      </c>
      <c r="K995" s="10" t="str">
        <f>IFERROR(VLOOKUP(A995,'Pedido ESTHER'!$B:$C,2,0),"")</f>
        <v/>
      </c>
      <c r="L995" s="12" t="str">
        <f>IF(N(K995)&gt;0,"COMPRA","NÃO COMPRA")</f>
        <v>NÃO COMPRA</v>
      </c>
    </row>
    <row r="996" spans="1:12">
      <c r="A996" s="8" t="s">
        <v>2149</v>
      </c>
      <c r="B996" s="9" t="s">
        <v>2102</v>
      </c>
      <c r="C996" s="9" t="e">
        <f>VLOOKUP(A996,[2]Planilha1!$A:$B,2,0)</f>
        <v>#N/A</v>
      </c>
      <c r="D996" s="10">
        <f>SUMIF([1]Relatório!$A$2:$A$2653,A996,[1]Relatório!$AK$2:$AK$2653)</f>
        <v>84</v>
      </c>
      <c r="E996" s="11">
        <f t="shared" si="30"/>
        <v>0.000143600298825384</v>
      </c>
      <c r="F996" s="11">
        <f>SUM($E$7:E996)</f>
        <v>0.955791622290186</v>
      </c>
      <c r="G996" s="12" t="str">
        <f t="shared" si="31"/>
        <v>C</v>
      </c>
      <c r="H996" s="9" t="s">
        <v>1117</v>
      </c>
      <c r="I996" s="9" t="s">
        <v>2150</v>
      </c>
      <c r="J996" s="9" t="s">
        <v>1143</v>
      </c>
      <c r="K996" s="10" t="str">
        <f>IFERROR(VLOOKUP(A996,'Pedido ESTHER'!$B:$C,2,0),"")</f>
        <v/>
      </c>
      <c r="L996" s="12" t="str">
        <f>IF(N(K996)&gt;0,"COMPRA","NÃO COMPRA")</f>
        <v>NÃO COMPRA</v>
      </c>
    </row>
    <row r="997" spans="1:12">
      <c r="A997" s="8" t="s">
        <v>2151</v>
      </c>
      <c r="B997" s="9" t="s">
        <v>1914</v>
      </c>
      <c r="C997" s="9" t="e">
        <f>VLOOKUP(A997,[2]Planilha1!$A:$B,2,0)</f>
        <v>#N/A</v>
      </c>
      <c r="D997" s="10">
        <f>SUMIF([1]Relatório!$A$2:$A$2653,A997,[1]Relatório!$AK$2:$AK$2653)</f>
        <v>83</v>
      </c>
      <c r="E997" s="11">
        <f t="shared" si="30"/>
        <v>0.000141890771458415</v>
      </c>
      <c r="F997" s="11">
        <f>SUM($E$7:E997)</f>
        <v>0.955933513061644</v>
      </c>
      <c r="G997" s="12" t="str">
        <f t="shared" si="31"/>
        <v>C</v>
      </c>
      <c r="H997" s="9" t="s">
        <v>1344</v>
      </c>
      <c r="I997" s="9" t="s">
        <v>2152</v>
      </c>
      <c r="J997" s="9" t="s">
        <v>64</v>
      </c>
      <c r="K997" s="10" t="str">
        <f>IFERROR(VLOOKUP(A997,'Pedido ESTHER'!$B:$C,2,0),"")</f>
        <v/>
      </c>
      <c r="L997" s="12" t="str">
        <f>IF(N(K997)&gt;0,"COMPRA","NÃO COMPRA")</f>
        <v>NÃO COMPRA</v>
      </c>
    </row>
    <row r="998" spans="1:12">
      <c r="A998" s="8" t="s">
        <v>2153</v>
      </c>
      <c r="B998" s="9" t="s">
        <v>363</v>
      </c>
      <c r="C998" s="9" t="e">
        <f>VLOOKUP(A998,[2]Planilha1!$A:$B,2,0)</f>
        <v>#N/A</v>
      </c>
      <c r="D998" s="10">
        <f>SUMIF([1]Relatório!$A$2:$A$2653,A998,[1]Relatório!$AK$2:$AK$2653)</f>
        <v>83</v>
      </c>
      <c r="E998" s="11">
        <f t="shared" si="30"/>
        <v>0.000141890771458415</v>
      </c>
      <c r="F998" s="11">
        <f>SUM($E$7:E998)</f>
        <v>0.956075403833103</v>
      </c>
      <c r="G998" s="12" t="str">
        <f t="shared" si="31"/>
        <v>C</v>
      </c>
      <c r="H998" s="9" t="s">
        <v>183</v>
      </c>
      <c r="I998" s="9"/>
      <c r="J998" s="9" t="s">
        <v>40</v>
      </c>
      <c r="K998" s="10" t="str">
        <f>IFERROR(VLOOKUP(A998,'Pedido ESTHER'!$B:$C,2,0),"")</f>
        <v/>
      </c>
      <c r="L998" s="12" t="str">
        <f>IF(N(K998)&gt;0,"COMPRA","NÃO COMPRA")</f>
        <v>NÃO COMPRA</v>
      </c>
    </row>
    <row r="999" spans="1:12">
      <c r="A999" s="8" t="s">
        <v>2154</v>
      </c>
      <c r="B999" s="9" t="s">
        <v>1243</v>
      </c>
      <c r="C999" s="9" t="e">
        <f>VLOOKUP(A999,[2]Planilha1!$A:$B,2,0)</f>
        <v>#N/A</v>
      </c>
      <c r="D999" s="10">
        <f>SUMIF([1]Relatório!$A$2:$A$2653,A999,[1]Relatório!$AK$2:$AK$2653)</f>
        <v>83</v>
      </c>
      <c r="E999" s="11">
        <f t="shared" si="30"/>
        <v>0.000141890771458415</v>
      </c>
      <c r="F999" s="11">
        <f>SUM($E$7:E999)</f>
        <v>0.956217294604561</v>
      </c>
      <c r="G999" s="12" t="str">
        <f t="shared" si="31"/>
        <v>C</v>
      </c>
      <c r="H999" s="9" t="s">
        <v>831</v>
      </c>
      <c r="I999" s="9" t="s">
        <v>2155</v>
      </c>
      <c r="J999" s="9" t="s">
        <v>2156</v>
      </c>
      <c r="K999" s="10" t="str">
        <f>IFERROR(VLOOKUP(A999,'Pedido ESTHER'!$B:$C,2,0),"")</f>
        <v/>
      </c>
      <c r="L999" s="12" t="str">
        <f>IF(N(K999)&gt;0,"COMPRA","NÃO COMPRA")</f>
        <v>NÃO COMPRA</v>
      </c>
    </row>
    <row r="1000" spans="1:12">
      <c r="A1000" s="8" t="s">
        <v>2157</v>
      </c>
      <c r="B1000" s="9" t="s">
        <v>2158</v>
      </c>
      <c r="C1000" s="9" t="e">
        <f>VLOOKUP(A1000,[2]Planilha1!$A:$B,2,0)</f>
        <v>#N/A</v>
      </c>
      <c r="D1000" s="10">
        <f>SUMIF([1]Relatório!$A$2:$A$2653,A1000,[1]Relatório!$AK$2:$AK$2653)</f>
        <v>83</v>
      </c>
      <c r="E1000" s="11">
        <f t="shared" si="30"/>
        <v>0.000141890771458415</v>
      </c>
      <c r="F1000" s="11">
        <f>SUM($E$7:E1000)</f>
        <v>0.956359185376019</v>
      </c>
      <c r="G1000" s="12" t="str">
        <f t="shared" si="31"/>
        <v>C</v>
      </c>
      <c r="H1000" s="9" t="s">
        <v>1700</v>
      </c>
      <c r="I1000" s="9" t="s">
        <v>2159</v>
      </c>
      <c r="J1000" s="9" t="s">
        <v>593</v>
      </c>
      <c r="K1000" s="10" t="str">
        <f>IFERROR(VLOOKUP(A1000,'Pedido ESTHER'!$B:$C,2,0),"")</f>
        <v/>
      </c>
      <c r="L1000" s="12" t="str">
        <f>IF(N(K1000)&gt;0,"COMPRA","NÃO COMPRA")</f>
        <v>NÃO COMPRA</v>
      </c>
    </row>
    <row r="1001" spans="1:12">
      <c r="A1001" s="8" t="s">
        <v>2160</v>
      </c>
      <c r="B1001" s="9" t="s">
        <v>2161</v>
      </c>
      <c r="C1001" s="9" t="e">
        <f>VLOOKUP(A1001,[2]Planilha1!$A:$B,2,0)</f>
        <v>#N/A</v>
      </c>
      <c r="D1001" s="10">
        <f>SUMIF([1]Relatório!$A$2:$A$2653,A1001,[1]Relatório!$AK$2:$AK$2653)</f>
        <v>83</v>
      </c>
      <c r="E1001" s="11">
        <f t="shared" si="30"/>
        <v>0.000141890771458415</v>
      </c>
      <c r="F1001" s="11">
        <f>SUM($E$7:E1001)</f>
        <v>0.956501076147478</v>
      </c>
      <c r="G1001" s="12" t="str">
        <f t="shared" si="31"/>
        <v>C</v>
      </c>
      <c r="H1001" s="9" t="s">
        <v>1059</v>
      </c>
      <c r="I1001" s="9" t="s">
        <v>2162</v>
      </c>
      <c r="J1001" s="9" t="s">
        <v>36</v>
      </c>
      <c r="K1001" s="10" t="str">
        <f>IFERROR(VLOOKUP(A1001,'Pedido ESTHER'!$B:$C,2,0),"")</f>
        <v/>
      </c>
      <c r="L1001" s="12" t="str">
        <f>IF(N(K1001)&gt;0,"COMPRA","NÃO COMPRA")</f>
        <v>NÃO COMPRA</v>
      </c>
    </row>
    <row r="1002" spans="1:12">
      <c r="A1002" s="8" t="s">
        <v>2163</v>
      </c>
      <c r="B1002" s="9" t="s">
        <v>418</v>
      </c>
      <c r="C1002" s="9" t="e">
        <f>VLOOKUP(A1002,[2]Planilha1!$A:$B,2,0)</f>
        <v>#N/A</v>
      </c>
      <c r="D1002" s="10">
        <f>SUMIF([1]Relatório!$A$2:$A$2653,A1002,[1]Relatório!$AK$2:$AK$2653)</f>
        <v>83</v>
      </c>
      <c r="E1002" s="11">
        <f t="shared" si="30"/>
        <v>0.000141890771458415</v>
      </c>
      <c r="F1002" s="11">
        <f>SUM($E$7:E1002)</f>
        <v>0.956642966918936</v>
      </c>
      <c r="G1002" s="12" t="str">
        <f t="shared" si="31"/>
        <v>C</v>
      </c>
      <c r="H1002" s="9" t="s">
        <v>117</v>
      </c>
      <c r="I1002" s="9" t="s">
        <v>2164</v>
      </c>
      <c r="J1002" s="9" t="s">
        <v>23</v>
      </c>
      <c r="K1002" s="10" t="str">
        <f>IFERROR(VLOOKUP(A1002,'Pedido ESTHER'!$B:$C,2,0),"")</f>
        <v/>
      </c>
      <c r="L1002" s="12" t="str">
        <f>IF(N(K1002)&gt;0,"COMPRA","NÃO COMPRA")</f>
        <v>NÃO COMPRA</v>
      </c>
    </row>
    <row r="1003" spans="1:12">
      <c r="A1003" s="8" t="s">
        <v>2165</v>
      </c>
      <c r="B1003" s="9" t="s">
        <v>426</v>
      </c>
      <c r="C1003" s="9" t="e">
        <f>VLOOKUP(A1003,[2]Planilha1!$A:$B,2,0)</f>
        <v>#N/A</v>
      </c>
      <c r="D1003" s="10">
        <f>SUMIF([1]Relatório!$A$2:$A$2653,A1003,[1]Relatório!$AK$2:$AK$2653)</f>
        <v>83</v>
      </c>
      <c r="E1003" s="11">
        <f t="shared" si="30"/>
        <v>0.000141890771458415</v>
      </c>
      <c r="F1003" s="11">
        <f>SUM($E$7:E1003)</f>
        <v>0.956784857690395</v>
      </c>
      <c r="G1003" s="12" t="str">
        <f t="shared" si="31"/>
        <v>C</v>
      </c>
      <c r="H1003" s="9" t="s">
        <v>117</v>
      </c>
      <c r="I1003" s="9" t="s">
        <v>2166</v>
      </c>
      <c r="J1003" s="9" t="s">
        <v>64</v>
      </c>
      <c r="K1003" s="10" t="str">
        <f>IFERROR(VLOOKUP(A1003,'Pedido ESTHER'!$B:$C,2,0),"")</f>
        <v/>
      </c>
      <c r="L1003" s="12" t="str">
        <f>IF(N(K1003)&gt;0,"COMPRA","NÃO COMPRA")</f>
        <v>NÃO COMPRA</v>
      </c>
    </row>
    <row r="1004" spans="1:12">
      <c r="A1004" s="8" t="s">
        <v>2167</v>
      </c>
      <c r="B1004" s="9" t="s">
        <v>2168</v>
      </c>
      <c r="C1004" s="9" t="e">
        <f>VLOOKUP(A1004,[2]Planilha1!$A:$B,2,0)</f>
        <v>#N/A</v>
      </c>
      <c r="D1004" s="10">
        <f>SUMIF([1]Relatório!$A$2:$A$2653,A1004,[1]Relatório!$AK$2:$AK$2653)</f>
        <v>83</v>
      </c>
      <c r="E1004" s="11">
        <f t="shared" si="30"/>
        <v>0.000141890771458415</v>
      </c>
      <c r="F1004" s="11">
        <f>SUM($E$7:E1004)</f>
        <v>0.956926748461853</v>
      </c>
      <c r="G1004" s="12" t="str">
        <f t="shared" si="31"/>
        <v>C</v>
      </c>
      <c r="H1004" s="9" t="s">
        <v>74</v>
      </c>
      <c r="I1004" s="9" t="s">
        <v>2169</v>
      </c>
      <c r="J1004" s="9" t="s">
        <v>1169</v>
      </c>
      <c r="K1004" s="10" t="str">
        <f>IFERROR(VLOOKUP(A1004,'Pedido ESTHER'!$B:$C,2,0),"")</f>
        <v/>
      </c>
      <c r="L1004" s="12" t="str">
        <f>IF(N(K1004)&gt;0,"COMPRA","NÃO COMPRA")</f>
        <v>NÃO COMPRA</v>
      </c>
    </row>
    <row r="1005" spans="1:12">
      <c r="A1005" s="8" t="s">
        <v>2170</v>
      </c>
      <c r="B1005" s="9" t="s">
        <v>200</v>
      </c>
      <c r="C1005" s="9" t="e">
        <f>VLOOKUP(A1005,[2]Planilha1!$A:$B,2,0)</f>
        <v>#N/A</v>
      </c>
      <c r="D1005" s="10">
        <f>SUMIF([1]Relatório!$A$2:$A$2653,A1005,[1]Relatório!$AK$2:$AK$2653)</f>
        <v>83</v>
      </c>
      <c r="E1005" s="11">
        <f t="shared" si="30"/>
        <v>0.000141890771458415</v>
      </c>
      <c r="F1005" s="11">
        <f>SUM($E$7:E1005)</f>
        <v>0.957068639233312</v>
      </c>
      <c r="G1005" s="12" t="str">
        <f t="shared" si="31"/>
        <v>C</v>
      </c>
      <c r="H1005" s="9" t="s">
        <v>21</v>
      </c>
      <c r="I1005" s="9" t="s">
        <v>2171</v>
      </c>
      <c r="J1005" s="9" t="s">
        <v>201</v>
      </c>
      <c r="K1005" s="10" t="str">
        <f>IFERROR(VLOOKUP(A1005,'Pedido ESTHER'!$B:$C,2,0),"")</f>
        <v/>
      </c>
      <c r="L1005" s="12" t="str">
        <f>IF(N(K1005)&gt;0,"COMPRA","NÃO COMPRA")</f>
        <v>NÃO COMPRA</v>
      </c>
    </row>
    <row r="1006" spans="1:12">
      <c r="A1006" s="8" t="s">
        <v>2172</v>
      </c>
      <c r="B1006" s="9" t="s">
        <v>103</v>
      </c>
      <c r="C1006" s="9" t="e">
        <f>VLOOKUP(A1006,[2]Planilha1!$A:$B,2,0)</f>
        <v>#N/A</v>
      </c>
      <c r="D1006" s="10">
        <f>SUMIF([1]Relatório!$A$2:$A$2653,A1006,[1]Relatório!$AK$2:$AK$2653)</f>
        <v>82</v>
      </c>
      <c r="E1006" s="11">
        <f t="shared" si="30"/>
        <v>0.000140181244091446</v>
      </c>
      <c r="F1006" s="11">
        <f>SUM($E$7:E1006)</f>
        <v>0.957208820477403</v>
      </c>
      <c r="G1006" s="12" t="str">
        <f t="shared" si="31"/>
        <v>C</v>
      </c>
      <c r="H1006" s="9" t="s">
        <v>18</v>
      </c>
      <c r="I1006" s="9" t="s">
        <v>2173</v>
      </c>
      <c r="J1006" s="9" t="s">
        <v>44</v>
      </c>
      <c r="K1006" s="10" t="str">
        <f>IFERROR(VLOOKUP(A1006,'Pedido ESTHER'!$B:$C,2,0),"")</f>
        <v/>
      </c>
      <c r="L1006" s="12" t="str">
        <f>IF(N(K1006)&gt;0,"COMPRA","NÃO COMPRA")</f>
        <v>NÃO COMPRA</v>
      </c>
    </row>
    <row r="1007" spans="1:12">
      <c r="A1007" s="8" t="s">
        <v>2174</v>
      </c>
      <c r="B1007" s="9" t="s">
        <v>2175</v>
      </c>
      <c r="C1007" s="9" t="e">
        <f>VLOOKUP(A1007,[2]Planilha1!$A:$B,2,0)</f>
        <v>#N/A</v>
      </c>
      <c r="D1007" s="10">
        <f>SUMIF([1]Relatório!$A$2:$A$2653,A1007,[1]Relatório!$AK$2:$AK$2653)</f>
        <v>82</v>
      </c>
      <c r="E1007" s="11">
        <f t="shared" si="30"/>
        <v>0.000140181244091446</v>
      </c>
      <c r="F1007" s="11">
        <f>SUM($E$7:E1007)</f>
        <v>0.957349001721495</v>
      </c>
      <c r="G1007" s="12" t="str">
        <f t="shared" si="31"/>
        <v>C</v>
      </c>
      <c r="H1007" s="9" t="s">
        <v>831</v>
      </c>
      <c r="I1007" s="9" t="s">
        <v>2176</v>
      </c>
      <c r="J1007" s="9" t="s">
        <v>1143</v>
      </c>
      <c r="K1007" s="10" t="str">
        <f>IFERROR(VLOOKUP(A1007,'Pedido ESTHER'!$B:$C,2,0),"")</f>
        <v/>
      </c>
      <c r="L1007" s="12" t="str">
        <f>IF(N(K1007)&gt;0,"COMPRA","NÃO COMPRA")</f>
        <v>NÃO COMPRA</v>
      </c>
    </row>
    <row r="1008" spans="1:12">
      <c r="A1008" s="8" t="s">
        <v>2177</v>
      </c>
      <c r="B1008" s="9" t="s">
        <v>1802</v>
      </c>
      <c r="C1008" s="9" t="e">
        <f>VLOOKUP(A1008,[2]Planilha1!$A:$B,2,0)</f>
        <v>#N/A</v>
      </c>
      <c r="D1008" s="10">
        <f>SUMIF([1]Relatório!$A$2:$A$2653,A1008,[1]Relatório!$AK$2:$AK$2653)</f>
        <v>82</v>
      </c>
      <c r="E1008" s="11">
        <f t="shared" si="30"/>
        <v>0.000140181244091446</v>
      </c>
      <c r="F1008" s="11">
        <f>SUM($E$7:E1008)</f>
        <v>0.957489182965586</v>
      </c>
      <c r="G1008" s="12" t="str">
        <f t="shared" si="31"/>
        <v>C</v>
      </c>
      <c r="H1008" s="9" t="s">
        <v>831</v>
      </c>
      <c r="I1008" s="9" t="s">
        <v>2178</v>
      </c>
      <c r="J1008" s="9" t="s">
        <v>390</v>
      </c>
      <c r="K1008" s="10" t="str">
        <f>IFERROR(VLOOKUP(A1008,'Pedido ESTHER'!$B:$C,2,0),"")</f>
        <v/>
      </c>
      <c r="L1008" s="12" t="str">
        <f>IF(N(K1008)&gt;0,"COMPRA","NÃO COMPRA")</f>
        <v>NÃO COMPRA</v>
      </c>
    </row>
    <row r="1009" spans="1:12">
      <c r="A1009" s="8" t="s">
        <v>2179</v>
      </c>
      <c r="B1009" s="9" t="s">
        <v>2180</v>
      </c>
      <c r="C1009" s="9" t="e">
        <f>VLOOKUP(A1009,[2]Planilha1!$A:$B,2,0)</f>
        <v>#N/A</v>
      </c>
      <c r="D1009" s="10">
        <f>SUMIF([1]Relatório!$A$2:$A$2653,A1009,[1]Relatório!$AK$2:$AK$2653)</f>
        <v>82</v>
      </c>
      <c r="E1009" s="11">
        <f t="shared" si="30"/>
        <v>0.000140181244091446</v>
      </c>
      <c r="F1009" s="11">
        <f>SUM($E$7:E1009)</f>
        <v>0.957629364209677</v>
      </c>
      <c r="G1009" s="12" t="str">
        <f t="shared" si="31"/>
        <v>C</v>
      </c>
      <c r="H1009" s="9" t="s">
        <v>183</v>
      </c>
      <c r="I1009" s="9"/>
      <c r="J1009" s="9" t="s">
        <v>2181</v>
      </c>
      <c r="K1009" s="10" t="str">
        <f>IFERROR(VLOOKUP(A1009,'Pedido ESTHER'!$B:$C,2,0),"")</f>
        <v/>
      </c>
      <c r="L1009" s="12" t="str">
        <f>IF(N(K1009)&gt;0,"COMPRA","NÃO COMPRA")</f>
        <v>NÃO COMPRA</v>
      </c>
    </row>
    <row r="1010" spans="1:12">
      <c r="A1010" s="8" t="s">
        <v>2182</v>
      </c>
      <c r="B1010" s="9" t="s">
        <v>706</v>
      </c>
      <c r="C1010" s="9" t="e">
        <f>VLOOKUP(A1010,[2]Planilha1!$A:$B,2,0)</f>
        <v>#N/A</v>
      </c>
      <c r="D1010" s="10">
        <f>SUMIF([1]Relatório!$A$2:$A$2653,A1010,[1]Relatório!$AK$2:$AK$2653)</f>
        <v>82</v>
      </c>
      <c r="E1010" s="11">
        <f t="shared" si="30"/>
        <v>0.000140181244091446</v>
      </c>
      <c r="F1010" s="11">
        <f>SUM($E$7:E1010)</f>
        <v>0.957769545453769</v>
      </c>
      <c r="G1010" s="12" t="str">
        <f t="shared" si="31"/>
        <v>C</v>
      </c>
      <c r="H1010" s="9" t="s">
        <v>183</v>
      </c>
      <c r="I1010" s="9"/>
      <c r="J1010" s="9" t="s">
        <v>241</v>
      </c>
      <c r="K1010" s="10" t="str">
        <f>IFERROR(VLOOKUP(A1010,'Pedido ESTHER'!$B:$C,2,0),"")</f>
        <v/>
      </c>
      <c r="L1010" s="12" t="str">
        <f>IF(N(K1010)&gt;0,"COMPRA","NÃO COMPRA")</f>
        <v>NÃO COMPRA</v>
      </c>
    </row>
    <row r="1011" spans="1:12">
      <c r="A1011" s="8" t="s">
        <v>2183</v>
      </c>
      <c r="B1011" s="9" t="s">
        <v>2184</v>
      </c>
      <c r="C1011" s="9" t="e">
        <f>VLOOKUP(A1011,[2]Planilha1!$A:$B,2,0)</f>
        <v>#N/A</v>
      </c>
      <c r="D1011" s="10">
        <f>SUMIF([1]Relatório!$A$2:$A$2653,A1011,[1]Relatório!$AK$2:$AK$2653)</f>
        <v>82</v>
      </c>
      <c r="E1011" s="11">
        <f t="shared" si="30"/>
        <v>0.000140181244091446</v>
      </c>
      <c r="F1011" s="11">
        <f>SUM($E$7:E1011)</f>
        <v>0.95790972669786</v>
      </c>
      <c r="G1011" s="12" t="str">
        <f t="shared" si="31"/>
        <v>C</v>
      </c>
      <c r="H1011" s="9" t="s">
        <v>1059</v>
      </c>
      <c r="I1011" s="9" t="s">
        <v>2185</v>
      </c>
      <c r="J1011" s="9" t="s">
        <v>390</v>
      </c>
      <c r="K1011" s="10" t="str">
        <f>IFERROR(VLOOKUP(A1011,'Pedido ESTHER'!$B:$C,2,0),"")</f>
        <v/>
      </c>
      <c r="L1011" s="12" t="str">
        <f>IF(N(K1011)&gt;0,"COMPRA","NÃO COMPRA")</f>
        <v>NÃO COMPRA</v>
      </c>
    </row>
    <row r="1012" spans="1:12">
      <c r="A1012" s="8" t="s">
        <v>2186</v>
      </c>
      <c r="B1012" s="9" t="s">
        <v>2187</v>
      </c>
      <c r="C1012" s="9" t="e">
        <f>VLOOKUP(A1012,[2]Planilha1!$A:$B,2,0)</f>
        <v>#N/A</v>
      </c>
      <c r="D1012" s="10">
        <f>SUMIF([1]Relatório!$A$2:$A$2653,A1012,[1]Relatório!$AK$2:$AK$2653)</f>
        <v>82</v>
      </c>
      <c r="E1012" s="11">
        <f t="shared" si="30"/>
        <v>0.000140181244091446</v>
      </c>
      <c r="F1012" s="11">
        <f>SUM($E$7:E1012)</f>
        <v>0.958049907941952</v>
      </c>
      <c r="G1012" s="12" t="str">
        <f t="shared" si="31"/>
        <v>C</v>
      </c>
      <c r="H1012" s="9" t="s">
        <v>112</v>
      </c>
      <c r="I1012" s="9" t="s">
        <v>2188</v>
      </c>
      <c r="J1012" s="9" t="s">
        <v>201</v>
      </c>
      <c r="K1012" s="10" t="str">
        <f>IFERROR(VLOOKUP(A1012,'Pedido ESTHER'!$B:$C,2,0),"")</f>
        <v/>
      </c>
      <c r="L1012" s="12" t="str">
        <f>IF(N(K1012)&gt;0,"COMPRA","NÃO COMPRA")</f>
        <v>NÃO COMPRA</v>
      </c>
    </row>
    <row r="1013" spans="1:12">
      <c r="A1013" s="8" t="s">
        <v>2189</v>
      </c>
      <c r="B1013" s="9" t="s">
        <v>215</v>
      </c>
      <c r="C1013" s="9" t="e">
        <f>VLOOKUP(A1013,[2]Planilha1!$A:$B,2,0)</f>
        <v>#N/A</v>
      </c>
      <c r="D1013" s="10">
        <f>SUMIF([1]Relatório!$A$2:$A$2653,A1013,[1]Relatório!$AK$2:$AK$2653)</f>
        <v>82</v>
      </c>
      <c r="E1013" s="11">
        <f t="shared" si="30"/>
        <v>0.000140181244091446</v>
      </c>
      <c r="F1013" s="11">
        <f>SUM($E$7:E1013)</f>
        <v>0.958190089186043</v>
      </c>
      <c r="G1013" s="12" t="str">
        <f t="shared" si="31"/>
        <v>C</v>
      </c>
      <c r="H1013" s="9" t="s">
        <v>143</v>
      </c>
      <c r="I1013" s="9" t="s">
        <v>2190</v>
      </c>
      <c r="J1013" s="9" t="s">
        <v>29</v>
      </c>
      <c r="K1013" s="10" t="str">
        <f>IFERROR(VLOOKUP(A1013,'Pedido ESTHER'!$B:$C,2,0),"")</f>
        <v/>
      </c>
      <c r="L1013" s="12" t="str">
        <f>IF(N(K1013)&gt;0,"COMPRA","NÃO COMPRA")</f>
        <v>NÃO COMPRA</v>
      </c>
    </row>
    <row r="1014" spans="1:12">
      <c r="A1014" s="8" t="s">
        <v>2191</v>
      </c>
      <c r="B1014" s="9" t="s">
        <v>2192</v>
      </c>
      <c r="C1014" s="9" t="e">
        <f>VLOOKUP(A1014,[2]Planilha1!$A:$B,2,0)</f>
        <v>#N/A</v>
      </c>
      <c r="D1014" s="10">
        <f>SUMIF([1]Relatório!$A$2:$A$2653,A1014,[1]Relatório!$AK$2:$AK$2653)</f>
        <v>82</v>
      </c>
      <c r="E1014" s="11">
        <f t="shared" si="30"/>
        <v>0.000140181244091446</v>
      </c>
      <c r="F1014" s="11">
        <f>SUM($E$7:E1014)</f>
        <v>0.958330270430135</v>
      </c>
      <c r="G1014" s="12" t="str">
        <f t="shared" si="31"/>
        <v>C</v>
      </c>
      <c r="H1014" s="9" t="s">
        <v>21</v>
      </c>
      <c r="I1014" s="9" t="s">
        <v>2193</v>
      </c>
      <c r="J1014" s="9" t="s">
        <v>359</v>
      </c>
      <c r="K1014" s="10" t="str">
        <f>IFERROR(VLOOKUP(A1014,'Pedido ESTHER'!$B:$C,2,0),"")</f>
        <v/>
      </c>
      <c r="L1014" s="12" t="str">
        <f>IF(N(K1014)&gt;0,"COMPRA","NÃO COMPRA")</f>
        <v>NÃO COMPRA</v>
      </c>
    </row>
    <row r="1015" spans="1:12">
      <c r="A1015" s="8" t="s">
        <v>2194</v>
      </c>
      <c r="B1015" s="9" t="s">
        <v>2195</v>
      </c>
      <c r="C1015" s="9" t="e">
        <f>VLOOKUP(A1015,[2]Planilha1!$A:$B,2,0)</f>
        <v>#N/A</v>
      </c>
      <c r="D1015" s="10">
        <f>SUMIF([1]Relatório!$A$2:$A$2653,A1015,[1]Relatório!$AK$2:$AK$2653)</f>
        <v>81</v>
      </c>
      <c r="E1015" s="11">
        <f t="shared" si="30"/>
        <v>0.000138471716724477</v>
      </c>
      <c r="F1015" s="11">
        <f>SUM($E$7:E1015)</f>
        <v>0.958468742146859</v>
      </c>
      <c r="G1015" s="12" t="str">
        <f t="shared" si="31"/>
        <v>C</v>
      </c>
      <c r="H1015" s="9" t="s">
        <v>1937</v>
      </c>
      <c r="I1015" s="9" t="s">
        <v>2196</v>
      </c>
      <c r="J1015" s="9" t="s">
        <v>40</v>
      </c>
      <c r="K1015" s="10" t="str">
        <f>IFERROR(VLOOKUP(A1015,'Pedido ESTHER'!$B:$C,2,0),"")</f>
        <v/>
      </c>
      <c r="L1015" s="12" t="str">
        <f>IF(N(K1015)&gt;0,"COMPRA","NÃO COMPRA")</f>
        <v>NÃO COMPRA</v>
      </c>
    </row>
    <row r="1016" spans="1:12">
      <c r="A1016" s="8" t="s">
        <v>2197</v>
      </c>
      <c r="B1016" s="9" t="s">
        <v>2198</v>
      </c>
      <c r="C1016" s="9" t="e">
        <f>VLOOKUP(A1016,[2]Planilha1!$A:$B,2,0)</f>
        <v>#N/A</v>
      </c>
      <c r="D1016" s="10">
        <f>SUMIF([1]Relatório!$A$2:$A$2653,A1016,[1]Relatório!$AK$2:$AK$2653)</f>
        <v>81</v>
      </c>
      <c r="E1016" s="11">
        <f t="shared" si="30"/>
        <v>0.000138471716724477</v>
      </c>
      <c r="F1016" s="11">
        <f>SUM($E$7:E1016)</f>
        <v>0.958607213863583</v>
      </c>
      <c r="G1016" s="12" t="str">
        <f t="shared" si="31"/>
        <v>C</v>
      </c>
      <c r="H1016" s="9" t="s">
        <v>1937</v>
      </c>
      <c r="I1016" s="9" t="s">
        <v>2199</v>
      </c>
      <c r="J1016" s="9" t="s">
        <v>40</v>
      </c>
      <c r="K1016" s="10" t="str">
        <f>IFERROR(VLOOKUP(A1016,'Pedido ESTHER'!$B:$C,2,0),"")</f>
        <v/>
      </c>
      <c r="L1016" s="12" t="str">
        <f>IF(N(K1016)&gt;0,"COMPRA","NÃO COMPRA")</f>
        <v>NÃO COMPRA</v>
      </c>
    </row>
    <row r="1017" spans="1:12">
      <c r="A1017" s="8" t="s">
        <v>2200</v>
      </c>
      <c r="B1017" s="9" t="s">
        <v>2201</v>
      </c>
      <c r="C1017" s="9" t="e">
        <f>VLOOKUP(A1017,[2]Planilha1!$A:$B,2,0)</f>
        <v>#N/A</v>
      </c>
      <c r="D1017" s="10">
        <f>SUMIF([1]Relatório!$A$2:$A$2653,A1017,[1]Relatório!$AK$2:$AK$2653)</f>
        <v>81</v>
      </c>
      <c r="E1017" s="11">
        <f t="shared" si="30"/>
        <v>0.000138471716724477</v>
      </c>
      <c r="F1017" s="11">
        <f>SUM($E$7:E1017)</f>
        <v>0.958745685580308</v>
      </c>
      <c r="G1017" s="12" t="str">
        <f t="shared" si="31"/>
        <v>C</v>
      </c>
      <c r="H1017" s="9" t="s">
        <v>74</v>
      </c>
      <c r="I1017" s="9"/>
      <c r="J1017" s="9" t="s">
        <v>2048</v>
      </c>
      <c r="K1017" s="10" t="str">
        <f>IFERROR(VLOOKUP(A1017,'Pedido ESTHER'!$B:$C,2,0),"")</f>
        <v/>
      </c>
      <c r="L1017" s="12" t="str">
        <f>IF(N(K1017)&gt;0,"COMPRA","NÃO COMPRA")</f>
        <v>NÃO COMPRA</v>
      </c>
    </row>
    <row r="1018" spans="1:12">
      <c r="A1018" s="8" t="s">
        <v>2202</v>
      </c>
      <c r="B1018" s="9" t="s">
        <v>2027</v>
      </c>
      <c r="C1018" s="9" t="e">
        <f>VLOOKUP(A1018,[2]Planilha1!$A:$B,2,0)</f>
        <v>#N/A</v>
      </c>
      <c r="D1018" s="10">
        <f>SUMIF([1]Relatório!$A$2:$A$2653,A1018,[1]Relatório!$AK$2:$AK$2653)</f>
        <v>81</v>
      </c>
      <c r="E1018" s="11">
        <f t="shared" si="30"/>
        <v>0.000138471716724477</v>
      </c>
      <c r="F1018" s="11">
        <f>SUM($E$7:E1018)</f>
        <v>0.958884157297032</v>
      </c>
      <c r="G1018" s="12" t="str">
        <f t="shared" si="31"/>
        <v>C</v>
      </c>
      <c r="H1018" s="9" t="s">
        <v>1344</v>
      </c>
      <c r="I1018" s="9" t="s">
        <v>2203</v>
      </c>
      <c r="J1018" s="9" t="s">
        <v>64</v>
      </c>
      <c r="K1018" s="10" t="str">
        <f>IFERROR(VLOOKUP(A1018,'Pedido ESTHER'!$B:$C,2,0),"")</f>
        <v/>
      </c>
      <c r="L1018" s="12" t="str">
        <f>IF(N(K1018)&gt;0,"COMPRA","NÃO COMPRA")</f>
        <v>NÃO COMPRA</v>
      </c>
    </row>
    <row r="1019" spans="1:12">
      <c r="A1019" s="8" t="s">
        <v>2204</v>
      </c>
      <c r="B1019" s="9" t="s">
        <v>1612</v>
      </c>
      <c r="C1019" s="9" t="e">
        <f>VLOOKUP(A1019,[2]Planilha1!$A:$B,2,0)</f>
        <v>#N/A</v>
      </c>
      <c r="D1019" s="10">
        <f>SUMIF([1]Relatório!$A$2:$A$2653,A1019,[1]Relatório!$AK$2:$AK$2653)</f>
        <v>81</v>
      </c>
      <c r="E1019" s="11">
        <f t="shared" si="30"/>
        <v>0.000138471716724477</v>
      </c>
      <c r="F1019" s="11">
        <f>SUM($E$7:E1019)</f>
        <v>0.959022629013757</v>
      </c>
      <c r="G1019" s="12" t="str">
        <f t="shared" si="31"/>
        <v>C</v>
      </c>
      <c r="H1019" s="9" t="s">
        <v>1344</v>
      </c>
      <c r="I1019" s="9" t="s">
        <v>2205</v>
      </c>
      <c r="J1019" s="9" t="s">
        <v>83</v>
      </c>
      <c r="K1019" s="10" t="str">
        <f>IFERROR(VLOOKUP(A1019,'Pedido ESTHER'!$B:$C,2,0),"")</f>
        <v/>
      </c>
      <c r="L1019" s="12" t="str">
        <f>IF(N(K1019)&gt;0,"COMPRA","NÃO COMPRA")</f>
        <v>NÃO COMPRA</v>
      </c>
    </row>
    <row r="1020" spans="1:12">
      <c r="A1020" s="8" t="s">
        <v>2206</v>
      </c>
      <c r="B1020" s="9" t="s">
        <v>538</v>
      </c>
      <c r="C1020" s="9" t="e">
        <f>VLOOKUP(A1020,[2]Planilha1!$A:$B,2,0)</f>
        <v>#N/A</v>
      </c>
      <c r="D1020" s="10">
        <f>SUMIF([1]Relatório!$A$2:$A$2653,A1020,[1]Relatório!$AK$2:$AK$2653)</f>
        <v>81</v>
      </c>
      <c r="E1020" s="11">
        <f t="shared" si="30"/>
        <v>0.000138471716724477</v>
      </c>
      <c r="F1020" s="11">
        <f>SUM($E$7:E1020)</f>
        <v>0.959161100730481</v>
      </c>
      <c r="G1020" s="12" t="str">
        <f t="shared" si="31"/>
        <v>C</v>
      </c>
      <c r="H1020" s="9" t="s">
        <v>183</v>
      </c>
      <c r="I1020" s="9"/>
      <c r="J1020" s="9" t="s">
        <v>158</v>
      </c>
      <c r="K1020" s="10" t="str">
        <f>IFERROR(VLOOKUP(A1020,'Pedido ESTHER'!$B:$C,2,0),"")</f>
        <v/>
      </c>
      <c r="L1020" s="12" t="str">
        <f>IF(N(K1020)&gt;0,"COMPRA","NÃO COMPRA")</f>
        <v>NÃO COMPRA</v>
      </c>
    </row>
    <row r="1021" spans="1:12">
      <c r="A1021" s="8" t="s">
        <v>2207</v>
      </c>
      <c r="B1021" s="9" t="s">
        <v>1312</v>
      </c>
      <c r="C1021" s="9" t="e">
        <f>VLOOKUP(A1021,[2]Planilha1!$A:$B,2,0)</f>
        <v>#N/A</v>
      </c>
      <c r="D1021" s="10">
        <f>SUMIF([1]Relatório!$A$2:$A$2653,A1021,[1]Relatório!$AK$2:$AK$2653)</f>
        <v>81</v>
      </c>
      <c r="E1021" s="11">
        <f t="shared" si="30"/>
        <v>0.000138471716724477</v>
      </c>
      <c r="F1021" s="11">
        <f>SUM($E$7:E1021)</f>
        <v>0.959299572447206</v>
      </c>
      <c r="G1021" s="12" t="str">
        <f t="shared" si="31"/>
        <v>C</v>
      </c>
      <c r="H1021" s="9" t="s">
        <v>183</v>
      </c>
      <c r="I1021" s="9" t="s">
        <v>2208</v>
      </c>
      <c r="J1021" s="9" t="s">
        <v>164</v>
      </c>
      <c r="K1021" s="10" t="str">
        <f>IFERROR(VLOOKUP(A1021,'Pedido ESTHER'!$B:$C,2,0),"")</f>
        <v/>
      </c>
      <c r="L1021" s="12" t="str">
        <f>IF(N(K1021)&gt;0,"COMPRA","NÃO COMPRA")</f>
        <v>NÃO COMPRA</v>
      </c>
    </row>
    <row r="1022" spans="1:12">
      <c r="A1022" s="8" t="s">
        <v>2209</v>
      </c>
      <c r="B1022" s="9" t="s">
        <v>1322</v>
      </c>
      <c r="C1022" s="9" t="e">
        <f>VLOOKUP(A1022,[2]Planilha1!$A:$B,2,0)</f>
        <v>#N/A</v>
      </c>
      <c r="D1022" s="10">
        <f>SUMIF([1]Relatório!$A$2:$A$2653,A1022,[1]Relatório!$AK$2:$AK$2653)</f>
        <v>81</v>
      </c>
      <c r="E1022" s="11">
        <f t="shared" si="30"/>
        <v>0.000138471716724477</v>
      </c>
      <c r="F1022" s="11">
        <f>SUM($E$7:E1022)</f>
        <v>0.95943804416393</v>
      </c>
      <c r="G1022" s="12" t="str">
        <f t="shared" si="31"/>
        <v>C</v>
      </c>
      <c r="H1022" s="9" t="s">
        <v>21</v>
      </c>
      <c r="I1022" s="9" t="s">
        <v>2210</v>
      </c>
      <c r="J1022" s="9" t="s">
        <v>1169</v>
      </c>
      <c r="K1022" s="10" t="str">
        <f>IFERROR(VLOOKUP(A1022,'Pedido ESTHER'!$B:$C,2,0),"")</f>
        <v/>
      </c>
      <c r="L1022" s="12" t="str">
        <f>IF(N(K1022)&gt;0,"COMPRA","NÃO COMPRA")</f>
        <v>NÃO COMPRA</v>
      </c>
    </row>
    <row r="1023" spans="1:12">
      <c r="A1023" s="8" t="s">
        <v>2211</v>
      </c>
      <c r="B1023" s="9" t="s">
        <v>1799</v>
      </c>
      <c r="C1023" s="9" t="e">
        <f>VLOOKUP(A1023,[2]Planilha1!$A:$B,2,0)</f>
        <v>#N/A</v>
      </c>
      <c r="D1023" s="10">
        <f>SUMIF([1]Relatório!$A$2:$A$2653,A1023,[1]Relatório!$AK$2:$AK$2653)</f>
        <v>81</v>
      </c>
      <c r="E1023" s="11">
        <f t="shared" si="30"/>
        <v>0.000138471716724477</v>
      </c>
      <c r="F1023" s="11">
        <f>SUM($E$7:E1023)</f>
        <v>0.959576515880654</v>
      </c>
      <c r="G1023" s="12" t="str">
        <f t="shared" si="31"/>
        <v>C</v>
      </c>
      <c r="H1023" s="9" t="s">
        <v>1059</v>
      </c>
      <c r="I1023" s="9" t="s">
        <v>2212</v>
      </c>
      <c r="J1023" s="9" t="s">
        <v>23</v>
      </c>
      <c r="K1023" s="10" t="str">
        <f>IFERROR(VLOOKUP(A1023,'Pedido ESTHER'!$B:$C,2,0),"")</f>
        <v/>
      </c>
      <c r="L1023" s="12" t="str">
        <f>IF(N(K1023)&gt;0,"COMPRA","NÃO COMPRA")</f>
        <v>NÃO COMPRA</v>
      </c>
    </row>
    <row r="1024" spans="1:12">
      <c r="A1024" s="8" t="s">
        <v>2213</v>
      </c>
      <c r="B1024" s="9" t="s">
        <v>1638</v>
      </c>
      <c r="C1024" s="9" t="e">
        <f>VLOOKUP(A1024,[2]Planilha1!$A:$B,2,0)</f>
        <v>#N/A</v>
      </c>
      <c r="D1024" s="10">
        <f>SUMIF([1]Relatório!$A$2:$A$2653,A1024,[1]Relatório!$AK$2:$AK$2653)</f>
        <v>80</v>
      </c>
      <c r="E1024" s="11">
        <f t="shared" si="30"/>
        <v>0.000136762189357508</v>
      </c>
      <c r="F1024" s="11">
        <f>SUM($E$7:E1024)</f>
        <v>0.959713278070012</v>
      </c>
      <c r="G1024" s="12" t="str">
        <f t="shared" si="31"/>
        <v>C</v>
      </c>
      <c r="H1024" s="9" t="s">
        <v>1344</v>
      </c>
      <c r="I1024" s="9" t="s">
        <v>2214</v>
      </c>
      <c r="J1024" s="9" t="s">
        <v>83</v>
      </c>
      <c r="K1024" s="10" t="str">
        <f>IFERROR(VLOOKUP(A1024,'Pedido ESTHER'!$B:$C,2,0),"")</f>
        <v/>
      </c>
      <c r="L1024" s="12" t="str">
        <f>IF(N(K1024)&gt;0,"COMPRA","NÃO COMPRA")</f>
        <v>NÃO COMPRA</v>
      </c>
    </row>
    <row r="1025" spans="1:12">
      <c r="A1025" s="8" t="s">
        <v>2215</v>
      </c>
      <c r="B1025" s="9" t="s">
        <v>335</v>
      </c>
      <c r="C1025" s="9" t="e">
        <f>VLOOKUP(A1025,[2]Planilha1!$A:$B,2,0)</f>
        <v>#N/A</v>
      </c>
      <c r="D1025" s="10">
        <f>SUMIF([1]Relatório!$A$2:$A$2653,A1025,[1]Relatório!$AK$2:$AK$2653)</f>
        <v>80</v>
      </c>
      <c r="E1025" s="11">
        <f t="shared" si="30"/>
        <v>0.000136762189357508</v>
      </c>
      <c r="F1025" s="11">
        <f>SUM($E$7:E1025)</f>
        <v>0.959850040259369</v>
      </c>
      <c r="G1025" s="12" t="str">
        <f t="shared" si="31"/>
        <v>C</v>
      </c>
      <c r="H1025" s="9" t="s">
        <v>183</v>
      </c>
      <c r="I1025" s="9"/>
      <c r="J1025" s="9" t="s">
        <v>44</v>
      </c>
      <c r="K1025" s="10" t="str">
        <f>IFERROR(VLOOKUP(A1025,'Pedido ESTHER'!$B:$C,2,0),"")</f>
        <v/>
      </c>
      <c r="L1025" s="12" t="str">
        <f>IF(N(K1025)&gt;0,"COMPRA","NÃO COMPRA")</f>
        <v>NÃO COMPRA</v>
      </c>
    </row>
    <row r="1026" spans="1:12">
      <c r="A1026" s="8" t="s">
        <v>2216</v>
      </c>
      <c r="B1026" s="9" t="s">
        <v>2085</v>
      </c>
      <c r="C1026" s="9" t="e">
        <f>VLOOKUP(A1026,[2]Planilha1!$A:$B,2,0)</f>
        <v>#N/A</v>
      </c>
      <c r="D1026" s="10">
        <f>SUMIF([1]Relatório!$A$2:$A$2653,A1026,[1]Relatório!$AK$2:$AK$2653)</f>
        <v>80</v>
      </c>
      <c r="E1026" s="11">
        <f t="shared" si="30"/>
        <v>0.000136762189357508</v>
      </c>
      <c r="F1026" s="11">
        <f>SUM($E$7:E1026)</f>
        <v>0.959986802448727</v>
      </c>
      <c r="G1026" s="12" t="str">
        <f t="shared" si="31"/>
        <v>C</v>
      </c>
      <c r="H1026" s="9" t="s">
        <v>1344</v>
      </c>
      <c r="I1026" s="9" t="s">
        <v>2217</v>
      </c>
      <c r="J1026" s="9" t="s">
        <v>44</v>
      </c>
      <c r="K1026" s="10" t="str">
        <f>IFERROR(VLOOKUP(A1026,'Pedido ESTHER'!$B:$C,2,0),"")</f>
        <v/>
      </c>
      <c r="L1026" s="12" t="str">
        <f>IF(N(K1026)&gt;0,"COMPRA","NÃO COMPRA")</f>
        <v>NÃO COMPRA</v>
      </c>
    </row>
    <row r="1027" spans="1:12">
      <c r="A1027" s="8" t="s">
        <v>2218</v>
      </c>
      <c r="B1027" s="9" t="s">
        <v>2219</v>
      </c>
      <c r="C1027" s="9" t="e">
        <f>VLOOKUP(A1027,[2]Planilha1!$A:$B,2,0)</f>
        <v>#N/A</v>
      </c>
      <c r="D1027" s="10">
        <f>SUMIF([1]Relatório!$A$2:$A$2653,A1027,[1]Relatório!$AK$2:$AK$2653)</f>
        <v>80</v>
      </c>
      <c r="E1027" s="11">
        <f t="shared" si="30"/>
        <v>0.000136762189357508</v>
      </c>
      <c r="F1027" s="11">
        <f>SUM($E$7:E1027)</f>
        <v>0.960123564638085</v>
      </c>
      <c r="G1027" s="12" t="str">
        <f t="shared" si="31"/>
        <v>C</v>
      </c>
      <c r="H1027" s="9" t="s">
        <v>1344</v>
      </c>
      <c r="I1027" s="9" t="s">
        <v>2220</v>
      </c>
      <c r="J1027" s="9" t="s">
        <v>36</v>
      </c>
      <c r="K1027" s="10" t="str">
        <f>IFERROR(VLOOKUP(A1027,'Pedido ESTHER'!$B:$C,2,0),"")</f>
        <v/>
      </c>
      <c r="L1027" s="12" t="str">
        <f>IF(N(K1027)&gt;0,"COMPRA","NÃO COMPRA")</f>
        <v>NÃO COMPRA</v>
      </c>
    </row>
    <row r="1028" spans="1:12">
      <c r="A1028" s="8" t="s">
        <v>2221</v>
      </c>
      <c r="B1028" s="9" t="s">
        <v>17</v>
      </c>
      <c r="C1028" s="9" t="e">
        <f>VLOOKUP(A1028,[2]Planilha1!$A:$B,2,0)</f>
        <v>#N/A</v>
      </c>
      <c r="D1028" s="10">
        <f>SUMIF([1]Relatório!$A$2:$A$2653,A1028,[1]Relatório!$AK$2:$AK$2653)</f>
        <v>80</v>
      </c>
      <c r="E1028" s="11">
        <f t="shared" si="30"/>
        <v>0.000136762189357508</v>
      </c>
      <c r="F1028" s="11">
        <f>SUM($E$7:E1028)</f>
        <v>0.960260326827442</v>
      </c>
      <c r="G1028" s="12" t="str">
        <f t="shared" si="31"/>
        <v>C</v>
      </c>
      <c r="H1028" s="9" t="s">
        <v>18</v>
      </c>
      <c r="I1028" s="9"/>
      <c r="J1028" s="9" t="s">
        <v>15</v>
      </c>
      <c r="K1028" s="10" t="str">
        <f>IFERROR(VLOOKUP(A1028,'Pedido ESTHER'!$B:$C,2,0),"")</f>
        <v/>
      </c>
      <c r="L1028" s="12" t="str">
        <f>IF(N(K1028)&gt;0,"COMPRA","NÃO COMPRA")</f>
        <v>NÃO COMPRA</v>
      </c>
    </row>
    <row r="1029" spans="1:12">
      <c r="A1029" s="8" t="s">
        <v>2222</v>
      </c>
      <c r="B1029" s="9" t="s">
        <v>2223</v>
      </c>
      <c r="C1029" s="9" t="e">
        <f>VLOOKUP(A1029,[2]Planilha1!$A:$B,2,0)</f>
        <v>#N/A</v>
      </c>
      <c r="D1029" s="10">
        <f>SUMIF([1]Relatório!$A$2:$A$2653,A1029,[1]Relatório!$AK$2:$AK$2653)</f>
        <v>80</v>
      </c>
      <c r="E1029" s="11">
        <f t="shared" si="30"/>
        <v>0.000136762189357508</v>
      </c>
      <c r="F1029" s="11">
        <f>SUM($E$7:E1029)</f>
        <v>0.9603970890168</v>
      </c>
      <c r="G1029" s="12" t="str">
        <f t="shared" si="31"/>
        <v>C</v>
      </c>
      <c r="H1029" s="9" t="s">
        <v>221</v>
      </c>
      <c r="I1029" s="9" t="s">
        <v>2224</v>
      </c>
      <c r="J1029" s="9" t="s">
        <v>281</v>
      </c>
      <c r="K1029" s="10" t="str">
        <f>IFERROR(VLOOKUP(A1029,'Pedido ESTHER'!$B:$C,2,0),"")</f>
        <v/>
      </c>
      <c r="L1029" s="12" t="str">
        <f>IF(N(K1029)&gt;0,"COMPRA","NÃO COMPRA")</f>
        <v>NÃO COMPRA</v>
      </c>
    </row>
    <row r="1030" spans="1:12">
      <c r="A1030" s="8" t="s">
        <v>2225</v>
      </c>
      <c r="B1030" s="9" t="s">
        <v>1895</v>
      </c>
      <c r="C1030" s="9" t="e">
        <f>VLOOKUP(A1030,[2]Planilha1!$A:$B,2,0)</f>
        <v>#N/A</v>
      </c>
      <c r="D1030" s="10">
        <f>SUMIF([1]Relatório!$A$2:$A$2653,A1030,[1]Relatório!$AK$2:$AK$2653)</f>
        <v>79</v>
      </c>
      <c r="E1030" s="11">
        <f t="shared" si="30"/>
        <v>0.000135052661990539</v>
      </c>
      <c r="F1030" s="11">
        <f>SUM($E$7:E1030)</f>
        <v>0.96053214167879</v>
      </c>
      <c r="G1030" s="12" t="str">
        <f t="shared" si="31"/>
        <v>C</v>
      </c>
      <c r="H1030" s="9" t="s">
        <v>1344</v>
      </c>
      <c r="I1030" s="9" t="s">
        <v>2226</v>
      </c>
      <c r="J1030" s="9" t="s">
        <v>15</v>
      </c>
      <c r="K1030" s="10" t="str">
        <f>IFERROR(VLOOKUP(A1030,'Pedido ESTHER'!$B:$C,2,0),"")</f>
        <v/>
      </c>
      <c r="L1030" s="12" t="str">
        <f>IF(N(K1030)&gt;0,"COMPRA","NÃO COMPRA")</f>
        <v>NÃO COMPRA</v>
      </c>
    </row>
    <row r="1031" spans="1:12">
      <c r="A1031" s="8" t="s">
        <v>2227</v>
      </c>
      <c r="B1031" s="9" t="s">
        <v>815</v>
      </c>
      <c r="C1031" s="9" t="e">
        <f>VLOOKUP(A1031,[2]Planilha1!$A:$B,2,0)</f>
        <v>#N/A</v>
      </c>
      <c r="D1031" s="10">
        <f>SUMIF([1]Relatório!$A$2:$A$2653,A1031,[1]Relatório!$AK$2:$AK$2653)</f>
        <v>79</v>
      </c>
      <c r="E1031" s="11">
        <f t="shared" si="30"/>
        <v>0.000135052661990539</v>
      </c>
      <c r="F1031" s="11">
        <f>SUM($E$7:E1031)</f>
        <v>0.960667194340781</v>
      </c>
      <c r="G1031" s="12" t="str">
        <f t="shared" si="31"/>
        <v>C</v>
      </c>
      <c r="H1031" s="9" t="s">
        <v>14</v>
      </c>
      <c r="I1031" s="9"/>
      <c r="J1031" s="9" t="s">
        <v>241</v>
      </c>
      <c r="K1031" s="10" t="str">
        <f>IFERROR(VLOOKUP(A1031,'Pedido ESTHER'!$B:$C,2,0),"")</f>
        <v/>
      </c>
      <c r="L1031" s="12" t="str">
        <f>IF(N(K1031)&gt;0,"COMPRA","NÃO COMPRA")</f>
        <v>NÃO COMPRA</v>
      </c>
    </row>
    <row r="1032" spans="1:12">
      <c r="A1032" s="8" t="s">
        <v>2228</v>
      </c>
      <c r="B1032" s="9" t="s">
        <v>1550</v>
      </c>
      <c r="C1032" s="9" t="e">
        <f>VLOOKUP(A1032,[2]Planilha1!$A:$B,2,0)</f>
        <v>#N/A</v>
      </c>
      <c r="D1032" s="10">
        <f>SUMIF([1]Relatório!$A$2:$A$2653,A1032,[1]Relatório!$AK$2:$AK$2653)</f>
        <v>79</v>
      </c>
      <c r="E1032" s="11">
        <f t="shared" ref="E1032:E1095" si="32">D1032/SUM($D$7:$D$1708)</f>
        <v>0.000135052661990539</v>
      </c>
      <c r="F1032" s="11">
        <f>SUM($E$7:E1032)</f>
        <v>0.960802247002771</v>
      </c>
      <c r="G1032" s="12" t="str">
        <f t="shared" ref="G1032:G1095" si="33">IF(F1032&lt;=70%,"A",IF(F1032&lt;=90%,"B","C"))</f>
        <v>C</v>
      </c>
      <c r="H1032" s="9" t="s">
        <v>183</v>
      </c>
      <c r="I1032" s="9" t="s">
        <v>2229</v>
      </c>
      <c r="J1032" s="9" t="s">
        <v>2230</v>
      </c>
      <c r="K1032" s="10" t="str">
        <f>IFERROR(VLOOKUP(A1032,'Pedido ESTHER'!$B:$C,2,0),"")</f>
        <v/>
      </c>
      <c r="L1032" s="12" t="str">
        <f>IF(N(K1032)&gt;0,"COMPRA","NÃO COMPRA")</f>
        <v>NÃO COMPRA</v>
      </c>
    </row>
    <row r="1033" spans="1:12">
      <c r="A1033" s="8" t="s">
        <v>2231</v>
      </c>
      <c r="B1033" s="9" t="s">
        <v>749</v>
      </c>
      <c r="C1033" s="9" t="e">
        <f>VLOOKUP(A1033,[2]Planilha1!$A:$B,2,0)</f>
        <v>#N/A</v>
      </c>
      <c r="D1033" s="10">
        <f>SUMIF([1]Relatório!$A$2:$A$2653,A1033,[1]Relatório!$AK$2:$AK$2653)</f>
        <v>79</v>
      </c>
      <c r="E1033" s="11">
        <f t="shared" si="32"/>
        <v>0.000135052661990539</v>
      </c>
      <c r="F1033" s="11">
        <f>SUM($E$7:E1033)</f>
        <v>0.960937299664762</v>
      </c>
      <c r="G1033" s="12" t="str">
        <f t="shared" si="33"/>
        <v>C</v>
      </c>
      <c r="H1033" s="9" t="s">
        <v>183</v>
      </c>
      <c r="I1033" s="9"/>
      <c r="J1033" s="9" t="s">
        <v>359</v>
      </c>
      <c r="K1033" s="10" t="str">
        <f>IFERROR(VLOOKUP(A1033,'Pedido ESTHER'!$B:$C,2,0),"")</f>
        <v/>
      </c>
      <c r="L1033" s="12" t="str">
        <f>IF(N(K1033)&gt;0,"COMPRA","NÃO COMPRA")</f>
        <v>NÃO COMPRA</v>
      </c>
    </row>
    <row r="1034" spans="1:12">
      <c r="A1034" s="8" t="s">
        <v>2232</v>
      </c>
      <c r="B1034" s="9" t="s">
        <v>1271</v>
      </c>
      <c r="C1034" s="9" t="e">
        <f>VLOOKUP(A1034,[2]Planilha1!$A:$B,2,0)</f>
        <v>#N/A</v>
      </c>
      <c r="D1034" s="10">
        <f>SUMIF([1]Relatório!$A$2:$A$2653,A1034,[1]Relatório!$AK$2:$AK$2653)</f>
        <v>79</v>
      </c>
      <c r="E1034" s="11">
        <f t="shared" si="32"/>
        <v>0.000135052661990539</v>
      </c>
      <c r="F1034" s="11">
        <f>SUM($E$7:E1034)</f>
        <v>0.961072352326752</v>
      </c>
      <c r="G1034" s="12" t="str">
        <f t="shared" si="33"/>
        <v>C</v>
      </c>
      <c r="H1034" s="9" t="s">
        <v>117</v>
      </c>
      <c r="I1034" s="9" t="s">
        <v>2233</v>
      </c>
      <c r="J1034" s="9" t="s">
        <v>1169</v>
      </c>
      <c r="K1034" s="10" t="str">
        <f>IFERROR(VLOOKUP(A1034,'Pedido ESTHER'!$B:$C,2,0),"")</f>
        <v/>
      </c>
      <c r="L1034" s="12" t="str">
        <f>IF(N(K1034)&gt;0,"COMPRA","NÃO COMPRA")</f>
        <v>NÃO COMPRA</v>
      </c>
    </row>
    <row r="1035" spans="1:12">
      <c r="A1035" s="8" t="s">
        <v>2234</v>
      </c>
      <c r="B1035" s="9" t="s">
        <v>193</v>
      </c>
      <c r="C1035" s="9" t="e">
        <f>VLOOKUP(A1035,[2]Planilha1!$A:$B,2,0)</f>
        <v>#N/A</v>
      </c>
      <c r="D1035" s="10">
        <f>SUMIF([1]Relatório!$A$2:$A$2653,A1035,[1]Relatório!$AK$2:$AK$2653)</f>
        <v>79</v>
      </c>
      <c r="E1035" s="11">
        <f t="shared" si="32"/>
        <v>0.000135052661990539</v>
      </c>
      <c r="F1035" s="11">
        <f>SUM($E$7:E1035)</f>
        <v>0.961207404988743</v>
      </c>
      <c r="G1035" s="12" t="str">
        <f t="shared" si="33"/>
        <v>C</v>
      </c>
      <c r="H1035" s="9" t="s">
        <v>892</v>
      </c>
      <c r="I1035" s="9" t="s">
        <v>2235</v>
      </c>
      <c r="J1035" s="9" t="s">
        <v>29</v>
      </c>
      <c r="K1035" s="10" t="str">
        <f>IFERROR(VLOOKUP(A1035,'Pedido ESTHER'!$B:$C,2,0),"")</f>
        <v/>
      </c>
      <c r="L1035" s="12" t="str">
        <f>IF(N(K1035)&gt;0,"COMPRA","NÃO COMPRA")</f>
        <v>NÃO COMPRA</v>
      </c>
    </row>
    <row r="1036" spans="1:12">
      <c r="A1036" s="8" t="s">
        <v>2236</v>
      </c>
      <c r="B1036" s="9" t="s">
        <v>1388</v>
      </c>
      <c r="C1036" s="9" t="e">
        <f>VLOOKUP(A1036,[2]Planilha1!$A:$B,2,0)</f>
        <v>#N/A</v>
      </c>
      <c r="D1036" s="10">
        <f>SUMIF([1]Relatório!$A$2:$A$2653,A1036,[1]Relatório!$AK$2:$AK$2653)</f>
        <v>79</v>
      </c>
      <c r="E1036" s="11">
        <f t="shared" si="32"/>
        <v>0.000135052661990539</v>
      </c>
      <c r="F1036" s="11">
        <f>SUM($E$7:E1036)</f>
        <v>0.961342457650733</v>
      </c>
      <c r="G1036" s="12" t="str">
        <f t="shared" si="33"/>
        <v>C</v>
      </c>
      <c r="H1036" s="9" t="s">
        <v>1059</v>
      </c>
      <c r="I1036" s="9" t="s">
        <v>2237</v>
      </c>
      <c r="J1036" s="9" t="s">
        <v>2238</v>
      </c>
      <c r="K1036" s="10" t="str">
        <f>IFERROR(VLOOKUP(A1036,'Pedido ESTHER'!$B:$C,2,0),"")</f>
        <v/>
      </c>
      <c r="L1036" s="12" t="str">
        <f>IF(N(K1036)&gt;0,"COMPRA","NÃO COMPRA")</f>
        <v>NÃO COMPRA</v>
      </c>
    </row>
    <row r="1037" spans="1:12">
      <c r="A1037" s="8" t="s">
        <v>2239</v>
      </c>
      <c r="B1037" s="9" t="s">
        <v>38</v>
      </c>
      <c r="C1037" s="9" t="e">
        <f>VLOOKUP(A1037,[2]Planilha1!$A:$B,2,0)</f>
        <v>#N/A</v>
      </c>
      <c r="D1037" s="10">
        <f>SUMIF([1]Relatório!$A$2:$A$2653,A1037,[1]Relatório!$AK$2:$AK$2653)</f>
        <v>79</v>
      </c>
      <c r="E1037" s="11">
        <f t="shared" si="32"/>
        <v>0.000135052661990539</v>
      </c>
      <c r="F1037" s="11">
        <f>SUM($E$7:E1037)</f>
        <v>0.961477510312724</v>
      </c>
      <c r="G1037" s="12" t="str">
        <f t="shared" si="33"/>
        <v>C</v>
      </c>
      <c r="H1037" s="9" t="s">
        <v>21</v>
      </c>
      <c r="I1037" s="9" t="s">
        <v>2240</v>
      </c>
      <c r="J1037" s="9" t="s">
        <v>40</v>
      </c>
      <c r="K1037" s="10" t="str">
        <f>IFERROR(VLOOKUP(A1037,'Pedido ESTHER'!$B:$C,2,0),"")</f>
        <v/>
      </c>
      <c r="L1037" s="12" t="str">
        <f>IF(N(K1037)&gt;0,"COMPRA","NÃO COMPRA")</f>
        <v>NÃO COMPRA</v>
      </c>
    </row>
    <row r="1038" spans="1:12">
      <c r="A1038" s="8" t="s">
        <v>2241</v>
      </c>
      <c r="B1038" s="9" t="s">
        <v>812</v>
      </c>
      <c r="C1038" s="9" t="e">
        <f>VLOOKUP(A1038,[2]Planilha1!$A:$B,2,0)</f>
        <v>#N/A</v>
      </c>
      <c r="D1038" s="10">
        <f>SUMIF([1]Relatório!$A$2:$A$2653,A1038,[1]Relatório!$AK$2:$AK$2653)</f>
        <v>78</v>
      </c>
      <c r="E1038" s="11">
        <f t="shared" si="32"/>
        <v>0.000133343134623571</v>
      </c>
      <c r="F1038" s="11">
        <f>SUM($E$7:E1038)</f>
        <v>0.961610853447348</v>
      </c>
      <c r="G1038" s="12" t="str">
        <f t="shared" si="33"/>
        <v>C</v>
      </c>
      <c r="H1038" s="9" t="s">
        <v>183</v>
      </c>
      <c r="I1038" s="9"/>
      <c r="J1038" s="9" t="s">
        <v>1143</v>
      </c>
      <c r="K1038" s="10" t="str">
        <f>IFERROR(VLOOKUP(A1038,'Pedido ESTHER'!$B:$C,2,0),"")</f>
        <v/>
      </c>
      <c r="L1038" s="12" t="str">
        <f>IF(N(K1038)&gt;0,"COMPRA","NÃO COMPRA")</f>
        <v>NÃO COMPRA</v>
      </c>
    </row>
    <row r="1039" spans="1:12">
      <c r="A1039" s="8" t="s">
        <v>2242</v>
      </c>
      <c r="B1039" s="9" t="s">
        <v>2002</v>
      </c>
      <c r="C1039" s="9" t="e">
        <f>VLOOKUP(A1039,[2]Planilha1!$A:$B,2,0)</f>
        <v>#N/A</v>
      </c>
      <c r="D1039" s="10">
        <f>SUMIF([1]Relatório!$A$2:$A$2653,A1039,[1]Relatório!$AK$2:$AK$2653)</f>
        <v>78</v>
      </c>
      <c r="E1039" s="11">
        <f t="shared" si="32"/>
        <v>0.000133343134623571</v>
      </c>
      <c r="F1039" s="11">
        <f>SUM($E$7:E1039)</f>
        <v>0.961744196581971</v>
      </c>
      <c r="G1039" s="12" t="str">
        <f t="shared" si="33"/>
        <v>C</v>
      </c>
      <c r="H1039" s="9" t="s">
        <v>1344</v>
      </c>
      <c r="I1039" s="9"/>
      <c r="J1039" s="9" t="s">
        <v>1973</v>
      </c>
      <c r="K1039" s="10" t="str">
        <f>IFERROR(VLOOKUP(A1039,'Pedido ESTHER'!$B:$C,2,0),"")</f>
        <v/>
      </c>
      <c r="L1039" s="12" t="str">
        <f>IF(N(K1039)&gt;0,"COMPRA","NÃO COMPRA")</f>
        <v>NÃO COMPRA</v>
      </c>
    </row>
    <row r="1040" spans="1:12">
      <c r="A1040" s="8" t="s">
        <v>2243</v>
      </c>
      <c r="B1040" s="9" t="s">
        <v>1161</v>
      </c>
      <c r="C1040" s="9" t="e">
        <f>VLOOKUP(A1040,[2]Planilha1!$A:$B,2,0)</f>
        <v>#N/A</v>
      </c>
      <c r="D1040" s="10">
        <f>SUMIF([1]Relatório!$A$2:$A$2653,A1040,[1]Relatório!$AK$2:$AK$2653)</f>
        <v>78</v>
      </c>
      <c r="E1040" s="11">
        <f t="shared" si="32"/>
        <v>0.000133343134623571</v>
      </c>
      <c r="F1040" s="11">
        <f>SUM($E$7:E1040)</f>
        <v>0.961877539716595</v>
      </c>
      <c r="G1040" s="12" t="str">
        <f t="shared" si="33"/>
        <v>C</v>
      </c>
      <c r="H1040" s="9" t="s">
        <v>183</v>
      </c>
      <c r="I1040" s="9" t="s">
        <v>2244</v>
      </c>
      <c r="J1040" s="9" t="s">
        <v>1017</v>
      </c>
      <c r="K1040" s="10" t="str">
        <f>IFERROR(VLOOKUP(A1040,'Pedido ESTHER'!$B:$C,2,0),"")</f>
        <v/>
      </c>
      <c r="L1040" s="12" t="str">
        <f>IF(N(K1040)&gt;0,"COMPRA","NÃO COMPRA")</f>
        <v>NÃO COMPRA</v>
      </c>
    </row>
    <row r="1041" spans="1:12">
      <c r="A1041" s="8" t="s">
        <v>2245</v>
      </c>
      <c r="B1041" s="9" t="s">
        <v>335</v>
      </c>
      <c r="C1041" s="9" t="e">
        <f>VLOOKUP(A1041,[2]Planilha1!$A:$B,2,0)</f>
        <v>#N/A</v>
      </c>
      <c r="D1041" s="10">
        <f>SUMIF([1]Relatório!$A$2:$A$2653,A1041,[1]Relatório!$AK$2:$AK$2653)</f>
        <v>78</v>
      </c>
      <c r="E1041" s="11">
        <f t="shared" si="32"/>
        <v>0.000133343134623571</v>
      </c>
      <c r="F1041" s="11">
        <f>SUM($E$7:E1041)</f>
        <v>0.962010882851218</v>
      </c>
      <c r="G1041" s="12" t="str">
        <f t="shared" si="33"/>
        <v>C</v>
      </c>
      <c r="H1041" s="9" t="s">
        <v>183</v>
      </c>
      <c r="I1041" s="9"/>
      <c r="J1041" s="9" t="s">
        <v>44</v>
      </c>
      <c r="K1041" s="10" t="str">
        <f>IFERROR(VLOOKUP(A1041,'Pedido ESTHER'!$B:$C,2,0),"")</f>
        <v/>
      </c>
      <c r="L1041" s="12" t="str">
        <f>IF(N(K1041)&gt;0,"COMPRA","NÃO COMPRA")</f>
        <v>NÃO COMPRA</v>
      </c>
    </row>
    <row r="1042" spans="1:12">
      <c r="A1042" s="8" t="s">
        <v>2246</v>
      </c>
      <c r="B1042" s="9" t="s">
        <v>1312</v>
      </c>
      <c r="C1042" s="9" t="e">
        <f>VLOOKUP(A1042,[2]Planilha1!$A:$B,2,0)</f>
        <v>#N/A</v>
      </c>
      <c r="D1042" s="10">
        <f>SUMIF([1]Relatório!$A$2:$A$2653,A1042,[1]Relatório!$AK$2:$AK$2653)</f>
        <v>78</v>
      </c>
      <c r="E1042" s="11">
        <f t="shared" si="32"/>
        <v>0.000133343134623571</v>
      </c>
      <c r="F1042" s="11">
        <f>SUM($E$7:E1042)</f>
        <v>0.962144225985842</v>
      </c>
      <c r="G1042" s="12" t="str">
        <f t="shared" si="33"/>
        <v>C</v>
      </c>
      <c r="H1042" s="9" t="s">
        <v>183</v>
      </c>
      <c r="I1042" s="9" t="s">
        <v>2247</v>
      </c>
      <c r="J1042" s="9" t="s">
        <v>164</v>
      </c>
      <c r="K1042" s="10" t="str">
        <f>IFERROR(VLOOKUP(A1042,'Pedido ESTHER'!$B:$C,2,0),"")</f>
        <v/>
      </c>
      <c r="L1042" s="12" t="str">
        <f>IF(N(K1042)&gt;0,"COMPRA","NÃO COMPRA")</f>
        <v>NÃO COMPRA</v>
      </c>
    </row>
    <row r="1043" spans="1:12">
      <c r="A1043" s="8" t="s">
        <v>2248</v>
      </c>
      <c r="B1043" s="9" t="s">
        <v>342</v>
      </c>
      <c r="C1043" s="9" t="e">
        <f>VLOOKUP(A1043,[2]Planilha1!$A:$B,2,0)</f>
        <v>#N/A</v>
      </c>
      <c r="D1043" s="10">
        <f>SUMIF([1]Relatório!$A$2:$A$2653,A1043,[1]Relatório!$AK$2:$AK$2653)</f>
        <v>78</v>
      </c>
      <c r="E1043" s="11">
        <f t="shared" si="32"/>
        <v>0.000133343134623571</v>
      </c>
      <c r="F1043" s="11">
        <f>SUM($E$7:E1043)</f>
        <v>0.962277569120465</v>
      </c>
      <c r="G1043" s="12" t="str">
        <f t="shared" si="33"/>
        <v>C</v>
      </c>
      <c r="H1043" s="9" t="s">
        <v>831</v>
      </c>
      <c r="I1043" s="9" t="s">
        <v>2249</v>
      </c>
      <c r="J1043" s="9" t="s">
        <v>158</v>
      </c>
      <c r="K1043" s="10" t="str">
        <f>IFERROR(VLOOKUP(A1043,'Pedido ESTHER'!$B:$C,2,0),"")</f>
        <v/>
      </c>
      <c r="L1043" s="12" t="str">
        <f>IF(N(K1043)&gt;0,"COMPRA","NÃO COMPRA")</f>
        <v>NÃO COMPRA</v>
      </c>
    </row>
    <row r="1044" spans="1:12">
      <c r="A1044" s="8" t="s">
        <v>2250</v>
      </c>
      <c r="B1044" s="9" t="s">
        <v>2251</v>
      </c>
      <c r="C1044" s="9" t="e">
        <f>VLOOKUP(A1044,[2]Planilha1!$A:$B,2,0)</f>
        <v>#N/A</v>
      </c>
      <c r="D1044" s="10">
        <f>SUMIF([1]Relatório!$A$2:$A$2653,A1044,[1]Relatório!$AK$2:$AK$2653)</f>
        <v>78</v>
      </c>
      <c r="E1044" s="11">
        <f t="shared" si="32"/>
        <v>0.000133343134623571</v>
      </c>
      <c r="F1044" s="11">
        <f>SUM($E$7:E1044)</f>
        <v>0.962410912255089</v>
      </c>
      <c r="G1044" s="12" t="str">
        <f t="shared" si="33"/>
        <v>C</v>
      </c>
      <c r="H1044" s="9" t="s">
        <v>74</v>
      </c>
      <c r="I1044" s="9" t="s">
        <v>2252</v>
      </c>
      <c r="J1044" s="9" t="s">
        <v>1169</v>
      </c>
      <c r="K1044" s="10" t="str">
        <f>IFERROR(VLOOKUP(A1044,'Pedido ESTHER'!$B:$C,2,0),"")</f>
        <v/>
      </c>
      <c r="L1044" s="12" t="str">
        <f>IF(N(K1044)&gt;0,"COMPRA","NÃO COMPRA")</f>
        <v>NÃO COMPRA</v>
      </c>
    </row>
    <row r="1045" spans="1:12">
      <c r="A1045" s="8" t="s">
        <v>2253</v>
      </c>
      <c r="B1045" s="9" t="s">
        <v>200</v>
      </c>
      <c r="C1045" s="9" t="e">
        <f>VLOOKUP(A1045,[2]Planilha1!$A:$B,2,0)</f>
        <v>#N/A</v>
      </c>
      <c r="D1045" s="10">
        <f>SUMIF([1]Relatório!$A$2:$A$2653,A1045,[1]Relatório!$AK$2:$AK$2653)</f>
        <v>78</v>
      </c>
      <c r="E1045" s="11">
        <f t="shared" si="32"/>
        <v>0.000133343134623571</v>
      </c>
      <c r="F1045" s="11">
        <f>SUM($E$7:E1045)</f>
        <v>0.962544255389712</v>
      </c>
      <c r="G1045" s="12" t="str">
        <f t="shared" si="33"/>
        <v>C</v>
      </c>
      <c r="H1045" s="9" t="s">
        <v>21</v>
      </c>
      <c r="I1045" s="9" t="s">
        <v>2254</v>
      </c>
      <c r="J1045" s="9" t="s">
        <v>201</v>
      </c>
      <c r="K1045" s="10" t="str">
        <f>IFERROR(VLOOKUP(A1045,'Pedido ESTHER'!$B:$C,2,0),"")</f>
        <v/>
      </c>
      <c r="L1045" s="12" t="str">
        <f>IF(N(K1045)&gt;0,"COMPRA","NÃO COMPRA")</f>
        <v>NÃO COMPRA</v>
      </c>
    </row>
    <row r="1046" spans="1:12">
      <c r="A1046" s="8" t="s">
        <v>2255</v>
      </c>
      <c r="B1046" s="9" t="s">
        <v>1895</v>
      </c>
      <c r="C1046" s="9" t="e">
        <f>VLOOKUP(A1046,[2]Planilha1!$A:$B,2,0)</f>
        <v>#N/A</v>
      </c>
      <c r="D1046" s="10">
        <f>SUMIF([1]Relatório!$A$2:$A$2653,A1046,[1]Relatório!$AK$2:$AK$2653)</f>
        <v>77</v>
      </c>
      <c r="E1046" s="11">
        <f t="shared" si="32"/>
        <v>0.000131633607256602</v>
      </c>
      <c r="F1046" s="11">
        <f>SUM($E$7:E1046)</f>
        <v>0.962675888996969</v>
      </c>
      <c r="G1046" s="12" t="str">
        <f t="shared" si="33"/>
        <v>C</v>
      </c>
      <c r="H1046" s="9" t="s">
        <v>1344</v>
      </c>
      <c r="I1046" s="9" t="s">
        <v>2256</v>
      </c>
      <c r="J1046" s="9" t="s">
        <v>15</v>
      </c>
      <c r="K1046" s="10" t="str">
        <f>IFERROR(VLOOKUP(A1046,'Pedido ESTHER'!$B:$C,2,0),"")</f>
        <v/>
      </c>
      <c r="L1046" s="12" t="str">
        <f>IF(N(K1046)&gt;0,"COMPRA","NÃO COMPRA")</f>
        <v>NÃO COMPRA</v>
      </c>
    </row>
    <row r="1047" spans="1:12">
      <c r="A1047" s="8" t="s">
        <v>2257</v>
      </c>
      <c r="B1047" s="9" t="s">
        <v>1312</v>
      </c>
      <c r="C1047" s="9" t="e">
        <f>VLOOKUP(A1047,[2]Planilha1!$A:$B,2,0)</f>
        <v>#N/A</v>
      </c>
      <c r="D1047" s="10">
        <f>SUMIF([1]Relatório!$A$2:$A$2653,A1047,[1]Relatório!$AK$2:$AK$2653)</f>
        <v>77</v>
      </c>
      <c r="E1047" s="11">
        <f t="shared" si="32"/>
        <v>0.000131633607256602</v>
      </c>
      <c r="F1047" s="11">
        <f>SUM($E$7:E1047)</f>
        <v>0.962807522604226</v>
      </c>
      <c r="G1047" s="12" t="str">
        <f t="shared" si="33"/>
        <v>C</v>
      </c>
      <c r="H1047" s="9" t="s">
        <v>183</v>
      </c>
      <c r="I1047" s="9" t="s">
        <v>2258</v>
      </c>
      <c r="J1047" s="9" t="s">
        <v>164</v>
      </c>
      <c r="K1047" s="10" t="str">
        <f>IFERROR(VLOOKUP(A1047,'Pedido ESTHER'!$B:$C,2,0),"")</f>
        <v/>
      </c>
      <c r="L1047" s="12" t="str">
        <f>IF(N(K1047)&gt;0,"COMPRA","NÃO COMPRA")</f>
        <v>NÃO COMPRA</v>
      </c>
    </row>
    <row r="1048" spans="1:12">
      <c r="A1048" s="8" t="s">
        <v>2259</v>
      </c>
      <c r="B1048" s="9" t="s">
        <v>681</v>
      </c>
      <c r="C1048" s="9" t="e">
        <f>VLOOKUP(A1048,[2]Planilha1!$A:$B,2,0)</f>
        <v>#N/A</v>
      </c>
      <c r="D1048" s="10">
        <f>SUMIF([1]Relatório!$A$2:$A$2653,A1048,[1]Relatório!$AK$2:$AK$2653)</f>
        <v>77</v>
      </c>
      <c r="E1048" s="11">
        <f t="shared" si="32"/>
        <v>0.000131633607256602</v>
      </c>
      <c r="F1048" s="11">
        <f>SUM($E$7:E1048)</f>
        <v>0.962939156211482</v>
      </c>
      <c r="G1048" s="12" t="str">
        <f t="shared" si="33"/>
        <v>C</v>
      </c>
      <c r="H1048" s="9" t="s">
        <v>892</v>
      </c>
      <c r="I1048" s="9" t="s">
        <v>2260</v>
      </c>
      <c r="J1048" s="9" t="s">
        <v>281</v>
      </c>
      <c r="K1048" s="10" t="str">
        <f>IFERROR(VLOOKUP(A1048,'Pedido ESTHER'!$B:$C,2,0),"")</f>
        <v/>
      </c>
      <c r="L1048" s="12" t="str">
        <f>IF(N(K1048)&gt;0,"COMPRA","NÃO COMPRA")</f>
        <v>NÃO COMPRA</v>
      </c>
    </row>
    <row r="1049" spans="1:12">
      <c r="A1049" s="8" t="s">
        <v>2261</v>
      </c>
      <c r="B1049" s="9" t="s">
        <v>2223</v>
      </c>
      <c r="C1049" s="9" t="e">
        <f>VLOOKUP(A1049,[2]Planilha1!$A:$B,2,0)</f>
        <v>#N/A</v>
      </c>
      <c r="D1049" s="10">
        <f>SUMIF([1]Relatório!$A$2:$A$2653,A1049,[1]Relatório!$AK$2:$AK$2653)</f>
        <v>77</v>
      </c>
      <c r="E1049" s="11">
        <f t="shared" si="32"/>
        <v>0.000131633607256602</v>
      </c>
      <c r="F1049" s="11">
        <f>SUM($E$7:E1049)</f>
        <v>0.963070789818739</v>
      </c>
      <c r="G1049" s="12" t="str">
        <f t="shared" si="33"/>
        <v>C</v>
      </c>
      <c r="H1049" s="9" t="s">
        <v>221</v>
      </c>
      <c r="I1049" s="9" t="s">
        <v>2262</v>
      </c>
      <c r="J1049" s="9" t="s">
        <v>281</v>
      </c>
      <c r="K1049" s="10" t="str">
        <f>IFERROR(VLOOKUP(A1049,'Pedido ESTHER'!$B:$C,2,0),"")</f>
        <v/>
      </c>
      <c r="L1049" s="12" t="str">
        <f>IF(N(K1049)&gt;0,"COMPRA","NÃO COMPRA")</f>
        <v>NÃO COMPRA</v>
      </c>
    </row>
    <row r="1050" spans="1:12">
      <c r="A1050" s="8" t="s">
        <v>2263</v>
      </c>
      <c r="B1050" s="9" t="s">
        <v>2264</v>
      </c>
      <c r="C1050" s="9" t="e">
        <f>VLOOKUP(A1050,[2]Planilha1!$A:$B,2,0)</f>
        <v>#N/A</v>
      </c>
      <c r="D1050" s="10">
        <f>SUMIF([1]Relatório!$A$2:$A$2653,A1050,[1]Relatório!$AK$2:$AK$2653)</f>
        <v>77</v>
      </c>
      <c r="E1050" s="11">
        <f t="shared" si="32"/>
        <v>0.000131633607256602</v>
      </c>
      <c r="F1050" s="11">
        <f>SUM($E$7:E1050)</f>
        <v>0.963202423425996</v>
      </c>
      <c r="G1050" s="12" t="str">
        <f t="shared" si="33"/>
        <v>C</v>
      </c>
      <c r="H1050" s="9" t="s">
        <v>74</v>
      </c>
      <c r="I1050" s="9" t="s">
        <v>2265</v>
      </c>
      <c r="J1050" s="9" t="s">
        <v>101</v>
      </c>
      <c r="K1050" s="10" t="str">
        <f>IFERROR(VLOOKUP(A1050,'Pedido ESTHER'!$B:$C,2,0),"")</f>
        <v/>
      </c>
      <c r="L1050" s="12" t="str">
        <f>IF(N(K1050)&gt;0,"COMPRA","NÃO COMPRA")</f>
        <v>NÃO COMPRA</v>
      </c>
    </row>
    <row r="1051" spans="1:12">
      <c r="A1051" s="8" t="s">
        <v>2266</v>
      </c>
      <c r="B1051" s="9" t="s">
        <v>2267</v>
      </c>
      <c r="C1051" s="9" t="e">
        <f>VLOOKUP(A1051,[2]Planilha1!$A:$B,2,0)</f>
        <v>#N/A</v>
      </c>
      <c r="D1051" s="10">
        <f>SUMIF([1]Relatório!$A$2:$A$2653,A1051,[1]Relatório!$AK$2:$AK$2653)</f>
        <v>76</v>
      </c>
      <c r="E1051" s="11">
        <f t="shared" si="32"/>
        <v>0.000129924079889633</v>
      </c>
      <c r="F1051" s="11">
        <f>SUM($E$7:E1051)</f>
        <v>0.963332347505885</v>
      </c>
      <c r="G1051" s="12" t="str">
        <f t="shared" si="33"/>
        <v>C</v>
      </c>
      <c r="H1051" s="9" t="s">
        <v>1344</v>
      </c>
      <c r="I1051" s="9" t="s">
        <v>2268</v>
      </c>
      <c r="J1051" s="9" t="s">
        <v>241</v>
      </c>
      <c r="K1051" s="10" t="str">
        <f>IFERROR(VLOOKUP(A1051,'Pedido ESTHER'!$B:$C,2,0),"")</f>
        <v/>
      </c>
      <c r="L1051" s="12" t="str">
        <f>IF(N(K1051)&gt;0,"COMPRA","NÃO COMPRA")</f>
        <v>NÃO COMPRA</v>
      </c>
    </row>
    <row r="1052" spans="1:12">
      <c r="A1052" s="8" t="s">
        <v>2269</v>
      </c>
      <c r="B1052" s="9" t="s">
        <v>2270</v>
      </c>
      <c r="C1052" s="9" t="e">
        <f>VLOOKUP(A1052,[2]Planilha1!$A:$B,2,0)</f>
        <v>#N/A</v>
      </c>
      <c r="D1052" s="10">
        <f>SUMIF([1]Relatório!$A$2:$A$2653,A1052,[1]Relatório!$AK$2:$AK$2653)</f>
        <v>76</v>
      </c>
      <c r="E1052" s="11">
        <f t="shared" si="32"/>
        <v>0.000129924079889633</v>
      </c>
      <c r="F1052" s="11">
        <f>SUM($E$7:E1052)</f>
        <v>0.963462271585775</v>
      </c>
      <c r="G1052" s="12" t="str">
        <f t="shared" si="33"/>
        <v>C</v>
      </c>
      <c r="H1052" s="9" t="s">
        <v>1344</v>
      </c>
      <c r="I1052" s="9" t="s">
        <v>2271</v>
      </c>
      <c r="J1052" s="9" t="s">
        <v>241</v>
      </c>
      <c r="K1052" s="10" t="str">
        <f>IFERROR(VLOOKUP(A1052,'Pedido ESTHER'!$B:$C,2,0),"")</f>
        <v/>
      </c>
      <c r="L1052" s="12" t="str">
        <f>IF(N(K1052)&gt;0,"COMPRA","NÃO COMPRA")</f>
        <v>NÃO COMPRA</v>
      </c>
    </row>
    <row r="1053" spans="1:12">
      <c r="A1053" s="8" t="s">
        <v>2272</v>
      </c>
      <c r="B1053" s="9" t="s">
        <v>2012</v>
      </c>
      <c r="C1053" s="9" t="e">
        <f>VLOOKUP(A1053,[2]Planilha1!$A:$B,2,0)</f>
        <v>#N/A</v>
      </c>
      <c r="D1053" s="10">
        <f>SUMIF([1]Relatório!$A$2:$A$2653,A1053,[1]Relatório!$AK$2:$AK$2653)</f>
        <v>76</v>
      </c>
      <c r="E1053" s="11">
        <f t="shared" si="32"/>
        <v>0.000129924079889633</v>
      </c>
      <c r="F1053" s="11">
        <f>SUM($E$7:E1053)</f>
        <v>0.963592195665665</v>
      </c>
      <c r="G1053" s="12" t="str">
        <f t="shared" si="33"/>
        <v>C</v>
      </c>
      <c r="H1053" s="9" t="s">
        <v>1059</v>
      </c>
      <c r="I1053" s="9" t="s">
        <v>2273</v>
      </c>
      <c r="J1053" s="9" t="s">
        <v>497</v>
      </c>
      <c r="K1053" s="10" t="str">
        <f>IFERROR(VLOOKUP(A1053,'Pedido ESTHER'!$B:$C,2,0),"")</f>
        <v/>
      </c>
      <c r="L1053" s="12" t="str">
        <f>IF(N(K1053)&gt;0,"COMPRA","NÃO COMPRA")</f>
        <v>NÃO COMPRA</v>
      </c>
    </row>
    <row r="1054" spans="1:12">
      <c r="A1054" s="8" t="s">
        <v>2274</v>
      </c>
      <c r="B1054" s="9" t="s">
        <v>240</v>
      </c>
      <c r="C1054" s="9" t="e">
        <f>VLOOKUP(A1054,[2]Planilha1!$A:$B,2,0)</f>
        <v>#N/A</v>
      </c>
      <c r="D1054" s="10">
        <f>SUMIF([1]Relatório!$A$2:$A$2653,A1054,[1]Relatório!$AK$2:$AK$2653)</f>
        <v>76</v>
      </c>
      <c r="E1054" s="11">
        <f t="shared" si="32"/>
        <v>0.000129924079889633</v>
      </c>
      <c r="F1054" s="11">
        <f>SUM($E$7:E1054)</f>
        <v>0.963722119745554</v>
      </c>
      <c r="G1054" s="12" t="str">
        <f t="shared" si="33"/>
        <v>C</v>
      </c>
      <c r="H1054" s="9" t="s">
        <v>21</v>
      </c>
      <c r="I1054" s="9" t="s">
        <v>2275</v>
      </c>
      <c r="J1054" s="9" t="s">
        <v>241</v>
      </c>
      <c r="K1054" s="10" t="str">
        <f>IFERROR(VLOOKUP(A1054,'Pedido ESTHER'!$B:$C,2,0),"")</f>
        <v/>
      </c>
      <c r="L1054" s="12" t="str">
        <f>IF(N(K1054)&gt;0,"COMPRA","NÃO COMPRA")</f>
        <v>NÃO COMPRA</v>
      </c>
    </row>
    <row r="1055" spans="1:12">
      <c r="A1055" s="8" t="s">
        <v>2276</v>
      </c>
      <c r="B1055" s="9" t="s">
        <v>827</v>
      </c>
      <c r="C1055" s="9" t="e">
        <f>VLOOKUP(A1055,[2]Planilha1!$A:$B,2,0)</f>
        <v>#N/A</v>
      </c>
      <c r="D1055" s="10">
        <f>SUMIF([1]Relatório!$A$2:$A$2653,A1055,[1]Relatório!$AK$2:$AK$2653)</f>
        <v>75</v>
      </c>
      <c r="E1055" s="11">
        <f t="shared" si="32"/>
        <v>0.000128214552522664</v>
      </c>
      <c r="F1055" s="11">
        <f>SUM($E$7:E1055)</f>
        <v>0.963850334298077</v>
      </c>
      <c r="G1055" s="12" t="str">
        <f t="shared" si="33"/>
        <v>C</v>
      </c>
      <c r="H1055" s="9" t="s">
        <v>183</v>
      </c>
      <c r="I1055" s="9"/>
      <c r="J1055" s="9" t="s">
        <v>36</v>
      </c>
      <c r="K1055" s="10" t="str">
        <f>IFERROR(VLOOKUP(A1055,'Pedido ESTHER'!$B:$C,2,0),"")</f>
        <v/>
      </c>
      <c r="L1055" s="12" t="str">
        <f>IF(N(K1055)&gt;0,"COMPRA","NÃO COMPRA")</f>
        <v>NÃO COMPRA</v>
      </c>
    </row>
    <row r="1056" spans="1:12">
      <c r="A1056" s="8" t="s">
        <v>2277</v>
      </c>
      <c r="B1056" s="9" t="s">
        <v>2278</v>
      </c>
      <c r="C1056" s="9" t="e">
        <f>VLOOKUP(A1056,[2]Planilha1!$A:$B,2,0)</f>
        <v>#N/A</v>
      </c>
      <c r="D1056" s="10">
        <f>SUMIF([1]Relatório!$A$2:$A$2653,A1056,[1]Relatório!$AK$2:$AK$2653)</f>
        <v>75</v>
      </c>
      <c r="E1056" s="11">
        <f t="shared" si="32"/>
        <v>0.000128214552522664</v>
      </c>
      <c r="F1056" s="11">
        <f>SUM($E$7:E1056)</f>
        <v>0.9639785488506</v>
      </c>
      <c r="G1056" s="12" t="str">
        <f t="shared" si="33"/>
        <v>C</v>
      </c>
      <c r="H1056" s="9" t="s">
        <v>1700</v>
      </c>
      <c r="I1056" s="9" t="s">
        <v>2279</v>
      </c>
      <c r="J1056" s="9" t="s">
        <v>273</v>
      </c>
      <c r="K1056" s="10" t="str">
        <f>IFERROR(VLOOKUP(A1056,'Pedido ESTHER'!$B:$C,2,0),"")</f>
        <v/>
      </c>
      <c r="L1056" s="12" t="str">
        <f>IF(N(K1056)&gt;0,"COMPRA","NÃO COMPRA")</f>
        <v>NÃO COMPRA</v>
      </c>
    </row>
    <row r="1057" spans="1:12">
      <c r="A1057" s="8" t="s">
        <v>2280</v>
      </c>
      <c r="B1057" s="9" t="s">
        <v>263</v>
      </c>
      <c r="C1057" s="9" t="e">
        <f>VLOOKUP(A1057,[2]Planilha1!$A:$B,2,0)</f>
        <v>#N/A</v>
      </c>
      <c r="D1057" s="10">
        <f>SUMIF([1]Relatório!$A$2:$A$2653,A1057,[1]Relatório!$AK$2:$AK$2653)</f>
        <v>75</v>
      </c>
      <c r="E1057" s="11">
        <f t="shared" si="32"/>
        <v>0.000128214552522664</v>
      </c>
      <c r="F1057" s="11">
        <f>SUM($E$7:E1057)</f>
        <v>0.964106763403122</v>
      </c>
      <c r="G1057" s="12" t="str">
        <f t="shared" si="33"/>
        <v>C</v>
      </c>
      <c r="H1057" s="9" t="s">
        <v>117</v>
      </c>
      <c r="I1057" s="9" t="s">
        <v>2281</v>
      </c>
      <c r="J1057" s="9" t="s">
        <v>40</v>
      </c>
      <c r="K1057" s="10" t="str">
        <f>IFERROR(VLOOKUP(A1057,'Pedido ESTHER'!$B:$C,2,0),"")</f>
        <v/>
      </c>
      <c r="L1057" s="12" t="str">
        <f>IF(N(K1057)&gt;0,"COMPRA","NÃO COMPRA")</f>
        <v>NÃO COMPRA</v>
      </c>
    </row>
    <row r="1058" spans="1:12">
      <c r="A1058" s="8" t="s">
        <v>2282</v>
      </c>
      <c r="B1058" s="9" t="s">
        <v>1161</v>
      </c>
      <c r="C1058" s="9" t="e">
        <f>VLOOKUP(A1058,[2]Planilha1!$A:$B,2,0)</f>
        <v>#N/A</v>
      </c>
      <c r="D1058" s="10">
        <f>SUMIF([1]Relatório!$A$2:$A$2653,A1058,[1]Relatório!$AK$2:$AK$2653)</f>
        <v>75</v>
      </c>
      <c r="E1058" s="11">
        <f t="shared" si="32"/>
        <v>0.000128214552522664</v>
      </c>
      <c r="F1058" s="11">
        <f>SUM($E$7:E1058)</f>
        <v>0.964234977955645</v>
      </c>
      <c r="G1058" s="12" t="str">
        <f t="shared" si="33"/>
        <v>C</v>
      </c>
      <c r="H1058" s="9" t="s">
        <v>183</v>
      </c>
      <c r="I1058" s="9"/>
      <c r="J1058" s="9" t="s">
        <v>1301</v>
      </c>
      <c r="K1058" s="10" t="str">
        <f>IFERROR(VLOOKUP(A1058,'Pedido ESTHER'!$B:$C,2,0),"")</f>
        <v/>
      </c>
      <c r="L1058" s="12" t="str">
        <f>IF(N(K1058)&gt;0,"COMPRA","NÃO COMPRA")</f>
        <v>NÃO COMPRA</v>
      </c>
    </row>
    <row r="1059" spans="1:12">
      <c r="A1059" s="8" t="s">
        <v>2283</v>
      </c>
      <c r="B1059" s="9" t="s">
        <v>1067</v>
      </c>
      <c r="C1059" s="9" t="e">
        <f>VLOOKUP(A1059,[2]Planilha1!$A:$B,2,0)</f>
        <v>#N/A</v>
      </c>
      <c r="D1059" s="10">
        <f>SUMIF([1]Relatório!$A$2:$A$2653,A1059,[1]Relatório!$AK$2:$AK$2653)</f>
        <v>75</v>
      </c>
      <c r="E1059" s="11">
        <f t="shared" si="32"/>
        <v>0.000128214552522664</v>
      </c>
      <c r="F1059" s="11">
        <f>SUM($E$7:E1059)</f>
        <v>0.964363192508167</v>
      </c>
      <c r="G1059" s="12" t="str">
        <f t="shared" si="33"/>
        <v>C</v>
      </c>
      <c r="H1059" s="9" t="s">
        <v>221</v>
      </c>
      <c r="I1059" s="9" t="s">
        <v>2284</v>
      </c>
      <c r="J1059" s="9" t="s">
        <v>359</v>
      </c>
      <c r="K1059" s="10" t="str">
        <f>IFERROR(VLOOKUP(A1059,'Pedido ESTHER'!$B:$C,2,0),"")</f>
        <v/>
      </c>
      <c r="L1059" s="12" t="str">
        <f>IF(N(K1059)&gt;0,"COMPRA","NÃO COMPRA")</f>
        <v>NÃO COMPRA</v>
      </c>
    </row>
    <row r="1060" spans="1:12">
      <c r="A1060" s="8" t="s">
        <v>2285</v>
      </c>
      <c r="B1060" s="9" t="s">
        <v>543</v>
      </c>
      <c r="C1060" s="9" t="e">
        <f>VLOOKUP(A1060,[2]Planilha1!$A:$B,2,0)</f>
        <v>#N/A</v>
      </c>
      <c r="D1060" s="10">
        <f>SUMIF([1]Relatório!$A$2:$A$2653,A1060,[1]Relatório!$AK$2:$AK$2653)</f>
        <v>75</v>
      </c>
      <c r="E1060" s="11">
        <f t="shared" si="32"/>
        <v>0.000128214552522664</v>
      </c>
      <c r="F1060" s="11">
        <f>SUM($E$7:E1060)</f>
        <v>0.96449140706069</v>
      </c>
      <c r="G1060" s="12" t="str">
        <f t="shared" si="33"/>
        <v>C</v>
      </c>
      <c r="H1060" s="9" t="s">
        <v>74</v>
      </c>
      <c r="I1060" s="9" t="s">
        <v>2286</v>
      </c>
      <c r="J1060" s="9" t="s">
        <v>36</v>
      </c>
      <c r="K1060" s="10" t="str">
        <f>IFERROR(VLOOKUP(A1060,'Pedido ESTHER'!$B:$C,2,0),"")</f>
        <v/>
      </c>
      <c r="L1060" s="12" t="str">
        <f>IF(N(K1060)&gt;0,"COMPRA","NÃO COMPRA")</f>
        <v>NÃO COMPRA</v>
      </c>
    </row>
    <row r="1061" spans="1:12">
      <c r="A1061" s="8" t="s">
        <v>2287</v>
      </c>
      <c r="B1061" s="9" t="s">
        <v>534</v>
      </c>
      <c r="C1061" s="9" t="e">
        <f>VLOOKUP(A1061,[2]Planilha1!$A:$B,2,0)</f>
        <v>#N/A</v>
      </c>
      <c r="D1061" s="10">
        <f>SUMIF([1]Relatório!$A$2:$A$2653,A1061,[1]Relatório!$AK$2:$AK$2653)</f>
        <v>74</v>
      </c>
      <c r="E1061" s="11">
        <f t="shared" si="32"/>
        <v>0.000126505025155695</v>
      </c>
      <c r="F1061" s="11">
        <f>SUM($E$7:E1061)</f>
        <v>0.964617912085846</v>
      </c>
      <c r="G1061" s="12" t="str">
        <f t="shared" si="33"/>
        <v>C</v>
      </c>
      <c r="H1061" s="9" t="s">
        <v>143</v>
      </c>
      <c r="I1061" s="9" t="s">
        <v>2288</v>
      </c>
      <c r="J1061" s="9" t="s">
        <v>40</v>
      </c>
      <c r="K1061" s="10" t="str">
        <f>IFERROR(VLOOKUP(A1061,'Pedido ESTHER'!$B:$C,2,0),"")</f>
        <v/>
      </c>
      <c r="L1061" s="12" t="str">
        <f>IF(N(K1061)&gt;0,"COMPRA","NÃO COMPRA")</f>
        <v>NÃO COMPRA</v>
      </c>
    </row>
    <row r="1062" spans="1:12">
      <c r="A1062" s="8" t="s">
        <v>2289</v>
      </c>
      <c r="B1062" s="9" t="s">
        <v>2052</v>
      </c>
      <c r="C1062" s="9" t="e">
        <f>VLOOKUP(A1062,[2]Planilha1!$A:$B,2,0)</f>
        <v>#N/A</v>
      </c>
      <c r="D1062" s="10">
        <f>SUMIF([1]Relatório!$A$2:$A$2653,A1062,[1]Relatório!$AK$2:$AK$2653)</f>
        <v>74</v>
      </c>
      <c r="E1062" s="11">
        <f t="shared" si="32"/>
        <v>0.000126505025155695</v>
      </c>
      <c r="F1062" s="11">
        <f>SUM($E$7:E1062)</f>
        <v>0.964744417111001</v>
      </c>
      <c r="G1062" s="12" t="str">
        <f t="shared" si="33"/>
        <v>C</v>
      </c>
      <c r="H1062" s="9" t="s">
        <v>183</v>
      </c>
      <c r="I1062" s="9" t="s">
        <v>2290</v>
      </c>
      <c r="J1062" s="9" t="s">
        <v>2291</v>
      </c>
      <c r="K1062" s="10" t="str">
        <f>IFERROR(VLOOKUP(A1062,'Pedido ESTHER'!$B:$C,2,0),"")</f>
        <v/>
      </c>
      <c r="L1062" s="12" t="str">
        <f>IF(N(K1062)&gt;0,"COMPRA","NÃO COMPRA")</f>
        <v>NÃO COMPRA</v>
      </c>
    </row>
    <row r="1063" spans="1:12">
      <c r="A1063" s="8" t="s">
        <v>2292</v>
      </c>
      <c r="B1063" s="9" t="s">
        <v>1859</v>
      </c>
      <c r="C1063" s="9" t="e">
        <f>VLOOKUP(A1063,[2]Planilha1!$A:$B,2,0)</f>
        <v>#N/A</v>
      </c>
      <c r="D1063" s="10">
        <f>SUMIF([1]Relatório!$A$2:$A$2653,A1063,[1]Relatório!$AK$2:$AK$2653)</f>
        <v>74</v>
      </c>
      <c r="E1063" s="11">
        <f t="shared" si="32"/>
        <v>0.000126505025155695</v>
      </c>
      <c r="F1063" s="11">
        <f>SUM($E$7:E1063)</f>
        <v>0.964870922136157</v>
      </c>
      <c r="G1063" s="12" t="str">
        <f t="shared" si="33"/>
        <v>C</v>
      </c>
      <c r="H1063" s="9" t="s">
        <v>112</v>
      </c>
      <c r="I1063" s="9" t="s">
        <v>2293</v>
      </c>
      <c r="J1063" s="9" t="s">
        <v>40</v>
      </c>
      <c r="K1063" s="10" t="str">
        <f>IFERROR(VLOOKUP(A1063,'Pedido ESTHER'!$B:$C,2,0),"")</f>
        <v/>
      </c>
      <c r="L1063" s="12" t="str">
        <f>IF(N(K1063)&gt;0,"COMPRA","NÃO COMPRA")</f>
        <v>NÃO COMPRA</v>
      </c>
    </row>
    <row r="1064" spans="1:12">
      <c r="A1064" s="8" t="s">
        <v>2294</v>
      </c>
      <c r="B1064" s="9" t="s">
        <v>1428</v>
      </c>
      <c r="C1064" s="9" t="e">
        <f>VLOOKUP(A1064,[2]Planilha1!$A:$B,2,0)</f>
        <v>#N/A</v>
      </c>
      <c r="D1064" s="10">
        <f>SUMIF([1]Relatório!$A$2:$A$2653,A1064,[1]Relatório!$AK$2:$AK$2653)</f>
        <v>74</v>
      </c>
      <c r="E1064" s="11">
        <f t="shared" si="32"/>
        <v>0.000126505025155695</v>
      </c>
      <c r="F1064" s="11">
        <f>SUM($E$7:E1064)</f>
        <v>0.964997427161313</v>
      </c>
      <c r="G1064" s="12" t="str">
        <f t="shared" si="33"/>
        <v>C</v>
      </c>
      <c r="H1064" s="9" t="s">
        <v>1117</v>
      </c>
      <c r="I1064" s="9" t="s">
        <v>2295</v>
      </c>
      <c r="J1064" s="9" t="s">
        <v>213</v>
      </c>
      <c r="K1064" s="10" t="str">
        <f>IFERROR(VLOOKUP(A1064,'Pedido ESTHER'!$B:$C,2,0),"")</f>
        <v/>
      </c>
      <c r="L1064" s="12" t="str">
        <f>IF(N(K1064)&gt;0,"COMPRA","NÃO COMPRA")</f>
        <v>NÃO COMPRA</v>
      </c>
    </row>
    <row r="1065" spans="1:12">
      <c r="A1065" s="8" t="s">
        <v>2296</v>
      </c>
      <c r="B1065" s="9" t="s">
        <v>2297</v>
      </c>
      <c r="C1065" s="9" t="e">
        <f>VLOOKUP(A1065,[2]Planilha1!$A:$B,2,0)</f>
        <v>#N/A</v>
      </c>
      <c r="D1065" s="10">
        <f>SUMIF([1]Relatório!$A$2:$A$2653,A1065,[1]Relatório!$AK$2:$AK$2653)</f>
        <v>74</v>
      </c>
      <c r="E1065" s="11">
        <f t="shared" si="32"/>
        <v>0.000126505025155695</v>
      </c>
      <c r="F1065" s="11">
        <f>SUM($E$7:E1065)</f>
        <v>0.965123932186468</v>
      </c>
      <c r="G1065" s="12" t="str">
        <f t="shared" si="33"/>
        <v>C</v>
      </c>
      <c r="H1065" s="9" t="s">
        <v>221</v>
      </c>
      <c r="I1065" s="9" t="s">
        <v>2298</v>
      </c>
      <c r="J1065" s="9" t="s">
        <v>44</v>
      </c>
      <c r="K1065" s="10" t="str">
        <f>IFERROR(VLOOKUP(A1065,'Pedido ESTHER'!$B:$C,2,0),"")</f>
        <v/>
      </c>
      <c r="L1065" s="12" t="str">
        <f>IF(N(K1065)&gt;0,"COMPRA","NÃO COMPRA")</f>
        <v>NÃO COMPRA</v>
      </c>
    </row>
    <row r="1066" spans="1:12">
      <c r="A1066" s="8" t="s">
        <v>2299</v>
      </c>
      <c r="B1066" s="9" t="s">
        <v>887</v>
      </c>
      <c r="C1066" s="9" t="e">
        <f>VLOOKUP(A1066,[2]Planilha1!$A:$B,2,0)</f>
        <v>#N/A</v>
      </c>
      <c r="D1066" s="10">
        <f>SUMIF([1]Relatório!$A$2:$A$2653,A1066,[1]Relatório!$AK$2:$AK$2653)</f>
        <v>74</v>
      </c>
      <c r="E1066" s="11">
        <f t="shared" si="32"/>
        <v>0.000126505025155695</v>
      </c>
      <c r="F1066" s="11">
        <f>SUM($E$7:E1066)</f>
        <v>0.965250437211624</v>
      </c>
      <c r="G1066" s="12" t="str">
        <f t="shared" si="33"/>
        <v>C</v>
      </c>
      <c r="H1066" s="9" t="s">
        <v>831</v>
      </c>
      <c r="I1066" s="9" t="s">
        <v>2300</v>
      </c>
      <c r="J1066" s="9" t="s">
        <v>359</v>
      </c>
      <c r="K1066" s="10" t="str">
        <f>IFERROR(VLOOKUP(A1066,'Pedido ESTHER'!$B:$C,2,0),"")</f>
        <v/>
      </c>
      <c r="L1066" s="12" t="str">
        <f>IF(N(K1066)&gt;0,"COMPRA","NÃO COMPRA")</f>
        <v>NÃO COMPRA</v>
      </c>
    </row>
    <row r="1067" spans="1:12">
      <c r="A1067" s="8" t="s">
        <v>2301</v>
      </c>
      <c r="B1067" s="9" t="s">
        <v>1322</v>
      </c>
      <c r="C1067" s="9" t="e">
        <f>VLOOKUP(A1067,[2]Planilha1!$A:$B,2,0)</f>
        <v>#N/A</v>
      </c>
      <c r="D1067" s="10">
        <f>SUMIF([1]Relatório!$A$2:$A$2653,A1067,[1]Relatório!$AK$2:$AK$2653)</f>
        <v>74</v>
      </c>
      <c r="E1067" s="11">
        <f t="shared" si="32"/>
        <v>0.000126505025155695</v>
      </c>
      <c r="F1067" s="11">
        <f>SUM($E$7:E1067)</f>
        <v>0.96537694223678</v>
      </c>
      <c r="G1067" s="12" t="str">
        <f t="shared" si="33"/>
        <v>C</v>
      </c>
      <c r="H1067" s="9" t="s">
        <v>21</v>
      </c>
      <c r="I1067" s="9" t="s">
        <v>2302</v>
      </c>
      <c r="J1067" s="9" t="s">
        <v>1169</v>
      </c>
      <c r="K1067" s="10" t="str">
        <f>IFERROR(VLOOKUP(A1067,'Pedido ESTHER'!$B:$C,2,0),"")</f>
        <v/>
      </c>
      <c r="L1067" s="12" t="str">
        <f>IF(N(K1067)&gt;0,"COMPRA","NÃO COMPRA")</f>
        <v>NÃO COMPRA</v>
      </c>
    </row>
    <row r="1068" spans="1:12">
      <c r="A1068" s="8" t="s">
        <v>2303</v>
      </c>
      <c r="B1068" s="9" t="s">
        <v>1867</v>
      </c>
      <c r="C1068" s="9" t="e">
        <f>VLOOKUP(A1068,[2]Planilha1!$A:$B,2,0)</f>
        <v>#N/A</v>
      </c>
      <c r="D1068" s="10">
        <f>SUMIF([1]Relatório!$A$2:$A$2653,A1068,[1]Relatório!$AK$2:$AK$2653)</f>
        <v>73</v>
      </c>
      <c r="E1068" s="11">
        <f t="shared" si="32"/>
        <v>0.000124795497788726</v>
      </c>
      <c r="F1068" s="11">
        <f>SUM($E$7:E1068)</f>
        <v>0.965501737734568</v>
      </c>
      <c r="G1068" s="12" t="str">
        <f t="shared" si="33"/>
        <v>C</v>
      </c>
      <c r="H1068" s="9" t="s">
        <v>1344</v>
      </c>
      <c r="I1068" s="9" t="s">
        <v>2304</v>
      </c>
      <c r="J1068" s="9" t="s">
        <v>44</v>
      </c>
      <c r="K1068" s="10" t="str">
        <f>IFERROR(VLOOKUP(A1068,'Pedido ESTHER'!$B:$C,2,0),"")</f>
        <v/>
      </c>
      <c r="L1068" s="12" t="str">
        <f>IF(N(K1068)&gt;0,"COMPRA","NÃO COMPRA")</f>
        <v>NÃO COMPRA</v>
      </c>
    </row>
    <row r="1069" spans="1:12">
      <c r="A1069" s="8" t="s">
        <v>2305</v>
      </c>
      <c r="B1069" s="9" t="s">
        <v>721</v>
      </c>
      <c r="C1069" s="9" t="e">
        <f>VLOOKUP(A1069,[2]Planilha1!$A:$B,2,0)</f>
        <v>#N/A</v>
      </c>
      <c r="D1069" s="10">
        <f>SUMIF([1]Relatório!$A$2:$A$2653,A1069,[1]Relatório!$AK$2:$AK$2653)</f>
        <v>73</v>
      </c>
      <c r="E1069" s="11">
        <f t="shared" si="32"/>
        <v>0.000124795497788726</v>
      </c>
      <c r="F1069" s="11">
        <f>SUM($E$7:E1069)</f>
        <v>0.965626533232357</v>
      </c>
      <c r="G1069" s="12" t="str">
        <f t="shared" si="33"/>
        <v>C</v>
      </c>
      <c r="H1069" s="9" t="s">
        <v>183</v>
      </c>
      <c r="I1069" s="9" t="s">
        <v>2306</v>
      </c>
      <c r="J1069" s="9" t="s">
        <v>158</v>
      </c>
      <c r="K1069" s="10" t="str">
        <f>IFERROR(VLOOKUP(A1069,'Pedido ESTHER'!$B:$C,2,0),"")</f>
        <v/>
      </c>
      <c r="L1069" s="12" t="str">
        <f>IF(N(K1069)&gt;0,"COMPRA","NÃO COMPRA")</f>
        <v>NÃO COMPRA</v>
      </c>
    </row>
    <row r="1070" spans="1:12">
      <c r="A1070" s="8" t="s">
        <v>2307</v>
      </c>
      <c r="B1070" s="9" t="s">
        <v>1465</v>
      </c>
      <c r="C1070" s="9" t="e">
        <f>VLOOKUP(A1070,[2]Planilha1!$A:$B,2,0)</f>
        <v>#N/A</v>
      </c>
      <c r="D1070" s="10">
        <f>SUMIF([1]Relatório!$A$2:$A$2653,A1070,[1]Relatório!$AK$2:$AK$2653)</f>
        <v>73</v>
      </c>
      <c r="E1070" s="11">
        <f t="shared" si="32"/>
        <v>0.000124795497788726</v>
      </c>
      <c r="F1070" s="11">
        <f>SUM($E$7:E1070)</f>
        <v>0.965751328730146</v>
      </c>
      <c r="G1070" s="12" t="str">
        <f t="shared" si="33"/>
        <v>C</v>
      </c>
      <c r="H1070" s="9" t="s">
        <v>183</v>
      </c>
      <c r="I1070" s="9" t="s">
        <v>2308</v>
      </c>
      <c r="J1070" s="9" t="s">
        <v>1467</v>
      </c>
      <c r="K1070" s="10" t="str">
        <f>IFERROR(VLOOKUP(A1070,'Pedido ESTHER'!$B:$C,2,0),"")</f>
        <v/>
      </c>
      <c r="L1070" s="12" t="str">
        <f>IF(N(K1070)&gt;0,"COMPRA","NÃO COMPRA")</f>
        <v>NÃO COMPRA</v>
      </c>
    </row>
    <row r="1071" spans="1:12">
      <c r="A1071" s="8" t="s">
        <v>2309</v>
      </c>
      <c r="B1071" s="9" t="s">
        <v>1405</v>
      </c>
      <c r="C1071" s="9" t="e">
        <f>VLOOKUP(A1071,[2]Planilha1!$A:$B,2,0)</f>
        <v>#N/A</v>
      </c>
      <c r="D1071" s="10">
        <f>SUMIF([1]Relatório!$A$2:$A$2653,A1071,[1]Relatório!$AK$2:$AK$2653)</f>
        <v>73</v>
      </c>
      <c r="E1071" s="11">
        <f t="shared" si="32"/>
        <v>0.000124795497788726</v>
      </c>
      <c r="F1071" s="11">
        <f>SUM($E$7:E1071)</f>
        <v>0.965876124227935</v>
      </c>
      <c r="G1071" s="12" t="str">
        <f t="shared" si="33"/>
        <v>C</v>
      </c>
      <c r="H1071" s="9" t="s">
        <v>1059</v>
      </c>
      <c r="I1071" s="9" t="s">
        <v>2310</v>
      </c>
      <c r="J1071" s="9" t="s">
        <v>64</v>
      </c>
      <c r="K1071" s="10" t="str">
        <f>IFERROR(VLOOKUP(A1071,'Pedido ESTHER'!$B:$C,2,0),"")</f>
        <v/>
      </c>
      <c r="L1071" s="12" t="str">
        <f>IF(N(K1071)&gt;0,"COMPRA","NÃO COMPRA")</f>
        <v>NÃO COMPRA</v>
      </c>
    </row>
    <row r="1072" spans="1:12">
      <c r="A1072" s="8" t="s">
        <v>2311</v>
      </c>
      <c r="B1072" s="9" t="s">
        <v>162</v>
      </c>
      <c r="C1072" s="9" t="e">
        <f>VLOOKUP(A1072,[2]Planilha1!$A:$B,2,0)</f>
        <v>#N/A</v>
      </c>
      <c r="D1072" s="10">
        <f>SUMIF([1]Relatório!$A$2:$A$2653,A1072,[1]Relatório!$AK$2:$AK$2653)</f>
        <v>73</v>
      </c>
      <c r="E1072" s="11">
        <f t="shared" si="32"/>
        <v>0.000124795497788726</v>
      </c>
      <c r="F1072" s="11">
        <f>SUM($E$7:E1072)</f>
        <v>0.966000919725724</v>
      </c>
      <c r="G1072" s="12" t="str">
        <f t="shared" si="33"/>
        <v>C</v>
      </c>
      <c r="H1072" s="9" t="s">
        <v>21</v>
      </c>
      <c r="I1072" s="9" t="s">
        <v>2312</v>
      </c>
      <c r="J1072" s="9" t="s">
        <v>164</v>
      </c>
      <c r="K1072" s="10" t="str">
        <f>IFERROR(VLOOKUP(A1072,'Pedido ESTHER'!$B:$C,2,0),"")</f>
        <v/>
      </c>
      <c r="L1072" s="12" t="str">
        <f>IF(N(K1072)&gt;0,"COMPRA","NÃO COMPRA")</f>
        <v>NÃO COMPRA</v>
      </c>
    </row>
    <row r="1073" spans="1:12">
      <c r="A1073" s="8" t="s">
        <v>2313</v>
      </c>
      <c r="B1073" s="9" t="s">
        <v>1945</v>
      </c>
      <c r="C1073" s="9" t="e">
        <f>VLOOKUP(A1073,[2]Planilha1!$A:$B,2,0)</f>
        <v>#N/A</v>
      </c>
      <c r="D1073" s="10">
        <f>SUMIF([1]Relatório!$A$2:$A$2653,A1073,[1]Relatório!$AK$2:$AK$2653)</f>
        <v>72</v>
      </c>
      <c r="E1073" s="11">
        <f t="shared" si="32"/>
        <v>0.000123085970421758</v>
      </c>
      <c r="F1073" s="11">
        <f>SUM($E$7:E1073)</f>
        <v>0.966124005696145</v>
      </c>
      <c r="G1073" s="12" t="str">
        <f t="shared" si="33"/>
        <v>C</v>
      </c>
      <c r="H1073" s="9" t="s">
        <v>1344</v>
      </c>
      <c r="I1073" s="9" t="s">
        <v>2314</v>
      </c>
      <c r="J1073" s="9" t="s">
        <v>15</v>
      </c>
      <c r="K1073" s="10" t="str">
        <f>IFERROR(VLOOKUP(A1073,'Pedido ESTHER'!$B:$C,2,0),"")</f>
        <v/>
      </c>
      <c r="L1073" s="12" t="str">
        <f>IF(N(K1073)&gt;0,"COMPRA","NÃO COMPRA")</f>
        <v>NÃO COMPRA</v>
      </c>
    </row>
    <row r="1074" spans="1:12">
      <c r="A1074" s="8" t="s">
        <v>2315</v>
      </c>
      <c r="B1074" s="9" t="s">
        <v>1867</v>
      </c>
      <c r="C1074" s="9" t="e">
        <f>VLOOKUP(A1074,[2]Planilha1!$A:$B,2,0)</f>
        <v>#N/A</v>
      </c>
      <c r="D1074" s="10">
        <f>SUMIF([1]Relatório!$A$2:$A$2653,A1074,[1]Relatório!$AK$2:$AK$2653)</f>
        <v>72</v>
      </c>
      <c r="E1074" s="11">
        <f t="shared" si="32"/>
        <v>0.000123085970421758</v>
      </c>
      <c r="F1074" s="11">
        <f>SUM($E$7:E1074)</f>
        <v>0.966247091666567</v>
      </c>
      <c r="G1074" s="12" t="str">
        <f t="shared" si="33"/>
        <v>C</v>
      </c>
      <c r="H1074" s="9" t="s">
        <v>1344</v>
      </c>
      <c r="I1074" s="9" t="s">
        <v>2316</v>
      </c>
      <c r="J1074" s="9" t="s">
        <v>44</v>
      </c>
      <c r="K1074" s="10" t="str">
        <f>IFERROR(VLOOKUP(A1074,'Pedido ESTHER'!$B:$C,2,0),"")</f>
        <v/>
      </c>
      <c r="L1074" s="12" t="str">
        <f>IF(N(K1074)&gt;0,"COMPRA","NÃO COMPRA")</f>
        <v>NÃO COMPRA</v>
      </c>
    </row>
    <row r="1075" spans="1:12">
      <c r="A1075" s="8" t="s">
        <v>2317</v>
      </c>
      <c r="B1075" s="9" t="s">
        <v>706</v>
      </c>
      <c r="C1075" s="9" t="e">
        <f>VLOOKUP(A1075,[2]Planilha1!$A:$B,2,0)</f>
        <v>#N/A</v>
      </c>
      <c r="D1075" s="10">
        <f>SUMIF([1]Relatório!$A$2:$A$2653,A1075,[1]Relatório!$AK$2:$AK$2653)</f>
        <v>72</v>
      </c>
      <c r="E1075" s="11">
        <f t="shared" si="32"/>
        <v>0.000123085970421758</v>
      </c>
      <c r="F1075" s="11">
        <f>SUM($E$7:E1075)</f>
        <v>0.966370177636989</v>
      </c>
      <c r="G1075" s="12" t="str">
        <f t="shared" si="33"/>
        <v>C</v>
      </c>
      <c r="H1075" s="9" t="s">
        <v>183</v>
      </c>
      <c r="I1075" s="9"/>
      <c r="J1075" s="9" t="s">
        <v>241</v>
      </c>
      <c r="K1075" s="10" t="str">
        <f>IFERROR(VLOOKUP(A1075,'Pedido ESTHER'!$B:$C,2,0),"")</f>
        <v/>
      </c>
      <c r="L1075" s="12" t="str">
        <f>IF(N(K1075)&gt;0,"COMPRA","NÃO COMPRA")</f>
        <v>NÃO COMPRA</v>
      </c>
    </row>
    <row r="1076" spans="1:12">
      <c r="A1076" s="8" t="s">
        <v>2318</v>
      </c>
      <c r="B1076" s="9" t="s">
        <v>1343</v>
      </c>
      <c r="C1076" s="9" t="e">
        <f>VLOOKUP(A1076,[2]Planilha1!$A:$B,2,0)</f>
        <v>#N/A</v>
      </c>
      <c r="D1076" s="10">
        <f>SUMIF([1]Relatório!$A$2:$A$2653,A1076,[1]Relatório!$AK$2:$AK$2653)</f>
        <v>71</v>
      </c>
      <c r="E1076" s="11">
        <f t="shared" si="32"/>
        <v>0.000121376443054789</v>
      </c>
      <c r="F1076" s="11">
        <f>SUM($E$7:E1076)</f>
        <v>0.966491554080044</v>
      </c>
      <c r="G1076" s="12" t="str">
        <f t="shared" si="33"/>
        <v>C</v>
      </c>
      <c r="H1076" s="9" t="s">
        <v>1344</v>
      </c>
      <c r="I1076" s="9" t="s">
        <v>2319</v>
      </c>
      <c r="J1076" s="9" t="s">
        <v>29</v>
      </c>
      <c r="K1076" s="10" t="str">
        <f>IFERROR(VLOOKUP(A1076,'Pedido ESTHER'!$B:$C,2,0),"")</f>
        <v/>
      </c>
      <c r="L1076" s="12" t="str">
        <f>IF(N(K1076)&gt;0,"COMPRA","NÃO COMPRA")</f>
        <v>NÃO COMPRA</v>
      </c>
    </row>
    <row r="1077" spans="1:12">
      <c r="A1077" s="8" t="s">
        <v>2320</v>
      </c>
      <c r="B1077" s="9" t="s">
        <v>1956</v>
      </c>
      <c r="C1077" s="9" t="e">
        <f>VLOOKUP(A1077,[2]Planilha1!$A:$B,2,0)</f>
        <v>#N/A</v>
      </c>
      <c r="D1077" s="10">
        <f>SUMIF([1]Relatório!$A$2:$A$2653,A1077,[1]Relatório!$AK$2:$AK$2653)</f>
        <v>71</v>
      </c>
      <c r="E1077" s="11">
        <f t="shared" si="32"/>
        <v>0.000121376443054789</v>
      </c>
      <c r="F1077" s="11">
        <f>SUM($E$7:E1077)</f>
        <v>0.966612930523098</v>
      </c>
      <c r="G1077" s="12" t="str">
        <f t="shared" si="33"/>
        <v>C</v>
      </c>
      <c r="H1077" s="9" t="s">
        <v>183</v>
      </c>
      <c r="I1077" s="9" t="s">
        <v>2321</v>
      </c>
      <c r="J1077" s="9" t="s">
        <v>390</v>
      </c>
      <c r="K1077" s="10" t="str">
        <f>IFERROR(VLOOKUP(A1077,'Pedido ESTHER'!$B:$C,2,0),"")</f>
        <v/>
      </c>
      <c r="L1077" s="12" t="str">
        <f>IF(N(K1077)&gt;0,"COMPRA","NÃO COMPRA")</f>
        <v>NÃO COMPRA</v>
      </c>
    </row>
    <row r="1078" spans="1:12">
      <c r="A1078" s="8" t="s">
        <v>2322</v>
      </c>
      <c r="B1078" s="9" t="s">
        <v>1271</v>
      </c>
      <c r="C1078" s="9" t="e">
        <f>VLOOKUP(A1078,[2]Planilha1!$A:$B,2,0)</f>
        <v>#N/A</v>
      </c>
      <c r="D1078" s="10">
        <f>SUMIF([1]Relatório!$A$2:$A$2653,A1078,[1]Relatório!$AK$2:$AK$2653)</f>
        <v>71</v>
      </c>
      <c r="E1078" s="11">
        <f t="shared" si="32"/>
        <v>0.000121376443054789</v>
      </c>
      <c r="F1078" s="11">
        <f>SUM($E$7:E1078)</f>
        <v>0.966734306966153</v>
      </c>
      <c r="G1078" s="12" t="str">
        <f t="shared" si="33"/>
        <v>C</v>
      </c>
      <c r="H1078" s="9" t="s">
        <v>831</v>
      </c>
      <c r="I1078" s="9" t="s">
        <v>2323</v>
      </c>
      <c r="J1078" s="9" t="s">
        <v>158</v>
      </c>
      <c r="K1078" s="10" t="str">
        <f>IFERROR(VLOOKUP(A1078,'Pedido ESTHER'!$B:$C,2,0),"")</f>
        <v/>
      </c>
      <c r="L1078" s="12" t="str">
        <f>IF(N(K1078)&gt;0,"COMPRA","NÃO COMPRA")</f>
        <v>NÃO COMPRA</v>
      </c>
    </row>
    <row r="1079" spans="1:12">
      <c r="A1079" s="8" t="s">
        <v>2324</v>
      </c>
      <c r="B1079" s="9" t="s">
        <v>2325</v>
      </c>
      <c r="C1079" s="9" t="e">
        <f>VLOOKUP(A1079,[2]Planilha1!$A:$B,2,0)</f>
        <v>#N/A</v>
      </c>
      <c r="D1079" s="10">
        <f>SUMIF([1]Relatório!$A$2:$A$2653,A1079,[1]Relatório!$AK$2:$AK$2653)</f>
        <v>71</v>
      </c>
      <c r="E1079" s="11">
        <f t="shared" si="32"/>
        <v>0.000121376443054789</v>
      </c>
      <c r="F1079" s="11">
        <f>SUM($E$7:E1079)</f>
        <v>0.966855683409208</v>
      </c>
      <c r="G1079" s="12" t="str">
        <f t="shared" si="33"/>
        <v>C</v>
      </c>
      <c r="H1079" s="9" t="s">
        <v>74</v>
      </c>
      <c r="I1079" s="9" t="s">
        <v>2326</v>
      </c>
      <c r="J1079" s="9" t="s">
        <v>268</v>
      </c>
      <c r="K1079" s="10" t="str">
        <f>IFERROR(VLOOKUP(A1079,'Pedido ESTHER'!$B:$C,2,0),"")</f>
        <v/>
      </c>
      <c r="L1079" s="12" t="str">
        <f>IF(N(K1079)&gt;0,"COMPRA","NÃO COMPRA")</f>
        <v>NÃO COMPRA</v>
      </c>
    </row>
    <row r="1080" spans="1:12">
      <c r="A1080" s="8" t="s">
        <v>2327</v>
      </c>
      <c r="B1080" s="9" t="s">
        <v>1638</v>
      </c>
      <c r="C1080" s="9" t="e">
        <f>VLOOKUP(A1080,[2]Planilha1!$A:$B,2,0)</f>
        <v>#N/A</v>
      </c>
      <c r="D1080" s="10">
        <f>SUMIF([1]Relatório!$A$2:$A$2653,A1080,[1]Relatório!$AK$2:$AK$2653)</f>
        <v>70</v>
      </c>
      <c r="E1080" s="11">
        <f t="shared" si="32"/>
        <v>0.00011966691568782</v>
      </c>
      <c r="F1080" s="11">
        <f>SUM($E$7:E1080)</f>
        <v>0.966975350324896</v>
      </c>
      <c r="G1080" s="12" t="str">
        <f t="shared" si="33"/>
        <v>C</v>
      </c>
      <c r="H1080" s="9" t="s">
        <v>1344</v>
      </c>
      <c r="I1080" s="9" t="s">
        <v>2328</v>
      </c>
      <c r="J1080" s="9" t="s">
        <v>33</v>
      </c>
      <c r="K1080" s="10" t="str">
        <f>IFERROR(VLOOKUP(A1080,'Pedido ESTHER'!$B:$C,2,0),"")</f>
        <v/>
      </c>
      <c r="L1080" s="12" t="str">
        <f>IF(N(K1080)&gt;0,"COMPRA","NÃO COMPRA")</f>
        <v>NÃO COMPRA</v>
      </c>
    </row>
    <row r="1081" spans="1:12">
      <c r="A1081" s="8" t="s">
        <v>2329</v>
      </c>
      <c r="B1081" s="9" t="s">
        <v>2330</v>
      </c>
      <c r="C1081" s="9" t="e">
        <f>VLOOKUP(A1081,[2]Planilha1!$A:$B,2,0)</f>
        <v>#N/A</v>
      </c>
      <c r="D1081" s="10">
        <f>SUMIF([1]Relatório!$A$2:$A$2653,A1081,[1]Relatório!$AK$2:$AK$2653)</f>
        <v>70</v>
      </c>
      <c r="E1081" s="11">
        <f t="shared" si="32"/>
        <v>0.00011966691568782</v>
      </c>
      <c r="F1081" s="11">
        <f>SUM($E$7:E1081)</f>
        <v>0.967095017240583</v>
      </c>
      <c r="G1081" s="12" t="str">
        <f t="shared" si="33"/>
        <v>C</v>
      </c>
      <c r="H1081" s="9" t="s">
        <v>1344</v>
      </c>
      <c r="I1081" s="9" t="s">
        <v>2331</v>
      </c>
      <c r="J1081" s="9" t="s">
        <v>36</v>
      </c>
      <c r="K1081" s="10" t="str">
        <f>IFERROR(VLOOKUP(A1081,'Pedido ESTHER'!$B:$C,2,0),"")</f>
        <v/>
      </c>
      <c r="L1081" s="12" t="str">
        <f>IF(N(K1081)&gt;0,"COMPRA","NÃO COMPRA")</f>
        <v>NÃO COMPRA</v>
      </c>
    </row>
    <row r="1082" spans="1:12">
      <c r="A1082" s="8" t="s">
        <v>2332</v>
      </c>
      <c r="B1082" s="9" t="s">
        <v>1312</v>
      </c>
      <c r="C1082" s="9" t="e">
        <f>VLOOKUP(A1082,[2]Planilha1!$A:$B,2,0)</f>
        <v>#N/A</v>
      </c>
      <c r="D1082" s="10">
        <f>SUMIF([1]Relatório!$A$2:$A$2653,A1082,[1]Relatório!$AK$2:$AK$2653)</f>
        <v>70</v>
      </c>
      <c r="E1082" s="11">
        <f t="shared" si="32"/>
        <v>0.00011966691568782</v>
      </c>
      <c r="F1082" s="11">
        <f>SUM($E$7:E1082)</f>
        <v>0.967214684156271</v>
      </c>
      <c r="G1082" s="12" t="str">
        <f t="shared" si="33"/>
        <v>C</v>
      </c>
      <c r="H1082" s="9" t="s">
        <v>183</v>
      </c>
      <c r="I1082" s="9"/>
      <c r="J1082" s="9" t="s">
        <v>2333</v>
      </c>
      <c r="K1082" s="10" t="str">
        <f>IFERROR(VLOOKUP(A1082,'Pedido ESTHER'!$B:$C,2,0),"")</f>
        <v/>
      </c>
      <c r="L1082" s="12" t="str">
        <f>IF(N(K1082)&gt;0,"COMPRA","NÃO COMPRA")</f>
        <v>NÃO COMPRA</v>
      </c>
    </row>
    <row r="1083" spans="1:12">
      <c r="A1083" s="8" t="s">
        <v>2334</v>
      </c>
      <c r="B1083" s="9" t="s">
        <v>17</v>
      </c>
      <c r="C1083" s="9" t="e">
        <f>VLOOKUP(A1083,[2]Planilha1!$A:$B,2,0)</f>
        <v>#N/A</v>
      </c>
      <c r="D1083" s="10">
        <f>SUMIF([1]Relatório!$A$2:$A$2653,A1083,[1]Relatório!$AK$2:$AK$2653)</f>
        <v>70</v>
      </c>
      <c r="E1083" s="11">
        <f t="shared" si="32"/>
        <v>0.00011966691568782</v>
      </c>
      <c r="F1083" s="11">
        <f>SUM($E$7:E1083)</f>
        <v>0.967334351071959</v>
      </c>
      <c r="G1083" s="12" t="str">
        <f t="shared" si="33"/>
        <v>C</v>
      </c>
      <c r="H1083" s="9" t="s">
        <v>18</v>
      </c>
      <c r="I1083" s="9"/>
      <c r="J1083" s="9" t="s">
        <v>15</v>
      </c>
      <c r="K1083" s="10" t="str">
        <f>IFERROR(VLOOKUP(A1083,'Pedido ESTHER'!$B:$C,2,0),"")</f>
        <v/>
      </c>
      <c r="L1083" s="12" t="str">
        <f>IF(N(K1083)&gt;0,"COMPRA","NÃO COMPRA")</f>
        <v>NÃO COMPRA</v>
      </c>
    </row>
    <row r="1084" spans="1:12">
      <c r="A1084" s="8" t="s">
        <v>2335</v>
      </c>
      <c r="B1084" s="9" t="s">
        <v>1708</v>
      </c>
      <c r="C1084" s="9" t="e">
        <f>VLOOKUP(A1084,[2]Planilha1!$A:$B,2,0)</f>
        <v>#N/A</v>
      </c>
      <c r="D1084" s="10">
        <f>SUMIF([1]Relatório!$A$2:$A$2653,A1084,[1]Relatório!$AK$2:$AK$2653)</f>
        <v>70</v>
      </c>
      <c r="E1084" s="11">
        <f t="shared" si="32"/>
        <v>0.00011966691568782</v>
      </c>
      <c r="F1084" s="11">
        <f>SUM($E$7:E1084)</f>
        <v>0.967454017987647</v>
      </c>
      <c r="G1084" s="12" t="str">
        <f t="shared" si="33"/>
        <v>C</v>
      </c>
      <c r="H1084" s="9" t="s">
        <v>183</v>
      </c>
      <c r="I1084" s="9"/>
      <c r="J1084" s="9" t="s">
        <v>1710</v>
      </c>
      <c r="K1084" s="10" t="str">
        <f>IFERROR(VLOOKUP(A1084,'Pedido ESTHER'!$B:$C,2,0),"")</f>
        <v/>
      </c>
      <c r="L1084" s="12" t="str">
        <f>IF(N(K1084)&gt;0,"COMPRA","NÃO COMPRA")</f>
        <v>NÃO COMPRA</v>
      </c>
    </row>
    <row r="1085" spans="1:12">
      <c r="A1085" s="8" t="s">
        <v>2336</v>
      </c>
      <c r="B1085" s="9" t="s">
        <v>1681</v>
      </c>
      <c r="C1085" s="9" t="e">
        <f>VLOOKUP(A1085,[2]Planilha1!$A:$B,2,0)</f>
        <v>#N/A</v>
      </c>
      <c r="D1085" s="10">
        <f>SUMIF([1]Relatório!$A$2:$A$2653,A1085,[1]Relatório!$AK$2:$AK$2653)</f>
        <v>70</v>
      </c>
      <c r="E1085" s="11">
        <f t="shared" si="32"/>
        <v>0.00011966691568782</v>
      </c>
      <c r="F1085" s="11">
        <f>SUM($E$7:E1085)</f>
        <v>0.967573684903335</v>
      </c>
      <c r="G1085" s="12" t="str">
        <f t="shared" si="33"/>
        <v>C</v>
      </c>
      <c r="H1085" s="9" t="s">
        <v>221</v>
      </c>
      <c r="I1085" s="9" t="s">
        <v>2337</v>
      </c>
      <c r="J1085" s="9" t="s">
        <v>1418</v>
      </c>
      <c r="K1085" s="10" t="str">
        <f>IFERROR(VLOOKUP(A1085,'Pedido ESTHER'!$B:$C,2,0),"")</f>
        <v/>
      </c>
      <c r="L1085" s="12" t="str">
        <f>IF(N(K1085)&gt;0,"COMPRA","NÃO COMPRA")</f>
        <v>NÃO COMPRA</v>
      </c>
    </row>
    <row r="1086" spans="1:12">
      <c r="A1086" s="8" t="s">
        <v>2338</v>
      </c>
      <c r="B1086" s="9" t="s">
        <v>2055</v>
      </c>
      <c r="C1086" s="9" t="e">
        <f>VLOOKUP(A1086,[2]Planilha1!$A:$B,2,0)</f>
        <v>#N/A</v>
      </c>
      <c r="D1086" s="10">
        <f>SUMIF([1]Relatório!$A$2:$A$2653,A1086,[1]Relatório!$AK$2:$AK$2653)</f>
        <v>70</v>
      </c>
      <c r="E1086" s="11">
        <f t="shared" si="32"/>
        <v>0.00011966691568782</v>
      </c>
      <c r="F1086" s="11">
        <f>SUM($E$7:E1086)</f>
        <v>0.967693351819022</v>
      </c>
      <c r="G1086" s="12" t="str">
        <f t="shared" si="33"/>
        <v>C</v>
      </c>
      <c r="H1086" s="9" t="s">
        <v>112</v>
      </c>
      <c r="I1086" s="9" t="s">
        <v>2339</v>
      </c>
      <c r="J1086" s="9" t="s">
        <v>359</v>
      </c>
      <c r="K1086" s="10" t="str">
        <f>IFERROR(VLOOKUP(A1086,'Pedido ESTHER'!$B:$C,2,0),"")</f>
        <v/>
      </c>
      <c r="L1086" s="12" t="str">
        <f>IF(N(K1086)&gt;0,"COMPRA","NÃO COMPRA")</f>
        <v>NÃO COMPRA</v>
      </c>
    </row>
    <row r="1087" spans="1:12">
      <c r="A1087" s="8" t="s">
        <v>2340</v>
      </c>
      <c r="B1087" s="9" t="s">
        <v>2341</v>
      </c>
      <c r="C1087" s="9" t="e">
        <f>VLOOKUP(A1087,[2]Planilha1!$A:$B,2,0)</f>
        <v>#N/A</v>
      </c>
      <c r="D1087" s="10">
        <f>SUMIF([1]Relatório!$A$2:$A$2653,A1087,[1]Relatório!$AK$2:$AK$2653)</f>
        <v>70</v>
      </c>
      <c r="E1087" s="11">
        <f t="shared" si="32"/>
        <v>0.00011966691568782</v>
      </c>
      <c r="F1087" s="11">
        <f>SUM($E$7:E1087)</f>
        <v>0.96781301873471</v>
      </c>
      <c r="G1087" s="12" t="str">
        <f t="shared" si="33"/>
        <v>C</v>
      </c>
      <c r="H1087" s="9" t="s">
        <v>1117</v>
      </c>
      <c r="I1087" s="9" t="s">
        <v>2342</v>
      </c>
      <c r="J1087" s="9" t="s">
        <v>359</v>
      </c>
      <c r="K1087" s="10" t="str">
        <f>IFERROR(VLOOKUP(A1087,'Pedido ESTHER'!$B:$C,2,0),"")</f>
        <v/>
      </c>
      <c r="L1087" s="12" t="str">
        <f>IF(N(K1087)&gt;0,"COMPRA","NÃO COMPRA")</f>
        <v>NÃO COMPRA</v>
      </c>
    </row>
    <row r="1088" spans="1:12">
      <c r="A1088" s="8" t="s">
        <v>2343</v>
      </c>
      <c r="B1088" s="9" t="s">
        <v>2344</v>
      </c>
      <c r="C1088" s="9" t="e">
        <f>VLOOKUP(A1088,[2]Planilha1!$A:$B,2,0)</f>
        <v>#N/A</v>
      </c>
      <c r="D1088" s="10">
        <f>SUMIF([1]Relatório!$A$2:$A$2653,A1088,[1]Relatório!$AK$2:$AK$2653)</f>
        <v>70</v>
      </c>
      <c r="E1088" s="11">
        <f t="shared" si="32"/>
        <v>0.00011966691568782</v>
      </c>
      <c r="F1088" s="11">
        <f>SUM($E$7:E1088)</f>
        <v>0.967932685650398</v>
      </c>
      <c r="G1088" s="12" t="str">
        <f t="shared" si="33"/>
        <v>C</v>
      </c>
      <c r="H1088" s="9" t="s">
        <v>1117</v>
      </c>
      <c r="I1088" s="9" t="s">
        <v>2345</v>
      </c>
      <c r="J1088" s="9" t="s">
        <v>36</v>
      </c>
      <c r="K1088" s="10" t="str">
        <f>IFERROR(VLOOKUP(A1088,'Pedido ESTHER'!$B:$C,2,0),"")</f>
        <v/>
      </c>
      <c r="L1088" s="12" t="str">
        <f>IF(N(K1088)&gt;0,"COMPRA","NÃO COMPRA")</f>
        <v>NÃO COMPRA</v>
      </c>
    </row>
    <row r="1089" spans="1:12">
      <c r="A1089" s="8" t="s">
        <v>2346</v>
      </c>
      <c r="B1089" s="9" t="s">
        <v>20</v>
      </c>
      <c r="C1089" s="9" t="e">
        <f>VLOOKUP(A1089,[2]Planilha1!$A:$B,2,0)</f>
        <v>#N/A</v>
      </c>
      <c r="D1089" s="10">
        <f>SUMIF([1]Relatório!$A$2:$A$2653,A1089,[1]Relatório!$AK$2:$AK$2653)</f>
        <v>70</v>
      </c>
      <c r="E1089" s="11">
        <f t="shared" si="32"/>
        <v>0.00011966691568782</v>
      </c>
      <c r="F1089" s="11">
        <f>SUM($E$7:E1089)</f>
        <v>0.968052352566086</v>
      </c>
      <c r="G1089" s="12" t="str">
        <f t="shared" si="33"/>
        <v>C</v>
      </c>
      <c r="H1089" s="9" t="s">
        <v>21</v>
      </c>
      <c r="I1089" s="9" t="s">
        <v>2347</v>
      </c>
      <c r="J1089" s="9" t="s">
        <v>23</v>
      </c>
      <c r="K1089" s="10" t="str">
        <f>IFERROR(VLOOKUP(A1089,'Pedido ESTHER'!$B:$C,2,0),"")</f>
        <v/>
      </c>
      <c r="L1089" s="12" t="str">
        <f>IF(N(K1089)&gt;0,"COMPRA","NÃO COMPRA")</f>
        <v>NÃO COMPRA</v>
      </c>
    </row>
    <row r="1090" spans="1:12">
      <c r="A1090" s="8" t="s">
        <v>2348</v>
      </c>
      <c r="B1090" s="9" t="s">
        <v>51</v>
      </c>
      <c r="C1090" s="9" t="e">
        <f>VLOOKUP(A1090,[2]Planilha1!$A:$B,2,0)</f>
        <v>#N/A</v>
      </c>
      <c r="D1090" s="10">
        <f>SUMIF([1]Relatório!$A$2:$A$2653,A1090,[1]Relatório!$AK$2:$AK$2653)</f>
        <v>70</v>
      </c>
      <c r="E1090" s="11">
        <f t="shared" si="32"/>
        <v>0.00011966691568782</v>
      </c>
      <c r="F1090" s="11">
        <f>SUM($E$7:E1090)</f>
        <v>0.968172019481773</v>
      </c>
      <c r="G1090" s="12" t="str">
        <f t="shared" si="33"/>
        <v>C</v>
      </c>
      <c r="H1090" s="9" t="s">
        <v>21</v>
      </c>
      <c r="I1090" s="9" t="s">
        <v>2349</v>
      </c>
      <c r="J1090" s="9" t="s">
        <v>33</v>
      </c>
      <c r="K1090" s="10" t="str">
        <f>IFERROR(VLOOKUP(A1090,'Pedido ESTHER'!$B:$C,2,0),"")</f>
        <v/>
      </c>
      <c r="L1090" s="12" t="str">
        <f>IF(N(K1090)&gt;0,"COMPRA","NÃO COMPRA")</f>
        <v>NÃO COMPRA</v>
      </c>
    </row>
    <row r="1091" spans="1:12">
      <c r="A1091" s="8" t="s">
        <v>2350</v>
      </c>
      <c r="B1091" s="9" t="s">
        <v>2351</v>
      </c>
      <c r="C1091" s="9" t="e">
        <f>VLOOKUP(A1091,[2]Planilha1!$A:$B,2,0)</f>
        <v>#N/A</v>
      </c>
      <c r="D1091" s="10">
        <f>SUMIF([1]Relatório!$A$2:$A$2653,A1091,[1]Relatório!$AK$2:$AK$2653)</f>
        <v>69</v>
      </c>
      <c r="E1091" s="11">
        <f t="shared" si="32"/>
        <v>0.000117957388320851</v>
      </c>
      <c r="F1091" s="11">
        <f>SUM($E$7:E1091)</f>
        <v>0.968289976870094</v>
      </c>
      <c r="G1091" s="12" t="str">
        <f t="shared" si="33"/>
        <v>C</v>
      </c>
      <c r="H1091" s="9" t="s">
        <v>183</v>
      </c>
      <c r="I1091" s="9" t="s">
        <v>2352</v>
      </c>
      <c r="J1091" s="9" t="s">
        <v>664</v>
      </c>
      <c r="K1091" s="10" t="str">
        <f>IFERROR(VLOOKUP(A1091,'Pedido ESTHER'!$B:$C,2,0),"")</f>
        <v/>
      </c>
      <c r="L1091" s="12" t="str">
        <f>IF(N(K1091)&gt;0,"COMPRA","NÃO COMPRA")</f>
        <v>NÃO COMPRA</v>
      </c>
    </row>
    <row r="1092" spans="1:12">
      <c r="A1092" s="8" t="s">
        <v>2353</v>
      </c>
      <c r="B1092" s="9" t="s">
        <v>706</v>
      </c>
      <c r="C1092" s="9" t="e">
        <f>VLOOKUP(A1092,[2]Planilha1!$A:$B,2,0)</f>
        <v>#N/A</v>
      </c>
      <c r="D1092" s="10">
        <f>SUMIF([1]Relatório!$A$2:$A$2653,A1092,[1]Relatório!$AK$2:$AK$2653)</f>
        <v>69</v>
      </c>
      <c r="E1092" s="11">
        <f t="shared" si="32"/>
        <v>0.000117957388320851</v>
      </c>
      <c r="F1092" s="11">
        <f>SUM($E$7:E1092)</f>
        <v>0.968407934258415</v>
      </c>
      <c r="G1092" s="12" t="str">
        <f t="shared" si="33"/>
        <v>C</v>
      </c>
      <c r="H1092" s="9" t="s">
        <v>183</v>
      </c>
      <c r="I1092" s="9" t="s">
        <v>2354</v>
      </c>
      <c r="J1092" s="9" t="s">
        <v>241</v>
      </c>
      <c r="K1092" s="10" t="str">
        <f>IFERROR(VLOOKUP(A1092,'Pedido ESTHER'!$B:$C,2,0),"")</f>
        <v/>
      </c>
      <c r="L1092" s="12" t="str">
        <f>IF(N(K1092)&gt;0,"COMPRA","NÃO COMPRA")</f>
        <v>NÃO COMPRA</v>
      </c>
    </row>
    <row r="1093" spans="1:12">
      <c r="A1093" s="8" t="s">
        <v>2355</v>
      </c>
      <c r="B1093" s="9" t="s">
        <v>1645</v>
      </c>
      <c r="C1093" s="9" t="e">
        <f>VLOOKUP(A1093,[2]Planilha1!$A:$B,2,0)</f>
        <v>#N/A</v>
      </c>
      <c r="D1093" s="10">
        <f>SUMIF([1]Relatório!$A$2:$A$2653,A1093,[1]Relatório!$AK$2:$AK$2653)</f>
        <v>69</v>
      </c>
      <c r="E1093" s="11">
        <f t="shared" si="32"/>
        <v>0.000117957388320851</v>
      </c>
      <c r="F1093" s="11">
        <f>SUM($E$7:E1093)</f>
        <v>0.968525891646736</v>
      </c>
      <c r="G1093" s="12" t="str">
        <f t="shared" si="33"/>
        <v>C</v>
      </c>
      <c r="H1093" s="9" t="s">
        <v>183</v>
      </c>
      <c r="I1093" s="9" t="s">
        <v>2356</v>
      </c>
      <c r="J1093" s="9" t="s">
        <v>83</v>
      </c>
      <c r="K1093" s="10" t="str">
        <f>IFERROR(VLOOKUP(A1093,'Pedido ESTHER'!$B:$C,2,0),"")</f>
        <v/>
      </c>
      <c r="L1093" s="12" t="str">
        <f>IF(N(K1093)&gt;0,"COMPRA","NÃO COMPRA")</f>
        <v>NÃO COMPRA</v>
      </c>
    </row>
    <row r="1094" spans="1:12">
      <c r="A1094" s="8" t="s">
        <v>2357</v>
      </c>
      <c r="B1094" s="9" t="s">
        <v>1383</v>
      </c>
      <c r="C1094" s="9" t="e">
        <f>VLOOKUP(A1094,[2]Planilha1!$A:$B,2,0)</f>
        <v>#N/A</v>
      </c>
      <c r="D1094" s="10">
        <f>SUMIF([1]Relatório!$A$2:$A$2653,A1094,[1]Relatório!$AK$2:$AK$2653)</f>
        <v>69</v>
      </c>
      <c r="E1094" s="11">
        <f t="shared" si="32"/>
        <v>0.000117957388320851</v>
      </c>
      <c r="F1094" s="11">
        <f>SUM($E$7:E1094)</f>
        <v>0.968643849035057</v>
      </c>
      <c r="G1094" s="12" t="str">
        <f t="shared" si="33"/>
        <v>C</v>
      </c>
      <c r="H1094" s="9" t="s">
        <v>221</v>
      </c>
      <c r="I1094" s="9" t="s">
        <v>2358</v>
      </c>
      <c r="J1094" s="9" t="s">
        <v>40</v>
      </c>
      <c r="K1094" s="10" t="str">
        <f>IFERROR(VLOOKUP(A1094,'Pedido ESTHER'!$B:$C,2,0),"")</f>
        <v/>
      </c>
      <c r="L1094" s="12" t="str">
        <f>IF(N(K1094)&gt;0,"COMPRA","NÃO COMPRA")</f>
        <v>NÃO COMPRA</v>
      </c>
    </row>
    <row r="1095" spans="1:12">
      <c r="A1095" s="8" t="s">
        <v>2359</v>
      </c>
      <c r="B1095" s="9" t="s">
        <v>1383</v>
      </c>
      <c r="C1095" s="9" t="e">
        <f>VLOOKUP(A1095,[2]Planilha1!$A:$B,2,0)</f>
        <v>#N/A</v>
      </c>
      <c r="D1095" s="10">
        <f>SUMIF([1]Relatório!$A$2:$A$2653,A1095,[1]Relatório!$AK$2:$AK$2653)</f>
        <v>69</v>
      </c>
      <c r="E1095" s="11">
        <f t="shared" si="32"/>
        <v>0.000117957388320851</v>
      </c>
      <c r="F1095" s="11">
        <f>SUM($E$7:E1095)</f>
        <v>0.968761806423378</v>
      </c>
      <c r="G1095" s="12" t="str">
        <f t="shared" si="33"/>
        <v>C</v>
      </c>
      <c r="H1095" s="9" t="s">
        <v>221</v>
      </c>
      <c r="I1095" s="9" t="s">
        <v>2360</v>
      </c>
      <c r="J1095" s="9" t="s">
        <v>863</v>
      </c>
      <c r="K1095" s="10" t="str">
        <f>IFERROR(VLOOKUP(A1095,'Pedido ESTHER'!$B:$C,2,0),"")</f>
        <v/>
      </c>
      <c r="L1095" s="12" t="str">
        <f>IF(N(K1095)&gt;0,"COMPRA","NÃO COMPRA")</f>
        <v>NÃO COMPRA</v>
      </c>
    </row>
    <row r="1096" spans="1:12">
      <c r="A1096" s="8" t="s">
        <v>2361</v>
      </c>
      <c r="B1096" s="9" t="s">
        <v>2102</v>
      </c>
      <c r="C1096" s="9" t="e">
        <f>VLOOKUP(A1096,[2]Planilha1!$A:$B,2,0)</f>
        <v>#N/A</v>
      </c>
      <c r="D1096" s="10">
        <f>SUMIF([1]Relatório!$A$2:$A$2653,A1096,[1]Relatório!$AK$2:$AK$2653)</f>
        <v>69</v>
      </c>
      <c r="E1096" s="11">
        <f t="shared" ref="E1096:E1159" si="34">D1096/SUM($D$7:$D$1708)</f>
        <v>0.000117957388320851</v>
      </c>
      <c r="F1096" s="11">
        <f>SUM($E$7:E1096)</f>
        <v>0.968879763811699</v>
      </c>
      <c r="G1096" s="12" t="str">
        <f t="shared" ref="G1096:G1159" si="35">IF(F1096&lt;=70%,"A",IF(F1096&lt;=90%,"B","C"))</f>
        <v>C</v>
      </c>
      <c r="H1096" s="9" t="s">
        <v>1117</v>
      </c>
      <c r="I1096" s="9" t="s">
        <v>2362</v>
      </c>
      <c r="J1096" s="9" t="s">
        <v>1143</v>
      </c>
      <c r="K1096" s="10" t="str">
        <f>IFERROR(VLOOKUP(A1096,'Pedido ESTHER'!$B:$C,2,0),"")</f>
        <v/>
      </c>
      <c r="L1096" s="12" t="str">
        <f>IF(N(K1096)&gt;0,"COMPRA","NÃO COMPRA")</f>
        <v>NÃO COMPRA</v>
      </c>
    </row>
    <row r="1097" spans="1:12">
      <c r="A1097" s="8" t="s">
        <v>2363</v>
      </c>
      <c r="B1097" s="9" t="s">
        <v>2364</v>
      </c>
      <c r="C1097" s="9" t="e">
        <f>VLOOKUP(A1097,[2]Planilha1!$A:$B,2,0)</f>
        <v>#N/A</v>
      </c>
      <c r="D1097" s="10">
        <f>SUMIF([1]Relatório!$A$2:$A$2653,A1097,[1]Relatório!$AK$2:$AK$2653)</f>
        <v>69</v>
      </c>
      <c r="E1097" s="11">
        <f t="shared" si="34"/>
        <v>0.000117957388320851</v>
      </c>
      <c r="F1097" s="11">
        <f>SUM($E$7:E1097)</f>
        <v>0.968997721200019</v>
      </c>
      <c r="G1097" s="12" t="str">
        <f t="shared" si="35"/>
        <v>C</v>
      </c>
      <c r="H1097" s="9" t="s">
        <v>112</v>
      </c>
      <c r="I1097" s="9" t="s">
        <v>2365</v>
      </c>
      <c r="J1097" s="9" t="s">
        <v>241</v>
      </c>
      <c r="K1097" s="10" t="str">
        <f>IFERROR(VLOOKUP(A1097,'Pedido ESTHER'!$B:$C,2,0),"")</f>
        <v/>
      </c>
      <c r="L1097" s="12" t="str">
        <f>IF(N(K1097)&gt;0,"COMPRA","NÃO COMPRA")</f>
        <v>NÃO COMPRA</v>
      </c>
    </row>
    <row r="1098" spans="1:12">
      <c r="A1098" s="8" t="s">
        <v>2366</v>
      </c>
      <c r="B1098" s="9" t="s">
        <v>2367</v>
      </c>
      <c r="C1098" s="9" t="e">
        <f>VLOOKUP(A1098,[2]Planilha1!$A:$B,2,0)</f>
        <v>#N/A</v>
      </c>
      <c r="D1098" s="10">
        <f>SUMIF([1]Relatório!$A$2:$A$2653,A1098,[1]Relatório!$AK$2:$AK$2653)</f>
        <v>69</v>
      </c>
      <c r="E1098" s="11">
        <f t="shared" si="34"/>
        <v>0.000117957388320851</v>
      </c>
      <c r="F1098" s="11">
        <f>SUM($E$7:E1098)</f>
        <v>0.96911567858834</v>
      </c>
      <c r="G1098" s="12" t="str">
        <f t="shared" si="35"/>
        <v>C</v>
      </c>
      <c r="H1098" s="9" t="s">
        <v>221</v>
      </c>
      <c r="I1098" s="9" t="s">
        <v>2368</v>
      </c>
      <c r="J1098" s="9" t="s">
        <v>164</v>
      </c>
      <c r="K1098" s="10" t="str">
        <f>IFERROR(VLOOKUP(A1098,'Pedido ESTHER'!$B:$C,2,0),"")</f>
        <v/>
      </c>
      <c r="L1098" s="12" t="str">
        <f>IF(N(K1098)&gt;0,"COMPRA","NÃO COMPRA")</f>
        <v>NÃO COMPRA</v>
      </c>
    </row>
    <row r="1099" spans="1:12">
      <c r="A1099" s="8" t="s">
        <v>2369</v>
      </c>
      <c r="B1099" s="9" t="s">
        <v>2370</v>
      </c>
      <c r="C1099" s="9" t="e">
        <f>VLOOKUP(A1099,[2]Planilha1!$A:$B,2,0)</f>
        <v>#N/A</v>
      </c>
      <c r="D1099" s="10">
        <f>SUMIF([1]Relatório!$A$2:$A$2653,A1099,[1]Relatório!$AK$2:$AK$2653)</f>
        <v>69</v>
      </c>
      <c r="E1099" s="11">
        <f t="shared" si="34"/>
        <v>0.000117957388320851</v>
      </c>
      <c r="F1099" s="11">
        <f>SUM($E$7:E1099)</f>
        <v>0.969233635976661</v>
      </c>
      <c r="G1099" s="12" t="str">
        <f t="shared" si="35"/>
        <v>C</v>
      </c>
      <c r="H1099" s="9" t="s">
        <v>74</v>
      </c>
      <c r="I1099" s="9" t="s">
        <v>2371</v>
      </c>
      <c r="J1099" s="9" t="s">
        <v>2372</v>
      </c>
      <c r="K1099" s="10" t="str">
        <f>IFERROR(VLOOKUP(A1099,'Pedido ESTHER'!$B:$C,2,0),"")</f>
        <v/>
      </c>
      <c r="L1099" s="12" t="str">
        <f>IF(N(K1099)&gt;0,"COMPRA","NÃO COMPRA")</f>
        <v>NÃO COMPRA</v>
      </c>
    </row>
    <row r="1100" spans="1:12">
      <c r="A1100" s="8" t="s">
        <v>2373</v>
      </c>
      <c r="B1100" s="9" t="s">
        <v>1376</v>
      </c>
      <c r="C1100" s="9" t="e">
        <f>VLOOKUP(A1100,[2]Planilha1!$A:$B,2,0)</f>
        <v>#N/A</v>
      </c>
      <c r="D1100" s="10">
        <f>SUMIF([1]Relatório!$A$2:$A$2653,A1100,[1]Relatório!$AK$2:$AK$2653)</f>
        <v>68</v>
      </c>
      <c r="E1100" s="11">
        <f t="shared" si="34"/>
        <v>0.000116247860953882</v>
      </c>
      <c r="F1100" s="11">
        <f>SUM($E$7:E1100)</f>
        <v>0.969349883837615</v>
      </c>
      <c r="G1100" s="12" t="str">
        <f t="shared" si="35"/>
        <v>C</v>
      </c>
      <c r="H1100" s="9" t="s">
        <v>1344</v>
      </c>
      <c r="I1100" s="9" t="s">
        <v>2374</v>
      </c>
      <c r="J1100" s="9" t="s">
        <v>29</v>
      </c>
      <c r="K1100" s="10" t="str">
        <f>IFERROR(VLOOKUP(A1100,'Pedido ESTHER'!$B:$C,2,0),"")</f>
        <v/>
      </c>
      <c r="L1100" s="12" t="str">
        <f>IF(N(K1100)&gt;0,"COMPRA","NÃO COMPRA")</f>
        <v>NÃO COMPRA</v>
      </c>
    </row>
    <row r="1101" spans="1:12">
      <c r="A1101" s="8" t="s">
        <v>2375</v>
      </c>
      <c r="B1101" s="9" t="s">
        <v>363</v>
      </c>
      <c r="C1101" s="9" t="e">
        <f>VLOOKUP(A1101,[2]Planilha1!$A:$B,2,0)</f>
        <v>#N/A</v>
      </c>
      <c r="D1101" s="10">
        <f>SUMIF([1]Relatório!$A$2:$A$2653,A1101,[1]Relatório!$AK$2:$AK$2653)</f>
        <v>68</v>
      </c>
      <c r="E1101" s="11">
        <f t="shared" si="34"/>
        <v>0.000116247860953882</v>
      </c>
      <c r="F1101" s="11">
        <f>SUM($E$7:E1101)</f>
        <v>0.969466131698569</v>
      </c>
      <c r="G1101" s="12" t="str">
        <f t="shared" si="35"/>
        <v>C</v>
      </c>
      <c r="H1101" s="9" t="s">
        <v>183</v>
      </c>
      <c r="I1101" s="9"/>
      <c r="J1101" s="9" t="s">
        <v>40</v>
      </c>
      <c r="K1101" s="10" t="str">
        <f>IFERROR(VLOOKUP(A1101,'Pedido ESTHER'!$B:$C,2,0),"")</f>
        <v/>
      </c>
      <c r="L1101" s="12" t="str">
        <f>IF(N(K1101)&gt;0,"COMPRA","NÃO COMPRA")</f>
        <v>NÃO COMPRA</v>
      </c>
    </row>
    <row r="1102" spans="1:12">
      <c r="A1102" s="8" t="s">
        <v>2376</v>
      </c>
      <c r="B1102" s="9" t="s">
        <v>1754</v>
      </c>
      <c r="C1102" s="9" t="e">
        <f>VLOOKUP(A1102,[2]Planilha1!$A:$B,2,0)</f>
        <v>#N/A</v>
      </c>
      <c r="D1102" s="10">
        <f>SUMIF([1]Relatório!$A$2:$A$2653,A1102,[1]Relatório!$AK$2:$AK$2653)</f>
        <v>68</v>
      </c>
      <c r="E1102" s="11">
        <f t="shared" si="34"/>
        <v>0.000116247860953882</v>
      </c>
      <c r="F1102" s="11">
        <f>SUM($E$7:E1102)</f>
        <v>0.969582379559523</v>
      </c>
      <c r="G1102" s="12" t="str">
        <f t="shared" si="35"/>
        <v>C</v>
      </c>
      <c r="H1102" s="9" t="s">
        <v>221</v>
      </c>
      <c r="I1102" s="9" t="s">
        <v>2377</v>
      </c>
      <c r="J1102" s="9" t="s">
        <v>671</v>
      </c>
      <c r="K1102" s="10" t="str">
        <f>IFERROR(VLOOKUP(A1102,'Pedido ESTHER'!$B:$C,2,0),"")</f>
        <v/>
      </c>
      <c r="L1102" s="12" t="str">
        <f>IF(N(K1102)&gt;0,"COMPRA","NÃO COMPRA")</f>
        <v>NÃO COMPRA</v>
      </c>
    </row>
    <row r="1103" spans="1:12">
      <c r="A1103" s="8" t="s">
        <v>2378</v>
      </c>
      <c r="B1103" s="9" t="s">
        <v>1586</v>
      </c>
      <c r="C1103" s="9" t="e">
        <f>VLOOKUP(A1103,[2]Planilha1!$A:$B,2,0)</f>
        <v>#N/A</v>
      </c>
      <c r="D1103" s="10">
        <f>SUMIF([1]Relatório!$A$2:$A$2653,A1103,[1]Relatório!$AK$2:$AK$2653)</f>
        <v>68</v>
      </c>
      <c r="E1103" s="11">
        <f t="shared" si="34"/>
        <v>0.000116247860953882</v>
      </c>
      <c r="F1103" s="11">
        <f>SUM($E$7:E1103)</f>
        <v>0.969698627420477</v>
      </c>
      <c r="G1103" s="12" t="str">
        <f t="shared" si="35"/>
        <v>C</v>
      </c>
      <c r="H1103" s="9" t="s">
        <v>112</v>
      </c>
      <c r="I1103" s="9" t="s">
        <v>2379</v>
      </c>
      <c r="J1103" s="9" t="s">
        <v>1143</v>
      </c>
      <c r="K1103" s="10" t="str">
        <f>IFERROR(VLOOKUP(A1103,'Pedido ESTHER'!$B:$C,2,0),"")</f>
        <v/>
      </c>
      <c r="L1103" s="12" t="str">
        <f>IF(N(K1103)&gt;0,"COMPRA","NÃO COMPRA")</f>
        <v>NÃO COMPRA</v>
      </c>
    </row>
    <row r="1104" spans="1:12">
      <c r="A1104" s="8" t="s">
        <v>2380</v>
      </c>
      <c r="B1104" s="9" t="s">
        <v>2381</v>
      </c>
      <c r="C1104" s="9" t="e">
        <f>VLOOKUP(A1104,[2]Planilha1!$A:$B,2,0)</f>
        <v>#N/A</v>
      </c>
      <c r="D1104" s="10">
        <f>SUMIF([1]Relatório!$A$2:$A$2653,A1104,[1]Relatório!$AK$2:$AK$2653)</f>
        <v>68</v>
      </c>
      <c r="E1104" s="11">
        <f t="shared" si="34"/>
        <v>0.000116247860953882</v>
      </c>
      <c r="F1104" s="11">
        <f>SUM($E$7:E1104)</f>
        <v>0.969814875281431</v>
      </c>
      <c r="G1104" s="12" t="str">
        <f t="shared" si="35"/>
        <v>C</v>
      </c>
      <c r="H1104" s="9" t="s">
        <v>183</v>
      </c>
      <c r="I1104" s="9" t="s">
        <v>2382</v>
      </c>
      <c r="J1104" s="9" t="s">
        <v>2383</v>
      </c>
      <c r="K1104" s="10" t="str">
        <f>IFERROR(VLOOKUP(A1104,'Pedido ESTHER'!$B:$C,2,0),"")</f>
        <v/>
      </c>
      <c r="L1104" s="12" t="str">
        <f>IF(N(K1104)&gt;0,"COMPRA","NÃO COMPRA")</f>
        <v>NÃO COMPRA</v>
      </c>
    </row>
    <row r="1105" spans="1:12">
      <c r="A1105" s="8" t="s">
        <v>2384</v>
      </c>
      <c r="B1105" s="9" t="s">
        <v>162</v>
      </c>
      <c r="C1105" s="9" t="e">
        <f>VLOOKUP(A1105,[2]Planilha1!$A:$B,2,0)</f>
        <v>#N/A</v>
      </c>
      <c r="D1105" s="10">
        <f>SUMIF([1]Relatório!$A$2:$A$2653,A1105,[1]Relatório!$AK$2:$AK$2653)</f>
        <v>68</v>
      </c>
      <c r="E1105" s="11">
        <f t="shared" si="34"/>
        <v>0.000116247860953882</v>
      </c>
      <c r="F1105" s="11">
        <f>SUM($E$7:E1105)</f>
        <v>0.969931123142384</v>
      </c>
      <c r="G1105" s="12" t="str">
        <f t="shared" si="35"/>
        <v>C</v>
      </c>
      <c r="H1105" s="9" t="s">
        <v>21</v>
      </c>
      <c r="I1105" s="9" t="s">
        <v>163</v>
      </c>
      <c r="J1105" s="9" t="s">
        <v>164</v>
      </c>
      <c r="K1105" s="10" t="str">
        <f>IFERROR(VLOOKUP(A1105,'Pedido ESTHER'!$B:$C,2,0),"")</f>
        <v/>
      </c>
      <c r="L1105" s="12" t="str">
        <f>IF(N(K1105)&gt;0,"COMPRA","NÃO COMPRA")</f>
        <v>NÃO COMPRA</v>
      </c>
    </row>
    <row r="1106" spans="1:12">
      <c r="A1106" s="8" t="s">
        <v>2385</v>
      </c>
      <c r="B1106" s="9" t="s">
        <v>2386</v>
      </c>
      <c r="C1106" s="9" t="e">
        <f>VLOOKUP(A1106,[2]Planilha1!$A:$B,2,0)</f>
        <v>#N/A</v>
      </c>
      <c r="D1106" s="10">
        <f>SUMIF([1]Relatório!$A$2:$A$2653,A1106,[1]Relatório!$AK$2:$AK$2653)</f>
        <v>67</v>
      </c>
      <c r="E1106" s="11">
        <f t="shared" si="34"/>
        <v>0.000114538333586913</v>
      </c>
      <c r="F1106" s="11">
        <f>SUM($E$7:E1106)</f>
        <v>0.970045661475971</v>
      </c>
      <c r="G1106" s="12" t="str">
        <f t="shared" si="35"/>
        <v>C</v>
      </c>
      <c r="H1106" s="9" t="s">
        <v>183</v>
      </c>
      <c r="I1106" s="9"/>
      <c r="J1106" s="9" t="s">
        <v>2387</v>
      </c>
      <c r="K1106" s="10" t="str">
        <f>IFERROR(VLOOKUP(A1106,'Pedido ESTHER'!$B:$C,2,0),"")</f>
        <v/>
      </c>
      <c r="L1106" s="12" t="str">
        <f>IF(N(K1106)&gt;0,"COMPRA","NÃO COMPRA")</f>
        <v>NÃO COMPRA</v>
      </c>
    </row>
    <row r="1107" spans="1:12">
      <c r="A1107" s="8" t="s">
        <v>2388</v>
      </c>
      <c r="B1107" s="9" t="s">
        <v>812</v>
      </c>
      <c r="C1107" s="9" t="e">
        <f>VLOOKUP(A1107,[2]Planilha1!$A:$B,2,0)</f>
        <v>#N/A</v>
      </c>
      <c r="D1107" s="10">
        <f>SUMIF([1]Relatório!$A$2:$A$2653,A1107,[1]Relatório!$AK$2:$AK$2653)</f>
        <v>67</v>
      </c>
      <c r="E1107" s="11">
        <f t="shared" si="34"/>
        <v>0.000114538333586913</v>
      </c>
      <c r="F1107" s="11">
        <f>SUM($E$7:E1107)</f>
        <v>0.970160199809558</v>
      </c>
      <c r="G1107" s="12" t="str">
        <f t="shared" si="35"/>
        <v>C</v>
      </c>
      <c r="H1107" s="9" t="s">
        <v>183</v>
      </c>
      <c r="I1107" s="9" t="s">
        <v>2389</v>
      </c>
      <c r="J1107" s="9" t="s">
        <v>813</v>
      </c>
      <c r="K1107" s="10" t="str">
        <f>IFERROR(VLOOKUP(A1107,'Pedido ESTHER'!$B:$C,2,0),"")</f>
        <v/>
      </c>
      <c r="L1107" s="12" t="str">
        <f>IF(N(K1107)&gt;0,"COMPRA","NÃO COMPRA")</f>
        <v>NÃO COMPRA</v>
      </c>
    </row>
    <row r="1108" spans="1:12">
      <c r="A1108" s="8" t="s">
        <v>2390</v>
      </c>
      <c r="B1108" s="9" t="s">
        <v>2085</v>
      </c>
      <c r="C1108" s="9" t="e">
        <f>VLOOKUP(A1108,[2]Planilha1!$A:$B,2,0)</f>
        <v>#N/A</v>
      </c>
      <c r="D1108" s="10">
        <f>SUMIF([1]Relatório!$A$2:$A$2653,A1108,[1]Relatório!$AK$2:$AK$2653)</f>
        <v>66</v>
      </c>
      <c r="E1108" s="11">
        <f t="shared" si="34"/>
        <v>0.000112828806219944</v>
      </c>
      <c r="F1108" s="11">
        <f>SUM($E$7:E1108)</f>
        <v>0.970273028615778</v>
      </c>
      <c r="G1108" s="12" t="str">
        <f t="shared" si="35"/>
        <v>C</v>
      </c>
      <c r="H1108" s="9" t="s">
        <v>1344</v>
      </c>
      <c r="I1108" s="9" t="s">
        <v>2391</v>
      </c>
      <c r="J1108" s="9" t="s">
        <v>44</v>
      </c>
      <c r="K1108" s="10" t="str">
        <f>IFERROR(VLOOKUP(A1108,'Pedido ESTHER'!$B:$C,2,0),"")</f>
        <v/>
      </c>
      <c r="L1108" s="12" t="str">
        <f>IF(N(K1108)&gt;0,"COMPRA","NÃO COMPRA")</f>
        <v>NÃO COMPRA</v>
      </c>
    </row>
    <row r="1109" spans="1:12">
      <c r="A1109" s="8" t="s">
        <v>2392</v>
      </c>
      <c r="B1109" s="9" t="s">
        <v>1612</v>
      </c>
      <c r="C1109" s="9" t="e">
        <f>VLOOKUP(A1109,[2]Planilha1!$A:$B,2,0)</f>
        <v>#N/A</v>
      </c>
      <c r="D1109" s="10">
        <f>SUMIF([1]Relatório!$A$2:$A$2653,A1109,[1]Relatório!$AK$2:$AK$2653)</f>
        <v>66</v>
      </c>
      <c r="E1109" s="11">
        <f t="shared" si="34"/>
        <v>0.000112828806219944</v>
      </c>
      <c r="F1109" s="11">
        <f>SUM($E$7:E1109)</f>
        <v>0.970385857421998</v>
      </c>
      <c r="G1109" s="12" t="str">
        <f t="shared" si="35"/>
        <v>C</v>
      </c>
      <c r="H1109" s="9" t="s">
        <v>1344</v>
      </c>
      <c r="I1109" s="9" t="s">
        <v>2393</v>
      </c>
      <c r="J1109" s="9" t="s">
        <v>33</v>
      </c>
      <c r="K1109" s="10" t="str">
        <f>IFERROR(VLOOKUP(A1109,'Pedido ESTHER'!$B:$C,2,0),"")</f>
        <v/>
      </c>
      <c r="L1109" s="12" t="str">
        <f>IF(N(K1109)&gt;0,"COMPRA","NÃO COMPRA")</f>
        <v>NÃO COMPRA</v>
      </c>
    </row>
    <row r="1110" spans="1:12">
      <c r="A1110" s="8" t="s">
        <v>2394</v>
      </c>
      <c r="B1110" s="9" t="s">
        <v>335</v>
      </c>
      <c r="C1110" s="9" t="e">
        <f>VLOOKUP(A1110,[2]Planilha1!$A:$B,2,0)</f>
        <v>#N/A</v>
      </c>
      <c r="D1110" s="10">
        <f>SUMIF([1]Relatório!$A$2:$A$2653,A1110,[1]Relatório!$AK$2:$AK$2653)</f>
        <v>66</v>
      </c>
      <c r="E1110" s="11">
        <f t="shared" si="34"/>
        <v>0.000112828806219944</v>
      </c>
      <c r="F1110" s="11">
        <f>SUM($E$7:E1110)</f>
        <v>0.970498686228218</v>
      </c>
      <c r="G1110" s="12" t="str">
        <f t="shared" si="35"/>
        <v>C</v>
      </c>
      <c r="H1110" s="9" t="s">
        <v>183</v>
      </c>
      <c r="I1110" s="9"/>
      <c r="J1110" s="9" t="s">
        <v>44</v>
      </c>
      <c r="K1110" s="10" t="str">
        <f>IFERROR(VLOOKUP(A1110,'Pedido ESTHER'!$B:$C,2,0),"")</f>
        <v/>
      </c>
      <c r="L1110" s="12" t="str">
        <f>IF(N(K1110)&gt;0,"COMPRA","NÃO COMPRA")</f>
        <v>NÃO COMPRA</v>
      </c>
    </row>
    <row r="1111" spans="1:12">
      <c r="A1111" s="8" t="s">
        <v>2395</v>
      </c>
      <c r="B1111" s="9" t="s">
        <v>335</v>
      </c>
      <c r="C1111" s="9" t="e">
        <f>VLOOKUP(A1111,[2]Planilha1!$A:$B,2,0)</f>
        <v>#N/A</v>
      </c>
      <c r="D1111" s="10">
        <f>SUMIF([1]Relatório!$A$2:$A$2653,A1111,[1]Relatório!$AK$2:$AK$2653)</f>
        <v>66</v>
      </c>
      <c r="E1111" s="11">
        <f t="shared" si="34"/>
        <v>0.000112828806219944</v>
      </c>
      <c r="F1111" s="11">
        <f>SUM($E$7:E1111)</f>
        <v>0.970611515034438</v>
      </c>
      <c r="G1111" s="12" t="str">
        <f t="shared" si="35"/>
        <v>C</v>
      </c>
      <c r="H1111" s="9" t="s">
        <v>183</v>
      </c>
      <c r="I1111" s="9" t="s">
        <v>2396</v>
      </c>
      <c r="J1111" s="9" t="s">
        <v>44</v>
      </c>
      <c r="K1111" s="10" t="str">
        <f>IFERROR(VLOOKUP(A1111,'Pedido ESTHER'!$B:$C,2,0),"")</f>
        <v/>
      </c>
      <c r="L1111" s="12" t="str">
        <f>IF(N(K1111)&gt;0,"COMPRA","NÃO COMPRA")</f>
        <v>NÃO COMPRA</v>
      </c>
    </row>
    <row r="1112" spans="1:12">
      <c r="A1112" s="8" t="s">
        <v>2397</v>
      </c>
      <c r="B1112" s="9" t="s">
        <v>2006</v>
      </c>
      <c r="C1112" s="9" t="e">
        <f>VLOOKUP(A1112,[2]Planilha1!$A:$B,2,0)</f>
        <v>#N/A</v>
      </c>
      <c r="D1112" s="10">
        <f>SUMIF([1]Relatório!$A$2:$A$2653,A1112,[1]Relatório!$AK$2:$AK$2653)</f>
        <v>66</v>
      </c>
      <c r="E1112" s="11">
        <f t="shared" si="34"/>
        <v>0.000112828806219944</v>
      </c>
      <c r="F1112" s="11">
        <f>SUM($E$7:E1112)</f>
        <v>0.970724343840658</v>
      </c>
      <c r="G1112" s="12" t="str">
        <f t="shared" si="35"/>
        <v>C</v>
      </c>
      <c r="H1112" s="9" t="s">
        <v>21</v>
      </c>
      <c r="I1112" s="9"/>
      <c r="J1112" s="9" t="s">
        <v>916</v>
      </c>
      <c r="K1112" s="10" t="str">
        <f>IFERROR(VLOOKUP(A1112,'Pedido ESTHER'!$B:$C,2,0),"")</f>
        <v/>
      </c>
      <c r="L1112" s="12" t="str">
        <f>IF(N(K1112)&gt;0,"COMPRA","NÃO COMPRA")</f>
        <v>NÃO COMPRA</v>
      </c>
    </row>
    <row r="1113" spans="1:12">
      <c r="A1113" s="8" t="s">
        <v>2398</v>
      </c>
      <c r="B1113" s="9" t="s">
        <v>1206</v>
      </c>
      <c r="C1113" s="9" t="e">
        <f>VLOOKUP(A1113,[2]Planilha1!$A:$B,2,0)</f>
        <v>#N/A</v>
      </c>
      <c r="D1113" s="10">
        <f>SUMIF([1]Relatório!$A$2:$A$2653,A1113,[1]Relatório!$AK$2:$AK$2653)</f>
        <v>66</v>
      </c>
      <c r="E1113" s="11">
        <f t="shared" si="34"/>
        <v>0.000112828806219944</v>
      </c>
      <c r="F1113" s="11">
        <f>SUM($E$7:E1113)</f>
        <v>0.970837172646878</v>
      </c>
      <c r="G1113" s="12" t="str">
        <f t="shared" si="35"/>
        <v>C</v>
      </c>
      <c r="H1113" s="9" t="s">
        <v>1059</v>
      </c>
      <c r="I1113" s="9" t="s">
        <v>2399</v>
      </c>
      <c r="J1113" s="9" t="s">
        <v>158</v>
      </c>
      <c r="K1113" s="10" t="str">
        <f>IFERROR(VLOOKUP(A1113,'Pedido ESTHER'!$B:$C,2,0),"")</f>
        <v/>
      </c>
      <c r="L1113" s="12" t="str">
        <f>IF(N(K1113)&gt;0,"COMPRA","NÃO COMPRA")</f>
        <v>NÃO COMPRA</v>
      </c>
    </row>
    <row r="1114" spans="1:12">
      <c r="A1114" s="8" t="s">
        <v>2400</v>
      </c>
      <c r="B1114" s="9" t="s">
        <v>38</v>
      </c>
      <c r="C1114" s="9" t="e">
        <f>VLOOKUP(A1114,[2]Planilha1!$A:$B,2,0)</f>
        <v>#N/A</v>
      </c>
      <c r="D1114" s="10">
        <f>SUMIF([1]Relatório!$A$2:$A$2653,A1114,[1]Relatório!$AK$2:$AK$2653)</f>
        <v>66</v>
      </c>
      <c r="E1114" s="11">
        <f t="shared" si="34"/>
        <v>0.000112828806219944</v>
      </c>
      <c r="F1114" s="11">
        <f>SUM($E$7:E1114)</f>
        <v>0.970950001453098</v>
      </c>
      <c r="G1114" s="12" t="str">
        <f t="shared" si="35"/>
        <v>C</v>
      </c>
      <c r="H1114" s="9" t="s">
        <v>21</v>
      </c>
      <c r="I1114" s="9" t="s">
        <v>2401</v>
      </c>
      <c r="J1114" s="9" t="s">
        <v>40</v>
      </c>
      <c r="K1114" s="10" t="str">
        <f>IFERROR(VLOOKUP(A1114,'Pedido ESTHER'!$B:$C,2,0),"")</f>
        <v/>
      </c>
      <c r="L1114" s="12" t="str">
        <f>IF(N(K1114)&gt;0,"COMPRA","NÃO COMPRA")</f>
        <v>NÃO COMPRA</v>
      </c>
    </row>
    <row r="1115" spans="1:12">
      <c r="A1115" s="8" t="s">
        <v>2402</v>
      </c>
      <c r="B1115" s="9" t="s">
        <v>2403</v>
      </c>
      <c r="C1115" s="9" t="e">
        <f>VLOOKUP(A1115,[2]Planilha1!$A:$B,2,0)</f>
        <v>#N/A</v>
      </c>
      <c r="D1115" s="10">
        <f>SUMIF([1]Relatório!$A$2:$A$2653,A1115,[1]Relatório!$AK$2:$AK$2653)</f>
        <v>66</v>
      </c>
      <c r="E1115" s="11">
        <f t="shared" si="34"/>
        <v>0.000112828806219944</v>
      </c>
      <c r="F1115" s="11">
        <f>SUM($E$7:E1115)</f>
        <v>0.971062830259318</v>
      </c>
      <c r="G1115" s="12" t="str">
        <f t="shared" si="35"/>
        <v>C</v>
      </c>
      <c r="H1115" s="9" t="s">
        <v>74</v>
      </c>
      <c r="I1115" s="9" t="s">
        <v>2404</v>
      </c>
      <c r="J1115" s="9" t="s">
        <v>268</v>
      </c>
      <c r="K1115" s="10" t="str">
        <f>IFERROR(VLOOKUP(A1115,'Pedido ESTHER'!$B:$C,2,0),"")</f>
        <v/>
      </c>
      <c r="L1115" s="12" t="str">
        <f>IF(N(K1115)&gt;0,"COMPRA","NÃO COMPRA")</f>
        <v>NÃO COMPRA</v>
      </c>
    </row>
    <row r="1116" spans="1:12">
      <c r="A1116" s="8" t="s">
        <v>2405</v>
      </c>
      <c r="B1116" s="9" t="s">
        <v>1917</v>
      </c>
      <c r="C1116" s="9" t="e">
        <f>VLOOKUP(A1116,[2]Planilha1!$A:$B,2,0)</f>
        <v>#N/A</v>
      </c>
      <c r="D1116" s="10">
        <f>SUMIF([1]Relatório!$A$2:$A$2653,A1116,[1]Relatório!$AK$2:$AK$2653)</f>
        <v>65</v>
      </c>
      <c r="E1116" s="11">
        <f t="shared" si="34"/>
        <v>0.000111119278852976</v>
      </c>
      <c r="F1116" s="11">
        <f>SUM($E$7:E1116)</f>
        <v>0.971173949538171</v>
      </c>
      <c r="G1116" s="12" t="str">
        <f t="shared" si="35"/>
        <v>C</v>
      </c>
      <c r="H1116" s="9" t="s">
        <v>2406</v>
      </c>
      <c r="I1116" s="9" t="s">
        <v>2407</v>
      </c>
      <c r="J1116" s="9" t="s">
        <v>40</v>
      </c>
      <c r="K1116" s="10" t="str">
        <f>IFERROR(VLOOKUP(A1116,'Pedido ESTHER'!$B:$C,2,0),"")</f>
        <v/>
      </c>
      <c r="L1116" s="12" t="str">
        <f>IF(N(K1116)&gt;0,"COMPRA","NÃO COMPRA")</f>
        <v>NÃO COMPRA</v>
      </c>
    </row>
    <row r="1117" spans="1:12">
      <c r="A1117" s="8" t="s">
        <v>2408</v>
      </c>
      <c r="B1117" s="9" t="s">
        <v>263</v>
      </c>
      <c r="C1117" s="9" t="e">
        <f>VLOOKUP(A1117,[2]Planilha1!$A:$B,2,0)</f>
        <v>#N/A</v>
      </c>
      <c r="D1117" s="10">
        <f>SUMIF([1]Relatório!$A$2:$A$2653,A1117,[1]Relatório!$AK$2:$AK$2653)</f>
        <v>65</v>
      </c>
      <c r="E1117" s="11">
        <f t="shared" si="34"/>
        <v>0.000111119278852976</v>
      </c>
      <c r="F1117" s="11">
        <f>SUM($E$7:E1117)</f>
        <v>0.971285068817024</v>
      </c>
      <c r="G1117" s="12" t="str">
        <f t="shared" si="35"/>
        <v>C</v>
      </c>
      <c r="H1117" s="9" t="s">
        <v>117</v>
      </c>
      <c r="I1117" s="9" t="s">
        <v>2409</v>
      </c>
      <c r="J1117" s="9" t="s">
        <v>40</v>
      </c>
      <c r="K1117" s="10" t="str">
        <f>IFERROR(VLOOKUP(A1117,'Pedido ESTHER'!$B:$C,2,0),"")</f>
        <v/>
      </c>
      <c r="L1117" s="12" t="str">
        <f>IF(N(K1117)&gt;0,"COMPRA","NÃO COMPRA")</f>
        <v>NÃO COMPRA</v>
      </c>
    </row>
    <row r="1118" spans="1:12">
      <c r="A1118" s="8" t="s">
        <v>2410</v>
      </c>
      <c r="B1118" s="9" t="s">
        <v>2411</v>
      </c>
      <c r="C1118" s="9" t="e">
        <f>VLOOKUP(A1118,[2]Planilha1!$A:$B,2,0)</f>
        <v>#N/A</v>
      </c>
      <c r="D1118" s="10">
        <f>SUMIF([1]Relatório!$A$2:$A$2653,A1118,[1]Relatório!$AK$2:$AK$2653)</f>
        <v>65</v>
      </c>
      <c r="E1118" s="11">
        <f t="shared" si="34"/>
        <v>0.000111119278852976</v>
      </c>
      <c r="F1118" s="11">
        <f>SUM($E$7:E1118)</f>
        <v>0.971396188095877</v>
      </c>
      <c r="G1118" s="12" t="str">
        <f t="shared" si="35"/>
        <v>C</v>
      </c>
      <c r="H1118" s="9" t="s">
        <v>74</v>
      </c>
      <c r="I1118" s="9" t="s">
        <v>2412</v>
      </c>
      <c r="J1118" s="9" t="s">
        <v>2372</v>
      </c>
      <c r="K1118" s="10" t="str">
        <f>IFERROR(VLOOKUP(A1118,'Pedido ESTHER'!$B:$C,2,0),"")</f>
        <v/>
      </c>
      <c r="L1118" s="12" t="str">
        <f>IF(N(K1118)&gt;0,"COMPRA","NÃO COMPRA")</f>
        <v>NÃO COMPRA</v>
      </c>
    </row>
    <row r="1119" spans="1:12">
      <c r="A1119" s="8" t="s">
        <v>2413</v>
      </c>
      <c r="B1119" s="9" t="s">
        <v>1945</v>
      </c>
      <c r="C1119" s="9" t="e">
        <f>VLOOKUP(A1119,[2]Planilha1!$A:$B,2,0)</f>
        <v>#N/A</v>
      </c>
      <c r="D1119" s="10">
        <f>SUMIF([1]Relatório!$A$2:$A$2653,A1119,[1]Relatório!$AK$2:$AK$2653)</f>
        <v>64</v>
      </c>
      <c r="E1119" s="11">
        <f t="shared" si="34"/>
        <v>0.000109409751486007</v>
      </c>
      <c r="F1119" s="11">
        <f>SUM($E$7:E1119)</f>
        <v>0.971505597847363</v>
      </c>
      <c r="G1119" s="12" t="str">
        <f t="shared" si="35"/>
        <v>C</v>
      </c>
      <c r="H1119" s="9" t="s">
        <v>1344</v>
      </c>
      <c r="I1119" s="9" t="s">
        <v>2414</v>
      </c>
      <c r="J1119" s="9" t="s">
        <v>15</v>
      </c>
      <c r="K1119" s="10" t="str">
        <f>IFERROR(VLOOKUP(A1119,'Pedido ESTHER'!$B:$C,2,0),"")</f>
        <v/>
      </c>
      <c r="L1119" s="12" t="str">
        <f>IF(N(K1119)&gt;0,"COMPRA","NÃO COMPRA")</f>
        <v>NÃO COMPRA</v>
      </c>
    </row>
    <row r="1120" spans="1:12">
      <c r="A1120" s="8" t="s">
        <v>2415</v>
      </c>
      <c r="B1120" s="9" t="s">
        <v>1322</v>
      </c>
      <c r="C1120" s="9" t="e">
        <f>VLOOKUP(A1120,[2]Planilha1!$A:$B,2,0)</f>
        <v>#N/A</v>
      </c>
      <c r="D1120" s="10">
        <f>SUMIF([1]Relatório!$A$2:$A$2653,A1120,[1]Relatório!$AK$2:$AK$2653)</f>
        <v>64</v>
      </c>
      <c r="E1120" s="11">
        <f t="shared" si="34"/>
        <v>0.000109409751486007</v>
      </c>
      <c r="F1120" s="11">
        <f>SUM($E$7:E1120)</f>
        <v>0.971615007598849</v>
      </c>
      <c r="G1120" s="12" t="str">
        <f t="shared" si="35"/>
        <v>C</v>
      </c>
      <c r="H1120" s="9" t="s">
        <v>21</v>
      </c>
      <c r="I1120" s="9"/>
      <c r="J1120" s="9" t="s">
        <v>1169</v>
      </c>
      <c r="K1120" s="10" t="str">
        <f>IFERROR(VLOOKUP(A1120,'Pedido ESTHER'!$B:$C,2,0),"")</f>
        <v/>
      </c>
      <c r="L1120" s="12" t="str">
        <f>IF(N(K1120)&gt;0,"COMPRA","NÃO COMPRA")</f>
        <v>NÃO COMPRA</v>
      </c>
    </row>
    <row r="1121" spans="1:12">
      <c r="A1121" s="8" t="s">
        <v>2416</v>
      </c>
      <c r="B1121" s="9" t="s">
        <v>1322</v>
      </c>
      <c r="C1121" s="9" t="e">
        <f>VLOOKUP(A1121,[2]Planilha1!$A:$B,2,0)</f>
        <v>#N/A</v>
      </c>
      <c r="D1121" s="10">
        <f>SUMIF([1]Relatório!$A$2:$A$2653,A1121,[1]Relatório!$AK$2:$AK$2653)</f>
        <v>64</v>
      </c>
      <c r="E1121" s="11">
        <f t="shared" si="34"/>
        <v>0.000109409751486007</v>
      </c>
      <c r="F1121" s="11">
        <f>SUM($E$7:E1121)</f>
        <v>0.971724417350335</v>
      </c>
      <c r="G1121" s="12" t="str">
        <f t="shared" si="35"/>
        <v>C</v>
      </c>
      <c r="H1121" s="9" t="s">
        <v>21</v>
      </c>
      <c r="I1121" s="9" t="s">
        <v>2417</v>
      </c>
      <c r="J1121" s="9" t="s">
        <v>1169</v>
      </c>
      <c r="K1121" s="10" t="str">
        <f>IFERROR(VLOOKUP(A1121,'Pedido ESTHER'!$B:$C,2,0),"")</f>
        <v/>
      </c>
      <c r="L1121" s="12" t="str">
        <f>IF(N(K1121)&gt;0,"COMPRA","NÃO COMPRA")</f>
        <v>NÃO COMPRA</v>
      </c>
    </row>
    <row r="1122" spans="1:12">
      <c r="A1122" s="8" t="s">
        <v>2418</v>
      </c>
      <c r="B1122" s="9" t="s">
        <v>1638</v>
      </c>
      <c r="C1122" s="9" t="e">
        <f>VLOOKUP(A1122,[2]Planilha1!$A:$B,2,0)</f>
        <v>#N/A</v>
      </c>
      <c r="D1122" s="10">
        <f>SUMIF([1]Relatório!$A$2:$A$2653,A1122,[1]Relatório!$AK$2:$AK$2653)</f>
        <v>63</v>
      </c>
      <c r="E1122" s="11">
        <f t="shared" si="34"/>
        <v>0.000107700224119038</v>
      </c>
      <c r="F1122" s="11">
        <f>SUM($E$7:E1122)</f>
        <v>0.971832117574454</v>
      </c>
      <c r="G1122" s="12" t="str">
        <f t="shared" si="35"/>
        <v>C</v>
      </c>
      <c r="H1122" s="9" t="s">
        <v>1344</v>
      </c>
      <c r="I1122" s="9" t="s">
        <v>2419</v>
      </c>
      <c r="J1122" s="9" t="s">
        <v>83</v>
      </c>
      <c r="K1122" s="10">
        <f>IFERROR(VLOOKUP(A1122,'Pedido ESTHER'!$B:$C,2,0),"")</f>
        <v>3</v>
      </c>
      <c r="L1122" s="12" t="str">
        <f>IF(N(K1122)&gt;0,"COMPRA","NÃO COMPRA")</f>
        <v>COMPRA</v>
      </c>
    </row>
    <row r="1123" spans="1:12">
      <c r="A1123" s="8" t="s">
        <v>2420</v>
      </c>
      <c r="B1123" s="9" t="s">
        <v>2421</v>
      </c>
      <c r="C1123" s="9" t="e">
        <f>VLOOKUP(A1123,[2]Planilha1!$A:$B,2,0)</f>
        <v>#N/A</v>
      </c>
      <c r="D1123" s="10">
        <f>SUMIF([1]Relatório!$A$2:$A$2653,A1123,[1]Relatório!$AK$2:$AK$2653)</f>
        <v>63</v>
      </c>
      <c r="E1123" s="11">
        <f t="shared" si="34"/>
        <v>0.000107700224119038</v>
      </c>
      <c r="F1123" s="11">
        <f>SUM($E$7:E1123)</f>
        <v>0.971939817798573</v>
      </c>
      <c r="G1123" s="12" t="str">
        <f t="shared" si="35"/>
        <v>C</v>
      </c>
      <c r="H1123" s="9" t="s">
        <v>21</v>
      </c>
      <c r="I1123" s="9"/>
      <c r="J1123" s="9" t="s">
        <v>1555</v>
      </c>
      <c r="K1123" s="10" t="str">
        <f>IFERROR(VLOOKUP(A1123,'Pedido ESTHER'!$B:$C,2,0),"")</f>
        <v/>
      </c>
      <c r="L1123" s="12" t="str">
        <f>IF(N(K1123)&gt;0,"COMPRA","NÃO COMPRA")</f>
        <v>NÃO COMPRA</v>
      </c>
    </row>
    <row r="1124" spans="1:12">
      <c r="A1124" s="8" t="s">
        <v>2422</v>
      </c>
      <c r="B1124" s="9" t="s">
        <v>311</v>
      </c>
      <c r="C1124" s="9" t="e">
        <f>VLOOKUP(A1124,[2]Planilha1!$A:$B,2,0)</f>
        <v>#N/A</v>
      </c>
      <c r="D1124" s="10">
        <f>SUMIF([1]Relatório!$A$2:$A$2653,A1124,[1]Relatório!$AK$2:$AK$2653)</f>
        <v>63</v>
      </c>
      <c r="E1124" s="11">
        <f t="shared" si="34"/>
        <v>0.000107700224119038</v>
      </c>
      <c r="F1124" s="11">
        <f>SUM($E$7:E1124)</f>
        <v>0.972047518022692</v>
      </c>
      <c r="G1124" s="12" t="str">
        <f t="shared" si="35"/>
        <v>C</v>
      </c>
      <c r="H1124" s="9" t="s">
        <v>82</v>
      </c>
      <c r="I1124" s="9" t="s">
        <v>2423</v>
      </c>
      <c r="J1124" s="9" t="s">
        <v>40</v>
      </c>
      <c r="K1124" s="10" t="str">
        <f>IFERROR(VLOOKUP(A1124,'Pedido ESTHER'!$B:$C,2,0),"")</f>
        <v/>
      </c>
      <c r="L1124" s="12" t="str">
        <f>IF(N(K1124)&gt;0,"COMPRA","NÃO COMPRA")</f>
        <v>NÃO COMPRA</v>
      </c>
    </row>
    <row r="1125" spans="1:12">
      <c r="A1125" s="8" t="s">
        <v>2424</v>
      </c>
      <c r="B1125" s="9" t="s">
        <v>2425</v>
      </c>
      <c r="C1125" s="9" t="e">
        <f>VLOOKUP(A1125,[2]Planilha1!$A:$B,2,0)</f>
        <v>#N/A</v>
      </c>
      <c r="D1125" s="10">
        <f>SUMIF([1]Relatório!$A$2:$A$2653,A1125,[1]Relatório!$AK$2:$AK$2653)</f>
        <v>63</v>
      </c>
      <c r="E1125" s="11">
        <f t="shared" si="34"/>
        <v>0.000107700224119038</v>
      </c>
      <c r="F1125" s="11">
        <f>SUM($E$7:E1125)</f>
        <v>0.972155218246811</v>
      </c>
      <c r="G1125" s="12" t="str">
        <f t="shared" si="35"/>
        <v>C</v>
      </c>
      <c r="H1125" s="9" t="s">
        <v>1059</v>
      </c>
      <c r="I1125" s="9" t="s">
        <v>2426</v>
      </c>
      <c r="J1125" s="9" t="s">
        <v>695</v>
      </c>
      <c r="K1125" s="10" t="str">
        <f>IFERROR(VLOOKUP(A1125,'Pedido ESTHER'!$B:$C,2,0),"")</f>
        <v/>
      </c>
      <c r="L1125" s="12" t="str">
        <f>IF(N(K1125)&gt;0,"COMPRA","NÃO COMPRA")</f>
        <v>NÃO COMPRA</v>
      </c>
    </row>
    <row r="1126" spans="1:12">
      <c r="A1126" s="8" t="s">
        <v>2427</v>
      </c>
      <c r="B1126" s="9" t="s">
        <v>1312</v>
      </c>
      <c r="C1126" s="9" t="e">
        <f>VLOOKUP(A1126,[2]Planilha1!$A:$B,2,0)</f>
        <v>#N/A</v>
      </c>
      <c r="D1126" s="10">
        <f>SUMIF([1]Relatório!$A$2:$A$2653,A1126,[1]Relatório!$AK$2:$AK$2653)</f>
        <v>61</v>
      </c>
      <c r="E1126" s="11">
        <f t="shared" si="34"/>
        <v>0.0001042811693851</v>
      </c>
      <c r="F1126" s="11">
        <f>SUM($E$7:E1126)</f>
        <v>0.972259499416196</v>
      </c>
      <c r="G1126" s="12" t="str">
        <f t="shared" si="35"/>
        <v>C</v>
      </c>
      <c r="H1126" s="9" t="s">
        <v>183</v>
      </c>
      <c r="I1126" s="9" t="s">
        <v>2428</v>
      </c>
      <c r="J1126" s="9" t="s">
        <v>164</v>
      </c>
      <c r="K1126" s="10" t="str">
        <f>IFERROR(VLOOKUP(A1126,'Pedido ESTHER'!$B:$C,2,0),"")</f>
        <v/>
      </c>
      <c r="L1126" s="12" t="str">
        <f>IF(N(K1126)&gt;0,"COMPRA","NÃO COMPRA")</f>
        <v>NÃO COMPRA</v>
      </c>
    </row>
    <row r="1127" spans="1:12">
      <c r="A1127" s="8" t="s">
        <v>2429</v>
      </c>
      <c r="B1127" s="9" t="s">
        <v>1586</v>
      </c>
      <c r="C1127" s="9" t="e">
        <f>VLOOKUP(A1127,[2]Planilha1!$A:$B,2,0)</f>
        <v>#N/A</v>
      </c>
      <c r="D1127" s="10">
        <f>SUMIF([1]Relatório!$A$2:$A$2653,A1127,[1]Relatório!$AK$2:$AK$2653)</f>
        <v>61</v>
      </c>
      <c r="E1127" s="11">
        <f t="shared" si="34"/>
        <v>0.0001042811693851</v>
      </c>
      <c r="F1127" s="11">
        <f>SUM($E$7:E1127)</f>
        <v>0.972363780585581</v>
      </c>
      <c r="G1127" s="12" t="str">
        <f t="shared" si="35"/>
        <v>C</v>
      </c>
      <c r="H1127" s="9" t="s">
        <v>112</v>
      </c>
      <c r="I1127" s="9" t="s">
        <v>2430</v>
      </c>
      <c r="J1127" s="9" t="s">
        <v>1143</v>
      </c>
      <c r="K1127" s="10" t="str">
        <f>IFERROR(VLOOKUP(A1127,'Pedido ESTHER'!$B:$C,2,0),"")</f>
        <v/>
      </c>
      <c r="L1127" s="12" t="str">
        <f>IF(N(K1127)&gt;0,"COMPRA","NÃO COMPRA")</f>
        <v>NÃO COMPRA</v>
      </c>
    </row>
    <row r="1128" spans="1:12">
      <c r="A1128" s="8" t="s">
        <v>2431</v>
      </c>
      <c r="B1128" s="9" t="s">
        <v>2012</v>
      </c>
      <c r="C1128" s="9" t="e">
        <f>VLOOKUP(A1128,[2]Planilha1!$A:$B,2,0)</f>
        <v>#N/A</v>
      </c>
      <c r="D1128" s="10">
        <f>SUMIF([1]Relatório!$A$2:$A$2653,A1128,[1]Relatório!$AK$2:$AK$2653)</f>
        <v>61</v>
      </c>
      <c r="E1128" s="11">
        <f t="shared" si="34"/>
        <v>0.0001042811693851</v>
      </c>
      <c r="F1128" s="11">
        <f>SUM($E$7:E1128)</f>
        <v>0.972468061754966</v>
      </c>
      <c r="G1128" s="12" t="str">
        <f t="shared" si="35"/>
        <v>C</v>
      </c>
      <c r="H1128" s="9" t="s">
        <v>1059</v>
      </c>
      <c r="I1128" s="9" t="s">
        <v>2432</v>
      </c>
      <c r="J1128" s="9" t="s">
        <v>1143</v>
      </c>
      <c r="K1128" s="10" t="str">
        <f>IFERROR(VLOOKUP(A1128,'Pedido ESTHER'!$B:$C,2,0),"")</f>
        <v/>
      </c>
      <c r="L1128" s="12" t="str">
        <f>IF(N(K1128)&gt;0,"COMPRA","NÃO COMPRA")</f>
        <v>NÃO COMPRA</v>
      </c>
    </row>
    <row r="1129" spans="1:12">
      <c r="A1129" s="8" t="s">
        <v>2433</v>
      </c>
      <c r="B1129" s="9" t="s">
        <v>250</v>
      </c>
      <c r="C1129" s="9" t="e">
        <f>VLOOKUP(A1129,[2]Planilha1!$A:$B,2,0)</f>
        <v>#N/A</v>
      </c>
      <c r="D1129" s="10">
        <f>SUMIF([1]Relatório!$A$2:$A$2653,A1129,[1]Relatório!$AK$2:$AK$2653)</f>
        <v>61</v>
      </c>
      <c r="E1129" s="11">
        <f t="shared" si="34"/>
        <v>0.0001042811693851</v>
      </c>
      <c r="F1129" s="11">
        <f>SUM($E$7:E1129)</f>
        <v>0.972572342924351</v>
      </c>
      <c r="G1129" s="12" t="str">
        <f t="shared" si="35"/>
        <v>C</v>
      </c>
      <c r="H1129" s="9" t="s">
        <v>74</v>
      </c>
      <c r="I1129" s="9" t="s">
        <v>2434</v>
      </c>
      <c r="J1129" s="9" t="s">
        <v>40</v>
      </c>
      <c r="K1129" s="10" t="str">
        <f>IFERROR(VLOOKUP(A1129,'Pedido ESTHER'!$B:$C,2,0),"")</f>
        <v/>
      </c>
      <c r="L1129" s="12" t="str">
        <f>IF(N(K1129)&gt;0,"COMPRA","NÃO COMPRA")</f>
        <v>NÃO COMPRA</v>
      </c>
    </row>
    <row r="1130" spans="1:12">
      <c r="A1130" s="8" t="s">
        <v>2435</v>
      </c>
      <c r="B1130" s="9" t="s">
        <v>1343</v>
      </c>
      <c r="C1130" s="9" t="e">
        <f>VLOOKUP(A1130,[2]Planilha1!$A:$B,2,0)</f>
        <v>#N/A</v>
      </c>
      <c r="D1130" s="10">
        <f>SUMIF([1]Relatório!$A$2:$A$2653,A1130,[1]Relatório!$AK$2:$AK$2653)</f>
        <v>60</v>
      </c>
      <c r="E1130" s="11">
        <f t="shared" si="34"/>
        <v>0.000102571642018131</v>
      </c>
      <c r="F1130" s="11">
        <f>SUM($E$7:E1130)</f>
        <v>0.97267491456637</v>
      </c>
      <c r="G1130" s="12" t="str">
        <f t="shared" si="35"/>
        <v>C</v>
      </c>
      <c r="H1130" s="9" t="s">
        <v>1344</v>
      </c>
      <c r="I1130" s="9" t="s">
        <v>2436</v>
      </c>
      <c r="J1130" s="9" t="s">
        <v>29</v>
      </c>
      <c r="K1130" s="10" t="str">
        <f>IFERROR(VLOOKUP(A1130,'Pedido ESTHER'!$B:$C,2,0),"")</f>
        <v/>
      </c>
      <c r="L1130" s="12" t="str">
        <f>IF(N(K1130)&gt;0,"COMPRA","NÃO COMPRA")</f>
        <v>NÃO COMPRA</v>
      </c>
    </row>
    <row r="1131" spans="1:12">
      <c r="A1131" s="8" t="s">
        <v>2437</v>
      </c>
      <c r="B1131" s="9" t="s">
        <v>812</v>
      </c>
      <c r="C1131" s="9" t="e">
        <f>VLOOKUP(A1131,[2]Planilha1!$A:$B,2,0)</f>
        <v>#N/A</v>
      </c>
      <c r="D1131" s="10">
        <f>SUMIF([1]Relatório!$A$2:$A$2653,A1131,[1]Relatório!$AK$2:$AK$2653)</f>
        <v>60</v>
      </c>
      <c r="E1131" s="11">
        <f t="shared" si="34"/>
        <v>0.000102571642018131</v>
      </c>
      <c r="F1131" s="11">
        <f>SUM($E$7:E1131)</f>
        <v>0.972777486208388</v>
      </c>
      <c r="G1131" s="12" t="str">
        <f t="shared" si="35"/>
        <v>C</v>
      </c>
      <c r="H1131" s="9" t="s">
        <v>892</v>
      </c>
      <c r="I1131" s="9" t="s">
        <v>2438</v>
      </c>
      <c r="J1131" s="9" t="s">
        <v>1143</v>
      </c>
      <c r="K1131" s="10" t="str">
        <f>IFERROR(VLOOKUP(A1131,'Pedido ESTHER'!$B:$C,2,0),"")</f>
        <v/>
      </c>
      <c r="L1131" s="12" t="str">
        <f>IF(N(K1131)&gt;0,"COMPRA","NÃO COMPRA")</f>
        <v>NÃO COMPRA</v>
      </c>
    </row>
    <row r="1132" spans="1:12">
      <c r="A1132" s="8" t="s">
        <v>2439</v>
      </c>
      <c r="B1132" s="9" t="s">
        <v>193</v>
      </c>
      <c r="C1132" s="9" t="e">
        <f>VLOOKUP(A1132,[2]Planilha1!$A:$B,2,0)</f>
        <v>#N/A</v>
      </c>
      <c r="D1132" s="10">
        <f>SUMIF([1]Relatório!$A$2:$A$2653,A1132,[1]Relatório!$AK$2:$AK$2653)</f>
        <v>60</v>
      </c>
      <c r="E1132" s="11">
        <f t="shared" si="34"/>
        <v>0.000102571642018131</v>
      </c>
      <c r="F1132" s="11">
        <f>SUM($E$7:E1132)</f>
        <v>0.972880057850406</v>
      </c>
      <c r="G1132" s="12" t="str">
        <f t="shared" si="35"/>
        <v>C</v>
      </c>
      <c r="H1132" s="9" t="s">
        <v>183</v>
      </c>
      <c r="I1132" s="9" t="s">
        <v>2440</v>
      </c>
      <c r="J1132" s="9" t="s">
        <v>29</v>
      </c>
      <c r="K1132" s="10" t="str">
        <f>IFERROR(VLOOKUP(A1132,'Pedido ESTHER'!$B:$C,2,0),"")</f>
        <v/>
      </c>
      <c r="L1132" s="12" t="str">
        <f>IF(N(K1132)&gt;0,"COMPRA","NÃO COMPRA")</f>
        <v>NÃO COMPRA</v>
      </c>
    </row>
    <row r="1133" spans="1:12">
      <c r="A1133" s="8" t="s">
        <v>2441</v>
      </c>
      <c r="B1133" s="9" t="s">
        <v>2012</v>
      </c>
      <c r="C1133" s="9" t="e">
        <f>VLOOKUP(A1133,[2]Planilha1!$A:$B,2,0)</f>
        <v>#N/A</v>
      </c>
      <c r="D1133" s="10">
        <f>SUMIF([1]Relatório!$A$2:$A$2653,A1133,[1]Relatório!$AK$2:$AK$2653)</f>
        <v>60</v>
      </c>
      <c r="E1133" s="11">
        <f t="shared" si="34"/>
        <v>0.000102571642018131</v>
      </c>
      <c r="F1133" s="11">
        <f>SUM($E$7:E1133)</f>
        <v>0.972982629492424</v>
      </c>
      <c r="G1133" s="12" t="str">
        <f t="shared" si="35"/>
        <v>C</v>
      </c>
      <c r="H1133" s="9" t="s">
        <v>1059</v>
      </c>
      <c r="I1133" s="9" t="s">
        <v>2442</v>
      </c>
      <c r="J1133" s="9" t="s">
        <v>1143</v>
      </c>
      <c r="K1133" s="10" t="str">
        <f>IFERROR(VLOOKUP(A1133,'Pedido ESTHER'!$B:$C,2,0),"")</f>
        <v/>
      </c>
      <c r="L1133" s="12" t="str">
        <f>IF(N(K1133)&gt;0,"COMPRA","NÃO COMPRA")</f>
        <v>NÃO COMPRA</v>
      </c>
    </row>
    <row r="1134" spans="1:12">
      <c r="A1134" s="8" t="s">
        <v>2443</v>
      </c>
      <c r="B1134" s="9" t="s">
        <v>2444</v>
      </c>
      <c r="C1134" s="9" t="e">
        <f>VLOOKUP(A1134,[2]Planilha1!$A:$B,2,0)</f>
        <v>#N/A</v>
      </c>
      <c r="D1134" s="10">
        <f>SUMIF([1]Relatório!$A$2:$A$2653,A1134,[1]Relatório!$AK$2:$AK$2653)</f>
        <v>60</v>
      </c>
      <c r="E1134" s="11">
        <f t="shared" si="34"/>
        <v>0.000102571642018131</v>
      </c>
      <c r="F1134" s="11">
        <f>SUM($E$7:E1134)</f>
        <v>0.973085201134442</v>
      </c>
      <c r="G1134" s="12" t="str">
        <f t="shared" si="35"/>
        <v>C</v>
      </c>
      <c r="H1134" s="9" t="s">
        <v>1059</v>
      </c>
      <c r="I1134" s="9" t="s">
        <v>2445</v>
      </c>
      <c r="J1134" s="9" t="s">
        <v>925</v>
      </c>
      <c r="K1134" s="10" t="str">
        <f>IFERROR(VLOOKUP(A1134,'Pedido ESTHER'!$B:$C,2,0),"")</f>
        <v/>
      </c>
      <c r="L1134" s="12" t="str">
        <f>IF(N(K1134)&gt;0,"COMPRA","NÃO COMPRA")</f>
        <v>NÃO COMPRA</v>
      </c>
    </row>
    <row r="1135" spans="1:12">
      <c r="A1135" s="8" t="s">
        <v>2446</v>
      </c>
      <c r="B1135" s="9" t="s">
        <v>2444</v>
      </c>
      <c r="C1135" s="9" t="e">
        <f>VLOOKUP(A1135,[2]Planilha1!$A:$B,2,0)</f>
        <v>#N/A</v>
      </c>
      <c r="D1135" s="10">
        <f>SUMIF([1]Relatório!$A$2:$A$2653,A1135,[1]Relatório!$AK$2:$AK$2653)</f>
        <v>60</v>
      </c>
      <c r="E1135" s="11">
        <f t="shared" si="34"/>
        <v>0.000102571642018131</v>
      </c>
      <c r="F1135" s="11">
        <f>SUM($E$7:E1135)</f>
        <v>0.97318777277646</v>
      </c>
      <c r="G1135" s="12" t="str">
        <f t="shared" si="35"/>
        <v>C</v>
      </c>
      <c r="H1135" s="9" t="s">
        <v>1059</v>
      </c>
      <c r="I1135" s="9" t="s">
        <v>2447</v>
      </c>
      <c r="J1135" s="9" t="s">
        <v>671</v>
      </c>
      <c r="K1135" s="10" t="str">
        <f>IFERROR(VLOOKUP(A1135,'Pedido ESTHER'!$B:$C,2,0),"")</f>
        <v/>
      </c>
      <c r="L1135" s="12" t="str">
        <f>IF(N(K1135)&gt;0,"COMPRA","NÃO COMPRA")</f>
        <v>NÃO COMPRA</v>
      </c>
    </row>
    <row r="1136" spans="1:12">
      <c r="A1136" s="8" t="s">
        <v>2448</v>
      </c>
      <c r="B1136" s="9" t="s">
        <v>200</v>
      </c>
      <c r="C1136" s="9" t="e">
        <f>VLOOKUP(A1136,[2]Planilha1!$A:$B,2,0)</f>
        <v>#N/A</v>
      </c>
      <c r="D1136" s="10">
        <f>SUMIF([1]Relatório!$A$2:$A$2653,A1136,[1]Relatório!$AK$2:$AK$2653)</f>
        <v>60</v>
      </c>
      <c r="E1136" s="11">
        <f t="shared" si="34"/>
        <v>0.000102571642018131</v>
      </c>
      <c r="F1136" s="11">
        <f>SUM($E$7:E1136)</f>
        <v>0.973290344418478</v>
      </c>
      <c r="G1136" s="12" t="str">
        <f t="shared" si="35"/>
        <v>C</v>
      </c>
      <c r="H1136" s="9" t="s">
        <v>21</v>
      </c>
      <c r="I1136" s="9" t="s">
        <v>2449</v>
      </c>
      <c r="J1136" s="9" t="s">
        <v>201</v>
      </c>
      <c r="K1136" s="10" t="str">
        <f>IFERROR(VLOOKUP(A1136,'Pedido ESTHER'!$B:$C,2,0),"")</f>
        <v/>
      </c>
      <c r="L1136" s="12" t="str">
        <f>IF(N(K1136)&gt;0,"COMPRA","NÃO COMPRA")</f>
        <v>NÃO COMPRA</v>
      </c>
    </row>
    <row r="1137" spans="1:12">
      <c r="A1137" s="8" t="s">
        <v>2450</v>
      </c>
      <c r="B1137" s="9" t="s">
        <v>2451</v>
      </c>
      <c r="C1137" s="9" t="e">
        <f>VLOOKUP(A1137,[2]Planilha1!$A:$B,2,0)</f>
        <v>#N/A</v>
      </c>
      <c r="D1137" s="10">
        <f>SUMIF([1]Relatório!$A$2:$A$2653,A1137,[1]Relatório!$AK$2:$AK$2653)</f>
        <v>60</v>
      </c>
      <c r="E1137" s="11">
        <f t="shared" si="34"/>
        <v>0.000102571642018131</v>
      </c>
      <c r="F1137" s="11">
        <f>SUM($E$7:E1137)</f>
        <v>0.973392916060496</v>
      </c>
      <c r="G1137" s="12" t="str">
        <f t="shared" si="35"/>
        <v>C</v>
      </c>
      <c r="H1137" s="9" t="s">
        <v>2452</v>
      </c>
      <c r="I1137" s="9" t="s">
        <v>2453</v>
      </c>
      <c r="J1137" s="9" t="s">
        <v>164</v>
      </c>
      <c r="K1137" s="10" t="str">
        <f>IFERROR(VLOOKUP(A1137,'Pedido ESTHER'!$B:$C,2,0),"")</f>
        <v/>
      </c>
      <c r="L1137" s="12" t="str">
        <f>IF(N(K1137)&gt;0,"COMPRA","NÃO COMPRA")</f>
        <v>NÃO COMPRA</v>
      </c>
    </row>
    <row r="1138" spans="1:12">
      <c r="A1138" s="8" t="s">
        <v>2454</v>
      </c>
      <c r="B1138" s="9" t="s">
        <v>2455</v>
      </c>
      <c r="C1138" s="9" t="e">
        <f>VLOOKUP(A1138,[2]Planilha1!$A:$B,2,0)</f>
        <v>#N/A</v>
      </c>
      <c r="D1138" s="10">
        <f>SUMIF([1]Relatório!$A$2:$A$2653,A1138,[1]Relatório!$AK$2:$AK$2653)</f>
        <v>60</v>
      </c>
      <c r="E1138" s="11">
        <f t="shared" si="34"/>
        <v>0.000102571642018131</v>
      </c>
      <c r="F1138" s="11">
        <f>SUM($E$7:E1138)</f>
        <v>0.973495487702514</v>
      </c>
      <c r="G1138" s="12" t="str">
        <f t="shared" si="35"/>
        <v>C</v>
      </c>
      <c r="H1138" s="9" t="s">
        <v>2452</v>
      </c>
      <c r="I1138" s="9" t="s">
        <v>2456</v>
      </c>
      <c r="J1138" s="9" t="s">
        <v>466</v>
      </c>
      <c r="K1138" s="10" t="str">
        <f>IFERROR(VLOOKUP(A1138,'Pedido ESTHER'!$B:$C,2,0),"")</f>
        <v/>
      </c>
      <c r="L1138" s="12" t="str">
        <f>IF(N(K1138)&gt;0,"COMPRA","NÃO COMPRA")</f>
        <v>NÃO COMPRA</v>
      </c>
    </row>
    <row r="1139" spans="1:12">
      <c r="A1139" s="8" t="s">
        <v>2457</v>
      </c>
      <c r="B1139" s="9" t="s">
        <v>2458</v>
      </c>
      <c r="C1139" s="9" t="e">
        <f>VLOOKUP(A1139,[2]Planilha1!$A:$B,2,0)</f>
        <v>#N/A</v>
      </c>
      <c r="D1139" s="10">
        <f>SUMIF([1]Relatório!$A$2:$A$2653,A1139,[1]Relatório!$AK$2:$AK$2653)</f>
        <v>59</v>
      </c>
      <c r="E1139" s="11">
        <f t="shared" si="34"/>
        <v>0.000100862114651162</v>
      </c>
      <c r="F1139" s="11">
        <f>SUM($E$7:E1139)</f>
        <v>0.973596349817166</v>
      </c>
      <c r="G1139" s="12" t="str">
        <f t="shared" si="35"/>
        <v>C</v>
      </c>
      <c r="H1139" s="9" t="s">
        <v>1344</v>
      </c>
      <c r="I1139" s="9" t="s">
        <v>2459</v>
      </c>
      <c r="J1139" s="9" t="s">
        <v>64</v>
      </c>
      <c r="K1139" s="10" t="str">
        <f>IFERROR(VLOOKUP(A1139,'Pedido ESTHER'!$B:$C,2,0),"")</f>
        <v/>
      </c>
      <c r="L1139" s="12" t="str">
        <f>IF(N(K1139)&gt;0,"COMPRA","NÃO COMPRA")</f>
        <v>NÃO COMPRA</v>
      </c>
    </row>
    <row r="1140" spans="1:12">
      <c r="A1140" s="8" t="s">
        <v>2460</v>
      </c>
      <c r="B1140" s="9" t="s">
        <v>1612</v>
      </c>
      <c r="C1140" s="9" t="e">
        <f>VLOOKUP(A1140,[2]Planilha1!$A:$B,2,0)</f>
        <v>#N/A</v>
      </c>
      <c r="D1140" s="10">
        <f>SUMIF([1]Relatório!$A$2:$A$2653,A1140,[1]Relatório!$AK$2:$AK$2653)</f>
        <v>59</v>
      </c>
      <c r="E1140" s="11">
        <f t="shared" si="34"/>
        <v>0.000100862114651162</v>
      </c>
      <c r="F1140" s="11">
        <f>SUM($E$7:E1140)</f>
        <v>0.973697211931817</v>
      </c>
      <c r="G1140" s="12" t="str">
        <f t="shared" si="35"/>
        <v>C</v>
      </c>
      <c r="H1140" s="9" t="s">
        <v>1344</v>
      </c>
      <c r="I1140" s="9" t="s">
        <v>2461</v>
      </c>
      <c r="J1140" s="9" t="s">
        <v>83</v>
      </c>
      <c r="K1140" s="10">
        <f>IFERROR(VLOOKUP(A1140,'Pedido ESTHER'!$B:$C,2,0),"")</f>
        <v>3</v>
      </c>
      <c r="L1140" s="12" t="str">
        <f>IF(N(K1140)&gt;0,"COMPRA","NÃO COMPRA")</f>
        <v>COMPRA</v>
      </c>
    </row>
    <row r="1141" spans="1:12">
      <c r="A1141" s="8" t="s">
        <v>2462</v>
      </c>
      <c r="B1141" s="9" t="s">
        <v>280</v>
      </c>
      <c r="C1141" s="9" t="e">
        <f>VLOOKUP(A1141,[2]Planilha1!$A:$B,2,0)</f>
        <v>#N/A</v>
      </c>
      <c r="D1141" s="10">
        <f>SUMIF([1]Relatório!$A$2:$A$2653,A1141,[1]Relatório!$AK$2:$AK$2653)</f>
        <v>59</v>
      </c>
      <c r="E1141" s="11">
        <f t="shared" si="34"/>
        <v>0.000100862114651162</v>
      </c>
      <c r="F1141" s="11">
        <f>SUM($E$7:E1141)</f>
        <v>0.973798074046468</v>
      </c>
      <c r="G1141" s="12" t="str">
        <f t="shared" si="35"/>
        <v>C</v>
      </c>
      <c r="H1141" s="9" t="s">
        <v>21</v>
      </c>
      <c r="I1141" s="9"/>
      <c r="J1141" s="9" t="s">
        <v>281</v>
      </c>
      <c r="K1141" s="10" t="str">
        <f>IFERROR(VLOOKUP(A1141,'Pedido ESTHER'!$B:$C,2,0),"")</f>
        <v/>
      </c>
      <c r="L1141" s="12" t="str">
        <f>IF(N(K1141)&gt;0,"COMPRA","NÃO COMPRA")</f>
        <v>NÃO COMPRA</v>
      </c>
    </row>
    <row r="1142" spans="1:12">
      <c r="A1142" s="8" t="s">
        <v>2463</v>
      </c>
      <c r="B1142" s="9" t="s">
        <v>1522</v>
      </c>
      <c r="C1142" s="9" t="e">
        <f>VLOOKUP(A1142,[2]Planilha1!$A:$B,2,0)</f>
        <v>#N/A</v>
      </c>
      <c r="D1142" s="10">
        <f>SUMIF([1]Relatório!$A$2:$A$2653,A1142,[1]Relatório!$AK$2:$AK$2653)</f>
        <v>59</v>
      </c>
      <c r="E1142" s="11">
        <f t="shared" si="34"/>
        <v>0.000100862114651162</v>
      </c>
      <c r="F1142" s="11">
        <f>SUM($E$7:E1142)</f>
        <v>0.973898936161119</v>
      </c>
      <c r="G1142" s="12" t="str">
        <f t="shared" si="35"/>
        <v>C</v>
      </c>
      <c r="H1142" s="9" t="s">
        <v>183</v>
      </c>
      <c r="I1142" s="9" t="s">
        <v>2464</v>
      </c>
      <c r="J1142" s="9" t="s">
        <v>64</v>
      </c>
      <c r="K1142" s="10" t="str">
        <f>IFERROR(VLOOKUP(A1142,'Pedido ESTHER'!$B:$C,2,0),"")</f>
        <v/>
      </c>
      <c r="L1142" s="12" t="str">
        <f>IF(N(K1142)&gt;0,"COMPRA","NÃO COMPRA")</f>
        <v>NÃO COMPRA</v>
      </c>
    </row>
    <row r="1143" spans="1:12">
      <c r="A1143" s="8" t="s">
        <v>2465</v>
      </c>
      <c r="B1143" s="9" t="s">
        <v>887</v>
      </c>
      <c r="C1143" s="9" t="e">
        <f>VLOOKUP(A1143,[2]Planilha1!$A:$B,2,0)</f>
        <v>#N/A</v>
      </c>
      <c r="D1143" s="10">
        <f>SUMIF([1]Relatório!$A$2:$A$2653,A1143,[1]Relatório!$AK$2:$AK$2653)</f>
        <v>59</v>
      </c>
      <c r="E1143" s="11">
        <f t="shared" si="34"/>
        <v>0.000100862114651162</v>
      </c>
      <c r="F1143" s="11">
        <f>SUM($E$7:E1143)</f>
        <v>0.97399979827577</v>
      </c>
      <c r="G1143" s="12" t="str">
        <f t="shared" si="35"/>
        <v>C</v>
      </c>
      <c r="H1143" s="9" t="s">
        <v>831</v>
      </c>
      <c r="I1143" s="9" t="s">
        <v>2466</v>
      </c>
      <c r="J1143" s="9" t="s">
        <v>359</v>
      </c>
      <c r="K1143" s="10" t="str">
        <f>IFERROR(VLOOKUP(A1143,'Pedido ESTHER'!$B:$C,2,0),"")</f>
        <v/>
      </c>
      <c r="L1143" s="12" t="str">
        <f>IF(N(K1143)&gt;0,"COMPRA","NÃO COMPRA")</f>
        <v>NÃO COMPRA</v>
      </c>
    </row>
    <row r="1144" spans="1:12">
      <c r="A1144" s="8" t="s">
        <v>2467</v>
      </c>
      <c r="B1144" s="9" t="s">
        <v>1638</v>
      </c>
      <c r="C1144" s="9" t="e">
        <f>VLOOKUP(A1144,[2]Planilha1!$A:$B,2,0)</f>
        <v>#N/A</v>
      </c>
      <c r="D1144" s="10">
        <f>SUMIF([1]Relatório!$A$2:$A$2653,A1144,[1]Relatório!$AK$2:$AK$2653)</f>
        <v>58</v>
      </c>
      <c r="E1144" s="11">
        <f t="shared" si="34"/>
        <v>9.91525872841935e-5</v>
      </c>
      <c r="F1144" s="11">
        <f>SUM($E$7:E1144)</f>
        <v>0.974098950863055</v>
      </c>
      <c r="G1144" s="12" t="str">
        <f t="shared" si="35"/>
        <v>C</v>
      </c>
      <c r="H1144" s="9" t="s">
        <v>1344</v>
      </c>
      <c r="I1144" s="9" t="s">
        <v>2468</v>
      </c>
      <c r="J1144" s="9" t="s">
        <v>33</v>
      </c>
      <c r="K1144" s="10" t="str">
        <f>IFERROR(VLOOKUP(A1144,'Pedido ESTHER'!$B:$C,2,0),"")</f>
        <v/>
      </c>
      <c r="L1144" s="12" t="str">
        <f>IF(N(K1144)&gt;0,"COMPRA","NÃO COMPRA")</f>
        <v>NÃO COMPRA</v>
      </c>
    </row>
    <row r="1145" spans="1:12">
      <c r="A1145" s="8" t="s">
        <v>2469</v>
      </c>
      <c r="B1145" s="9" t="s">
        <v>2470</v>
      </c>
      <c r="C1145" s="9" t="e">
        <f>VLOOKUP(A1145,[2]Planilha1!$A:$B,2,0)</f>
        <v>#N/A</v>
      </c>
      <c r="D1145" s="10">
        <f>SUMIF([1]Relatório!$A$2:$A$2653,A1145,[1]Relatório!$AK$2:$AK$2653)</f>
        <v>58</v>
      </c>
      <c r="E1145" s="11">
        <f t="shared" si="34"/>
        <v>9.91525872841935e-5</v>
      </c>
      <c r="F1145" s="11">
        <f>SUM($E$7:E1145)</f>
        <v>0.974198103450339</v>
      </c>
      <c r="G1145" s="12" t="str">
        <f t="shared" si="35"/>
        <v>C</v>
      </c>
      <c r="H1145" s="9" t="s">
        <v>1344</v>
      </c>
      <c r="I1145" s="9" t="s">
        <v>2471</v>
      </c>
      <c r="J1145" s="9" t="s">
        <v>1314</v>
      </c>
      <c r="K1145" s="10" t="str">
        <f>IFERROR(VLOOKUP(A1145,'Pedido ESTHER'!$B:$C,2,0),"")</f>
        <v/>
      </c>
      <c r="L1145" s="12" t="str">
        <f>IF(N(K1145)&gt;0,"COMPRA","NÃO COMPRA")</f>
        <v>NÃO COMPRA</v>
      </c>
    </row>
    <row r="1146" spans="1:12">
      <c r="A1146" s="8" t="s">
        <v>2472</v>
      </c>
      <c r="B1146" s="9" t="s">
        <v>2052</v>
      </c>
      <c r="C1146" s="9" t="e">
        <f>VLOOKUP(A1146,[2]Planilha1!$A:$B,2,0)</f>
        <v>#N/A</v>
      </c>
      <c r="D1146" s="10">
        <f>SUMIF([1]Relatório!$A$2:$A$2653,A1146,[1]Relatório!$AK$2:$AK$2653)</f>
        <v>58</v>
      </c>
      <c r="E1146" s="11">
        <f t="shared" si="34"/>
        <v>9.91525872841935e-5</v>
      </c>
      <c r="F1146" s="11">
        <f>SUM($E$7:E1146)</f>
        <v>0.974297256037623</v>
      </c>
      <c r="G1146" s="12" t="str">
        <f t="shared" si="35"/>
        <v>C</v>
      </c>
      <c r="H1146" s="9" t="s">
        <v>183</v>
      </c>
      <c r="I1146" s="9"/>
      <c r="J1146" s="9" t="s">
        <v>2291</v>
      </c>
      <c r="K1146" s="10" t="str">
        <f>IFERROR(VLOOKUP(A1146,'Pedido ESTHER'!$B:$C,2,0),"")</f>
        <v/>
      </c>
      <c r="L1146" s="12" t="str">
        <f>IF(N(K1146)&gt;0,"COMPRA","NÃO COMPRA")</f>
        <v>NÃO COMPRA</v>
      </c>
    </row>
    <row r="1147" spans="1:12">
      <c r="A1147" s="8" t="s">
        <v>2473</v>
      </c>
      <c r="B1147" s="9" t="s">
        <v>2474</v>
      </c>
      <c r="C1147" s="9" t="e">
        <f>VLOOKUP(A1147,[2]Planilha1!$A:$B,2,0)</f>
        <v>#N/A</v>
      </c>
      <c r="D1147" s="10">
        <f>SUMIF([1]Relatório!$A$2:$A$2653,A1147,[1]Relatório!$AK$2:$AK$2653)</f>
        <v>58</v>
      </c>
      <c r="E1147" s="11">
        <f t="shared" si="34"/>
        <v>9.91525872841935e-5</v>
      </c>
      <c r="F1147" s="11">
        <f>SUM($E$7:E1147)</f>
        <v>0.974396408624907</v>
      </c>
      <c r="G1147" s="12" t="str">
        <f t="shared" si="35"/>
        <v>C</v>
      </c>
      <c r="H1147" s="9" t="s">
        <v>1700</v>
      </c>
      <c r="I1147" s="9" t="s">
        <v>2475</v>
      </c>
      <c r="J1147" s="9" t="s">
        <v>44</v>
      </c>
      <c r="K1147" s="10" t="str">
        <f>IFERROR(VLOOKUP(A1147,'Pedido ESTHER'!$B:$C,2,0),"")</f>
        <v/>
      </c>
      <c r="L1147" s="12" t="str">
        <f>IF(N(K1147)&gt;0,"COMPRA","NÃO COMPRA")</f>
        <v>NÃO COMPRA</v>
      </c>
    </row>
    <row r="1148" spans="1:12">
      <c r="A1148" s="8" t="s">
        <v>2476</v>
      </c>
      <c r="B1148" s="9" t="s">
        <v>342</v>
      </c>
      <c r="C1148" s="9" t="e">
        <f>VLOOKUP(A1148,[2]Planilha1!$A:$B,2,0)</f>
        <v>#N/A</v>
      </c>
      <c r="D1148" s="10">
        <f>SUMIF([1]Relatório!$A$2:$A$2653,A1148,[1]Relatório!$AK$2:$AK$2653)</f>
        <v>58</v>
      </c>
      <c r="E1148" s="11">
        <f t="shared" si="34"/>
        <v>9.91525872841935e-5</v>
      </c>
      <c r="F1148" s="11">
        <f>SUM($E$7:E1148)</f>
        <v>0.974495561212191</v>
      </c>
      <c r="G1148" s="12" t="str">
        <f t="shared" si="35"/>
        <v>C</v>
      </c>
      <c r="H1148" s="9" t="s">
        <v>831</v>
      </c>
      <c r="I1148" s="9" t="s">
        <v>2477</v>
      </c>
      <c r="J1148" s="9" t="s">
        <v>15</v>
      </c>
      <c r="K1148" s="10" t="str">
        <f>IFERROR(VLOOKUP(A1148,'Pedido ESTHER'!$B:$C,2,0),"")</f>
        <v/>
      </c>
      <c r="L1148" s="12" t="str">
        <f>IF(N(K1148)&gt;0,"COMPRA","NÃO COMPRA")</f>
        <v>NÃO COMPRA</v>
      </c>
    </row>
    <row r="1149" spans="1:12">
      <c r="A1149" s="8" t="s">
        <v>2478</v>
      </c>
      <c r="B1149" s="9" t="s">
        <v>263</v>
      </c>
      <c r="C1149" s="9" t="e">
        <f>VLOOKUP(A1149,[2]Planilha1!$A:$B,2,0)</f>
        <v>#N/A</v>
      </c>
      <c r="D1149" s="10">
        <f>SUMIF([1]Relatório!$A$2:$A$2653,A1149,[1]Relatório!$AK$2:$AK$2653)</f>
        <v>58</v>
      </c>
      <c r="E1149" s="11">
        <f t="shared" si="34"/>
        <v>9.91525872841935e-5</v>
      </c>
      <c r="F1149" s="11">
        <f>SUM($E$7:E1149)</f>
        <v>0.974594713799476</v>
      </c>
      <c r="G1149" s="12" t="str">
        <f t="shared" si="35"/>
        <v>C</v>
      </c>
      <c r="H1149" s="9" t="s">
        <v>117</v>
      </c>
      <c r="I1149" s="9" t="s">
        <v>2479</v>
      </c>
      <c r="J1149" s="9" t="s">
        <v>40</v>
      </c>
      <c r="K1149" s="10" t="str">
        <f>IFERROR(VLOOKUP(A1149,'Pedido ESTHER'!$B:$C,2,0),"")</f>
        <v/>
      </c>
      <c r="L1149" s="12" t="str">
        <f>IF(N(K1149)&gt;0,"COMPRA","NÃO COMPRA")</f>
        <v>NÃO COMPRA</v>
      </c>
    </row>
    <row r="1150" spans="1:12">
      <c r="A1150" s="8" t="s">
        <v>2480</v>
      </c>
      <c r="B1150" s="9" t="s">
        <v>2481</v>
      </c>
      <c r="C1150" s="9" t="e">
        <f>VLOOKUP(A1150,[2]Planilha1!$A:$B,2,0)</f>
        <v>#N/A</v>
      </c>
      <c r="D1150" s="10">
        <f>SUMIF([1]Relatório!$A$2:$A$2653,A1150,[1]Relatório!$AK$2:$AK$2653)</f>
        <v>58</v>
      </c>
      <c r="E1150" s="11">
        <f t="shared" si="34"/>
        <v>9.91525872841935e-5</v>
      </c>
      <c r="F1150" s="11">
        <f>SUM($E$7:E1150)</f>
        <v>0.97469386638676</v>
      </c>
      <c r="G1150" s="12" t="str">
        <f t="shared" si="35"/>
        <v>C</v>
      </c>
      <c r="H1150" s="9" t="s">
        <v>2452</v>
      </c>
      <c r="I1150" s="9" t="s">
        <v>2482</v>
      </c>
      <c r="J1150" s="9" t="s">
        <v>33</v>
      </c>
      <c r="K1150" s="10" t="str">
        <f>IFERROR(VLOOKUP(A1150,'Pedido ESTHER'!$B:$C,2,0),"")</f>
        <v/>
      </c>
      <c r="L1150" s="12" t="str">
        <f>IF(N(K1150)&gt;0,"COMPRA","NÃO COMPRA")</f>
        <v>NÃO COMPRA</v>
      </c>
    </row>
    <row r="1151" spans="1:12">
      <c r="A1151" s="8" t="s">
        <v>2483</v>
      </c>
      <c r="B1151" s="9" t="s">
        <v>706</v>
      </c>
      <c r="C1151" s="9" t="e">
        <f>VLOOKUP(A1151,[2]Planilha1!$A:$B,2,0)</f>
        <v>#N/A</v>
      </c>
      <c r="D1151" s="10">
        <f>SUMIF([1]Relatório!$A$2:$A$2653,A1151,[1]Relatório!$AK$2:$AK$2653)</f>
        <v>57</v>
      </c>
      <c r="E1151" s="11">
        <f t="shared" si="34"/>
        <v>9.74430599172247e-5</v>
      </c>
      <c r="F1151" s="11">
        <f>SUM($E$7:E1151)</f>
        <v>0.974791309446677</v>
      </c>
      <c r="G1151" s="12" t="str">
        <f t="shared" si="35"/>
        <v>C</v>
      </c>
      <c r="H1151" s="9" t="s">
        <v>183</v>
      </c>
      <c r="I1151" s="9"/>
      <c r="J1151" s="9" t="s">
        <v>241</v>
      </c>
      <c r="K1151" s="10" t="str">
        <f>IFERROR(VLOOKUP(A1151,'Pedido ESTHER'!$B:$C,2,0),"")</f>
        <v/>
      </c>
      <c r="L1151" s="12" t="str">
        <f>IF(N(K1151)&gt;0,"COMPRA","NÃO COMPRA")</f>
        <v>NÃO COMPRA</v>
      </c>
    </row>
    <row r="1152" spans="1:12">
      <c r="A1152" s="8" t="s">
        <v>2484</v>
      </c>
      <c r="B1152" s="9" t="s">
        <v>2485</v>
      </c>
      <c r="C1152" s="9" t="e">
        <f>VLOOKUP(A1152,[2]Planilha1!$A:$B,2,0)</f>
        <v>#N/A</v>
      </c>
      <c r="D1152" s="10">
        <f>SUMIF([1]Relatório!$A$2:$A$2653,A1152,[1]Relatório!$AK$2:$AK$2653)</f>
        <v>57</v>
      </c>
      <c r="E1152" s="11">
        <f t="shared" si="34"/>
        <v>9.74430599172247e-5</v>
      </c>
      <c r="F1152" s="11">
        <f>SUM($E$7:E1152)</f>
        <v>0.974888752506594</v>
      </c>
      <c r="G1152" s="12" t="str">
        <f t="shared" si="35"/>
        <v>C</v>
      </c>
      <c r="H1152" s="9" t="s">
        <v>82</v>
      </c>
      <c r="I1152" s="9"/>
      <c r="J1152" s="9" t="s">
        <v>359</v>
      </c>
      <c r="K1152" s="10" t="str">
        <f>IFERROR(VLOOKUP(A1152,'Pedido ESTHER'!$B:$C,2,0),"")</f>
        <v/>
      </c>
      <c r="L1152" s="12" t="str">
        <f>IF(N(K1152)&gt;0,"COMPRA","NÃO COMPRA")</f>
        <v>NÃO COMPRA</v>
      </c>
    </row>
    <row r="1153" spans="1:12">
      <c r="A1153" s="8" t="s">
        <v>2486</v>
      </c>
      <c r="B1153" s="9" t="s">
        <v>812</v>
      </c>
      <c r="C1153" s="9" t="e">
        <f>VLOOKUP(A1153,[2]Planilha1!$A:$B,2,0)</f>
        <v>#N/A</v>
      </c>
      <c r="D1153" s="10">
        <f>SUMIF([1]Relatório!$A$2:$A$2653,A1153,[1]Relatório!$AK$2:$AK$2653)</f>
        <v>57</v>
      </c>
      <c r="E1153" s="11">
        <f t="shared" si="34"/>
        <v>9.74430599172247e-5</v>
      </c>
      <c r="F1153" s="11">
        <f>SUM($E$7:E1153)</f>
        <v>0.974986195566512</v>
      </c>
      <c r="G1153" s="12" t="str">
        <f t="shared" si="35"/>
        <v>C</v>
      </c>
      <c r="H1153" s="9" t="s">
        <v>892</v>
      </c>
      <c r="I1153" s="9" t="s">
        <v>2487</v>
      </c>
      <c r="J1153" s="9" t="s">
        <v>813</v>
      </c>
      <c r="K1153" s="10" t="str">
        <f>IFERROR(VLOOKUP(A1153,'Pedido ESTHER'!$B:$C,2,0),"")</f>
        <v/>
      </c>
      <c r="L1153" s="12" t="str">
        <f>IF(N(K1153)&gt;0,"COMPRA","NÃO COMPRA")</f>
        <v>NÃO COMPRA</v>
      </c>
    </row>
    <row r="1154" spans="1:12">
      <c r="A1154" s="8" t="s">
        <v>2488</v>
      </c>
      <c r="B1154" s="9" t="s">
        <v>1895</v>
      </c>
      <c r="C1154" s="9" t="e">
        <f>VLOOKUP(A1154,[2]Planilha1!$A:$B,2,0)</f>
        <v>#N/A</v>
      </c>
      <c r="D1154" s="10">
        <f>SUMIF([1]Relatório!$A$2:$A$2653,A1154,[1]Relatório!$AK$2:$AK$2653)</f>
        <v>56</v>
      </c>
      <c r="E1154" s="11">
        <f t="shared" si="34"/>
        <v>9.57335325502558e-5</v>
      </c>
      <c r="F1154" s="11">
        <f>SUM($E$7:E1154)</f>
        <v>0.975081929099062</v>
      </c>
      <c r="G1154" s="12" t="str">
        <f t="shared" si="35"/>
        <v>C</v>
      </c>
      <c r="H1154" s="9" t="s">
        <v>1344</v>
      </c>
      <c r="I1154" s="9" t="s">
        <v>2489</v>
      </c>
      <c r="J1154" s="9" t="s">
        <v>15</v>
      </c>
      <c r="K1154" s="10" t="str">
        <f>IFERROR(VLOOKUP(A1154,'Pedido ESTHER'!$B:$C,2,0),"")</f>
        <v/>
      </c>
      <c r="L1154" s="12" t="str">
        <f>IF(N(K1154)&gt;0,"COMPRA","NÃO COMPRA")</f>
        <v>NÃO COMPRA</v>
      </c>
    </row>
    <row r="1155" spans="1:12">
      <c r="A1155" s="8" t="s">
        <v>2490</v>
      </c>
      <c r="B1155" s="9" t="s">
        <v>1312</v>
      </c>
      <c r="C1155" s="9" t="e">
        <f>VLOOKUP(A1155,[2]Planilha1!$A:$B,2,0)</f>
        <v>#N/A</v>
      </c>
      <c r="D1155" s="10">
        <f>SUMIF([1]Relatório!$A$2:$A$2653,A1155,[1]Relatório!$AK$2:$AK$2653)</f>
        <v>56</v>
      </c>
      <c r="E1155" s="11">
        <f t="shared" si="34"/>
        <v>9.57335325502558e-5</v>
      </c>
      <c r="F1155" s="11">
        <f>SUM($E$7:E1155)</f>
        <v>0.975177662631612</v>
      </c>
      <c r="G1155" s="12" t="str">
        <f t="shared" si="35"/>
        <v>C</v>
      </c>
      <c r="H1155" s="9" t="s">
        <v>183</v>
      </c>
      <c r="I1155" s="9" t="s">
        <v>2491</v>
      </c>
      <c r="J1155" s="9" t="s">
        <v>164</v>
      </c>
      <c r="K1155" s="10" t="str">
        <f>IFERROR(VLOOKUP(A1155,'Pedido ESTHER'!$B:$C,2,0),"")</f>
        <v/>
      </c>
      <c r="L1155" s="12" t="str">
        <f>IF(N(K1155)&gt;0,"COMPRA","NÃO COMPRA")</f>
        <v>NÃO COMPRA</v>
      </c>
    </row>
    <row r="1156" spans="1:12">
      <c r="A1156" s="8" t="s">
        <v>2492</v>
      </c>
      <c r="B1156" s="9" t="s">
        <v>495</v>
      </c>
      <c r="C1156" s="9" t="e">
        <f>VLOOKUP(A1156,[2]Planilha1!$A:$B,2,0)</f>
        <v>#N/A</v>
      </c>
      <c r="D1156" s="10">
        <f>SUMIF([1]Relatório!$A$2:$A$2653,A1156,[1]Relatório!$AK$2:$AK$2653)</f>
        <v>56</v>
      </c>
      <c r="E1156" s="11">
        <f t="shared" si="34"/>
        <v>9.57335325502558e-5</v>
      </c>
      <c r="F1156" s="11">
        <f>SUM($E$7:E1156)</f>
        <v>0.975273396164162</v>
      </c>
      <c r="G1156" s="12" t="str">
        <f t="shared" si="35"/>
        <v>C</v>
      </c>
      <c r="H1156" s="9" t="s">
        <v>183</v>
      </c>
      <c r="I1156" s="9" t="s">
        <v>2493</v>
      </c>
      <c r="J1156" s="9" t="s">
        <v>64</v>
      </c>
      <c r="K1156" s="10" t="str">
        <f>IFERROR(VLOOKUP(A1156,'Pedido ESTHER'!$B:$C,2,0),"")</f>
        <v/>
      </c>
      <c r="L1156" s="12" t="str">
        <f>IF(N(K1156)&gt;0,"COMPRA","NÃO COMPRA")</f>
        <v>NÃO COMPRA</v>
      </c>
    </row>
    <row r="1157" spans="1:12">
      <c r="A1157" s="8" t="s">
        <v>2494</v>
      </c>
      <c r="B1157" s="9" t="s">
        <v>1808</v>
      </c>
      <c r="C1157" s="9" t="e">
        <f>VLOOKUP(A1157,[2]Planilha1!$A:$B,2,0)</f>
        <v>#N/A</v>
      </c>
      <c r="D1157" s="10">
        <f>SUMIF([1]Relatório!$A$2:$A$2653,A1157,[1]Relatório!$AK$2:$AK$2653)</f>
        <v>56</v>
      </c>
      <c r="E1157" s="11">
        <f t="shared" si="34"/>
        <v>9.57335325502558e-5</v>
      </c>
      <c r="F1157" s="11">
        <f>SUM($E$7:E1157)</f>
        <v>0.975369129696712</v>
      </c>
      <c r="G1157" s="12" t="str">
        <f t="shared" si="35"/>
        <v>C</v>
      </c>
      <c r="H1157" s="9" t="s">
        <v>586</v>
      </c>
      <c r="I1157" s="9"/>
      <c r="J1157" s="9" t="s">
        <v>359</v>
      </c>
      <c r="K1157" s="10" t="str">
        <f>IFERROR(VLOOKUP(A1157,'Pedido ESTHER'!$B:$C,2,0),"")</f>
        <v/>
      </c>
      <c r="L1157" s="12" t="str">
        <f>IF(N(K1157)&gt;0,"COMPRA","NÃO COMPRA")</f>
        <v>NÃO COMPRA</v>
      </c>
    </row>
    <row r="1158" spans="1:12">
      <c r="A1158" s="8" t="s">
        <v>2495</v>
      </c>
      <c r="B1158" s="9" t="s">
        <v>2496</v>
      </c>
      <c r="C1158" s="9" t="e">
        <f>VLOOKUP(A1158,[2]Planilha1!$A:$B,2,0)</f>
        <v>#N/A</v>
      </c>
      <c r="D1158" s="10">
        <f>SUMIF([1]Relatório!$A$2:$A$2653,A1158,[1]Relatório!$AK$2:$AK$2653)</f>
        <v>56</v>
      </c>
      <c r="E1158" s="11">
        <f t="shared" si="34"/>
        <v>9.57335325502558e-5</v>
      </c>
      <c r="F1158" s="11">
        <f>SUM($E$7:E1158)</f>
        <v>0.975464863229263</v>
      </c>
      <c r="G1158" s="12" t="str">
        <f t="shared" si="35"/>
        <v>C</v>
      </c>
      <c r="H1158" s="9" t="s">
        <v>183</v>
      </c>
      <c r="I1158" s="9"/>
      <c r="J1158" s="9" t="s">
        <v>2497</v>
      </c>
      <c r="K1158" s="10" t="str">
        <f>IFERROR(VLOOKUP(A1158,'Pedido ESTHER'!$B:$C,2,0),"")</f>
        <v/>
      </c>
      <c r="L1158" s="12" t="str">
        <f>IF(N(K1158)&gt;0,"COMPRA","NÃO COMPRA")</f>
        <v>NÃO COMPRA</v>
      </c>
    </row>
    <row r="1159" spans="1:12">
      <c r="A1159" s="8" t="s">
        <v>2498</v>
      </c>
      <c r="B1159" s="9" t="s">
        <v>2444</v>
      </c>
      <c r="C1159" s="9" t="e">
        <f>VLOOKUP(A1159,[2]Planilha1!$A:$B,2,0)</f>
        <v>#N/A</v>
      </c>
      <c r="D1159" s="10">
        <f>SUMIF([1]Relatório!$A$2:$A$2653,A1159,[1]Relatório!$AK$2:$AK$2653)</f>
        <v>56</v>
      </c>
      <c r="E1159" s="11">
        <f t="shared" si="34"/>
        <v>9.57335325502558e-5</v>
      </c>
      <c r="F1159" s="11">
        <f>SUM($E$7:E1159)</f>
        <v>0.975560596761813</v>
      </c>
      <c r="G1159" s="12" t="str">
        <f t="shared" si="35"/>
        <v>C</v>
      </c>
      <c r="H1159" s="9" t="s">
        <v>1059</v>
      </c>
      <c r="I1159" s="9" t="s">
        <v>2499</v>
      </c>
      <c r="J1159" s="9" t="s">
        <v>671</v>
      </c>
      <c r="K1159" s="10" t="str">
        <f>IFERROR(VLOOKUP(A1159,'Pedido ESTHER'!$B:$C,2,0),"")</f>
        <v/>
      </c>
      <c r="L1159" s="12" t="str">
        <f>IF(N(K1159)&gt;0,"COMPRA","NÃO COMPRA")</f>
        <v>NÃO COMPRA</v>
      </c>
    </row>
    <row r="1160" spans="1:12">
      <c r="A1160" s="8" t="s">
        <v>2500</v>
      </c>
      <c r="B1160" s="9" t="s">
        <v>2370</v>
      </c>
      <c r="C1160" s="9" t="e">
        <f>VLOOKUP(A1160,[2]Planilha1!$A:$B,2,0)</f>
        <v>#N/A</v>
      </c>
      <c r="D1160" s="10">
        <f>SUMIF([1]Relatório!$A$2:$A$2653,A1160,[1]Relatório!$AK$2:$AK$2653)</f>
        <v>56</v>
      </c>
      <c r="E1160" s="11">
        <f t="shared" ref="E1160:E1223" si="36">D1160/SUM($D$7:$D$1708)</f>
        <v>9.57335325502558e-5</v>
      </c>
      <c r="F1160" s="11">
        <f>SUM($E$7:E1160)</f>
        <v>0.975656330294363</v>
      </c>
      <c r="G1160" s="12" t="str">
        <f t="shared" ref="G1160:G1223" si="37">IF(F1160&lt;=70%,"A",IF(F1160&lt;=90%,"B","C"))</f>
        <v>C</v>
      </c>
      <c r="H1160" s="9" t="s">
        <v>74</v>
      </c>
      <c r="I1160" s="9" t="s">
        <v>2501</v>
      </c>
      <c r="J1160" s="9" t="s">
        <v>40</v>
      </c>
      <c r="K1160" s="10" t="str">
        <f>IFERROR(VLOOKUP(A1160,'Pedido ESTHER'!$B:$C,2,0),"")</f>
        <v/>
      </c>
      <c r="L1160" s="12" t="str">
        <f>IF(N(K1160)&gt;0,"COMPRA","NÃO COMPRA")</f>
        <v>NÃO COMPRA</v>
      </c>
    </row>
    <row r="1161" spans="1:12">
      <c r="A1161" s="8" t="s">
        <v>2502</v>
      </c>
      <c r="B1161" s="9" t="s">
        <v>1638</v>
      </c>
      <c r="C1161" s="9" t="e">
        <f>VLOOKUP(A1161,[2]Planilha1!$A:$B,2,0)</f>
        <v>#N/A</v>
      </c>
      <c r="D1161" s="10">
        <f>SUMIF([1]Relatório!$A$2:$A$2653,A1161,[1]Relatório!$AK$2:$AK$2653)</f>
        <v>55</v>
      </c>
      <c r="E1161" s="11">
        <f t="shared" si="36"/>
        <v>9.4024005183287e-5</v>
      </c>
      <c r="F1161" s="11">
        <f>SUM($E$7:E1161)</f>
        <v>0.975750354299546</v>
      </c>
      <c r="G1161" s="12" t="str">
        <f t="shared" si="37"/>
        <v>C</v>
      </c>
      <c r="H1161" s="9" t="s">
        <v>1344</v>
      </c>
      <c r="I1161" s="9" t="s">
        <v>2503</v>
      </c>
      <c r="J1161" s="9" t="s">
        <v>33</v>
      </c>
      <c r="K1161" s="10" t="str">
        <f>IFERROR(VLOOKUP(A1161,'Pedido ESTHER'!$B:$C,2,0),"")</f>
        <v/>
      </c>
      <c r="L1161" s="12" t="str">
        <f>IF(N(K1161)&gt;0,"COMPRA","NÃO COMPRA")</f>
        <v>NÃO COMPRA</v>
      </c>
    </row>
    <row r="1162" spans="1:12">
      <c r="A1162" s="8" t="s">
        <v>2504</v>
      </c>
      <c r="B1162" s="9" t="s">
        <v>2505</v>
      </c>
      <c r="C1162" s="9" t="e">
        <f>VLOOKUP(A1162,[2]Planilha1!$A:$B,2,0)</f>
        <v>#N/A</v>
      </c>
      <c r="D1162" s="10">
        <f>SUMIF([1]Relatório!$A$2:$A$2653,A1162,[1]Relatório!$AK$2:$AK$2653)</f>
        <v>55</v>
      </c>
      <c r="E1162" s="11">
        <f t="shared" si="36"/>
        <v>9.4024005183287e-5</v>
      </c>
      <c r="F1162" s="11">
        <f>SUM($E$7:E1162)</f>
        <v>0.97584437830473</v>
      </c>
      <c r="G1162" s="12" t="str">
        <f t="shared" si="37"/>
        <v>C</v>
      </c>
      <c r="H1162" s="9" t="s">
        <v>183</v>
      </c>
      <c r="I1162" s="9"/>
      <c r="J1162" s="9" t="s">
        <v>2506</v>
      </c>
      <c r="K1162" s="10" t="str">
        <f>IFERROR(VLOOKUP(A1162,'Pedido ESTHER'!$B:$C,2,0),"")</f>
        <v/>
      </c>
      <c r="L1162" s="12" t="str">
        <f>IF(N(K1162)&gt;0,"COMPRA","NÃO COMPRA")</f>
        <v>NÃO COMPRA</v>
      </c>
    </row>
    <row r="1163" spans="1:12">
      <c r="A1163" s="8" t="s">
        <v>2507</v>
      </c>
      <c r="B1163" s="9" t="s">
        <v>2278</v>
      </c>
      <c r="C1163" s="9" t="e">
        <f>VLOOKUP(A1163,[2]Planilha1!$A:$B,2,0)</f>
        <v>#N/A</v>
      </c>
      <c r="D1163" s="10">
        <f>SUMIF([1]Relatório!$A$2:$A$2653,A1163,[1]Relatório!$AK$2:$AK$2653)</f>
        <v>55</v>
      </c>
      <c r="E1163" s="11">
        <f t="shared" si="36"/>
        <v>9.4024005183287e-5</v>
      </c>
      <c r="F1163" s="11">
        <f>SUM($E$7:E1163)</f>
        <v>0.975938402309913</v>
      </c>
      <c r="G1163" s="12" t="str">
        <f t="shared" si="37"/>
        <v>C</v>
      </c>
      <c r="H1163" s="9" t="s">
        <v>1700</v>
      </c>
      <c r="I1163" s="9" t="s">
        <v>2508</v>
      </c>
      <c r="J1163" s="9" t="s">
        <v>2509</v>
      </c>
      <c r="K1163" s="10" t="str">
        <f>IFERROR(VLOOKUP(A1163,'Pedido ESTHER'!$B:$C,2,0),"")</f>
        <v/>
      </c>
      <c r="L1163" s="12" t="str">
        <f>IF(N(K1163)&gt;0,"COMPRA","NÃO COMPRA")</f>
        <v>NÃO COMPRA</v>
      </c>
    </row>
    <row r="1164" spans="1:12">
      <c r="A1164" s="8" t="s">
        <v>2510</v>
      </c>
      <c r="B1164" s="9" t="s">
        <v>1271</v>
      </c>
      <c r="C1164" s="9" t="e">
        <f>VLOOKUP(A1164,[2]Planilha1!$A:$B,2,0)</f>
        <v>#N/A</v>
      </c>
      <c r="D1164" s="10">
        <f>SUMIF([1]Relatório!$A$2:$A$2653,A1164,[1]Relatório!$AK$2:$AK$2653)</f>
        <v>55</v>
      </c>
      <c r="E1164" s="11">
        <f t="shared" si="36"/>
        <v>9.4024005183287e-5</v>
      </c>
      <c r="F1164" s="11">
        <f>SUM($E$7:E1164)</f>
        <v>0.976032426315096</v>
      </c>
      <c r="G1164" s="12" t="str">
        <f t="shared" si="37"/>
        <v>C</v>
      </c>
      <c r="H1164" s="9" t="s">
        <v>117</v>
      </c>
      <c r="I1164" s="9"/>
      <c r="J1164" s="9" t="s">
        <v>1169</v>
      </c>
      <c r="K1164" s="10" t="str">
        <f>IFERROR(VLOOKUP(A1164,'Pedido ESTHER'!$B:$C,2,0),"")</f>
        <v/>
      </c>
      <c r="L1164" s="12" t="str">
        <f>IF(N(K1164)&gt;0,"COMPRA","NÃO COMPRA")</f>
        <v>NÃO COMPRA</v>
      </c>
    </row>
    <row r="1165" spans="1:12">
      <c r="A1165" s="8" t="s">
        <v>2511</v>
      </c>
      <c r="B1165" s="9" t="s">
        <v>681</v>
      </c>
      <c r="C1165" s="9" t="e">
        <f>VLOOKUP(A1165,[2]Planilha1!$A:$B,2,0)</f>
        <v>#N/A</v>
      </c>
      <c r="D1165" s="10">
        <f>SUMIF([1]Relatório!$A$2:$A$2653,A1165,[1]Relatório!$AK$2:$AK$2653)</f>
        <v>55</v>
      </c>
      <c r="E1165" s="11">
        <f t="shared" si="36"/>
        <v>9.4024005183287e-5</v>
      </c>
      <c r="F1165" s="11">
        <f>SUM($E$7:E1165)</f>
        <v>0.97612645032028</v>
      </c>
      <c r="G1165" s="12" t="str">
        <f t="shared" si="37"/>
        <v>C</v>
      </c>
      <c r="H1165" s="9" t="s">
        <v>892</v>
      </c>
      <c r="I1165" s="9" t="s">
        <v>2512</v>
      </c>
      <c r="J1165" s="9" t="s">
        <v>281</v>
      </c>
      <c r="K1165" s="10" t="str">
        <f>IFERROR(VLOOKUP(A1165,'Pedido ESTHER'!$B:$C,2,0),"")</f>
        <v/>
      </c>
      <c r="L1165" s="12" t="str">
        <f>IF(N(K1165)&gt;0,"COMPRA","NÃO COMPRA")</f>
        <v>NÃO COMPRA</v>
      </c>
    </row>
    <row r="1166" spans="1:12">
      <c r="A1166" s="8" t="s">
        <v>2513</v>
      </c>
      <c r="B1166" s="9" t="s">
        <v>827</v>
      </c>
      <c r="C1166" s="9" t="e">
        <f>VLOOKUP(A1166,[2]Planilha1!$A:$B,2,0)</f>
        <v>#N/A</v>
      </c>
      <c r="D1166" s="10">
        <f>SUMIF([1]Relatório!$A$2:$A$2653,A1166,[1]Relatório!$AK$2:$AK$2653)</f>
        <v>54</v>
      </c>
      <c r="E1166" s="11">
        <f t="shared" si="36"/>
        <v>9.23144778163181e-5</v>
      </c>
      <c r="F1166" s="11">
        <f>SUM($E$7:E1166)</f>
        <v>0.976218764798096</v>
      </c>
      <c r="G1166" s="12" t="str">
        <f t="shared" si="37"/>
        <v>C</v>
      </c>
      <c r="H1166" s="9" t="s">
        <v>183</v>
      </c>
      <c r="I1166" s="9" t="s">
        <v>2514</v>
      </c>
      <c r="J1166" s="9" t="s">
        <v>36</v>
      </c>
      <c r="K1166" s="10" t="str">
        <f>IFERROR(VLOOKUP(A1166,'Pedido ESTHER'!$B:$C,2,0),"")</f>
        <v/>
      </c>
      <c r="L1166" s="12" t="str">
        <f>IF(N(K1166)&gt;0,"COMPRA","NÃO COMPRA")</f>
        <v>NÃO COMPRA</v>
      </c>
    </row>
    <row r="1167" spans="1:12">
      <c r="A1167" s="8" t="s">
        <v>2515</v>
      </c>
      <c r="B1167" s="9" t="s">
        <v>13</v>
      </c>
      <c r="C1167" s="9" t="e">
        <f>VLOOKUP(A1167,[2]Planilha1!$A:$B,2,0)</f>
        <v>#N/A</v>
      </c>
      <c r="D1167" s="10">
        <f>SUMIF([1]Relatório!$A$2:$A$2653,A1167,[1]Relatório!$AK$2:$AK$2653)</f>
        <v>54</v>
      </c>
      <c r="E1167" s="11">
        <f t="shared" si="36"/>
        <v>9.23144778163181e-5</v>
      </c>
      <c r="F1167" s="11">
        <f>SUM($E$7:E1167)</f>
        <v>0.976311079275912</v>
      </c>
      <c r="G1167" s="12" t="str">
        <f t="shared" si="37"/>
        <v>C</v>
      </c>
      <c r="H1167" s="9" t="s">
        <v>14</v>
      </c>
      <c r="I1167" s="9"/>
      <c r="J1167" s="9" t="s">
        <v>15</v>
      </c>
      <c r="K1167" s="10" t="str">
        <f>IFERROR(VLOOKUP(A1167,'Pedido ESTHER'!$B:$C,2,0),"")</f>
        <v/>
      </c>
      <c r="L1167" s="12" t="str">
        <f>IF(N(K1167)&gt;0,"COMPRA","NÃO COMPRA")</f>
        <v>NÃO COMPRA</v>
      </c>
    </row>
    <row r="1168" spans="1:12">
      <c r="A1168" s="8" t="s">
        <v>2516</v>
      </c>
      <c r="B1168" s="9" t="s">
        <v>1900</v>
      </c>
      <c r="C1168" s="9" t="e">
        <f>VLOOKUP(A1168,[2]Planilha1!$A:$B,2,0)</f>
        <v>#N/A</v>
      </c>
      <c r="D1168" s="10">
        <f>SUMIF([1]Relatório!$A$2:$A$2653,A1168,[1]Relatório!$AK$2:$AK$2653)</f>
        <v>54</v>
      </c>
      <c r="E1168" s="11">
        <f t="shared" si="36"/>
        <v>9.23144778163181e-5</v>
      </c>
      <c r="F1168" s="11">
        <f>SUM($E$7:E1168)</f>
        <v>0.976403393753729</v>
      </c>
      <c r="G1168" s="12" t="str">
        <f t="shared" si="37"/>
        <v>C</v>
      </c>
      <c r="H1168" s="9" t="s">
        <v>183</v>
      </c>
      <c r="I1168" s="9" t="s">
        <v>2517</v>
      </c>
      <c r="J1168" s="9" t="s">
        <v>2075</v>
      </c>
      <c r="K1168" s="10" t="str">
        <f>IFERROR(VLOOKUP(A1168,'Pedido ESTHER'!$B:$C,2,0),"")</f>
        <v/>
      </c>
      <c r="L1168" s="12" t="str">
        <f>IF(N(K1168)&gt;0,"COMPRA","NÃO COMPRA")</f>
        <v>NÃO COMPRA</v>
      </c>
    </row>
    <row r="1169" spans="1:12">
      <c r="A1169" s="8" t="s">
        <v>2518</v>
      </c>
      <c r="B1169" s="9" t="s">
        <v>2012</v>
      </c>
      <c r="C1169" s="9" t="e">
        <f>VLOOKUP(A1169,[2]Planilha1!$A:$B,2,0)</f>
        <v>#N/A</v>
      </c>
      <c r="D1169" s="10">
        <f>SUMIF([1]Relatório!$A$2:$A$2653,A1169,[1]Relatório!$AK$2:$AK$2653)</f>
        <v>54</v>
      </c>
      <c r="E1169" s="11">
        <f t="shared" si="36"/>
        <v>9.23144778163181e-5</v>
      </c>
      <c r="F1169" s="11">
        <f>SUM($E$7:E1169)</f>
        <v>0.976495708231545</v>
      </c>
      <c r="G1169" s="12" t="str">
        <f t="shared" si="37"/>
        <v>C</v>
      </c>
      <c r="H1169" s="9" t="s">
        <v>1059</v>
      </c>
      <c r="I1169" s="9" t="s">
        <v>2519</v>
      </c>
      <c r="J1169" s="9" t="s">
        <v>497</v>
      </c>
      <c r="K1169" s="10" t="str">
        <f>IFERROR(VLOOKUP(A1169,'Pedido ESTHER'!$B:$C,2,0),"")</f>
        <v/>
      </c>
      <c r="L1169" s="12" t="str">
        <f>IF(N(K1169)&gt;0,"COMPRA","NÃO COMPRA")</f>
        <v>NÃO COMPRA</v>
      </c>
    </row>
    <row r="1170" spans="1:12">
      <c r="A1170" s="8" t="s">
        <v>2520</v>
      </c>
      <c r="B1170" s="9" t="s">
        <v>2425</v>
      </c>
      <c r="C1170" s="9" t="e">
        <f>VLOOKUP(A1170,[2]Planilha1!$A:$B,2,0)</f>
        <v>#N/A</v>
      </c>
      <c r="D1170" s="10">
        <f>SUMIF([1]Relatório!$A$2:$A$2653,A1170,[1]Relatório!$AK$2:$AK$2653)</f>
        <v>54</v>
      </c>
      <c r="E1170" s="11">
        <f t="shared" si="36"/>
        <v>9.23144778163181e-5</v>
      </c>
      <c r="F1170" s="11">
        <f>SUM($E$7:E1170)</f>
        <v>0.976588022709361</v>
      </c>
      <c r="G1170" s="12" t="str">
        <f t="shared" si="37"/>
        <v>C</v>
      </c>
      <c r="H1170" s="9" t="s">
        <v>1059</v>
      </c>
      <c r="I1170" s="9" t="s">
        <v>2521</v>
      </c>
      <c r="J1170" s="9" t="s">
        <v>1418</v>
      </c>
      <c r="K1170" s="10" t="str">
        <f>IFERROR(VLOOKUP(A1170,'Pedido ESTHER'!$B:$C,2,0),"")</f>
        <v/>
      </c>
      <c r="L1170" s="12" t="str">
        <f>IF(N(K1170)&gt;0,"COMPRA","NÃO COMPRA")</f>
        <v>NÃO COMPRA</v>
      </c>
    </row>
    <row r="1171" spans="1:12">
      <c r="A1171" s="8" t="s">
        <v>2522</v>
      </c>
      <c r="B1171" s="9" t="s">
        <v>266</v>
      </c>
      <c r="C1171" s="9" t="e">
        <f>VLOOKUP(A1171,[2]Planilha1!$A:$B,2,0)</f>
        <v>#N/A</v>
      </c>
      <c r="D1171" s="10">
        <f>SUMIF([1]Relatório!$A$2:$A$2653,A1171,[1]Relatório!$AK$2:$AK$2653)</f>
        <v>54</v>
      </c>
      <c r="E1171" s="11">
        <f t="shared" si="36"/>
        <v>9.23144778163181e-5</v>
      </c>
      <c r="F1171" s="11">
        <f>SUM($E$7:E1171)</f>
        <v>0.976680337187178</v>
      </c>
      <c r="G1171" s="12" t="str">
        <f t="shared" si="37"/>
        <v>C</v>
      </c>
      <c r="H1171" s="9" t="s">
        <v>74</v>
      </c>
      <c r="I1171" s="9" t="s">
        <v>2523</v>
      </c>
      <c r="J1171" s="9" t="s">
        <v>64</v>
      </c>
      <c r="K1171" s="10" t="str">
        <f>IFERROR(VLOOKUP(A1171,'Pedido ESTHER'!$B:$C,2,0),"")</f>
        <v/>
      </c>
      <c r="L1171" s="12" t="str">
        <f>IF(N(K1171)&gt;0,"COMPRA","NÃO COMPRA")</f>
        <v>NÃO COMPRA</v>
      </c>
    </row>
    <row r="1172" spans="1:12">
      <c r="A1172" s="8" t="s">
        <v>2524</v>
      </c>
      <c r="B1172" s="9" t="s">
        <v>1892</v>
      </c>
      <c r="C1172" s="9" t="e">
        <f>VLOOKUP(A1172,[2]Planilha1!$A:$B,2,0)</f>
        <v>#N/A</v>
      </c>
      <c r="D1172" s="10">
        <f>SUMIF([1]Relatório!$A$2:$A$2653,A1172,[1]Relatório!$AK$2:$AK$2653)</f>
        <v>53</v>
      </c>
      <c r="E1172" s="11">
        <f t="shared" si="36"/>
        <v>9.06049504493493e-5</v>
      </c>
      <c r="F1172" s="11">
        <f>SUM($E$7:E1172)</f>
        <v>0.976770942137627</v>
      </c>
      <c r="G1172" s="12" t="str">
        <f t="shared" si="37"/>
        <v>C</v>
      </c>
      <c r="H1172" s="9" t="s">
        <v>2406</v>
      </c>
      <c r="I1172" s="9" t="s">
        <v>2525</v>
      </c>
      <c r="J1172" s="9" t="s">
        <v>40</v>
      </c>
      <c r="K1172" s="10" t="str">
        <f>IFERROR(VLOOKUP(A1172,'Pedido ESTHER'!$B:$C,2,0),"")</f>
        <v/>
      </c>
      <c r="L1172" s="12" t="str">
        <f>IF(N(K1172)&gt;0,"COMPRA","NÃO COMPRA")</f>
        <v>NÃO COMPRA</v>
      </c>
    </row>
    <row r="1173" spans="1:12">
      <c r="A1173" s="8" t="s">
        <v>2526</v>
      </c>
      <c r="B1173" s="9" t="s">
        <v>1612</v>
      </c>
      <c r="C1173" s="9" t="e">
        <f>VLOOKUP(A1173,[2]Planilha1!$A:$B,2,0)</f>
        <v>#N/A</v>
      </c>
      <c r="D1173" s="10">
        <f>SUMIF([1]Relatório!$A$2:$A$2653,A1173,[1]Relatório!$AK$2:$AK$2653)</f>
        <v>53</v>
      </c>
      <c r="E1173" s="11">
        <f t="shared" si="36"/>
        <v>9.06049504493493e-5</v>
      </c>
      <c r="F1173" s="11">
        <f>SUM($E$7:E1173)</f>
        <v>0.976861547088076</v>
      </c>
      <c r="G1173" s="12" t="str">
        <f t="shared" si="37"/>
        <v>C</v>
      </c>
      <c r="H1173" s="9" t="s">
        <v>1344</v>
      </c>
      <c r="I1173" s="9" t="s">
        <v>2527</v>
      </c>
      <c r="J1173" s="9" t="s">
        <v>33</v>
      </c>
      <c r="K1173" s="10" t="str">
        <f>IFERROR(VLOOKUP(A1173,'Pedido ESTHER'!$B:$C,2,0),"")</f>
        <v/>
      </c>
      <c r="L1173" s="12" t="str">
        <f>IF(N(K1173)&gt;0,"COMPRA","NÃO COMPRA")</f>
        <v>NÃO COMPRA</v>
      </c>
    </row>
    <row r="1174" spans="1:12">
      <c r="A1174" s="8" t="s">
        <v>2528</v>
      </c>
      <c r="B1174" s="9" t="s">
        <v>2529</v>
      </c>
      <c r="C1174" s="9" t="e">
        <f>VLOOKUP(A1174,[2]Planilha1!$A:$B,2,0)</f>
        <v>#N/A</v>
      </c>
      <c r="D1174" s="10">
        <f>SUMIF([1]Relatório!$A$2:$A$2653,A1174,[1]Relatório!$AK$2:$AK$2653)</f>
        <v>53</v>
      </c>
      <c r="E1174" s="11">
        <f t="shared" si="36"/>
        <v>9.06049504493493e-5</v>
      </c>
      <c r="F1174" s="11">
        <f>SUM($E$7:E1174)</f>
        <v>0.976952152038526</v>
      </c>
      <c r="G1174" s="12" t="str">
        <f t="shared" si="37"/>
        <v>C</v>
      </c>
      <c r="H1174" s="9" t="s">
        <v>1344</v>
      </c>
      <c r="I1174" s="9" t="s">
        <v>2530</v>
      </c>
      <c r="J1174" s="9" t="s">
        <v>1314</v>
      </c>
      <c r="K1174" s="10" t="str">
        <f>IFERROR(VLOOKUP(A1174,'Pedido ESTHER'!$B:$C,2,0),"")</f>
        <v/>
      </c>
      <c r="L1174" s="12" t="str">
        <f>IF(N(K1174)&gt;0,"COMPRA","NÃO COMPRA")</f>
        <v>NÃO COMPRA</v>
      </c>
    </row>
    <row r="1175" spans="1:12">
      <c r="A1175" s="8" t="s">
        <v>2531</v>
      </c>
      <c r="B1175" s="9" t="s">
        <v>1512</v>
      </c>
      <c r="C1175" s="9" t="e">
        <f>VLOOKUP(A1175,[2]Planilha1!$A:$B,2,0)</f>
        <v>#N/A</v>
      </c>
      <c r="D1175" s="10">
        <f>SUMIF([1]Relatório!$A$2:$A$2653,A1175,[1]Relatório!$AK$2:$AK$2653)</f>
        <v>53</v>
      </c>
      <c r="E1175" s="11">
        <f t="shared" si="36"/>
        <v>9.06049504493493e-5</v>
      </c>
      <c r="F1175" s="11">
        <f>SUM($E$7:E1175)</f>
        <v>0.977042756988975</v>
      </c>
      <c r="G1175" s="12" t="str">
        <f t="shared" si="37"/>
        <v>C</v>
      </c>
      <c r="H1175" s="9" t="s">
        <v>586</v>
      </c>
      <c r="I1175" s="9" t="s">
        <v>2532</v>
      </c>
      <c r="J1175" s="9" t="s">
        <v>213</v>
      </c>
      <c r="K1175" s="10" t="str">
        <f>IFERROR(VLOOKUP(A1175,'Pedido ESTHER'!$B:$C,2,0),"")</f>
        <v/>
      </c>
      <c r="L1175" s="12" t="str">
        <f>IF(N(K1175)&gt;0,"COMPRA","NÃO COMPRA")</f>
        <v>NÃO COMPRA</v>
      </c>
    </row>
    <row r="1176" spans="1:12">
      <c r="A1176" s="8" t="s">
        <v>2533</v>
      </c>
      <c r="B1176" s="9" t="s">
        <v>2444</v>
      </c>
      <c r="C1176" s="9" t="e">
        <f>VLOOKUP(A1176,[2]Planilha1!$A:$B,2,0)</f>
        <v>#N/A</v>
      </c>
      <c r="D1176" s="10">
        <f>SUMIF([1]Relatório!$A$2:$A$2653,A1176,[1]Relatório!$AK$2:$AK$2653)</f>
        <v>53</v>
      </c>
      <c r="E1176" s="11">
        <f t="shared" si="36"/>
        <v>9.06049504493493e-5</v>
      </c>
      <c r="F1176" s="11">
        <f>SUM($E$7:E1176)</f>
        <v>0.977133361939424</v>
      </c>
      <c r="G1176" s="12" t="str">
        <f t="shared" si="37"/>
        <v>C</v>
      </c>
      <c r="H1176" s="9" t="s">
        <v>1059</v>
      </c>
      <c r="I1176" s="9" t="s">
        <v>2534</v>
      </c>
      <c r="J1176" s="9" t="s">
        <v>925</v>
      </c>
      <c r="K1176" s="10" t="str">
        <f>IFERROR(VLOOKUP(A1176,'Pedido ESTHER'!$B:$C,2,0),"")</f>
        <v/>
      </c>
      <c r="L1176" s="12" t="str">
        <f>IF(N(K1176)&gt;0,"COMPRA","NÃO COMPRA")</f>
        <v>NÃO COMPRA</v>
      </c>
    </row>
    <row r="1177" spans="1:12">
      <c r="A1177" s="8" t="s">
        <v>2535</v>
      </c>
      <c r="B1177" s="9" t="s">
        <v>125</v>
      </c>
      <c r="C1177" s="9" t="e">
        <f>VLOOKUP(A1177,[2]Planilha1!$A:$B,2,0)</f>
        <v>#N/A</v>
      </c>
      <c r="D1177" s="10">
        <f>SUMIF([1]Relatório!$A$2:$A$2653,A1177,[1]Relatório!$AK$2:$AK$2653)</f>
        <v>53</v>
      </c>
      <c r="E1177" s="11">
        <f t="shared" si="36"/>
        <v>9.06049504493493e-5</v>
      </c>
      <c r="F1177" s="11">
        <f>SUM($E$7:E1177)</f>
        <v>0.977223966889874</v>
      </c>
      <c r="G1177" s="12" t="str">
        <f t="shared" si="37"/>
        <v>C</v>
      </c>
      <c r="H1177" s="9" t="s">
        <v>74</v>
      </c>
      <c r="I1177" s="9" t="s">
        <v>2536</v>
      </c>
      <c r="J1177" s="9" t="s">
        <v>23</v>
      </c>
      <c r="K1177" s="10" t="str">
        <f>IFERROR(VLOOKUP(A1177,'Pedido ESTHER'!$B:$C,2,0),"")</f>
        <v/>
      </c>
      <c r="L1177" s="12" t="str">
        <f>IF(N(K1177)&gt;0,"COMPRA","NÃO COMPRA")</f>
        <v>NÃO COMPRA</v>
      </c>
    </row>
    <row r="1178" spans="1:12">
      <c r="A1178" s="8" t="s">
        <v>2537</v>
      </c>
      <c r="B1178" s="9" t="s">
        <v>2538</v>
      </c>
      <c r="C1178" s="9" t="e">
        <f>VLOOKUP(A1178,[2]Planilha1!$A:$B,2,0)</f>
        <v>#N/A</v>
      </c>
      <c r="D1178" s="10">
        <f>SUMIF([1]Relatório!$A$2:$A$2653,A1178,[1]Relatório!$AK$2:$AK$2653)</f>
        <v>52</v>
      </c>
      <c r="E1178" s="11">
        <f t="shared" si="36"/>
        <v>8.88954230823804e-5</v>
      </c>
      <c r="F1178" s="11">
        <f>SUM($E$7:E1178)</f>
        <v>0.977312862312956</v>
      </c>
      <c r="G1178" s="12" t="str">
        <f t="shared" si="37"/>
        <v>C</v>
      </c>
      <c r="H1178" s="9" t="s">
        <v>1344</v>
      </c>
      <c r="I1178" s="9" t="s">
        <v>2539</v>
      </c>
      <c r="J1178" s="9" t="s">
        <v>44</v>
      </c>
      <c r="K1178" s="10" t="str">
        <f>IFERROR(VLOOKUP(A1178,'Pedido ESTHER'!$B:$C,2,0),"")</f>
        <v/>
      </c>
      <c r="L1178" s="12" t="str">
        <f>IF(N(K1178)&gt;0,"COMPRA","NÃO COMPRA")</f>
        <v>NÃO COMPRA</v>
      </c>
    </row>
    <row r="1179" spans="1:12">
      <c r="A1179" s="8" t="s">
        <v>2540</v>
      </c>
      <c r="B1179" s="9" t="s">
        <v>970</v>
      </c>
      <c r="C1179" s="9" t="e">
        <f>VLOOKUP(A1179,[2]Planilha1!$A:$B,2,0)</f>
        <v>#N/A</v>
      </c>
      <c r="D1179" s="10">
        <f>SUMIF([1]Relatório!$A$2:$A$2653,A1179,[1]Relatório!$AK$2:$AK$2653)</f>
        <v>52</v>
      </c>
      <c r="E1179" s="11">
        <f t="shared" si="36"/>
        <v>8.88954230823804e-5</v>
      </c>
      <c r="F1179" s="11">
        <f>SUM($E$7:E1179)</f>
        <v>0.977401757736038</v>
      </c>
      <c r="G1179" s="12" t="str">
        <f t="shared" si="37"/>
        <v>C</v>
      </c>
      <c r="H1179" s="9" t="s">
        <v>183</v>
      </c>
      <c r="I1179" s="9" t="s">
        <v>2541</v>
      </c>
      <c r="J1179" s="9" t="s">
        <v>2542</v>
      </c>
      <c r="K1179" s="10" t="str">
        <f>IFERROR(VLOOKUP(A1179,'Pedido ESTHER'!$B:$C,2,0),"")</f>
        <v/>
      </c>
      <c r="L1179" s="12" t="str">
        <f>IF(N(K1179)&gt;0,"COMPRA","NÃO COMPRA")</f>
        <v>NÃO COMPRA</v>
      </c>
    </row>
    <row r="1180" spans="1:12">
      <c r="A1180" s="8" t="s">
        <v>2543</v>
      </c>
      <c r="B1180" s="9" t="s">
        <v>2544</v>
      </c>
      <c r="C1180" s="9" t="e">
        <f>VLOOKUP(A1180,[2]Planilha1!$A:$B,2,0)</f>
        <v>#N/A</v>
      </c>
      <c r="D1180" s="10">
        <f>SUMIF([1]Relatório!$A$2:$A$2653,A1180,[1]Relatório!$AK$2:$AK$2653)</f>
        <v>51</v>
      </c>
      <c r="E1180" s="11">
        <f t="shared" si="36"/>
        <v>8.71858957154116e-5</v>
      </c>
      <c r="F1180" s="11">
        <f>SUM($E$7:E1180)</f>
        <v>0.977488943631754</v>
      </c>
      <c r="G1180" s="12" t="str">
        <f t="shared" si="37"/>
        <v>C</v>
      </c>
      <c r="H1180" s="9" t="s">
        <v>1344</v>
      </c>
      <c r="I1180" s="9" t="s">
        <v>2545</v>
      </c>
      <c r="J1180" s="9" t="s">
        <v>359</v>
      </c>
      <c r="K1180" s="10" t="str">
        <f>IFERROR(VLOOKUP(A1180,'Pedido ESTHER'!$B:$C,2,0),"")</f>
        <v/>
      </c>
      <c r="L1180" s="12" t="str">
        <f>IF(N(K1180)&gt;0,"COMPRA","NÃO COMPRA")</f>
        <v>NÃO COMPRA</v>
      </c>
    </row>
    <row r="1181" spans="1:12">
      <c r="A1181" s="8" t="s">
        <v>2546</v>
      </c>
      <c r="B1181" s="9" t="s">
        <v>1864</v>
      </c>
      <c r="C1181" s="9" t="e">
        <f>VLOOKUP(A1181,[2]Planilha1!$A:$B,2,0)</f>
        <v>#N/A</v>
      </c>
      <c r="D1181" s="10">
        <f>SUMIF([1]Relatório!$A$2:$A$2653,A1181,[1]Relatório!$AK$2:$AK$2653)</f>
        <v>51</v>
      </c>
      <c r="E1181" s="11">
        <f t="shared" si="36"/>
        <v>8.71858957154116e-5</v>
      </c>
      <c r="F1181" s="11">
        <f>SUM($E$7:E1181)</f>
        <v>0.977576129527469</v>
      </c>
      <c r="G1181" s="12" t="str">
        <f t="shared" si="37"/>
        <v>C</v>
      </c>
      <c r="H1181" s="9" t="s">
        <v>2406</v>
      </c>
      <c r="I1181" s="9" t="s">
        <v>2547</v>
      </c>
      <c r="J1181" s="9" t="s">
        <v>164</v>
      </c>
      <c r="K1181" s="10" t="str">
        <f>IFERROR(VLOOKUP(A1181,'Pedido ESTHER'!$B:$C,2,0),"")</f>
        <v/>
      </c>
      <c r="L1181" s="12" t="str">
        <f>IF(N(K1181)&gt;0,"COMPRA","NÃO COMPRA")</f>
        <v>NÃO COMPRA</v>
      </c>
    </row>
    <row r="1182" spans="1:12">
      <c r="A1182" s="8" t="s">
        <v>2548</v>
      </c>
      <c r="B1182" s="9" t="s">
        <v>2549</v>
      </c>
      <c r="C1182" s="9" t="e">
        <f>VLOOKUP(A1182,[2]Planilha1!$A:$B,2,0)</f>
        <v>#N/A</v>
      </c>
      <c r="D1182" s="10">
        <f>SUMIF([1]Relatório!$A$2:$A$2653,A1182,[1]Relatório!$AK$2:$AK$2653)</f>
        <v>51</v>
      </c>
      <c r="E1182" s="11">
        <f t="shared" si="36"/>
        <v>8.71858957154116e-5</v>
      </c>
      <c r="F1182" s="11">
        <f>SUM($E$7:E1182)</f>
        <v>0.977663315423185</v>
      </c>
      <c r="G1182" s="12" t="str">
        <f t="shared" si="37"/>
        <v>C</v>
      </c>
      <c r="H1182" s="9" t="s">
        <v>1344</v>
      </c>
      <c r="I1182" s="9" t="s">
        <v>2550</v>
      </c>
      <c r="J1182" s="9" t="s">
        <v>671</v>
      </c>
      <c r="K1182" s="10" t="str">
        <f>IFERROR(VLOOKUP(A1182,'Pedido ESTHER'!$B:$C,2,0),"")</f>
        <v/>
      </c>
      <c r="L1182" s="12" t="str">
        <f>IF(N(K1182)&gt;0,"COMPRA","NÃO COMPRA")</f>
        <v>NÃO COMPRA</v>
      </c>
    </row>
    <row r="1183" spans="1:12">
      <c r="A1183" s="8" t="s">
        <v>2551</v>
      </c>
      <c r="B1183" s="9" t="s">
        <v>2552</v>
      </c>
      <c r="C1183" s="9" t="e">
        <f>VLOOKUP(A1183,[2]Planilha1!$A:$B,2,0)</f>
        <v>#N/A</v>
      </c>
      <c r="D1183" s="10">
        <f>SUMIF([1]Relatório!$A$2:$A$2653,A1183,[1]Relatório!$AK$2:$AK$2653)</f>
        <v>51</v>
      </c>
      <c r="E1183" s="11">
        <f t="shared" si="36"/>
        <v>8.71858957154116e-5</v>
      </c>
      <c r="F1183" s="11">
        <f>SUM($E$7:E1183)</f>
        <v>0.9777505013189</v>
      </c>
      <c r="G1183" s="12" t="str">
        <f t="shared" si="37"/>
        <v>C</v>
      </c>
      <c r="H1183" s="9" t="s">
        <v>1344</v>
      </c>
      <c r="I1183" s="9" t="s">
        <v>2553</v>
      </c>
      <c r="J1183" s="9" t="s">
        <v>671</v>
      </c>
      <c r="K1183" s="10" t="str">
        <f>IFERROR(VLOOKUP(A1183,'Pedido ESTHER'!$B:$C,2,0),"")</f>
        <v/>
      </c>
      <c r="L1183" s="12" t="str">
        <f>IF(N(K1183)&gt;0,"COMPRA","NÃO COMPRA")</f>
        <v>NÃO COMPRA</v>
      </c>
    </row>
    <row r="1184" spans="1:12">
      <c r="A1184" s="8" t="s">
        <v>2554</v>
      </c>
      <c r="B1184" s="9" t="s">
        <v>837</v>
      </c>
      <c r="C1184" s="9" t="e">
        <f>VLOOKUP(A1184,[2]Planilha1!$A:$B,2,0)</f>
        <v>#N/A</v>
      </c>
      <c r="D1184" s="10">
        <f>SUMIF([1]Relatório!$A$2:$A$2653,A1184,[1]Relatório!$AK$2:$AK$2653)</f>
        <v>51</v>
      </c>
      <c r="E1184" s="11">
        <f t="shared" si="36"/>
        <v>8.71858957154116e-5</v>
      </c>
      <c r="F1184" s="11">
        <f>SUM($E$7:E1184)</f>
        <v>0.977837687214616</v>
      </c>
      <c r="G1184" s="12" t="str">
        <f t="shared" si="37"/>
        <v>C</v>
      </c>
      <c r="H1184" s="9" t="s">
        <v>18</v>
      </c>
      <c r="I1184" s="9"/>
      <c r="J1184" s="9" t="s">
        <v>213</v>
      </c>
      <c r="K1184" s="10" t="str">
        <f>IFERROR(VLOOKUP(A1184,'Pedido ESTHER'!$B:$C,2,0),"")</f>
        <v/>
      </c>
      <c r="L1184" s="12" t="str">
        <f>IF(N(K1184)&gt;0,"COMPRA","NÃO COMPRA")</f>
        <v>NÃO COMPRA</v>
      </c>
    </row>
    <row r="1185" spans="1:12">
      <c r="A1185" s="8" t="s">
        <v>2555</v>
      </c>
      <c r="B1185" s="9" t="s">
        <v>2102</v>
      </c>
      <c r="C1185" s="9" t="e">
        <f>VLOOKUP(A1185,[2]Planilha1!$A:$B,2,0)</f>
        <v>#N/A</v>
      </c>
      <c r="D1185" s="10">
        <f>SUMIF([1]Relatório!$A$2:$A$2653,A1185,[1]Relatório!$AK$2:$AK$2653)</f>
        <v>51</v>
      </c>
      <c r="E1185" s="11">
        <f t="shared" si="36"/>
        <v>8.71858957154116e-5</v>
      </c>
      <c r="F1185" s="11">
        <f>SUM($E$7:E1185)</f>
        <v>0.977924873110331</v>
      </c>
      <c r="G1185" s="12" t="str">
        <f t="shared" si="37"/>
        <v>C</v>
      </c>
      <c r="H1185" s="9" t="s">
        <v>1117</v>
      </c>
      <c r="I1185" s="9" t="s">
        <v>2556</v>
      </c>
      <c r="J1185" s="9" t="s">
        <v>1143</v>
      </c>
      <c r="K1185" s="10" t="str">
        <f>IFERROR(VLOOKUP(A1185,'Pedido ESTHER'!$B:$C,2,0),"")</f>
        <v/>
      </c>
      <c r="L1185" s="12" t="str">
        <f>IF(N(K1185)&gt;0,"COMPRA","NÃO COMPRA")</f>
        <v>NÃO COMPRA</v>
      </c>
    </row>
    <row r="1186" spans="1:12">
      <c r="A1186" s="8" t="s">
        <v>2557</v>
      </c>
      <c r="B1186" s="9" t="s">
        <v>154</v>
      </c>
      <c r="C1186" s="9" t="e">
        <f>VLOOKUP(A1186,[2]Planilha1!$A:$B,2,0)</f>
        <v>#N/A</v>
      </c>
      <c r="D1186" s="10">
        <f>SUMIF([1]Relatório!$A$2:$A$2653,A1186,[1]Relatório!$AK$2:$AK$2653)</f>
        <v>51</v>
      </c>
      <c r="E1186" s="11">
        <f t="shared" si="36"/>
        <v>8.71858957154116e-5</v>
      </c>
      <c r="F1186" s="11">
        <f>SUM($E$7:E1186)</f>
        <v>0.978012059006046</v>
      </c>
      <c r="G1186" s="12" t="str">
        <f t="shared" si="37"/>
        <v>C</v>
      </c>
      <c r="H1186" s="9" t="s">
        <v>831</v>
      </c>
      <c r="I1186" s="9" t="s">
        <v>2558</v>
      </c>
      <c r="J1186" s="9" t="s">
        <v>44</v>
      </c>
      <c r="K1186" s="10" t="str">
        <f>IFERROR(VLOOKUP(A1186,'Pedido ESTHER'!$B:$C,2,0),"")</f>
        <v/>
      </c>
      <c r="L1186" s="12" t="str">
        <f>IF(N(K1186)&gt;0,"COMPRA","NÃO COMPRA")</f>
        <v>NÃO COMPRA</v>
      </c>
    </row>
    <row r="1187" spans="1:12">
      <c r="A1187" s="8" t="s">
        <v>2559</v>
      </c>
      <c r="B1187" s="9" t="s">
        <v>528</v>
      </c>
      <c r="C1187" s="9" t="e">
        <f>VLOOKUP(A1187,[2]Planilha1!$A:$B,2,0)</f>
        <v>#N/A</v>
      </c>
      <c r="D1187" s="10">
        <f>SUMIF([1]Relatório!$A$2:$A$2653,A1187,[1]Relatório!$AK$2:$AK$2653)</f>
        <v>51</v>
      </c>
      <c r="E1187" s="11">
        <f t="shared" si="36"/>
        <v>8.71858957154116e-5</v>
      </c>
      <c r="F1187" s="11">
        <f>SUM($E$7:E1187)</f>
        <v>0.978099244901762</v>
      </c>
      <c r="G1187" s="12" t="str">
        <f t="shared" si="37"/>
        <v>C</v>
      </c>
      <c r="H1187" s="9" t="s">
        <v>21</v>
      </c>
      <c r="I1187" s="9" t="s">
        <v>2560</v>
      </c>
      <c r="J1187" s="9" t="s">
        <v>64</v>
      </c>
      <c r="K1187" s="10" t="str">
        <f>IFERROR(VLOOKUP(A1187,'Pedido ESTHER'!$B:$C,2,0),"")</f>
        <v/>
      </c>
      <c r="L1187" s="12" t="str">
        <f>IF(N(K1187)&gt;0,"COMPRA","NÃO COMPRA")</f>
        <v>NÃO COMPRA</v>
      </c>
    </row>
    <row r="1188" spans="1:12">
      <c r="A1188" s="8" t="s">
        <v>2561</v>
      </c>
      <c r="B1188" s="9" t="s">
        <v>2562</v>
      </c>
      <c r="C1188" s="9" t="e">
        <f>VLOOKUP(A1188,[2]Planilha1!$A:$B,2,0)</f>
        <v>#N/A</v>
      </c>
      <c r="D1188" s="10">
        <f>SUMIF([1]Relatório!$A$2:$A$2653,A1188,[1]Relatório!$AK$2:$AK$2653)</f>
        <v>50</v>
      </c>
      <c r="E1188" s="11">
        <f t="shared" si="36"/>
        <v>8.54763683484427e-5</v>
      </c>
      <c r="F1188" s="11">
        <f>SUM($E$7:E1188)</f>
        <v>0.97818472127011</v>
      </c>
      <c r="G1188" s="12" t="str">
        <f t="shared" si="37"/>
        <v>C</v>
      </c>
      <c r="H1188" s="9" t="s">
        <v>1937</v>
      </c>
      <c r="I1188" s="9"/>
      <c r="J1188" s="9" t="s">
        <v>359</v>
      </c>
      <c r="K1188" s="10" t="str">
        <f>IFERROR(VLOOKUP(A1188,'Pedido ESTHER'!$B:$C,2,0),"")</f>
        <v/>
      </c>
      <c r="L1188" s="12" t="str">
        <f>IF(N(K1188)&gt;0,"COMPRA","NÃO COMPRA")</f>
        <v>NÃO COMPRA</v>
      </c>
    </row>
    <row r="1189" spans="1:12">
      <c r="A1189" s="8" t="s">
        <v>2563</v>
      </c>
      <c r="B1189" s="9" t="s">
        <v>2564</v>
      </c>
      <c r="C1189" s="9" t="e">
        <f>VLOOKUP(A1189,[2]Planilha1!$A:$B,2,0)</f>
        <v>#N/A</v>
      </c>
      <c r="D1189" s="10">
        <f>SUMIF([1]Relatório!$A$2:$A$2653,A1189,[1]Relatório!$AK$2:$AK$2653)</f>
        <v>50</v>
      </c>
      <c r="E1189" s="11">
        <f t="shared" si="36"/>
        <v>8.54763683484427e-5</v>
      </c>
      <c r="F1189" s="11">
        <f>SUM($E$7:E1189)</f>
        <v>0.978270197638459</v>
      </c>
      <c r="G1189" s="12" t="str">
        <f t="shared" si="37"/>
        <v>C</v>
      </c>
      <c r="H1189" s="9" t="s">
        <v>1937</v>
      </c>
      <c r="I1189" s="9"/>
      <c r="J1189" s="9" t="s">
        <v>1143</v>
      </c>
      <c r="K1189" s="10" t="str">
        <f>IFERROR(VLOOKUP(A1189,'Pedido ESTHER'!$B:$C,2,0),"")</f>
        <v/>
      </c>
      <c r="L1189" s="12" t="str">
        <f>IF(N(K1189)&gt;0,"COMPRA","NÃO COMPRA")</f>
        <v>NÃO COMPRA</v>
      </c>
    </row>
    <row r="1190" spans="1:12">
      <c r="A1190" s="8" t="s">
        <v>2565</v>
      </c>
      <c r="B1190" s="9" t="s">
        <v>2566</v>
      </c>
      <c r="C1190" s="9" t="e">
        <f>VLOOKUP(A1190,[2]Planilha1!$A:$B,2,0)</f>
        <v>#N/A</v>
      </c>
      <c r="D1190" s="10">
        <f>SUMIF([1]Relatório!$A$2:$A$2653,A1190,[1]Relatório!$AK$2:$AK$2653)</f>
        <v>50</v>
      </c>
      <c r="E1190" s="11">
        <f t="shared" si="36"/>
        <v>8.54763683484427e-5</v>
      </c>
      <c r="F1190" s="11">
        <f>SUM($E$7:E1190)</f>
        <v>0.978355674006807</v>
      </c>
      <c r="G1190" s="12" t="str">
        <f t="shared" si="37"/>
        <v>C</v>
      </c>
      <c r="H1190" s="9" t="s">
        <v>1937</v>
      </c>
      <c r="I1190" s="9"/>
      <c r="J1190" s="9" t="s">
        <v>1143</v>
      </c>
      <c r="K1190" s="10" t="str">
        <f>IFERROR(VLOOKUP(A1190,'Pedido ESTHER'!$B:$C,2,0),"")</f>
        <v/>
      </c>
      <c r="L1190" s="12" t="str">
        <f>IF(N(K1190)&gt;0,"COMPRA","NÃO COMPRA")</f>
        <v>NÃO COMPRA</v>
      </c>
    </row>
    <row r="1191" spans="1:12">
      <c r="A1191" s="8" t="s">
        <v>2567</v>
      </c>
      <c r="B1191" s="9" t="s">
        <v>1892</v>
      </c>
      <c r="C1191" s="9" t="e">
        <f>VLOOKUP(A1191,[2]Planilha1!$A:$B,2,0)</f>
        <v>#N/A</v>
      </c>
      <c r="D1191" s="10">
        <f>SUMIF([1]Relatório!$A$2:$A$2653,A1191,[1]Relatório!$AK$2:$AK$2653)</f>
        <v>50</v>
      </c>
      <c r="E1191" s="11">
        <f t="shared" si="36"/>
        <v>8.54763683484427e-5</v>
      </c>
      <c r="F1191" s="11">
        <f>SUM($E$7:E1191)</f>
        <v>0.978441150375156</v>
      </c>
      <c r="G1191" s="12" t="str">
        <f t="shared" si="37"/>
        <v>C</v>
      </c>
      <c r="H1191" s="9" t="s">
        <v>2406</v>
      </c>
      <c r="I1191" s="9" t="s">
        <v>2568</v>
      </c>
      <c r="J1191" s="9" t="s">
        <v>40</v>
      </c>
      <c r="K1191" s="10" t="str">
        <f>IFERROR(VLOOKUP(A1191,'Pedido ESTHER'!$B:$C,2,0),"")</f>
        <v/>
      </c>
      <c r="L1191" s="12" t="str">
        <f>IF(N(K1191)&gt;0,"COMPRA","NÃO COMPRA")</f>
        <v>NÃO COMPRA</v>
      </c>
    </row>
    <row r="1192" spans="1:12">
      <c r="A1192" s="8" t="s">
        <v>2569</v>
      </c>
      <c r="B1192" s="9" t="s">
        <v>1917</v>
      </c>
      <c r="C1192" s="9" t="e">
        <f>VLOOKUP(A1192,[2]Planilha1!$A:$B,2,0)</f>
        <v>#N/A</v>
      </c>
      <c r="D1192" s="10">
        <f>SUMIF([1]Relatório!$A$2:$A$2653,A1192,[1]Relatório!$AK$2:$AK$2653)</f>
        <v>50</v>
      </c>
      <c r="E1192" s="11">
        <f t="shared" si="36"/>
        <v>8.54763683484427e-5</v>
      </c>
      <c r="F1192" s="11">
        <f>SUM($E$7:E1192)</f>
        <v>0.978526626743504</v>
      </c>
      <c r="G1192" s="12" t="str">
        <f t="shared" si="37"/>
        <v>C</v>
      </c>
      <c r="H1192" s="9" t="s">
        <v>2406</v>
      </c>
      <c r="I1192" s="9" t="s">
        <v>2570</v>
      </c>
      <c r="J1192" s="9" t="s">
        <v>40</v>
      </c>
      <c r="K1192" s="10" t="str">
        <f>IFERROR(VLOOKUP(A1192,'Pedido ESTHER'!$B:$C,2,0),"")</f>
        <v/>
      </c>
      <c r="L1192" s="12" t="str">
        <f>IF(N(K1192)&gt;0,"COMPRA","NÃO COMPRA")</f>
        <v>NÃO COMPRA</v>
      </c>
    </row>
    <row r="1193" spans="1:12">
      <c r="A1193" s="8" t="s">
        <v>2571</v>
      </c>
      <c r="B1193" s="9" t="s">
        <v>1867</v>
      </c>
      <c r="C1193" s="9" t="e">
        <f>VLOOKUP(A1193,[2]Planilha1!$A:$B,2,0)</f>
        <v>#N/A</v>
      </c>
      <c r="D1193" s="10">
        <f>SUMIF([1]Relatório!$A$2:$A$2653,A1193,[1]Relatório!$AK$2:$AK$2653)</f>
        <v>50</v>
      </c>
      <c r="E1193" s="11">
        <f t="shared" si="36"/>
        <v>8.54763683484427e-5</v>
      </c>
      <c r="F1193" s="11">
        <f>SUM($E$7:E1193)</f>
        <v>0.978612103111853</v>
      </c>
      <c r="G1193" s="12" t="str">
        <f t="shared" si="37"/>
        <v>C</v>
      </c>
      <c r="H1193" s="9" t="s">
        <v>1344</v>
      </c>
      <c r="I1193" s="9" t="s">
        <v>2572</v>
      </c>
      <c r="J1193" s="9" t="s">
        <v>44</v>
      </c>
      <c r="K1193" s="10" t="str">
        <f>IFERROR(VLOOKUP(A1193,'Pedido ESTHER'!$B:$C,2,0),"")</f>
        <v/>
      </c>
      <c r="L1193" s="12" t="str">
        <f>IF(N(K1193)&gt;0,"COMPRA","NÃO COMPRA")</f>
        <v>NÃO COMPRA</v>
      </c>
    </row>
    <row r="1194" spans="1:12">
      <c r="A1194" s="8" t="s">
        <v>2573</v>
      </c>
      <c r="B1194" s="9" t="s">
        <v>2085</v>
      </c>
      <c r="C1194" s="9" t="e">
        <f>VLOOKUP(A1194,[2]Planilha1!$A:$B,2,0)</f>
        <v>#N/A</v>
      </c>
      <c r="D1194" s="10">
        <f>SUMIF([1]Relatório!$A$2:$A$2653,A1194,[1]Relatório!$AK$2:$AK$2653)</f>
        <v>50</v>
      </c>
      <c r="E1194" s="11">
        <f t="shared" si="36"/>
        <v>8.54763683484427e-5</v>
      </c>
      <c r="F1194" s="11">
        <f>SUM($E$7:E1194)</f>
        <v>0.978697579480201</v>
      </c>
      <c r="G1194" s="12" t="str">
        <f t="shared" si="37"/>
        <v>C</v>
      </c>
      <c r="H1194" s="9" t="s">
        <v>1344</v>
      </c>
      <c r="I1194" s="9" t="s">
        <v>2574</v>
      </c>
      <c r="J1194" s="9" t="s">
        <v>44</v>
      </c>
      <c r="K1194" s="10" t="str">
        <f>IFERROR(VLOOKUP(A1194,'Pedido ESTHER'!$B:$C,2,0),"")</f>
        <v/>
      </c>
      <c r="L1194" s="12" t="str">
        <f>IF(N(K1194)&gt;0,"COMPRA","NÃO COMPRA")</f>
        <v>NÃO COMPRA</v>
      </c>
    </row>
    <row r="1195" spans="1:12">
      <c r="A1195" s="8" t="s">
        <v>2575</v>
      </c>
      <c r="B1195" s="9" t="s">
        <v>2576</v>
      </c>
      <c r="C1195" s="9" t="e">
        <f>VLOOKUP(A1195,[2]Planilha1!$A:$B,2,0)</f>
        <v>#N/A</v>
      </c>
      <c r="D1195" s="10">
        <f>SUMIF([1]Relatório!$A$2:$A$2653,A1195,[1]Relatório!$AK$2:$AK$2653)</f>
        <v>50</v>
      </c>
      <c r="E1195" s="11">
        <f t="shared" si="36"/>
        <v>8.54763683484427e-5</v>
      </c>
      <c r="F1195" s="11">
        <f>SUM($E$7:E1195)</f>
        <v>0.978783055848549</v>
      </c>
      <c r="G1195" s="12" t="str">
        <f t="shared" si="37"/>
        <v>C</v>
      </c>
      <c r="H1195" s="9" t="s">
        <v>1700</v>
      </c>
      <c r="I1195" s="9" t="s">
        <v>2577</v>
      </c>
      <c r="J1195" s="9" t="s">
        <v>916</v>
      </c>
      <c r="K1195" s="10" t="str">
        <f>IFERROR(VLOOKUP(A1195,'Pedido ESTHER'!$B:$C,2,0),"")</f>
        <v/>
      </c>
      <c r="L1195" s="12" t="str">
        <f>IF(N(K1195)&gt;0,"COMPRA","NÃO COMPRA")</f>
        <v>NÃO COMPRA</v>
      </c>
    </row>
    <row r="1196" spans="1:12">
      <c r="A1196" s="8" t="s">
        <v>2578</v>
      </c>
      <c r="B1196" s="9" t="s">
        <v>511</v>
      </c>
      <c r="C1196" s="9" t="e">
        <f>VLOOKUP(A1196,[2]Planilha1!$A:$B,2,0)</f>
        <v>#N/A</v>
      </c>
      <c r="D1196" s="10">
        <f>SUMIF([1]Relatório!$A$2:$A$2653,A1196,[1]Relatório!$AK$2:$AK$2653)</f>
        <v>50</v>
      </c>
      <c r="E1196" s="11">
        <f t="shared" si="36"/>
        <v>8.54763683484427e-5</v>
      </c>
      <c r="F1196" s="11">
        <f>SUM($E$7:E1196)</f>
        <v>0.978868532216898</v>
      </c>
      <c r="G1196" s="12" t="str">
        <f t="shared" si="37"/>
        <v>C</v>
      </c>
      <c r="H1196" s="9" t="s">
        <v>74</v>
      </c>
      <c r="I1196" s="9" t="s">
        <v>2579</v>
      </c>
      <c r="J1196" s="9" t="s">
        <v>158</v>
      </c>
      <c r="K1196" s="10" t="str">
        <f>IFERROR(VLOOKUP(A1196,'Pedido ESTHER'!$B:$C,2,0),"")</f>
        <v/>
      </c>
      <c r="L1196" s="12" t="str">
        <f>IF(N(K1196)&gt;0,"COMPRA","NÃO COMPRA")</f>
        <v>NÃO COMPRA</v>
      </c>
    </row>
    <row r="1197" spans="1:12">
      <c r="A1197" s="8" t="s">
        <v>2580</v>
      </c>
      <c r="B1197" s="9" t="s">
        <v>38</v>
      </c>
      <c r="C1197" s="9" t="e">
        <f>VLOOKUP(A1197,[2]Planilha1!$A:$B,2,0)</f>
        <v>#N/A</v>
      </c>
      <c r="D1197" s="10">
        <f>SUMIF([1]Relatório!$A$2:$A$2653,A1197,[1]Relatório!$AK$2:$AK$2653)</f>
        <v>50</v>
      </c>
      <c r="E1197" s="11">
        <f t="shared" si="36"/>
        <v>8.54763683484427e-5</v>
      </c>
      <c r="F1197" s="11">
        <f>SUM($E$7:E1197)</f>
        <v>0.978954008585246</v>
      </c>
      <c r="G1197" s="12" t="str">
        <f t="shared" si="37"/>
        <v>C</v>
      </c>
      <c r="H1197" s="9" t="s">
        <v>21</v>
      </c>
      <c r="I1197" s="9" t="s">
        <v>2581</v>
      </c>
      <c r="J1197" s="9" t="s">
        <v>40</v>
      </c>
      <c r="K1197" s="10" t="str">
        <f>IFERROR(VLOOKUP(A1197,'Pedido ESTHER'!$B:$C,2,0),"")</f>
        <v/>
      </c>
      <c r="L1197" s="12" t="str">
        <f>IF(N(K1197)&gt;0,"COMPRA","NÃO COMPRA")</f>
        <v>NÃO COMPRA</v>
      </c>
    </row>
    <row r="1198" spans="1:12">
      <c r="A1198" s="8" t="s">
        <v>2582</v>
      </c>
      <c r="B1198" s="9" t="s">
        <v>2583</v>
      </c>
      <c r="C1198" s="9" t="e">
        <f>VLOOKUP(A1198,[2]Planilha1!$A:$B,2,0)</f>
        <v>#N/A</v>
      </c>
      <c r="D1198" s="10">
        <f>SUMIF([1]Relatório!$A$2:$A$2653,A1198,[1]Relatório!$AK$2:$AK$2653)</f>
        <v>50</v>
      </c>
      <c r="E1198" s="11">
        <f t="shared" si="36"/>
        <v>8.54763683484427e-5</v>
      </c>
      <c r="F1198" s="11">
        <f>SUM($E$7:E1198)</f>
        <v>0.979039484953595</v>
      </c>
      <c r="G1198" s="12" t="str">
        <f t="shared" si="37"/>
        <v>C</v>
      </c>
      <c r="H1198" s="9" t="s">
        <v>2584</v>
      </c>
      <c r="I1198" s="9" t="s">
        <v>2585</v>
      </c>
      <c r="J1198" s="9" t="s">
        <v>40</v>
      </c>
      <c r="K1198" s="10" t="str">
        <f>IFERROR(VLOOKUP(A1198,'Pedido ESTHER'!$B:$C,2,0),"")</f>
        <v/>
      </c>
      <c r="L1198" s="12" t="str">
        <f>IF(N(K1198)&gt;0,"COMPRA","NÃO COMPRA")</f>
        <v>NÃO COMPRA</v>
      </c>
    </row>
    <row r="1199" spans="1:12">
      <c r="A1199" s="8" t="s">
        <v>2586</v>
      </c>
      <c r="B1199" s="9" t="s">
        <v>2017</v>
      </c>
      <c r="C1199" s="9" t="e">
        <f>VLOOKUP(A1199,[2]Planilha1!$A:$B,2,0)</f>
        <v>#N/A</v>
      </c>
      <c r="D1199" s="10">
        <f>SUMIF([1]Relatório!$A$2:$A$2653,A1199,[1]Relatório!$AK$2:$AK$2653)</f>
        <v>49</v>
      </c>
      <c r="E1199" s="11">
        <f t="shared" si="36"/>
        <v>8.37668409814739e-5</v>
      </c>
      <c r="F1199" s="11">
        <f>SUM($E$7:E1199)</f>
        <v>0.979123251794576</v>
      </c>
      <c r="G1199" s="12" t="str">
        <f t="shared" si="37"/>
        <v>C</v>
      </c>
      <c r="H1199" s="9" t="s">
        <v>1344</v>
      </c>
      <c r="I1199" s="9" t="s">
        <v>2587</v>
      </c>
      <c r="J1199" s="9" t="s">
        <v>23</v>
      </c>
      <c r="K1199" s="10" t="str">
        <f>IFERROR(VLOOKUP(A1199,'Pedido ESTHER'!$B:$C,2,0),"")</f>
        <v/>
      </c>
      <c r="L1199" s="12" t="str">
        <f>IF(N(K1199)&gt;0,"COMPRA","NÃO COMPRA")</f>
        <v>NÃO COMPRA</v>
      </c>
    </row>
    <row r="1200" spans="1:12">
      <c r="A1200" s="8" t="s">
        <v>2588</v>
      </c>
      <c r="B1200" s="9" t="s">
        <v>2589</v>
      </c>
      <c r="C1200" s="9" t="e">
        <f>VLOOKUP(A1200,[2]Planilha1!$A:$B,2,0)</f>
        <v>#N/A</v>
      </c>
      <c r="D1200" s="10">
        <f>SUMIF([1]Relatório!$A$2:$A$2653,A1200,[1]Relatório!$AK$2:$AK$2653)</f>
        <v>49</v>
      </c>
      <c r="E1200" s="11">
        <f t="shared" si="36"/>
        <v>8.37668409814739e-5</v>
      </c>
      <c r="F1200" s="11">
        <f>SUM($E$7:E1200)</f>
        <v>0.979207018635558</v>
      </c>
      <c r="G1200" s="12" t="str">
        <f t="shared" si="37"/>
        <v>C</v>
      </c>
      <c r="H1200" s="9" t="s">
        <v>1344</v>
      </c>
      <c r="I1200" s="9" t="s">
        <v>2590</v>
      </c>
      <c r="J1200" s="9" t="s">
        <v>44</v>
      </c>
      <c r="K1200" s="10" t="str">
        <f>IFERROR(VLOOKUP(A1200,'Pedido ESTHER'!$B:$C,2,0),"")</f>
        <v/>
      </c>
      <c r="L1200" s="12" t="str">
        <f>IF(N(K1200)&gt;0,"COMPRA","NÃO COMPRA")</f>
        <v>NÃO COMPRA</v>
      </c>
    </row>
    <row r="1201" spans="1:12">
      <c r="A1201" s="8" t="s">
        <v>2591</v>
      </c>
      <c r="B1201" s="9" t="s">
        <v>1781</v>
      </c>
      <c r="C1201" s="9" t="e">
        <f>VLOOKUP(A1201,[2]Planilha1!$A:$B,2,0)</f>
        <v>#N/A</v>
      </c>
      <c r="D1201" s="10">
        <f>SUMIF([1]Relatório!$A$2:$A$2653,A1201,[1]Relatório!$AK$2:$AK$2653)</f>
        <v>49</v>
      </c>
      <c r="E1201" s="11">
        <f t="shared" si="36"/>
        <v>8.37668409814739e-5</v>
      </c>
      <c r="F1201" s="11">
        <f>SUM($E$7:E1201)</f>
        <v>0.979290785476539</v>
      </c>
      <c r="G1201" s="12" t="str">
        <f t="shared" si="37"/>
        <v>C</v>
      </c>
      <c r="H1201" s="9" t="s">
        <v>1344</v>
      </c>
      <c r="I1201" s="9" t="s">
        <v>2592</v>
      </c>
      <c r="J1201" s="9" t="s">
        <v>201</v>
      </c>
      <c r="K1201" s="10" t="str">
        <f>IFERROR(VLOOKUP(A1201,'Pedido ESTHER'!$B:$C,2,0),"")</f>
        <v/>
      </c>
      <c r="L1201" s="12" t="str">
        <f>IF(N(K1201)&gt;0,"COMPRA","NÃO COMPRA")</f>
        <v>NÃO COMPRA</v>
      </c>
    </row>
    <row r="1202" spans="1:12">
      <c r="A1202" s="8" t="s">
        <v>2593</v>
      </c>
      <c r="B1202" s="9" t="s">
        <v>1645</v>
      </c>
      <c r="C1202" s="9" t="e">
        <f>VLOOKUP(A1202,[2]Planilha1!$A:$B,2,0)</f>
        <v>#N/A</v>
      </c>
      <c r="D1202" s="10">
        <f>SUMIF([1]Relatório!$A$2:$A$2653,A1202,[1]Relatório!$AK$2:$AK$2653)</f>
        <v>49</v>
      </c>
      <c r="E1202" s="11">
        <f t="shared" si="36"/>
        <v>8.37668409814739e-5</v>
      </c>
      <c r="F1202" s="11">
        <f>SUM($E$7:E1202)</f>
        <v>0.97937455231752</v>
      </c>
      <c r="G1202" s="12" t="str">
        <f t="shared" si="37"/>
        <v>C</v>
      </c>
      <c r="H1202" s="9" t="s">
        <v>183</v>
      </c>
      <c r="I1202" s="9" t="s">
        <v>2594</v>
      </c>
      <c r="J1202" s="9" t="s">
        <v>123</v>
      </c>
      <c r="K1202" s="10" t="str">
        <f>IFERROR(VLOOKUP(A1202,'Pedido ESTHER'!$B:$C,2,0),"")</f>
        <v/>
      </c>
      <c r="L1202" s="12" t="str">
        <f>IF(N(K1202)&gt;0,"COMPRA","NÃO COMPRA")</f>
        <v>NÃO COMPRA</v>
      </c>
    </row>
    <row r="1203" spans="1:12">
      <c r="A1203" s="8" t="s">
        <v>2595</v>
      </c>
      <c r="B1203" s="9" t="s">
        <v>749</v>
      </c>
      <c r="C1203" s="9" t="e">
        <f>VLOOKUP(A1203,[2]Planilha1!$A:$B,2,0)</f>
        <v>#N/A</v>
      </c>
      <c r="D1203" s="10">
        <f>SUMIF([1]Relatório!$A$2:$A$2653,A1203,[1]Relatório!$AK$2:$AK$2653)</f>
        <v>49</v>
      </c>
      <c r="E1203" s="11">
        <f t="shared" si="36"/>
        <v>8.37668409814739e-5</v>
      </c>
      <c r="F1203" s="11">
        <f>SUM($E$7:E1203)</f>
        <v>0.979458319158502</v>
      </c>
      <c r="G1203" s="12" t="str">
        <f t="shared" si="37"/>
        <v>C</v>
      </c>
      <c r="H1203" s="9" t="s">
        <v>183</v>
      </c>
      <c r="I1203" s="9" t="s">
        <v>2596</v>
      </c>
      <c r="J1203" s="9" t="s">
        <v>2597</v>
      </c>
      <c r="K1203" s="10" t="str">
        <f>IFERROR(VLOOKUP(A1203,'Pedido ESTHER'!$B:$C,2,0),"")</f>
        <v/>
      </c>
      <c r="L1203" s="12" t="str">
        <f>IF(N(K1203)&gt;0,"COMPRA","NÃO COMPRA")</f>
        <v>NÃO COMPRA</v>
      </c>
    </row>
    <row r="1204" spans="1:12">
      <c r="A1204" s="8" t="s">
        <v>2598</v>
      </c>
      <c r="B1204" s="9" t="s">
        <v>91</v>
      </c>
      <c r="C1204" s="9" t="e">
        <f>VLOOKUP(A1204,[2]Planilha1!$A:$B,2,0)</f>
        <v>#N/A</v>
      </c>
      <c r="D1204" s="10">
        <f>SUMIF([1]Relatório!$A$2:$A$2653,A1204,[1]Relatório!$AK$2:$AK$2653)</f>
        <v>49</v>
      </c>
      <c r="E1204" s="11">
        <f t="shared" si="36"/>
        <v>8.37668409814739e-5</v>
      </c>
      <c r="F1204" s="11">
        <f>SUM($E$7:E1204)</f>
        <v>0.979542085999483</v>
      </c>
      <c r="G1204" s="12" t="str">
        <f t="shared" si="37"/>
        <v>C</v>
      </c>
      <c r="H1204" s="9" t="s">
        <v>74</v>
      </c>
      <c r="I1204" s="9" t="s">
        <v>2599</v>
      </c>
      <c r="J1204" s="9" t="s">
        <v>123</v>
      </c>
      <c r="K1204" s="10" t="str">
        <f>IFERROR(VLOOKUP(A1204,'Pedido ESTHER'!$B:$C,2,0),"")</f>
        <v/>
      </c>
      <c r="L1204" s="12" t="str">
        <f>IF(N(K1204)&gt;0,"COMPRA","NÃO COMPRA")</f>
        <v>NÃO COMPRA</v>
      </c>
    </row>
    <row r="1205" spans="1:12">
      <c r="A1205" s="8" t="s">
        <v>2600</v>
      </c>
      <c r="B1205" s="9" t="s">
        <v>42</v>
      </c>
      <c r="C1205" s="9" t="e">
        <f>VLOOKUP(A1205,[2]Planilha1!$A:$B,2,0)</f>
        <v>#N/A</v>
      </c>
      <c r="D1205" s="10">
        <f>SUMIF([1]Relatório!$A$2:$A$2653,A1205,[1]Relatório!$AK$2:$AK$2653)</f>
        <v>49</v>
      </c>
      <c r="E1205" s="11">
        <f t="shared" si="36"/>
        <v>8.37668409814739e-5</v>
      </c>
      <c r="F1205" s="11">
        <f>SUM($E$7:E1205)</f>
        <v>0.979625852840465</v>
      </c>
      <c r="G1205" s="12" t="str">
        <f t="shared" si="37"/>
        <v>C</v>
      </c>
      <c r="H1205" s="9" t="s">
        <v>21</v>
      </c>
      <c r="I1205" s="9" t="s">
        <v>2601</v>
      </c>
      <c r="J1205" s="9" t="s">
        <v>44</v>
      </c>
      <c r="K1205" s="10" t="str">
        <f>IFERROR(VLOOKUP(A1205,'Pedido ESTHER'!$B:$C,2,0),"")</f>
        <v/>
      </c>
      <c r="L1205" s="12" t="str">
        <f>IF(N(K1205)&gt;0,"COMPRA","NÃO COMPRA")</f>
        <v>NÃO COMPRA</v>
      </c>
    </row>
    <row r="1206" spans="1:12">
      <c r="A1206" s="8" t="s">
        <v>2602</v>
      </c>
      <c r="B1206" s="9" t="s">
        <v>2411</v>
      </c>
      <c r="C1206" s="9" t="e">
        <f>VLOOKUP(A1206,[2]Planilha1!$A:$B,2,0)</f>
        <v>#N/A</v>
      </c>
      <c r="D1206" s="10">
        <f>SUMIF([1]Relatório!$A$2:$A$2653,A1206,[1]Relatório!$AK$2:$AK$2653)</f>
        <v>49</v>
      </c>
      <c r="E1206" s="11">
        <f t="shared" si="36"/>
        <v>8.37668409814739e-5</v>
      </c>
      <c r="F1206" s="11">
        <f>SUM($E$7:E1206)</f>
        <v>0.979709619681446</v>
      </c>
      <c r="G1206" s="12" t="str">
        <f t="shared" si="37"/>
        <v>C</v>
      </c>
      <c r="H1206" s="9" t="s">
        <v>74</v>
      </c>
      <c r="I1206" s="9" t="s">
        <v>2603</v>
      </c>
      <c r="J1206" s="9" t="s">
        <v>40</v>
      </c>
      <c r="K1206" s="10" t="str">
        <f>IFERROR(VLOOKUP(A1206,'Pedido ESTHER'!$B:$C,2,0),"")</f>
        <v/>
      </c>
      <c r="L1206" s="12" t="str">
        <f>IF(N(K1206)&gt;0,"COMPRA","NÃO COMPRA")</f>
        <v>NÃO COMPRA</v>
      </c>
    </row>
    <row r="1207" spans="1:12">
      <c r="A1207" s="8" t="s">
        <v>2604</v>
      </c>
      <c r="B1207" s="9" t="s">
        <v>2605</v>
      </c>
      <c r="C1207" s="9" t="e">
        <f>VLOOKUP(A1207,[2]Planilha1!$A:$B,2,0)</f>
        <v>#N/A</v>
      </c>
      <c r="D1207" s="10">
        <f>SUMIF([1]Relatório!$A$2:$A$2653,A1207,[1]Relatório!$AK$2:$AK$2653)</f>
        <v>48</v>
      </c>
      <c r="E1207" s="11">
        <f t="shared" si="36"/>
        <v>8.2057313614505e-5</v>
      </c>
      <c r="F1207" s="11">
        <f>SUM($E$7:E1207)</f>
        <v>0.979791676995061</v>
      </c>
      <c r="G1207" s="12" t="str">
        <f t="shared" si="37"/>
        <v>C</v>
      </c>
      <c r="H1207" s="9" t="s">
        <v>1344</v>
      </c>
      <c r="I1207" s="9" t="s">
        <v>2606</v>
      </c>
      <c r="J1207" s="9" t="s">
        <v>64</v>
      </c>
      <c r="K1207" s="10" t="str">
        <f>IFERROR(VLOOKUP(A1207,'Pedido ESTHER'!$B:$C,2,0),"")</f>
        <v/>
      </c>
      <c r="L1207" s="12" t="str">
        <f>IF(N(K1207)&gt;0,"COMPRA","NÃO COMPRA")</f>
        <v>NÃO COMPRA</v>
      </c>
    </row>
    <row r="1208" spans="1:12">
      <c r="A1208" s="8" t="s">
        <v>2607</v>
      </c>
      <c r="B1208" s="9" t="s">
        <v>2608</v>
      </c>
      <c r="C1208" s="9" t="e">
        <f>VLOOKUP(A1208,[2]Planilha1!$A:$B,2,0)</f>
        <v>#N/A</v>
      </c>
      <c r="D1208" s="10">
        <f>SUMIF([1]Relatório!$A$2:$A$2653,A1208,[1]Relatório!$AK$2:$AK$2653)</f>
        <v>48</v>
      </c>
      <c r="E1208" s="11">
        <f t="shared" si="36"/>
        <v>8.2057313614505e-5</v>
      </c>
      <c r="F1208" s="11">
        <f>SUM($E$7:E1208)</f>
        <v>0.979873734308675</v>
      </c>
      <c r="G1208" s="12" t="str">
        <f t="shared" si="37"/>
        <v>C</v>
      </c>
      <c r="H1208" s="9" t="s">
        <v>1344</v>
      </c>
      <c r="I1208" s="9" t="s">
        <v>2609</v>
      </c>
      <c r="J1208" s="9" t="s">
        <v>359</v>
      </c>
      <c r="K1208" s="10" t="str">
        <f>IFERROR(VLOOKUP(A1208,'Pedido ESTHER'!$B:$C,2,0),"")</f>
        <v/>
      </c>
      <c r="L1208" s="12" t="str">
        <f>IF(N(K1208)&gt;0,"COMPRA","NÃO COMPRA")</f>
        <v>NÃO COMPRA</v>
      </c>
    </row>
    <row r="1209" spans="1:12">
      <c r="A1209" s="8" t="s">
        <v>2610</v>
      </c>
      <c r="B1209" s="9" t="s">
        <v>538</v>
      </c>
      <c r="C1209" s="9" t="e">
        <f>VLOOKUP(A1209,[2]Planilha1!$A:$B,2,0)</f>
        <v>#N/A</v>
      </c>
      <c r="D1209" s="10">
        <f>SUMIF([1]Relatório!$A$2:$A$2653,A1209,[1]Relatório!$AK$2:$AK$2653)</f>
        <v>48</v>
      </c>
      <c r="E1209" s="11">
        <f t="shared" si="36"/>
        <v>8.2057313614505e-5</v>
      </c>
      <c r="F1209" s="11">
        <f>SUM($E$7:E1209)</f>
        <v>0.97995579162229</v>
      </c>
      <c r="G1209" s="12" t="str">
        <f t="shared" si="37"/>
        <v>C</v>
      </c>
      <c r="H1209" s="9" t="s">
        <v>183</v>
      </c>
      <c r="I1209" s="9" t="s">
        <v>2611</v>
      </c>
      <c r="J1209" s="9" t="s">
        <v>158</v>
      </c>
      <c r="K1209" s="10" t="str">
        <f>IFERROR(VLOOKUP(A1209,'Pedido ESTHER'!$B:$C,2,0),"")</f>
        <v/>
      </c>
      <c r="L1209" s="12" t="str">
        <f>IF(N(K1209)&gt;0,"COMPRA","NÃO COMPRA")</f>
        <v>NÃO COMPRA</v>
      </c>
    </row>
    <row r="1210" spans="1:12">
      <c r="A1210" s="8" t="s">
        <v>2612</v>
      </c>
      <c r="B1210" s="9" t="s">
        <v>2020</v>
      </c>
      <c r="C1210" s="9" t="e">
        <f>VLOOKUP(A1210,[2]Planilha1!$A:$B,2,0)</f>
        <v>#N/A</v>
      </c>
      <c r="D1210" s="10">
        <f>SUMIF([1]Relatório!$A$2:$A$2653,A1210,[1]Relatório!$AK$2:$AK$2653)</f>
        <v>48</v>
      </c>
      <c r="E1210" s="11">
        <f t="shared" si="36"/>
        <v>8.2057313614505e-5</v>
      </c>
      <c r="F1210" s="11">
        <f>SUM($E$7:E1210)</f>
        <v>0.980037848935904</v>
      </c>
      <c r="G1210" s="12" t="str">
        <f t="shared" si="37"/>
        <v>C</v>
      </c>
      <c r="H1210" s="9" t="s">
        <v>1700</v>
      </c>
      <c r="I1210" s="9" t="s">
        <v>2613</v>
      </c>
      <c r="J1210" s="9" t="s">
        <v>1693</v>
      </c>
      <c r="K1210" s="10" t="str">
        <f>IFERROR(VLOOKUP(A1210,'Pedido ESTHER'!$B:$C,2,0),"")</f>
        <v/>
      </c>
      <c r="L1210" s="12" t="str">
        <f>IF(N(K1210)&gt;0,"COMPRA","NÃO COMPRA")</f>
        <v>NÃO COMPRA</v>
      </c>
    </row>
    <row r="1211" spans="1:12">
      <c r="A1211" s="8" t="s">
        <v>2614</v>
      </c>
      <c r="B1211" s="9" t="s">
        <v>474</v>
      </c>
      <c r="C1211" s="9" t="e">
        <f>VLOOKUP(A1211,[2]Planilha1!$A:$B,2,0)</f>
        <v>#N/A</v>
      </c>
      <c r="D1211" s="10">
        <f>SUMIF([1]Relatório!$A$2:$A$2653,A1211,[1]Relatório!$AK$2:$AK$2653)</f>
        <v>48</v>
      </c>
      <c r="E1211" s="11">
        <f t="shared" si="36"/>
        <v>8.2057313614505e-5</v>
      </c>
      <c r="F1211" s="11">
        <f>SUM($E$7:E1211)</f>
        <v>0.980119906249519</v>
      </c>
      <c r="G1211" s="12" t="str">
        <f t="shared" si="37"/>
        <v>C</v>
      </c>
      <c r="H1211" s="9" t="s">
        <v>183</v>
      </c>
      <c r="I1211" s="9"/>
      <c r="J1211" s="9" t="s">
        <v>201</v>
      </c>
      <c r="K1211" s="10" t="str">
        <f>IFERROR(VLOOKUP(A1211,'Pedido ESTHER'!$B:$C,2,0),"")</f>
        <v/>
      </c>
      <c r="L1211" s="12" t="str">
        <f>IF(N(K1211)&gt;0,"COMPRA","NÃO COMPRA")</f>
        <v>NÃO COMPRA</v>
      </c>
    </row>
    <row r="1212" spans="1:12">
      <c r="A1212" s="8" t="s">
        <v>2615</v>
      </c>
      <c r="B1212" s="9" t="s">
        <v>1522</v>
      </c>
      <c r="C1212" s="9" t="e">
        <f>VLOOKUP(A1212,[2]Planilha1!$A:$B,2,0)</f>
        <v>#N/A</v>
      </c>
      <c r="D1212" s="10">
        <f>SUMIF([1]Relatório!$A$2:$A$2653,A1212,[1]Relatório!$AK$2:$AK$2653)</f>
        <v>48</v>
      </c>
      <c r="E1212" s="11">
        <f t="shared" si="36"/>
        <v>8.2057313614505e-5</v>
      </c>
      <c r="F1212" s="11">
        <f>SUM($E$7:E1212)</f>
        <v>0.980201963563133</v>
      </c>
      <c r="G1212" s="12" t="str">
        <f t="shared" si="37"/>
        <v>C</v>
      </c>
      <c r="H1212" s="9" t="s">
        <v>183</v>
      </c>
      <c r="I1212" s="9"/>
      <c r="J1212" s="9" t="s">
        <v>2616</v>
      </c>
      <c r="K1212" s="10" t="str">
        <f>IFERROR(VLOOKUP(A1212,'Pedido ESTHER'!$B:$C,2,0),"")</f>
        <v/>
      </c>
      <c r="L1212" s="12" t="str">
        <f>IF(N(K1212)&gt;0,"COMPRA","NÃO COMPRA")</f>
        <v>NÃO COMPRA</v>
      </c>
    </row>
    <row r="1213" spans="1:12">
      <c r="A1213" s="8" t="s">
        <v>2617</v>
      </c>
      <c r="B1213" s="9" t="s">
        <v>2618</v>
      </c>
      <c r="C1213" s="9" t="e">
        <f>VLOOKUP(A1213,[2]Planilha1!$A:$B,2,0)</f>
        <v>#N/A</v>
      </c>
      <c r="D1213" s="10">
        <f>SUMIF([1]Relatório!$A$2:$A$2653,A1213,[1]Relatório!$AK$2:$AK$2653)</f>
        <v>48</v>
      </c>
      <c r="E1213" s="11">
        <f t="shared" si="36"/>
        <v>8.2057313614505e-5</v>
      </c>
      <c r="F1213" s="11">
        <f>SUM($E$7:E1213)</f>
        <v>0.980284020876748</v>
      </c>
      <c r="G1213" s="12" t="str">
        <f t="shared" si="37"/>
        <v>C</v>
      </c>
      <c r="H1213" s="9" t="s">
        <v>1700</v>
      </c>
      <c r="I1213" s="9"/>
      <c r="J1213" s="9" t="s">
        <v>164</v>
      </c>
      <c r="K1213" s="10" t="str">
        <f>IFERROR(VLOOKUP(A1213,'Pedido ESTHER'!$B:$C,2,0),"")</f>
        <v/>
      </c>
      <c r="L1213" s="12" t="str">
        <f>IF(N(K1213)&gt;0,"COMPRA","NÃO COMPRA")</f>
        <v>NÃO COMPRA</v>
      </c>
    </row>
    <row r="1214" spans="1:12">
      <c r="A1214" s="8" t="s">
        <v>2619</v>
      </c>
      <c r="B1214" s="9" t="s">
        <v>812</v>
      </c>
      <c r="C1214" s="9" t="e">
        <f>VLOOKUP(A1214,[2]Planilha1!$A:$B,2,0)</f>
        <v>#N/A</v>
      </c>
      <c r="D1214" s="10">
        <f>SUMIF([1]Relatório!$A$2:$A$2653,A1214,[1]Relatório!$AK$2:$AK$2653)</f>
        <v>48</v>
      </c>
      <c r="E1214" s="11">
        <f t="shared" si="36"/>
        <v>8.2057313614505e-5</v>
      </c>
      <c r="F1214" s="11">
        <f>SUM($E$7:E1214)</f>
        <v>0.980366078190363</v>
      </c>
      <c r="G1214" s="12" t="str">
        <f t="shared" si="37"/>
        <v>C</v>
      </c>
      <c r="H1214" s="9" t="s">
        <v>892</v>
      </c>
      <c r="I1214" s="9" t="s">
        <v>2620</v>
      </c>
      <c r="J1214" s="9" t="s">
        <v>1143</v>
      </c>
      <c r="K1214" s="10" t="str">
        <f>IFERROR(VLOOKUP(A1214,'Pedido ESTHER'!$B:$C,2,0),"")</f>
        <v/>
      </c>
      <c r="L1214" s="12" t="str">
        <f>IF(N(K1214)&gt;0,"COMPRA","NÃO COMPRA")</f>
        <v>NÃO COMPRA</v>
      </c>
    </row>
    <row r="1215" spans="1:12">
      <c r="A1215" s="8" t="s">
        <v>2621</v>
      </c>
      <c r="B1215" s="9" t="s">
        <v>1312</v>
      </c>
      <c r="C1215" s="9" t="e">
        <f>VLOOKUP(A1215,[2]Planilha1!$A:$B,2,0)</f>
        <v>#N/A</v>
      </c>
      <c r="D1215" s="10">
        <f>SUMIF([1]Relatório!$A$2:$A$2653,A1215,[1]Relatório!$AK$2:$AK$2653)</f>
        <v>48</v>
      </c>
      <c r="E1215" s="11">
        <f t="shared" si="36"/>
        <v>8.2057313614505e-5</v>
      </c>
      <c r="F1215" s="11">
        <f>SUM($E$7:E1215)</f>
        <v>0.980448135503977</v>
      </c>
      <c r="G1215" s="12" t="str">
        <f t="shared" si="37"/>
        <v>C</v>
      </c>
      <c r="H1215" s="9" t="s">
        <v>776</v>
      </c>
      <c r="I1215" s="9" t="s">
        <v>2622</v>
      </c>
      <c r="J1215" s="9" t="s">
        <v>164</v>
      </c>
      <c r="K1215" s="10" t="str">
        <f>IFERROR(VLOOKUP(A1215,'Pedido ESTHER'!$B:$C,2,0),"")</f>
        <v/>
      </c>
      <c r="L1215" s="12" t="str">
        <f>IF(N(K1215)&gt;0,"COMPRA","NÃO COMPRA")</f>
        <v>NÃO COMPRA</v>
      </c>
    </row>
    <row r="1216" spans="1:12">
      <c r="A1216" s="8" t="s">
        <v>2623</v>
      </c>
      <c r="B1216" s="9" t="s">
        <v>2012</v>
      </c>
      <c r="C1216" s="9" t="e">
        <f>VLOOKUP(A1216,[2]Planilha1!$A:$B,2,0)</f>
        <v>#N/A</v>
      </c>
      <c r="D1216" s="10">
        <f>SUMIF([1]Relatório!$A$2:$A$2653,A1216,[1]Relatório!$AK$2:$AK$2653)</f>
        <v>48</v>
      </c>
      <c r="E1216" s="11">
        <f t="shared" si="36"/>
        <v>8.2057313614505e-5</v>
      </c>
      <c r="F1216" s="11">
        <f>SUM($E$7:E1216)</f>
        <v>0.980530192817592</v>
      </c>
      <c r="G1216" s="12" t="str">
        <f t="shared" si="37"/>
        <v>C</v>
      </c>
      <c r="H1216" s="9" t="s">
        <v>1059</v>
      </c>
      <c r="I1216" s="9" t="s">
        <v>2624</v>
      </c>
      <c r="J1216" s="9" t="s">
        <v>1143</v>
      </c>
      <c r="K1216" s="10" t="str">
        <f>IFERROR(VLOOKUP(A1216,'Pedido ESTHER'!$B:$C,2,0),"")</f>
        <v/>
      </c>
      <c r="L1216" s="12" t="str">
        <f>IF(N(K1216)&gt;0,"COMPRA","NÃO COMPRA")</f>
        <v>NÃO COMPRA</v>
      </c>
    </row>
    <row r="1217" spans="1:12">
      <c r="A1217" s="8" t="s">
        <v>2625</v>
      </c>
      <c r="B1217" s="9" t="s">
        <v>240</v>
      </c>
      <c r="C1217" s="9" t="e">
        <f>VLOOKUP(A1217,[2]Planilha1!$A:$B,2,0)</f>
        <v>#N/A</v>
      </c>
      <c r="D1217" s="10">
        <f>SUMIF([1]Relatório!$A$2:$A$2653,A1217,[1]Relatório!$AK$2:$AK$2653)</f>
        <v>48</v>
      </c>
      <c r="E1217" s="11">
        <f t="shared" si="36"/>
        <v>8.2057313614505e-5</v>
      </c>
      <c r="F1217" s="11">
        <f>SUM($E$7:E1217)</f>
        <v>0.980612250131206</v>
      </c>
      <c r="G1217" s="12" t="str">
        <f t="shared" si="37"/>
        <v>C</v>
      </c>
      <c r="H1217" s="9" t="s">
        <v>21</v>
      </c>
      <c r="I1217" s="9" t="s">
        <v>2626</v>
      </c>
      <c r="J1217" s="9" t="s">
        <v>241</v>
      </c>
      <c r="K1217" s="10" t="str">
        <f>IFERROR(VLOOKUP(A1217,'Pedido ESTHER'!$B:$C,2,0),"")</f>
        <v/>
      </c>
      <c r="L1217" s="12" t="str">
        <f>IF(N(K1217)&gt;0,"COMPRA","NÃO COMPRA")</f>
        <v>NÃO COMPRA</v>
      </c>
    </row>
    <row r="1218" spans="1:12">
      <c r="A1218" s="8" t="s">
        <v>2627</v>
      </c>
      <c r="B1218" s="9" t="s">
        <v>20</v>
      </c>
      <c r="C1218" s="9" t="e">
        <f>VLOOKUP(A1218,[2]Planilha1!$A:$B,2,0)</f>
        <v>#N/A</v>
      </c>
      <c r="D1218" s="10">
        <f>SUMIF([1]Relatório!$A$2:$A$2653,A1218,[1]Relatório!$AK$2:$AK$2653)</f>
        <v>48</v>
      </c>
      <c r="E1218" s="11">
        <f t="shared" si="36"/>
        <v>8.2057313614505e-5</v>
      </c>
      <c r="F1218" s="11">
        <f>SUM($E$7:E1218)</f>
        <v>0.980694307444821</v>
      </c>
      <c r="G1218" s="12" t="str">
        <f t="shared" si="37"/>
        <v>C</v>
      </c>
      <c r="H1218" s="9" t="s">
        <v>21</v>
      </c>
      <c r="I1218" s="9" t="s">
        <v>2628</v>
      </c>
      <c r="J1218" s="9" t="s">
        <v>23</v>
      </c>
      <c r="K1218" s="10" t="str">
        <f>IFERROR(VLOOKUP(A1218,'Pedido ESTHER'!$B:$C,2,0),"")</f>
        <v/>
      </c>
      <c r="L1218" s="12" t="str">
        <f>IF(N(K1218)&gt;0,"COMPRA","NÃO COMPRA")</f>
        <v>NÃO COMPRA</v>
      </c>
    </row>
    <row r="1219" spans="1:12">
      <c r="A1219" s="8" t="s">
        <v>2629</v>
      </c>
      <c r="B1219" s="9" t="s">
        <v>2411</v>
      </c>
      <c r="C1219" s="9" t="e">
        <f>VLOOKUP(A1219,[2]Planilha1!$A:$B,2,0)</f>
        <v>#N/A</v>
      </c>
      <c r="D1219" s="10">
        <f>SUMIF([1]Relatório!$A$2:$A$2653,A1219,[1]Relatório!$AK$2:$AK$2653)</f>
        <v>48</v>
      </c>
      <c r="E1219" s="11">
        <f t="shared" si="36"/>
        <v>8.2057313614505e-5</v>
      </c>
      <c r="F1219" s="11">
        <f>SUM($E$7:E1219)</f>
        <v>0.980776364758435</v>
      </c>
      <c r="G1219" s="12" t="str">
        <f t="shared" si="37"/>
        <v>C</v>
      </c>
      <c r="H1219" s="9" t="s">
        <v>74</v>
      </c>
      <c r="I1219" s="9" t="s">
        <v>2630</v>
      </c>
      <c r="J1219" s="9" t="s">
        <v>40</v>
      </c>
      <c r="K1219" s="10" t="str">
        <f>IFERROR(VLOOKUP(A1219,'Pedido ESTHER'!$B:$C,2,0),"")</f>
        <v/>
      </c>
      <c r="L1219" s="12" t="str">
        <f>IF(N(K1219)&gt;0,"COMPRA","NÃO COMPRA")</f>
        <v>NÃO COMPRA</v>
      </c>
    </row>
    <row r="1220" spans="1:12">
      <c r="A1220" s="8" t="s">
        <v>2631</v>
      </c>
      <c r="B1220" s="9" t="s">
        <v>749</v>
      </c>
      <c r="C1220" s="9" t="e">
        <f>VLOOKUP(A1220,[2]Planilha1!$A:$B,2,0)</f>
        <v>#N/A</v>
      </c>
      <c r="D1220" s="10">
        <f>SUMIF([1]Relatório!$A$2:$A$2653,A1220,[1]Relatório!$AK$2:$AK$2653)</f>
        <v>47</v>
      </c>
      <c r="E1220" s="11">
        <f t="shared" si="36"/>
        <v>8.03477862475361e-5</v>
      </c>
      <c r="F1220" s="11">
        <f>SUM($E$7:E1220)</f>
        <v>0.980856712544683</v>
      </c>
      <c r="G1220" s="12" t="str">
        <f t="shared" si="37"/>
        <v>C</v>
      </c>
      <c r="H1220" s="9" t="s">
        <v>183</v>
      </c>
      <c r="I1220" s="9" t="s">
        <v>2632</v>
      </c>
      <c r="J1220" s="9" t="s">
        <v>359</v>
      </c>
      <c r="K1220" s="10" t="str">
        <f>IFERROR(VLOOKUP(A1220,'Pedido ESTHER'!$B:$C,2,0),"")</f>
        <v/>
      </c>
      <c r="L1220" s="12" t="str">
        <f>IF(N(K1220)&gt;0,"COMPRA","NÃO COMPRA")</f>
        <v>NÃO COMPRA</v>
      </c>
    </row>
    <row r="1221" spans="1:12">
      <c r="A1221" s="8" t="s">
        <v>2633</v>
      </c>
      <c r="B1221" s="9" t="s">
        <v>706</v>
      </c>
      <c r="C1221" s="9" t="e">
        <f>VLOOKUP(A1221,[2]Planilha1!$A:$B,2,0)</f>
        <v>#N/A</v>
      </c>
      <c r="D1221" s="10">
        <f>SUMIF([1]Relatório!$A$2:$A$2653,A1221,[1]Relatório!$AK$2:$AK$2653)</f>
        <v>47</v>
      </c>
      <c r="E1221" s="11">
        <f t="shared" si="36"/>
        <v>8.03477862475361e-5</v>
      </c>
      <c r="F1221" s="11">
        <f>SUM($E$7:E1221)</f>
        <v>0.98093706033093</v>
      </c>
      <c r="G1221" s="12" t="str">
        <f t="shared" si="37"/>
        <v>C</v>
      </c>
      <c r="H1221" s="9" t="s">
        <v>183</v>
      </c>
      <c r="I1221" s="9" t="s">
        <v>2634</v>
      </c>
      <c r="J1221" s="9" t="s">
        <v>2635</v>
      </c>
      <c r="K1221" s="10" t="str">
        <f>IFERROR(VLOOKUP(A1221,'Pedido ESTHER'!$B:$C,2,0),"")</f>
        <v/>
      </c>
      <c r="L1221" s="12" t="str">
        <f>IF(N(K1221)&gt;0,"COMPRA","NÃO COMPRA")</f>
        <v>NÃO COMPRA</v>
      </c>
    </row>
    <row r="1222" spans="1:12">
      <c r="A1222" s="8" t="s">
        <v>2636</v>
      </c>
      <c r="B1222" s="9" t="s">
        <v>721</v>
      </c>
      <c r="C1222" s="9" t="e">
        <f>VLOOKUP(A1222,[2]Planilha1!$A:$B,2,0)</f>
        <v>#N/A</v>
      </c>
      <c r="D1222" s="10">
        <f>SUMIF([1]Relatório!$A$2:$A$2653,A1222,[1]Relatório!$AK$2:$AK$2653)</f>
        <v>47</v>
      </c>
      <c r="E1222" s="11">
        <f t="shared" si="36"/>
        <v>8.03477862475361e-5</v>
      </c>
      <c r="F1222" s="11">
        <f>SUM($E$7:E1222)</f>
        <v>0.981017408117178</v>
      </c>
      <c r="G1222" s="12" t="str">
        <f t="shared" si="37"/>
        <v>C</v>
      </c>
      <c r="H1222" s="9" t="s">
        <v>183</v>
      </c>
      <c r="I1222" s="9"/>
      <c r="J1222" s="9" t="s">
        <v>158</v>
      </c>
      <c r="K1222" s="10" t="str">
        <f>IFERROR(VLOOKUP(A1222,'Pedido ESTHER'!$B:$C,2,0),"")</f>
        <v/>
      </c>
      <c r="L1222" s="12" t="str">
        <f>IF(N(K1222)&gt;0,"COMPRA","NÃO COMPRA")</f>
        <v>NÃO COMPRA</v>
      </c>
    </row>
    <row r="1223" spans="1:12">
      <c r="A1223" s="8" t="s">
        <v>2637</v>
      </c>
      <c r="B1223" s="9" t="s">
        <v>2638</v>
      </c>
      <c r="C1223" s="9" t="e">
        <f>VLOOKUP(A1223,[2]Planilha1!$A:$B,2,0)</f>
        <v>#N/A</v>
      </c>
      <c r="D1223" s="10">
        <f>SUMIF([1]Relatório!$A$2:$A$2653,A1223,[1]Relatório!$AK$2:$AK$2653)</f>
        <v>47</v>
      </c>
      <c r="E1223" s="11">
        <f t="shared" si="36"/>
        <v>8.03477862475361e-5</v>
      </c>
      <c r="F1223" s="11">
        <f>SUM($E$7:E1223)</f>
        <v>0.981097755903426</v>
      </c>
      <c r="G1223" s="12" t="str">
        <f t="shared" si="37"/>
        <v>C</v>
      </c>
      <c r="H1223" s="9" t="s">
        <v>221</v>
      </c>
      <c r="I1223" s="9" t="s">
        <v>2639</v>
      </c>
      <c r="J1223" s="9" t="s">
        <v>158</v>
      </c>
      <c r="K1223" s="10" t="str">
        <f>IFERROR(VLOOKUP(A1223,'Pedido ESTHER'!$B:$C,2,0),"")</f>
        <v/>
      </c>
      <c r="L1223" s="12" t="str">
        <f>IF(N(K1223)&gt;0,"COMPRA","NÃO COMPRA")</f>
        <v>NÃO COMPRA</v>
      </c>
    </row>
    <row r="1224" spans="1:12">
      <c r="A1224" s="8" t="s">
        <v>2640</v>
      </c>
      <c r="B1224" s="9" t="s">
        <v>1058</v>
      </c>
      <c r="C1224" s="9" t="e">
        <f>VLOOKUP(A1224,[2]Planilha1!$A:$B,2,0)</f>
        <v>#N/A</v>
      </c>
      <c r="D1224" s="10">
        <f>SUMIF([1]Relatório!$A$2:$A$2653,A1224,[1]Relatório!$AK$2:$AK$2653)</f>
        <v>47</v>
      </c>
      <c r="E1224" s="11">
        <f t="shared" ref="E1224:E1287" si="38">D1224/SUM($D$7:$D$1708)</f>
        <v>8.03477862475361e-5</v>
      </c>
      <c r="F1224" s="11">
        <f>SUM($E$7:E1224)</f>
        <v>0.981178103689673</v>
      </c>
      <c r="G1224" s="12" t="str">
        <f t="shared" ref="G1224:G1287" si="39">IF(F1224&lt;=70%,"A",IF(F1224&lt;=90%,"B","C"))</f>
        <v>C</v>
      </c>
      <c r="H1224" s="9" t="s">
        <v>1059</v>
      </c>
      <c r="I1224" s="9" t="s">
        <v>2641</v>
      </c>
      <c r="J1224" s="9" t="s">
        <v>123</v>
      </c>
      <c r="K1224" s="10" t="str">
        <f>IFERROR(VLOOKUP(A1224,'Pedido ESTHER'!$B:$C,2,0),"")</f>
        <v/>
      </c>
      <c r="L1224" s="12" t="str">
        <f>IF(N(K1224)&gt;0,"COMPRA","NÃO COMPRA")</f>
        <v>NÃO COMPRA</v>
      </c>
    </row>
    <row r="1225" spans="1:12">
      <c r="A1225" s="8" t="s">
        <v>2642</v>
      </c>
      <c r="B1225" s="9" t="s">
        <v>2411</v>
      </c>
      <c r="C1225" s="9" t="e">
        <f>VLOOKUP(A1225,[2]Planilha1!$A:$B,2,0)</f>
        <v>#N/A</v>
      </c>
      <c r="D1225" s="10">
        <f>SUMIF([1]Relatório!$A$2:$A$2653,A1225,[1]Relatório!$AK$2:$AK$2653)</f>
        <v>47</v>
      </c>
      <c r="E1225" s="11">
        <f t="shared" si="38"/>
        <v>8.03477862475361e-5</v>
      </c>
      <c r="F1225" s="11">
        <f>SUM($E$7:E1225)</f>
        <v>0.981258451475921</v>
      </c>
      <c r="G1225" s="12" t="str">
        <f t="shared" si="39"/>
        <v>C</v>
      </c>
      <c r="H1225" s="9" t="s">
        <v>74</v>
      </c>
      <c r="I1225" s="9" t="s">
        <v>2643</v>
      </c>
      <c r="J1225" s="9" t="s">
        <v>40</v>
      </c>
      <c r="K1225" s="10" t="str">
        <f>IFERROR(VLOOKUP(A1225,'Pedido ESTHER'!$B:$C,2,0),"")</f>
        <v/>
      </c>
      <c r="L1225" s="12" t="str">
        <f>IF(N(K1225)&gt;0,"COMPRA","NÃO COMPRA")</f>
        <v>NÃO COMPRA</v>
      </c>
    </row>
    <row r="1226" spans="1:12">
      <c r="A1226" s="8" t="s">
        <v>2644</v>
      </c>
      <c r="B1226" s="9" t="s">
        <v>2645</v>
      </c>
      <c r="C1226" s="9" t="e">
        <f>VLOOKUP(A1226,[2]Planilha1!$A:$B,2,0)</f>
        <v>#N/A</v>
      </c>
      <c r="D1226" s="10">
        <f>SUMIF([1]Relatório!$A$2:$A$2653,A1226,[1]Relatório!$AK$2:$AK$2653)</f>
        <v>47</v>
      </c>
      <c r="E1226" s="11">
        <f t="shared" si="38"/>
        <v>8.03477862475361e-5</v>
      </c>
      <c r="F1226" s="11">
        <f>SUM($E$7:E1226)</f>
        <v>0.981338799262168</v>
      </c>
      <c r="G1226" s="12" t="str">
        <f t="shared" si="39"/>
        <v>C</v>
      </c>
      <c r="H1226" s="9" t="s">
        <v>2452</v>
      </c>
      <c r="I1226" s="9" t="s">
        <v>2646</v>
      </c>
      <c r="J1226" s="9" t="s">
        <v>23</v>
      </c>
      <c r="K1226" s="10" t="str">
        <f>IFERROR(VLOOKUP(A1226,'Pedido ESTHER'!$B:$C,2,0),"")</f>
        <v/>
      </c>
      <c r="L1226" s="12" t="str">
        <f>IF(N(K1226)&gt;0,"COMPRA","NÃO COMPRA")</f>
        <v>NÃO COMPRA</v>
      </c>
    </row>
    <row r="1227" spans="1:12">
      <c r="A1227" s="8" t="s">
        <v>2647</v>
      </c>
      <c r="B1227" s="9" t="s">
        <v>1645</v>
      </c>
      <c r="C1227" s="9" t="e">
        <f>VLOOKUP(A1227,[2]Planilha1!$A:$B,2,0)</f>
        <v>#N/A</v>
      </c>
      <c r="D1227" s="10">
        <f>SUMIF([1]Relatório!$A$2:$A$2653,A1227,[1]Relatório!$AK$2:$AK$2653)</f>
        <v>46</v>
      </c>
      <c r="E1227" s="11">
        <f t="shared" si="38"/>
        <v>7.86382588805673e-5</v>
      </c>
      <c r="F1227" s="11">
        <f>SUM($E$7:E1227)</f>
        <v>0.981417437521049</v>
      </c>
      <c r="G1227" s="12" t="str">
        <f t="shared" si="39"/>
        <v>C</v>
      </c>
      <c r="H1227" s="9" t="s">
        <v>183</v>
      </c>
      <c r="I1227" s="9"/>
      <c r="J1227" s="9" t="s">
        <v>33</v>
      </c>
      <c r="K1227" s="10" t="str">
        <f>IFERROR(VLOOKUP(A1227,'Pedido ESTHER'!$B:$C,2,0),"")</f>
        <v/>
      </c>
      <c r="L1227" s="12" t="str">
        <f>IF(N(K1227)&gt;0,"COMPRA","NÃO COMPRA")</f>
        <v>NÃO COMPRA</v>
      </c>
    </row>
    <row r="1228" spans="1:12">
      <c r="A1228" s="8" t="s">
        <v>2648</v>
      </c>
      <c r="B1228" s="9" t="s">
        <v>602</v>
      </c>
      <c r="C1228" s="9" t="e">
        <f>VLOOKUP(A1228,[2]Planilha1!$A:$B,2,0)</f>
        <v>#N/A</v>
      </c>
      <c r="D1228" s="10">
        <f>SUMIF([1]Relatório!$A$2:$A$2653,A1228,[1]Relatório!$AK$2:$AK$2653)</f>
        <v>46</v>
      </c>
      <c r="E1228" s="11">
        <f t="shared" si="38"/>
        <v>7.86382588805673e-5</v>
      </c>
      <c r="F1228" s="11">
        <f>SUM($E$7:E1228)</f>
        <v>0.981496075779929</v>
      </c>
      <c r="G1228" s="12" t="str">
        <f t="shared" si="39"/>
        <v>C</v>
      </c>
      <c r="H1228" s="9" t="s">
        <v>183</v>
      </c>
      <c r="I1228" s="9"/>
      <c r="J1228" s="9" t="s">
        <v>1842</v>
      </c>
      <c r="K1228" s="10" t="str">
        <f>IFERROR(VLOOKUP(A1228,'Pedido ESTHER'!$B:$C,2,0),"")</f>
        <v/>
      </c>
      <c r="L1228" s="12" t="str">
        <f>IF(N(K1228)&gt;0,"COMPRA","NÃO COMPRA")</f>
        <v>NÃO COMPRA</v>
      </c>
    </row>
    <row r="1229" spans="1:12">
      <c r="A1229" s="8" t="s">
        <v>2649</v>
      </c>
      <c r="B1229" s="9" t="s">
        <v>2052</v>
      </c>
      <c r="C1229" s="9" t="e">
        <f>VLOOKUP(A1229,[2]Planilha1!$A:$B,2,0)</f>
        <v>#N/A</v>
      </c>
      <c r="D1229" s="10">
        <f>SUMIF([1]Relatório!$A$2:$A$2653,A1229,[1]Relatório!$AK$2:$AK$2653)</f>
        <v>46</v>
      </c>
      <c r="E1229" s="11">
        <f t="shared" si="38"/>
        <v>7.86382588805673e-5</v>
      </c>
      <c r="F1229" s="11">
        <f>SUM($E$7:E1229)</f>
        <v>0.98157471403881</v>
      </c>
      <c r="G1229" s="12" t="str">
        <f t="shared" si="39"/>
        <v>C</v>
      </c>
      <c r="H1229" s="9" t="s">
        <v>183</v>
      </c>
      <c r="I1229" s="9" t="s">
        <v>2650</v>
      </c>
      <c r="J1229" s="9" t="s">
        <v>1301</v>
      </c>
      <c r="K1229" s="10" t="str">
        <f>IFERROR(VLOOKUP(A1229,'Pedido ESTHER'!$B:$C,2,0),"")</f>
        <v/>
      </c>
      <c r="L1229" s="12" t="str">
        <f>IF(N(K1229)&gt;0,"COMPRA","NÃO COMPRA")</f>
        <v>NÃO COMPRA</v>
      </c>
    </row>
    <row r="1230" spans="1:12">
      <c r="A1230" s="8" t="s">
        <v>2651</v>
      </c>
      <c r="B1230" s="9" t="s">
        <v>193</v>
      </c>
      <c r="C1230" s="9" t="e">
        <f>VLOOKUP(A1230,[2]Planilha1!$A:$B,2,0)</f>
        <v>#N/A</v>
      </c>
      <c r="D1230" s="10">
        <f>SUMIF([1]Relatório!$A$2:$A$2653,A1230,[1]Relatório!$AK$2:$AK$2653)</f>
        <v>46</v>
      </c>
      <c r="E1230" s="11">
        <f t="shared" si="38"/>
        <v>7.86382588805673e-5</v>
      </c>
      <c r="F1230" s="11">
        <f>SUM($E$7:E1230)</f>
        <v>0.98165335229769</v>
      </c>
      <c r="G1230" s="12" t="str">
        <f t="shared" si="39"/>
        <v>C</v>
      </c>
      <c r="H1230" s="9" t="s">
        <v>183</v>
      </c>
      <c r="I1230" s="9" t="s">
        <v>2652</v>
      </c>
      <c r="J1230" s="9" t="s">
        <v>29</v>
      </c>
      <c r="K1230" s="10" t="str">
        <f>IFERROR(VLOOKUP(A1230,'Pedido ESTHER'!$B:$C,2,0),"")</f>
        <v/>
      </c>
      <c r="L1230" s="12" t="str">
        <f>IF(N(K1230)&gt;0,"COMPRA","NÃO COMPRA")</f>
        <v>NÃO COMPRA</v>
      </c>
    </row>
    <row r="1231" spans="1:12">
      <c r="A1231" s="8" t="s">
        <v>2653</v>
      </c>
      <c r="B1231" s="9" t="s">
        <v>538</v>
      </c>
      <c r="C1231" s="9" t="e">
        <f>VLOOKUP(A1231,[2]Planilha1!$A:$B,2,0)</f>
        <v>#N/A</v>
      </c>
      <c r="D1231" s="10">
        <f>SUMIF([1]Relatório!$A$2:$A$2653,A1231,[1]Relatório!$AK$2:$AK$2653)</f>
        <v>46</v>
      </c>
      <c r="E1231" s="11">
        <f t="shared" si="38"/>
        <v>7.86382588805673e-5</v>
      </c>
      <c r="F1231" s="11">
        <f>SUM($E$7:E1231)</f>
        <v>0.981731990556571</v>
      </c>
      <c r="G1231" s="12" t="str">
        <f t="shared" si="39"/>
        <v>C</v>
      </c>
      <c r="H1231" s="9" t="s">
        <v>183</v>
      </c>
      <c r="I1231" s="9" t="s">
        <v>2654</v>
      </c>
      <c r="J1231" s="9" t="s">
        <v>158</v>
      </c>
      <c r="K1231" s="10" t="str">
        <f>IFERROR(VLOOKUP(A1231,'Pedido ESTHER'!$B:$C,2,0),"")</f>
        <v/>
      </c>
      <c r="L1231" s="12" t="str">
        <f>IF(N(K1231)&gt;0,"COMPRA","NÃO COMPRA")</f>
        <v>NÃO COMPRA</v>
      </c>
    </row>
    <row r="1232" spans="1:12">
      <c r="A1232" s="8" t="s">
        <v>2655</v>
      </c>
      <c r="B1232" s="9" t="s">
        <v>131</v>
      </c>
      <c r="C1232" s="9" t="e">
        <f>VLOOKUP(A1232,[2]Planilha1!$A:$B,2,0)</f>
        <v>#N/A</v>
      </c>
      <c r="D1232" s="10">
        <f>SUMIF([1]Relatório!$A$2:$A$2653,A1232,[1]Relatório!$AK$2:$AK$2653)</f>
        <v>46</v>
      </c>
      <c r="E1232" s="11">
        <f t="shared" si="38"/>
        <v>7.86382588805673e-5</v>
      </c>
      <c r="F1232" s="11">
        <f>SUM($E$7:E1232)</f>
        <v>0.981810628815451</v>
      </c>
      <c r="G1232" s="12" t="str">
        <f t="shared" si="39"/>
        <v>C</v>
      </c>
      <c r="H1232" s="9" t="s">
        <v>14</v>
      </c>
      <c r="I1232" s="9"/>
      <c r="J1232" s="9" t="s">
        <v>23</v>
      </c>
      <c r="K1232" s="10" t="str">
        <f>IFERROR(VLOOKUP(A1232,'Pedido ESTHER'!$B:$C,2,0),"")</f>
        <v/>
      </c>
      <c r="L1232" s="12" t="str">
        <f>IF(N(K1232)&gt;0,"COMPRA","NÃO COMPRA")</f>
        <v>NÃO COMPRA</v>
      </c>
    </row>
    <row r="1233" spans="1:12">
      <c r="A1233" s="8" t="s">
        <v>2656</v>
      </c>
      <c r="B1233" s="9" t="s">
        <v>1604</v>
      </c>
      <c r="C1233" s="9" t="e">
        <f>VLOOKUP(A1233,[2]Planilha1!$A:$B,2,0)</f>
        <v>#N/A</v>
      </c>
      <c r="D1233" s="10">
        <f>SUMIF([1]Relatório!$A$2:$A$2653,A1233,[1]Relatório!$AK$2:$AK$2653)</f>
        <v>46</v>
      </c>
      <c r="E1233" s="11">
        <f t="shared" si="38"/>
        <v>7.86382588805673e-5</v>
      </c>
      <c r="F1233" s="11">
        <f>SUM($E$7:E1233)</f>
        <v>0.981889267074332</v>
      </c>
      <c r="G1233" s="12" t="str">
        <f t="shared" si="39"/>
        <v>C</v>
      </c>
      <c r="H1233" s="9" t="s">
        <v>1059</v>
      </c>
      <c r="I1233" s="9" t="s">
        <v>2657</v>
      </c>
      <c r="J1233" s="9" t="s">
        <v>44</v>
      </c>
      <c r="K1233" s="10" t="str">
        <f>IFERROR(VLOOKUP(A1233,'Pedido ESTHER'!$B:$C,2,0),"")</f>
        <v/>
      </c>
      <c r="L1233" s="12" t="str">
        <f>IF(N(K1233)&gt;0,"COMPRA","NÃO COMPRA")</f>
        <v>NÃO COMPRA</v>
      </c>
    </row>
    <row r="1234" spans="1:12">
      <c r="A1234" s="8" t="s">
        <v>2658</v>
      </c>
      <c r="B1234" s="9" t="s">
        <v>318</v>
      </c>
      <c r="C1234" s="9" t="e">
        <f>VLOOKUP(A1234,[2]Planilha1!$A:$B,2,0)</f>
        <v>#N/A</v>
      </c>
      <c r="D1234" s="10">
        <f>SUMIF([1]Relatório!$A$2:$A$2653,A1234,[1]Relatório!$AK$2:$AK$2653)</f>
        <v>46</v>
      </c>
      <c r="E1234" s="11">
        <f t="shared" si="38"/>
        <v>7.86382588805673e-5</v>
      </c>
      <c r="F1234" s="11">
        <f>SUM($E$7:E1234)</f>
        <v>0.981967905333213</v>
      </c>
      <c r="G1234" s="12" t="str">
        <f t="shared" si="39"/>
        <v>C</v>
      </c>
      <c r="H1234" s="9" t="s">
        <v>14</v>
      </c>
      <c r="I1234" s="9" t="s">
        <v>2659</v>
      </c>
      <c r="J1234" s="9" t="s">
        <v>2660</v>
      </c>
      <c r="K1234" s="10" t="str">
        <f>IFERROR(VLOOKUP(A1234,'Pedido ESTHER'!$B:$C,2,0),"")</f>
        <v/>
      </c>
      <c r="L1234" s="12" t="str">
        <f>IF(N(K1234)&gt;0,"COMPRA","NÃO COMPRA")</f>
        <v>NÃO COMPRA</v>
      </c>
    </row>
    <row r="1235" spans="1:12">
      <c r="A1235" s="8" t="s">
        <v>2661</v>
      </c>
      <c r="B1235" s="9" t="s">
        <v>1867</v>
      </c>
      <c r="C1235" s="9" t="e">
        <f>VLOOKUP(A1235,[2]Planilha1!$A:$B,2,0)</f>
        <v>#N/A</v>
      </c>
      <c r="D1235" s="10">
        <f>SUMIF([1]Relatório!$A$2:$A$2653,A1235,[1]Relatório!$AK$2:$AK$2653)</f>
        <v>45</v>
      </c>
      <c r="E1235" s="11">
        <f t="shared" si="38"/>
        <v>7.69287315135984e-5</v>
      </c>
      <c r="F1235" s="11">
        <f>SUM($E$7:E1235)</f>
        <v>0.982044834064726</v>
      </c>
      <c r="G1235" s="12" t="str">
        <f t="shared" si="39"/>
        <v>C</v>
      </c>
      <c r="H1235" s="9" t="s">
        <v>2406</v>
      </c>
      <c r="I1235" s="9" t="s">
        <v>2662</v>
      </c>
      <c r="J1235" s="9" t="s">
        <v>44</v>
      </c>
      <c r="K1235" s="10" t="str">
        <f>IFERROR(VLOOKUP(A1235,'Pedido ESTHER'!$B:$C,2,0),"")</f>
        <v/>
      </c>
      <c r="L1235" s="12" t="str">
        <f>IF(N(K1235)&gt;0,"COMPRA","NÃO COMPRA")</f>
        <v>NÃO COMPRA</v>
      </c>
    </row>
    <row r="1236" spans="1:12">
      <c r="A1236" s="8" t="s">
        <v>2663</v>
      </c>
      <c r="B1236" s="9" t="s">
        <v>2664</v>
      </c>
      <c r="C1236" s="9" t="e">
        <f>VLOOKUP(A1236,[2]Planilha1!$A:$B,2,0)</f>
        <v>#N/A</v>
      </c>
      <c r="D1236" s="10">
        <f>SUMIF([1]Relatório!$A$2:$A$2653,A1236,[1]Relatório!$AK$2:$AK$2653)</f>
        <v>45</v>
      </c>
      <c r="E1236" s="11">
        <f t="shared" si="38"/>
        <v>7.69287315135984e-5</v>
      </c>
      <c r="F1236" s="11">
        <f>SUM($E$7:E1236)</f>
        <v>0.98212176279624</v>
      </c>
      <c r="G1236" s="12" t="str">
        <f t="shared" si="39"/>
        <v>C</v>
      </c>
      <c r="H1236" s="9" t="s">
        <v>1937</v>
      </c>
      <c r="I1236" s="9" t="s">
        <v>2665</v>
      </c>
      <c r="J1236" s="9" t="s">
        <v>359</v>
      </c>
      <c r="K1236" s="10" t="str">
        <f>IFERROR(VLOOKUP(A1236,'Pedido ESTHER'!$B:$C,2,0),"")</f>
        <v/>
      </c>
      <c r="L1236" s="12" t="str">
        <f>IF(N(K1236)&gt;0,"COMPRA","NÃO COMPRA")</f>
        <v>NÃO COMPRA</v>
      </c>
    </row>
    <row r="1237" spans="1:12">
      <c r="A1237" s="8" t="s">
        <v>2666</v>
      </c>
      <c r="B1237" s="9" t="s">
        <v>2664</v>
      </c>
      <c r="C1237" s="9" t="e">
        <f>VLOOKUP(A1237,[2]Planilha1!$A:$B,2,0)</f>
        <v>#N/A</v>
      </c>
      <c r="D1237" s="10">
        <f>SUMIF([1]Relatório!$A$2:$A$2653,A1237,[1]Relatório!$AK$2:$AK$2653)</f>
        <v>45</v>
      </c>
      <c r="E1237" s="11">
        <f t="shared" si="38"/>
        <v>7.69287315135984e-5</v>
      </c>
      <c r="F1237" s="11">
        <f>SUM($E$7:E1237)</f>
        <v>0.982198691527753</v>
      </c>
      <c r="G1237" s="12" t="str">
        <f t="shared" si="39"/>
        <v>C</v>
      </c>
      <c r="H1237" s="9" t="s">
        <v>1937</v>
      </c>
      <c r="I1237" s="9" t="s">
        <v>2667</v>
      </c>
      <c r="J1237" s="9" t="s">
        <v>359</v>
      </c>
      <c r="K1237" s="10" t="str">
        <f>IFERROR(VLOOKUP(A1237,'Pedido ESTHER'!$B:$C,2,0),"")</f>
        <v/>
      </c>
      <c r="L1237" s="12" t="str">
        <f>IF(N(K1237)&gt;0,"COMPRA","NÃO COMPRA")</f>
        <v>NÃO COMPRA</v>
      </c>
    </row>
    <row r="1238" spans="1:12">
      <c r="A1238" s="8" t="s">
        <v>2668</v>
      </c>
      <c r="B1238" s="9" t="s">
        <v>2669</v>
      </c>
      <c r="C1238" s="9" t="e">
        <f>VLOOKUP(A1238,[2]Planilha1!$A:$B,2,0)</f>
        <v>#N/A</v>
      </c>
      <c r="D1238" s="10">
        <f>SUMIF([1]Relatório!$A$2:$A$2653,A1238,[1]Relatório!$AK$2:$AK$2653)</f>
        <v>45</v>
      </c>
      <c r="E1238" s="11">
        <f t="shared" si="38"/>
        <v>7.69287315135984e-5</v>
      </c>
      <c r="F1238" s="11">
        <f>SUM($E$7:E1238)</f>
        <v>0.982275620259267</v>
      </c>
      <c r="G1238" s="12" t="str">
        <f t="shared" si="39"/>
        <v>C</v>
      </c>
      <c r="H1238" s="9" t="s">
        <v>1344</v>
      </c>
      <c r="I1238" s="9" t="s">
        <v>2670</v>
      </c>
      <c r="J1238" s="9" t="s">
        <v>101</v>
      </c>
      <c r="K1238" s="10" t="str">
        <f>IFERROR(VLOOKUP(A1238,'Pedido ESTHER'!$B:$C,2,0),"")</f>
        <v/>
      </c>
      <c r="L1238" s="12" t="str">
        <f>IF(N(K1238)&gt;0,"COMPRA","NÃO COMPRA")</f>
        <v>NÃO COMPRA</v>
      </c>
    </row>
    <row r="1239" spans="1:12">
      <c r="A1239" s="8" t="s">
        <v>2671</v>
      </c>
      <c r="B1239" s="9" t="s">
        <v>363</v>
      </c>
      <c r="C1239" s="9" t="e">
        <f>VLOOKUP(A1239,[2]Planilha1!$A:$B,2,0)</f>
        <v>#N/A</v>
      </c>
      <c r="D1239" s="10">
        <f>SUMIF([1]Relatório!$A$2:$A$2653,A1239,[1]Relatório!$AK$2:$AK$2653)</f>
        <v>45</v>
      </c>
      <c r="E1239" s="11">
        <f t="shared" si="38"/>
        <v>7.69287315135984e-5</v>
      </c>
      <c r="F1239" s="11">
        <f>SUM($E$7:E1239)</f>
        <v>0.98235254899078</v>
      </c>
      <c r="G1239" s="12" t="str">
        <f t="shared" si="39"/>
        <v>C</v>
      </c>
      <c r="H1239" s="9" t="s">
        <v>183</v>
      </c>
      <c r="I1239" s="9"/>
      <c r="J1239" s="9" t="s">
        <v>40</v>
      </c>
      <c r="K1239" s="10" t="str">
        <f>IFERROR(VLOOKUP(A1239,'Pedido ESTHER'!$B:$C,2,0),"")</f>
        <v/>
      </c>
      <c r="L1239" s="12" t="str">
        <f>IF(N(K1239)&gt;0,"COMPRA","NÃO COMPRA")</f>
        <v>NÃO COMPRA</v>
      </c>
    </row>
    <row r="1240" spans="1:12">
      <c r="A1240" s="8" t="s">
        <v>2672</v>
      </c>
      <c r="B1240" s="9" t="s">
        <v>827</v>
      </c>
      <c r="C1240" s="9" t="e">
        <f>VLOOKUP(A1240,[2]Planilha1!$A:$B,2,0)</f>
        <v>#N/A</v>
      </c>
      <c r="D1240" s="10">
        <f>SUMIF([1]Relatório!$A$2:$A$2653,A1240,[1]Relatório!$AK$2:$AK$2653)</f>
        <v>45</v>
      </c>
      <c r="E1240" s="11">
        <f t="shared" si="38"/>
        <v>7.69287315135984e-5</v>
      </c>
      <c r="F1240" s="11">
        <f>SUM($E$7:E1240)</f>
        <v>0.982429477722294</v>
      </c>
      <c r="G1240" s="12" t="str">
        <f t="shared" si="39"/>
        <v>C</v>
      </c>
      <c r="H1240" s="9" t="s">
        <v>183</v>
      </c>
      <c r="I1240" s="9" t="s">
        <v>2673</v>
      </c>
      <c r="J1240" s="9" t="s">
        <v>36</v>
      </c>
      <c r="K1240" s="10" t="str">
        <f>IFERROR(VLOOKUP(A1240,'Pedido ESTHER'!$B:$C,2,0),"")</f>
        <v/>
      </c>
      <c r="L1240" s="12" t="str">
        <f>IF(N(K1240)&gt;0,"COMPRA","NÃO COMPRA")</f>
        <v>NÃO COMPRA</v>
      </c>
    </row>
    <row r="1241" spans="1:12">
      <c r="A1241" s="8" t="s">
        <v>2674</v>
      </c>
      <c r="B1241" s="9" t="s">
        <v>706</v>
      </c>
      <c r="C1241" s="9" t="e">
        <f>VLOOKUP(A1241,[2]Planilha1!$A:$B,2,0)</f>
        <v>#N/A</v>
      </c>
      <c r="D1241" s="10">
        <f>SUMIF([1]Relatório!$A$2:$A$2653,A1241,[1]Relatório!$AK$2:$AK$2653)</f>
        <v>45</v>
      </c>
      <c r="E1241" s="11">
        <f t="shared" si="38"/>
        <v>7.69287315135984e-5</v>
      </c>
      <c r="F1241" s="11">
        <f>SUM($E$7:E1241)</f>
        <v>0.982506406453807</v>
      </c>
      <c r="G1241" s="12" t="str">
        <f t="shared" si="39"/>
        <v>C</v>
      </c>
      <c r="H1241" s="9" t="s">
        <v>183</v>
      </c>
      <c r="I1241" s="9" t="s">
        <v>2675</v>
      </c>
      <c r="J1241" s="9" t="s">
        <v>241</v>
      </c>
      <c r="K1241" s="10" t="str">
        <f>IFERROR(VLOOKUP(A1241,'Pedido ESTHER'!$B:$C,2,0),"")</f>
        <v/>
      </c>
      <c r="L1241" s="12" t="str">
        <f>IF(N(K1241)&gt;0,"COMPRA","NÃO COMPRA")</f>
        <v>NÃO COMPRA</v>
      </c>
    </row>
    <row r="1242" spans="1:12">
      <c r="A1242" s="8" t="s">
        <v>2676</v>
      </c>
      <c r="B1242" s="9" t="s">
        <v>2677</v>
      </c>
      <c r="C1242" s="9" t="e">
        <f>VLOOKUP(A1242,[2]Planilha1!$A:$B,2,0)</f>
        <v>#N/A</v>
      </c>
      <c r="D1242" s="10">
        <f>SUMIF([1]Relatório!$A$2:$A$2653,A1242,[1]Relatório!$AK$2:$AK$2653)</f>
        <v>45</v>
      </c>
      <c r="E1242" s="11">
        <f t="shared" si="38"/>
        <v>7.69287315135984e-5</v>
      </c>
      <c r="F1242" s="11">
        <f>SUM($E$7:E1242)</f>
        <v>0.982583335185321</v>
      </c>
      <c r="G1242" s="12" t="str">
        <f t="shared" si="39"/>
        <v>C</v>
      </c>
      <c r="H1242" s="9" t="s">
        <v>74</v>
      </c>
      <c r="I1242" s="9" t="s">
        <v>2678</v>
      </c>
      <c r="J1242" s="9" t="s">
        <v>29</v>
      </c>
      <c r="K1242" s="10" t="str">
        <f>IFERROR(VLOOKUP(A1242,'Pedido ESTHER'!$B:$C,2,0),"")</f>
        <v/>
      </c>
      <c r="L1242" s="12" t="str">
        <f>IF(N(K1242)&gt;0,"COMPRA","NÃO COMPRA")</f>
        <v>NÃO COMPRA</v>
      </c>
    </row>
    <row r="1243" spans="1:12">
      <c r="A1243" s="8" t="s">
        <v>2679</v>
      </c>
      <c r="B1243" s="9" t="s">
        <v>2680</v>
      </c>
      <c r="C1243" s="9" t="e">
        <f>VLOOKUP(A1243,[2]Planilha1!$A:$B,2,0)</f>
        <v>#N/A</v>
      </c>
      <c r="D1243" s="10">
        <f>SUMIF([1]Relatório!$A$2:$A$2653,A1243,[1]Relatório!$AK$2:$AK$2653)</f>
        <v>44</v>
      </c>
      <c r="E1243" s="11">
        <f t="shared" si="38"/>
        <v>7.52192041466296e-5</v>
      </c>
      <c r="F1243" s="11">
        <f>SUM($E$7:E1243)</f>
        <v>0.982658554389468</v>
      </c>
      <c r="G1243" s="12" t="str">
        <f t="shared" si="39"/>
        <v>C</v>
      </c>
      <c r="H1243" s="9" t="s">
        <v>2681</v>
      </c>
      <c r="I1243" s="9" t="s">
        <v>2682</v>
      </c>
      <c r="J1243" s="9" t="s">
        <v>44</v>
      </c>
      <c r="K1243" s="10" t="str">
        <f>IFERROR(VLOOKUP(A1243,'Pedido ESTHER'!$B:$C,2,0),"")</f>
        <v/>
      </c>
      <c r="L1243" s="12" t="str">
        <f>IF(N(K1243)&gt;0,"COMPRA","NÃO COMPRA")</f>
        <v>NÃO COMPRA</v>
      </c>
    </row>
    <row r="1244" spans="1:12">
      <c r="A1244" s="8" t="s">
        <v>2683</v>
      </c>
      <c r="B1244" s="9" t="s">
        <v>2684</v>
      </c>
      <c r="C1244" s="9" t="e">
        <f>VLOOKUP(A1244,[2]Planilha1!$A:$B,2,0)</f>
        <v>#N/A</v>
      </c>
      <c r="D1244" s="10">
        <f>SUMIF([1]Relatório!$A$2:$A$2653,A1244,[1]Relatório!$AK$2:$AK$2653)</f>
        <v>44</v>
      </c>
      <c r="E1244" s="11">
        <f t="shared" si="38"/>
        <v>7.52192041466296e-5</v>
      </c>
      <c r="F1244" s="11">
        <f>SUM($E$7:E1244)</f>
        <v>0.982733773593614</v>
      </c>
      <c r="G1244" s="12" t="str">
        <f t="shared" si="39"/>
        <v>C</v>
      </c>
      <c r="H1244" s="9" t="s">
        <v>2681</v>
      </c>
      <c r="I1244" s="9" t="s">
        <v>2685</v>
      </c>
      <c r="J1244" s="9" t="s">
        <v>44</v>
      </c>
      <c r="K1244" s="10" t="str">
        <f>IFERROR(VLOOKUP(A1244,'Pedido ESTHER'!$B:$C,2,0),"")</f>
        <v/>
      </c>
      <c r="L1244" s="12" t="str">
        <f>IF(N(K1244)&gt;0,"COMPRA","NÃO COMPRA")</f>
        <v>NÃO COMPRA</v>
      </c>
    </row>
    <row r="1245" spans="1:12">
      <c r="A1245" s="8" t="s">
        <v>2686</v>
      </c>
      <c r="B1245" s="9" t="s">
        <v>2330</v>
      </c>
      <c r="C1245" s="9" t="e">
        <f>VLOOKUP(A1245,[2]Planilha1!$A:$B,2,0)</f>
        <v>#N/A</v>
      </c>
      <c r="D1245" s="10">
        <f>SUMIF([1]Relatório!$A$2:$A$2653,A1245,[1]Relatório!$AK$2:$AK$2653)</f>
        <v>44</v>
      </c>
      <c r="E1245" s="11">
        <f t="shared" si="38"/>
        <v>7.52192041466296e-5</v>
      </c>
      <c r="F1245" s="11">
        <f>SUM($E$7:E1245)</f>
        <v>0.982808992797761</v>
      </c>
      <c r="G1245" s="12" t="str">
        <f t="shared" si="39"/>
        <v>C</v>
      </c>
      <c r="H1245" s="9" t="s">
        <v>1344</v>
      </c>
      <c r="I1245" s="9" t="s">
        <v>2687</v>
      </c>
      <c r="J1245" s="9" t="s">
        <v>36</v>
      </c>
      <c r="K1245" s="10" t="str">
        <f>IFERROR(VLOOKUP(A1245,'Pedido ESTHER'!$B:$C,2,0),"")</f>
        <v/>
      </c>
      <c r="L1245" s="12" t="str">
        <f>IF(N(K1245)&gt;0,"COMPRA","NÃO COMPRA")</f>
        <v>NÃO COMPRA</v>
      </c>
    </row>
    <row r="1246" spans="1:12">
      <c r="A1246" s="8" t="s">
        <v>2688</v>
      </c>
      <c r="B1246" s="9" t="s">
        <v>2219</v>
      </c>
      <c r="C1246" s="9" t="e">
        <f>VLOOKUP(A1246,[2]Planilha1!$A:$B,2,0)</f>
        <v>#N/A</v>
      </c>
      <c r="D1246" s="10">
        <f>SUMIF([1]Relatório!$A$2:$A$2653,A1246,[1]Relatório!$AK$2:$AK$2653)</f>
        <v>44</v>
      </c>
      <c r="E1246" s="11">
        <f t="shared" si="38"/>
        <v>7.52192041466296e-5</v>
      </c>
      <c r="F1246" s="11">
        <f>SUM($E$7:E1246)</f>
        <v>0.982884212001908</v>
      </c>
      <c r="G1246" s="12" t="str">
        <f t="shared" si="39"/>
        <v>C</v>
      </c>
      <c r="H1246" s="9" t="s">
        <v>1344</v>
      </c>
      <c r="I1246" s="9" t="s">
        <v>2689</v>
      </c>
      <c r="J1246" s="9" t="s">
        <v>36</v>
      </c>
      <c r="K1246" s="10" t="str">
        <f>IFERROR(VLOOKUP(A1246,'Pedido ESTHER'!$B:$C,2,0),"")</f>
        <v/>
      </c>
      <c r="L1246" s="12" t="str">
        <f>IF(N(K1246)&gt;0,"COMPRA","NÃO COMPRA")</f>
        <v>NÃO COMPRA</v>
      </c>
    </row>
    <row r="1247" spans="1:12">
      <c r="A1247" s="8" t="s">
        <v>2690</v>
      </c>
      <c r="B1247" s="9" t="s">
        <v>812</v>
      </c>
      <c r="C1247" s="9" t="e">
        <f>VLOOKUP(A1247,[2]Planilha1!$A:$B,2,0)</f>
        <v>#N/A</v>
      </c>
      <c r="D1247" s="10">
        <f>SUMIF([1]Relatório!$A$2:$A$2653,A1247,[1]Relatório!$AK$2:$AK$2653)</f>
        <v>44</v>
      </c>
      <c r="E1247" s="11">
        <f t="shared" si="38"/>
        <v>7.52192041466296e-5</v>
      </c>
      <c r="F1247" s="11">
        <f>SUM($E$7:E1247)</f>
        <v>0.982959431206054</v>
      </c>
      <c r="G1247" s="12" t="str">
        <f t="shared" si="39"/>
        <v>C</v>
      </c>
      <c r="H1247" s="9" t="s">
        <v>776</v>
      </c>
      <c r="I1247" s="9" t="s">
        <v>2691</v>
      </c>
      <c r="J1247" s="9" t="s">
        <v>1143</v>
      </c>
      <c r="K1247" s="10" t="str">
        <f>IFERROR(VLOOKUP(A1247,'Pedido ESTHER'!$B:$C,2,0),"")</f>
        <v/>
      </c>
      <c r="L1247" s="12" t="str">
        <f>IF(N(K1247)&gt;0,"COMPRA","NÃO COMPRA")</f>
        <v>NÃO COMPRA</v>
      </c>
    </row>
    <row r="1248" spans="1:12">
      <c r="A1248" s="8" t="s">
        <v>2692</v>
      </c>
      <c r="B1248" s="9" t="s">
        <v>1796</v>
      </c>
      <c r="C1248" s="9" t="e">
        <f>VLOOKUP(A1248,[2]Planilha1!$A:$B,2,0)</f>
        <v>#N/A</v>
      </c>
      <c r="D1248" s="10">
        <f>SUMIF([1]Relatório!$A$2:$A$2653,A1248,[1]Relatório!$AK$2:$AK$2653)</f>
        <v>44</v>
      </c>
      <c r="E1248" s="11">
        <f t="shared" si="38"/>
        <v>7.52192041466296e-5</v>
      </c>
      <c r="F1248" s="11">
        <f>SUM($E$7:E1248)</f>
        <v>0.983034650410201</v>
      </c>
      <c r="G1248" s="12" t="str">
        <f t="shared" si="39"/>
        <v>C</v>
      </c>
      <c r="H1248" s="9" t="s">
        <v>2406</v>
      </c>
      <c r="I1248" s="9" t="s">
        <v>2693</v>
      </c>
      <c r="J1248" s="9" t="s">
        <v>201</v>
      </c>
      <c r="K1248" s="10" t="str">
        <f>IFERROR(VLOOKUP(A1248,'Pedido ESTHER'!$B:$C,2,0),"")</f>
        <v/>
      </c>
      <c r="L1248" s="12" t="str">
        <f>IF(N(K1248)&gt;0,"COMPRA","NÃO COMPRA")</f>
        <v>NÃO COMPRA</v>
      </c>
    </row>
    <row r="1249" spans="1:12">
      <c r="A1249" s="8" t="s">
        <v>2694</v>
      </c>
      <c r="B1249" s="9" t="s">
        <v>749</v>
      </c>
      <c r="C1249" s="9" t="e">
        <f>VLOOKUP(A1249,[2]Planilha1!$A:$B,2,0)</f>
        <v>#N/A</v>
      </c>
      <c r="D1249" s="10">
        <f>SUMIF([1]Relatório!$A$2:$A$2653,A1249,[1]Relatório!$AK$2:$AK$2653)</f>
        <v>44</v>
      </c>
      <c r="E1249" s="11">
        <f t="shared" si="38"/>
        <v>7.52192041466296e-5</v>
      </c>
      <c r="F1249" s="11">
        <f>SUM($E$7:E1249)</f>
        <v>0.983109869614348</v>
      </c>
      <c r="G1249" s="12" t="str">
        <f t="shared" si="39"/>
        <v>C</v>
      </c>
      <c r="H1249" s="9" t="s">
        <v>183</v>
      </c>
      <c r="I1249" s="9" t="s">
        <v>2695</v>
      </c>
      <c r="J1249" s="9" t="s">
        <v>2597</v>
      </c>
      <c r="K1249" s="10" t="str">
        <f>IFERROR(VLOOKUP(A1249,'Pedido ESTHER'!$B:$C,2,0),"")</f>
        <v/>
      </c>
      <c r="L1249" s="12" t="str">
        <f>IF(N(K1249)&gt;0,"COMPRA","NÃO COMPRA")</f>
        <v>NÃO COMPRA</v>
      </c>
    </row>
    <row r="1250" spans="1:12">
      <c r="A1250" s="8" t="s">
        <v>2696</v>
      </c>
      <c r="B1250" s="9" t="s">
        <v>2697</v>
      </c>
      <c r="C1250" s="9" t="e">
        <f>VLOOKUP(A1250,[2]Planilha1!$A:$B,2,0)</f>
        <v>#N/A</v>
      </c>
      <c r="D1250" s="10">
        <f>SUMIF([1]Relatório!$A$2:$A$2653,A1250,[1]Relatório!$AK$2:$AK$2653)</f>
        <v>44</v>
      </c>
      <c r="E1250" s="11">
        <f t="shared" si="38"/>
        <v>7.52192041466296e-5</v>
      </c>
      <c r="F1250" s="11">
        <f>SUM($E$7:E1250)</f>
        <v>0.983185088818494</v>
      </c>
      <c r="G1250" s="12" t="str">
        <f t="shared" si="39"/>
        <v>C</v>
      </c>
      <c r="H1250" s="9" t="s">
        <v>1700</v>
      </c>
      <c r="I1250" s="9" t="s">
        <v>2698</v>
      </c>
      <c r="J1250" s="9" t="s">
        <v>2597</v>
      </c>
      <c r="K1250" s="10" t="str">
        <f>IFERROR(VLOOKUP(A1250,'Pedido ESTHER'!$B:$C,2,0),"")</f>
        <v/>
      </c>
      <c r="L1250" s="12" t="str">
        <f>IF(N(K1250)&gt;0,"COMPRA","NÃO COMPRA")</f>
        <v>NÃO COMPRA</v>
      </c>
    </row>
    <row r="1251" spans="1:12">
      <c r="A1251" s="8" t="s">
        <v>2699</v>
      </c>
      <c r="B1251" s="9" t="s">
        <v>2700</v>
      </c>
      <c r="C1251" s="9" t="e">
        <f>VLOOKUP(A1251,[2]Planilha1!$A:$B,2,0)</f>
        <v>#N/A</v>
      </c>
      <c r="D1251" s="10">
        <f>SUMIF([1]Relatório!$A$2:$A$2653,A1251,[1]Relatório!$AK$2:$AK$2653)</f>
        <v>44</v>
      </c>
      <c r="E1251" s="11">
        <f t="shared" si="38"/>
        <v>7.52192041466296e-5</v>
      </c>
      <c r="F1251" s="11">
        <f>SUM($E$7:E1251)</f>
        <v>0.983260308022641</v>
      </c>
      <c r="G1251" s="12" t="str">
        <f t="shared" si="39"/>
        <v>C</v>
      </c>
      <c r="H1251" s="9" t="s">
        <v>831</v>
      </c>
      <c r="I1251" s="9" t="s">
        <v>2701</v>
      </c>
      <c r="J1251" s="9" t="s">
        <v>1017</v>
      </c>
      <c r="K1251" s="10" t="str">
        <f>IFERROR(VLOOKUP(A1251,'Pedido ESTHER'!$B:$C,2,0),"")</f>
        <v/>
      </c>
      <c r="L1251" s="12" t="str">
        <f>IF(N(K1251)&gt;0,"COMPRA","NÃO COMPRA")</f>
        <v>NÃO COMPRA</v>
      </c>
    </row>
    <row r="1252" spans="1:12">
      <c r="A1252" s="8" t="s">
        <v>2702</v>
      </c>
      <c r="B1252" s="9" t="s">
        <v>1708</v>
      </c>
      <c r="C1252" s="9" t="e">
        <f>VLOOKUP(A1252,[2]Planilha1!$A:$B,2,0)</f>
        <v>#N/A</v>
      </c>
      <c r="D1252" s="10">
        <f>SUMIF([1]Relatório!$A$2:$A$2653,A1252,[1]Relatório!$AK$2:$AK$2653)</f>
        <v>44</v>
      </c>
      <c r="E1252" s="11">
        <f t="shared" si="38"/>
        <v>7.52192041466296e-5</v>
      </c>
      <c r="F1252" s="11">
        <f>SUM($E$7:E1252)</f>
        <v>0.983335527226788</v>
      </c>
      <c r="G1252" s="12" t="str">
        <f t="shared" si="39"/>
        <v>C</v>
      </c>
      <c r="H1252" s="9" t="s">
        <v>183</v>
      </c>
      <c r="I1252" s="9" t="s">
        <v>2703</v>
      </c>
      <c r="J1252" s="9" t="s">
        <v>1710</v>
      </c>
      <c r="K1252" s="10" t="str">
        <f>IFERROR(VLOOKUP(A1252,'Pedido ESTHER'!$B:$C,2,0),"")</f>
        <v/>
      </c>
      <c r="L1252" s="12" t="str">
        <f>IF(N(K1252)&gt;0,"COMPRA","NÃO COMPRA")</f>
        <v>NÃO COMPRA</v>
      </c>
    </row>
    <row r="1253" spans="1:12">
      <c r="A1253" s="8" t="s">
        <v>2704</v>
      </c>
      <c r="B1253" s="9" t="s">
        <v>349</v>
      </c>
      <c r="C1253" s="9" t="e">
        <f>VLOOKUP(A1253,[2]Planilha1!$A:$B,2,0)</f>
        <v>#N/A</v>
      </c>
      <c r="D1253" s="10">
        <f>SUMIF([1]Relatório!$A$2:$A$2653,A1253,[1]Relatório!$AK$2:$AK$2653)</f>
        <v>44</v>
      </c>
      <c r="E1253" s="11">
        <f t="shared" si="38"/>
        <v>7.52192041466296e-5</v>
      </c>
      <c r="F1253" s="11">
        <f>SUM($E$7:E1253)</f>
        <v>0.983410746430934</v>
      </c>
      <c r="G1253" s="12" t="str">
        <f t="shared" si="39"/>
        <v>C</v>
      </c>
      <c r="H1253" s="9" t="s">
        <v>18</v>
      </c>
      <c r="I1253" s="9" t="s">
        <v>2705</v>
      </c>
      <c r="J1253" s="9" t="s">
        <v>2660</v>
      </c>
      <c r="K1253" s="10" t="str">
        <f>IFERROR(VLOOKUP(A1253,'Pedido ESTHER'!$B:$C,2,0),"")</f>
        <v/>
      </c>
      <c r="L1253" s="12" t="str">
        <f>IF(N(K1253)&gt;0,"COMPRA","NÃO COMPRA")</f>
        <v>NÃO COMPRA</v>
      </c>
    </row>
    <row r="1254" spans="1:12">
      <c r="A1254" s="8" t="s">
        <v>2706</v>
      </c>
      <c r="B1254" s="9" t="s">
        <v>1612</v>
      </c>
      <c r="C1254" s="9" t="e">
        <f>VLOOKUP(A1254,[2]Planilha1!$A:$B,2,0)</f>
        <v>#N/A</v>
      </c>
      <c r="D1254" s="10">
        <f>SUMIF([1]Relatório!$A$2:$A$2653,A1254,[1]Relatório!$AK$2:$AK$2653)</f>
        <v>43</v>
      </c>
      <c r="E1254" s="11">
        <f t="shared" si="38"/>
        <v>7.35096767796607e-5</v>
      </c>
      <c r="F1254" s="11">
        <f>SUM($E$7:E1254)</f>
        <v>0.983484256107714</v>
      </c>
      <c r="G1254" s="12" t="str">
        <f t="shared" si="39"/>
        <v>C</v>
      </c>
      <c r="H1254" s="9" t="s">
        <v>1344</v>
      </c>
      <c r="I1254" s="9" t="s">
        <v>2707</v>
      </c>
      <c r="J1254" s="9" t="s">
        <v>33</v>
      </c>
      <c r="K1254" s="10" t="str">
        <f>IFERROR(VLOOKUP(A1254,'Pedido ESTHER'!$B:$C,2,0),"")</f>
        <v/>
      </c>
      <c r="L1254" s="12" t="str">
        <f>IF(N(K1254)&gt;0,"COMPRA","NÃO COMPRA")</f>
        <v>NÃO COMPRA</v>
      </c>
    </row>
    <row r="1255" spans="1:12">
      <c r="A1255" s="8" t="s">
        <v>2708</v>
      </c>
      <c r="B1255" s="9" t="s">
        <v>1892</v>
      </c>
      <c r="C1255" s="9" t="e">
        <f>VLOOKUP(A1255,[2]Planilha1!$A:$B,2,0)</f>
        <v>#N/A</v>
      </c>
      <c r="D1255" s="10">
        <f>SUMIF([1]Relatório!$A$2:$A$2653,A1255,[1]Relatório!$AK$2:$AK$2653)</f>
        <v>43</v>
      </c>
      <c r="E1255" s="11">
        <f t="shared" si="38"/>
        <v>7.35096767796607e-5</v>
      </c>
      <c r="F1255" s="11">
        <f>SUM($E$7:E1255)</f>
        <v>0.983557765784493</v>
      </c>
      <c r="G1255" s="12" t="str">
        <f t="shared" si="39"/>
        <v>C</v>
      </c>
      <c r="H1255" s="9" t="s">
        <v>1344</v>
      </c>
      <c r="I1255" s="9" t="s">
        <v>2709</v>
      </c>
      <c r="J1255" s="9" t="s">
        <v>40</v>
      </c>
      <c r="K1255" s="10">
        <f>IFERROR(VLOOKUP(A1255,'Pedido ESTHER'!$B:$C,2,0),"")</f>
        <v>3</v>
      </c>
      <c r="L1255" s="12" t="str">
        <f>IF(N(K1255)&gt;0,"COMPRA","NÃO COMPRA")</f>
        <v>COMPRA</v>
      </c>
    </row>
    <row r="1256" spans="1:12">
      <c r="A1256" s="8" t="s">
        <v>2710</v>
      </c>
      <c r="B1256" s="9" t="s">
        <v>2017</v>
      </c>
      <c r="C1256" s="9" t="e">
        <f>VLOOKUP(A1256,[2]Planilha1!$A:$B,2,0)</f>
        <v>#N/A</v>
      </c>
      <c r="D1256" s="10">
        <f>SUMIF([1]Relatório!$A$2:$A$2653,A1256,[1]Relatório!$AK$2:$AK$2653)</f>
        <v>43</v>
      </c>
      <c r="E1256" s="11">
        <f t="shared" si="38"/>
        <v>7.35096767796607e-5</v>
      </c>
      <c r="F1256" s="11">
        <f>SUM($E$7:E1256)</f>
        <v>0.983631275461273</v>
      </c>
      <c r="G1256" s="12" t="str">
        <f t="shared" si="39"/>
        <v>C</v>
      </c>
      <c r="H1256" s="9" t="s">
        <v>1344</v>
      </c>
      <c r="I1256" s="9" t="s">
        <v>2711</v>
      </c>
      <c r="J1256" s="9" t="s">
        <v>23</v>
      </c>
      <c r="K1256" s="10" t="str">
        <f>IFERROR(VLOOKUP(A1256,'Pedido ESTHER'!$B:$C,2,0),"")</f>
        <v/>
      </c>
      <c r="L1256" s="12" t="str">
        <f>IF(N(K1256)&gt;0,"COMPRA","NÃO COMPRA")</f>
        <v>NÃO COMPRA</v>
      </c>
    </row>
    <row r="1257" spans="1:12">
      <c r="A1257" s="8" t="s">
        <v>2712</v>
      </c>
      <c r="B1257" s="9" t="s">
        <v>1933</v>
      </c>
      <c r="C1257" s="9" t="e">
        <f>VLOOKUP(A1257,[2]Planilha1!$A:$B,2,0)</f>
        <v>#N/A</v>
      </c>
      <c r="D1257" s="10">
        <f>SUMIF([1]Relatório!$A$2:$A$2653,A1257,[1]Relatório!$AK$2:$AK$2653)</f>
        <v>43</v>
      </c>
      <c r="E1257" s="11">
        <f t="shared" si="38"/>
        <v>7.35096767796607e-5</v>
      </c>
      <c r="F1257" s="11">
        <f>SUM($E$7:E1257)</f>
        <v>0.983704785138053</v>
      </c>
      <c r="G1257" s="12" t="str">
        <f t="shared" si="39"/>
        <v>C</v>
      </c>
      <c r="H1257" s="9" t="s">
        <v>1344</v>
      </c>
      <c r="I1257" s="9" t="s">
        <v>2713</v>
      </c>
      <c r="J1257" s="9" t="s">
        <v>23</v>
      </c>
      <c r="K1257" s="10" t="str">
        <f>IFERROR(VLOOKUP(A1257,'Pedido ESTHER'!$B:$C,2,0),"")</f>
        <v/>
      </c>
      <c r="L1257" s="12" t="str">
        <f>IF(N(K1257)&gt;0,"COMPRA","NÃO COMPRA")</f>
        <v>NÃO COMPRA</v>
      </c>
    </row>
    <row r="1258" spans="1:12">
      <c r="A1258" s="8" t="s">
        <v>2714</v>
      </c>
      <c r="B1258" s="9" t="s">
        <v>1945</v>
      </c>
      <c r="C1258" s="9" t="e">
        <f>VLOOKUP(A1258,[2]Planilha1!$A:$B,2,0)</f>
        <v>#N/A</v>
      </c>
      <c r="D1258" s="10">
        <f>SUMIF([1]Relatório!$A$2:$A$2653,A1258,[1]Relatório!$AK$2:$AK$2653)</f>
        <v>43</v>
      </c>
      <c r="E1258" s="11">
        <f t="shared" si="38"/>
        <v>7.35096767796607e-5</v>
      </c>
      <c r="F1258" s="11">
        <f>SUM($E$7:E1258)</f>
        <v>0.983778294814832</v>
      </c>
      <c r="G1258" s="12" t="str">
        <f t="shared" si="39"/>
        <v>C</v>
      </c>
      <c r="H1258" s="9" t="s">
        <v>1344</v>
      </c>
      <c r="I1258" s="9"/>
      <c r="J1258" s="9" t="s">
        <v>15</v>
      </c>
      <c r="K1258" s="10" t="str">
        <f>IFERROR(VLOOKUP(A1258,'Pedido ESTHER'!$B:$C,2,0),"")</f>
        <v/>
      </c>
      <c r="L1258" s="12" t="str">
        <f>IF(N(K1258)&gt;0,"COMPRA","NÃO COMPRA")</f>
        <v>NÃO COMPRA</v>
      </c>
    </row>
    <row r="1259" spans="1:12">
      <c r="A1259" s="8" t="s">
        <v>2715</v>
      </c>
      <c r="B1259" s="9" t="s">
        <v>2697</v>
      </c>
      <c r="C1259" s="9" t="e">
        <f>VLOOKUP(A1259,[2]Planilha1!$A:$B,2,0)</f>
        <v>#N/A</v>
      </c>
      <c r="D1259" s="10">
        <f>SUMIF([1]Relatório!$A$2:$A$2653,A1259,[1]Relatório!$AK$2:$AK$2653)</f>
        <v>43</v>
      </c>
      <c r="E1259" s="11">
        <f t="shared" si="38"/>
        <v>7.35096767796607e-5</v>
      </c>
      <c r="F1259" s="11">
        <f>SUM($E$7:E1259)</f>
        <v>0.983851804491612</v>
      </c>
      <c r="G1259" s="12" t="str">
        <f t="shared" si="39"/>
        <v>C</v>
      </c>
      <c r="H1259" s="9" t="s">
        <v>2716</v>
      </c>
      <c r="I1259" s="9"/>
      <c r="J1259" s="9" t="s">
        <v>359</v>
      </c>
      <c r="K1259" s="10" t="str">
        <f>IFERROR(VLOOKUP(A1259,'Pedido ESTHER'!$B:$C,2,0),"")</f>
        <v/>
      </c>
      <c r="L1259" s="12" t="str">
        <f>IF(N(K1259)&gt;0,"COMPRA","NÃO COMPRA")</f>
        <v>NÃO COMPRA</v>
      </c>
    </row>
    <row r="1260" spans="1:12">
      <c r="A1260" s="8" t="s">
        <v>2717</v>
      </c>
      <c r="B1260" s="9" t="s">
        <v>2718</v>
      </c>
      <c r="C1260" s="9" t="e">
        <f>VLOOKUP(A1260,[2]Planilha1!$A:$B,2,0)</f>
        <v>#N/A</v>
      </c>
      <c r="D1260" s="10">
        <f>SUMIF([1]Relatório!$A$2:$A$2653,A1260,[1]Relatório!$AK$2:$AK$2653)</f>
        <v>43</v>
      </c>
      <c r="E1260" s="11">
        <f t="shared" si="38"/>
        <v>7.35096767796607e-5</v>
      </c>
      <c r="F1260" s="11">
        <f>SUM($E$7:E1260)</f>
        <v>0.983925314168392</v>
      </c>
      <c r="G1260" s="12" t="str">
        <f t="shared" si="39"/>
        <v>C</v>
      </c>
      <c r="H1260" s="9" t="s">
        <v>1700</v>
      </c>
      <c r="I1260" s="9" t="s">
        <v>2719</v>
      </c>
      <c r="J1260" s="9" t="s">
        <v>241</v>
      </c>
      <c r="K1260" s="10" t="str">
        <f>IFERROR(VLOOKUP(A1260,'Pedido ESTHER'!$B:$C,2,0),"")</f>
        <v/>
      </c>
      <c r="L1260" s="12" t="str">
        <f>IF(N(K1260)&gt;0,"COMPRA","NÃO COMPRA")</f>
        <v>NÃO COMPRA</v>
      </c>
    </row>
    <row r="1261" spans="1:12">
      <c r="A1261" s="8" t="s">
        <v>2720</v>
      </c>
      <c r="B1261" s="9" t="s">
        <v>474</v>
      </c>
      <c r="C1261" s="9" t="e">
        <f>VLOOKUP(A1261,[2]Planilha1!$A:$B,2,0)</f>
        <v>#N/A</v>
      </c>
      <c r="D1261" s="10">
        <f>SUMIF([1]Relatório!$A$2:$A$2653,A1261,[1]Relatório!$AK$2:$AK$2653)</f>
        <v>43</v>
      </c>
      <c r="E1261" s="11">
        <f t="shared" si="38"/>
        <v>7.35096767796607e-5</v>
      </c>
      <c r="F1261" s="11">
        <f>SUM($E$7:E1261)</f>
        <v>0.983998823845171</v>
      </c>
      <c r="G1261" s="12" t="str">
        <f t="shared" si="39"/>
        <v>C</v>
      </c>
      <c r="H1261" s="9" t="s">
        <v>183</v>
      </c>
      <c r="I1261" s="9"/>
      <c r="J1261" s="9" t="s">
        <v>201</v>
      </c>
      <c r="K1261" s="10" t="str">
        <f>IFERROR(VLOOKUP(A1261,'Pedido ESTHER'!$B:$C,2,0),"")</f>
        <v/>
      </c>
      <c r="L1261" s="12" t="str">
        <f>IF(N(K1261)&gt;0,"COMPRA","NÃO COMPRA")</f>
        <v>NÃO COMPRA</v>
      </c>
    </row>
    <row r="1262" spans="1:12">
      <c r="A1262" s="8" t="s">
        <v>2721</v>
      </c>
      <c r="B1262" s="9" t="s">
        <v>1005</v>
      </c>
      <c r="C1262" s="9" t="e">
        <f>VLOOKUP(A1262,[2]Planilha1!$A:$B,2,0)</f>
        <v>#N/A</v>
      </c>
      <c r="D1262" s="10">
        <f>SUMIF([1]Relatório!$A$2:$A$2653,A1262,[1]Relatório!$AK$2:$AK$2653)</f>
        <v>43</v>
      </c>
      <c r="E1262" s="11">
        <f t="shared" si="38"/>
        <v>7.35096767796607e-5</v>
      </c>
      <c r="F1262" s="11">
        <f>SUM($E$7:E1262)</f>
        <v>0.984072333521951</v>
      </c>
      <c r="G1262" s="12" t="str">
        <f t="shared" si="39"/>
        <v>C</v>
      </c>
      <c r="H1262" s="9" t="s">
        <v>586</v>
      </c>
      <c r="I1262" s="9" t="s">
        <v>2722</v>
      </c>
      <c r="J1262" s="9" t="s">
        <v>925</v>
      </c>
      <c r="K1262" s="10" t="str">
        <f>IFERROR(VLOOKUP(A1262,'Pedido ESTHER'!$B:$C,2,0),"")</f>
        <v/>
      </c>
      <c r="L1262" s="12" t="str">
        <f>IF(N(K1262)&gt;0,"COMPRA","NÃO COMPRA")</f>
        <v>NÃO COMPRA</v>
      </c>
    </row>
    <row r="1263" spans="1:12">
      <c r="A1263" s="8" t="s">
        <v>2723</v>
      </c>
      <c r="B1263" s="9" t="s">
        <v>2724</v>
      </c>
      <c r="C1263" s="9" t="e">
        <f>VLOOKUP(A1263,[2]Planilha1!$A:$B,2,0)</f>
        <v>#N/A</v>
      </c>
      <c r="D1263" s="10">
        <f>SUMIF([1]Relatório!$A$2:$A$2653,A1263,[1]Relatório!$AK$2:$AK$2653)</f>
        <v>43</v>
      </c>
      <c r="E1263" s="11">
        <f t="shared" si="38"/>
        <v>7.35096767796607e-5</v>
      </c>
      <c r="F1263" s="11">
        <f>SUM($E$7:E1263)</f>
        <v>0.984145843198731</v>
      </c>
      <c r="G1263" s="12" t="str">
        <f t="shared" si="39"/>
        <v>C</v>
      </c>
      <c r="H1263" s="9" t="s">
        <v>831</v>
      </c>
      <c r="I1263" s="9" t="s">
        <v>2725</v>
      </c>
      <c r="J1263" s="9" t="s">
        <v>671</v>
      </c>
      <c r="K1263" s="10" t="str">
        <f>IFERROR(VLOOKUP(A1263,'Pedido ESTHER'!$B:$C,2,0),"")</f>
        <v/>
      </c>
      <c r="L1263" s="12" t="str">
        <f>IF(N(K1263)&gt;0,"COMPRA","NÃO COMPRA")</f>
        <v>NÃO COMPRA</v>
      </c>
    </row>
    <row r="1264" spans="1:12">
      <c r="A1264" s="8" t="s">
        <v>2726</v>
      </c>
      <c r="B1264" s="9" t="s">
        <v>1604</v>
      </c>
      <c r="C1264" s="9" t="e">
        <f>VLOOKUP(A1264,[2]Planilha1!$A:$B,2,0)</f>
        <v>#N/A</v>
      </c>
      <c r="D1264" s="10">
        <f>SUMIF([1]Relatório!$A$2:$A$2653,A1264,[1]Relatório!$AK$2:$AK$2653)</f>
        <v>43</v>
      </c>
      <c r="E1264" s="11">
        <f t="shared" si="38"/>
        <v>7.35096767796607e-5</v>
      </c>
      <c r="F1264" s="11">
        <f>SUM($E$7:E1264)</f>
        <v>0.98421935287551</v>
      </c>
      <c r="G1264" s="12" t="str">
        <f t="shared" si="39"/>
        <v>C</v>
      </c>
      <c r="H1264" s="9" t="s">
        <v>1059</v>
      </c>
      <c r="I1264" s="9" t="s">
        <v>2727</v>
      </c>
      <c r="J1264" s="9" t="s">
        <v>44</v>
      </c>
      <c r="K1264" s="10" t="str">
        <f>IFERROR(VLOOKUP(A1264,'Pedido ESTHER'!$B:$C,2,0),"")</f>
        <v/>
      </c>
      <c r="L1264" s="12" t="str">
        <f>IF(N(K1264)&gt;0,"COMPRA","NÃO COMPRA")</f>
        <v>NÃO COMPRA</v>
      </c>
    </row>
    <row r="1265" spans="1:12">
      <c r="A1265" s="8" t="s">
        <v>2728</v>
      </c>
      <c r="B1265" s="9" t="s">
        <v>2455</v>
      </c>
      <c r="C1265" s="9" t="e">
        <f>VLOOKUP(A1265,[2]Planilha1!$A:$B,2,0)</f>
        <v>#N/A</v>
      </c>
      <c r="D1265" s="10">
        <f>SUMIF([1]Relatório!$A$2:$A$2653,A1265,[1]Relatório!$AK$2:$AK$2653)</f>
        <v>43</v>
      </c>
      <c r="E1265" s="11">
        <f t="shared" si="38"/>
        <v>7.35096767796607e-5</v>
      </c>
      <c r="F1265" s="11">
        <f>SUM($E$7:E1265)</f>
        <v>0.98429286255229</v>
      </c>
      <c r="G1265" s="12" t="str">
        <f t="shared" si="39"/>
        <v>C</v>
      </c>
      <c r="H1265" s="9" t="s">
        <v>2452</v>
      </c>
      <c r="I1265" s="9" t="s">
        <v>2729</v>
      </c>
      <c r="J1265" s="9" t="s">
        <v>44</v>
      </c>
      <c r="K1265" s="10" t="str">
        <f>IFERROR(VLOOKUP(A1265,'Pedido ESTHER'!$B:$C,2,0),"")</f>
        <v/>
      </c>
      <c r="L1265" s="12" t="str">
        <f>IF(N(K1265)&gt;0,"COMPRA","NÃO COMPRA")</f>
        <v>NÃO COMPRA</v>
      </c>
    </row>
    <row r="1266" spans="1:12">
      <c r="A1266" s="8" t="s">
        <v>2730</v>
      </c>
      <c r="B1266" s="9" t="s">
        <v>1917</v>
      </c>
      <c r="C1266" s="9" t="e">
        <f>VLOOKUP(A1266,[2]Planilha1!$A:$B,2,0)</f>
        <v>#N/A</v>
      </c>
      <c r="D1266" s="10">
        <f>SUMIF([1]Relatório!$A$2:$A$2653,A1266,[1]Relatório!$AK$2:$AK$2653)</f>
        <v>42</v>
      </c>
      <c r="E1266" s="11">
        <f t="shared" si="38"/>
        <v>7.18001494126919e-5</v>
      </c>
      <c r="F1266" s="11">
        <f>SUM($E$7:E1266)</f>
        <v>0.984364662701703</v>
      </c>
      <c r="G1266" s="12" t="str">
        <f t="shared" si="39"/>
        <v>C</v>
      </c>
      <c r="H1266" s="9" t="s">
        <v>1344</v>
      </c>
      <c r="I1266" s="9" t="s">
        <v>2731</v>
      </c>
      <c r="J1266" s="9" t="s">
        <v>40</v>
      </c>
      <c r="K1266" s="10" t="str">
        <f>IFERROR(VLOOKUP(A1266,'Pedido ESTHER'!$B:$C,2,0),"")</f>
        <v/>
      </c>
      <c r="L1266" s="12" t="str">
        <f>IF(N(K1266)&gt;0,"COMPRA","NÃO COMPRA")</f>
        <v>NÃO COMPRA</v>
      </c>
    </row>
    <row r="1267" spans="1:12">
      <c r="A1267" s="8" t="s">
        <v>2732</v>
      </c>
      <c r="B1267" s="9" t="s">
        <v>1781</v>
      </c>
      <c r="C1267" s="9" t="e">
        <f>VLOOKUP(A1267,[2]Planilha1!$A:$B,2,0)</f>
        <v>#N/A</v>
      </c>
      <c r="D1267" s="10">
        <f>SUMIF([1]Relatório!$A$2:$A$2653,A1267,[1]Relatório!$AK$2:$AK$2653)</f>
        <v>42</v>
      </c>
      <c r="E1267" s="11">
        <f t="shared" si="38"/>
        <v>7.18001494126919e-5</v>
      </c>
      <c r="F1267" s="11">
        <f>SUM($E$7:E1267)</f>
        <v>0.984436462851115</v>
      </c>
      <c r="G1267" s="12" t="str">
        <f t="shared" si="39"/>
        <v>C</v>
      </c>
      <c r="H1267" s="9" t="s">
        <v>1344</v>
      </c>
      <c r="I1267" s="9" t="s">
        <v>2733</v>
      </c>
      <c r="J1267" s="9" t="s">
        <v>201</v>
      </c>
      <c r="K1267" s="10" t="str">
        <f>IFERROR(VLOOKUP(A1267,'Pedido ESTHER'!$B:$C,2,0),"")</f>
        <v/>
      </c>
      <c r="L1267" s="12" t="str">
        <f>IF(N(K1267)&gt;0,"COMPRA","NÃO COMPRA")</f>
        <v>NÃO COMPRA</v>
      </c>
    </row>
    <row r="1268" spans="1:12">
      <c r="A1268" s="8" t="s">
        <v>2734</v>
      </c>
      <c r="B1268" s="9" t="s">
        <v>1796</v>
      </c>
      <c r="C1268" s="9" t="e">
        <f>VLOOKUP(A1268,[2]Planilha1!$A:$B,2,0)</f>
        <v>#N/A</v>
      </c>
      <c r="D1268" s="10">
        <f>SUMIF([1]Relatório!$A$2:$A$2653,A1268,[1]Relatório!$AK$2:$AK$2653)</f>
        <v>42</v>
      </c>
      <c r="E1268" s="11">
        <f t="shared" si="38"/>
        <v>7.18001494126919e-5</v>
      </c>
      <c r="F1268" s="11">
        <f>SUM($E$7:E1268)</f>
        <v>0.984508263000528</v>
      </c>
      <c r="G1268" s="12" t="str">
        <f t="shared" si="39"/>
        <v>C</v>
      </c>
      <c r="H1268" s="9" t="s">
        <v>1344</v>
      </c>
      <c r="I1268" s="9" t="s">
        <v>2735</v>
      </c>
      <c r="J1268" s="9" t="s">
        <v>201</v>
      </c>
      <c r="K1268" s="10" t="str">
        <f>IFERROR(VLOOKUP(A1268,'Pedido ESTHER'!$B:$C,2,0),"")</f>
        <v/>
      </c>
      <c r="L1268" s="12" t="str">
        <f>IF(N(K1268)&gt;0,"COMPRA","NÃO COMPRA")</f>
        <v>NÃO COMPRA</v>
      </c>
    </row>
    <row r="1269" spans="1:12">
      <c r="A1269" s="8" t="s">
        <v>2736</v>
      </c>
      <c r="B1269" s="9" t="s">
        <v>721</v>
      </c>
      <c r="C1269" s="9" t="e">
        <f>VLOOKUP(A1269,[2]Planilha1!$A:$B,2,0)</f>
        <v>#N/A</v>
      </c>
      <c r="D1269" s="10">
        <f>SUMIF([1]Relatório!$A$2:$A$2653,A1269,[1]Relatório!$AK$2:$AK$2653)</f>
        <v>42</v>
      </c>
      <c r="E1269" s="11">
        <f t="shared" si="38"/>
        <v>7.18001494126919e-5</v>
      </c>
      <c r="F1269" s="11">
        <f>SUM($E$7:E1269)</f>
        <v>0.984580063149941</v>
      </c>
      <c r="G1269" s="12" t="str">
        <f t="shared" si="39"/>
        <v>C</v>
      </c>
      <c r="H1269" s="9" t="s">
        <v>183</v>
      </c>
      <c r="I1269" s="9" t="s">
        <v>2737</v>
      </c>
      <c r="J1269" s="9" t="s">
        <v>158</v>
      </c>
      <c r="K1269" s="10" t="str">
        <f>IFERROR(VLOOKUP(A1269,'Pedido ESTHER'!$B:$C,2,0),"")</f>
        <v/>
      </c>
      <c r="L1269" s="12" t="str">
        <f>IF(N(K1269)&gt;0,"COMPRA","NÃO COMPRA")</f>
        <v>NÃO COMPRA</v>
      </c>
    </row>
    <row r="1270" spans="1:12">
      <c r="A1270" s="8" t="s">
        <v>2738</v>
      </c>
      <c r="B1270" s="9" t="s">
        <v>2425</v>
      </c>
      <c r="C1270" s="9" t="e">
        <f>VLOOKUP(A1270,[2]Planilha1!$A:$B,2,0)</f>
        <v>#N/A</v>
      </c>
      <c r="D1270" s="10">
        <f>SUMIF([1]Relatório!$A$2:$A$2653,A1270,[1]Relatório!$AK$2:$AK$2653)</f>
        <v>42</v>
      </c>
      <c r="E1270" s="11">
        <f t="shared" si="38"/>
        <v>7.18001494126919e-5</v>
      </c>
      <c r="F1270" s="11">
        <f>SUM($E$7:E1270)</f>
        <v>0.984651863299353</v>
      </c>
      <c r="G1270" s="12" t="str">
        <f t="shared" si="39"/>
        <v>C</v>
      </c>
      <c r="H1270" s="9" t="s">
        <v>1059</v>
      </c>
      <c r="I1270" s="9" t="s">
        <v>2739</v>
      </c>
      <c r="J1270" s="9" t="s">
        <v>1418</v>
      </c>
      <c r="K1270" s="10" t="str">
        <f>IFERROR(VLOOKUP(A1270,'Pedido ESTHER'!$B:$C,2,0),"")</f>
        <v/>
      </c>
      <c r="L1270" s="12" t="str">
        <f>IF(N(K1270)&gt;0,"COMPRA","NÃO COMPRA")</f>
        <v>NÃO COMPRA</v>
      </c>
    </row>
    <row r="1271" spans="1:12">
      <c r="A1271" s="8" t="s">
        <v>2740</v>
      </c>
      <c r="B1271" s="9" t="s">
        <v>2741</v>
      </c>
      <c r="C1271" s="9" t="e">
        <f>VLOOKUP(A1271,[2]Planilha1!$A:$B,2,0)</f>
        <v>#N/A</v>
      </c>
      <c r="D1271" s="10">
        <f>SUMIF([1]Relatório!$A$2:$A$2653,A1271,[1]Relatório!$AK$2:$AK$2653)</f>
        <v>42</v>
      </c>
      <c r="E1271" s="11">
        <f t="shared" si="38"/>
        <v>7.18001494126919e-5</v>
      </c>
      <c r="F1271" s="11">
        <f>SUM($E$7:E1271)</f>
        <v>0.984723663448766</v>
      </c>
      <c r="G1271" s="12" t="str">
        <f t="shared" si="39"/>
        <v>C</v>
      </c>
      <c r="H1271" s="9" t="s">
        <v>831</v>
      </c>
      <c r="I1271" s="9" t="s">
        <v>2742</v>
      </c>
      <c r="J1271" s="9" t="s">
        <v>1496</v>
      </c>
      <c r="K1271" s="10" t="str">
        <f>IFERROR(VLOOKUP(A1271,'Pedido ESTHER'!$B:$C,2,0),"")</f>
        <v/>
      </c>
      <c r="L1271" s="12" t="str">
        <f>IF(N(K1271)&gt;0,"COMPRA","NÃO COMPRA")</f>
        <v>NÃO COMPRA</v>
      </c>
    </row>
    <row r="1272" spans="1:12">
      <c r="A1272" s="8" t="s">
        <v>2743</v>
      </c>
      <c r="B1272" s="9" t="s">
        <v>2744</v>
      </c>
      <c r="C1272" s="9" t="e">
        <f>VLOOKUP(A1272,[2]Planilha1!$A:$B,2,0)</f>
        <v>#N/A</v>
      </c>
      <c r="D1272" s="10">
        <f>SUMIF([1]Relatório!$A$2:$A$2653,A1272,[1]Relatório!$AK$2:$AK$2653)</f>
        <v>42</v>
      </c>
      <c r="E1272" s="11">
        <f t="shared" si="38"/>
        <v>7.18001494126919e-5</v>
      </c>
      <c r="F1272" s="11">
        <f>SUM($E$7:E1272)</f>
        <v>0.984795463598179</v>
      </c>
      <c r="G1272" s="12" t="str">
        <f t="shared" si="39"/>
        <v>C</v>
      </c>
      <c r="H1272" s="9" t="s">
        <v>14</v>
      </c>
      <c r="I1272" s="9" t="s">
        <v>2745</v>
      </c>
      <c r="J1272" s="9" t="s">
        <v>359</v>
      </c>
      <c r="K1272" s="10" t="str">
        <f>IFERROR(VLOOKUP(A1272,'Pedido ESTHER'!$B:$C,2,0),"")</f>
        <v/>
      </c>
      <c r="L1272" s="12" t="str">
        <f>IF(N(K1272)&gt;0,"COMPRA","NÃO COMPRA")</f>
        <v>NÃO COMPRA</v>
      </c>
    </row>
    <row r="1273" spans="1:12">
      <c r="A1273" s="8" t="s">
        <v>2746</v>
      </c>
      <c r="B1273" s="9" t="s">
        <v>2747</v>
      </c>
      <c r="C1273" s="9" t="e">
        <f>VLOOKUP(A1273,[2]Planilha1!$A:$B,2,0)</f>
        <v>#N/A</v>
      </c>
      <c r="D1273" s="10">
        <f>SUMIF([1]Relatório!$A$2:$A$2653,A1273,[1]Relatório!$AK$2:$AK$2653)</f>
        <v>41</v>
      </c>
      <c r="E1273" s="11">
        <f t="shared" si="38"/>
        <v>7.0090622045723e-5</v>
      </c>
      <c r="F1273" s="11">
        <f>SUM($E$7:E1273)</f>
        <v>0.984865554220224</v>
      </c>
      <c r="G1273" s="12" t="str">
        <f t="shared" si="39"/>
        <v>C</v>
      </c>
      <c r="H1273" s="9" t="s">
        <v>1344</v>
      </c>
      <c r="I1273" s="9" t="s">
        <v>2748</v>
      </c>
      <c r="J1273" s="9" t="s">
        <v>1180</v>
      </c>
      <c r="K1273" s="10" t="str">
        <f>IFERROR(VLOOKUP(A1273,'Pedido ESTHER'!$B:$C,2,0),"")</f>
        <v/>
      </c>
      <c r="L1273" s="12" t="str">
        <f>IF(N(K1273)&gt;0,"COMPRA","NÃO COMPRA")</f>
        <v>NÃO COMPRA</v>
      </c>
    </row>
    <row r="1274" spans="1:12">
      <c r="A1274" s="8" t="s">
        <v>2749</v>
      </c>
      <c r="B1274" s="9" t="s">
        <v>1917</v>
      </c>
      <c r="C1274" s="9" t="e">
        <f>VLOOKUP(A1274,[2]Planilha1!$A:$B,2,0)</f>
        <v>#N/A</v>
      </c>
      <c r="D1274" s="10">
        <f>SUMIF([1]Relatório!$A$2:$A$2653,A1274,[1]Relatório!$AK$2:$AK$2653)</f>
        <v>41</v>
      </c>
      <c r="E1274" s="11">
        <f t="shared" si="38"/>
        <v>7.0090622045723e-5</v>
      </c>
      <c r="F1274" s="11">
        <f>SUM($E$7:E1274)</f>
        <v>0.98493564484227</v>
      </c>
      <c r="G1274" s="12" t="str">
        <f t="shared" si="39"/>
        <v>C</v>
      </c>
      <c r="H1274" s="9" t="s">
        <v>1344</v>
      </c>
      <c r="I1274" s="9" t="s">
        <v>2750</v>
      </c>
      <c r="J1274" s="9" t="s">
        <v>40</v>
      </c>
      <c r="K1274" s="10">
        <f>IFERROR(VLOOKUP(A1274,'Pedido ESTHER'!$B:$C,2,0),"")</f>
        <v>3</v>
      </c>
      <c r="L1274" s="12" t="str">
        <f>IF(N(K1274)&gt;0,"COMPRA","NÃO COMPRA")</f>
        <v>COMPRA</v>
      </c>
    </row>
    <row r="1275" spans="1:12">
      <c r="A1275" s="8" t="s">
        <v>2751</v>
      </c>
      <c r="B1275" s="9" t="s">
        <v>2752</v>
      </c>
      <c r="C1275" s="9" t="e">
        <f>VLOOKUP(A1275,[2]Planilha1!$A:$B,2,0)</f>
        <v>#N/A</v>
      </c>
      <c r="D1275" s="10">
        <f>SUMIF([1]Relatório!$A$2:$A$2653,A1275,[1]Relatório!$AK$2:$AK$2653)</f>
        <v>41</v>
      </c>
      <c r="E1275" s="11">
        <f t="shared" si="38"/>
        <v>7.0090622045723e-5</v>
      </c>
      <c r="F1275" s="11">
        <f>SUM($E$7:E1275)</f>
        <v>0.985005735464316</v>
      </c>
      <c r="G1275" s="12" t="str">
        <f t="shared" si="39"/>
        <v>C</v>
      </c>
      <c r="H1275" s="9" t="s">
        <v>1344</v>
      </c>
      <c r="I1275" s="9"/>
      <c r="J1275" s="9" t="s">
        <v>1418</v>
      </c>
      <c r="K1275" s="10" t="str">
        <f>IFERROR(VLOOKUP(A1275,'Pedido ESTHER'!$B:$C,2,0),"")</f>
        <v/>
      </c>
      <c r="L1275" s="12" t="str">
        <f>IF(N(K1275)&gt;0,"COMPRA","NÃO COMPRA")</f>
        <v>NÃO COMPRA</v>
      </c>
    </row>
    <row r="1276" spans="1:12">
      <c r="A1276" s="8" t="s">
        <v>2753</v>
      </c>
      <c r="B1276" s="9" t="s">
        <v>1956</v>
      </c>
      <c r="C1276" s="9" t="e">
        <f>VLOOKUP(A1276,[2]Planilha1!$A:$B,2,0)</f>
        <v>#N/A</v>
      </c>
      <c r="D1276" s="10">
        <f>SUMIF([1]Relatório!$A$2:$A$2653,A1276,[1]Relatório!$AK$2:$AK$2653)</f>
        <v>41</v>
      </c>
      <c r="E1276" s="11">
        <f t="shared" si="38"/>
        <v>7.0090622045723e-5</v>
      </c>
      <c r="F1276" s="11">
        <f>SUM($E$7:E1276)</f>
        <v>0.985075826086362</v>
      </c>
      <c r="G1276" s="12" t="str">
        <f t="shared" si="39"/>
        <v>C</v>
      </c>
      <c r="H1276" s="9" t="s">
        <v>183</v>
      </c>
      <c r="I1276" s="9" t="s">
        <v>2754</v>
      </c>
      <c r="J1276" s="9" t="s">
        <v>390</v>
      </c>
      <c r="K1276" s="10" t="str">
        <f>IFERROR(VLOOKUP(A1276,'Pedido ESTHER'!$B:$C,2,0),"")</f>
        <v/>
      </c>
      <c r="L1276" s="12" t="str">
        <f>IF(N(K1276)&gt;0,"COMPRA","NÃO COMPRA")</f>
        <v>NÃO COMPRA</v>
      </c>
    </row>
    <row r="1277" spans="1:12">
      <c r="A1277" s="8" t="s">
        <v>2755</v>
      </c>
      <c r="B1277" s="9" t="s">
        <v>469</v>
      </c>
      <c r="C1277" s="9" t="e">
        <f>VLOOKUP(A1277,[2]Planilha1!$A:$B,2,0)</f>
        <v>#N/A</v>
      </c>
      <c r="D1277" s="10">
        <f>SUMIF([1]Relatório!$A$2:$A$2653,A1277,[1]Relatório!$AK$2:$AK$2653)</f>
        <v>41</v>
      </c>
      <c r="E1277" s="11">
        <f t="shared" si="38"/>
        <v>7.0090622045723e-5</v>
      </c>
      <c r="F1277" s="11">
        <f>SUM($E$7:E1277)</f>
        <v>0.985145916708408</v>
      </c>
      <c r="G1277" s="12" t="str">
        <f t="shared" si="39"/>
        <v>C</v>
      </c>
      <c r="H1277" s="9" t="s">
        <v>183</v>
      </c>
      <c r="I1277" s="9" t="s">
        <v>2756</v>
      </c>
      <c r="J1277" s="9" t="s">
        <v>23</v>
      </c>
      <c r="K1277" s="10" t="str">
        <f>IFERROR(VLOOKUP(A1277,'Pedido ESTHER'!$B:$C,2,0),"")</f>
        <v/>
      </c>
      <c r="L1277" s="12" t="str">
        <f>IF(N(K1277)&gt;0,"COMPRA","NÃO COMPRA")</f>
        <v>NÃO COMPRA</v>
      </c>
    </row>
    <row r="1278" spans="1:12">
      <c r="A1278" s="8" t="s">
        <v>2757</v>
      </c>
      <c r="B1278" s="9" t="s">
        <v>363</v>
      </c>
      <c r="C1278" s="9" t="e">
        <f>VLOOKUP(A1278,[2]Planilha1!$A:$B,2,0)</f>
        <v>#N/A</v>
      </c>
      <c r="D1278" s="10">
        <f>SUMIF([1]Relatório!$A$2:$A$2653,A1278,[1]Relatório!$AK$2:$AK$2653)</f>
        <v>41</v>
      </c>
      <c r="E1278" s="11">
        <f t="shared" si="38"/>
        <v>7.0090622045723e-5</v>
      </c>
      <c r="F1278" s="11">
        <f>SUM($E$7:E1278)</f>
        <v>0.985216007330453</v>
      </c>
      <c r="G1278" s="12" t="str">
        <f t="shared" si="39"/>
        <v>C</v>
      </c>
      <c r="H1278" s="9" t="s">
        <v>183</v>
      </c>
      <c r="I1278" s="9" t="s">
        <v>2758</v>
      </c>
      <c r="J1278" s="9" t="s">
        <v>40</v>
      </c>
      <c r="K1278" s="10" t="str">
        <f>IFERROR(VLOOKUP(A1278,'Pedido ESTHER'!$B:$C,2,0),"")</f>
        <v/>
      </c>
      <c r="L1278" s="12" t="str">
        <f>IF(N(K1278)&gt;0,"COMPRA","NÃO COMPRA")</f>
        <v>NÃO COMPRA</v>
      </c>
    </row>
    <row r="1279" spans="1:12">
      <c r="A1279" s="8" t="s">
        <v>2759</v>
      </c>
      <c r="B1279" s="9" t="s">
        <v>469</v>
      </c>
      <c r="C1279" s="9" t="e">
        <f>VLOOKUP(A1279,[2]Planilha1!$A:$B,2,0)</f>
        <v>#N/A</v>
      </c>
      <c r="D1279" s="10">
        <f>SUMIF([1]Relatório!$A$2:$A$2653,A1279,[1]Relatório!$AK$2:$AK$2653)</f>
        <v>41</v>
      </c>
      <c r="E1279" s="11">
        <f t="shared" si="38"/>
        <v>7.0090622045723e-5</v>
      </c>
      <c r="F1279" s="11">
        <f>SUM($E$7:E1279)</f>
        <v>0.985286097952499</v>
      </c>
      <c r="G1279" s="12" t="str">
        <f t="shared" si="39"/>
        <v>C</v>
      </c>
      <c r="H1279" s="9" t="s">
        <v>183</v>
      </c>
      <c r="I1279" s="9" t="s">
        <v>2760</v>
      </c>
      <c r="J1279" s="9" t="s">
        <v>23</v>
      </c>
      <c r="K1279" s="10" t="str">
        <f>IFERROR(VLOOKUP(A1279,'Pedido ESTHER'!$B:$C,2,0),"")</f>
        <v/>
      </c>
      <c r="L1279" s="12" t="str">
        <f>IF(N(K1279)&gt;0,"COMPRA","NÃO COMPRA")</f>
        <v>NÃO COMPRA</v>
      </c>
    </row>
    <row r="1280" spans="1:12">
      <c r="A1280" s="8" t="s">
        <v>2761</v>
      </c>
      <c r="B1280" s="9" t="s">
        <v>749</v>
      </c>
      <c r="C1280" s="9" t="e">
        <f>VLOOKUP(A1280,[2]Planilha1!$A:$B,2,0)</f>
        <v>#N/A</v>
      </c>
      <c r="D1280" s="10">
        <f>SUMIF([1]Relatório!$A$2:$A$2653,A1280,[1]Relatório!$AK$2:$AK$2653)</f>
        <v>41</v>
      </c>
      <c r="E1280" s="11">
        <f t="shared" si="38"/>
        <v>7.0090622045723e-5</v>
      </c>
      <c r="F1280" s="11">
        <f>SUM($E$7:E1280)</f>
        <v>0.985356188574545</v>
      </c>
      <c r="G1280" s="12" t="str">
        <f t="shared" si="39"/>
        <v>C</v>
      </c>
      <c r="H1280" s="9" t="s">
        <v>183</v>
      </c>
      <c r="I1280" s="9"/>
      <c r="J1280" s="9" t="s">
        <v>359</v>
      </c>
      <c r="K1280" s="10" t="str">
        <f>IFERROR(VLOOKUP(A1280,'Pedido ESTHER'!$B:$C,2,0),"")</f>
        <v/>
      </c>
      <c r="L1280" s="12" t="str">
        <f>IF(N(K1280)&gt;0,"COMPRA","NÃO COMPRA")</f>
        <v>NÃO COMPRA</v>
      </c>
    </row>
    <row r="1281" spans="1:12">
      <c r="A1281" s="8" t="s">
        <v>2762</v>
      </c>
      <c r="B1281" s="9" t="s">
        <v>944</v>
      </c>
      <c r="C1281" s="9" t="e">
        <f>VLOOKUP(A1281,[2]Planilha1!$A:$B,2,0)</f>
        <v>#N/A</v>
      </c>
      <c r="D1281" s="10">
        <f>SUMIF([1]Relatório!$A$2:$A$2653,A1281,[1]Relatório!$AK$2:$AK$2653)</f>
        <v>41</v>
      </c>
      <c r="E1281" s="11">
        <f t="shared" si="38"/>
        <v>7.0090622045723e-5</v>
      </c>
      <c r="F1281" s="11">
        <f>SUM($E$7:E1281)</f>
        <v>0.985426279196591</v>
      </c>
      <c r="G1281" s="12" t="str">
        <f t="shared" si="39"/>
        <v>C</v>
      </c>
      <c r="H1281" s="9" t="s">
        <v>82</v>
      </c>
      <c r="I1281" s="9" t="s">
        <v>2763</v>
      </c>
      <c r="J1281" s="9" t="s">
        <v>201</v>
      </c>
      <c r="K1281" s="10" t="str">
        <f>IFERROR(VLOOKUP(A1281,'Pedido ESTHER'!$B:$C,2,0),"")</f>
        <v/>
      </c>
      <c r="L1281" s="12" t="str">
        <f>IF(N(K1281)&gt;0,"COMPRA","NÃO COMPRA")</f>
        <v>NÃO COMPRA</v>
      </c>
    </row>
    <row r="1282" spans="1:12">
      <c r="A1282" s="8" t="s">
        <v>2764</v>
      </c>
      <c r="B1282" s="9" t="s">
        <v>2085</v>
      </c>
      <c r="C1282" s="9" t="e">
        <f>VLOOKUP(A1282,[2]Planilha1!$A:$B,2,0)</f>
        <v>#N/A</v>
      </c>
      <c r="D1282" s="10">
        <f>SUMIF([1]Relatório!$A$2:$A$2653,A1282,[1]Relatório!$AK$2:$AK$2653)</f>
        <v>40</v>
      </c>
      <c r="E1282" s="11">
        <f t="shared" si="38"/>
        <v>6.83810946787542e-5</v>
      </c>
      <c r="F1282" s="11">
        <f>SUM($E$7:E1282)</f>
        <v>0.985494660291269</v>
      </c>
      <c r="G1282" s="12" t="str">
        <f t="shared" si="39"/>
        <v>C</v>
      </c>
      <c r="H1282" s="9" t="s">
        <v>2406</v>
      </c>
      <c r="I1282" s="9" t="s">
        <v>2765</v>
      </c>
      <c r="J1282" s="9" t="s">
        <v>44</v>
      </c>
      <c r="K1282" s="10" t="str">
        <f>IFERROR(VLOOKUP(A1282,'Pedido ESTHER'!$B:$C,2,0),"")</f>
        <v/>
      </c>
      <c r="L1282" s="12" t="str">
        <f>IF(N(K1282)&gt;0,"COMPRA","NÃO COMPRA")</f>
        <v>NÃO COMPRA</v>
      </c>
    </row>
    <row r="1283" spans="1:12">
      <c r="A1283" s="8" t="s">
        <v>2766</v>
      </c>
      <c r="B1283" s="9" t="s">
        <v>2767</v>
      </c>
      <c r="C1283" s="9" t="e">
        <f>VLOOKUP(A1283,[2]Planilha1!$A:$B,2,0)</f>
        <v>#N/A</v>
      </c>
      <c r="D1283" s="10">
        <f>SUMIF([1]Relatório!$A$2:$A$2653,A1283,[1]Relatório!$AK$2:$AK$2653)</f>
        <v>40</v>
      </c>
      <c r="E1283" s="11">
        <f t="shared" si="38"/>
        <v>6.83810946787542e-5</v>
      </c>
      <c r="F1283" s="11">
        <f>SUM($E$7:E1283)</f>
        <v>0.985563041385948</v>
      </c>
      <c r="G1283" s="12" t="str">
        <f t="shared" si="39"/>
        <v>C</v>
      </c>
      <c r="H1283" s="9" t="s">
        <v>1937</v>
      </c>
      <c r="I1283" s="9" t="s">
        <v>2768</v>
      </c>
      <c r="J1283" s="9" t="s">
        <v>359</v>
      </c>
      <c r="K1283" s="10" t="str">
        <f>IFERROR(VLOOKUP(A1283,'Pedido ESTHER'!$B:$C,2,0),"")</f>
        <v/>
      </c>
      <c r="L1283" s="12" t="str">
        <f>IF(N(K1283)&gt;0,"COMPRA","NÃO COMPRA")</f>
        <v>NÃO COMPRA</v>
      </c>
    </row>
    <row r="1284" spans="1:12">
      <c r="A1284" s="8" t="s">
        <v>2769</v>
      </c>
      <c r="B1284" s="9" t="s">
        <v>2605</v>
      </c>
      <c r="C1284" s="9" t="e">
        <f>VLOOKUP(A1284,[2]Planilha1!$A:$B,2,0)</f>
        <v>#N/A</v>
      </c>
      <c r="D1284" s="10">
        <f>SUMIF([1]Relatório!$A$2:$A$2653,A1284,[1]Relatório!$AK$2:$AK$2653)</f>
        <v>40</v>
      </c>
      <c r="E1284" s="11">
        <f t="shared" si="38"/>
        <v>6.83810946787542e-5</v>
      </c>
      <c r="F1284" s="11">
        <f>SUM($E$7:E1284)</f>
        <v>0.985631422480627</v>
      </c>
      <c r="G1284" s="12" t="str">
        <f t="shared" si="39"/>
        <v>C</v>
      </c>
      <c r="H1284" s="9" t="s">
        <v>1344</v>
      </c>
      <c r="I1284" s="9" t="s">
        <v>2770</v>
      </c>
      <c r="J1284" s="9" t="s">
        <v>64</v>
      </c>
      <c r="K1284" s="10" t="str">
        <f>IFERROR(VLOOKUP(A1284,'Pedido ESTHER'!$B:$C,2,0),"")</f>
        <v/>
      </c>
      <c r="L1284" s="12" t="str">
        <f>IF(N(K1284)&gt;0,"COMPRA","NÃO COMPRA")</f>
        <v>NÃO COMPRA</v>
      </c>
    </row>
    <row r="1285" spans="1:12">
      <c r="A1285" s="8" t="s">
        <v>2771</v>
      </c>
      <c r="B1285" s="9" t="s">
        <v>2772</v>
      </c>
      <c r="C1285" s="9" t="e">
        <f>VLOOKUP(A1285,[2]Planilha1!$A:$B,2,0)</f>
        <v>#N/A</v>
      </c>
      <c r="D1285" s="10">
        <f>SUMIF([1]Relatório!$A$2:$A$2653,A1285,[1]Relatório!$AK$2:$AK$2653)</f>
        <v>40</v>
      </c>
      <c r="E1285" s="11">
        <f t="shared" si="38"/>
        <v>6.83810946787542e-5</v>
      </c>
      <c r="F1285" s="11">
        <f>SUM($E$7:E1285)</f>
        <v>0.985699803575306</v>
      </c>
      <c r="G1285" s="12" t="str">
        <f t="shared" si="39"/>
        <v>C</v>
      </c>
      <c r="H1285" s="9" t="s">
        <v>1344</v>
      </c>
      <c r="I1285" s="9" t="s">
        <v>2773</v>
      </c>
      <c r="J1285" s="9" t="s">
        <v>101</v>
      </c>
      <c r="K1285" s="10" t="str">
        <f>IFERROR(VLOOKUP(A1285,'Pedido ESTHER'!$B:$C,2,0),"")</f>
        <v/>
      </c>
      <c r="L1285" s="12" t="str">
        <f>IF(N(K1285)&gt;0,"COMPRA","NÃO COMPRA")</f>
        <v>NÃO COMPRA</v>
      </c>
    </row>
    <row r="1286" spans="1:12">
      <c r="A1286" s="8" t="s">
        <v>2774</v>
      </c>
      <c r="B1286" s="9" t="s">
        <v>2330</v>
      </c>
      <c r="C1286" s="9" t="e">
        <f>VLOOKUP(A1286,[2]Planilha1!$A:$B,2,0)</f>
        <v>#N/A</v>
      </c>
      <c r="D1286" s="10">
        <f>SUMIF([1]Relatório!$A$2:$A$2653,A1286,[1]Relatório!$AK$2:$AK$2653)</f>
        <v>40</v>
      </c>
      <c r="E1286" s="11">
        <f t="shared" si="38"/>
        <v>6.83810946787542e-5</v>
      </c>
      <c r="F1286" s="11">
        <f>SUM($E$7:E1286)</f>
        <v>0.985768184669985</v>
      </c>
      <c r="G1286" s="12" t="str">
        <f t="shared" si="39"/>
        <v>C</v>
      </c>
      <c r="H1286" s="9" t="s">
        <v>1344</v>
      </c>
      <c r="I1286" s="9" t="s">
        <v>2775</v>
      </c>
      <c r="J1286" s="9" t="s">
        <v>36</v>
      </c>
      <c r="K1286" s="10" t="str">
        <f>IFERROR(VLOOKUP(A1286,'Pedido ESTHER'!$B:$C,2,0),"")</f>
        <v/>
      </c>
      <c r="L1286" s="12" t="str">
        <f>IF(N(K1286)&gt;0,"COMPRA","NÃO COMPRA")</f>
        <v>NÃO COMPRA</v>
      </c>
    </row>
    <row r="1287" spans="1:12">
      <c r="A1287" s="8" t="s">
        <v>2776</v>
      </c>
      <c r="B1287" s="9" t="s">
        <v>2777</v>
      </c>
      <c r="C1287" s="9" t="e">
        <f>VLOOKUP(A1287,[2]Planilha1!$A:$B,2,0)</f>
        <v>#N/A</v>
      </c>
      <c r="D1287" s="10">
        <f>SUMIF([1]Relatório!$A$2:$A$2653,A1287,[1]Relatório!$AK$2:$AK$2653)</f>
        <v>40</v>
      </c>
      <c r="E1287" s="11">
        <f t="shared" si="38"/>
        <v>6.83810946787542e-5</v>
      </c>
      <c r="F1287" s="11">
        <f>SUM($E$7:E1287)</f>
        <v>0.985836565764663</v>
      </c>
      <c r="G1287" s="12" t="str">
        <f t="shared" si="39"/>
        <v>C</v>
      </c>
      <c r="H1287" s="9" t="s">
        <v>143</v>
      </c>
      <c r="I1287" s="9" t="s">
        <v>2778</v>
      </c>
      <c r="J1287" s="9" t="s">
        <v>916</v>
      </c>
      <c r="K1287" s="10" t="str">
        <f>IFERROR(VLOOKUP(A1287,'Pedido ESTHER'!$B:$C,2,0),"")</f>
        <v/>
      </c>
      <c r="L1287" s="12" t="str">
        <f>IF(N(K1287)&gt;0,"COMPRA","NÃO COMPRA")</f>
        <v>NÃO COMPRA</v>
      </c>
    </row>
    <row r="1288" spans="1:12">
      <c r="A1288" s="8" t="s">
        <v>2779</v>
      </c>
      <c r="B1288" s="9" t="s">
        <v>827</v>
      </c>
      <c r="C1288" s="9" t="e">
        <f>VLOOKUP(A1288,[2]Planilha1!$A:$B,2,0)</f>
        <v>#N/A</v>
      </c>
      <c r="D1288" s="10">
        <f>SUMIF([1]Relatório!$A$2:$A$2653,A1288,[1]Relatório!$AK$2:$AK$2653)</f>
        <v>40</v>
      </c>
      <c r="E1288" s="11">
        <f t="shared" ref="E1288:E1351" si="40">D1288/SUM($D$7:$D$1708)</f>
        <v>6.83810946787542e-5</v>
      </c>
      <c r="F1288" s="11">
        <f>SUM($E$7:E1288)</f>
        <v>0.985904946859342</v>
      </c>
      <c r="G1288" s="12" t="str">
        <f t="shared" ref="G1288:G1351" si="41">IF(F1288&lt;=70%,"A",IF(F1288&lt;=90%,"B","C"))</f>
        <v>C</v>
      </c>
      <c r="H1288" s="9" t="s">
        <v>183</v>
      </c>
      <c r="I1288" s="9" t="s">
        <v>2780</v>
      </c>
      <c r="J1288" s="9" t="s">
        <v>36</v>
      </c>
      <c r="K1288" s="10" t="str">
        <f>IFERROR(VLOOKUP(A1288,'Pedido ESTHER'!$B:$C,2,0),"")</f>
        <v/>
      </c>
      <c r="L1288" s="12" t="str">
        <f>IF(N(K1288)&gt;0,"COMPRA","NÃO COMPRA")</f>
        <v>NÃO COMPRA</v>
      </c>
    </row>
    <row r="1289" spans="1:12">
      <c r="A1289" s="8" t="s">
        <v>2781</v>
      </c>
      <c r="B1289" s="9" t="s">
        <v>2123</v>
      </c>
      <c r="C1289" s="9" t="e">
        <f>VLOOKUP(A1289,[2]Planilha1!$A:$B,2,0)</f>
        <v>#N/A</v>
      </c>
      <c r="D1289" s="10">
        <f>SUMIF([1]Relatório!$A$2:$A$2653,A1289,[1]Relatório!$AK$2:$AK$2653)</f>
        <v>40</v>
      </c>
      <c r="E1289" s="11">
        <f t="shared" si="40"/>
        <v>6.83810946787542e-5</v>
      </c>
      <c r="F1289" s="11">
        <f>SUM($E$7:E1289)</f>
        <v>0.985973327954021</v>
      </c>
      <c r="G1289" s="12" t="str">
        <f t="shared" si="41"/>
        <v>C</v>
      </c>
      <c r="H1289" s="9" t="s">
        <v>183</v>
      </c>
      <c r="I1289" s="9" t="s">
        <v>2782</v>
      </c>
      <c r="J1289" s="9" t="s">
        <v>2506</v>
      </c>
      <c r="K1289" s="10" t="str">
        <f>IFERROR(VLOOKUP(A1289,'Pedido ESTHER'!$B:$C,2,0),"")</f>
        <v/>
      </c>
      <c r="L1289" s="12" t="str">
        <f>IF(N(K1289)&gt;0,"COMPRA","NÃO COMPRA")</f>
        <v>NÃO COMPRA</v>
      </c>
    </row>
    <row r="1290" spans="1:12">
      <c r="A1290" s="8" t="s">
        <v>2783</v>
      </c>
      <c r="B1290" s="9" t="s">
        <v>2718</v>
      </c>
      <c r="C1290" s="9" t="e">
        <f>VLOOKUP(A1290,[2]Planilha1!$A:$B,2,0)</f>
        <v>#N/A</v>
      </c>
      <c r="D1290" s="10">
        <f>SUMIF([1]Relatório!$A$2:$A$2653,A1290,[1]Relatório!$AK$2:$AK$2653)</f>
        <v>40</v>
      </c>
      <c r="E1290" s="11">
        <f t="shared" si="40"/>
        <v>6.83810946787542e-5</v>
      </c>
      <c r="F1290" s="11">
        <f>SUM($E$7:E1290)</f>
        <v>0.9860417090487</v>
      </c>
      <c r="G1290" s="12" t="str">
        <f t="shared" si="41"/>
        <v>C</v>
      </c>
      <c r="H1290" s="9" t="s">
        <v>1700</v>
      </c>
      <c r="I1290" s="9" t="s">
        <v>2784</v>
      </c>
      <c r="J1290" s="9" t="s">
        <v>241</v>
      </c>
      <c r="K1290" s="10" t="str">
        <f>IFERROR(VLOOKUP(A1290,'Pedido ESTHER'!$B:$C,2,0),"")</f>
        <v/>
      </c>
      <c r="L1290" s="12" t="str">
        <f>IF(N(K1290)&gt;0,"COMPRA","NÃO COMPRA")</f>
        <v>NÃO COMPRA</v>
      </c>
    </row>
    <row r="1291" spans="1:12">
      <c r="A1291" s="8" t="s">
        <v>2785</v>
      </c>
      <c r="B1291" s="9" t="s">
        <v>676</v>
      </c>
      <c r="C1291" s="9" t="e">
        <f>VLOOKUP(A1291,[2]Planilha1!$A:$B,2,0)</f>
        <v>#N/A</v>
      </c>
      <c r="D1291" s="10">
        <f>SUMIF([1]Relatório!$A$2:$A$2653,A1291,[1]Relatório!$AK$2:$AK$2653)</f>
        <v>40</v>
      </c>
      <c r="E1291" s="11">
        <f t="shared" si="40"/>
        <v>6.83810946787542e-5</v>
      </c>
      <c r="F1291" s="11">
        <f>SUM($E$7:E1291)</f>
        <v>0.986110090143378</v>
      </c>
      <c r="G1291" s="12" t="str">
        <f t="shared" si="41"/>
        <v>C</v>
      </c>
      <c r="H1291" s="9" t="s">
        <v>831</v>
      </c>
      <c r="I1291" s="9" t="s">
        <v>2786</v>
      </c>
      <c r="J1291" s="9" t="s">
        <v>36</v>
      </c>
      <c r="K1291" s="10" t="str">
        <f>IFERROR(VLOOKUP(A1291,'Pedido ESTHER'!$B:$C,2,0),"")</f>
        <v/>
      </c>
      <c r="L1291" s="12" t="str">
        <f>IF(N(K1291)&gt;0,"COMPRA","NÃO COMPRA")</f>
        <v>NÃO COMPRA</v>
      </c>
    </row>
    <row r="1292" spans="1:12">
      <c r="A1292" s="8" t="s">
        <v>2787</v>
      </c>
      <c r="B1292" s="9" t="s">
        <v>250</v>
      </c>
      <c r="C1292" s="9" t="e">
        <f>VLOOKUP(A1292,[2]Planilha1!$A:$B,2,0)</f>
        <v>#N/A</v>
      </c>
      <c r="D1292" s="10">
        <f>SUMIF([1]Relatório!$A$2:$A$2653,A1292,[1]Relatório!$AK$2:$AK$2653)</f>
        <v>40</v>
      </c>
      <c r="E1292" s="11">
        <f t="shared" si="40"/>
        <v>6.83810946787542e-5</v>
      </c>
      <c r="F1292" s="11">
        <f>SUM($E$7:E1292)</f>
        <v>0.986178471238057</v>
      </c>
      <c r="G1292" s="12" t="str">
        <f t="shared" si="41"/>
        <v>C</v>
      </c>
      <c r="H1292" s="9" t="s">
        <v>74</v>
      </c>
      <c r="I1292" s="9" t="s">
        <v>2788</v>
      </c>
      <c r="J1292" s="9" t="s">
        <v>40</v>
      </c>
      <c r="K1292" s="10" t="str">
        <f>IFERROR(VLOOKUP(A1292,'Pedido ESTHER'!$B:$C,2,0),"")</f>
        <v/>
      </c>
      <c r="L1292" s="12" t="str">
        <f>IF(N(K1292)&gt;0,"COMPRA","NÃO COMPRA")</f>
        <v>NÃO COMPRA</v>
      </c>
    </row>
    <row r="1293" spans="1:12">
      <c r="A1293" s="8" t="s">
        <v>2789</v>
      </c>
      <c r="B1293" s="9" t="s">
        <v>2330</v>
      </c>
      <c r="C1293" s="9" t="e">
        <f>VLOOKUP(A1293,[2]Planilha1!$A:$B,2,0)</f>
        <v>#N/A</v>
      </c>
      <c r="D1293" s="10">
        <f>SUMIF([1]Relatório!$A$2:$A$2653,A1293,[1]Relatório!$AK$2:$AK$2653)</f>
        <v>39</v>
      </c>
      <c r="E1293" s="11">
        <f t="shared" si="40"/>
        <v>6.66715673117853e-5</v>
      </c>
      <c r="F1293" s="11">
        <f>SUM($E$7:E1293)</f>
        <v>0.986245142805369</v>
      </c>
      <c r="G1293" s="12" t="str">
        <f t="shared" si="41"/>
        <v>C</v>
      </c>
      <c r="H1293" s="9" t="s">
        <v>1344</v>
      </c>
      <c r="I1293" s="9" t="s">
        <v>2790</v>
      </c>
      <c r="J1293" s="9" t="s">
        <v>36</v>
      </c>
      <c r="K1293" s="10" t="str">
        <f>IFERROR(VLOOKUP(A1293,'Pedido ESTHER'!$B:$C,2,0),"")</f>
        <v/>
      </c>
      <c r="L1293" s="12" t="str">
        <f>IF(N(K1293)&gt;0,"COMPRA","NÃO COMPRA")</f>
        <v>NÃO COMPRA</v>
      </c>
    </row>
    <row r="1294" spans="1:12">
      <c r="A1294" s="8" t="s">
        <v>2791</v>
      </c>
      <c r="B1294" s="9" t="s">
        <v>2458</v>
      </c>
      <c r="C1294" s="9" t="e">
        <f>VLOOKUP(A1294,[2]Planilha1!$A:$B,2,0)</f>
        <v>#N/A</v>
      </c>
      <c r="D1294" s="10">
        <f>SUMIF([1]Relatório!$A$2:$A$2653,A1294,[1]Relatório!$AK$2:$AK$2653)</f>
        <v>39</v>
      </c>
      <c r="E1294" s="11">
        <f t="shared" si="40"/>
        <v>6.66715673117853e-5</v>
      </c>
      <c r="F1294" s="11">
        <f>SUM($E$7:E1294)</f>
        <v>0.986311814372681</v>
      </c>
      <c r="G1294" s="12" t="str">
        <f t="shared" si="41"/>
        <v>C</v>
      </c>
      <c r="H1294" s="9" t="s">
        <v>1344</v>
      </c>
      <c r="I1294" s="9" t="s">
        <v>2792</v>
      </c>
      <c r="J1294" s="9" t="s">
        <v>64</v>
      </c>
      <c r="K1294" s="10" t="str">
        <f>IFERROR(VLOOKUP(A1294,'Pedido ESTHER'!$B:$C,2,0),"")</f>
        <v/>
      </c>
      <c r="L1294" s="12" t="str">
        <f>IF(N(K1294)&gt;0,"COMPRA","NÃO COMPRA")</f>
        <v>NÃO COMPRA</v>
      </c>
    </row>
    <row r="1295" spans="1:12">
      <c r="A1295" s="8" t="s">
        <v>2793</v>
      </c>
      <c r="B1295" s="9" t="s">
        <v>1885</v>
      </c>
      <c r="C1295" s="9" t="e">
        <f>VLOOKUP(A1295,[2]Planilha1!$A:$B,2,0)</f>
        <v>#N/A</v>
      </c>
      <c r="D1295" s="10">
        <f>SUMIF([1]Relatório!$A$2:$A$2653,A1295,[1]Relatório!$AK$2:$AK$2653)</f>
        <v>39</v>
      </c>
      <c r="E1295" s="11">
        <f t="shared" si="40"/>
        <v>6.66715673117853e-5</v>
      </c>
      <c r="F1295" s="11">
        <f>SUM($E$7:E1295)</f>
        <v>0.986378485939992</v>
      </c>
      <c r="G1295" s="12" t="str">
        <f t="shared" si="41"/>
        <v>C</v>
      </c>
      <c r="H1295" s="9" t="s">
        <v>1344</v>
      </c>
      <c r="I1295" s="9" t="s">
        <v>2794</v>
      </c>
      <c r="J1295" s="9" t="s">
        <v>281</v>
      </c>
      <c r="K1295" s="10" t="str">
        <f>IFERROR(VLOOKUP(A1295,'Pedido ESTHER'!$B:$C,2,0),"")</f>
        <v/>
      </c>
      <c r="L1295" s="12" t="str">
        <f>IF(N(K1295)&gt;0,"COMPRA","NÃO COMPRA")</f>
        <v>NÃO COMPRA</v>
      </c>
    </row>
    <row r="1296" spans="1:12">
      <c r="A1296" s="8" t="s">
        <v>2795</v>
      </c>
      <c r="B1296" s="9" t="s">
        <v>1968</v>
      </c>
      <c r="C1296" s="9" t="e">
        <f>VLOOKUP(A1296,[2]Planilha1!$A:$B,2,0)</f>
        <v>#N/A</v>
      </c>
      <c r="D1296" s="10">
        <f>SUMIF([1]Relatório!$A$2:$A$2653,A1296,[1]Relatório!$AK$2:$AK$2653)</f>
        <v>39</v>
      </c>
      <c r="E1296" s="11">
        <f t="shared" si="40"/>
        <v>6.66715673117853e-5</v>
      </c>
      <c r="F1296" s="11">
        <f>SUM($E$7:E1296)</f>
        <v>0.986445157507304</v>
      </c>
      <c r="G1296" s="12" t="str">
        <f t="shared" si="41"/>
        <v>C</v>
      </c>
      <c r="H1296" s="9" t="s">
        <v>1344</v>
      </c>
      <c r="I1296" s="9" t="s">
        <v>2796</v>
      </c>
      <c r="J1296" s="9" t="s">
        <v>281</v>
      </c>
      <c r="K1296" s="10" t="str">
        <f>IFERROR(VLOOKUP(A1296,'Pedido ESTHER'!$B:$C,2,0),"")</f>
        <v/>
      </c>
      <c r="L1296" s="12" t="str">
        <f>IF(N(K1296)&gt;0,"COMPRA","NÃO COMPRA")</f>
        <v>NÃO COMPRA</v>
      </c>
    </row>
    <row r="1297" spans="1:12">
      <c r="A1297" s="8" t="s">
        <v>2797</v>
      </c>
      <c r="B1297" s="9" t="s">
        <v>749</v>
      </c>
      <c r="C1297" s="9" t="e">
        <f>VLOOKUP(A1297,[2]Planilha1!$A:$B,2,0)</f>
        <v>#N/A</v>
      </c>
      <c r="D1297" s="10">
        <f>SUMIF([1]Relatório!$A$2:$A$2653,A1297,[1]Relatório!$AK$2:$AK$2653)</f>
        <v>39</v>
      </c>
      <c r="E1297" s="11">
        <f t="shared" si="40"/>
        <v>6.66715673117853e-5</v>
      </c>
      <c r="F1297" s="11">
        <f>SUM($E$7:E1297)</f>
        <v>0.986511829074616</v>
      </c>
      <c r="G1297" s="12" t="str">
        <f t="shared" si="41"/>
        <v>C</v>
      </c>
      <c r="H1297" s="9" t="s">
        <v>183</v>
      </c>
      <c r="I1297" s="9"/>
      <c r="J1297" s="9" t="s">
        <v>359</v>
      </c>
      <c r="K1297" s="10" t="str">
        <f>IFERROR(VLOOKUP(A1297,'Pedido ESTHER'!$B:$C,2,0),"")</f>
        <v/>
      </c>
      <c r="L1297" s="12" t="str">
        <f>IF(N(K1297)&gt;0,"COMPRA","NÃO COMPRA")</f>
        <v>NÃO COMPRA</v>
      </c>
    </row>
    <row r="1298" spans="1:12">
      <c r="A1298" s="8" t="s">
        <v>2798</v>
      </c>
      <c r="B1298" s="9" t="s">
        <v>1161</v>
      </c>
      <c r="C1298" s="9" t="e">
        <f>VLOOKUP(A1298,[2]Planilha1!$A:$B,2,0)</f>
        <v>#N/A</v>
      </c>
      <c r="D1298" s="10">
        <f>SUMIF([1]Relatório!$A$2:$A$2653,A1298,[1]Relatório!$AK$2:$AK$2653)</f>
        <v>39</v>
      </c>
      <c r="E1298" s="11">
        <f t="shared" si="40"/>
        <v>6.66715673117853e-5</v>
      </c>
      <c r="F1298" s="11">
        <f>SUM($E$7:E1298)</f>
        <v>0.986578500641928</v>
      </c>
      <c r="G1298" s="12" t="str">
        <f t="shared" si="41"/>
        <v>C</v>
      </c>
      <c r="H1298" s="9" t="s">
        <v>183</v>
      </c>
      <c r="I1298" s="9" t="s">
        <v>2799</v>
      </c>
      <c r="J1298" s="9" t="s">
        <v>1883</v>
      </c>
      <c r="K1298" s="10" t="str">
        <f>IFERROR(VLOOKUP(A1298,'Pedido ESTHER'!$B:$C,2,0),"")</f>
        <v/>
      </c>
      <c r="L1298" s="12" t="str">
        <f>IF(N(K1298)&gt;0,"COMPRA","NÃO COMPRA")</f>
        <v>NÃO COMPRA</v>
      </c>
    </row>
    <row r="1299" spans="1:12">
      <c r="A1299" s="8" t="s">
        <v>2800</v>
      </c>
      <c r="B1299" s="9" t="s">
        <v>363</v>
      </c>
      <c r="C1299" s="9" t="e">
        <f>VLOOKUP(A1299,[2]Planilha1!$A:$B,2,0)</f>
        <v>#N/A</v>
      </c>
      <c r="D1299" s="10">
        <f>SUMIF([1]Relatório!$A$2:$A$2653,A1299,[1]Relatório!$AK$2:$AK$2653)</f>
        <v>39</v>
      </c>
      <c r="E1299" s="11">
        <f t="shared" si="40"/>
        <v>6.66715673117853e-5</v>
      </c>
      <c r="F1299" s="11">
        <f>SUM($E$7:E1299)</f>
        <v>0.98664517220924</v>
      </c>
      <c r="G1299" s="12" t="str">
        <f t="shared" si="41"/>
        <v>C</v>
      </c>
      <c r="H1299" s="9" t="s">
        <v>183</v>
      </c>
      <c r="I1299" s="9"/>
      <c r="J1299" s="9" t="s">
        <v>40</v>
      </c>
      <c r="K1299" s="10" t="str">
        <f>IFERROR(VLOOKUP(A1299,'Pedido ESTHER'!$B:$C,2,0),"")</f>
        <v/>
      </c>
      <c r="L1299" s="12" t="str">
        <f>IF(N(K1299)&gt;0,"COMPRA","NÃO COMPRA")</f>
        <v>NÃO COMPRA</v>
      </c>
    </row>
    <row r="1300" spans="1:12">
      <c r="A1300" s="8" t="s">
        <v>2801</v>
      </c>
      <c r="B1300" s="9" t="s">
        <v>2802</v>
      </c>
      <c r="C1300" s="9" t="e">
        <f>VLOOKUP(A1300,[2]Planilha1!$A:$B,2,0)</f>
        <v>#N/A</v>
      </c>
      <c r="D1300" s="10">
        <f>SUMIF([1]Relatório!$A$2:$A$2653,A1300,[1]Relatório!$AK$2:$AK$2653)</f>
        <v>39</v>
      </c>
      <c r="E1300" s="11">
        <f t="shared" si="40"/>
        <v>6.66715673117853e-5</v>
      </c>
      <c r="F1300" s="11">
        <f>SUM($E$7:E1300)</f>
        <v>0.986711843776551</v>
      </c>
      <c r="G1300" s="12" t="str">
        <f t="shared" si="41"/>
        <v>C</v>
      </c>
      <c r="H1300" s="9" t="s">
        <v>183</v>
      </c>
      <c r="I1300" s="9" t="s">
        <v>2803</v>
      </c>
      <c r="J1300" s="9" t="s">
        <v>2804</v>
      </c>
      <c r="K1300" s="10" t="str">
        <f>IFERROR(VLOOKUP(A1300,'Pedido ESTHER'!$B:$C,2,0),"")</f>
        <v/>
      </c>
      <c r="L1300" s="12" t="str">
        <f>IF(N(K1300)&gt;0,"COMPRA","NÃO COMPRA")</f>
        <v>NÃO COMPRA</v>
      </c>
    </row>
    <row r="1301" spans="1:12">
      <c r="A1301" s="8" t="s">
        <v>2805</v>
      </c>
      <c r="B1301" s="9" t="s">
        <v>2474</v>
      </c>
      <c r="C1301" s="9" t="e">
        <f>VLOOKUP(A1301,[2]Planilha1!$A:$B,2,0)</f>
        <v>#N/A</v>
      </c>
      <c r="D1301" s="10">
        <f>SUMIF([1]Relatório!$A$2:$A$2653,A1301,[1]Relatório!$AK$2:$AK$2653)</f>
        <v>39</v>
      </c>
      <c r="E1301" s="11">
        <f t="shared" si="40"/>
        <v>6.66715673117853e-5</v>
      </c>
      <c r="F1301" s="11">
        <f>SUM($E$7:E1301)</f>
        <v>0.986778515343863</v>
      </c>
      <c r="G1301" s="12" t="str">
        <f t="shared" si="41"/>
        <v>C</v>
      </c>
      <c r="H1301" s="9" t="s">
        <v>1700</v>
      </c>
      <c r="I1301" s="9" t="s">
        <v>2806</v>
      </c>
      <c r="J1301" s="9" t="s">
        <v>44</v>
      </c>
      <c r="K1301" s="10" t="str">
        <f>IFERROR(VLOOKUP(A1301,'Pedido ESTHER'!$B:$C,2,0),"")</f>
        <v/>
      </c>
      <c r="L1301" s="12" t="str">
        <f>IF(N(K1301)&gt;0,"COMPRA","NÃO COMPRA")</f>
        <v>NÃO COMPRA</v>
      </c>
    </row>
    <row r="1302" spans="1:12">
      <c r="A1302" s="8" t="s">
        <v>2807</v>
      </c>
      <c r="B1302" s="9" t="s">
        <v>1769</v>
      </c>
      <c r="C1302" s="9" t="e">
        <f>VLOOKUP(A1302,[2]Planilha1!$A:$B,2,0)</f>
        <v>#N/A</v>
      </c>
      <c r="D1302" s="10">
        <f>SUMIF([1]Relatório!$A$2:$A$2653,A1302,[1]Relatório!$AK$2:$AK$2653)</f>
        <v>39</v>
      </c>
      <c r="E1302" s="11">
        <f t="shared" si="40"/>
        <v>6.66715673117853e-5</v>
      </c>
      <c r="F1302" s="11">
        <f>SUM($E$7:E1302)</f>
        <v>0.986845186911175</v>
      </c>
      <c r="G1302" s="12" t="str">
        <f t="shared" si="41"/>
        <v>C</v>
      </c>
      <c r="H1302" s="9" t="s">
        <v>1059</v>
      </c>
      <c r="I1302" s="9" t="s">
        <v>2808</v>
      </c>
      <c r="J1302" s="9" t="s">
        <v>359</v>
      </c>
      <c r="K1302" s="10" t="str">
        <f>IFERROR(VLOOKUP(A1302,'Pedido ESTHER'!$B:$C,2,0),"")</f>
        <v/>
      </c>
      <c r="L1302" s="12" t="str">
        <f>IF(N(K1302)&gt;0,"COMPRA","NÃO COMPRA")</f>
        <v>NÃO COMPRA</v>
      </c>
    </row>
    <row r="1303" spans="1:12">
      <c r="A1303" s="8" t="s">
        <v>2809</v>
      </c>
      <c r="B1303" s="9" t="s">
        <v>1307</v>
      </c>
      <c r="C1303" s="9" t="e">
        <f>VLOOKUP(A1303,[2]Planilha1!$A:$B,2,0)</f>
        <v>#N/A</v>
      </c>
      <c r="D1303" s="10">
        <f>SUMIF([1]Relatório!$A$2:$A$2653,A1303,[1]Relatório!$AK$2:$AK$2653)</f>
        <v>39</v>
      </c>
      <c r="E1303" s="11">
        <f t="shared" si="40"/>
        <v>6.66715673117853e-5</v>
      </c>
      <c r="F1303" s="11">
        <f>SUM($E$7:E1303)</f>
        <v>0.986911858478487</v>
      </c>
      <c r="G1303" s="12" t="str">
        <f t="shared" si="41"/>
        <v>C</v>
      </c>
      <c r="H1303" s="9" t="s">
        <v>1059</v>
      </c>
      <c r="I1303" s="9" t="s">
        <v>2810</v>
      </c>
      <c r="J1303" s="9" t="s">
        <v>29</v>
      </c>
      <c r="K1303" s="10" t="str">
        <f>IFERROR(VLOOKUP(A1303,'Pedido ESTHER'!$B:$C,2,0),"")</f>
        <v/>
      </c>
      <c r="L1303" s="12" t="str">
        <f>IF(N(K1303)&gt;0,"COMPRA","NÃO COMPRA")</f>
        <v>NÃO COMPRA</v>
      </c>
    </row>
    <row r="1304" spans="1:12">
      <c r="A1304" s="8" t="s">
        <v>2811</v>
      </c>
      <c r="B1304" s="9" t="s">
        <v>2411</v>
      </c>
      <c r="C1304" s="9" t="e">
        <f>VLOOKUP(A1304,[2]Planilha1!$A:$B,2,0)</f>
        <v>#N/A</v>
      </c>
      <c r="D1304" s="10">
        <f>SUMIF([1]Relatório!$A$2:$A$2653,A1304,[1]Relatório!$AK$2:$AK$2653)</f>
        <v>39</v>
      </c>
      <c r="E1304" s="11">
        <f t="shared" si="40"/>
        <v>6.66715673117853e-5</v>
      </c>
      <c r="F1304" s="11">
        <f>SUM($E$7:E1304)</f>
        <v>0.986978530045798</v>
      </c>
      <c r="G1304" s="12" t="str">
        <f t="shared" si="41"/>
        <v>C</v>
      </c>
      <c r="H1304" s="9" t="s">
        <v>74</v>
      </c>
      <c r="I1304" s="9" t="s">
        <v>2812</v>
      </c>
      <c r="J1304" s="9" t="s">
        <v>2813</v>
      </c>
      <c r="K1304" s="10" t="str">
        <f>IFERROR(VLOOKUP(A1304,'Pedido ESTHER'!$B:$C,2,0),"")</f>
        <v/>
      </c>
      <c r="L1304" s="12" t="str">
        <f>IF(N(K1304)&gt;0,"COMPRA","NÃO COMPRA")</f>
        <v>NÃO COMPRA</v>
      </c>
    </row>
    <row r="1305" spans="1:12">
      <c r="A1305" s="8" t="s">
        <v>2814</v>
      </c>
      <c r="B1305" s="9" t="s">
        <v>335</v>
      </c>
      <c r="C1305" s="9" t="e">
        <f>VLOOKUP(A1305,[2]Planilha1!$A:$B,2,0)</f>
        <v>#N/A</v>
      </c>
      <c r="D1305" s="10">
        <f>SUMIF([1]Relatório!$A$2:$A$2653,A1305,[1]Relatório!$AK$2:$AK$2653)</f>
        <v>38</v>
      </c>
      <c r="E1305" s="11">
        <f t="shared" si="40"/>
        <v>6.49620399448165e-5</v>
      </c>
      <c r="F1305" s="11">
        <f>SUM($E$7:E1305)</f>
        <v>0.987043492085743</v>
      </c>
      <c r="G1305" s="12" t="str">
        <f t="shared" si="41"/>
        <v>C</v>
      </c>
      <c r="H1305" s="9" t="s">
        <v>183</v>
      </c>
      <c r="I1305" s="9"/>
      <c r="J1305" s="9" t="s">
        <v>44</v>
      </c>
      <c r="K1305" s="10" t="str">
        <f>IFERROR(VLOOKUP(A1305,'Pedido ESTHER'!$B:$C,2,0),"")</f>
        <v/>
      </c>
      <c r="L1305" s="12" t="str">
        <f>IF(N(K1305)&gt;0,"COMPRA","NÃO COMPRA")</f>
        <v>NÃO COMPRA</v>
      </c>
    </row>
    <row r="1306" spans="1:12">
      <c r="A1306" s="8" t="s">
        <v>2815</v>
      </c>
      <c r="B1306" s="9" t="s">
        <v>1892</v>
      </c>
      <c r="C1306" s="9" t="e">
        <f>VLOOKUP(A1306,[2]Planilha1!$A:$B,2,0)</f>
        <v>#N/A</v>
      </c>
      <c r="D1306" s="10">
        <f>SUMIF([1]Relatório!$A$2:$A$2653,A1306,[1]Relatório!$AK$2:$AK$2653)</f>
        <v>38</v>
      </c>
      <c r="E1306" s="11">
        <f t="shared" si="40"/>
        <v>6.49620399448165e-5</v>
      </c>
      <c r="F1306" s="11">
        <f>SUM($E$7:E1306)</f>
        <v>0.987108454125688</v>
      </c>
      <c r="G1306" s="12" t="str">
        <f t="shared" si="41"/>
        <v>C</v>
      </c>
      <c r="H1306" s="9" t="s">
        <v>1344</v>
      </c>
      <c r="I1306" s="9" t="s">
        <v>2816</v>
      </c>
      <c r="J1306" s="9" t="s">
        <v>40</v>
      </c>
      <c r="K1306" s="10" t="str">
        <f>IFERROR(VLOOKUP(A1306,'Pedido ESTHER'!$B:$C,2,0),"")</f>
        <v/>
      </c>
      <c r="L1306" s="12" t="str">
        <f>IF(N(K1306)&gt;0,"COMPRA","NÃO COMPRA")</f>
        <v>NÃO COMPRA</v>
      </c>
    </row>
    <row r="1307" spans="1:12">
      <c r="A1307" s="8" t="s">
        <v>2817</v>
      </c>
      <c r="B1307" s="9" t="s">
        <v>1885</v>
      </c>
      <c r="C1307" s="9" t="e">
        <f>VLOOKUP(A1307,[2]Planilha1!$A:$B,2,0)</f>
        <v>#N/A</v>
      </c>
      <c r="D1307" s="10">
        <f>SUMIF([1]Relatório!$A$2:$A$2653,A1307,[1]Relatório!$AK$2:$AK$2653)</f>
        <v>38</v>
      </c>
      <c r="E1307" s="11">
        <f t="shared" si="40"/>
        <v>6.49620399448165e-5</v>
      </c>
      <c r="F1307" s="11">
        <f>SUM($E$7:E1307)</f>
        <v>0.987173416165633</v>
      </c>
      <c r="G1307" s="12" t="str">
        <f t="shared" si="41"/>
        <v>C</v>
      </c>
      <c r="H1307" s="9" t="s">
        <v>1344</v>
      </c>
      <c r="I1307" s="9" t="s">
        <v>2818</v>
      </c>
      <c r="J1307" s="9" t="s">
        <v>1052</v>
      </c>
      <c r="K1307" s="10" t="str">
        <f>IFERROR(VLOOKUP(A1307,'Pedido ESTHER'!$B:$C,2,0),"")</f>
        <v/>
      </c>
      <c r="L1307" s="12" t="str">
        <f>IF(N(K1307)&gt;0,"COMPRA","NÃO COMPRA")</f>
        <v>NÃO COMPRA</v>
      </c>
    </row>
    <row r="1308" spans="1:12">
      <c r="A1308" s="8" t="s">
        <v>2819</v>
      </c>
      <c r="B1308" s="9" t="s">
        <v>1638</v>
      </c>
      <c r="C1308" s="9" t="e">
        <f>VLOOKUP(A1308,[2]Planilha1!$A:$B,2,0)</f>
        <v>#N/A</v>
      </c>
      <c r="D1308" s="10">
        <f>SUMIF([1]Relatório!$A$2:$A$2653,A1308,[1]Relatório!$AK$2:$AK$2653)</f>
        <v>38</v>
      </c>
      <c r="E1308" s="11">
        <f t="shared" si="40"/>
        <v>6.49620399448165e-5</v>
      </c>
      <c r="F1308" s="11">
        <f>SUM($E$7:E1308)</f>
        <v>0.987238378205577</v>
      </c>
      <c r="G1308" s="12" t="str">
        <f t="shared" si="41"/>
        <v>C</v>
      </c>
      <c r="H1308" s="9" t="s">
        <v>1344</v>
      </c>
      <c r="I1308" s="9" t="s">
        <v>2820</v>
      </c>
      <c r="J1308" s="9" t="s">
        <v>33</v>
      </c>
      <c r="K1308" s="10" t="str">
        <f>IFERROR(VLOOKUP(A1308,'Pedido ESTHER'!$B:$C,2,0),"")</f>
        <v/>
      </c>
      <c r="L1308" s="12" t="str">
        <f>IF(N(K1308)&gt;0,"COMPRA","NÃO COMPRA")</f>
        <v>NÃO COMPRA</v>
      </c>
    </row>
    <row r="1309" spans="1:12">
      <c r="A1309" s="8" t="s">
        <v>2821</v>
      </c>
      <c r="B1309" s="9" t="s">
        <v>1892</v>
      </c>
      <c r="C1309" s="9" t="e">
        <f>VLOOKUP(A1309,[2]Planilha1!$A:$B,2,0)</f>
        <v>#N/A</v>
      </c>
      <c r="D1309" s="10">
        <f>SUMIF([1]Relatório!$A$2:$A$2653,A1309,[1]Relatório!$AK$2:$AK$2653)</f>
        <v>38</v>
      </c>
      <c r="E1309" s="11">
        <f t="shared" si="40"/>
        <v>6.49620399448165e-5</v>
      </c>
      <c r="F1309" s="11">
        <f>SUM($E$7:E1309)</f>
        <v>0.987303340245522</v>
      </c>
      <c r="G1309" s="12" t="str">
        <f t="shared" si="41"/>
        <v>C</v>
      </c>
      <c r="H1309" s="9" t="s">
        <v>1344</v>
      </c>
      <c r="I1309" s="9" t="s">
        <v>2822</v>
      </c>
      <c r="J1309" s="9" t="s">
        <v>40</v>
      </c>
      <c r="K1309" s="10" t="str">
        <f>IFERROR(VLOOKUP(A1309,'Pedido ESTHER'!$B:$C,2,0),"")</f>
        <v/>
      </c>
      <c r="L1309" s="12" t="str">
        <f>IF(N(K1309)&gt;0,"COMPRA","NÃO COMPRA")</f>
        <v>NÃO COMPRA</v>
      </c>
    </row>
    <row r="1310" spans="1:12">
      <c r="A1310" s="8" t="s">
        <v>2823</v>
      </c>
      <c r="B1310" s="9" t="s">
        <v>2824</v>
      </c>
      <c r="C1310" s="9" t="e">
        <f>VLOOKUP(A1310,[2]Planilha1!$A:$B,2,0)</f>
        <v>#N/A</v>
      </c>
      <c r="D1310" s="10">
        <f>SUMIF([1]Relatório!$A$2:$A$2653,A1310,[1]Relatório!$AK$2:$AK$2653)</f>
        <v>38</v>
      </c>
      <c r="E1310" s="11">
        <f t="shared" si="40"/>
        <v>6.49620399448165e-5</v>
      </c>
      <c r="F1310" s="11">
        <f>SUM($E$7:E1310)</f>
        <v>0.987368302285467</v>
      </c>
      <c r="G1310" s="12" t="str">
        <f t="shared" si="41"/>
        <v>C</v>
      </c>
      <c r="H1310" s="9" t="s">
        <v>183</v>
      </c>
      <c r="I1310" s="9"/>
      <c r="J1310" s="9" t="s">
        <v>171</v>
      </c>
      <c r="K1310" s="10" t="str">
        <f>IFERROR(VLOOKUP(A1310,'Pedido ESTHER'!$B:$C,2,0),"")</f>
        <v/>
      </c>
      <c r="L1310" s="12" t="str">
        <f>IF(N(K1310)&gt;0,"COMPRA","NÃO COMPRA")</f>
        <v>NÃO COMPRA</v>
      </c>
    </row>
    <row r="1311" spans="1:12">
      <c r="A1311" s="8" t="s">
        <v>2825</v>
      </c>
      <c r="B1311" s="9" t="s">
        <v>1796</v>
      </c>
      <c r="C1311" s="9" t="e">
        <f>VLOOKUP(A1311,[2]Planilha1!$A:$B,2,0)</f>
        <v>#N/A</v>
      </c>
      <c r="D1311" s="10">
        <f>SUMIF([1]Relatório!$A$2:$A$2653,A1311,[1]Relatório!$AK$2:$AK$2653)</f>
        <v>38</v>
      </c>
      <c r="E1311" s="11">
        <f t="shared" si="40"/>
        <v>6.49620399448165e-5</v>
      </c>
      <c r="F1311" s="11">
        <f>SUM($E$7:E1311)</f>
        <v>0.987433264325412</v>
      </c>
      <c r="G1311" s="12" t="str">
        <f t="shared" si="41"/>
        <v>C</v>
      </c>
      <c r="H1311" s="9" t="s">
        <v>1344</v>
      </c>
      <c r="I1311" s="9" t="s">
        <v>2826</v>
      </c>
      <c r="J1311" s="9" t="s">
        <v>201</v>
      </c>
      <c r="K1311" s="10" t="str">
        <f>IFERROR(VLOOKUP(A1311,'Pedido ESTHER'!$B:$C,2,0),"")</f>
        <v/>
      </c>
      <c r="L1311" s="12" t="str">
        <f>IF(N(K1311)&gt;0,"COMPRA","NÃO COMPRA")</f>
        <v>NÃO COMPRA</v>
      </c>
    </row>
    <row r="1312" spans="1:12">
      <c r="A1312" s="8" t="s">
        <v>2827</v>
      </c>
      <c r="B1312" s="9" t="s">
        <v>2718</v>
      </c>
      <c r="C1312" s="9" t="e">
        <f>VLOOKUP(A1312,[2]Planilha1!$A:$B,2,0)</f>
        <v>#N/A</v>
      </c>
      <c r="D1312" s="10">
        <f>SUMIF([1]Relatório!$A$2:$A$2653,A1312,[1]Relatório!$AK$2:$AK$2653)</f>
        <v>38</v>
      </c>
      <c r="E1312" s="11">
        <f t="shared" si="40"/>
        <v>6.49620399448165e-5</v>
      </c>
      <c r="F1312" s="11">
        <f>SUM($E$7:E1312)</f>
        <v>0.987498226365357</v>
      </c>
      <c r="G1312" s="12" t="str">
        <f t="shared" si="41"/>
        <v>C</v>
      </c>
      <c r="H1312" s="9" t="s">
        <v>1700</v>
      </c>
      <c r="I1312" s="9"/>
      <c r="J1312" s="9" t="s">
        <v>241</v>
      </c>
      <c r="K1312" s="10" t="str">
        <f>IFERROR(VLOOKUP(A1312,'Pedido ESTHER'!$B:$C,2,0),"")</f>
        <v/>
      </c>
      <c r="L1312" s="12" t="str">
        <f>IF(N(K1312)&gt;0,"COMPRA","NÃO COMPRA")</f>
        <v>NÃO COMPRA</v>
      </c>
    </row>
    <row r="1313" spans="1:12">
      <c r="A1313" s="8" t="s">
        <v>2828</v>
      </c>
      <c r="B1313" s="9" t="s">
        <v>133</v>
      </c>
      <c r="C1313" s="9" t="e">
        <f>VLOOKUP(A1313,[2]Planilha1!$A:$B,2,0)</f>
        <v>#N/A</v>
      </c>
      <c r="D1313" s="10">
        <f>SUMIF([1]Relatório!$A$2:$A$2653,A1313,[1]Relatório!$AK$2:$AK$2653)</f>
        <v>38</v>
      </c>
      <c r="E1313" s="11">
        <f t="shared" si="40"/>
        <v>6.49620399448165e-5</v>
      </c>
      <c r="F1313" s="11">
        <f>SUM($E$7:E1313)</f>
        <v>0.987563188405301</v>
      </c>
      <c r="G1313" s="12" t="str">
        <f t="shared" si="41"/>
        <v>C</v>
      </c>
      <c r="H1313" s="9" t="s">
        <v>586</v>
      </c>
      <c r="I1313" s="9" t="s">
        <v>592</v>
      </c>
      <c r="J1313" s="9" t="s">
        <v>593</v>
      </c>
      <c r="K1313" s="10" t="str">
        <f>IFERROR(VLOOKUP(A1313,'Pedido ESTHER'!$B:$C,2,0),"")</f>
        <v/>
      </c>
      <c r="L1313" s="12" t="str">
        <f>IF(N(K1313)&gt;0,"COMPRA","NÃO COMPRA")</f>
        <v>NÃO COMPRA</v>
      </c>
    </row>
    <row r="1314" spans="1:12">
      <c r="A1314" s="8" t="s">
        <v>2829</v>
      </c>
      <c r="B1314" s="9" t="s">
        <v>2830</v>
      </c>
      <c r="C1314" s="9" t="e">
        <f>VLOOKUP(A1314,[2]Planilha1!$A:$B,2,0)</f>
        <v>#N/A</v>
      </c>
      <c r="D1314" s="10">
        <f>SUMIF([1]Relatório!$A$2:$A$2653,A1314,[1]Relatório!$AK$2:$AK$2653)</f>
        <v>38</v>
      </c>
      <c r="E1314" s="11">
        <f t="shared" si="40"/>
        <v>6.49620399448165e-5</v>
      </c>
      <c r="F1314" s="11">
        <f>SUM($E$7:E1314)</f>
        <v>0.987628150445246</v>
      </c>
      <c r="G1314" s="12" t="str">
        <f t="shared" si="41"/>
        <v>C</v>
      </c>
      <c r="H1314" s="9" t="s">
        <v>1059</v>
      </c>
      <c r="I1314" s="9" t="s">
        <v>2831</v>
      </c>
      <c r="J1314" s="9" t="s">
        <v>1842</v>
      </c>
      <c r="K1314" s="10" t="str">
        <f>IFERROR(VLOOKUP(A1314,'Pedido ESTHER'!$B:$C,2,0),"")</f>
        <v/>
      </c>
      <c r="L1314" s="12" t="str">
        <f>IF(N(K1314)&gt;0,"COMPRA","NÃO COMPRA")</f>
        <v>NÃO COMPRA</v>
      </c>
    </row>
    <row r="1315" spans="1:12">
      <c r="A1315" s="8" t="s">
        <v>2832</v>
      </c>
      <c r="B1315" s="9" t="s">
        <v>2833</v>
      </c>
      <c r="C1315" s="9" t="e">
        <f>VLOOKUP(A1315,[2]Planilha1!$A:$B,2,0)</f>
        <v>#N/A</v>
      </c>
      <c r="D1315" s="10">
        <f>SUMIF([1]Relatório!$A$2:$A$2653,A1315,[1]Relatório!$AK$2:$AK$2653)</f>
        <v>38</v>
      </c>
      <c r="E1315" s="11">
        <f t="shared" si="40"/>
        <v>6.49620399448165e-5</v>
      </c>
      <c r="F1315" s="11">
        <f>SUM($E$7:E1315)</f>
        <v>0.987693112485191</v>
      </c>
      <c r="G1315" s="12" t="str">
        <f t="shared" si="41"/>
        <v>C</v>
      </c>
      <c r="H1315" s="9" t="s">
        <v>1059</v>
      </c>
      <c r="I1315" s="9" t="s">
        <v>2834</v>
      </c>
      <c r="J1315" s="9" t="s">
        <v>1710</v>
      </c>
      <c r="K1315" s="10" t="str">
        <f>IFERROR(VLOOKUP(A1315,'Pedido ESTHER'!$B:$C,2,0),"")</f>
        <v/>
      </c>
      <c r="L1315" s="12" t="str">
        <f>IF(N(K1315)&gt;0,"COMPRA","NÃO COMPRA")</f>
        <v>NÃO COMPRA</v>
      </c>
    </row>
    <row r="1316" spans="1:12">
      <c r="A1316" s="8" t="s">
        <v>2835</v>
      </c>
      <c r="B1316" s="9" t="s">
        <v>2830</v>
      </c>
      <c r="C1316" s="9" t="e">
        <f>VLOOKUP(A1316,[2]Planilha1!$A:$B,2,0)</f>
        <v>#N/A</v>
      </c>
      <c r="D1316" s="10">
        <f>SUMIF([1]Relatório!$A$2:$A$2653,A1316,[1]Relatório!$AK$2:$AK$2653)</f>
        <v>38</v>
      </c>
      <c r="E1316" s="11">
        <f t="shared" si="40"/>
        <v>6.49620399448165e-5</v>
      </c>
      <c r="F1316" s="11">
        <f>SUM($E$7:E1316)</f>
        <v>0.987758074525136</v>
      </c>
      <c r="G1316" s="12" t="str">
        <f t="shared" si="41"/>
        <v>C</v>
      </c>
      <c r="H1316" s="9" t="s">
        <v>1059</v>
      </c>
      <c r="I1316" s="9" t="s">
        <v>2836</v>
      </c>
      <c r="J1316" s="9" t="s">
        <v>1842</v>
      </c>
      <c r="K1316" s="10" t="str">
        <f>IFERROR(VLOOKUP(A1316,'Pedido ESTHER'!$B:$C,2,0),"")</f>
        <v/>
      </c>
      <c r="L1316" s="12" t="str">
        <f>IF(N(K1316)&gt;0,"COMPRA","NÃO COMPRA")</f>
        <v>NÃO COMPRA</v>
      </c>
    </row>
    <row r="1317" spans="1:12">
      <c r="A1317" s="8" t="s">
        <v>2837</v>
      </c>
      <c r="B1317" s="9" t="s">
        <v>154</v>
      </c>
      <c r="C1317" s="9" t="e">
        <f>VLOOKUP(A1317,[2]Planilha1!$A:$B,2,0)</f>
        <v>#N/A</v>
      </c>
      <c r="D1317" s="10">
        <f>SUMIF([1]Relatório!$A$2:$A$2653,A1317,[1]Relatório!$AK$2:$AK$2653)</f>
        <v>38</v>
      </c>
      <c r="E1317" s="11">
        <f t="shared" si="40"/>
        <v>6.49620399448165e-5</v>
      </c>
      <c r="F1317" s="11">
        <f>SUM($E$7:E1317)</f>
        <v>0.98782303656508</v>
      </c>
      <c r="G1317" s="12" t="str">
        <f t="shared" si="41"/>
        <v>C</v>
      </c>
      <c r="H1317" s="9" t="s">
        <v>117</v>
      </c>
      <c r="I1317" s="9" t="s">
        <v>2838</v>
      </c>
      <c r="J1317" s="9" t="s">
        <v>44</v>
      </c>
      <c r="K1317" s="10" t="str">
        <f>IFERROR(VLOOKUP(A1317,'Pedido ESTHER'!$B:$C,2,0),"")</f>
        <v/>
      </c>
      <c r="L1317" s="12" t="str">
        <f>IF(N(K1317)&gt;0,"COMPRA","NÃO COMPRA")</f>
        <v>NÃO COMPRA</v>
      </c>
    </row>
    <row r="1318" spans="1:12">
      <c r="A1318" s="8" t="s">
        <v>2839</v>
      </c>
      <c r="B1318" s="9" t="s">
        <v>1322</v>
      </c>
      <c r="C1318" s="9" t="e">
        <f>VLOOKUP(A1318,[2]Planilha1!$A:$B,2,0)</f>
        <v>#N/A</v>
      </c>
      <c r="D1318" s="10">
        <f>SUMIF([1]Relatório!$A$2:$A$2653,A1318,[1]Relatório!$AK$2:$AK$2653)</f>
        <v>38</v>
      </c>
      <c r="E1318" s="11">
        <f t="shared" si="40"/>
        <v>6.49620399448165e-5</v>
      </c>
      <c r="F1318" s="11">
        <f>SUM($E$7:E1318)</f>
        <v>0.987887998605025</v>
      </c>
      <c r="G1318" s="12" t="str">
        <f t="shared" si="41"/>
        <v>C</v>
      </c>
      <c r="H1318" s="9" t="s">
        <v>21</v>
      </c>
      <c r="I1318" s="9" t="s">
        <v>2840</v>
      </c>
      <c r="J1318" s="9" t="s">
        <v>1169</v>
      </c>
      <c r="K1318" s="10" t="str">
        <f>IFERROR(VLOOKUP(A1318,'Pedido ESTHER'!$B:$C,2,0),"")</f>
        <v/>
      </c>
      <c r="L1318" s="12" t="str">
        <f>IF(N(K1318)&gt;0,"COMPRA","NÃO COMPRA")</f>
        <v>NÃO COMPRA</v>
      </c>
    </row>
    <row r="1319" spans="1:12">
      <c r="A1319" s="8" t="s">
        <v>2841</v>
      </c>
      <c r="B1319" s="9" t="s">
        <v>1933</v>
      </c>
      <c r="C1319" s="9" t="e">
        <f>VLOOKUP(A1319,[2]Planilha1!$A:$B,2,0)</f>
        <v>#N/A</v>
      </c>
      <c r="D1319" s="10">
        <f>SUMIF([1]Relatório!$A$2:$A$2653,A1319,[1]Relatório!$AK$2:$AK$2653)</f>
        <v>37</v>
      </c>
      <c r="E1319" s="11">
        <f t="shared" si="40"/>
        <v>6.32525125778476e-5</v>
      </c>
      <c r="F1319" s="11">
        <f>SUM($E$7:E1319)</f>
        <v>0.987951251117603</v>
      </c>
      <c r="G1319" s="12" t="str">
        <f t="shared" si="41"/>
        <v>C</v>
      </c>
      <c r="H1319" s="9" t="s">
        <v>1344</v>
      </c>
      <c r="I1319" s="9" t="s">
        <v>2842</v>
      </c>
      <c r="J1319" s="9" t="s">
        <v>23</v>
      </c>
      <c r="K1319" s="10" t="str">
        <f>IFERROR(VLOOKUP(A1319,'Pedido ESTHER'!$B:$C,2,0),"")</f>
        <v/>
      </c>
      <c r="L1319" s="12" t="str">
        <f>IF(N(K1319)&gt;0,"COMPRA","NÃO COMPRA")</f>
        <v>NÃO COMPRA</v>
      </c>
    </row>
    <row r="1320" spans="1:12">
      <c r="A1320" s="8" t="s">
        <v>2843</v>
      </c>
      <c r="B1320" s="9" t="s">
        <v>2844</v>
      </c>
      <c r="C1320" s="9" t="e">
        <f>VLOOKUP(A1320,[2]Planilha1!$A:$B,2,0)</f>
        <v>#N/A</v>
      </c>
      <c r="D1320" s="10">
        <f>SUMIF([1]Relatório!$A$2:$A$2653,A1320,[1]Relatório!$AK$2:$AK$2653)</f>
        <v>37</v>
      </c>
      <c r="E1320" s="11">
        <f t="shared" si="40"/>
        <v>6.32525125778476e-5</v>
      </c>
      <c r="F1320" s="11">
        <f>SUM($E$7:E1320)</f>
        <v>0.988014503630181</v>
      </c>
      <c r="G1320" s="12" t="str">
        <f t="shared" si="41"/>
        <v>C</v>
      </c>
      <c r="H1320" s="9" t="s">
        <v>1344</v>
      </c>
      <c r="I1320" s="9" t="s">
        <v>2845</v>
      </c>
      <c r="J1320" s="9" t="s">
        <v>1169</v>
      </c>
      <c r="K1320" s="10" t="str">
        <f>IFERROR(VLOOKUP(A1320,'Pedido ESTHER'!$B:$C,2,0),"")</f>
        <v/>
      </c>
      <c r="L1320" s="12" t="str">
        <f>IF(N(K1320)&gt;0,"COMPRA","NÃO COMPRA")</f>
        <v>NÃO COMPRA</v>
      </c>
    </row>
    <row r="1321" spans="1:12">
      <c r="A1321" s="8" t="s">
        <v>2846</v>
      </c>
      <c r="B1321" s="9" t="s">
        <v>1968</v>
      </c>
      <c r="C1321" s="9" t="e">
        <f>VLOOKUP(A1321,[2]Planilha1!$A:$B,2,0)</f>
        <v>#N/A</v>
      </c>
      <c r="D1321" s="10">
        <f>SUMIF([1]Relatório!$A$2:$A$2653,A1321,[1]Relatório!$AK$2:$AK$2653)</f>
        <v>37</v>
      </c>
      <c r="E1321" s="11">
        <f t="shared" si="40"/>
        <v>6.32525125778476e-5</v>
      </c>
      <c r="F1321" s="11">
        <f>SUM($E$7:E1321)</f>
        <v>0.988077756142759</v>
      </c>
      <c r="G1321" s="12" t="str">
        <f t="shared" si="41"/>
        <v>C</v>
      </c>
      <c r="H1321" s="9" t="s">
        <v>1344</v>
      </c>
      <c r="I1321" s="9" t="s">
        <v>2847</v>
      </c>
      <c r="J1321" s="9" t="s">
        <v>1052</v>
      </c>
      <c r="K1321" s="10" t="str">
        <f>IFERROR(VLOOKUP(A1321,'Pedido ESTHER'!$B:$C,2,0),"")</f>
        <v/>
      </c>
      <c r="L1321" s="12" t="str">
        <f>IF(N(K1321)&gt;0,"COMPRA","NÃO COMPRA")</f>
        <v>NÃO COMPRA</v>
      </c>
    </row>
    <row r="1322" spans="1:12">
      <c r="A1322" s="8" t="s">
        <v>2848</v>
      </c>
      <c r="B1322" s="9" t="s">
        <v>1612</v>
      </c>
      <c r="C1322" s="9" t="e">
        <f>VLOOKUP(A1322,[2]Planilha1!$A:$B,2,0)</f>
        <v>#N/A</v>
      </c>
      <c r="D1322" s="10">
        <f>SUMIF([1]Relatório!$A$2:$A$2653,A1322,[1]Relatório!$AK$2:$AK$2653)</f>
        <v>37</v>
      </c>
      <c r="E1322" s="11">
        <f t="shared" si="40"/>
        <v>6.32525125778476e-5</v>
      </c>
      <c r="F1322" s="11">
        <f>SUM($E$7:E1322)</f>
        <v>0.988141008655337</v>
      </c>
      <c r="G1322" s="12" t="str">
        <f t="shared" si="41"/>
        <v>C</v>
      </c>
      <c r="H1322" s="9" t="s">
        <v>1344</v>
      </c>
      <c r="I1322" s="9" t="s">
        <v>2849</v>
      </c>
      <c r="J1322" s="9" t="s">
        <v>33</v>
      </c>
      <c r="K1322" s="10" t="str">
        <f>IFERROR(VLOOKUP(A1322,'Pedido ESTHER'!$B:$C,2,0),"")</f>
        <v/>
      </c>
      <c r="L1322" s="12" t="str">
        <f>IF(N(K1322)&gt;0,"COMPRA","NÃO COMPRA")</f>
        <v>NÃO COMPRA</v>
      </c>
    </row>
    <row r="1323" spans="1:12">
      <c r="A1323" s="8" t="s">
        <v>2850</v>
      </c>
      <c r="B1323" s="9" t="s">
        <v>711</v>
      </c>
      <c r="C1323" s="9" t="e">
        <f>VLOOKUP(A1323,[2]Planilha1!$A:$B,2,0)</f>
        <v>#N/A</v>
      </c>
      <c r="D1323" s="10">
        <f>SUMIF([1]Relatório!$A$2:$A$2653,A1323,[1]Relatório!$AK$2:$AK$2653)</f>
        <v>37</v>
      </c>
      <c r="E1323" s="11">
        <f t="shared" si="40"/>
        <v>6.32525125778476e-5</v>
      </c>
      <c r="F1323" s="11">
        <f>SUM($E$7:E1323)</f>
        <v>0.988204261167915</v>
      </c>
      <c r="G1323" s="12" t="str">
        <f t="shared" si="41"/>
        <v>C</v>
      </c>
      <c r="H1323" s="9" t="s">
        <v>183</v>
      </c>
      <c r="I1323" s="9" t="s">
        <v>2851</v>
      </c>
      <c r="J1323" s="9" t="s">
        <v>916</v>
      </c>
      <c r="K1323" s="10" t="str">
        <f>IFERROR(VLOOKUP(A1323,'Pedido ESTHER'!$B:$C,2,0),"")</f>
        <v/>
      </c>
      <c r="L1323" s="12" t="str">
        <f>IF(N(K1323)&gt;0,"COMPRA","NÃO COMPRA")</f>
        <v>NÃO COMPRA</v>
      </c>
    </row>
    <row r="1324" spans="1:12">
      <c r="A1324" s="8" t="s">
        <v>2852</v>
      </c>
      <c r="B1324" s="9" t="s">
        <v>1769</v>
      </c>
      <c r="C1324" s="9" t="e">
        <f>VLOOKUP(A1324,[2]Planilha1!$A:$B,2,0)</f>
        <v>#N/A</v>
      </c>
      <c r="D1324" s="10">
        <f>SUMIF([1]Relatório!$A$2:$A$2653,A1324,[1]Relatório!$AK$2:$AK$2653)</f>
        <v>37</v>
      </c>
      <c r="E1324" s="11">
        <f t="shared" si="40"/>
        <v>6.32525125778476e-5</v>
      </c>
      <c r="F1324" s="11">
        <f>SUM($E$7:E1324)</f>
        <v>0.988267513680492</v>
      </c>
      <c r="G1324" s="12" t="str">
        <f t="shared" si="41"/>
        <v>C</v>
      </c>
      <c r="H1324" s="9" t="s">
        <v>1059</v>
      </c>
      <c r="I1324" s="9" t="s">
        <v>2853</v>
      </c>
      <c r="J1324" s="9" t="s">
        <v>359</v>
      </c>
      <c r="K1324" s="10" t="str">
        <f>IFERROR(VLOOKUP(A1324,'Pedido ESTHER'!$B:$C,2,0),"")</f>
        <v/>
      </c>
      <c r="L1324" s="12" t="str">
        <f>IF(N(K1324)&gt;0,"COMPRA","NÃO COMPRA")</f>
        <v>NÃO COMPRA</v>
      </c>
    </row>
    <row r="1325" spans="1:12">
      <c r="A1325" s="8" t="s">
        <v>2854</v>
      </c>
      <c r="B1325" s="9" t="s">
        <v>1196</v>
      </c>
      <c r="C1325" s="9" t="e">
        <f>VLOOKUP(A1325,[2]Planilha1!$A:$B,2,0)</f>
        <v>#N/A</v>
      </c>
      <c r="D1325" s="10">
        <f>SUMIF([1]Relatório!$A$2:$A$2653,A1325,[1]Relatório!$AK$2:$AK$2653)</f>
        <v>37</v>
      </c>
      <c r="E1325" s="11">
        <f t="shared" si="40"/>
        <v>6.32525125778476e-5</v>
      </c>
      <c r="F1325" s="11">
        <f>SUM($E$7:E1325)</f>
        <v>0.98833076619307</v>
      </c>
      <c r="G1325" s="12" t="str">
        <f t="shared" si="41"/>
        <v>C</v>
      </c>
      <c r="H1325" s="9" t="s">
        <v>221</v>
      </c>
      <c r="I1325" s="9" t="s">
        <v>2855</v>
      </c>
      <c r="J1325" s="9" t="s">
        <v>2139</v>
      </c>
      <c r="K1325" s="10" t="str">
        <f>IFERROR(VLOOKUP(A1325,'Pedido ESTHER'!$B:$C,2,0),"")</f>
        <v/>
      </c>
      <c r="L1325" s="12" t="str">
        <f>IF(N(K1325)&gt;0,"COMPRA","NÃO COMPRA")</f>
        <v>NÃO COMPRA</v>
      </c>
    </row>
    <row r="1326" spans="1:12">
      <c r="A1326" s="8" t="s">
        <v>2856</v>
      </c>
      <c r="B1326" s="9" t="s">
        <v>2096</v>
      </c>
      <c r="C1326" s="9" t="e">
        <f>VLOOKUP(A1326,[2]Planilha1!$A:$B,2,0)</f>
        <v>#N/A</v>
      </c>
      <c r="D1326" s="10">
        <f>SUMIF([1]Relatório!$A$2:$A$2653,A1326,[1]Relatório!$AK$2:$AK$2653)</f>
        <v>37</v>
      </c>
      <c r="E1326" s="11">
        <f t="shared" si="40"/>
        <v>6.32525125778476e-5</v>
      </c>
      <c r="F1326" s="11">
        <f>SUM($E$7:E1326)</f>
        <v>0.988394018705648</v>
      </c>
      <c r="G1326" s="12" t="str">
        <f t="shared" si="41"/>
        <v>C</v>
      </c>
      <c r="H1326" s="9" t="s">
        <v>221</v>
      </c>
      <c r="I1326" s="9" t="s">
        <v>2857</v>
      </c>
      <c r="J1326" s="9" t="s">
        <v>1024</v>
      </c>
      <c r="K1326" s="10" t="str">
        <f>IFERROR(VLOOKUP(A1326,'Pedido ESTHER'!$B:$C,2,0),"")</f>
        <v/>
      </c>
      <c r="L1326" s="12" t="str">
        <f>IF(N(K1326)&gt;0,"COMPRA","NÃO COMPRA")</f>
        <v>NÃO COMPRA</v>
      </c>
    </row>
    <row r="1327" spans="1:12">
      <c r="A1327" s="8" t="s">
        <v>2858</v>
      </c>
      <c r="B1327" s="9" t="s">
        <v>365</v>
      </c>
      <c r="C1327" s="9" t="e">
        <f>VLOOKUP(A1327,[2]Planilha1!$A:$B,2,0)</f>
        <v>#N/A</v>
      </c>
      <c r="D1327" s="10">
        <f>SUMIF([1]Relatório!$A$2:$A$2653,A1327,[1]Relatório!$AK$2:$AK$2653)</f>
        <v>37</v>
      </c>
      <c r="E1327" s="11">
        <f t="shared" si="40"/>
        <v>6.32525125778476e-5</v>
      </c>
      <c r="F1327" s="11">
        <f>SUM($E$7:E1327)</f>
        <v>0.988457271218226</v>
      </c>
      <c r="G1327" s="12" t="str">
        <f t="shared" si="41"/>
        <v>C</v>
      </c>
      <c r="H1327" s="9" t="s">
        <v>18</v>
      </c>
      <c r="I1327" s="9" t="s">
        <v>2859</v>
      </c>
      <c r="J1327" s="9" t="s">
        <v>23</v>
      </c>
      <c r="K1327" s="10" t="str">
        <f>IFERROR(VLOOKUP(A1327,'Pedido ESTHER'!$B:$C,2,0),"")</f>
        <v/>
      </c>
      <c r="L1327" s="12" t="str">
        <f>IF(N(K1327)&gt;0,"COMPRA","NÃO COMPRA")</f>
        <v>NÃO COMPRA</v>
      </c>
    </row>
    <row r="1328" spans="1:12">
      <c r="A1328" s="8" t="s">
        <v>2860</v>
      </c>
      <c r="B1328" s="9" t="s">
        <v>2861</v>
      </c>
      <c r="C1328" s="9" t="e">
        <f>VLOOKUP(A1328,[2]Planilha1!$A:$B,2,0)</f>
        <v>#N/A</v>
      </c>
      <c r="D1328" s="10">
        <f>SUMIF([1]Relatório!$A$2:$A$2653,A1328,[1]Relatório!$AK$2:$AK$2653)</f>
        <v>36</v>
      </c>
      <c r="E1328" s="11">
        <f t="shared" si="40"/>
        <v>6.15429852108788e-5</v>
      </c>
      <c r="F1328" s="11">
        <f>SUM($E$7:E1328)</f>
        <v>0.988518814203437</v>
      </c>
      <c r="G1328" s="12" t="str">
        <f t="shared" si="41"/>
        <v>C</v>
      </c>
      <c r="H1328" s="9" t="s">
        <v>1344</v>
      </c>
      <c r="I1328" s="9" t="s">
        <v>2862</v>
      </c>
      <c r="J1328" s="9" t="s">
        <v>1169</v>
      </c>
      <c r="K1328" s="10" t="str">
        <f>IFERROR(VLOOKUP(A1328,'Pedido ESTHER'!$B:$C,2,0),"")</f>
        <v/>
      </c>
      <c r="L1328" s="12" t="str">
        <f>IF(N(K1328)&gt;0,"COMPRA","NÃO COMPRA")</f>
        <v>NÃO COMPRA</v>
      </c>
    </row>
    <row r="1329" spans="1:12">
      <c r="A1329" s="8" t="s">
        <v>2863</v>
      </c>
      <c r="B1329" s="9" t="s">
        <v>2767</v>
      </c>
      <c r="C1329" s="9" t="e">
        <f>VLOOKUP(A1329,[2]Planilha1!$A:$B,2,0)</f>
        <v>#N/A</v>
      </c>
      <c r="D1329" s="10">
        <f>SUMIF([1]Relatório!$A$2:$A$2653,A1329,[1]Relatório!$AK$2:$AK$2653)</f>
        <v>36</v>
      </c>
      <c r="E1329" s="11">
        <f t="shared" si="40"/>
        <v>6.15429852108788e-5</v>
      </c>
      <c r="F1329" s="11">
        <f>SUM($E$7:E1329)</f>
        <v>0.988580357188648</v>
      </c>
      <c r="G1329" s="12" t="str">
        <f t="shared" si="41"/>
        <v>C</v>
      </c>
      <c r="H1329" s="9" t="s">
        <v>1937</v>
      </c>
      <c r="I1329" s="9" t="s">
        <v>2864</v>
      </c>
      <c r="J1329" s="9" t="s">
        <v>359</v>
      </c>
      <c r="K1329" s="10" t="str">
        <f>IFERROR(VLOOKUP(A1329,'Pedido ESTHER'!$B:$C,2,0),"")</f>
        <v/>
      </c>
      <c r="L1329" s="12" t="str">
        <f>IF(N(K1329)&gt;0,"COMPRA","NÃO COMPRA")</f>
        <v>NÃO COMPRA</v>
      </c>
    </row>
    <row r="1330" spans="1:12">
      <c r="A1330" s="8" t="s">
        <v>2865</v>
      </c>
      <c r="B1330" s="9" t="s">
        <v>2017</v>
      </c>
      <c r="C1330" s="9" t="e">
        <f>VLOOKUP(A1330,[2]Planilha1!$A:$B,2,0)</f>
        <v>#N/A</v>
      </c>
      <c r="D1330" s="10">
        <f>SUMIF([1]Relatório!$A$2:$A$2653,A1330,[1]Relatório!$AK$2:$AK$2653)</f>
        <v>36</v>
      </c>
      <c r="E1330" s="11">
        <f t="shared" si="40"/>
        <v>6.15429852108788e-5</v>
      </c>
      <c r="F1330" s="11">
        <f>SUM($E$7:E1330)</f>
        <v>0.988641900173859</v>
      </c>
      <c r="G1330" s="12" t="str">
        <f t="shared" si="41"/>
        <v>C</v>
      </c>
      <c r="H1330" s="9" t="s">
        <v>1344</v>
      </c>
      <c r="I1330" s="9" t="s">
        <v>2866</v>
      </c>
      <c r="J1330" s="9" t="s">
        <v>213</v>
      </c>
      <c r="K1330" s="10" t="str">
        <f>IFERROR(VLOOKUP(A1330,'Pedido ESTHER'!$B:$C,2,0),"")</f>
        <v/>
      </c>
      <c r="L1330" s="12" t="str">
        <f>IF(N(K1330)&gt;0,"COMPRA","NÃO COMPRA")</f>
        <v>NÃO COMPRA</v>
      </c>
    </row>
    <row r="1331" spans="1:12">
      <c r="A1331" s="8" t="s">
        <v>2867</v>
      </c>
      <c r="B1331" s="9" t="s">
        <v>1781</v>
      </c>
      <c r="C1331" s="9" t="e">
        <f>VLOOKUP(A1331,[2]Planilha1!$A:$B,2,0)</f>
        <v>#N/A</v>
      </c>
      <c r="D1331" s="10">
        <f>SUMIF([1]Relatório!$A$2:$A$2653,A1331,[1]Relatório!$AK$2:$AK$2653)</f>
        <v>36</v>
      </c>
      <c r="E1331" s="11">
        <f t="shared" si="40"/>
        <v>6.15429852108788e-5</v>
      </c>
      <c r="F1331" s="11">
        <f>SUM($E$7:E1331)</f>
        <v>0.98870344315907</v>
      </c>
      <c r="G1331" s="12" t="str">
        <f t="shared" si="41"/>
        <v>C</v>
      </c>
      <c r="H1331" s="9" t="s">
        <v>2406</v>
      </c>
      <c r="I1331" s="9" t="s">
        <v>2868</v>
      </c>
      <c r="J1331" s="9" t="s">
        <v>201</v>
      </c>
      <c r="K1331" s="10" t="str">
        <f>IFERROR(VLOOKUP(A1331,'Pedido ESTHER'!$B:$C,2,0),"")</f>
        <v/>
      </c>
      <c r="L1331" s="12" t="str">
        <f>IF(N(K1331)&gt;0,"COMPRA","NÃO COMPRA")</f>
        <v>NÃO COMPRA</v>
      </c>
    </row>
    <row r="1332" spans="1:12">
      <c r="A1332" s="8" t="s">
        <v>2869</v>
      </c>
      <c r="B1332" s="9" t="s">
        <v>812</v>
      </c>
      <c r="C1332" s="9" t="e">
        <f>VLOOKUP(A1332,[2]Planilha1!$A:$B,2,0)</f>
        <v>#N/A</v>
      </c>
      <c r="D1332" s="10">
        <f>SUMIF([1]Relatório!$A$2:$A$2653,A1332,[1]Relatório!$AK$2:$AK$2653)</f>
        <v>36</v>
      </c>
      <c r="E1332" s="11">
        <f t="shared" si="40"/>
        <v>6.15429852108788e-5</v>
      </c>
      <c r="F1332" s="11">
        <f>SUM($E$7:E1332)</f>
        <v>0.988764986144281</v>
      </c>
      <c r="G1332" s="12" t="str">
        <f t="shared" si="41"/>
        <v>C</v>
      </c>
      <c r="H1332" s="9" t="s">
        <v>183</v>
      </c>
      <c r="I1332" s="9" t="s">
        <v>2870</v>
      </c>
      <c r="J1332" s="9" t="s">
        <v>1143</v>
      </c>
      <c r="K1332" s="10" t="str">
        <f>IFERROR(VLOOKUP(A1332,'Pedido ESTHER'!$B:$C,2,0),"")</f>
        <v/>
      </c>
      <c r="L1332" s="12" t="str">
        <f>IF(N(K1332)&gt;0,"COMPRA","NÃO COMPRA")</f>
        <v>NÃO COMPRA</v>
      </c>
    </row>
    <row r="1333" spans="1:12">
      <c r="A1333" s="8" t="s">
        <v>2871</v>
      </c>
      <c r="B1333" s="9" t="s">
        <v>2012</v>
      </c>
      <c r="C1333" s="9" t="e">
        <f>VLOOKUP(A1333,[2]Planilha1!$A:$B,2,0)</f>
        <v>#N/A</v>
      </c>
      <c r="D1333" s="10">
        <f>SUMIF([1]Relatório!$A$2:$A$2653,A1333,[1]Relatório!$AK$2:$AK$2653)</f>
        <v>36</v>
      </c>
      <c r="E1333" s="11">
        <f t="shared" si="40"/>
        <v>6.15429852108788e-5</v>
      </c>
      <c r="F1333" s="11">
        <f>SUM($E$7:E1333)</f>
        <v>0.988826529129491</v>
      </c>
      <c r="G1333" s="12" t="str">
        <f t="shared" si="41"/>
        <v>C</v>
      </c>
      <c r="H1333" s="9" t="s">
        <v>1059</v>
      </c>
      <c r="I1333" s="9" t="s">
        <v>2872</v>
      </c>
      <c r="J1333" s="9" t="s">
        <v>497</v>
      </c>
      <c r="K1333" s="10" t="str">
        <f>IFERROR(VLOOKUP(A1333,'Pedido ESTHER'!$B:$C,2,0),"")</f>
        <v/>
      </c>
      <c r="L1333" s="12" t="str">
        <f>IF(N(K1333)&gt;0,"COMPRA","NÃO COMPRA")</f>
        <v>NÃO COMPRA</v>
      </c>
    </row>
    <row r="1334" spans="1:12">
      <c r="A1334" s="8" t="s">
        <v>2873</v>
      </c>
      <c r="B1334" s="9" t="s">
        <v>20</v>
      </c>
      <c r="C1334" s="9" t="e">
        <f>VLOOKUP(A1334,[2]Planilha1!$A:$B,2,0)</f>
        <v>#N/A</v>
      </c>
      <c r="D1334" s="10">
        <f>SUMIF([1]Relatório!$A$2:$A$2653,A1334,[1]Relatório!$AK$2:$AK$2653)</f>
        <v>36</v>
      </c>
      <c r="E1334" s="11">
        <f t="shared" si="40"/>
        <v>6.15429852108788e-5</v>
      </c>
      <c r="F1334" s="11">
        <f>SUM($E$7:E1334)</f>
        <v>0.988888072114702</v>
      </c>
      <c r="G1334" s="12" t="str">
        <f t="shared" si="41"/>
        <v>C</v>
      </c>
      <c r="H1334" s="9" t="s">
        <v>21</v>
      </c>
      <c r="I1334" s="9" t="s">
        <v>2874</v>
      </c>
      <c r="J1334" s="9" t="s">
        <v>23</v>
      </c>
      <c r="K1334" s="10" t="str">
        <f>IFERROR(VLOOKUP(A1334,'Pedido ESTHER'!$B:$C,2,0),"")</f>
        <v/>
      </c>
      <c r="L1334" s="12" t="str">
        <f>IF(N(K1334)&gt;0,"COMPRA","NÃO COMPRA")</f>
        <v>NÃO COMPRA</v>
      </c>
    </row>
    <row r="1335" spans="1:12">
      <c r="A1335" s="8" t="s">
        <v>2875</v>
      </c>
      <c r="B1335" s="9" t="s">
        <v>1867</v>
      </c>
      <c r="C1335" s="9" t="e">
        <f>VLOOKUP(A1335,[2]Planilha1!$A:$B,2,0)</f>
        <v>#N/A</v>
      </c>
      <c r="D1335" s="10">
        <f>SUMIF([1]Relatório!$A$2:$A$2653,A1335,[1]Relatório!$AK$2:$AK$2653)</f>
        <v>35</v>
      </c>
      <c r="E1335" s="11">
        <f t="shared" si="40"/>
        <v>5.98334578439099e-5</v>
      </c>
      <c r="F1335" s="11">
        <f>SUM($E$7:E1335)</f>
        <v>0.988947905572546</v>
      </c>
      <c r="G1335" s="12" t="str">
        <f t="shared" si="41"/>
        <v>C</v>
      </c>
      <c r="H1335" s="9" t="s">
        <v>1344</v>
      </c>
      <c r="I1335" s="9" t="s">
        <v>2876</v>
      </c>
      <c r="J1335" s="9" t="s">
        <v>44</v>
      </c>
      <c r="K1335" s="10" t="str">
        <f>IFERROR(VLOOKUP(A1335,'Pedido ESTHER'!$B:$C,2,0),"")</f>
        <v/>
      </c>
      <c r="L1335" s="12" t="str">
        <f>IF(N(K1335)&gt;0,"COMPRA","NÃO COMPRA")</f>
        <v>NÃO COMPRA</v>
      </c>
    </row>
    <row r="1336" spans="1:12">
      <c r="A1336" s="8" t="s">
        <v>2877</v>
      </c>
      <c r="B1336" s="9" t="s">
        <v>1895</v>
      </c>
      <c r="C1336" s="9" t="e">
        <f>VLOOKUP(A1336,[2]Planilha1!$A:$B,2,0)</f>
        <v>#N/A</v>
      </c>
      <c r="D1336" s="10">
        <f>SUMIF([1]Relatório!$A$2:$A$2653,A1336,[1]Relatório!$AK$2:$AK$2653)</f>
        <v>35</v>
      </c>
      <c r="E1336" s="11">
        <f t="shared" si="40"/>
        <v>5.98334578439099e-5</v>
      </c>
      <c r="F1336" s="11">
        <f>SUM($E$7:E1336)</f>
        <v>0.98900773903039</v>
      </c>
      <c r="G1336" s="12" t="str">
        <f t="shared" si="41"/>
        <v>C</v>
      </c>
      <c r="H1336" s="9" t="s">
        <v>1344</v>
      </c>
      <c r="I1336" s="9" t="s">
        <v>2878</v>
      </c>
      <c r="J1336" s="9" t="s">
        <v>158</v>
      </c>
      <c r="K1336" s="10" t="str">
        <f>IFERROR(VLOOKUP(A1336,'Pedido ESTHER'!$B:$C,2,0),"")</f>
        <v/>
      </c>
      <c r="L1336" s="12" t="str">
        <f>IF(N(K1336)&gt;0,"COMPRA","NÃO COMPRA")</f>
        <v>NÃO COMPRA</v>
      </c>
    </row>
    <row r="1337" spans="1:12">
      <c r="A1337" s="8" t="s">
        <v>2879</v>
      </c>
      <c r="B1337" s="9" t="s">
        <v>1905</v>
      </c>
      <c r="C1337" s="9" t="e">
        <f>VLOOKUP(A1337,[2]Planilha1!$A:$B,2,0)</f>
        <v>#N/A</v>
      </c>
      <c r="D1337" s="10">
        <f>SUMIF([1]Relatório!$A$2:$A$2653,A1337,[1]Relatório!$AK$2:$AK$2653)</f>
        <v>35</v>
      </c>
      <c r="E1337" s="11">
        <f t="shared" si="40"/>
        <v>5.98334578439099e-5</v>
      </c>
      <c r="F1337" s="11">
        <f>SUM($E$7:E1337)</f>
        <v>0.989067572488234</v>
      </c>
      <c r="G1337" s="12" t="str">
        <f t="shared" si="41"/>
        <v>C</v>
      </c>
      <c r="H1337" s="9" t="s">
        <v>2406</v>
      </c>
      <c r="I1337" s="9" t="s">
        <v>2880</v>
      </c>
      <c r="J1337" s="9" t="s">
        <v>164</v>
      </c>
      <c r="K1337" s="10" t="str">
        <f>IFERROR(VLOOKUP(A1337,'Pedido ESTHER'!$B:$C,2,0),"")</f>
        <v/>
      </c>
      <c r="L1337" s="12" t="str">
        <f>IF(N(K1337)&gt;0,"COMPRA","NÃO COMPRA")</f>
        <v>NÃO COMPRA</v>
      </c>
    </row>
    <row r="1338" spans="1:12">
      <c r="A1338" s="8" t="s">
        <v>2881</v>
      </c>
      <c r="B1338" s="9" t="s">
        <v>1933</v>
      </c>
      <c r="C1338" s="9" t="e">
        <f>VLOOKUP(A1338,[2]Planilha1!$A:$B,2,0)</f>
        <v>#N/A</v>
      </c>
      <c r="D1338" s="10">
        <f>SUMIF([1]Relatório!$A$2:$A$2653,A1338,[1]Relatório!$AK$2:$AK$2653)</f>
        <v>35</v>
      </c>
      <c r="E1338" s="11">
        <f t="shared" si="40"/>
        <v>5.98334578439099e-5</v>
      </c>
      <c r="F1338" s="11">
        <f>SUM($E$7:E1338)</f>
        <v>0.989127405946078</v>
      </c>
      <c r="G1338" s="12" t="str">
        <f t="shared" si="41"/>
        <v>C</v>
      </c>
      <c r="H1338" s="9" t="s">
        <v>1344</v>
      </c>
      <c r="I1338" s="9" t="s">
        <v>2882</v>
      </c>
      <c r="J1338" s="9" t="s">
        <v>213</v>
      </c>
      <c r="K1338" s="10" t="str">
        <f>IFERROR(VLOOKUP(A1338,'Pedido ESTHER'!$B:$C,2,0),"")</f>
        <v/>
      </c>
      <c r="L1338" s="12" t="str">
        <f>IF(N(K1338)&gt;0,"COMPRA","NÃO COMPRA")</f>
        <v>NÃO COMPRA</v>
      </c>
    </row>
    <row r="1339" spans="1:12">
      <c r="A1339" s="8" t="s">
        <v>2883</v>
      </c>
      <c r="B1339" s="9" t="s">
        <v>2219</v>
      </c>
      <c r="C1339" s="9" t="e">
        <f>VLOOKUP(A1339,[2]Planilha1!$A:$B,2,0)</f>
        <v>#N/A</v>
      </c>
      <c r="D1339" s="10">
        <f>SUMIF([1]Relatório!$A$2:$A$2653,A1339,[1]Relatório!$AK$2:$AK$2653)</f>
        <v>35</v>
      </c>
      <c r="E1339" s="11">
        <f t="shared" si="40"/>
        <v>5.98334578439099e-5</v>
      </c>
      <c r="F1339" s="11">
        <f>SUM($E$7:E1339)</f>
        <v>0.989187239403922</v>
      </c>
      <c r="G1339" s="12" t="str">
        <f t="shared" si="41"/>
        <v>C</v>
      </c>
      <c r="H1339" s="9" t="s">
        <v>1344</v>
      </c>
      <c r="I1339" s="9" t="s">
        <v>2884</v>
      </c>
      <c r="J1339" s="9" t="s">
        <v>36</v>
      </c>
      <c r="K1339" s="10" t="str">
        <f>IFERROR(VLOOKUP(A1339,'Pedido ESTHER'!$B:$C,2,0),"")</f>
        <v/>
      </c>
      <c r="L1339" s="12" t="str">
        <f>IF(N(K1339)&gt;0,"COMPRA","NÃO COMPRA")</f>
        <v>NÃO COMPRA</v>
      </c>
    </row>
    <row r="1340" spans="1:12">
      <c r="A1340" s="8" t="s">
        <v>2885</v>
      </c>
      <c r="B1340" s="9" t="s">
        <v>1895</v>
      </c>
      <c r="C1340" s="9" t="e">
        <f>VLOOKUP(A1340,[2]Planilha1!$A:$B,2,0)</f>
        <v>#N/A</v>
      </c>
      <c r="D1340" s="10">
        <f>SUMIF([1]Relatório!$A$2:$A$2653,A1340,[1]Relatório!$AK$2:$AK$2653)</f>
        <v>35</v>
      </c>
      <c r="E1340" s="11">
        <f t="shared" si="40"/>
        <v>5.98334578439099e-5</v>
      </c>
      <c r="F1340" s="11">
        <f>SUM($E$7:E1340)</f>
        <v>0.989247072861766</v>
      </c>
      <c r="G1340" s="12" t="str">
        <f t="shared" si="41"/>
        <v>C</v>
      </c>
      <c r="H1340" s="9" t="s">
        <v>1344</v>
      </c>
      <c r="I1340" s="9"/>
      <c r="J1340" s="9" t="s">
        <v>15</v>
      </c>
      <c r="K1340" s="10" t="str">
        <f>IFERROR(VLOOKUP(A1340,'Pedido ESTHER'!$B:$C,2,0),"")</f>
        <v/>
      </c>
      <c r="L1340" s="12" t="str">
        <f>IF(N(K1340)&gt;0,"COMPRA","NÃO COMPRA")</f>
        <v>NÃO COMPRA</v>
      </c>
    </row>
    <row r="1341" spans="1:12">
      <c r="A1341" s="8" t="s">
        <v>2886</v>
      </c>
      <c r="B1341" s="9" t="s">
        <v>602</v>
      </c>
      <c r="C1341" s="9" t="e">
        <f>VLOOKUP(A1341,[2]Planilha1!$A:$B,2,0)</f>
        <v>#N/A</v>
      </c>
      <c r="D1341" s="10">
        <f>SUMIF([1]Relatório!$A$2:$A$2653,A1341,[1]Relatório!$AK$2:$AK$2653)</f>
        <v>35</v>
      </c>
      <c r="E1341" s="11">
        <f t="shared" si="40"/>
        <v>5.98334578439099e-5</v>
      </c>
      <c r="F1341" s="11">
        <f>SUM($E$7:E1341)</f>
        <v>0.989306906319609</v>
      </c>
      <c r="G1341" s="12" t="str">
        <f t="shared" si="41"/>
        <v>C</v>
      </c>
      <c r="H1341" s="9" t="s">
        <v>892</v>
      </c>
      <c r="I1341" s="9" t="s">
        <v>2887</v>
      </c>
      <c r="J1341" s="9" t="s">
        <v>213</v>
      </c>
      <c r="K1341" s="10" t="str">
        <f>IFERROR(VLOOKUP(A1341,'Pedido ESTHER'!$B:$C,2,0),"")</f>
        <v/>
      </c>
      <c r="L1341" s="12" t="str">
        <f>IF(N(K1341)&gt;0,"COMPRA","NÃO COMPRA")</f>
        <v>NÃO COMPRA</v>
      </c>
    </row>
    <row r="1342" spans="1:12">
      <c r="A1342" s="8" t="s">
        <v>2888</v>
      </c>
      <c r="B1342" s="9" t="s">
        <v>1161</v>
      </c>
      <c r="C1342" s="9" t="e">
        <f>VLOOKUP(A1342,[2]Planilha1!$A:$B,2,0)</f>
        <v>#N/A</v>
      </c>
      <c r="D1342" s="10">
        <f>SUMIF([1]Relatório!$A$2:$A$2653,A1342,[1]Relatório!$AK$2:$AK$2653)</f>
        <v>35</v>
      </c>
      <c r="E1342" s="11">
        <f t="shared" si="40"/>
        <v>5.98334578439099e-5</v>
      </c>
      <c r="F1342" s="11">
        <f>SUM($E$7:E1342)</f>
        <v>0.989366739777453</v>
      </c>
      <c r="G1342" s="12" t="str">
        <f t="shared" si="41"/>
        <v>C</v>
      </c>
      <c r="H1342" s="9" t="s">
        <v>183</v>
      </c>
      <c r="I1342" s="9"/>
      <c r="J1342" s="9" t="s">
        <v>1883</v>
      </c>
      <c r="K1342" s="10" t="str">
        <f>IFERROR(VLOOKUP(A1342,'Pedido ESTHER'!$B:$C,2,0),"")</f>
        <v/>
      </c>
      <c r="L1342" s="12" t="str">
        <f>IF(N(K1342)&gt;0,"COMPRA","NÃO COMPRA")</f>
        <v>NÃO COMPRA</v>
      </c>
    </row>
    <row r="1343" spans="1:12">
      <c r="A1343" s="8" t="s">
        <v>2889</v>
      </c>
      <c r="B1343" s="9" t="s">
        <v>2890</v>
      </c>
      <c r="C1343" s="9" t="e">
        <f>VLOOKUP(A1343,[2]Planilha1!$A:$B,2,0)</f>
        <v>#N/A</v>
      </c>
      <c r="D1343" s="10">
        <f>SUMIF([1]Relatório!$A$2:$A$2653,A1343,[1]Relatório!$AK$2:$AK$2653)</f>
        <v>35</v>
      </c>
      <c r="E1343" s="11">
        <f t="shared" si="40"/>
        <v>5.98334578439099e-5</v>
      </c>
      <c r="F1343" s="11">
        <f>SUM($E$7:E1343)</f>
        <v>0.989426573235297</v>
      </c>
      <c r="G1343" s="12" t="str">
        <f t="shared" si="41"/>
        <v>C</v>
      </c>
      <c r="H1343" s="9" t="s">
        <v>586</v>
      </c>
      <c r="I1343" s="9" t="s">
        <v>2891</v>
      </c>
      <c r="J1343" s="9" t="s">
        <v>695</v>
      </c>
      <c r="K1343" s="10" t="str">
        <f>IFERROR(VLOOKUP(A1343,'Pedido ESTHER'!$B:$C,2,0),"")</f>
        <v/>
      </c>
      <c r="L1343" s="12" t="str">
        <f>IF(N(K1343)&gt;0,"COMPRA","NÃO COMPRA")</f>
        <v>NÃO COMPRA</v>
      </c>
    </row>
    <row r="1344" spans="1:12">
      <c r="A1344" s="8" t="s">
        <v>2892</v>
      </c>
      <c r="B1344" s="9" t="s">
        <v>2830</v>
      </c>
      <c r="C1344" s="9" t="e">
        <f>VLOOKUP(A1344,[2]Planilha1!$A:$B,2,0)</f>
        <v>#N/A</v>
      </c>
      <c r="D1344" s="10">
        <f>SUMIF([1]Relatório!$A$2:$A$2653,A1344,[1]Relatório!$AK$2:$AK$2653)</f>
        <v>35</v>
      </c>
      <c r="E1344" s="11">
        <f t="shared" si="40"/>
        <v>5.98334578439099e-5</v>
      </c>
      <c r="F1344" s="11">
        <f>SUM($E$7:E1344)</f>
        <v>0.989486406693141</v>
      </c>
      <c r="G1344" s="12" t="str">
        <f t="shared" si="41"/>
        <v>C</v>
      </c>
      <c r="H1344" s="9" t="s">
        <v>1059</v>
      </c>
      <c r="I1344" s="9" t="s">
        <v>2893</v>
      </c>
      <c r="J1344" s="9" t="s">
        <v>2894</v>
      </c>
      <c r="K1344" s="10" t="str">
        <f>IFERROR(VLOOKUP(A1344,'Pedido ESTHER'!$B:$C,2,0),"")</f>
        <v/>
      </c>
      <c r="L1344" s="12" t="str">
        <f>IF(N(K1344)&gt;0,"COMPRA","NÃO COMPRA")</f>
        <v>NÃO COMPRA</v>
      </c>
    </row>
    <row r="1345" spans="1:12">
      <c r="A1345" s="8" t="s">
        <v>2895</v>
      </c>
      <c r="B1345" s="9" t="s">
        <v>342</v>
      </c>
      <c r="C1345" s="9" t="e">
        <f>VLOOKUP(A1345,[2]Planilha1!$A:$B,2,0)</f>
        <v>#N/A</v>
      </c>
      <c r="D1345" s="10">
        <f>SUMIF([1]Relatório!$A$2:$A$2653,A1345,[1]Relatório!$AK$2:$AK$2653)</f>
        <v>35</v>
      </c>
      <c r="E1345" s="11">
        <f t="shared" si="40"/>
        <v>5.98334578439099e-5</v>
      </c>
      <c r="F1345" s="11">
        <f>SUM($E$7:E1345)</f>
        <v>0.989546240150985</v>
      </c>
      <c r="G1345" s="12" t="str">
        <f t="shared" si="41"/>
        <v>C</v>
      </c>
      <c r="H1345" s="9" t="s">
        <v>831</v>
      </c>
      <c r="I1345" s="9" t="s">
        <v>2896</v>
      </c>
      <c r="J1345" s="9" t="s">
        <v>158</v>
      </c>
      <c r="K1345" s="10" t="str">
        <f>IFERROR(VLOOKUP(A1345,'Pedido ESTHER'!$B:$C,2,0),"")</f>
        <v/>
      </c>
      <c r="L1345" s="12" t="str">
        <f>IF(N(K1345)&gt;0,"COMPRA","NÃO COMPRA")</f>
        <v>NÃO COMPRA</v>
      </c>
    </row>
    <row r="1346" spans="1:12">
      <c r="A1346" s="8" t="s">
        <v>2897</v>
      </c>
      <c r="B1346" s="9" t="s">
        <v>2187</v>
      </c>
      <c r="C1346" s="9" t="e">
        <f>VLOOKUP(A1346,[2]Planilha1!$A:$B,2,0)</f>
        <v>#N/A</v>
      </c>
      <c r="D1346" s="10">
        <f>SUMIF([1]Relatório!$A$2:$A$2653,A1346,[1]Relatório!$AK$2:$AK$2653)</f>
        <v>35</v>
      </c>
      <c r="E1346" s="11">
        <f t="shared" si="40"/>
        <v>5.98334578439099e-5</v>
      </c>
      <c r="F1346" s="11">
        <f>SUM($E$7:E1346)</f>
        <v>0.989606073608829</v>
      </c>
      <c r="G1346" s="12" t="str">
        <f t="shared" si="41"/>
        <v>C</v>
      </c>
      <c r="H1346" s="9" t="s">
        <v>221</v>
      </c>
      <c r="I1346" s="9" t="s">
        <v>2898</v>
      </c>
      <c r="J1346" s="9" t="s">
        <v>201</v>
      </c>
      <c r="K1346" s="10" t="str">
        <f>IFERROR(VLOOKUP(A1346,'Pedido ESTHER'!$B:$C,2,0),"")</f>
        <v/>
      </c>
      <c r="L1346" s="12" t="str">
        <f>IF(N(K1346)&gt;0,"COMPRA","NÃO COMPRA")</f>
        <v>NÃO COMPRA</v>
      </c>
    </row>
    <row r="1347" spans="1:12">
      <c r="A1347" s="8" t="s">
        <v>2899</v>
      </c>
      <c r="B1347" s="9" t="s">
        <v>51</v>
      </c>
      <c r="C1347" s="9" t="e">
        <f>VLOOKUP(A1347,[2]Planilha1!$A:$B,2,0)</f>
        <v>#N/A</v>
      </c>
      <c r="D1347" s="10">
        <f>SUMIF([1]Relatório!$A$2:$A$2653,A1347,[1]Relatório!$AK$2:$AK$2653)</f>
        <v>35</v>
      </c>
      <c r="E1347" s="11">
        <f t="shared" si="40"/>
        <v>5.98334578439099e-5</v>
      </c>
      <c r="F1347" s="11">
        <f>SUM($E$7:E1347)</f>
        <v>0.989665907066673</v>
      </c>
      <c r="G1347" s="12" t="str">
        <f t="shared" si="41"/>
        <v>C</v>
      </c>
      <c r="H1347" s="9" t="s">
        <v>21</v>
      </c>
      <c r="I1347" s="9" t="s">
        <v>2900</v>
      </c>
      <c r="J1347" s="9" t="s">
        <v>33</v>
      </c>
      <c r="K1347" s="10" t="str">
        <f>IFERROR(VLOOKUP(A1347,'Pedido ESTHER'!$B:$C,2,0),"")</f>
        <v/>
      </c>
      <c r="L1347" s="12" t="str">
        <f>IF(N(K1347)&gt;0,"COMPRA","NÃO COMPRA")</f>
        <v>NÃO COMPRA</v>
      </c>
    </row>
    <row r="1348" spans="1:12">
      <c r="A1348" s="8" t="s">
        <v>2901</v>
      </c>
      <c r="B1348" s="9" t="s">
        <v>2219</v>
      </c>
      <c r="C1348" s="9" t="e">
        <f>VLOOKUP(A1348,[2]Planilha1!$A:$B,2,0)</f>
        <v>#N/A</v>
      </c>
      <c r="D1348" s="10">
        <f>SUMIF([1]Relatório!$A$2:$A$2653,A1348,[1]Relatório!$AK$2:$AK$2653)</f>
        <v>34</v>
      </c>
      <c r="E1348" s="11">
        <f t="shared" si="40"/>
        <v>5.8123930476941e-5</v>
      </c>
      <c r="F1348" s="11">
        <f>SUM($E$7:E1348)</f>
        <v>0.98972403099715</v>
      </c>
      <c r="G1348" s="12" t="str">
        <f t="shared" si="41"/>
        <v>C</v>
      </c>
      <c r="H1348" s="9" t="s">
        <v>1344</v>
      </c>
      <c r="I1348" s="9" t="s">
        <v>2902</v>
      </c>
      <c r="J1348" s="9" t="s">
        <v>36</v>
      </c>
      <c r="K1348" s="10" t="str">
        <f>IFERROR(VLOOKUP(A1348,'Pedido ESTHER'!$B:$C,2,0),"")</f>
        <v/>
      </c>
      <c r="L1348" s="12" t="str">
        <f>IF(N(K1348)&gt;0,"COMPRA","NÃO COMPRA")</f>
        <v>NÃO COMPRA</v>
      </c>
    </row>
    <row r="1349" spans="1:12">
      <c r="A1349" s="8" t="s">
        <v>2903</v>
      </c>
      <c r="B1349" s="9" t="s">
        <v>2085</v>
      </c>
      <c r="C1349" s="9" t="e">
        <f>VLOOKUP(A1349,[2]Planilha1!$A:$B,2,0)</f>
        <v>#N/A</v>
      </c>
      <c r="D1349" s="10">
        <f>SUMIF([1]Relatório!$A$2:$A$2653,A1349,[1]Relatório!$AK$2:$AK$2653)</f>
        <v>34</v>
      </c>
      <c r="E1349" s="11">
        <f t="shared" si="40"/>
        <v>5.8123930476941e-5</v>
      </c>
      <c r="F1349" s="11">
        <f>SUM($E$7:E1349)</f>
        <v>0.989782154927627</v>
      </c>
      <c r="G1349" s="12" t="str">
        <f t="shared" si="41"/>
        <v>C</v>
      </c>
      <c r="H1349" s="9" t="s">
        <v>1344</v>
      </c>
      <c r="I1349" s="9" t="s">
        <v>2904</v>
      </c>
      <c r="J1349" s="9" t="s">
        <v>44</v>
      </c>
      <c r="K1349" s="10" t="str">
        <f>IFERROR(VLOOKUP(A1349,'Pedido ESTHER'!$B:$C,2,0),"")</f>
        <v/>
      </c>
      <c r="L1349" s="12" t="str">
        <f>IF(N(K1349)&gt;0,"COMPRA","NÃO COMPRA")</f>
        <v>NÃO COMPRA</v>
      </c>
    </row>
    <row r="1350" spans="1:12">
      <c r="A1350" s="8" t="s">
        <v>2905</v>
      </c>
      <c r="B1350" s="9" t="s">
        <v>1917</v>
      </c>
      <c r="C1350" s="9" t="e">
        <f>VLOOKUP(A1350,[2]Planilha1!$A:$B,2,0)</f>
        <v>#N/A</v>
      </c>
      <c r="D1350" s="10">
        <f>SUMIF([1]Relatório!$A$2:$A$2653,A1350,[1]Relatório!$AK$2:$AK$2653)</f>
        <v>34</v>
      </c>
      <c r="E1350" s="11">
        <f t="shared" si="40"/>
        <v>5.8123930476941e-5</v>
      </c>
      <c r="F1350" s="11">
        <f>SUM($E$7:E1350)</f>
        <v>0.989840278858104</v>
      </c>
      <c r="G1350" s="12" t="str">
        <f t="shared" si="41"/>
        <v>C</v>
      </c>
      <c r="H1350" s="9" t="s">
        <v>2406</v>
      </c>
      <c r="I1350" s="9" t="s">
        <v>2906</v>
      </c>
      <c r="J1350" s="9" t="s">
        <v>40</v>
      </c>
      <c r="K1350" s="10" t="str">
        <f>IFERROR(VLOOKUP(A1350,'Pedido ESTHER'!$B:$C,2,0),"")</f>
        <v/>
      </c>
      <c r="L1350" s="12" t="str">
        <f>IF(N(K1350)&gt;0,"COMPRA","NÃO COMPRA")</f>
        <v>NÃO COMPRA</v>
      </c>
    </row>
    <row r="1351" spans="1:12">
      <c r="A1351" s="8" t="s">
        <v>2907</v>
      </c>
      <c r="B1351" s="9" t="s">
        <v>363</v>
      </c>
      <c r="C1351" s="9" t="e">
        <f>VLOOKUP(A1351,[2]Planilha1!$A:$B,2,0)</f>
        <v>#N/A</v>
      </c>
      <c r="D1351" s="10">
        <f>SUMIF([1]Relatório!$A$2:$A$2653,A1351,[1]Relatório!$AK$2:$AK$2653)</f>
        <v>34</v>
      </c>
      <c r="E1351" s="11">
        <f t="shared" si="40"/>
        <v>5.8123930476941e-5</v>
      </c>
      <c r="F1351" s="11">
        <f>SUM($E$7:E1351)</f>
        <v>0.989898402788581</v>
      </c>
      <c r="G1351" s="12" t="str">
        <f t="shared" si="41"/>
        <v>C</v>
      </c>
      <c r="H1351" s="9" t="s">
        <v>183</v>
      </c>
      <c r="I1351" s="9" t="s">
        <v>2908</v>
      </c>
      <c r="J1351" s="9" t="s">
        <v>40</v>
      </c>
      <c r="K1351" s="10" t="str">
        <f>IFERROR(VLOOKUP(A1351,'Pedido ESTHER'!$B:$C,2,0),"")</f>
        <v/>
      </c>
      <c r="L1351" s="12" t="str">
        <f>IF(N(K1351)&gt;0,"COMPRA","NÃO COMPRA")</f>
        <v>NÃO COMPRA</v>
      </c>
    </row>
    <row r="1352" spans="1:12">
      <c r="A1352" s="8" t="s">
        <v>2909</v>
      </c>
      <c r="B1352" s="9" t="s">
        <v>602</v>
      </c>
      <c r="C1352" s="9" t="e">
        <f>VLOOKUP(A1352,[2]Planilha1!$A:$B,2,0)</f>
        <v>#N/A</v>
      </c>
      <c r="D1352" s="10">
        <f>SUMIF([1]Relatório!$A$2:$A$2653,A1352,[1]Relatório!$AK$2:$AK$2653)</f>
        <v>34</v>
      </c>
      <c r="E1352" s="11">
        <f t="shared" ref="E1352:E1415" si="42">D1352/SUM($D$7:$D$1708)</f>
        <v>5.8123930476941e-5</v>
      </c>
      <c r="F1352" s="11">
        <f>SUM($E$7:E1352)</f>
        <v>0.989956526719058</v>
      </c>
      <c r="G1352" s="12" t="str">
        <f t="shared" ref="G1352:G1415" si="43">IF(F1352&lt;=70%,"A",IF(F1352&lt;=90%,"B","C"))</f>
        <v>C</v>
      </c>
      <c r="H1352" s="9" t="s">
        <v>892</v>
      </c>
      <c r="I1352" s="9" t="s">
        <v>2910</v>
      </c>
      <c r="J1352" s="9" t="s">
        <v>213</v>
      </c>
      <c r="K1352" s="10" t="str">
        <f>IFERROR(VLOOKUP(A1352,'Pedido ESTHER'!$B:$C,2,0),"")</f>
        <v/>
      </c>
      <c r="L1352" s="12" t="str">
        <f>IF(N(K1352)&gt;0,"COMPRA","NÃO COMPRA")</f>
        <v>NÃO COMPRA</v>
      </c>
    </row>
    <row r="1353" spans="1:12">
      <c r="A1353" s="8" t="s">
        <v>2911</v>
      </c>
      <c r="B1353" s="9" t="s">
        <v>2912</v>
      </c>
      <c r="C1353" s="9" t="e">
        <f>VLOOKUP(A1353,[2]Planilha1!$A:$B,2,0)</f>
        <v>#N/A</v>
      </c>
      <c r="D1353" s="10">
        <f>SUMIF([1]Relatório!$A$2:$A$2653,A1353,[1]Relatório!$AK$2:$AK$2653)</f>
        <v>34</v>
      </c>
      <c r="E1353" s="11">
        <f t="shared" si="42"/>
        <v>5.8123930476941e-5</v>
      </c>
      <c r="F1353" s="11">
        <f>SUM($E$7:E1353)</f>
        <v>0.990014650649535</v>
      </c>
      <c r="G1353" s="12" t="str">
        <f t="shared" si="43"/>
        <v>C</v>
      </c>
      <c r="H1353" s="9" t="s">
        <v>183</v>
      </c>
      <c r="I1353" s="9"/>
      <c r="J1353" s="9" t="s">
        <v>2913</v>
      </c>
      <c r="K1353" s="10" t="str">
        <f>IFERROR(VLOOKUP(A1353,'Pedido ESTHER'!$B:$C,2,0),"")</f>
        <v/>
      </c>
      <c r="L1353" s="12" t="str">
        <f>IF(N(K1353)&gt;0,"COMPRA","NÃO COMPRA")</f>
        <v>NÃO COMPRA</v>
      </c>
    </row>
    <row r="1354" spans="1:12">
      <c r="A1354" s="8" t="s">
        <v>2914</v>
      </c>
      <c r="B1354" s="9" t="s">
        <v>1512</v>
      </c>
      <c r="C1354" s="9" t="e">
        <f>VLOOKUP(A1354,[2]Planilha1!$A:$B,2,0)</f>
        <v>#N/A</v>
      </c>
      <c r="D1354" s="10">
        <f>SUMIF([1]Relatório!$A$2:$A$2653,A1354,[1]Relatório!$AK$2:$AK$2653)</f>
        <v>34</v>
      </c>
      <c r="E1354" s="11">
        <f t="shared" si="42"/>
        <v>5.8123930476941e-5</v>
      </c>
      <c r="F1354" s="11">
        <f>SUM($E$7:E1354)</f>
        <v>0.990072774580012</v>
      </c>
      <c r="G1354" s="12" t="str">
        <f t="shared" si="43"/>
        <v>C</v>
      </c>
      <c r="H1354" s="9" t="s">
        <v>586</v>
      </c>
      <c r="I1354" s="9" t="s">
        <v>2915</v>
      </c>
      <c r="J1354" s="9" t="s">
        <v>1842</v>
      </c>
      <c r="K1354" s="10" t="str">
        <f>IFERROR(VLOOKUP(A1354,'Pedido ESTHER'!$B:$C,2,0),"")</f>
        <v/>
      </c>
      <c r="L1354" s="12" t="str">
        <f>IF(N(K1354)&gt;0,"COMPRA","NÃO COMPRA")</f>
        <v>NÃO COMPRA</v>
      </c>
    </row>
    <row r="1355" spans="1:12">
      <c r="A1355" s="8" t="s">
        <v>2916</v>
      </c>
      <c r="B1355" s="9" t="s">
        <v>2012</v>
      </c>
      <c r="C1355" s="9" t="e">
        <f>VLOOKUP(A1355,[2]Planilha1!$A:$B,2,0)</f>
        <v>#N/A</v>
      </c>
      <c r="D1355" s="10">
        <f>SUMIF([1]Relatório!$A$2:$A$2653,A1355,[1]Relatório!$AK$2:$AK$2653)</f>
        <v>34</v>
      </c>
      <c r="E1355" s="11">
        <f t="shared" si="42"/>
        <v>5.8123930476941e-5</v>
      </c>
      <c r="F1355" s="11">
        <f>SUM($E$7:E1355)</f>
        <v>0.990130898510489</v>
      </c>
      <c r="G1355" s="12" t="str">
        <f t="shared" si="43"/>
        <v>C</v>
      </c>
      <c r="H1355" s="9" t="s">
        <v>1059</v>
      </c>
      <c r="I1355" s="9" t="s">
        <v>2917</v>
      </c>
      <c r="J1355" s="9" t="s">
        <v>1143</v>
      </c>
      <c r="K1355" s="10" t="str">
        <f>IFERROR(VLOOKUP(A1355,'Pedido ESTHER'!$B:$C,2,0),"")</f>
        <v/>
      </c>
      <c r="L1355" s="12" t="str">
        <f>IF(N(K1355)&gt;0,"COMPRA","NÃO COMPRA")</f>
        <v>NÃO COMPRA</v>
      </c>
    </row>
    <row r="1356" spans="1:12">
      <c r="A1356" s="8" t="s">
        <v>2918</v>
      </c>
      <c r="B1356" s="9" t="s">
        <v>2444</v>
      </c>
      <c r="C1356" s="9" t="e">
        <f>VLOOKUP(A1356,[2]Planilha1!$A:$B,2,0)</f>
        <v>#N/A</v>
      </c>
      <c r="D1356" s="10">
        <f>SUMIF([1]Relatório!$A$2:$A$2653,A1356,[1]Relatório!$AK$2:$AK$2653)</f>
        <v>34</v>
      </c>
      <c r="E1356" s="11">
        <f t="shared" si="42"/>
        <v>5.8123930476941e-5</v>
      </c>
      <c r="F1356" s="11">
        <f>SUM($E$7:E1356)</f>
        <v>0.990189022440966</v>
      </c>
      <c r="G1356" s="12" t="str">
        <f t="shared" si="43"/>
        <v>C</v>
      </c>
      <c r="H1356" s="9" t="s">
        <v>1059</v>
      </c>
      <c r="I1356" s="9" t="s">
        <v>2919</v>
      </c>
      <c r="J1356" s="9" t="s">
        <v>925</v>
      </c>
      <c r="K1356" s="10" t="str">
        <f>IFERROR(VLOOKUP(A1356,'Pedido ESTHER'!$B:$C,2,0),"")</f>
        <v/>
      </c>
      <c r="L1356" s="12" t="str">
        <f>IF(N(K1356)&gt;0,"COMPRA","NÃO COMPRA")</f>
        <v>NÃO COMPRA</v>
      </c>
    </row>
    <row r="1357" spans="1:12">
      <c r="A1357" s="8" t="s">
        <v>2920</v>
      </c>
      <c r="B1357" s="9" t="s">
        <v>38</v>
      </c>
      <c r="C1357" s="9" t="e">
        <f>VLOOKUP(A1357,[2]Planilha1!$A:$B,2,0)</f>
        <v>#N/A</v>
      </c>
      <c r="D1357" s="10">
        <f>SUMIF([1]Relatório!$A$2:$A$2653,A1357,[1]Relatório!$AK$2:$AK$2653)</f>
        <v>34</v>
      </c>
      <c r="E1357" s="11">
        <f t="shared" si="42"/>
        <v>5.8123930476941e-5</v>
      </c>
      <c r="F1357" s="11">
        <f>SUM($E$7:E1357)</f>
        <v>0.990247146371443</v>
      </c>
      <c r="G1357" s="12" t="str">
        <f t="shared" si="43"/>
        <v>C</v>
      </c>
      <c r="H1357" s="9" t="s">
        <v>21</v>
      </c>
      <c r="I1357" s="9" t="s">
        <v>2921</v>
      </c>
      <c r="J1357" s="9" t="s">
        <v>40</v>
      </c>
      <c r="K1357" s="10" t="str">
        <f>IFERROR(VLOOKUP(A1357,'Pedido ESTHER'!$B:$C,2,0),"")</f>
        <v/>
      </c>
      <c r="L1357" s="12" t="str">
        <f>IF(N(K1357)&gt;0,"COMPRA","NÃO COMPRA")</f>
        <v>NÃO COMPRA</v>
      </c>
    </row>
    <row r="1358" spans="1:12">
      <c r="A1358" s="8" t="s">
        <v>2922</v>
      </c>
      <c r="B1358" s="9" t="s">
        <v>1573</v>
      </c>
      <c r="C1358" s="9" t="e">
        <f>VLOOKUP(A1358,[2]Planilha1!$A:$B,2,0)</f>
        <v>#N/A</v>
      </c>
      <c r="D1358" s="10">
        <f>SUMIF([1]Relatório!$A$2:$A$2653,A1358,[1]Relatório!$AK$2:$AK$2653)</f>
        <v>33</v>
      </c>
      <c r="E1358" s="11">
        <f t="shared" si="42"/>
        <v>5.64144031099722e-5</v>
      </c>
      <c r="F1358" s="11">
        <f>SUM($E$7:E1358)</f>
        <v>0.990303560774553</v>
      </c>
      <c r="G1358" s="12" t="str">
        <f t="shared" si="43"/>
        <v>C</v>
      </c>
      <c r="H1358" s="9" t="s">
        <v>312</v>
      </c>
      <c r="I1358" s="9"/>
      <c r="J1358" s="9" t="s">
        <v>15</v>
      </c>
      <c r="K1358" s="10" t="str">
        <f>IFERROR(VLOOKUP(A1358,'Pedido ESTHER'!$B:$C,2,0),"")</f>
        <v/>
      </c>
      <c r="L1358" s="12" t="str">
        <f>IF(N(K1358)&gt;0,"COMPRA","NÃO COMPRA")</f>
        <v>NÃO COMPRA</v>
      </c>
    </row>
    <row r="1359" spans="1:12">
      <c r="A1359" s="8" t="s">
        <v>2923</v>
      </c>
      <c r="B1359" s="9" t="s">
        <v>1945</v>
      </c>
      <c r="C1359" s="9" t="e">
        <f>VLOOKUP(A1359,[2]Planilha1!$A:$B,2,0)</f>
        <v>#N/A</v>
      </c>
      <c r="D1359" s="10">
        <f>SUMIF([1]Relatório!$A$2:$A$2653,A1359,[1]Relatório!$AK$2:$AK$2653)</f>
        <v>33</v>
      </c>
      <c r="E1359" s="11">
        <f t="shared" si="42"/>
        <v>5.64144031099722e-5</v>
      </c>
      <c r="F1359" s="11">
        <f>SUM($E$7:E1359)</f>
        <v>0.990359975177663</v>
      </c>
      <c r="G1359" s="12" t="str">
        <f t="shared" si="43"/>
        <v>C</v>
      </c>
      <c r="H1359" s="9" t="s">
        <v>1344</v>
      </c>
      <c r="I1359" s="9" t="s">
        <v>2924</v>
      </c>
      <c r="J1359" s="9" t="s">
        <v>158</v>
      </c>
      <c r="K1359" s="10" t="str">
        <f>IFERROR(VLOOKUP(A1359,'Pedido ESTHER'!$B:$C,2,0),"")</f>
        <v/>
      </c>
      <c r="L1359" s="12" t="str">
        <f>IF(N(K1359)&gt;0,"COMPRA","NÃO COMPRA")</f>
        <v>NÃO COMPRA</v>
      </c>
    </row>
    <row r="1360" spans="1:12">
      <c r="A1360" s="8" t="s">
        <v>2925</v>
      </c>
      <c r="B1360" s="9" t="s">
        <v>1945</v>
      </c>
      <c r="C1360" s="9" t="e">
        <f>VLOOKUP(A1360,[2]Planilha1!$A:$B,2,0)</f>
        <v>#N/A</v>
      </c>
      <c r="D1360" s="10">
        <f>SUMIF([1]Relatório!$A$2:$A$2653,A1360,[1]Relatório!$AK$2:$AK$2653)</f>
        <v>33</v>
      </c>
      <c r="E1360" s="11">
        <f t="shared" si="42"/>
        <v>5.64144031099722e-5</v>
      </c>
      <c r="F1360" s="11">
        <f>SUM($E$7:E1360)</f>
        <v>0.990416389580773</v>
      </c>
      <c r="G1360" s="12" t="str">
        <f t="shared" si="43"/>
        <v>C</v>
      </c>
      <c r="H1360" s="9" t="s">
        <v>1344</v>
      </c>
      <c r="I1360" s="9" t="s">
        <v>2926</v>
      </c>
      <c r="J1360" s="9" t="s">
        <v>158</v>
      </c>
      <c r="K1360" s="10" t="str">
        <f>IFERROR(VLOOKUP(A1360,'Pedido ESTHER'!$B:$C,2,0),"")</f>
        <v/>
      </c>
      <c r="L1360" s="12" t="str">
        <f>IF(N(K1360)&gt;0,"COMPRA","NÃO COMPRA")</f>
        <v>NÃO COMPRA</v>
      </c>
    </row>
    <row r="1361" spans="1:12">
      <c r="A1361" s="8" t="s">
        <v>2927</v>
      </c>
      <c r="B1361" s="9" t="s">
        <v>1905</v>
      </c>
      <c r="C1361" s="9" t="e">
        <f>VLOOKUP(A1361,[2]Planilha1!$A:$B,2,0)</f>
        <v>#N/A</v>
      </c>
      <c r="D1361" s="10">
        <f>SUMIF([1]Relatório!$A$2:$A$2653,A1361,[1]Relatório!$AK$2:$AK$2653)</f>
        <v>33</v>
      </c>
      <c r="E1361" s="11">
        <f t="shared" si="42"/>
        <v>5.64144031099722e-5</v>
      </c>
      <c r="F1361" s="11">
        <f>SUM($E$7:E1361)</f>
        <v>0.990472803983883</v>
      </c>
      <c r="G1361" s="12" t="str">
        <f t="shared" si="43"/>
        <v>C</v>
      </c>
      <c r="H1361" s="9" t="s">
        <v>1344</v>
      </c>
      <c r="I1361" s="9" t="s">
        <v>2928</v>
      </c>
      <c r="J1361" s="9" t="s">
        <v>164</v>
      </c>
      <c r="K1361" s="10" t="str">
        <f>IFERROR(VLOOKUP(A1361,'Pedido ESTHER'!$B:$C,2,0),"")</f>
        <v/>
      </c>
      <c r="L1361" s="12" t="str">
        <f>IF(N(K1361)&gt;0,"COMPRA","NÃO COMPRA")</f>
        <v>NÃO COMPRA</v>
      </c>
    </row>
    <row r="1362" spans="1:12">
      <c r="A1362" s="8" t="s">
        <v>2929</v>
      </c>
      <c r="B1362" s="9" t="s">
        <v>1917</v>
      </c>
      <c r="C1362" s="9" t="e">
        <f>VLOOKUP(A1362,[2]Planilha1!$A:$B,2,0)</f>
        <v>#N/A</v>
      </c>
      <c r="D1362" s="10">
        <f>SUMIF([1]Relatório!$A$2:$A$2653,A1362,[1]Relatório!$AK$2:$AK$2653)</f>
        <v>33</v>
      </c>
      <c r="E1362" s="11">
        <f t="shared" si="42"/>
        <v>5.64144031099722e-5</v>
      </c>
      <c r="F1362" s="11">
        <f>SUM($E$7:E1362)</f>
        <v>0.990529218386993</v>
      </c>
      <c r="G1362" s="12" t="str">
        <f t="shared" si="43"/>
        <v>C</v>
      </c>
      <c r="H1362" s="9" t="s">
        <v>1344</v>
      </c>
      <c r="I1362" s="9" t="s">
        <v>2930</v>
      </c>
      <c r="J1362" s="9" t="s">
        <v>40</v>
      </c>
      <c r="K1362" s="10" t="str">
        <f>IFERROR(VLOOKUP(A1362,'Pedido ESTHER'!$B:$C,2,0),"")</f>
        <v/>
      </c>
      <c r="L1362" s="12" t="str">
        <f>IF(N(K1362)&gt;0,"COMPRA","NÃO COMPRA")</f>
        <v>NÃO COMPRA</v>
      </c>
    </row>
    <row r="1363" spans="1:12">
      <c r="A1363" s="8" t="s">
        <v>2931</v>
      </c>
      <c r="B1363" s="9" t="s">
        <v>602</v>
      </c>
      <c r="C1363" s="9" t="e">
        <f>VLOOKUP(A1363,[2]Planilha1!$A:$B,2,0)</f>
        <v>#N/A</v>
      </c>
      <c r="D1363" s="10">
        <f>SUMIF([1]Relatório!$A$2:$A$2653,A1363,[1]Relatório!$AK$2:$AK$2653)</f>
        <v>33</v>
      </c>
      <c r="E1363" s="11">
        <f t="shared" si="42"/>
        <v>5.64144031099722e-5</v>
      </c>
      <c r="F1363" s="11">
        <f>SUM($E$7:E1363)</f>
        <v>0.990585632790103</v>
      </c>
      <c r="G1363" s="12" t="str">
        <f t="shared" si="43"/>
        <v>C</v>
      </c>
      <c r="H1363" s="9" t="s">
        <v>183</v>
      </c>
      <c r="I1363" s="9" t="s">
        <v>2932</v>
      </c>
      <c r="J1363" s="9" t="s">
        <v>213</v>
      </c>
      <c r="K1363" s="10" t="str">
        <f>IFERROR(VLOOKUP(A1363,'Pedido ESTHER'!$B:$C,2,0),"")</f>
        <v/>
      </c>
      <c r="L1363" s="12" t="str">
        <f>IF(N(K1363)&gt;0,"COMPRA","NÃO COMPRA")</f>
        <v>NÃO COMPRA</v>
      </c>
    </row>
    <row r="1364" spans="1:12">
      <c r="A1364" s="8" t="s">
        <v>2933</v>
      </c>
      <c r="B1364" s="9" t="s">
        <v>335</v>
      </c>
      <c r="C1364" s="9" t="e">
        <f>VLOOKUP(A1364,[2]Planilha1!$A:$B,2,0)</f>
        <v>#N/A</v>
      </c>
      <c r="D1364" s="10">
        <f>SUMIF([1]Relatório!$A$2:$A$2653,A1364,[1]Relatório!$AK$2:$AK$2653)</f>
        <v>33</v>
      </c>
      <c r="E1364" s="11">
        <f t="shared" si="42"/>
        <v>5.64144031099722e-5</v>
      </c>
      <c r="F1364" s="11">
        <f>SUM($E$7:E1364)</f>
        <v>0.990642047193213</v>
      </c>
      <c r="G1364" s="12" t="str">
        <f t="shared" si="43"/>
        <v>C</v>
      </c>
      <c r="H1364" s="9" t="s">
        <v>183</v>
      </c>
      <c r="I1364" s="9"/>
      <c r="J1364" s="9" t="s">
        <v>44</v>
      </c>
      <c r="K1364" s="10" t="str">
        <f>IFERROR(VLOOKUP(A1364,'Pedido ESTHER'!$B:$C,2,0),"")</f>
        <v/>
      </c>
      <c r="L1364" s="12" t="str">
        <f>IF(N(K1364)&gt;0,"COMPRA","NÃO COMPRA")</f>
        <v>NÃO COMPRA</v>
      </c>
    </row>
    <row r="1365" spans="1:12">
      <c r="A1365" s="8" t="s">
        <v>2934</v>
      </c>
      <c r="B1365" s="9" t="s">
        <v>2935</v>
      </c>
      <c r="C1365" s="9" t="e">
        <f>VLOOKUP(A1365,[2]Planilha1!$A:$B,2,0)</f>
        <v>#N/A</v>
      </c>
      <c r="D1365" s="10">
        <f>SUMIF([1]Relatório!$A$2:$A$2653,A1365,[1]Relatório!$AK$2:$AK$2653)</f>
        <v>33</v>
      </c>
      <c r="E1365" s="11">
        <f t="shared" si="42"/>
        <v>5.64144031099722e-5</v>
      </c>
      <c r="F1365" s="11">
        <f>SUM($E$7:E1365)</f>
        <v>0.990698461596323</v>
      </c>
      <c r="G1365" s="12" t="str">
        <f t="shared" si="43"/>
        <v>C</v>
      </c>
      <c r="H1365" s="9" t="s">
        <v>1700</v>
      </c>
      <c r="I1365" s="9" t="s">
        <v>2936</v>
      </c>
      <c r="J1365" s="9" t="s">
        <v>313</v>
      </c>
      <c r="K1365" s="10" t="str">
        <f>IFERROR(VLOOKUP(A1365,'Pedido ESTHER'!$B:$C,2,0),"")</f>
        <v/>
      </c>
      <c r="L1365" s="12" t="str">
        <f>IF(N(K1365)&gt;0,"COMPRA","NÃO COMPRA")</f>
        <v>NÃO COMPRA</v>
      </c>
    </row>
    <row r="1366" spans="1:12">
      <c r="A1366" s="8" t="s">
        <v>2937</v>
      </c>
      <c r="B1366" s="9" t="s">
        <v>2278</v>
      </c>
      <c r="C1366" s="9" t="e">
        <f>VLOOKUP(A1366,[2]Planilha1!$A:$B,2,0)</f>
        <v>#N/A</v>
      </c>
      <c r="D1366" s="10">
        <f>SUMIF([1]Relatório!$A$2:$A$2653,A1366,[1]Relatório!$AK$2:$AK$2653)</f>
        <v>33</v>
      </c>
      <c r="E1366" s="11">
        <f t="shared" si="42"/>
        <v>5.64144031099722e-5</v>
      </c>
      <c r="F1366" s="11">
        <f>SUM($E$7:E1366)</f>
        <v>0.990754875999433</v>
      </c>
      <c r="G1366" s="12" t="str">
        <f t="shared" si="43"/>
        <v>C</v>
      </c>
      <c r="H1366" s="9" t="s">
        <v>1700</v>
      </c>
      <c r="I1366" s="9" t="s">
        <v>2938</v>
      </c>
      <c r="J1366" s="9" t="s">
        <v>40</v>
      </c>
      <c r="K1366" s="10" t="str">
        <f>IFERROR(VLOOKUP(A1366,'Pedido ESTHER'!$B:$C,2,0),"")</f>
        <v/>
      </c>
      <c r="L1366" s="12" t="str">
        <f>IF(N(K1366)&gt;0,"COMPRA","NÃO COMPRA")</f>
        <v>NÃO COMPRA</v>
      </c>
    </row>
    <row r="1367" spans="1:12">
      <c r="A1367" s="8" t="s">
        <v>2939</v>
      </c>
      <c r="B1367" s="9" t="s">
        <v>2940</v>
      </c>
      <c r="C1367" s="9" t="e">
        <f>VLOOKUP(A1367,[2]Planilha1!$A:$B,2,0)</f>
        <v>#N/A</v>
      </c>
      <c r="D1367" s="10">
        <f>SUMIF([1]Relatório!$A$2:$A$2653,A1367,[1]Relatório!$AK$2:$AK$2653)</f>
        <v>33</v>
      </c>
      <c r="E1367" s="11">
        <f t="shared" si="42"/>
        <v>5.64144031099722e-5</v>
      </c>
      <c r="F1367" s="11">
        <f>SUM($E$7:E1367)</f>
        <v>0.990811290402543</v>
      </c>
      <c r="G1367" s="12" t="str">
        <f t="shared" si="43"/>
        <v>C</v>
      </c>
      <c r="H1367" s="9" t="s">
        <v>776</v>
      </c>
      <c r="I1367" s="9" t="s">
        <v>2941</v>
      </c>
      <c r="J1367" s="9" t="s">
        <v>671</v>
      </c>
      <c r="K1367" s="10" t="str">
        <f>IFERROR(VLOOKUP(A1367,'Pedido ESTHER'!$B:$C,2,0),"")</f>
        <v/>
      </c>
      <c r="L1367" s="12" t="str">
        <f>IF(N(K1367)&gt;0,"COMPRA","NÃO COMPRA")</f>
        <v>NÃO COMPRA</v>
      </c>
    </row>
    <row r="1368" spans="1:12">
      <c r="A1368" s="8" t="s">
        <v>2942</v>
      </c>
      <c r="B1368" s="9" t="s">
        <v>626</v>
      </c>
      <c r="C1368" s="9" t="e">
        <f>VLOOKUP(A1368,[2]Planilha1!$A:$B,2,0)</f>
        <v>#N/A</v>
      </c>
      <c r="D1368" s="10">
        <f>SUMIF([1]Relatório!$A$2:$A$2653,A1368,[1]Relatório!$AK$2:$AK$2653)</f>
        <v>33</v>
      </c>
      <c r="E1368" s="11">
        <f t="shared" si="42"/>
        <v>5.64144031099722e-5</v>
      </c>
      <c r="F1368" s="11">
        <f>SUM($E$7:E1368)</f>
        <v>0.990867704805653</v>
      </c>
      <c r="G1368" s="12" t="str">
        <f t="shared" si="43"/>
        <v>C</v>
      </c>
      <c r="H1368" s="9" t="s">
        <v>831</v>
      </c>
      <c r="I1368" s="9" t="s">
        <v>2943</v>
      </c>
      <c r="J1368" s="9" t="s">
        <v>2944</v>
      </c>
      <c r="K1368" s="10" t="str">
        <f>IFERROR(VLOOKUP(A1368,'Pedido ESTHER'!$B:$C,2,0),"")</f>
        <v/>
      </c>
      <c r="L1368" s="12" t="str">
        <f>IF(N(K1368)&gt;0,"COMPRA","NÃO COMPRA")</f>
        <v>NÃO COMPRA</v>
      </c>
    </row>
    <row r="1369" spans="1:12">
      <c r="A1369" s="8" t="s">
        <v>2945</v>
      </c>
      <c r="B1369" s="9" t="s">
        <v>2946</v>
      </c>
      <c r="C1369" s="9" t="e">
        <f>VLOOKUP(A1369,[2]Planilha1!$A:$B,2,0)</f>
        <v>#N/A</v>
      </c>
      <c r="D1369" s="10">
        <f>SUMIF([1]Relatório!$A$2:$A$2653,A1369,[1]Relatório!$AK$2:$AK$2653)</f>
        <v>33</v>
      </c>
      <c r="E1369" s="11">
        <f t="shared" si="42"/>
        <v>5.64144031099722e-5</v>
      </c>
      <c r="F1369" s="11">
        <f>SUM($E$7:E1369)</f>
        <v>0.990924119208763</v>
      </c>
      <c r="G1369" s="12" t="str">
        <f t="shared" si="43"/>
        <v>C</v>
      </c>
      <c r="H1369" s="9" t="s">
        <v>74</v>
      </c>
      <c r="I1369" s="9" t="s">
        <v>2678</v>
      </c>
      <c r="J1369" s="9" t="s">
        <v>29</v>
      </c>
      <c r="K1369" s="10" t="str">
        <f>IFERROR(VLOOKUP(A1369,'Pedido ESTHER'!$B:$C,2,0),"")</f>
        <v/>
      </c>
      <c r="L1369" s="12" t="str">
        <f>IF(N(K1369)&gt;0,"COMPRA","NÃO COMPRA")</f>
        <v>NÃO COMPRA</v>
      </c>
    </row>
    <row r="1370" spans="1:12">
      <c r="A1370" s="8" t="s">
        <v>2947</v>
      </c>
      <c r="B1370" s="9" t="s">
        <v>335</v>
      </c>
      <c r="C1370" s="9" t="e">
        <f>VLOOKUP(A1370,[2]Planilha1!$A:$B,2,0)</f>
        <v>#N/A</v>
      </c>
      <c r="D1370" s="10">
        <f>SUMIF([1]Relatório!$A$2:$A$2653,A1370,[1]Relatório!$AK$2:$AK$2653)</f>
        <v>32</v>
      </c>
      <c r="E1370" s="11">
        <f t="shared" si="42"/>
        <v>5.47048757430033e-5</v>
      </c>
      <c r="F1370" s="11">
        <f>SUM($E$7:E1370)</f>
        <v>0.990978824084506</v>
      </c>
      <c r="G1370" s="12" t="str">
        <f t="shared" si="43"/>
        <v>C</v>
      </c>
      <c r="H1370" s="9" t="s">
        <v>183</v>
      </c>
      <c r="I1370" s="9" t="s">
        <v>2948</v>
      </c>
      <c r="J1370" s="9" t="s">
        <v>600</v>
      </c>
      <c r="K1370" s="10" t="str">
        <f>IFERROR(VLOOKUP(A1370,'Pedido ESTHER'!$B:$C,2,0),"")</f>
        <v/>
      </c>
      <c r="L1370" s="12" t="str">
        <f>IF(N(K1370)&gt;0,"COMPRA","NÃO COMPRA")</f>
        <v>NÃO COMPRA</v>
      </c>
    </row>
    <row r="1371" spans="1:12">
      <c r="A1371" s="8" t="s">
        <v>2949</v>
      </c>
      <c r="B1371" s="9" t="s">
        <v>2950</v>
      </c>
      <c r="C1371" s="9" t="e">
        <f>VLOOKUP(A1371,[2]Planilha1!$A:$B,2,0)</f>
        <v>#N/A</v>
      </c>
      <c r="D1371" s="10">
        <f>SUMIF([1]Relatório!$A$2:$A$2653,A1371,[1]Relatório!$AK$2:$AK$2653)</f>
        <v>32</v>
      </c>
      <c r="E1371" s="11">
        <f t="shared" si="42"/>
        <v>5.47048757430033e-5</v>
      </c>
      <c r="F1371" s="11">
        <f>SUM($E$7:E1371)</f>
        <v>0.991033528960249</v>
      </c>
      <c r="G1371" s="12" t="str">
        <f t="shared" si="43"/>
        <v>C</v>
      </c>
      <c r="H1371" s="9" t="s">
        <v>183</v>
      </c>
      <c r="I1371" s="9" t="s">
        <v>2951</v>
      </c>
      <c r="J1371" s="9" t="s">
        <v>916</v>
      </c>
      <c r="K1371" s="10" t="str">
        <f>IFERROR(VLOOKUP(A1371,'Pedido ESTHER'!$B:$C,2,0),"")</f>
        <v/>
      </c>
      <c r="L1371" s="12" t="str">
        <f>IF(N(K1371)&gt;0,"COMPRA","NÃO COMPRA")</f>
        <v>NÃO COMPRA</v>
      </c>
    </row>
    <row r="1372" spans="1:12">
      <c r="A1372" s="8" t="s">
        <v>2952</v>
      </c>
      <c r="B1372" s="9" t="s">
        <v>2123</v>
      </c>
      <c r="C1372" s="9" t="e">
        <f>VLOOKUP(A1372,[2]Planilha1!$A:$B,2,0)</f>
        <v>#N/A</v>
      </c>
      <c r="D1372" s="10">
        <f>SUMIF([1]Relatório!$A$2:$A$2653,A1372,[1]Relatório!$AK$2:$AK$2653)</f>
        <v>32</v>
      </c>
      <c r="E1372" s="11">
        <f t="shared" si="42"/>
        <v>5.47048757430033e-5</v>
      </c>
      <c r="F1372" s="11">
        <f>SUM($E$7:E1372)</f>
        <v>0.991088233835992</v>
      </c>
      <c r="G1372" s="12" t="str">
        <f t="shared" si="43"/>
        <v>C</v>
      </c>
      <c r="H1372" s="9" t="s">
        <v>183</v>
      </c>
      <c r="I1372" s="9" t="s">
        <v>2953</v>
      </c>
      <c r="J1372" s="9" t="s">
        <v>1169</v>
      </c>
      <c r="K1372" s="10" t="str">
        <f>IFERROR(VLOOKUP(A1372,'Pedido ESTHER'!$B:$C,2,0),"")</f>
        <v/>
      </c>
      <c r="L1372" s="12" t="str">
        <f>IF(N(K1372)&gt;0,"COMPRA","NÃO COMPRA")</f>
        <v>NÃO COMPRA</v>
      </c>
    </row>
    <row r="1373" spans="1:12">
      <c r="A1373" s="8" t="s">
        <v>2954</v>
      </c>
      <c r="B1373" s="9" t="s">
        <v>1494</v>
      </c>
      <c r="C1373" s="9" t="e">
        <f>VLOOKUP(A1373,[2]Planilha1!$A:$B,2,0)</f>
        <v>#N/A</v>
      </c>
      <c r="D1373" s="10">
        <f>SUMIF([1]Relatório!$A$2:$A$2653,A1373,[1]Relatório!$AK$2:$AK$2653)</f>
        <v>32</v>
      </c>
      <c r="E1373" s="11">
        <f t="shared" si="42"/>
        <v>5.47048757430033e-5</v>
      </c>
      <c r="F1373" s="11">
        <f>SUM($E$7:E1373)</f>
        <v>0.991142938711735</v>
      </c>
      <c r="G1373" s="12" t="str">
        <f t="shared" si="43"/>
        <v>C</v>
      </c>
      <c r="H1373" s="9" t="s">
        <v>21</v>
      </c>
      <c r="I1373" s="9" t="s">
        <v>2955</v>
      </c>
      <c r="J1373" s="9" t="s">
        <v>1496</v>
      </c>
      <c r="K1373" s="10" t="str">
        <f>IFERROR(VLOOKUP(A1373,'Pedido ESTHER'!$B:$C,2,0),"")</f>
        <v/>
      </c>
      <c r="L1373" s="12" t="str">
        <f>IF(N(K1373)&gt;0,"COMPRA","NÃO COMPRA")</f>
        <v>NÃO COMPRA</v>
      </c>
    </row>
    <row r="1374" spans="1:12">
      <c r="A1374" s="8" t="s">
        <v>2956</v>
      </c>
      <c r="B1374" s="9" t="s">
        <v>2052</v>
      </c>
      <c r="C1374" s="9" t="e">
        <f>VLOOKUP(A1374,[2]Planilha1!$A:$B,2,0)</f>
        <v>#N/A</v>
      </c>
      <c r="D1374" s="10">
        <f>SUMIF([1]Relatório!$A$2:$A$2653,A1374,[1]Relatório!$AK$2:$AK$2653)</f>
        <v>31</v>
      </c>
      <c r="E1374" s="11">
        <f t="shared" si="42"/>
        <v>5.29953483760345e-5</v>
      </c>
      <c r="F1374" s="11">
        <f>SUM($E$7:E1374)</f>
        <v>0.991195934060111</v>
      </c>
      <c r="G1374" s="12" t="str">
        <f t="shared" si="43"/>
        <v>C</v>
      </c>
      <c r="H1374" s="9" t="s">
        <v>183</v>
      </c>
      <c r="I1374" s="9" t="s">
        <v>2957</v>
      </c>
      <c r="J1374" s="9" t="s">
        <v>2053</v>
      </c>
      <c r="K1374" s="10" t="str">
        <f>IFERROR(VLOOKUP(A1374,'Pedido ESTHER'!$B:$C,2,0),"")</f>
        <v/>
      </c>
      <c r="L1374" s="12" t="str">
        <f>IF(N(K1374)&gt;0,"COMPRA","NÃO COMPRA")</f>
        <v>NÃO COMPRA</v>
      </c>
    </row>
    <row r="1375" spans="1:12">
      <c r="A1375" s="8" t="s">
        <v>2958</v>
      </c>
      <c r="B1375" s="9" t="s">
        <v>1312</v>
      </c>
      <c r="C1375" s="9" t="e">
        <f>VLOOKUP(A1375,[2]Planilha1!$A:$B,2,0)</f>
        <v>#N/A</v>
      </c>
      <c r="D1375" s="10">
        <f>SUMIF([1]Relatório!$A$2:$A$2653,A1375,[1]Relatório!$AK$2:$AK$2653)</f>
        <v>31</v>
      </c>
      <c r="E1375" s="11">
        <f t="shared" si="42"/>
        <v>5.29953483760345e-5</v>
      </c>
      <c r="F1375" s="11">
        <f>SUM($E$7:E1375)</f>
        <v>0.991248929408487</v>
      </c>
      <c r="G1375" s="12" t="str">
        <f t="shared" si="43"/>
        <v>C</v>
      </c>
      <c r="H1375" s="9" t="s">
        <v>183</v>
      </c>
      <c r="I1375" s="9" t="s">
        <v>2959</v>
      </c>
      <c r="J1375" s="9" t="s">
        <v>164</v>
      </c>
      <c r="K1375" s="10" t="str">
        <f>IFERROR(VLOOKUP(A1375,'Pedido ESTHER'!$B:$C,2,0),"")</f>
        <v/>
      </c>
      <c r="L1375" s="12" t="str">
        <f>IF(N(K1375)&gt;0,"COMPRA","NÃO COMPRA")</f>
        <v>NÃO COMPRA</v>
      </c>
    </row>
    <row r="1376" spans="1:12">
      <c r="A1376" s="8" t="s">
        <v>2960</v>
      </c>
      <c r="B1376" s="9" t="s">
        <v>311</v>
      </c>
      <c r="C1376" s="9" t="e">
        <f>VLOOKUP(A1376,[2]Planilha1!$A:$B,2,0)</f>
        <v>#N/A</v>
      </c>
      <c r="D1376" s="10">
        <f>SUMIF([1]Relatório!$A$2:$A$2653,A1376,[1]Relatório!$AK$2:$AK$2653)</f>
        <v>31</v>
      </c>
      <c r="E1376" s="11">
        <f t="shared" si="42"/>
        <v>5.29953483760345e-5</v>
      </c>
      <c r="F1376" s="11">
        <f>SUM($E$7:E1376)</f>
        <v>0.991301924756863</v>
      </c>
      <c r="G1376" s="12" t="str">
        <f t="shared" si="43"/>
        <v>C</v>
      </c>
      <c r="H1376" s="9" t="s">
        <v>82</v>
      </c>
      <c r="I1376" s="9" t="s">
        <v>2961</v>
      </c>
      <c r="J1376" s="9" t="s">
        <v>40</v>
      </c>
      <c r="K1376" s="10" t="str">
        <f>IFERROR(VLOOKUP(A1376,'Pedido ESTHER'!$B:$C,2,0),"")</f>
        <v/>
      </c>
      <c r="L1376" s="12" t="str">
        <f>IF(N(K1376)&gt;0,"COMPRA","NÃO COMPRA")</f>
        <v>NÃO COMPRA</v>
      </c>
    </row>
    <row r="1377" spans="1:12">
      <c r="A1377" s="8" t="s">
        <v>2962</v>
      </c>
      <c r="B1377" s="9" t="s">
        <v>2940</v>
      </c>
      <c r="C1377" s="9" t="e">
        <f>VLOOKUP(A1377,[2]Planilha1!$A:$B,2,0)</f>
        <v>#N/A</v>
      </c>
      <c r="D1377" s="10">
        <f>SUMIF([1]Relatório!$A$2:$A$2653,A1377,[1]Relatório!$AK$2:$AK$2653)</f>
        <v>31</v>
      </c>
      <c r="E1377" s="11">
        <f t="shared" si="42"/>
        <v>5.29953483760345e-5</v>
      </c>
      <c r="F1377" s="11">
        <f>SUM($E$7:E1377)</f>
        <v>0.991354920105239</v>
      </c>
      <c r="G1377" s="12" t="str">
        <f t="shared" si="43"/>
        <v>C</v>
      </c>
      <c r="H1377" s="9" t="s">
        <v>892</v>
      </c>
      <c r="I1377" s="9" t="s">
        <v>2963</v>
      </c>
      <c r="J1377" s="9" t="s">
        <v>925</v>
      </c>
      <c r="K1377" s="10" t="str">
        <f>IFERROR(VLOOKUP(A1377,'Pedido ESTHER'!$B:$C,2,0),"")</f>
        <v/>
      </c>
      <c r="L1377" s="12" t="str">
        <f>IF(N(K1377)&gt;0,"COMPRA","NÃO COMPRA")</f>
        <v>NÃO COMPRA</v>
      </c>
    </row>
    <row r="1378" spans="1:12">
      <c r="A1378" s="8" t="s">
        <v>2964</v>
      </c>
      <c r="B1378" s="9" t="s">
        <v>2270</v>
      </c>
      <c r="C1378" s="9" t="e">
        <f>VLOOKUP(A1378,[2]Planilha1!$A:$B,2,0)</f>
        <v>#N/A</v>
      </c>
      <c r="D1378" s="10">
        <f>SUMIF([1]Relatório!$A$2:$A$2653,A1378,[1]Relatório!$AK$2:$AK$2653)</f>
        <v>30</v>
      </c>
      <c r="E1378" s="11">
        <f t="shared" si="42"/>
        <v>5.12858210090656e-5</v>
      </c>
      <c r="F1378" s="11">
        <f>SUM($E$7:E1378)</f>
        <v>0.991406205926248</v>
      </c>
      <c r="G1378" s="12" t="str">
        <f t="shared" si="43"/>
        <v>C</v>
      </c>
      <c r="H1378" s="9" t="s">
        <v>2406</v>
      </c>
      <c r="I1378" s="9" t="s">
        <v>2965</v>
      </c>
      <c r="J1378" s="9" t="s">
        <v>241</v>
      </c>
      <c r="K1378" s="10" t="str">
        <f>IFERROR(VLOOKUP(A1378,'Pedido ESTHER'!$B:$C,2,0),"")</f>
        <v/>
      </c>
      <c r="L1378" s="12" t="str">
        <f>IF(N(K1378)&gt;0,"COMPRA","NÃO COMPRA")</f>
        <v>NÃO COMPRA</v>
      </c>
    </row>
    <row r="1379" spans="1:12">
      <c r="A1379" s="8" t="s">
        <v>2966</v>
      </c>
      <c r="B1379" s="9" t="s">
        <v>812</v>
      </c>
      <c r="C1379" s="9" t="e">
        <f>VLOOKUP(A1379,[2]Planilha1!$A:$B,2,0)</f>
        <v>#N/A</v>
      </c>
      <c r="D1379" s="10">
        <f>SUMIF([1]Relatório!$A$2:$A$2653,A1379,[1]Relatório!$AK$2:$AK$2653)</f>
        <v>30</v>
      </c>
      <c r="E1379" s="11">
        <f t="shared" si="42"/>
        <v>5.12858210090656e-5</v>
      </c>
      <c r="F1379" s="11">
        <f>SUM($E$7:E1379)</f>
        <v>0.991457491747257</v>
      </c>
      <c r="G1379" s="12" t="str">
        <f t="shared" si="43"/>
        <v>C</v>
      </c>
      <c r="H1379" s="9" t="s">
        <v>892</v>
      </c>
      <c r="I1379" s="9" t="s">
        <v>2967</v>
      </c>
      <c r="J1379" s="9" t="s">
        <v>1143</v>
      </c>
      <c r="K1379" s="10" t="str">
        <f>IFERROR(VLOOKUP(A1379,'Pedido ESTHER'!$B:$C,2,0),"")</f>
        <v/>
      </c>
      <c r="L1379" s="12" t="str">
        <f>IF(N(K1379)&gt;0,"COMPRA","NÃO COMPRA")</f>
        <v>NÃO COMPRA</v>
      </c>
    </row>
    <row r="1380" spans="1:12">
      <c r="A1380" s="8" t="s">
        <v>2968</v>
      </c>
      <c r="B1380" s="9" t="s">
        <v>749</v>
      </c>
      <c r="C1380" s="9" t="e">
        <f>VLOOKUP(A1380,[2]Planilha1!$A:$B,2,0)</f>
        <v>#N/A</v>
      </c>
      <c r="D1380" s="10">
        <f>SUMIF([1]Relatório!$A$2:$A$2653,A1380,[1]Relatório!$AK$2:$AK$2653)</f>
        <v>30</v>
      </c>
      <c r="E1380" s="11">
        <f t="shared" si="42"/>
        <v>5.12858210090656e-5</v>
      </c>
      <c r="F1380" s="11">
        <f>SUM($E$7:E1380)</f>
        <v>0.991508777568266</v>
      </c>
      <c r="G1380" s="12" t="str">
        <f t="shared" si="43"/>
        <v>C</v>
      </c>
      <c r="H1380" s="9" t="s">
        <v>892</v>
      </c>
      <c r="I1380" s="9" t="s">
        <v>2969</v>
      </c>
      <c r="J1380" s="9" t="s">
        <v>359</v>
      </c>
      <c r="K1380" s="10" t="str">
        <f>IFERROR(VLOOKUP(A1380,'Pedido ESTHER'!$B:$C,2,0),"")</f>
        <v/>
      </c>
      <c r="L1380" s="12" t="str">
        <f>IF(N(K1380)&gt;0,"COMPRA","NÃO COMPRA")</f>
        <v>NÃO COMPRA</v>
      </c>
    </row>
    <row r="1381" spans="1:12">
      <c r="A1381" s="8" t="s">
        <v>2970</v>
      </c>
      <c r="B1381" s="9" t="s">
        <v>363</v>
      </c>
      <c r="C1381" s="9" t="e">
        <f>VLOOKUP(A1381,[2]Planilha1!$A:$B,2,0)</f>
        <v>#N/A</v>
      </c>
      <c r="D1381" s="10">
        <f>SUMIF([1]Relatório!$A$2:$A$2653,A1381,[1]Relatório!$AK$2:$AK$2653)</f>
        <v>30</v>
      </c>
      <c r="E1381" s="11">
        <f t="shared" si="42"/>
        <v>5.12858210090656e-5</v>
      </c>
      <c r="F1381" s="11">
        <f>SUM($E$7:E1381)</f>
        <v>0.991560063389275</v>
      </c>
      <c r="G1381" s="12" t="str">
        <f t="shared" si="43"/>
        <v>C</v>
      </c>
      <c r="H1381" s="9" t="s">
        <v>183</v>
      </c>
      <c r="I1381" s="9"/>
      <c r="J1381" s="9" t="s">
        <v>40</v>
      </c>
      <c r="K1381" s="10" t="str">
        <f>IFERROR(VLOOKUP(A1381,'Pedido ESTHER'!$B:$C,2,0),"")</f>
        <v/>
      </c>
      <c r="L1381" s="12" t="str">
        <f>IF(N(K1381)&gt;0,"COMPRA","NÃO COMPRA")</f>
        <v>NÃO COMPRA</v>
      </c>
    </row>
    <row r="1382" spans="1:12">
      <c r="A1382" s="8" t="s">
        <v>2971</v>
      </c>
      <c r="B1382" s="9" t="s">
        <v>923</v>
      </c>
      <c r="C1382" s="9" t="e">
        <f>VLOOKUP(A1382,[2]Planilha1!$A:$B,2,0)</f>
        <v>#N/A</v>
      </c>
      <c r="D1382" s="10">
        <f>SUMIF([1]Relatório!$A$2:$A$2653,A1382,[1]Relatório!$AK$2:$AK$2653)</f>
        <v>30</v>
      </c>
      <c r="E1382" s="11">
        <f t="shared" si="42"/>
        <v>5.12858210090656e-5</v>
      </c>
      <c r="F1382" s="11">
        <f>SUM($E$7:E1382)</f>
        <v>0.991611349210284</v>
      </c>
      <c r="G1382" s="12" t="str">
        <f t="shared" si="43"/>
        <v>C</v>
      </c>
      <c r="H1382" s="9" t="s">
        <v>183</v>
      </c>
      <c r="I1382" s="9" t="s">
        <v>2972</v>
      </c>
      <c r="J1382" s="9" t="s">
        <v>671</v>
      </c>
      <c r="K1382" s="10" t="str">
        <f>IFERROR(VLOOKUP(A1382,'Pedido ESTHER'!$B:$C,2,0),"")</f>
        <v/>
      </c>
      <c r="L1382" s="12" t="str">
        <f>IF(N(K1382)&gt;0,"COMPRA","NÃO COMPRA")</f>
        <v>NÃO COMPRA</v>
      </c>
    </row>
    <row r="1383" spans="1:12">
      <c r="A1383" s="8" t="s">
        <v>2973</v>
      </c>
      <c r="B1383" s="9" t="s">
        <v>711</v>
      </c>
      <c r="C1383" s="9" t="e">
        <f>VLOOKUP(A1383,[2]Planilha1!$A:$B,2,0)</f>
        <v>#N/A</v>
      </c>
      <c r="D1383" s="10">
        <f>SUMIF([1]Relatório!$A$2:$A$2653,A1383,[1]Relatório!$AK$2:$AK$2653)</f>
        <v>30</v>
      </c>
      <c r="E1383" s="11">
        <f t="shared" si="42"/>
        <v>5.12858210090656e-5</v>
      </c>
      <c r="F1383" s="11">
        <f>SUM($E$7:E1383)</f>
        <v>0.991662635031293</v>
      </c>
      <c r="G1383" s="12" t="str">
        <f t="shared" si="43"/>
        <v>C</v>
      </c>
      <c r="H1383" s="9" t="s">
        <v>183</v>
      </c>
      <c r="I1383" s="9" t="s">
        <v>2974</v>
      </c>
      <c r="J1383" s="9" t="s">
        <v>916</v>
      </c>
      <c r="K1383" s="10" t="str">
        <f>IFERROR(VLOOKUP(A1383,'Pedido ESTHER'!$B:$C,2,0),"")</f>
        <v/>
      </c>
      <c r="L1383" s="12" t="str">
        <f>IF(N(K1383)&gt;0,"COMPRA","NÃO COMPRA")</f>
        <v>NÃO COMPRA</v>
      </c>
    </row>
    <row r="1384" spans="1:12">
      <c r="A1384" s="8" t="s">
        <v>2975</v>
      </c>
      <c r="B1384" s="9" t="s">
        <v>538</v>
      </c>
      <c r="C1384" s="9" t="e">
        <f>VLOOKUP(A1384,[2]Planilha1!$A:$B,2,0)</f>
        <v>#N/A</v>
      </c>
      <c r="D1384" s="10">
        <f>SUMIF([1]Relatório!$A$2:$A$2653,A1384,[1]Relatório!$AK$2:$AK$2653)</f>
        <v>30</v>
      </c>
      <c r="E1384" s="11">
        <f t="shared" si="42"/>
        <v>5.12858210090656e-5</v>
      </c>
      <c r="F1384" s="11">
        <f>SUM($E$7:E1384)</f>
        <v>0.991713920852302</v>
      </c>
      <c r="G1384" s="12" t="str">
        <f t="shared" si="43"/>
        <v>C</v>
      </c>
      <c r="H1384" s="9" t="s">
        <v>183</v>
      </c>
      <c r="I1384" s="9" t="s">
        <v>2976</v>
      </c>
      <c r="J1384" s="9" t="s">
        <v>880</v>
      </c>
      <c r="K1384" s="10" t="str">
        <f>IFERROR(VLOOKUP(A1384,'Pedido ESTHER'!$B:$C,2,0),"")</f>
        <v/>
      </c>
      <c r="L1384" s="12" t="str">
        <f>IF(N(K1384)&gt;0,"COMPRA","NÃO COMPRA")</f>
        <v>NÃO COMPRA</v>
      </c>
    </row>
    <row r="1385" spans="1:12">
      <c r="A1385" s="8" t="s">
        <v>2977</v>
      </c>
      <c r="B1385" s="9" t="s">
        <v>2618</v>
      </c>
      <c r="C1385" s="9" t="e">
        <f>VLOOKUP(A1385,[2]Planilha1!$A:$B,2,0)</f>
        <v>#N/A</v>
      </c>
      <c r="D1385" s="10">
        <f>SUMIF([1]Relatório!$A$2:$A$2653,A1385,[1]Relatório!$AK$2:$AK$2653)</f>
        <v>30</v>
      </c>
      <c r="E1385" s="11">
        <f t="shared" si="42"/>
        <v>5.12858210090656e-5</v>
      </c>
      <c r="F1385" s="11">
        <f>SUM($E$7:E1385)</f>
        <v>0.991765206673311</v>
      </c>
      <c r="G1385" s="12" t="str">
        <f t="shared" si="43"/>
        <v>C</v>
      </c>
      <c r="H1385" s="9" t="s">
        <v>1700</v>
      </c>
      <c r="I1385" s="9" t="s">
        <v>2978</v>
      </c>
      <c r="J1385" s="9" t="s">
        <v>164</v>
      </c>
      <c r="K1385" s="10" t="str">
        <f>IFERROR(VLOOKUP(A1385,'Pedido ESTHER'!$B:$C,2,0),"")</f>
        <v/>
      </c>
      <c r="L1385" s="12" t="str">
        <f>IF(N(K1385)&gt;0,"COMPRA","NÃO COMPRA")</f>
        <v>NÃO COMPRA</v>
      </c>
    </row>
    <row r="1386" spans="1:12">
      <c r="A1386" s="8" t="s">
        <v>2979</v>
      </c>
      <c r="B1386" s="9" t="s">
        <v>363</v>
      </c>
      <c r="C1386" s="9" t="e">
        <f>VLOOKUP(A1386,[2]Planilha1!$A:$B,2,0)</f>
        <v>#N/A</v>
      </c>
      <c r="D1386" s="10">
        <f>SUMIF([1]Relatório!$A$2:$A$2653,A1386,[1]Relatório!$AK$2:$AK$2653)</f>
        <v>30</v>
      </c>
      <c r="E1386" s="11">
        <f t="shared" si="42"/>
        <v>5.12858210090656e-5</v>
      </c>
      <c r="F1386" s="11">
        <f>SUM($E$7:E1386)</f>
        <v>0.991816492494321</v>
      </c>
      <c r="G1386" s="12" t="str">
        <f t="shared" si="43"/>
        <v>C</v>
      </c>
      <c r="H1386" s="9" t="s">
        <v>183</v>
      </c>
      <c r="I1386" s="9" t="s">
        <v>2980</v>
      </c>
      <c r="J1386" s="9" t="s">
        <v>40</v>
      </c>
      <c r="K1386" s="10" t="str">
        <f>IFERROR(VLOOKUP(A1386,'Pedido ESTHER'!$B:$C,2,0),"")</f>
        <v/>
      </c>
      <c r="L1386" s="12" t="str">
        <f>IF(N(K1386)&gt;0,"COMPRA","NÃO COMPRA")</f>
        <v>NÃO COMPRA</v>
      </c>
    </row>
    <row r="1387" spans="1:12">
      <c r="A1387" s="8" t="s">
        <v>2981</v>
      </c>
      <c r="B1387" s="9" t="s">
        <v>2982</v>
      </c>
      <c r="C1387" s="9" t="e">
        <f>VLOOKUP(A1387,[2]Planilha1!$A:$B,2,0)</f>
        <v>#N/A</v>
      </c>
      <c r="D1387" s="10">
        <f>SUMIF([1]Relatório!$A$2:$A$2653,A1387,[1]Relatório!$AK$2:$AK$2653)</f>
        <v>30</v>
      </c>
      <c r="E1387" s="11">
        <f t="shared" si="42"/>
        <v>5.12858210090656e-5</v>
      </c>
      <c r="F1387" s="11">
        <f>SUM($E$7:E1387)</f>
        <v>0.99186777831533</v>
      </c>
      <c r="G1387" s="12" t="str">
        <f t="shared" si="43"/>
        <v>C</v>
      </c>
      <c r="H1387" s="9" t="s">
        <v>586</v>
      </c>
      <c r="I1387" s="9" t="s">
        <v>2983</v>
      </c>
      <c r="J1387" s="9" t="s">
        <v>1418</v>
      </c>
      <c r="K1387" s="10" t="str">
        <f>IFERROR(VLOOKUP(A1387,'Pedido ESTHER'!$B:$C,2,0),"")</f>
        <v/>
      </c>
      <c r="L1387" s="12" t="str">
        <f>IF(N(K1387)&gt;0,"COMPRA","NÃO COMPRA")</f>
        <v>NÃO COMPRA</v>
      </c>
    </row>
    <row r="1388" spans="1:12">
      <c r="A1388" s="8" t="s">
        <v>2984</v>
      </c>
      <c r="B1388" s="9" t="s">
        <v>812</v>
      </c>
      <c r="C1388" s="9" t="e">
        <f>VLOOKUP(A1388,[2]Planilha1!$A:$B,2,0)</f>
        <v>#N/A</v>
      </c>
      <c r="D1388" s="10">
        <f>SUMIF([1]Relatório!$A$2:$A$2653,A1388,[1]Relatório!$AK$2:$AK$2653)</f>
        <v>30</v>
      </c>
      <c r="E1388" s="11">
        <f t="shared" si="42"/>
        <v>5.12858210090656e-5</v>
      </c>
      <c r="F1388" s="11">
        <f>SUM($E$7:E1388)</f>
        <v>0.991919064136339</v>
      </c>
      <c r="G1388" s="12" t="str">
        <f t="shared" si="43"/>
        <v>C</v>
      </c>
      <c r="H1388" s="9" t="s">
        <v>892</v>
      </c>
      <c r="I1388" s="9" t="s">
        <v>2985</v>
      </c>
      <c r="J1388" s="9" t="s">
        <v>1143</v>
      </c>
      <c r="K1388" s="10" t="str">
        <f>IFERROR(VLOOKUP(A1388,'Pedido ESTHER'!$B:$C,2,0),"")</f>
        <v/>
      </c>
      <c r="L1388" s="12" t="str">
        <f>IF(N(K1388)&gt;0,"COMPRA","NÃO COMPRA")</f>
        <v>NÃO COMPRA</v>
      </c>
    </row>
    <row r="1389" spans="1:12">
      <c r="A1389" s="8" t="s">
        <v>2986</v>
      </c>
      <c r="B1389" s="9" t="s">
        <v>2267</v>
      </c>
      <c r="C1389" s="9" t="e">
        <f>VLOOKUP(A1389,[2]Planilha1!$A:$B,2,0)</f>
        <v>#N/A</v>
      </c>
      <c r="D1389" s="10">
        <f>SUMIF([1]Relatório!$A$2:$A$2653,A1389,[1]Relatório!$AK$2:$AK$2653)</f>
        <v>29</v>
      </c>
      <c r="E1389" s="11">
        <f t="shared" si="42"/>
        <v>4.95762936420968e-5</v>
      </c>
      <c r="F1389" s="11">
        <f>SUM($E$7:E1389)</f>
        <v>0.991968640429981</v>
      </c>
      <c r="G1389" s="12" t="str">
        <f t="shared" si="43"/>
        <v>C</v>
      </c>
      <c r="H1389" s="9" t="s">
        <v>2406</v>
      </c>
      <c r="I1389" s="9" t="s">
        <v>2987</v>
      </c>
      <c r="J1389" s="9" t="s">
        <v>241</v>
      </c>
      <c r="K1389" s="10" t="str">
        <f>IFERROR(VLOOKUP(A1389,'Pedido ESTHER'!$B:$C,2,0),"")</f>
        <v/>
      </c>
      <c r="L1389" s="12" t="str">
        <f>IF(N(K1389)&gt;0,"COMPRA","NÃO COMPRA")</f>
        <v>NÃO COMPRA</v>
      </c>
    </row>
    <row r="1390" spans="1:12">
      <c r="A1390" s="8" t="s">
        <v>2988</v>
      </c>
      <c r="B1390" s="9" t="s">
        <v>1895</v>
      </c>
      <c r="C1390" s="9" t="e">
        <f>VLOOKUP(A1390,[2]Planilha1!$A:$B,2,0)</f>
        <v>#N/A</v>
      </c>
      <c r="D1390" s="10">
        <f>SUMIF([1]Relatório!$A$2:$A$2653,A1390,[1]Relatório!$AK$2:$AK$2653)</f>
        <v>29</v>
      </c>
      <c r="E1390" s="11">
        <f t="shared" si="42"/>
        <v>4.95762936420968e-5</v>
      </c>
      <c r="F1390" s="11">
        <f>SUM($E$7:E1390)</f>
        <v>0.992018216723623</v>
      </c>
      <c r="G1390" s="12" t="str">
        <f t="shared" si="43"/>
        <v>C</v>
      </c>
      <c r="H1390" s="9" t="s">
        <v>1344</v>
      </c>
      <c r="I1390" s="9" t="s">
        <v>2989</v>
      </c>
      <c r="J1390" s="9" t="s">
        <v>158</v>
      </c>
      <c r="K1390" s="10" t="str">
        <f>IFERROR(VLOOKUP(A1390,'Pedido ESTHER'!$B:$C,2,0),"")</f>
        <v/>
      </c>
      <c r="L1390" s="12" t="str">
        <f>IF(N(K1390)&gt;0,"COMPRA","NÃO COMPRA")</f>
        <v>NÃO COMPRA</v>
      </c>
    </row>
    <row r="1391" spans="1:12">
      <c r="A1391" s="8" t="s">
        <v>2990</v>
      </c>
      <c r="B1391" s="9" t="s">
        <v>2270</v>
      </c>
      <c r="C1391" s="9" t="e">
        <f>VLOOKUP(A1391,[2]Planilha1!$A:$B,2,0)</f>
        <v>#N/A</v>
      </c>
      <c r="D1391" s="10">
        <f>SUMIF([1]Relatório!$A$2:$A$2653,A1391,[1]Relatório!$AK$2:$AK$2653)</f>
        <v>29</v>
      </c>
      <c r="E1391" s="11">
        <f t="shared" si="42"/>
        <v>4.95762936420968e-5</v>
      </c>
      <c r="F1391" s="11">
        <f>SUM($E$7:E1391)</f>
        <v>0.992067793017265</v>
      </c>
      <c r="G1391" s="12" t="str">
        <f t="shared" si="43"/>
        <v>C</v>
      </c>
      <c r="H1391" s="9" t="s">
        <v>1344</v>
      </c>
      <c r="I1391" s="9" t="s">
        <v>2991</v>
      </c>
      <c r="J1391" s="9" t="s">
        <v>241</v>
      </c>
      <c r="K1391" s="10" t="str">
        <f>IFERROR(VLOOKUP(A1391,'Pedido ESTHER'!$B:$C,2,0),"")</f>
        <v/>
      </c>
      <c r="L1391" s="12" t="str">
        <f>IF(N(K1391)&gt;0,"COMPRA","NÃO COMPRA")</f>
        <v>NÃO COMPRA</v>
      </c>
    </row>
    <row r="1392" spans="1:12">
      <c r="A1392" s="8" t="s">
        <v>2992</v>
      </c>
      <c r="B1392" s="9" t="s">
        <v>1905</v>
      </c>
      <c r="C1392" s="9" t="e">
        <f>VLOOKUP(A1392,[2]Planilha1!$A:$B,2,0)</f>
        <v>#N/A</v>
      </c>
      <c r="D1392" s="10">
        <f>SUMIF([1]Relatório!$A$2:$A$2653,A1392,[1]Relatório!$AK$2:$AK$2653)</f>
        <v>29</v>
      </c>
      <c r="E1392" s="11">
        <f t="shared" si="42"/>
        <v>4.95762936420968e-5</v>
      </c>
      <c r="F1392" s="11">
        <f>SUM($E$7:E1392)</f>
        <v>0.992117369310907</v>
      </c>
      <c r="G1392" s="12" t="str">
        <f t="shared" si="43"/>
        <v>C</v>
      </c>
      <c r="H1392" s="9" t="s">
        <v>1344</v>
      </c>
      <c r="I1392" s="9" t="s">
        <v>2993</v>
      </c>
      <c r="J1392" s="9" t="s">
        <v>164</v>
      </c>
      <c r="K1392" s="10" t="str">
        <f>IFERROR(VLOOKUP(A1392,'Pedido ESTHER'!$B:$C,2,0),"")</f>
        <v/>
      </c>
      <c r="L1392" s="12" t="str">
        <f>IF(N(K1392)&gt;0,"COMPRA","NÃO COMPRA")</f>
        <v>NÃO COMPRA</v>
      </c>
    </row>
    <row r="1393" spans="1:12">
      <c r="A1393" s="8" t="s">
        <v>2994</v>
      </c>
      <c r="B1393" s="9" t="s">
        <v>2386</v>
      </c>
      <c r="C1393" s="9" t="e">
        <f>VLOOKUP(A1393,[2]Planilha1!$A:$B,2,0)</f>
        <v>#N/A</v>
      </c>
      <c r="D1393" s="10">
        <f>SUMIF([1]Relatório!$A$2:$A$2653,A1393,[1]Relatório!$AK$2:$AK$2653)</f>
        <v>29</v>
      </c>
      <c r="E1393" s="11">
        <f t="shared" si="42"/>
        <v>4.95762936420968e-5</v>
      </c>
      <c r="F1393" s="11">
        <f>SUM($E$7:E1393)</f>
        <v>0.992166945604549</v>
      </c>
      <c r="G1393" s="12" t="str">
        <f t="shared" si="43"/>
        <v>C</v>
      </c>
      <c r="H1393" s="9" t="s">
        <v>183</v>
      </c>
      <c r="I1393" s="9"/>
      <c r="J1393" s="9" t="s">
        <v>2387</v>
      </c>
      <c r="K1393" s="10" t="str">
        <f>IFERROR(VLOOKUP(A1393,'Pedido ESTHER'!$B:$C,2,0),"")</f>
        <v/>
      </c>
      <c r="L1393" s="12" t="str">
        <f>IF(N(K1393)&gt;0,"COMPRA","NÃO COMPRA")</f>
        <v>NÃO COMPRA</v>
      </c>
    </row>
    <row r="1394" spans="1:12">
      <c r="A1394" s="8" t="s">
        <v>2995</v>
      </c>
      <c r="B1394" s="9" t="s">
        <v>749</v>
      </c>
      <c r="C1394" s="9" t="e">
        <f>VLOOKUP(A1394,[2]Planilha1!$A:$B,2,0)</f>
        <v>#N/A</v>
      </c>
      <c r="D1394" s="10">
        <f>SUMIF([1]Relatório!$A$2:$A$2653,A1394,[1]Relatório!$AK$2:$AK$2653)</f>
        <v>29</v>
      </c>
      <c r="E1394" s="11">
        <f t="shared" si="42"/>
        <v>4.95762936420968e-5</v>
      </c>
      <c r="F1394" s="11">
        <f>SUM($E$7:E1394)</f>
        <v>0.992216521898191</v>
      </c>
      <c r="G1394" s="12" t="str">
        <f t="shared" si="43"/>
        <v>C</v>
      </c>
      <c r="H1394" s="9" t="s">
        <v>183</v>
      </c>
      <c r="I1394" s="9"/>
      <c r="J1394" s="9" t="s">
        <v>359</v>
      </c>
      <c r="K1394" s="10" t="str">
        <f>IFERROR(VLOOKUP(A1394,'Pedido ESTHER'!$B:$C,2,0),"")</f>
        <v/>
      </c>
      <c r="L1394" s="12" t="str">
        <f>IF(N(K1394)&gt;0,"COMPRA","NÃO COMPRA")</f>
        <v>NÃO COMPRA</v>
      </c>
    </row>
    <row r="1395" spans="1:12">
      <c r="A1395" s="8" t="s">
        <v>2996</v>
      </c>
      <c r="B1395" s="9" t="s">
        <v>957</v>
      </c>
      <c r="C1395" s="9" t="e">
        <f>VLOOKUP(A1395,[2]Planilha1!$A:$B,2,0)</f>
        <v>#N/A</v>
      </c>
      <c r="D1395" s="10">
        <f>SUMIF([1]Relatório!$A$2:$A$2653,A1395,[1]Relatório!$AK$2:$AK$2653)</f>
        <v>29</v>
      </c>
      <c r="E1395" s="11">
        <f t="shared" si="42"/>
        <v>4.95762936420968e-5</v>
      </c>
      <c r="F1395" s="11">
        <f>SUM($E$7:E1395)</f>
        <v>0.992266098191834</v>
      </c>
      <c r="G1395" s="12" t="str">
        <f t="shared" si="43"/>
        <v>C</v>
      </c>
      <c r="H1395" s="9" t="s">
        <v>143</v>
      </c>
      <c r="I1395" s="9" t="s">
        <v>2997</v>
      </c>
      <c r="J1395" s="9" t="s">
        <v>600</v>
      </c>
      <c r="K1395" s="10" t="str">
        <f>IFERROR(VLOOKUP(A1395,'Pedido ESTHER'!$B:$C,2,0),"")</f>
        <v/>
      </c>
      <c r="L1395" s="12" t="str">
        <f>IF(N(K1395)&gt;0,"COMPRA","NÃO COMPRA")</f>
        <v>NÃO COMPRA</v>
      </c>
    </row>
    <row r="1396" spans="1:12">
      <c r="A1396" s="8" t="s">
        <v>2998</v>
      </c>
      <c r="B1396" s="9" t="s">
        <v>2940</v>
      </c>
      <c r="C1396" s="9" t="e">
        <f>VLOOKUP(A1396,[2]Planilha1!$A:$B,2,0)</f>
        <v>#N/A</v>
      </c>
      <c r="D1396" s="10">
        <f>SUMIF([1]Relatório!$A$2:$A$2653,A1396,[1]Relatório!$AK$2:$AK$2653)</f>
        <v>29</v>
      </c>
      <c r="E1396" s="11">
        <f t="shared" si="42"/>
        <v>4.95762936420968e-5</v>
      </c>
      <c r="F1396" s="11">
        <f>SUM($E$7:E1396)</f>
        <v>0.992315674485476</v>
      </c>
      <c r="G1396" s="12" t="str">
        <f t="shared" si="43"/>
        <v>C</v>
      </c>
      <c r="H1396" s="9" t="s">
        <v>776</v>
      </c>
      <c r="I1396" s="9" t="s">
        <v>2999</v>
      </c>
      <c r="J1396" s="9" t="s">
        <v>671</v>
      </c>
      <c r="K1396" s="10" t="str">
        <f>IFERROR(VLOOKUP(A1396,'Pedido ESTHER'!$B:$C,2,0),"")</f>
        <v/>
      </c>
      <c r="L1396" s="12" t="str">
        <f>IF(N(K1396)&gt;0,"COMPRA","NÃO COMPRA")</f>
        <v>NÃO COMPRA</v>
      </c>
    </row>
    <row r="1397" spans="1:12">
      <c r="A1397" s="8" t="s">
        <v>3000</v>
      </c>
      <c r="B1397" s="9" t="s">
        <v>250</v>
      </c>
      <c r="C1397" s="9" t="e">
        <f>VLOOKUP(A1397,[2]Planilha1!$A:$B,2,0)</f>
        <v>#N/A</v>
      </c>
      <c r="D1397" s="10">
        <f>SUMIF([1]Relatório!$A$2:$A$2653,A1397,[1]Relatório!$AK$2:$AK$2653)</f>
        <v>29</v>
      </c>
      <c r="E1397" s="11">
        <f t="shared" si="42"/>
        <v>4.95762936420968e-5</v>
      </c>
      <c r="F1397" s="11">
        <f>SUM($E$7:E1397)</f>
        <v>0.992365250779118</v>
      </c>
      <c r="G1397" s="12" t="str">
        <f t="shared" si="43"/>
        <v>C</v>
      </c>
      <c r="H1397" s="9" t="s">
        <v>74</v>
      </c>
      <c r="I1397" s="9" t="s">
        <v>3001</v>
      </c>
      <c r="J1397" s="9" t="s">
        <v>40</v>
      </c>
      <c r="K1397" s="10" t="str">
        <f>IFERROR(VLOOKUP(A1397,'Pedido ESTHER'!$B:$C,2,0),"")</f>
        <v/>
      </c>
      <c r="L1397" s="12" t="str">
        <f>IF(N(K1397)&gt;0,"COMPRA","NÃO COMPRA")</f>
        <v>NÃO COMPRA</v>
      </c>
    </row>
    <row r="1398" spans="1:12">
      <c r="A1398" s="8" t="s">
        <v>3002</v>
      </c>
      <c r="B1398" s="9" t="s">
        <v>1070</v>
      </c>
      <c r="C1398" s="9" t="e">
        <f>VLOOKUP(A1398,[2]Planilha1!$A:$B,2,0)</f>
        <v>#N/A</v>
      </c>
      <c r="D1398" s="10">
        <f>SUMIF([1]Relatório!$A$2:$A$2653,A1398,[1]Relatório!$AK$2:$AK$2653)</f>
        <v>29</v>
      </c>
      <c r="E1398" s="11">
        <f t="shared" si="42"/>
        <v>4.95762936420968e-5</v>
      </c>
      <c r="F1398" s="11">
        <f>SUM($E$7:E1398)</f>
        <v>0.99241482707276</v>
      </c>
      <c r="G1398" s="12" t="str">
        <f t="shared" si="43"/>
        <v>C</v>
      </c>
      <c r="H1398" s="9" t="s">
        <v>74</v>
      </c>
      <c r="I1398" s="9" t="s">
        <v>3003</v>
      </c>
      <c r="J1398" s="9" t="s">
        <v>44</v>
      </c>
      <c r="K1398" s="10" t="str">
        <f>IFERROR(VLOOKUP(A1398,'Pedido ESTHER'!$B:$C,2,0),"")</f>
        <v/>
      </c>
      <c r="L1398" s="12" t="str">
        <f>IF(N(K1398)&gt;0,"COMPRA","NÃO COMPRA")</f>
        <v>NÃO COMPRA</v>
      </c>
    </row>
    <row r="1399" spans="1:12">
      <c r="A1399" s="8" t="s">
        <v>3004</v>
      </c>
      <c r="B1399" s="9" t="s">
        <v>339</v>
      </c>
      <c r="C1399" s="9" t="e">
        <f>VLOOKUP(A1399,[2]Planilha1!$A:$B,2,0)</f>
        <v>#N/A</v>
      </c>
      <c r="D1399" s="10">
        <f>SUMIF([1]Relatório!$A$2:$A$2653,A1399,[1]Relatório!$AK$2:$AK$2653)</f>
        <v>29</v>
      </c>
      <c r="E1399" s="11">
        <f t="shared" si="42"/>
        <v>4.95762936420968e-5</v>
      </c>
      <c r="F1399" s="11">
        <f>SUM($E$7:E1399)</f>
        <v>0.992464403366402</v>
      </c>
      <c r="G1399" s="12" t="str">
        <f t="shared" si="43"/>
        <v>C</v>
      </c>
      <c r="H1399" s="9" t="s">
        <v>74</v>
      </c>
      <c r="I1399" s="9" t="s">
        <v>3005</v>
      </c>
      <c r="J1399" s="9" t="s">
        <v>164</v>
      </c>
      <c r="K1399" s="10" t="str">
        <f>IFERROR(VLOOKUP(A1399,'Pedido ESTHER'!$B:$C,2,0),"")</f>
        <v/>
      </c>
      <c r="L1399" s="12" t="str">
        <f>IF(N(K1399)&gt;0,"COMPRA","NÃO COMPRA")</f>
        <v>NÃO COMPRA</v>
      </c>
    </row>
    <row r="1400" spans="1:12">
      <c r="A1400" s="8" t="s">
        <v>3006</v>
      </c>
      <c r="B1400" s="9" t="s">
        <v>2455</v>
      </c>
      <c r="C1400" s="9" t="e">
        <f>VLOOKUP(A1400,[2]Planilha1!$A:$B,2,0)</f>
        <v>#N/A</v>
      </c>
      <c r="D1400" s="10">
        <f>SUMIF([1]Relatório!$A$2:$A$2653,A1400,[1]Relatório!$AK$2:$AK$2653)</f>
        <v>29</v>
      </c>
      <c r="E1400" s="11">
        <f t="shared" si="42"/>
        <v>4.95762936420968e-5</v>
      </c>
      <c r="F1400" s="11">
        <f>SUM($E$7:E1400)</f>
        <v>0.992513979660044</v>
      </c>
      <c r="G1400" s="12" t="str">
        <f t="shared" si="43"/>
        <v>C</v>
      </c>
      <c r="H1400" s="9" t="s">
        <v>2452</v>
      </c>
      <c r="I1400" s="9" t="s">
        <v>3007</v>
      </c>
      <c r="J1400" s="9" t="s">
        <v>3008</v>
      </c>
      <c r="K1400" s="10" t="str">
        <f>IFERROR(VLOOKUP(A1400,'Pedido ESTHER'!$B:$C,2,0),"")</f>
        <v/>
      </c>
      <c r="L1400" s="12" t="str">
        <f>IF(N(K1400)&gt;0,"COMPRA","NÃO COMPRA")</f>
        <v>NÃO COMPRA</v>
      </c>
    </row>
    <row r="1401" spans="1:12">
      <c r="A1401" s="8" t="s">
        <v>3009</v>
      </c>
      <c r="B1401" s="9" t="s">
        <v>2481</v>
      </c>
      <c r="C1401" s="9" t="e">
        <f>VLOOKUP(A1401,[2]Planilha1!$A:$B,2,0)</f>
        <v>#N/A</v>
      </c>
      <c r="D1401" s="10">
        <f>SUMIF([1]Relatório!$A$2:$A$2653,A1401,[1]Relatório!$AK$2:$AK$2653)</f>
        <v>29</v>
      </c>
      <c r="E1401" s="11">
        <f t="shared" si="42"/>
        <v>4.95762936420968e-5</v>
      </c>
      <c r="F1401" s="11">
        <f>SUM($E$7:E1401)</f>
        <v>0.992563555953686</v>
      </c>
      <c r="G1401" s="12" t="str">
        <f t="shared" si="43"/>
        <v>C</v>
      </c>
      <c r="H1401" s="9" t="s">
        <v>2452</v>
      </c>
      <c r="I1401" s="9" t="s">
        <v>3010</v>
      </c>
      <c r="J1401" s="9" t="s">
        <v>33</v>
      </c>
      <c r="K1401" s="10" t="str">
        <f>IFERROR(VLOOKUP(A1401,'Pedido ESTHER'!$B:$C,2,0),"")</f>
        <v/>
      </c>
      <c r="L1401" s="12" t="str">
        <f>IF(N(K1401)&gt;0,"COMPRA","NÃO COMPRA")</f>
        <v>NÃO COMPRA</v>
      </c>
    </row>
    <row r="1402" spans="1:12">
      <c r="A1402" s="8" t="s">
        <v>3011</v>
      </c>
      <c r="B1402" s="9" t="s">
        <v>2267</v>
      </c>
      <c r="C1402" s="9" t="e">
        <f>VLOOKUP(A1402,[2]Planilha1!$A:$B,2,0)</f>
        <v>#N/A</v>
      </c>
      <c r="D1402" s="10">
        <f>SUMIF([1]Relatório!$A$2:$A$2653,A1402,[1]Relatório!$AK$2:$AK$2653)</f>
        <v>28</v>
      </c>
      <c r="E1402" s="11">
        <f t="shared" si="42"/>
        <v>4.78667662751279e-5</v>
      </c>
      <c r="F1402" s="11">
        <f>SUM($E$7:E1402)</f>
        <v>0.992611422719961</v>
      </c>
      <c r="G1402" s="12" t="str">
        <f t="shared" si="43"/>
        <v>C</v>
      </c>
      <c r="H1402" s="9" t="s">
        <v>1344</v>
      </c>
      <c r="I1402" s="9" t="s">
        <v>3012</v>
      </c>
      <c r="J1402" s="9" t="s">
        <v>241</v>
      </c>
      <c r="K1402" s="10" t="str">
        <f>IFERROR(VLOOKUP(A1402,'Pedido ESTHER'!$B:$C,2,0),"")</f>
        <v/>
      </c>
      <c r="L1402" s="12" t="str">
        <f>IF(N(K1402)&gt;0,"COMPRA","NÃO COMPRA")</f>
        <v>NÃO COMPRA</v>
      </c>
    </row>
    <row r="1403" spans="1:12">
      <c r="A1403" s="8" t="s">
        <v>3013</v>
      </c>
      <c r="B1403" s="9" t="s">
        <v>318</v>
      </c>
      <c r="C1403" s="9" t="e">
        <f>VLOOKUP(A1403,[2]Planilha1!$A:$B,2,0)</f>
        <v>#N/A</v>
      </c>
      <c r="D1403" s="10">
        <f>SUMIF([1]Relatório!$A$2:$A$2653,A1403,[1]Relatório!$AK$2:$AK$2653)</f>
        <v>28</v>
      </c>
      <c r="E1403" s="11">
        <f t="shared" si="42"/>
        <v>4.78667662751279e-5</v>
      </c>
      <c r="F1403" s="11">
        <f>SUM($E$7:E1403)</f>
        <v>0.992659289486236</v>
      </c>
      <c r="G1403" s="12" t="str">
        <f t="shared" si="43"/>
        <v>C</v>
      </c>
      <c r="H1403" s="9" t="s">
        <v>14</v>
      </c>
      <c r="I1403" s="9" t="s">
        <v>3014</v>
      </c>
      <c r="J1403" s="9" t="s">
        <v>164</v>
      </c>
      <c r="K1403" s="10" t="str">
        <f>IFERROR(VLOOKUP(A1403,'Pedido ESTHER'!$B:$C,2,0),"")</f>
        <v/>
      </c>
      <c r="L1403" s="12" t="str">
        <f>IF(N(K1403)&gt;0,"COMPRA","NÃO COMPRA")</f>
        <v>NÃO COMPRA</v>
      </c>
    </row>
    <row r="1404" spans="1:12">
      <c r="A1404" s="8" t="s">
        <v>3015</v>
      </c>
      <c r="B1404" s="9" t="s">
        <v>528</v>
      </c>
      <c r="C1404" s="9" t="e">
        <f>VLOOKUP(A1404,[2]Planilha1!$A:$B,2,0)</f>
        <v>#N/A</v>
      </c>
      <c r="D1404" s="10">
        <f>SUMIF([1]Relatório!$A$2:$A$2653,A1404,[1]Relatório!$AK$2:$AK$2653)</f>
        <v>28</v>
      </c>
      <c r="E1404" s="11">
        <f t="shared" si="42"/>
        <v>4.78667662751279e-5</v>
      </c>
      <c r="F1404" s="11">
        <f>SUM($E$7:E1404)</f>
        <v>0.992707156252511</v>
      </c>
      <c r="G1404" s="12" t="str">
        <f t="shared" si="43"/>
        <v>C</v>
      </c>
      <c r="H1404" s="9" t="s">
        <v>21</v>
      </c>
      <c r="I1404" s="9" t="s">
        <v>3016</v>
      </c>
      <c r="J1404" s="9" t="s">
        <v>64</v>
      </c>
      <c r="K1404" s="10" t="str">
        <f>IFERROR(VLOOKUP(A1404,'Pedido ESTHER'!$B:$C,2,0),"")</f>
        <v/>
      </c>
      <c r="L1404" s="12" t="str">
        <f>IF(N(K1404)&gt;0,"COMPRA","NÃO COMPRA")</f>
        <v>NÃO COMPRA</v>
      </c>
    </row>
    <row r="1405" spans="1:12">
      <c r="A1405" s="8" t="s">
        <v>3017</v>
      </c>
      <c r="B1405" s="9" t="s">
        <v>2455</v>
      </c>
      <c r="C1405" s="9" t="e">
        <f>VLOOKUP(A1405,[2]Planilha1!$A:$B,2,0)</f>
        <v>#N/A</v>
      </c>
      <c r="D1405" s="10">
        <f>SUMIF([1]Relatório!$A$2:$A$2653,A1405,[1]Relatório!$AK$2:$AK$2653)</f>
        <v>28</v>
      </c>
      <c r="E1405" s="11">
        <f t="shared" si="42"/>
        <v>4.78667662751279e-5</v>
      </c>
      <c r="F1405" s="11">
        <f>SUM($E$7:E1405)</f>
        <v>0.992755023018787</v>
      </c>
      <c r="G1405" s="12" t="str">
        <f t="shared" si="43"/>
        <v>C</v>
      </c>
      <c r="H1405" s="9" t="s">
        <v>2452</v>
      </c>
      <c r="I1405" s="9" t="s">
        <v>3018</v>
      </c>
      <c r="J1405" s="9" t="s">
        <v>44</v>
      </c>
      <c r="K1405" s="10" t="str">
        <f>IFERROR(VLOOKUP(A1405,'Pedido ESTHER'!$B:$C,2,0),"")</f>
        <v/>
      </c>
      <c r="L1405" s="12" t="str">
        <f>IF(N(K1405)&gt;0,"COMPRA","NÃO COMPRA")</f>
        <v>NÃO COMPRA</v>
      </c>
    </row>
    <row r="1406" spans="1:12">
      <c r="A1406" s="8" t="s">
        <v>3019</v>
      </c>
      <c r="B1406" s="9" t="s">
        <v>1968</v>
      </c>
      <c r="C1406" s="9" t="e">
        <f>VLOOKUP(A1406,[2]Planilha1!$A:$B,2,0)</f>
        <v>#N/A</v>
      </c>
      <c r="D1406" s="10">
        <f>SUMIF([1]Relatório!$A$2:$A$2653,A1406,[1]Relatório!$AK$2:$AK$2653)</f>
        <v>27</v>
      </c>
      <c r="E1406" s="11">
        <f t="shared" si="42"/>
        <v>4.61572389081591e-5</v>
      </c>
      <c r="F1406" s="11">
        <f>SUM($E$7:E1406)</f>
        <v>0.992801180257695</v>
      </c>
      <c r="G1406" s="12" t="str">
        <f t="shared" si="43"/>
        <v>C</v>
      </c>
      <c r="H1406" s="9" t="s">
        <v>1344</v>
      </c>
      <c r="I1406" s="9" t="s">
        <v>3020</v>
      </c>
      <c r="J1406" s="9" t="s">
        <v>281</v>
      </c>
      <c r="K1406" s="10" t="str">
        <f>IFERROR(VLOOKUP(A1406,'Pedido ESTHER'!$B:$C,2,0),"")</f>
        <v/>
      </c>
      <c r="L1406" s="12" t="str">
        <f>IF(N(K1406)&gt;0,"COMPRA","NÃO COMPRA")</f>
        <v>NÃO COMPRA</v>
      </c>
    </row>
    <row r="1407" spans="1:12">
      <c r="A1407" s="8" t="s">
        <v>3021</v>
      </c>
      <c r="B1407" s="9" t="s">
        <v>1867</v>
      </c>
      <c r="C1407" s="9" t="e">
        <f>VLOOKUP(A1407,[2]Planilha1!$A:$B,2,0)</f>
        <v>#N/A</v>
      </c>
      <c r="D1407" s="10">
        <f>SUMIF([1]Relatório!$A$2:$A$2653,A1407,[1]Relatório!$AK$2:$AK$2653)</f>
        <v>27</v>
      </c>
      <c r="E1407" s="11">
        <f t="shared" si="42"/>
        <v>4.61572389081591e-5</v>
      </c>
      <c r="F1407" s="11">
        <f>SUM($E$7:E1407)</f>
        <v>0.992847337496603</v>
      </c>
      <c r="G1407" s="12" t="str">
        <f t="shared" si="43"/>
        <v>C</v>
      </c>
      <c r="H1407" s="9" t="s">
        <v>2406</v>
      </c>
      <c r="I1407" s="9" t="s">
        <v>3022</v>
      </c>
      <c r="J1407" s="9" t="s">
        <v>44</v>
      </c>
      <c r="K1407" s="10" t="str">
        <f>IFERROR(VLOOKUP(A1407,'Pedido ESTHER'!$B:$C,2,0),"")</f>
        <v/>
      </c>
      <c r="L1407" s="12" t="str">
        <f>IF(N(K1407)&gt;0,"COMPRA","NÃO COMPRA")</f>
        <v>NÃO COMPRA</v>
      </c>
    </row>
    <row r="1408" spans="1:12">
      <c r="A1408" s="8" t="s">
        <v>3023</v>
      </c>
      <c r="B1408" s="9" t="s">
        <v>2052</v>
      </c>
      <c r="C1408" s="9" t="e">
        <f>VLOOKUP(A1408,[2]Planilha1!$A:$B,2,0)</f>
        <v>#N/A</v>
      </c>
      <c r="D1408" s="10">
        <f>SUMIF([1]Relatório!$A$2:$A$2653,A1408,[1]Relatório!$AK$2:$AK$2653)</f>
        <v>27</v>
      </c>
      <c r="E1408" s="11">
        <f t="shared" si="42"/>
        <v>4.61572389081591e-5</v>
      </c>
      <c r="F1408" s="11">
        <f>SUM($E$7:E1408)</f>
        <v>0.992893494735511</v>
      </c>
      <c r="G1408" s="12" t="str">
        <f t="shared" si="43"/>
        <v>C</v>
      </c>
      <c r="H1408" s="9" t="s">
        <v>183</v>
      </c>
      <c r="I1408" s="9" t="s">
        <v>3024</v>
      </c>
      <c r="J1408" s="9" t="s">
        <v>2635</v>
      </c>
      <c r="K1408" s="10" t="str">
        <f>IFERROR(VLOOKUP(A1408,'Pedido ESTHER'!$B:$C,2,0),"")</f>
        <v/>
      </c>
      <c r="L1408" s="12" t="str">
        <f>IF(N(K1408)&gt;0,"COMPRA","NÃO COMPRA")</f>
        <v>NÃO COMPRA</v>
      </c>
    </row>
    <row r="1409" spans="1:12">
      <c r="A1409" s="8" t="s">
        <v>3025</v>
      </c>
      <c r="B1409" s="9" t="s">
        <v>1312</v>
      </c>
      <c r="C1409" s="9" t="e">
        <f>VLOOKUP(A1409,[2]Planilha1!$A:$B,2,0)</f>
        <v>#N/A</v>
      </c>
      <c r="D1409" s="10">
        <f>SUMIF([1]Relatório!$A$2:$A$2653,A1409,[1]Relatório!$AK$2:$AK$2653)</f>
        <v>27</v>
      </c>
      <c r="E1409" s="11">
        <f t="shared" si="42"/>
        <v>4.61572389081591e-5</v>
      </c>
      <c r="F1409" s="11">
        <f>SUM($E$7:E1409)</f>
        <v>0.992939651974419</v>
      </c>
      <c r="G1409" s="12" t="str">
        <f t="shared" si="43"/>
        <v>C</v>
      </c>
      <c r="H1409" s="9" t="s">
        <v>183</v>
      </c>
      <c r="I1409" s="9" t="s">
        <v>3026</v>
      </c>
      <c r="J1409" s="9" t="s">
        <v>164</v>
      </c>
      <c r="K1409" s="10" t="str">
        <f>IFERROR(VLOOKUP(A1409,'Pedido ESTHER'!$B:$C,2,0),"")</f>
        <v/>
      </c>
      <c r="L1409" s="12" t="str">
        <f>IF(N(K1409)&gt;0,"COMPRA","NÃO COMPRA")</f>
        <v>NÃO COMPRA</v>
      </c>
    </row>
    <row r="1410" spans="1:12">
      <c r="A1410" s="8" t="s">
        <v>3027</v>
      </c>
      <c r="B1410" s="9" t="s">
        <v>538</v>
      </c>
      <c r="C1410" s="9" t="e">
        <f>VLOOKUP(A1410,[2]Planilha1!$A:$B,2,0)</f>
        <v>#N/A</v>
      </c>
      <c r="D1410" s="10">
        <f>SUMIF([1]Relatório!$A$2:$A$2653,A1410,[1]Relatório!$AK$2:$AK$2653)</f>
        <v>27</v>
      </c>
      <c r="E1410" s="11">
        <f t="shared" si="42"/>
        <v>4.61572389081591e-5</v>
      </c>
      <c r="F1410" s="11">
        <f>SUM($E$7:E1410)</f>
        <v>0.992985809213327</v>
      </c>
      <c r="G1410" s="12" t="str">
        <f t="shared" si="43"/>
        <v>C</v>
      </c>
      <c r="H1410" s="9" t="s">
        <v>183</v>
      </c>
      <c r="I1410" s="9"/>
      <c r="J1410" s="9" t="s">
        <v>1169</v>
      </c>
      <c r="K1410" s="10" t="str">
        <f>IFERROR(VLOOKUP(A1410,'Pedido ESTHER'!$B:$C,2,0),"")</f>
        <v/>
      </c>
      <c r="L1410" s="12" t="str">
        <f>IF(N(K1410)&gt;0,"COMPRA","NÃO COMPRA")</f>
        <v>NÃO COMPRA</v>
      </c>
    </row>
    <row r="1411" spans="1:12">
      <c r="A1411" s="8" t="s">
        <v>3028</v>
      </c>
      <c r="B1411" s="9" t="s">
        <v>3029</v>
      </c>
      <c r="C1411" s="9" t="e">
        <f>VLOOKUP(A1411,[2]Planilha1!$A:$B,2,0)</f>
        <v>#N/A</v>
      </c>
      <c r="D1411" s="10">
        <f>SUMIF([1]Relatório!$A$2:$A$2653,A1411,[1]Relatório!$AK$2:$AK$2653)</f>
        <v>27</v>
      </c>
      <c r="E1411" s="11">
        <f t="shared" si="42"/>
        <v>4.61572389081591e-5</v>
      </c>
      <c r="F1411" s="11">
        <f>SUM($E$7:E1411)</f>
        <v>0.993031966452235</v>
      </c>
      <c r="G1411" s="12" t="str">
        <f t="shared" si="43"/>
        <v>C</v>
      </c>
      <c r="H1411" s="9" t="s">
        <v>831</v>
      </c>
      <c r="I1411" s="9" t="s">
        <v>3030</v>
      </c>
      <c r="J1411" s="9" t="s">
        <v>359</v>
      </c>
      <c r="K1411" s="10" t="str">
        <f>IFERROR(VLOOKUP(A1411,'Pedido ESTHER'!$B:$C,2,0),"")</f>
        <v/>
      </c>
      <c r="L1411" s="12" t="str">
        <f>IF(N(K1411)&gt;0,"COMPRA","NÃO COMPRA")</f>
        <v>NÃO COMPRA</v>
      </c>
    </row>
    <row r="1412" spans="1:12">
      <c r="A1412" s="8" t="s">
        <v>3031</v>
      </c>
      <c r="B1412" s="9" t="s">
        <v>125</v>
      </c>
      <c r="C1412" s="9" t="e">
        <f>VLOOKUP(A1412,[2]Planilha1!$A:$B,2,0)</f>
        <v>#N/A</v>
      </c>
      <c r="D1412" s="10">
        <f>SUMIF([1]Relatório!$A$2:$A$2653,A1412,[1]Relatório!$AK$2:$AK$2653)</f>
        <v>27</v>
      </c>
      <c r="E1412" s="11">
        <f t="shared" si="42"/>
        <v>4.61572389081591e-5</v>
      </c>
      <c r="F1412" s="11">
        <f>SUM($E$7:E1412)</f>
        <v>0.993078123691143</v>
      </c>
      <c r="G1412" s="12" t="str">
        <f t="shared" si="43"/>
        <v>C</v>
      </c>
      <c r="H1412" s="9" t="s">
        <v>74</v>
      </c>
      <c r="I1412" s="9" t="s">
        <v>3032</v>
      </c>
      <c r="J1412" s="9" t="s">
        <v>23</v>
      </c>
      <c r="K1412" s="10" t="str">
        <f>IFERROR(VLOOKUP(A1412,'Pedido ESTHER'!$B:$C,2,0),"")</f>
        <v/>
      </c>
      <c r="L1412" s="12" t="str">
        <f>IF(N(K1412)&gt;0,"COMPRA","NÃO COMPRA")</f>
        <v>NÃO COMPRA</v>
      </c>
    </row>
    <row r="1413" spans="1:12">
      <c r="A1413" s="8" t="s">
        <v>3033</v>
      </c>
      <c r="B1413" s="9" t="s">
        <v>3034</v>
      </c>
      <c r="C1413" s="9" t="e">
        <f>VLOOKUP(A1413,[2]Planilha1!$A:$B,2,0)</f>
        <v>#N/A</v>
      </c>
      <c r="D1413" s="10">
        <f>SUMIF([1]Relatório!$A$2:$A$2653,A1413,[1]Relatório!$AK$2:$AK$2653)</f>
        <v>27</v>
      </c>
      <c r="E1413" s="11">
        <f t="shared" si="42"/>
        <v>4.61572389081591e-5</v>
      </c>
      <c r="F1413" s="11">
        <f>SUM($E$7:E1413)</f>
        <v>0.993124280930051</v>
      </c>
      <c r="G1413" s="12" t="str">
        <f t="shared" si="43"/>
        <v>C</v>
      </c>
      <c r="H1413" s="9" t="s">
        <v>21</v>
      </c>
      <c r="I1413" s="9" t="s">
        <v>3035</v>
      </c>
      <c r="J1413" s="9" t="s">
        <v>1496</v>
      </c>
      <c r="K1413" s="10" t="str">
        <f>IFERROR(VLOOKUP(A1413,'Pedido ESTHER'!$B:$C,2,0),"")</f>
        <v/>
      </c>
      <c r="L1413" s="12" t="str">
        <f>IF(N(K1413)&gt;0,"COMPRA","NÃO COMPRA")</f>
        <v>NÃO COMPRA</v>
      </c>
    </row>
    <row r="1414" spans="1:12">
      <c r="A1414" s="8" t="s">
        <v>3036</v>
      </c>
      <c r="B1414" s="9" t="s">
        <v>3037</v>
      </c>
      <c r="C1414" s="9" t="e">
        <f>VLOOKUP(A1414,[2]Planilha1!$A:$B,2,0)</f>
        <v>#N/A</v>
      </c>
      <c r="D1414" s="10">
        <f>SUMIF([1]Relatório!$A$2:$A$2653,A1414,[1]Relatório!$AK$2:$AK$2653)</f>
        <v>26</v>
      </c>
      <c r="E1414" s="11">
        <f t="shared" si="42"/>
        <v>4.44477115411902e-5</v>
      </c>
      <c r="F1414" s="11">
        <f>SUM($E$7:E1414)</f>
        <v>0.993168728641593</v>
      </c>
      <c r="G1414" s="12" t="str">
        <f t="shared" si="43"/>
        <v>C</v>
      </c>
      <c r="H1414" s="9" t="s">
        <v>1344</v>
      </c>
      <c r="I1414" s="9" t="s">
        <v>3038</v>
      </c>
      <c r="J1414" s="9" t="s">
        <v>1180</v>
      </c>
      <c r="K1414" s="10" t="str">
        <f>IFERROR(VLOOKUP(A1414,'Pedido ESTHER'!$B:$C,2,0),"")</f>
        <v/>
      </c>
      <c r="L1414" s="12" t="str">
        <f>IF(N(K1414)&gt;0,"COMPRA","NÃO COMPRA")</f>
        <v>NÃO COMPRA</v>
      </c>
    </row>
    <row r="1415" spans="1:12">
      <c r="A1415" s="8" t="s">
        <v>3039</v>
      </c>
      <c r="B1415" s="9" t="s">
        <v>2128</v>
      </c>
      <c r="C1415" s="9" t="e">
        <f>VLOOKUP(A1415,[2]Planilha1!$A:$B,2,0)</f>
        <v>#N/A</v>
      </c>
      <c r="D1415" s="10">
        <f>SUMIF([1]Relatório!$A$2:$A$2653,A1415,[1]Relatório!$AK$2:$AK$2653)</f>
        <v>26</v>
      </c>
      <c r="E1415" s="11">
        <f t="shared" si="42"/>
        <v>4.44477115411902e-5</v>
      </c>
      <c r="F1415" s="11">
        <f>SUM($E$7:E1415)</f>
        <v>0.993213176353134</v>
      </c>
      <c r="G1415" s="12" t="str">
        <f t="shared" si="43"/>
        <v>C</v>
      </c>
      <c r="H1415" s="9" t="s">
        <v>1344</v>
      </c>
      <c r="I1415" s="9" t="s">
        <v>3040</v>
      </c>
      <c r="J1415" s="9" t="s">
        <v>213</v>
      </c>
      <c r="K1415" s="10" t="str">
        <f>IFERROR(VLOOKUP(A1415,'Pedido ESTHER'!$B:$C,2,0),"")</f>
        <v/>
      </c>
      <c r="L1415" s="12" t="str">
        <f>IF(N(K1415)&gt;0,"COMPRA","NÃO COMPRA")</f>
        <v>NÃO COMPRA</v>
      </c>
    </row>
    <row r="1416" spans="1:12">
      <c r="A1416" s="8" t="s">
        <v>3041</v>
      </c>
      <c r="B1416" s="9" t="s">
        <v>3042</v>
      </c>
      <c r="C1416" s="9" t="e">
        <f>VLOOKUP(A1416,[2]Planilha1!$A:$B,2,0)</f>
        <v>#N/A</v>
      </c>
      <c r="D1416" s="10">
        <f>SUMIF([1]Relatório!$A$2:$A$2653,A1416,[1]Relatório!$AK$2:$AK$2653)</f>
        <v>26</v>
      </c>
      <c r="E1416" s="11">
        <f t="shared" ref="E1416:E1479" si="44">D1416/SUM($D$7:$D$1708)</f>
        <v>4.44477115411902e-5</v>
      </c>
      <c r="F1416" s="11">
        <f>SUM($E$7:E1416)</f>
        <v>0.993257624064675</v>
      </c>
      <c r="G1416" s="12" t="str">
        <f t="shared" ref="G1416:G1479" si="45">IF(F1416&lt;=70%,"A",IF(F1416&lt;=90%,"B","C"))</f>
        <v>C</v>
      </c>
      <c r="H1416" s="9" t="s">
        <v>1937</v>
      </c>
      <c r="I1416" s="9"/>
      <c r="J1416" s="9" t="s">
        <v>359</v>
      </c>
      <c r="K1416" s="10" t="str">
        <f>IFERROR(VLOOKUP(A1416,'Pedido ESTHER'!$B:$C,2,0),"")</f>
        <v/>
      </c>
      <c r="L1416" s="12" t="str">
        <f>IF(N(K1416)&gt;0,"COMPRA","NÃO COMPRA")</f>
        <v>NÃO COMPRA</v>
      </c>
    </row>
    <row r="1417" spans="1:12">
      <c r="A1417" s="8" t="s">
        <v>3043</v>
      </c>
      <c r="B1417" s="9" t="s">
        <v>363</v>
      </c>
      <c r="C1417" s="9" t="e">
        <f>VLOOKUP(A1417,[2]Planilha1!$A:$B,2,0)</f>
        <v>#N/A</v>
      </c>
      <c r="D1417" s="10">
        <f>SUMIF([1]Relatório!$A$2:$A$2653,A1417,[1]Relatório!$AK$2:$AK$2653)</f>
        <v>26</v>
      </c>
      <c r="E1417" s="11">
        <f t="shared" si="44"/>
        <v>4.44477115411902e-5</v>
      </c>
      <c r="F1417" s="11">
        <f>SUM($E$7:E1417)</f>
        <v>0.993302071776216</v>
      </c>
      <c r="G1417" s="12" t="str">
        <f t="shared" si="45"/>
        <v>C</v>
      </c>
      <c r="H1417" s="9" t="s">
        <v>183</v>
      </c>
      <c r="I1417" s="9"/>
      <c r="J1417" s="9" t="s">
        <v>40</v>
      </c>
      <c r="K1417" s="10" t="str">
        <f>IFERROR(VLOOKUP(A1417,'Pedido ESTHER'!$B:$C,2,0),"")</f>
        <v/>
      </c>
      <c r="L1417" s="12" t="str">
        <f>IF(N(K1417)&gt;0,"COMPRA","NÃO COMPRA")</f>
        <v>NÃO COMPRA</v>
      </c>
    </row>
    <row r="1418" spans="1:12">
      <c r="A1418" s="8" t="s">
        <v>3044</v>
      </c>
      <c r="B1418" s="9" t="s">
        <v>602</v>
      </c>
      <c r="C1418" s="9" t="e">
        <f>VLOOKUP(A1418,[2]Planilha1!$A:$B,2,0)</f>
        <v>#N/A</v>
      </c>
      <c r="D1418" s="10">
        <f>SUMIF([1]Relatório!$A$2:$A$2653,A1418,[1]Relatório!$AK$2:$AK$2653)</f>
        <v>26</v>
      </c>
      <c r="E1418" s="11">
        <f t="shared" si="44"/>
        <v>4.44477115411902e-5</v>
      </c>
      <c r="F1418" s="11">
        <f>SUM($E$7:E1418)</f>
        <v>0.993346519487758</v>
      </c>
      <c r="G1418" s="12" t="str">
        <f t="shared" si="45"/>
        <v>C</v>
      </c>
      <c r="H1418" s="9" t="s">
        <v>183</v>
      </c>
      <c r="I1418" s="9" t="s">
        <v>3045</v>
      </c>
      <c r="J1418" s="9" t="s">
        <v>213</v>
      </c>
      <c r="K1418" s="10" t="str">
        <f>IFERROR(VLOOKUP(A1418,'Pedido ESTHER'!$B:$C,2,0),"")</f>
        <v/>
      </c>
      <c r="L1418" s="12" t="str">
        <f>IF(N(K1418)&gt;0,"COMPRA","NÃO COMPRA")</f>
        <v>NÃO COMPRA</v>
      </c>
    </row>
    <row r="1419" spans="1:12">
      <c r="A1419" s="8" t="s">
        <v>3046</v>
      </c>
      <c r="B1419" s="9" t="s">
        <v>495</v>
      </c>
      <c r="C1419" s="9" t="e">
        <f>VLOOKUP(A1419,[2]Planilha1!$A:$B,2,0)</f>
        <v>#N/A</v>
      </c>
      <c r="D1419" s="10">
        <f>SUMIF([1]Relatório!$A$2:$A$2653,A1419,[1]Relatório!$AK$2:$AK$2653)</f>
        <v>26</v>
      </c>
      <c r="E1419" s="11">
        <f t="shared" si="44"/>
        <v>4.44477115411902e-5</v>
      </c>
      <c r="F1419" s="11">
        <f>SUM($E$7:E1419)</f>
        <v>0.993390967199299</v>
      </c>
      <c r="G1419" s="12" t="str">
        <f t="shared" si="45"/>
        <v>C</v>
      </c>
      <c r="H1419" s="9" t="s">
        <v>183</v>
      </c>
      <c r="I1419" s="9" t="s">
        <v>3047</v>
      </c>
      <c r="J1419" s="9" t="s">
        <v>3048</v>
      </c>
      <c r="K1419" s="10" t="str">
        <f>IFERROR(VLOOKUP(A1419,'Pedido ESTHER'!$B:$C,2,0),"")</f>
        <v/>
      </c>
      <c r="L1419" s="12" t="str">
        <f>IF(N(K1419)&gt;0,"COMPRA","NÃO COMPRA")</f>
        <v>NÃO COMPRA</v>
      </c>
    </row>
    <row r="1420" spans="1:12">
      <c r="A1420" s="8" t="s">
        <v>3049</v>
      </c>
      <c r="B1420" s="9" t="s">
        <v>154</v>
      </c>
      <c r="C1420" s="9" t="e">
        <f>VLOOKUP(A1420,[2]Planilha1!$A:$B,2,0)</f>
        <v>#N/A</v>
      </c>
      <c r="D1420" s="10">
        <f>SUMIF([1]Relatório!$A$2:$A$2653,A1420,[1]Relatório!$AK$2:$AK$2653)</f>
        <v>26</v>
      </c>
      <c r="E1420" s="11">
        <f t="shared" si="44"/>
        <v>4.44477115411902e-5</v>
      </c>
      <c r="F1420" s="11">
        <f>SUM($E$7:E1420)</f>
        <v>0.99343541491084</v>
      </c>
      <c r="G1420" s="12" t="str">
        <f t="shared" si="45"/>
        <v>C</v>
      </c>
      <c r="H1420" s="9" t="s">
        <v>831</v>
      </c>
      <c r="I1420" s="9" t="s">
        <v>3050</v>
      </c>
      <c r="J1420" s="9" t="s">
        <v>44</v>
      </c>
      <c r="K1420" s="10" t="str">
        <f>IFERROR(VLOOKUP(A1420,'Pedido ESTHER'!$B:$C,2,0),"")</f>
        <v/>
      </c>
      <c r="L1420" s="12" t="str">
        <f>IF(N(K1420)&gt;0,"COMPRA","NÃO COMPRA")</f>
        <v>NÃO COMPRA</v>
      </c>
    </row>
    <row r="1421" spans="1:12">
      <c r="A1421" s="8" t="s">
        <v>3051</v>
      </c>
      <c r="B1421" s="9" t="s">
        <v>3052</v>
      </c>
      <c r="C1421" s="9" t="e">
        <f>VLOOKUP(A1421,[2]Planilha1!$A:$B,2,0)</f>
        <v>#N/A</v>
      </c>
      <c r="D1421" s="10">
        <f>SUMIF([1]Relatório!$A$2:$A$2653,A1421,[1]Relatório!$AK$2:$AK$2653)</f>
        <v>26</v>
      </c>
      <c r="E1421" s="11">
        <f t="shared" si="44"/>
        <v>4.44477115411902e-5</v>
      </c>
      <c r="F1421" s="11">
        <f>SUM($E$7:E1421)</f>
        <v>0.993479862622381</v>
      </c>
      <c r="G1421" s="12" t="str">
        <f t="shared" si="45"/>
        <v>C</v>
      </c>
      <c r="H1421" s="9" t="s">
        <v>2452</v>
      </c>
      <c r="I1421" s="9" t="s">
        <v>3053</v>
      </c>
      <c r="J1421" s="9" t="s">
        <v>40</v>
      </c>
      <c r="K1421" s="10" t="str">
        <f>IFERROR(VLOOKUP(A1421,'Pedido ESTHER'!$B:$C,2,0),"")</f>
        <v/>
      </c>
      <c r="L1421" s="12" t="str">
        <f>IF(N(K1421)&gt;0,"COMPRA","NÃO COMPRA")</f>
        <v>NÃO COMPRA</v>
      </c>
    </row>
    <row r="1422" spans="1:12">
      <c r="A1422" s="8" t="s">
        <v>3054</v>
      </c>
      <c r="B1422" s="9" t="s">
        <v>1796</v>
      </c>
      <c r="C1422" s="9" t="e">
        <f>VLOOKUP(A1422,[2]Planilha1!$A:$B,2,0)</f>
        <v>#N/A</v>
      </c>
      <c r="D1422" s="10">
        <f>SUMIF([1]Relatório!$A$2:$A$2653,A1422,[1]Relatório!$AK$2:$AK$2653)</f>
        <v>25</v>
      </c>
      <c r="E1422" s="11">
        <f t="shared" si="44"/>
        <v>4.27381841742214e-5</v>
      </c>
      <c r="F1422" s="11">
        <f>SUM($E$7:E1422)</f>
        <v>0.993522600806555</v>
      </c>
      <c r="G1422" s="12" t="str">
        <f t="shared" si="45"/>
        <v>C</v>
      </c>
      <c r="H1422" s="9" t="s">
        <v>2406</v>
      </c>
      <c r="I1422" s="9" t="s">
        <v>3055</v>
      </c>
      <c r="J1422" s="9" t="s">
        <v>201</v>
      </c>
      <c r="K1422" s="10" t="str">
        <f>IFERROR(VLOOKUP(A1422,'Pedido ESTHER'!$B:$C,2,0),"")</f>
        <v/>
      </c>
      <c r="L1422" s="12" t="str">
        <f>IF(N(K1422)&gt;0,"COMPRA","NÃO COMPRA")</f>
        <v>NÃO COMPRA</v>
      </c>
    </row>
    <row r="1423" spans="1:12">
      <c r="A1423" s="8" t="s">
        <v>3056</v>
      </c>
      <c r="B1423" s="9" t="s">
        <v>2861</v>
      </c>
      <c r="C1423" s="9" t="e">
        <f>VLOOKUP(A1423,[2]Planilha1!$A:$B,2,0)</f>
        <v>#N/A</v>
      </c>
      <c r="D1423" s="10">
        <f>SUMIF([1]Relatório!$A$2:$A$2653,A1423,[1]Relatório!$AK$2:$AK$2653)</f>
        <v>25</v>
      </c>
      <c r="E1423" s="11">
        <f t="shared" si="44"/>
        <v>4.27381841742214e-5</v>
      </c>
      <c r="F1423" s="11">
        <f>SUM($E$7:E1423)</f>
        <v>0.99356533899073</v>
      </c>
      <c r="G1423" s="12" t="str">
        <f t="shared" si="45"/>
        <v>C</v>
      </c>
      <c r="H1423" s="9" t="s">
        <v>1344</v>
      </c>
      <c r="I1423" s="9" t="s">
        <v>3057</v>
      </c>
      <c r="J1423" s="9" t="s">
        <v>1169</v>
      </c>
      <c r="K1423" s="10" t="str">
        <f>IFERROR(VLOOKUP(A1423,'Pedido ESTHER'!$B:$C,2,0),"")</f>
        <v/>
      </c>
      <c r="L1423" s="12" t="str">
        <f>IF(N(K1423)&gt;0,"COMPRA","NÃO COMPRA")</f>
        <v>NÃO COMPRA</v>
      </c>
    </row>
    <row r="1424" spans="1:12">
      <c r="A1424" s="8" t="s">
        <v>3058</v>
      </c>
      <c r="B1424" s="9" t="s">
        <v>363</v>
      </c>
      <c r="C1424" s="9" t="e">
        <f>VLOOKUP(A1424,[2]Planilha1!$A:$B,2,0)</f>
        <v>#N/A</v>
      </c>
      <c r="D1424" s="10">
        <f>SUMIF([1]Relatório!$A$2:$A$2653,A1424,[1]Relatório!$AK$2:$AK$2653)</f>
        <v>25</v>
      </c>
      <c r="E1424" s="11">
        <f t="shared" si="44"/>
        <v>4.27381841742214e-5</v>
      </c>
      <c r="F1424" s="11">
        <f>SUM($E$7:E1424)</f>
        <v>0.993608077174904</v>
      </c>
      <c r="G1424" s="12" t="str">
        <f t="shared" si="45"/>
        <v>C</v>
      </c>
      <c r="H1424" s="9" t="s">
        <v>183</v>
      </c>
      <c r="I1424" s="9"/>
      <c r="J1424" s="9" t="s">
        <v>40</v>
      </c>
      <c r="K1424" s="10" t="str">
        <f>IFERROR(VLOOKUP(A1424,'Pedido ESTHER'!$B:$C,2,0),"")</f>
        <v/>
      </c>
      <c r="L1424" s="12" t="str">
        <f>IF(N(K1424)&gt;0,"COMPRA","NÃO COMPRA")</f>
        <v>NÃO COMPRA</v>
      </c>
    </row>
    <row r="1425" spans="1:12">
      <c r="A1425" s="8" t="s">
        <v>3059</v>
      </c>
      <c r="B1425" s="9" t="s">
        <v>335</v>
      </c>
      <c r="C1425" s="9" t="e">
        <f>VLOOKUP(A1425,[2]Planilha1!$A:$B,2,0)</f>
        <v>#N/A</v>
      </c>
      <c r="D1425" s="10">
        <f>SUMIF([1]Relatório!$A$2:$A$2653,A1425,[1]Relatório!$AK$2:$AK$2653)</f>
        <v>25</v>
      </c>
      <c r="E1425" s="11">
        <f t="shared" si="44"/>
        <v>4.27381841742214e-5</v>
      </c>
      <c r="F1425" s="11">
        <f>SUM($E$7:E1425)</f>
        <v>0.993650815359078</v>
      </c>
      <c r="G1425" s="12" t="str">
        <f t="shared" si="45"/>
        <v>C</v>
      </c>
      <c r="H1425" s="9" t="s">
        <v>183</v>
      </c>
      <c r="I1425" s="9" t="s">
        <v>3060</v>
      </c>
      <c r="J1425" s="9" t="s">
        <v>44</v>
      </c>
      <c r="K1425" s="10" t="str">
        <f>IFERROR(VLOOKUP(A1425,'Pedido ESTHER'!$B:$C,2,0),"")</f>
        <v/>
      </c>
      <c r="L1425" s="12" t="str">
        <f>IF(N(K1425)&gt;0,"COMPRA","NÃO COMPRA")</f>
        <v>NÃO COMPRA</v>
      </c>
    </row>
    <row r="1426" spans="1:12">
      <c r="A1426" s="8" t="s">
        <v>3061</v>
      </c>
      <c r="B1426" s="9" t="s">
        <v>2180</v>
      </c>
      <c r="C1426" s="9" t="e">
        <f>VLOOKUP(A1426,[2]Planilha1!$A:$B,2,0)</f>
        <v>#N/A</v>
      </c>
      <c r="D1426" s="10">
        <f>SUMIF([1]Relatório!$A$2:$A$2653,A1426,[1]Relatório!$AK$2:$AK$2653)</f>
        <v>25</v>
      </c>
      <c r="E1426" s="11">
        <f t="shared" si="44"/>
        <v>4.27381841742214e-5</v>
      </c>
      <c r="F1426" s="11">
        <f>SUM($E$7:E1426)</f>
        <v>0.993693553543252</v>
      </c>
      <c r="G1426" s="12" t="str">
        <f t="shared" si="45"/>
        <v>C</v>
      </c>
      <c r="H1426" s="9" t="s">
        <v>183</v>
      </c>
      <c r="I1426" s="9" t="s">
        <v>3062</v>
      </c>
      <c r="J1426" s="9" t="s">
        <v>2181</v>
      </c>
      <c r="K1426" s="10" t="str">
        <f>IFERROR(VLOOKUP(A1426,'Pedido ESTHER'!$B:$C,2,0),"")</f>
        <v/>
      </c>
      <c r="L1426" s="12" t="str">
        <f>IF(N(K1426)&gt;0,"COMPRA","NÃO COMPRA")</f>
        <v>NÃO COMPRA</v>
      </c>
    </row>
    <row r="1427" spans="1:12">
      <c r="A1427" s="8" t="s">
        <v>3063</v>
      </c>
      <c r="B1427" s="9" t="s">
        <v>749</v>
      </c>
      <c r="C1427" s="9" t="e">
        <f>VLOOKUP(A1427,[2]Planilha1!$A:$B,2,0)</f>
        <v>#N/A</v>
      </c>
      <c r="D1427" s="10">
        <f>SUMIF([1]Relatório!$A$2:$A$2653,A1427,[1]Relatório!$AK$2:$AK$2653)</f>
        <v>25</v>
      </c>
      <c r="E1427" s="11">
        <f t="shared" si="44"/>
        <v>4.27381841742214e-5</v>
      </c>
      <c r="F1427" s="11">
        <f>SUM($E$7:E1427)</f>
        <v>0.993736291727427</v>
      </c>
      <c r="G1427" s="12" t="str">
        <f t="shared" si="45"/>
        <v>C</v>
      </c>
      <c r="H1427" s="9" t="s">
        <v>892</v>
      </c>
      <c r="I1427" s="9" t="s">
        <v>3064</v>
      </c>
      <c r="J1427" s="9" t="s">
        <v>359</v>
      </c>
      <c r="K1427" s="10" t="str">
        <f>IFERROR(VLOOKUP(A1427,'Pedido ESTHER'!$B:$C,2,0),"")</f>
        <v/>
      </c>
      <c r="L1427" s="12" t="str">
        <f>IF(N(K1427)&gt;0,"COMPRA","NÃO COMPRA")</f>
        <v>NÃO COMPRA</v>
      </c>
    </row>
    <row r="1428" spans="1:12">
      <c r="A1428" s="8" t="s">
        <v>3065</v>
      </c>
      <c r="B1428" s="9" t="s">
        <v>122</v>
      </c>
      <c r="C1428" s="9" t="e">
        <f>VLOOKUP(A1428,[2]Planilha1!$A:$B,2,0)</f>
        <v>#N/A</v>
      </c>
      <c r="D1428" s="10">
        <f>SUMIF([1]Relatório!$A$2:$A$2653,A1428,[1]Relatório!$AK$2:$AK$2653)</f>
        <v>25</v>
      </c>
      <c r="E1428" s="11">
        <f t="shared" si="44"/>
        <v>4.27381841742214e-5</v>
      </c>
      <c r="F1428" s="11">
        <f>SUM($E$7:E1428)</f>
        <v>0.993779029911601</v>
      </c>
      <c r="G1428" s="12" t="str">
        <f t="shared" si="45"/>
        <v>C</v>
      </c>
      <c r="H1428" s="9" t="s">
        <v>18</v>
      </c>
      <c r="I1428" s="9" t="s">
        <v>3066</v>
      </c>
      <c r="J1428" s="9" t="s">
        <v>33</v>
      </c>
      <c r="K1428" s="10" t="str">
        <f>IFERROR(VLOOKUP(A1428,'Pedido ESTHER'!$B:$C,2,0),"")</f>
        <v/>
      </c>
      <c r="L1428" s="12" t="str">
        <f>IF(N(K1428)&gt;0,"COMPRA","NÃO COMPRA")</f>
        <v>NÃO COMPRA</v>
      </c>
    </row>
    <row r="1429" spans="1:12">
      <c r="A1429" s="8" t="s">
        <v>3067</v>
      </c>
      <c r="B1429" s="9" t="s">
        <v>1175</v>
      </c>
      <c r="C1429" s="9" t="e">
        <f>VLOOKUP(A1429,[2]Planilha1!$A:$B,2,0)</f>
        <v>#N/A</v>
      </c>
      <c r="D1429" s="10">
        <f>SUMIF([1]Relatório!$A$2:$A$2653,A1429,[1]Relatório!$AK$2:$AK$2653)</f>
        <v>25</v>
      </c>
      <c r="E1429" s="11">
        <f t="shared" si="44"/>
        <v>4.27381841742214e-5</v>
      </c>
      <c r="F1429" s="11">
        <f>SUM($E$7:E1429)</f>
        <v>0.993821768095775</v>
      </c>
      <c r="G1429" s="12" t="str">
        <f t="shared" si="45"/>
        <v>C</v>
      </c>
      <c r="H1429" s="9" t="s">
        <v>74</v>
      </c>
      <c r="I1429" s="9" t="s">
        <v>3068</v>
      </c>
      <c r="J1429" s="9" t="s">
        <v>44</v>
      </c>
      <c r="K1429" s="10" t="str">
        <f>IFERROR(VLOOKUP(A1429,'Pedido ESTHER'!$B:$C,2,0),"")</f>
        <v/>
      </c>
      <c r="L1429" s="12" t="str">
        <f>IF(N(K1429)&gt;0,"COMPRA","NÃO COMPRA")</f>
        <v>NÃO COMPRA</v>
      </c>
    </row>
    <row r="1430" spans="1:12">
      <c r="A1430" s="8" t="s">
        <v>3069</v>
      </c>
      <c r="B1430" s="9" t="s">
        <v>1070</v>
      </c>
      <c r="C1430" s="9" t="e">
        <f>VLOOKUP(A1430,[2]Planilha1!$A:$B,2,0)</f>
        <v>#N/A</v>
      </c>
      <c r="D1430" s="10">
        <f>SUMIF([1]Relatório!$A$2:$A$2653,A1430,[1]Relatório!$AK$2:$AK$2653)</f>
        <v>25</v>
      </c>
      <c r="E1430" s="11">
        <f t="shared" si="44"/>
        <v>4.27381841742214e-5</v>
      </c>
      <c r="F1430" s="11">
        <f>SUM($E$7:E1430)</f>
        <v>0.993864506279949</v>
      </c>
      <c r="G1430" s="12" t="str">
        <f t="shared" si="45"/>
        <v>C</v>
      </c>
      <c r="H1430" s="9" t="s">
        <v>74</v>
      </c>
      <c r="I1430" s="9" t="s">
        <v>3070</v>
      </c>
      <c r="J1430" s="9" t="s">
        <v>44</v>
      </c>
      <c r="K1430" s="10" t="str">
        <f>IFERROR(VLOOKUP(A1430,'Pedido ESTHER'!$B:$C,2,0),"")</f>
        <v/>
      </c>
      <c r="L1430" s="12" t="str">
        <f>IF(N(K1430)&gt;0,"COMPRA","NÃO COMPRA")</f>
        <v>NÃO COMPRA</v>
      </c>
    </row>
    <row r="1431" spans="1:12">
      <c r="A1431" s="8" t="s">
        <v>3071</v>
      </c>
      <c r="B1431" s="9" t="s">
        <v>3072</v>
      </c>
      <c r="C1431" s="9" t="e">
        <f>VLOOKUP(A1431,[2]Planilha1!$A:$B,2,0)</f>
        <v>#N/A</v>
      </c>
      <c r="D1431" s="10">
        <f>SUMIF([1]Relatório!$A$2:$A$2653,A1431,[1]Relatório!$AK$2:$AK$2653)</f>
        <v>25</v>
      </c>
      <c r="E1431" s="11">
        <f t="shared" si="44"/>
        <v>4.27381841742214e-5</v>
      </c>
      <c r="F1431" s="11">
        <f>SUM($E$7:E1431)</f>
        <v>0.993907244464123</v>
      </c>
      <c r="G1431" s="12" t="str">
        <f t="shared" si="45"/>
        <v>C</v>
      </c>
      <c r="H1431" s="9" t="s">
        <v>18</v>
      </c>
      <c r="I1431" s="9" t="s">
        <v>3073</v>
      </c>
      <c r="J1431" s="9" t="s">
        <v>359</v>
      </c>
      <c r="K1431" s="10" t="str">
        <f>IFERROR(VLOOKUP(A1431,'Pedido ESTHER'!$B:$C,2,0),"")</f>
        <v/>
      </c>
      <c r="L1431" s="12" t="str">
        <f>IF(N(K1431)&gt;0,"COMPRA","NÃO COMPRA")</f>
        <v>NÃO COMPRA</v>
      </c>
    </row>
    <row r="1432" spans="1:12">
      <c r="A1432" s="8" t="s">
        <v>3074</v>
      </c>
      <c r="B1432" s="9" t="s">
        <v>3075</v>
      </c>
      <c r="C1432" s="9" t="e">
        <f>VLOOKUP(A1432,[2]Planilha1!$A:$B,2,0)</f>
        <v>#N/A</v>
      </c>
      <c r="D1432" s="10">
        <f>SUMIF([1]Relatório!$A$2:$A$2653,A1432,[1]Relatório!$AK$2:$AK$2653)</f>
        <v>25</v>
      </c>
      <c r="E1432" s="11">
        <f t="shared" si="44"/>
        <v>4.27381841742214e-5</v>
      </c>
      <c r="F1432" s="11">
        <f>SUM($E$7:E1432)</f>
        <v>0.993949982648298</v>
      </c>
      <c r="G1432" s="12" t="str">
        <f t="shared" si="45"/>
        <v>C</v>
      </c>
      <c r="H1432" s="9" t="s">
        <v>2452</v>
      </c>
      <c r="I1432" s="9" t="s">
        <v>3076</v>
      </c>
      <c r="J1432" s="9" t="s">
        <v>29</v>
      </c>
      <c r="K1432" s="10" t="str">
        <f>IFERROR(VLOOKUP(A1432,'Pedido ESTHER'!$B:$C,2,0),"")</f>
        <v/>
      </c>
      <c r="L1432" s="12" t="str">
        <f>IF(N(K1432)&gt;0,"COMPRA","NÃO COMPRA")</f>
        <v>NÃO COMPRA</v>
      </c>
    </row>
    <row r="1433" spans="1:12">
      <c r="A1433" s="8" t="s">
        <v>3077</v>
      </c>
      <c r="B1433" s="9" t="s">
        <v>495</v>
      </c>
      <c r="C1433" s="9" t="e">
        <f>VLOOKUP(A1433,[2]Planilha1!$A:$B,2,0)</f>
        <v>#N/A</v>
      </c>
      <c r="D1433" s="10">
        <f>SUMIF([1]Relatório!$A$2:$A$2653,A1433,[1]Relatório!$AK$2:$AK$2653)</f>
        <v>24</v>
      </c>
      <c r="E1433" s="11">
        <f t="shared" si="44"/>
        <v>4.10286568072525e-5</v>
      </c>
      <c r="F1433" s="11">
        <f>SUM($E$7:E1433)</f>
        <v>0.993991011305105</v>
      </c>
      <c r="G1433" s="12" t="str">
        <f t="shared" si="45"/>
        <v>C</v>
      </c>
      <c r="H1433" s="9" t="s">
        <v>183</v>
      </c>
      <c r="I1433" s="9" t="s">
        <v>3078</v>
      </c>
      <c r="J1433" s="9" t="s">
        <v>64</v>
      </c>
      <c r="K1433" s="10" t="str">
        <f>IFERROR(VLOOKUP(A1433,'Pedido ESTHER'!$B:$C,2,0),"")</f>
        <v/>
      </c>
      <c r="L1433" s="12" t="str">
        <f>IF(N(K1433)&gt;0,"COMPRA","NÃO COMPRA")</f>
        <v>NÃO COMPRA</v>
      </c>
    </row>
    <row r="1434" spans="1:12">
      <c r="A1434" s="8" t="s">
        <v>3079</v>
      </c>
      <c r="B1434" s="9" t="s">
        <v>827</v>
      </c>
      <c r="C1434" s="9" t="e">
        <f>VLOOKUP(A1434,[2]Planilha1!$A:$B,2,0)</f>
        <v>#N/A</v>
      </c>
      <c r="D1434" s="10">
        <f>SUMIF([1]Relatório!$A$2:$A$2653,A1434,[1]Relatório!$AK$2:$AK$2653)</f>
        <v>24</v>
      </c>
      <c r="E1434" s="11">
        <f t="shared" si="44"/>
        <v>4.10286568072525e-5</v>
      </c>
      <c r="F1434" s="11">
        <f>SUM($E$7:E1434)</f>
        <v>0.994032039961912</v>
      </c>
      <c r="G1434" s="12" t="str">
        <f t="shared" si="45"/>
        <v>C</v>
      </c>
      <c r="H1434" s="9" t="s">
        <v>183</v>
      </c>
      <c r="I1434" s="9" t="s">
        <v>3080</v>
      </c>
      <c r="J1434" s="9" t="s">
        <v>36</v>
      </c>
      <c r="K1434" s="10" t="str">
        <f>IFERROR(VLOOKUP(A1434,'Pedido ESTHER'!$B:$C,2,0),"")</f>
        <v/>
      </c>
      <c r="L1434" s="12" t="str">
        <f>IF(N(K1434)&gt;0,"COMPRA","NÃO COMPRA")</f>
        <v>NÃO COMPRA</v>
      </c>
    </row>
    <row r="1435" spans="1:12">
      <c r="A1435" s="8" t="s">
        <v>3081</v>
      </c>
      <c r="B1435" s="9" t="s">
        <v>825</v>
      </c>
      <c r="C1435" s="9" t="e">
        <f>VLOOKUP(A1435,[2]Planilha1!$A:$B,2,0)</f>
        <v>#N/A</v>
      </c>
      <c r="D1435" s="10">
        <f>SUMIF([1]Relatório!$A$2:$A$2653,A1435,[1]Relatório!$AK$2:$AK$2653)</f>
        <v>24</v>
      </c>
      <c r="E1435" s="11">
        <f t="shared" si="44"/>
        <v>4.10286568072525e-5</v>
      </c>
      <c r="F1435" s="11">
        <f>SUM($E$7:E1435)</f>
        <v>0.994073068618719</v>
      </c>
      <c r="G1435" s="12" t="str">
        <f t="shared" si="45"/>
        <v>C</v>
      </c>
      <c r="H1435" s="9" t="s">
        <v>143</v>
      </c>
      <c r="I1435" s="9" t="s">
        <v>3082</v>
      </c>
      <c r="J1435" s="9" t="s">
        <v>23</v>
      </c>
      <c r="K1435" s="10" t="str">
        <f>IFERROR(VLOOKUP(A1435,'Pedido ESTHER'!$B:$C,2,0),"")</f>
        <v/>
      </c>
      <c r="L1435" s="12" t="str">
        <f>IF(N(K1435)&gt;0,"COMPRA","NÃO COMPRA")</f>
        <v>NÃO COMPRA</v>
      </c>
    </row>
    <row r="1436" spans="1:12">
      <c r="A1436" s="8" t="s">
        <v>3083</v>
      </c>
      <c r="B1436" s="9" t="s">
        <v>602</v>
      </c>
      <c r="C1436" s="9" t="e">
        <f>VLOOKUP(A1436,[2]Planilha1!$A:$B,2,0)</f>
        <v>#N/A</v>
      </c>
      <c r="D1436" s="10">
        <f>SUMIF([1]Relatório!$A$2:$A$2653,A1436,[1]Relatório!$AK$2:$AK$2653)</f>
        <v>24</v>
      </c>
      <c r="E1436" s="11">
        <f t="shared" si="44"/>
        <v>4.10286568072525e-5</v>
      </c>
      <c r="F1436" s="11">
        <f>SUM($E$7:E1436)</f>
        <v>0.994114097275526</v>
      </c>
      <c r="G1436" s="12" t="str">
        <f t="shared" si="45"/>
        <v>C</v>
      </c>
      <c r="H1436" s="9" t="s">
        <v>183</v>
      </c>
      <c r="I1436" s="9" t="s">
        <v>3084</v>
      </c>
      <c r="J1436" s="9" t="s">
        <v>213</v>
      </c>
      <c r="K1436" s="10" t="str">
        <f>IFERROR(VLOOKUP(A1436,'Pedido ESTHER'!$B:$C,2,0),"")</f>
        <v/>
      </c>
      <c r="L1436" s="12" t="str">
        <f>IF(N(K1436)&gt;0,"COMPRA","NÃO COMPRA")</f>
        <v>NÃO COMPRA</v>
      </c>
    </row>
    <row r="1437" spans="1:12">
      <c r="A1437" s="8" t="s">
        <v>3085</v>
      </c>
      <c r="B1437" s="9" t="s">
        <v>1465</v>
      </c>
      <c r="C1437" s="9" t="e">
        <f>VLOOKUP(A1437,[2]Planilha1!$A:$B,2,0)</f>
        <v>#N/A</v>
      </c>
      <c r="D1437" s="10">
        <f>SUMIF([1]Relatório!$A$2:$A$2653,A1437,[1]Relatório!$AK$2:$AK$2653)</f>
        <v>24</v>
      </c>
      <c r="E1437" s="11">
        <f t="shared" si="44"/>
        <v>4.10286568072525e-5</v>
      </c>
      <c r="F1437" s="11">
        <f>SUM($E$7:E1437)</f>
        <v>0.994155125932334</v>
      </c>
      <c r="G1437" s="12" t="str">
        <f t="shared" si="45"/>
        <v>C</v>
      </c>
      <c r="H1437" s="9" t="s">
        <v>183</v>
      </c>
      <c r="I1437" s="9" t="s">
        <v>3086</v>
      </c>
      <c r="J1437" s="9" t="s">
        <v>1467</v>
      </c>
      <c r="K1437" s="10" t="str">
        <f>IFERROR(VLOOKUP(A1437,'Pedido ESTHER'!$B:$C,2,0),"")</f>
        <v/>
      </c>
      <c r="L1437" s="12" t="str">
        <f>IF(N(K1437)&gt;0,"COMPRA","NÃO COMPRA")</f>
        <v>NÃO COMPRA</v>
      </c>
    </row>
    <row r="1438" spans="1:12">
      <c r="A1438" s="8" t="s">
        <v>3087</v>
      </c>
      <c r="B1438" s="9" t="s">
        <v>3088</v>
      </c>
      <c r="C1438" s="9" t="e">
        <f>VLOOKUP(A1438,[2]Planilha1!$A:$B,2,0)</f>
        <v>#N/A</v>
      </c>
      <c r="D1438" s="10">
        <f>SUMIF([1]Relatório!$A$2:$A$2653,A1438,[1]Relatório!$AK$2:$AK$2653)</f>
        <v>24</v>
      </c>
      <c r="E1438" s="11">
        <f t="shared" si="44"/>
        <v>4.10286568072525e-5</v>
      </c>
      <c r="F1438" s="11">
        <f>SUM($E$7:E1438)</f>
        <v>0.994196154589141</v>
      </c>
      <c r="G1438" s="12" t="str">
        <f t="shared" si="45"/>
        <v>C</v>
      </c>
      <c r="H1438" s="9" t="s">
        <v>831</v>
      </c>
      <c r="I1438" s="9" t="s">
        <v>3089</v>
      </c>
      <c r="J1438" s="9" t="s">
        <v>1842</v>
      </c>
      <c r="K1438" s="10" t="str">
        <f>IFERROR(VLOOKUP(A1438,'Pedido ESTHER'!$B:$C,2,0),"")</f>
        <v/>
      </c>
      <c r="L1438" s="12" t="str">
        <f>IF(N(K1438)&gt;0,"COMPRA","NÃO COMPRA")</f>
        <v>NÃO COMPRA</v>
      </c>
    </row>
    <row r="1439" spans="1:12">
      <c r="A1439" s="8" t="s">
        <v>3090</v>
      </c>
      <c r="B1439" s="9" t="s">
        <v>749</v>
      </c>
      <c r="C1439" s="9" t="e">
        <f>VLOOKUP(A1439,[2]Planilha1!$A:$B,2,0)</f>
        <v>#N/A</v>
      </c>
      <c r="D1439" s="10">
        <f>SUMIF([1]Relatório!$A$2:$A$2653,A1439,[1]Relatório!$AK$2:$AK$2653)</f>
        <v>24</v>
      </c>
      <c r="E1439" s="11">
        <f t="shared" si="44"/>
        <v>4.10286568072525e-5</v>
      </c>
      <c r="F1439" s="11">
        <f>SUM($E$7:E1439)</f>
        <v>0.994237183245948</v>
      </c>
      <c r="G1439" s="12" t="str">
        <f t="shared" si="45"/>
        <v>C</v>
      </c>
      <c r="H1439" s="9" t="s">
        <v>776</v>
      </c>
      <c r="I1439" s="9" t="s">
        <v>3091</v>
      </c>
      <c r="J1439" s="9" t="s">
        <v>359</v>
      </c>
      <c r="K1439" s="10" t="str">
        <f>IFERROR(VLOOKUP(A1439,'Pedido ESTHER'!$B:$C,2,0),"")</f>
        <v/>
      </c>
      <c r="L1439" s="12" t="str">
        <f>IF(N(K1439)&gt;0,"COMPRA","NÃO COMPRA")</f>
        <v>NÃO COMPRA</v>
      </c>
    </row>
    <row r="1440" spans="1:12">
      <c r="A1440" s="8" t="s">
        <v>3092</v>
      </c>
      <c r="B1440" s="9" t="s">
        <v>3093</v>
      </c>
      <c r="C1440" s="9" t="e">
        <f>VLOOKUP(A1440,[2]Planilha1!$A:$B,2,0)</f>
        <v>#N/A</v>
      </c>
      <c r="D1440" s="10">
        <f>SUMIF([1]Relatório!$A$2:$A$2653,A1440,[1]Relatório!$AK$2:$AK$2653)</f>
        <v>24</v>
      </c>
      <c r="E1440" s="11">
        <f t="shared" si="44"/>
        <v>4.10286568072525e-5</v>
      </c>
      <c r="F1440" s="11">
        <f>SUM($E$7:E1440)</f>
        <v>0.994278211902755</v>
      </c>
      <c r="G1440" s="12" t="str">
        <f t="shared" si="45"/>
        <v>C</v>
      </c>
      <c r="H1440" s="9" t="s">
        <v>776</v>
      </c>
      <c r="I1440" s="9" t="s">
        <v>3094</v>
      </c>
      <c r="J1440" s="9" t="s">
        <v>1973</v>
      </c>
      <c r="K1440" s="10" t="str">
        <f>IFERROR(VLOOKUP(A1440,'Pedido ESTHER'!$B:$C,2,0),"")</f>
        <v/>
      </c>
      <c r="L1440" s="12" t="str">
        <f>IF(N(K1440)&gt;0,"COMPRA","NÃO COMPRA")</f>
        <v>NÃO COMPRA</v>
      </c>
    </row>
    <row r="1441" spans="1:12">
      <c r="A1441" s="8" t="s">
        <v>3095</v>
      </c>
      <c r="B1441" s="9" t="s">
        <v>263</v>
      </c>
      <c r="C1441" s="9" t="e">
        <f>VLOOKUP(A1441,[2]Planilha1!$A:$B,2,0)</f>
        <v>#N/A</v>
      </c>
      <c r="D1441" s="10">
        <f>SUMIF([1]Relatório!$A$2:$A$2653,A1441,[1]Relatório!$AK$2:$AK$2653)</f>
        <v>24</v>
      </c>
      <c r="E1441" s="11">
        <f t="shared" si="44"/>
        <v>4.10286568072525e-5</v>
      </c>
      <c r="F1441" s="11">
        <f>SUM($E$7:E1441)</f>
        <v>0.994319240559563</v>
      </c>
      <c r="G1441" s="12" t="str">
        <f t="shared" si="45"/>
        <v>C</v>
      </c>
      <c r="H1441" s="9" t="s">
        <v>117</v>
      </c>
      <c r="I1441" s="9" t="s">
        <v>3096</v>
      </c>
      <c r="J1441" s="9" t="s">
        <v>40</v>
      </c>
      <c r="K1441" s="10" t="str">
        <f>IFERROR(VLOOKUP(A1441,'Pedido ESTHER'!$B:$C,2,0),"")</f>
        <v/>
      </c>
      <c r="L1441" s="12" t="str">
        <f>IF(N(K1441)&gt;0,"COMPRA","NÃO COMPRA")</f>
        <v>NÃO COMPRA</v>
      </c>
    </row>
    <row r="1442" spans="1:12">
      <c r="A1442" s="8" t="s">
        <v>3097</v>
      </c>
      <c r="B1442" s="9" t="s">
        <v>3072</v>
      </c>
      <c r="C1442" s="9" t="e">
        <f>VLOOKUP(A1442,[2]Planilha1!$A:$B,2,0)</f>
        <v>#N/A</v>
      </c>
      <c r="D1442" s="10">
        <f>SUMIF([1]Relatório!$A$2:$A$2653,A1442,[1]Relatório!$AK$2:$AK$2653)</f>
        <v>24</v>
      </c>
      <c r="E1442" s="11">
        <f t="shared" si="44"/>
        <v>4.10286568072525e-5</v>
      </c>
      <c r="F1442" s="11">
        <f>SUM($E$7:E1442)</f>
        <v>0.99436026921637</v>
      </c>
      <c r="G1442" s="12" t="str">
        <f t="shared" si="45"/>
        <v>C</v>
      </c>
      <c r="H1442" s="9" t="s">
        <v>18</v>
      </c>
      <c r="I1442" s="9" t="s">
        <v>3098</v>
      </c>
      <c r="J1442" s="9" t="s">
        <v>359</v>
      </c>
      <c r="K1442" s="10" t="str">
        <f>IFERROR(VLOOKUP(A1442,'Pedido ESTHER'!$B:$C,2,0),"")</f>
        <v/>
      </c>
      <c r="L1442" s="12" t="str">
        <f>IF(N(K1442)&gt;0,"COMPRA","NÃO COMPRA")</f>
        <v>NÃO COMPRA</v>
      </c>
    </row>
    <row r="1443" spans="1:12">
      <c r="A1443" s="8" t="s">
        <v>3099</v>
      </c>
      <c r="B1443" s="9" t="s">
        <v>2481</v>
      </c>
      <c r="C1443" s="9" t="e">
        <f>VLOOKUP(A1443,[2]Planilha1!$A:$B,2,0)</f>
        <v>#N/A</v>
      </c>
      <c r="D1443" s="10">
        <f>SUMIF([1]Relatório!$A$2:$A$2653,A1443,[1]Relatório!$AK$2:$AK$2653)</f>
        <v>24</v>
      </c>
      <c r="E1443" s="11">
        <f t="shared" si="44"/>
        <v>4.10286568072525e-5</v>
      </c>
      <c r="F1443" s="11">
        <f>SUM($E$7:E1443)</f>
        <v>0.994401297873177</v>
      </c>
      <c r="G1443" s="12" t="str">
        <f t="shared" si="45"/>
        <v>C</v>
      </c>
      <c r="H1443" s="9" t="s">
        <v>2452</v>
      </c>
      <c r="I1443" s="9" t="s">
        <v>3100</v>
      </c>
      <c r="J1443" s="9" t="s">
        <v>33</v>
      </c>
      <c r="K1443" s="10" t="str">
        <f>IFERROR(VLOOKUP(A1443,'Pedido ESTHER'!$B:$C,2,0),"")</f>
        <v/>
      </c>
      <c r="L1443" s="12" t="str">
        <f>IF(N(K1443)&gt;0,"COMPRA","NÃO COMPRA")</f>
        <v>NÃO COMPRA</v>
      </c>
    </row>
    <row r="1444" spans="1:12">
      <c r="A1444" s="8" t="s">
        <v>3101</v>
      </c>
      <c r="B1444" s="9" t="s">
        <v>2844</v>
      </c>
      <c r="C1444" s="9" t="e">
        <f>VLOOKUP(A1444,[2]Planilha1!$A:$B,2,0)</f>
        <v>#N/A</v>
      </c>
      <c r="D1444" s="10">
        <f>SUMIF([1]Relatório!$A$2:$A$2653,A1444,[1]Relatório!$AK$2:$AK$2653)</f>
        <v>23</v>
      </c>
      <c r="E1444" s="11">
        <f t="shared" si="44"/>
        <v>3.93191294402836e-5</v>
      </c>
      <c r="F1444" s="11">
        <f>SUM($E$7:E1444)</f>
        <v>0.994440617002617</v>
      </c>
      <c r="G1444" s="12" t="str">
        <f t="shared" si="45"/>
        <v>C</v>
      </c>
      <c r="H1444" s="9" t="s">
        <v>1344</v>
      </c>
      <c r="I1444" s="9" t="s">
        <v>3102</v>
      </c>
      <c r="J1444" s="9" t="s">
        <v>1169</v>
      </c>
      <c r="K1444" s="10" t="str">
        <f>IFERROR(VLOOKUP(A1444,'Pedido ESTHER'!$B:$C,2,0),"")</f>
        <v/>
      </c>
      <c r="L1444" s="12" t="str">
        <f>IF(N(K1444)&gt;0,"COMPRA","NÃO COMPRA")</f>
        <v>NÃO COMPRA</v>
      </c>
    </row>
    <row r="1445" spans="1:12">
      <c r="A1445" s="8" t="s">
        <v>3103</v>
      </c>
      <c r="B1445" s="9" t="s">
        <v>1885</v>
      </c>
      <c r="C1445" s="9" t="e">
        <f>VLOOKUP(A1445,[2]Planilha1!$A:$B,2,0)</f>
        <v>#N/A</v>
      </c>
      <c r="D1445" s="10">
        <f>SUMIF([1]Relatório!$A$2:$A$2653,A1445,[1]Relatório!$AK$2:$AK$2653)</f>
        <v>23</v>
      </c>
      <c r="E1445" s="11">
        <f t="shared" si="44"/>
        <v>3.93191294402836e-5</v>
      </c>
      <c r="F1445" s="11">
        <f>SUM($E$7:E1445)</f>
        <v>0.994479936132058</v>
      </c>
      <c r="G1445" s="12" t="str">
        <f t="shared" si="45"/>
        <v>C</v>
      </c>
      <c r="H1445" s="9" t="s">
        <v>1344</v>
      </c>
      <c r="I1445" s="9" t="s">
        <v>3104</v>
      </c>
      <c r="J1445" s="9" t="s">
        <v>281</v>
      </c>
      <c r="K1445" s="10" t="str">
        <f>IFERROR(VLOOKUP(A1445,'Pedido ESTHER'!$B:$C,2,0),"")</f>
        <v/>
      </c>
      <c r="L1445" s="12" t="str">
        <f>IF(N(K1445)&gt;0,"COMPRA","NÃO COMPRA")</f>
        <v>NÃO COMPRA</v>
      </c>
    </row>
    <row r="1446" spans="1:12">
      <c r="A1446" s="8" t="s">
        <v>3105</v>
      </c>
      <c r="B1446" s="9" t="s">
        <v>2085</v>
      </c>
      <c r="C1446" s="9" t="e">
        <f>VLOOKUP(A1446,[2]Planilha1!$A:$B,2,0)</f>
        <v>#N/A</v>
      </c>
      <c r="D1446" s="10">
        <f>SUMIF([1]Relatório!$A$2:$A$2653,A1446,[1]Relatório!$AK$2:$AK$2653)</f>
        <v>23</v>
      </c>
      <c r="E1446" s="11">
        <f t="shared" si="44"/>
        <v>3.93191294402836e-5</v>
      </c>
      <c r="F1446" s="11">
        <f>SUM($E$7:E1446)</f>
        <v>0.994519255261498</v>
      </c>
      <c r="G1446" s="12" t="str">
        <f t="shared" si="45"/>
        <v>C</v>
      </c>
      <c r="H1446" s="9" t="s">
        <v>2406</v>
      </c>
      <c r="I1446" s="9" t="s">
        <v>3106</v>
      </c>
      <c r="J1446" s="9" t="s">
        <v>44</v>
      </c>
      <c r="K1446" s="10" t="str">
        <f>IFERROR(VLOOKUP(A1446,'Pedido ESTHER'!$B:$C,2,0),"")</f>
        <v/>
      </c>
      <c r="L1446" s="12" t="str">
        <f>IF(N(K1446)&gt;0,"COMPRA","NÃO COMPRA")</f>
        <v>NÃO COMPRA</v>
      </c>
    </row>
    <row r="1447" spans="1:12">
      <c r="A1447" s="8" t="s">
        <v>3107</v>
      </c>
      <c r="B1447" s="9" t="s">
        <v>1945</v>
      </c>
      <c r="C1447" s="9" t="e">
        <f>VLOOKUP(A1447,[2]Planilha1!$A:$B,2,0)</f>
        <v>#N/A</v>
      </c>
      <c r="D1447" s="10">
        <f>SUMIF([1]Relatório!$A$2:$A$2653,A1447,[1]Relatório!$AK$2:$AK$2653)</f>
        <v>23</v>
      </c>
      <c r="E1447" s="11">
        <f t="shared" si="44"/>
        <v>3.93191294402836e-5</v>
      </c>
      <c r="F1447" s="11">
        <f>SUM($E$7:E1447)</f>
        <v>0.994558574390938</v>
      </c>
      <c r="G1447" s="12" t="str">
        <f t="shared" si="45"/>
        <v>C</v>
      </c>
      <c r="H1447" s="9" t="s">
        <v>1344</v>
      </c>
      <c r="I1447" s="9" t="s">
        <v>3108</v>
      </c>
      <c r="J1447" s="9" t="s">
        <v>158</v>
      </c>
      <c r="K1447" s="10" t="str">
        <f>IFERROR(VLOOKUP(A1447,'Pedido ESTHER'!$B:$C,2,0),"")</f>
        <v/>
      </c>
      <c r="L1447" s="12" t="str">
        <f>IF(N(K1447)&gt;0,"COMPRA","NÃO COMPRA")</f>
        <v>NÃO COMPRA</v>
      </c>
    </row>
    <row r="1448" spans="1:12">
      <c r="A1448" s="8" t="s">
        <v>3109</v>
      </c>
      <c r="B1448" s="9" t="s">
        <v>1892</v>
      </c>
      <c r="C1448" s="9" t="e">
        <f>VLOOKUP(A1448,[2]Planilha1!$A:$B,2,0)</f>
        <v>#N/A</v>
      </c>
      <c r="D1448" s="10">
        <f>SUMIF([1]Relatório!$A$2:$A$2653,A1448,[1]Relatório!$AK$2:$AK$2653)</f>
        <v>23</v>
      </c>
      <c r="E1448" s="11">
        <f t="shared" si="44"/>
        <v>3.93191294402836e-5</v>
      </c>
      <c r="F1448" s="11">
        <f>SUM($E$7:E1448)</f>
        <v>0.994597893520379</v>
      </c>
      <c r="G1448" s="12" t="str">
        <f t="shared" si="45"/>
        <v>C</v>
      </c>
      <c r="H1448" s="9" t="s">
        <v>2406</v>
      </c>
      <c r="I1448" s="9" t="s">
        <v>2906</v>
      </c>
      <c r="J1448" s="9" t="s">
        <v>40</v>
      </c>
      <c r="K1448" s="10" t="str">
        <f>IFERROR(VLOOKUP(A1448,'Pedido ESTHER'!$B:$C,2,0),"")</f>
        <v/>
      </c>
      <c r="L1448" s="12" t="str">
        <f>IF(N(K1448)&gt;0,"COMPRA","NÃO COMPRA")</f>
        <v>NÃO COMPRA</v>
      </c>
    </row>
    <row r="1449" spans="1:12">
      <c r="A1449" s="8" t="s">
        <v>3110</v>
      </c>
      <c r="B1449" s="9" t="s">
        <v>2219</v>
      </c>
      <c r="C1449" s="9" t="e">
        <f>VLOOKUP(A1449,[2]Planilha1!$A:$B,2,0)</f>
        <v>#N/A</v>
      </c>
      <c r="D1449" s="10">
        <f>SUMIF([1]Relatório!$A$2:$A$2653,A1449,[1]Relatório!$AK$2:$AK$2653)</f>
        <v>23</v>
      </c>
      <c r="E1449" s="11">
        <f t="shared" si="44"/>
        <v>3.93191294402836e-5</v>
      </c>
      <c r="F1449" s="11">
        <f>SUM($E$7:E1449)</f>
        <v>0.994637212649819</v>
      </c>
      <c r="G1449" s="12" t="str">
        <f t="shared" si="45"/>
        <v>C</v>
      </c>
      <c r="H1449" s="9" t="s">
        <v>1344</v>
      </c>
      <c r="I1449" s="9" t="s">
        <v>3111</v>
      </c>
      <c r="J1449" s="9" t="s">
        <v>36</v>
      </c>
      <c r="K1449" s="10" t="str">
        <f>IFERROR(VLOOKUP(A1449,'Pedido ESTHER'!$B:$C,2,0),"")</f>
        <v/>
      </c>
      <c r="L1449" s="12" t="str">
        <f>IF(N(K1449)&gt;0,"COMPRA","NÃO COMPRA")</f>
        <v>NÃO COMPRA</v>
      </c>
    </row>
    <row r="1450" spans="1:12">
      <c r="A1450" s="8" t="s">
        <v>3112</v>
      </c>
      <c r="B1450" s="9" t="s">
        <v>3113</v>
      </c>
      <c r="C1450" s="9" t="e">
        <f>VLOOKUP(A1450,[2]Planilha1!$A:$B,2,0)</f>
        <v>#N/A</v>
      </c>
      <c r="D1450" s="10">
        <f>SUMIF([1]Relatório!$A$2:$A$2653,A1450,[1]Relatório!$AK$2:$AK$2653)</f>
        <v>23</v>
      </c>
      <c r="E1450" s="11">
        <f t="shared" si="44"/>
        <v>3.93191294402836e-5</v>
      </c>
      <c r="F1450" s="11">
        <f>SUM($E$7:E1450)</f>
        <v>0.994676531779259</v>
      </c>
      <c r="G1450" s="12" t="str">
        <f t="shared" si="45"/>
        <v>C</v>
      </c>
      <c r="H1450" s="9" t="s">
        <v>1344</v>
      </c>
      <c r="I1450" s="9"/>
      <c r="J1450" s="9" t="s">
        <v>1418</v>
      </c>
      <c r="K1450" s="10" t="str">
        <f>IFERROR(VLOOKUP(A1450,'Pedido ESTHER'!$B:$C,2,0),"")</f>
        <v/>
      </c>
      <c r="L1450" s="12" t="str">
        <f>IF(N(K1450)&gt;0,"COMPRA","NÃO COMPRA")</f>
        <v>NÃO COMPRA</v>
      </c>
    </row>
    <row r="1451" spans="1:12">
      <c r="A1451" s="8" t="s">
        <v>3114</v>
      </c>
      <c r="B1451" s="9" t="s">
        <v>1747</v>
      </c>
      <c r="C1451" s="9" t="e">
        <f>VLOOKUP(A1451,[2]Planilha1!$A:$B,2,0)</f>
        <v>#N/A</v>
      </c>
      <c r="D1451" s="10">
        <f>SUMIF([1]Relatório!$A$2:$A$2653,A1451,[1]Relatório!$AK$2:$AK$2653)</f>
        <v>23</v>
      </c>
      <c r="E1451" s="11">
        <f t="shared" si="44"/>
        <v>3.93191294402836e-5</v>
      </c>
      <c r="F1451" s="11">
        <f>SUM($E$7:E1451)</f>
        <v>0.9947158509087</v>
      </c>
      <c r="G1451" s="12" t="str">
        <f t="shared" si="45"/>
        <v>C</v>
      </c>
      <c r="H1451" s="9" t="s">
        <v>183</v>
      </c>
      <c r="I1451" s="9" t="s">
        <v>3115</v>
      </c>
      <c r="J1451" s="9" t="s">
        <v>1017</v>
      </c>
      <c r="K1451" s="10" t="str">
        <f>IFERROR(VLOOKUP(A1451,'Pedido ESTHER'!$B:$C,2,0),"")</f>
        <v/>
      </c>
      <c r="L1451" s="12" t="str">
        <f>IF(N(K1451)&gt;0,"COMPRA","NÃO COMPRA")</f>
        <v>NÃO COMPRA</v>
      </c>
    </row>
    <row r="1452" spans="1:12">
      <c r="A1452" s="8" t="s">
        <v>3116</v>
      </c>
      <c r="B1452" s="9" t="s">
        <v>3117</v>
      </c>
      <c r="C1452" s="9" t="e">
        <f>VLOOKUP(A1452,[2]Planilha1!$A:$B,2,0)</f>
        <v>#N/A</v>
      </c>
      <c r="D1452" s="10">
        <f>SUMIF([1]Relatório!$A$2:$A$2653,A1452,[1]Relatório!$AK$2:$AK$2653)</f>
        <v>23</v>
      </c>
      <c r="E1452" s="11">
        <f t="shared" si="44"/>
        <v>3.93191294402836e-5</v>
      </c>
      <c r="F1452" s="11">
        <f>SUM($E$7:E1452)</f>
        <v>0.99475517003814</v>
      </c>
      <c r="G1452" s="12" t="str">
        <f t="shared" si="45"/>
        <v>C</v>
      </c>
      <c r="H1452" s="9" t="s">
        <v>112</v>
      </c>
      <c r="I1452" s="9" t="s">
        <v>3118</v>
      </c>
      <c r="J1452" s="9" t="s">
        <v>213</v>
      </c>
      <c r="K1452" s="10" t="str">
        <f>IFERROR(VLOOKUP(A1452,'Pedido ESTHER'!$B:$C,2,0),"")</f>
        <v/>
      </c>
      <c r="L1452" s="12" t="str">
        <f>IF(N(K1452)&gt;0,"COMPRA","NÃO COMPRA")</f>
        <v>NÃO COMPRA</v>
      </c>
    </row>
    <row r="1453" spans="1:12">
      <c r="A1453" s="8" t="s">
        <v>3119</v>
      </c>
      <c r="B1453" s="9" t="s">
        <v>162</v>
      </c>
      <c r="C1453" s="9" t="e">
        <f>VLOOKUP(A1453,[2]Planilha1!$A:$B,2,0)</f>
        <v>#N/A</v>
      </c>
      <c r="D1453" s="10">
        <f>SUMIF([1]Relatório!$A$2:$A$2653,A1453,[1]Relatório!$AK$2:$AK$2653)</f>
        <v>23</v>
      </c>
      <c r="E1453" s="11">
        <f t="shared" si="44"/>
        <v>3.93191294402836e-5</v>
      </c>
      <c r="F1453" s="11">
        <f>SUM($E$7:E1453)</f>
        <v>0.99479448916758</v>
      </c>
      <c r="G1453" s="12" t="str">
        <f t="shared" si="45"/>
        <v>C</v>
      </c>
      <c r="H1453" s="9" t="s">
        <v>21</v>
      </c>
      <c r="I1453" s="9" t="s">
        <v>3120</v>
      </c>
      <c r="J1453" s="9" t="s">
        <v>164</v>
      </c>
      <c r="K1453" s="10" t="str">
        <f>IFERROR(VLOOKUP(A1453,'Pedido ESTHER'!$B:$C,2,0),"")</f>
        <v/>
      </c>
      <c r="L1453" s="12" t="str">
        <f>IF(N(K1453)&gt;0,"COMPRA","NÃO COMPRA")</f>
        <v>NÃO COMPRA</v>
      </c>
    </row>
    <row r="1454" spans="1:12">
      <c r="A1454" s="8" t="s">
        <v>3121</v>
      </c>
      <c r="B1454" s="9" t="s">
        <v>2481</v>
      </c>
      <c r="C1454" s="9" t="e">
        <f>VLOOKUP(A1454,[2]Planilha1!$A:$B,2,0)</f>
        <v>#N/A</v>
      </c>
      <c r="D1454" s="10">
        <f>SUMIF([1]Relatório!$A$2:$A$2653,A1454,[1]Relatório!$AK$2:$AK$2653)</f>
        <v>23</v>
      </c>
      <c r="E1454" s="11">
        <f t="shared" si="44"/>
        <v>3.93191294402836e-5</v>
      </c>
      <c r="F1454" s="11">
        <f>SUM($E$7:E1454)</f>
        <v>0.994833808297021</v>
      </c>
      <c r="G1454" s="12" t="str">
        <f t="shared" si="45"/>
        <v>C</v>
      </c>
      <c r="H1454" s="9" t="s">
        <v>2452</v>
      </c>
      <c r="I1454" s="9" t="s">
        <v>3122</v>
      </c>
      <c r="J1454" s="9" t="s">
        <v>33</v>
      </c>
      <c r="K1454" s="10" t="str">
        <f>IFERROR(VLOOKUP(A1454,'Pedido ESTHER'!$B:$C,2,0),"")</f>
        <v/>
      </c>
      <c r="L1454" s="12" t="str">
        <f>IF(N(K1454)&gt;0,"COMPRA","NÃO COMPRA")</f>
        <v>NÃO COMPRA</v>
      </c>
    </row>
    <row r="1455" spans="1:12">
      <c r="A1455" s="8" t="s">
        <v>3123</v>
      </c>
      <c r="B1455" s="9" t="s">
        <v>3075</v>
      </c>
      <c r="C1455" s="9" t="e">
        <f>VLOOKUP(A1455,[2]Planilha1!$A:$B,2,0)</f>
        <v>#N/A</v>
      </c>
      <c r="D1455" s="10">
        <f>SUMIF([1]Relatório!$A$2:$A$2653,A1455,[1]Relatório!$AK$2:$AK$2653)</f>
        <v>23</v>
      </c>
      <c r="E1455" s="11">
        <f t="shared" si="44"/>
        <v>3.93191294402836e-5</v>
      </c>
      <c r="F1455" s="11">
        <f>SUM($E$7:E1455)</f>
        <v>0.994873127426461</v>
      </c>
      <c r="G1455" s="12" t="str">
        <f t="shared" si="45"/>
        <v>C</v>
      </c>
      <c r="H1455" s="9" t="s">
        <v>2452</v>
      </c>
      <c r="I1455" s="9" t="s">
        <v>3124</v>
      </c>
      <c r="J1455" s="9" t="s">
        <v>29</v>
      </c>
      <c r="K1455" s="10" t="str">
        <f>IFERROR(VLOOKUP(A1455,'Pedido ESTHER'!$B:$C,2,0),"")</f>
        <v/>
      </c>
      <c r="L1455" s="12" t="str">
        <f>IF(N(K1455)&gt;0,"COMPRA","NÃO COMPRA")</f>
        <v>NÃO COMPRA</v>
      </c>
    </row>
    <row r="1456" spans="1:12">
      <c r="A1456" s="8" t="s">
        <v>3125</v>
      </c>
      <c r="B1456" s="9" t="s">
        <v>2481</v>
      </c>
      <c r="C1456" s="9" t="e">
        <f>VLOOKUP(A1456,[2]Planilha1!$A:$B,2,0)</f>
        <v>#N/A</v>
      </c>
      <c r="D1456" s="10">
        <f>SUMIF([1]Relatório!$A$2:$A$2653,A1456,[1]Relatório!$AK$2:$AK$2653)</f>
        <v>23</v>
      </c>
      <c r="E1456" s="11">
        <f t="shared" si="44"/>
        <v>3.93191294402836e-5</v>
      </c>
      <c r="F1456" s="11">
        <f>SUM($E$7:E1456)</f>
        <v>0.994912446555901</v>
      </c>
      <c r="G1456" s="12" t="str">
        <f t="shared" si="45"/>
        <v>C</v>
      </c>
      <c r="H1456" s="9" t="s">
        <v>2452</v>
      </c>
      <c r="I1456" s="9" t="s">
        <v>3126</v>
      </c>
      <c r="J1456" s="9" t="s">
        <v>33</v>
      </c>
      <c r="K1456" s="10" t="str">
        <f>IFERROR(VLOOKUP(A1456,'Pedido ESTHER'!$B:$C,2,0),"")</f>
        <v/>
      </c>
      <c r="L1456" s="12" t="str">
        <f>IF(N(K1456)&gt;0,"COMPRA","NÃO COMPRA")</f>
        <v>NÃO COMPRA</v>
      </c>
    </row>
    <row r="1457" spans="1:12">
      <c r="A1457" s="8" t="s">
        <v>3127</v>
      </c>
      <c r="B1457" s="9" t="s">
        <v>1864</v>
      </c>
      <c r="C1457" s="9" t="e">
        <f>VLOOKUP(A1457,[2]Planilha1!$A:$B,2,0)</f>
        <v>#N/A</v>
      </c>
      <c r="D1457" s="10">
        <f>SUMIF([1]Relatório!$A$2:$A$2653,A1457,[1]Relatório!$AK$2:$AK$2653)</f>
        <v>22</v>
      </c>
      <c r="E1457" s="11">
        <f t="shared" si="44"/>
        <v>3.76096020733148e-5</v>
      </c>
      <c r="F1457" s="11">
        <f>SUM($E$7:E1457)</f>
        <v>0.994950056157975</v>
      </c>
      <c r="G1457" s="12" t="str">
        <f t="shared" si="45"/>
        <v>C</v>
      </c>
      <c r="H1457" s="9" t="s">
        <v>1344</v>
      </c>
      <c r="I1457" s="9" t="s">
        <v>3128</v>
      </c>
      <c r="J1457" s="9" t="s">
        <v>164</v>
      </c>
      <c r="K1457" s="10" t="str">
        <f>IFERROR(VLOOKUP(A1457,'Pedido ESTHER'!$B:$C,2,0),"")</f>
        <v/>
      </c>
      <c r="L1457" s="12" t="str">
        <f>IF(N(K1457)&gt;0,"COMPRA","NÃO COMPRA")</f>
        <v>NÃO COMPRA</v>
      </c>
    </row>
    <row r="1458" spans="1:12">
      <c r="A1458" s="8" t="s">
        <v>3129</v>
      </c>
      <c r="B1458" s="9" t="s">
        <v>3130</v>
      </c>
      <c r="C1458" s="9" t="e">
        <f>VLOOKUP(A1458,[2]Planilha1!$A:$B,2,0)</f>
        <v>#N/A</v>
      </c>
      <c r="D1458" s="10">
        <f>SUMIF([1]Relatório!$A$2:$A$2653,A1458,[1]Relatório!$AK$2:$AK$2653)</f>
        <v>22</v>
      </c>
      <c r="E1458" s="11">
        <f t="shared" si="44"/>
        <v>3.76096020733148e-5</v>
      </c>
      <c r="F1458" s="11">
        <f>SUM($E$7:E1458)</f>
        <v>0.994987665760048</v>
      </c>
      <c r="G1458" s="12" t="str">
        <f t="shared" si="45"/>
        <v>C</v>
      </c>
      <c r="H1458" s="9" t="s">
        <v>183</v>
      </c>
      <c r="I1458" s="9" t="s">
        <v>3131</v>
      </c>
      <c r="J1458" s="9" t="s">
        <v>1496</v>
      </c>
      <c r="K1458" s="10" t="str">
        <f>IFERROR(VLOOKUP(A1458,'Pedido ESTHER'!$B:$C,2,0),"")</f>
        <v/>
      </c>
      <c r="L1458" s="12" t="str">
        <f>IF(N(K1458)&gt;0,"COMPRA","NÃO COMPRA")</f>
        <v>NÃO COMPRA</v>
      </c>
    </row>
    <row r="1459" spans="1:12">
      <c r="A1459" s="8" t="s">
        <v>3132</v>
      </c>
      <c r="B1459" s="9" t="s">
        <v>534</v>
      </c>
      <c r="C1459" s="9" t="e">
        <f>VLOOKUP(A1459,[2]Planilha1!$A:$B,2,0)</f>
        <v>#N/A</v>
      </c>
      <c r="D1459" s="10">
        <f>SUMIF([1]Relatório!$A$2:$A$2653,A1459,[1]Relatório!$AK$2:$AK$2653)</f>
        <v>22</v>
      </c>
      <c r="E1459" s="11">
        <f t="shared" si="44"/>
        <v>3.76096020733148e-5</v>
      </c>
      <c r="F1459" s="11">
        <f>SUM($E$7:E1459)</f>
        <v>0.995025275362121</v>
      </c>
      <c r="G1459" s="12" t="str">
        <f t="shared" si="45"/>
        <v>C</v>
      </c>
      <c r="H1459" s="9" t="s">
        <v>143</v>
      </c>
      <c r="I1459" s="9"/>
      <c r="J1459" s="9" t="s">
        <v>40</v>
      </c>
      <c r="K1459" s="10" t="str">
        <f>IFERROR(VLOOKUP(A1459,'Pedido ESTHER'!$B:$C,2,0),"")</f>
        <v/>
      </c>
      <c r="L1459" s="12" t="str">
        <f>IF(N(K1459)&gt;0,"COMPRA","NÃO COMPRA")</f>
        <v>NÃO COMPRA</v>
      </c>
    </row>
    <row r="1460" spans="1:12">
      <c r="A1460" s="8" t="s">
        <v>3133</v>
      </c>
      <c r="B1460" s="9" t="s">
        <v>2052</v>
      </c>
      <c r="C1460" s="9" t="e">
        <f>VLOOKUP(A1460,[2]Planilha1!$A:$B,2,0)</f>
        <v>#N/A</v>
      </c>
      <c r="D1460" s="10">
        <f>SUMIF([1]Relatório!$A$2:$A$2653,A1460,[1]Relatório!$AK$2:$AK$2653)</f>
        <v>22</v>
      </c>
      <c r="E1460" s="11">
        <f t="shared" si="44"/>
        <v>3.76096020733148e-5</v>
      </c>
      <c r="F1460" s="11">
        <f>SUM($E$7:E1460)</f>
        <v>0.995062884964195</v>
      </c>
      <c r="G1460" s="12" t="str">
        <f t="shared" si="45"/>
        <v>C</v>
      </c>
      <c r="H1460" s="9" t="s">
        <v>183</v>
      </c>
      <c r="I1460" s="9"/>
      <c r="J1460" s="9" t="s">
        <v>1301</v>
      </c>
      <c r="K1460" s="10" t="str">
        <f>IFERROR(VLOOKUP(A1460,'Pedido ESTHER'!$B:$C,2,0),"")</f>
        <v/>
      </c>
      <c r="L1460" s="12" t="str">
        <f>IF(N(K1460)&gt;0,"COMPRA","NÃO COMPRA")</f>
        <v>NÃO COMPRA</v>
      </c>
    </row>
    <row r="1461" spans="1:12">
      <c r="A1461" s="8" t="s">
        <v>3134</v>
      </c>
      <c r="B1461" s="9" t="s">
        <v>957</v>
      </c>
      <c r="C1461" s="9" t="e">
        <f>VLOOKUP(A1461,[2]Planilha1!$A:$B,2,0)</f>
        <v>#N/A</v>
      </c>
      <c r="D1461" s="10">
        <f>SUMIF([1]Relatório!$A$2:$A$2653,A1461,[1]Relatório!$AK$2:$AK$2653)</f>
        <v>22</v>
      </c>
      <c r="E1461" s="11">
        <f t="shared" si="44"/>
        <v>3.76096020733148e-5</v>
      </c>
      <c r="F1461" s="11">
        <f>SUM($E$7:E1461)</f>
        <v>0.995100494566268</v>
      </c>
      <c r="G1461" s="12" t="str">
        <f t="shared" si="45"/>
        <v>C</v>
      </c>
      <c r="H1461" s="9" t="s">
        <v>143</v>
      </c>
      <c r="I1461" s="9" t="s">
        <v>3135</v>
      </c>
      <c r="J1461" s="9" t="s">
        <v>600</v>
      </c>
      <c r="K1461" s="10" t="str">
        <f>IFERROR(VLOOKUP(A1461,'Pedido ESTHER'!$B:$C,2,0),"")</f>
        <v/>
      </c>
      <c r="L1461" s="12" t="str">
        <f>IF(N(K1461)&gt;0,"COMPRA","NÃO COMPRA")</f>
        <v>NÃO COMPRA</v>
      </c>
    </row>
    <row r="1462" spans="1:12">
      <c r="A1462" s="8" t="s">
        <v>3136</v>
      </c>
      <c r="B1462" s="9" t="s">
        <v>3137</v>
      </c>
      <c r="C1462" s="9" t="e">
        <f>VLOOKUP(A1462,[2]Planilha1!$A:$B,2,0)</f>
        <v>#N/A</v>
      </c>
      <c r="D1462" s="10">
        <f>SUMIF([1]Relatório!$A$2:$A$2653,A1462,[1]Relatório!$AK$2:$AK$2653)</f>
        <v>22</v>
      </c>
      <c r="E1462" s="11">
        <f t="shared" si="44"/>
        <v>3.76096020733148e-5</v>
      </c>
      <c r="F1462" s="11">
        <f>SUM($E$7:E1462)</f>
        <v>0.995138104168341</v>
      </c>
      <c r="G1462" s="12" t="str">
        <f t="shared" si="45"/>
        <v>C</v>
      </c>
      <c r="H1462" s="9" t="s">
        <v>1700</v>
      </c>
      <c r="I1462" s="9" t="s">
        <v>3138</v>
      </c>
      <c r="J1462" s="9" t="s">
        <v>382</v>
      </c>
      <c r="K1462" s="10" t="str">
        <f>IFERROR(VLOOKUP(A1462,'Pedido ESTHER'!$B:$C,2,0),"")</f>
        <v/>
      </c>
      <c r="L1462" s="12" t="str">
        <f>IF(N(K1462)&gt;0,"COMPRA","NÃO COMPRA")</f>
        <v>NÃO COMPRA</v>
      </c>
    </row>
    <row r="1463" spans="1:12">
      <c r="A1463" s="8" t="s">
        <v>3139</v>
      </c>
      <c r="B1463" s="9" t="s">
        <v>1769</v>
      </c>
      <c r="C1463" s="9" t="e">
        <f>VLOOKUP(A1463,[2]Planilha1!$A:$B,2,0)</f>
        <v>#N/A</v>
      </c>
      <c r="D1463" s="10">
        <f>SUMIF([1]Relatório!$A$2:$A$2653,A1463,[1]Relatório!$AK$2:$AK$2653)</f>
        <v>22</v>
      </c>
      <c r="E1463" s="11">
        <f t="shared" si="44"/>
        <v>3.76096020733148e-5</v>
      </c>
      <c r="F1463" s="11">
        <f>SUM($E$7:E1463)</f>
        <v>0.995175713770415</v>
      </c>
      <c r="G1463" s="12" t="str">
        <f t="shared" si="45"/>
        <v>C</v>
      </c>
      <c r="H1463" s="9" t="s">
        <v>1059</v>
      </c>
      <c r="I1463" s="9" t="s">
        <v>3140</v>
      </c>
      <c r="J1463" s="9" t="s">
        <v>359</v>
      </c>
      <c r="K1463" s="10" t="str">
        <f>IFERROR(VLOOKUP(A1463,'Pedido ESTHER'!$B:$C,2,0),"")</f>
        <v/>
      </c>
      <c r="L1463" s="12" t="str">
        <f>IF(N(K1463)&gt;0,"COMPRA","NÃO COMPRA")</f>
        <v>NÃO COMPRA</v>
      </c>
    </row>
    <row r="1464" spans="1:12">
      <c r="A1464" s="8" t="s">
        <v>3141</v>
      </c>
      <c r="B1464" s="9" t="s">
        <v>2830</v>
      </c>
      <c r="C1464" s="9" t="e">
        <f>VLOOKUP(A1464,[2]Planilha1!$A:$B,2,0)</f>
        <v>#N/A</v>
      </c>
      <c r="D1464" s="10">
        <f>SUMIF([1]Relatório!$A$2:$A$2653,A1464,[1]Relatório!$AK$2:$AK$2653)</f>
        <v>22</v>
      </c>
      <c r="E1464" s="11">
        <f t="shared" si="44"/>
        <v>3.76096020733148e-5</v>
      </c>
      <c r="F1464" s="11">
        <f>SUM($E$7:E1464)</f>
        <v>0.995213323372488</v>
      </c>
      <c r="G1464" s="12" t="str">
        <f t="shared" si="45"/>
        <v>C</v>
      </c>
      <c r="H1464" s="9" t="s">
        <v>1059</v>
      </c>
      <c r="I1464" s="9" t="s">
        <v>3142</v>
      </c>
      <c r="J1464" s="9" t="s">
        <v>2075</v>
      </c>
      <c r="K1464" s="10" t="str">
        <f>IFERROR(VLOOKUP(A1464,'Pedido ESTHER'!$B:$C,2,0),"")</f>
        <v/>
      </c>
      <c r="L1464" s="12" t="str">
        <f>IF(N(K1464)&gt;0,"COMPRA","NÃO COMPRA")</f>
        <v>NÃO COMPRA</v>
      </c>
    </row>
    <row r="1465" spans="1:12">
      <c r="A1465" s="8" t="s">
        <v>3143</v>
      </c>
      <c r="B1465" s="9" t="s">
        <v>42</v>
      </c>
      <c r="C1465" s="9" t="e">
        <f>VLOOKUP(A1465,[2]Planilha1!$A:$B,2,0)</f>
        <v>#N/A</v>
      </c>
      <c r="D1465" s="10">
        <f>SUMIF([1]Relatório!$A$2:$A$2653,A1465,[1]Relatório!$AK$2:$AK$2653)</f>
        <v>22</v>
      </c>
      <c r="E1465" s="11">
        <f t="shared" si="44"/>
        <v>3.76096020733148e-5</v>
      </c>
      <c r="F1465" s="11">
        <f>SUM($E$7:E1465)</f>
        <v>0.995250932974561</v>
      </c>
      <c r="G1465" s="12" t="str">
        <f t="shared" si="45"/>
        <v>C</v>
      </c>
      <c r="H1465" s="9" t="s">
        <v>21</v>
      </c>
      <c r="I1465" s="9" t="s">
        <v>3144</v>
      </c>
      <c r="J1465" s="9" t="s">
        <v>44</v>
      </c>
      <c r="K1465" s="10" t="str">
        <f>IFERROR(VLOOKUP(A1465,'Pedido ESTHER'!$B:$C,2,0),"")</f>
        <v/>
      </c>
      <c r="L1465" s="12" t="str">
        <f>IF(N(K1465)&gt;0,"COMPRA","NÃO COMPRA")</f>
        <v>NÃO COMPRA</v>
      </c>
    </row>
    <row r="1466" spans="1:12">
      <c r="A1466" s="8" t="s">
        <v>3145</v>
      </c>
      <c r="B1466" s="9" t="s">
        <v>1175</v>
      </c>
      <c r="C1466" s="9" t="e">
        <f>VLOOKUP(A1466,[2]Planilha1!$A:$B,2,0)</f>
        <v>#N/A</v>
      </c>
      <c r="D1466" s="10">
        <f>SUMIF([1]Relatório!$A$2:$A$2653,A1466,[1]Relatório!$AK$2:$AK$2653)</f>
        <v>22</v>
      </c>
      <c r="E1466" s="11">
        <f t="shared" si="44"/>
        <v>3.76096020733148e-5</v>
      </c>
      <c r="F1466" s="11">
        <f>SUM($E$7:E1466)</f>
        <v>0.995288542576635</v>
      </c>
      <c r="G1466" s="12" t="str">
        <f t="shared" si="45"/>
        <v>C</v>
      </c>
      <c r="H1466" s="9" t="s">
        <v>74</v>
      </c>
      <c r="I1466" s="9" t="s">
        <v>3146</v>
      </c>
      <c r="J1466" s="9" t="s">
        <v>44</v>
      </c>
      <c r="K1466" s="10" t="str">
        <f>IFERROR(VLOOKUP(A1466,'Pedido ESTHER'!$B:$C,2,0),"")</f>
        <v/>
      </c>
      <c r="L1466" s="12" t="str">
        <f>IF(N(K1466)&gt;0,"COMPRA","NÃO COMPRA")</f>
        <v>NÃO COMPRA</v>
      </c>
    </row>
    <row r="1467" spans="1:12">
      <c r="A1467" s="8" t="s">
        <v>3147</v>
      </c>
      <c r="B1467" s="9" t="s">
        <v>3052</v>
      </c>
      <c r="C1467" s="9" t="e">
        <f>VLOOKUP(A1467,[2]Planilha1!$A:$B,2,0)</f>
        <v>#N/A</v>
      </c>
      <c r="D1467" s="10">
        <f>SUMIF([1]Relatório!$A$2:$A$2653,A1467,[1]Relatório!$AK$2:$AK$2653)</f>
        <v>22</v>
      </c>
      <c r="E1467" s="11">
        <f t="shared" si="44"/>
        <v>3.76096020733148e-5</v>
      </c>
      <c r="F1467" s="11">
        <f>SUM($E$7:E1467)</f>
        <v>0.995326152178708</v>
      </c>
      <c r="G1467" s="12" t="str">
        <f t="shared" si="45"/>
        <v>C</v>
      </c>
      <c r="H1467" s="9" t="s">
        <v>2452</v>
      </c>
      <c r="I1467" s="9" t="s">
        <v>3148</v>
      </c>
      <c r="J1467" s="9" t="s">
        <v>40</v>
      </c>
      <c r="K1467" s="10" t="str">
        <f>IFERROR(VLOOKUP(A1467,'Pedido ESTHER'!$B:$C,2,0),"")</f>
        <v/>
      </c>
      <c r="L1467" s="12" t="str">
        <f>IF(N(K1467)&gt;0,"COMPRA","NÃO COMPRA")</f>
        <v>NÃO COMPRA</v>
      </c>
    </row>
    <row r="1468" spans="1:12">
      <c r="A1468" s="8" t="s">
        <v>3149</v>
      </c>
      <c r="B1468" s="9" t="s">
        <v>2645</v>
      </c>
      <c r="C1468" s="9" t="e">
        <f>VLOOKUP(A1468,[2]Planilha1!$A:$B,2,0)</f>
        <v>#N/A</v>
      </c>
      <c r="D1468" s="10">
        <f>SUMIF([1]Relatório!$A$2:$A$2653,A1468,[1]Relatório!$AK$2:$AK$2653)</f>
        <v>22</v>
      </c>
      <c r="E1468" s="11">
        <f t="shared" si="44"/>
        <v>3.76096020733148e-5</v>
      </c>
      <c r="F1468" s="11">
        <f>SUM($E$7:E1468)</f>
        <v>0.995363761780781</v>
      </c>
      <c r="G1468" s="12" t="str">
        <f t="shared" si="45"/>
        <v>C</v>
      </c>
      <c r="H1468" s="9" t="s">
        <v>2452</v>
      </c>
      <c r="I1468" s="9" t="s">
        <v>3150</v>
      </c>
      <c r="J1468" s="9" t="s">
        <v>23</v>
      </c>
      <c r="K1468" s="10" t="str">
        <f>IFERROR(VLOOKUP(A1468,'Pedido ESTHER'!$B:$C,2,0),"")</f>
        <v/>
      </c>
      <c r="L1468" s="12" t="str">
        <f>IF(N(K1468)&gt;0,"COMPRA","NÃO COMPRA")</f>
        <v>NÃO COMPRA</v>
      </c>
    </row>
    <row r="1469" spans="1:12">
      <c r="A1469" s="8" t="s">
        <v>3151</v>
      </c>
      <c r="B1469" s="9" t="s">
        <v>3152</v>
      </c>
      <c r="C1469" s="9" t="e">
        <f>VLOOKUP(A1469,[2]Planilha1!$A:$B,2,0)</f>
        <v>#N/A</v>
      </c>
      <c r="D1469" s="10">
        <f>SUMIF([1]Relatório!$A$2:$A$2653,A1469,[1]Relatório!$AK$2:$AK$2653)</f>
        <v>21</v>
      </c>
      <c r="E1469" s="11">
        <f t="shared" si="44"/>
        <v>3.59000747063459e-5</v>
      </c>
      <c r="F1469" s="11">
        <f>SUM($E$7:E1469)</f>
        <v>0.995399661855488</v>
      </c>
      <c r="G1469" s="12" t="str">
        <f t="shared" si="45"/>
        <v>C</v>
      </c>
      <c r="H1469" s="9" t="s">
        <v>1937</v>
      </c>
      <c r="I1469" s="9"/>
      <c r="J1469" s="9" t="s">
        <v>2894</v>
      </c>
      <c r="K1469" s="10" t="str">
        <f>IFERROR(VLOOKUP(A1469,'Pedido ESTHER'!$B:$C,2,0),"")</f>
        <v/>
      </c>
      <c r="L1469" s="12" t="str">
        <f>IF(N(K1469)&gt;0,"COMPRA","NÃO COMPRA")</f>
        <v>NÃO COMPRA</v>
      </c>
    </row>
    <row r="1470" spans="1:12">
      <c r="A1470" s="8" t="s">
        <v>3153</v>
      </c>
      <c r="B1470" s="9" t="s">
        <v>1895</v>
      </c>
      <c r="C1470" s="9" t="e">
        <f>VLOOKUP(A1470,[2]Planilha1!$A:$B,2,0)</f>
        <v>#N/A</v>
      </c>
      <c r="D1470" s="10">
        <f>SUMIF([1]Relatório!$A$2:$A$2653,A1470,[1]Relatório!$AK$2:$AK$2653)</f>
        <v>21</v>
      </c>
      <c r="E1470" s="11">
        <f t="shared" si="44"/>
        <v>3.59000747063459e-5</v>
      </c>
      <c r="F1470" s="11">
        <f>SUM($E$7:E1470)</f>
        <v>0.995435561930194</v>
      </c>
      <c r="G1470" s="12" t="str">
        <f t="shared" si="45"/>
        <v>C</v>
      </c>
      <c r="H1470" s="9" t="s">
        <v>1344</v>
      </c>
      <c r="I1470" s="9" t="s">
        <v>3154</v>
      </c>
      <c r="J1470" s="9" t="s">
        <v>158</v>
      </c>
      <c r="K1470" s="10" t="str">
        <f>IFERROR(VLOOKUP(A1470,'Pedido ESTHER'!$B:$C,2,0),"")</f>
        <v/>
      </c>
      <c r="L1470" s="12" t="str">
        <f>IF(N(K1470)&gt;0,"COMPRA","NÃO COMPRA")</f>
        <v>NÃO COMPRA</v>
      </c>
    </row>
    <row r="1471" spans="1:12">
      <c r="A1471" s="8" t="s">
        <v>3155</v>
      </c>
      <c r="B1471" s="9" t="s">
        <v>2802</v>
      </c>
      <c r="C1471" s="9" t="e">
        <f>VLOOKUP(A1471,[2]Planilha1!$A:$B,2,0)</f>
        <v>#N/A</v>
      </c>
      <c r="D1471" s="10">
        <f>SUMIF([1]Relatório!$A$2:$A$2653,A1471,[1]Relatório!$AK$2:$AK$2653)</f>
        <v>21</v>
      </c>
      <c r="E1471" s="11">
        <f t="shared" si="44"/>
        <v>3.59000747063459e-5</v>
      </c>
      <c r="F1471" s="11">
        <f>SUM($E$7:E1471)</f>
        <v>0.9954714620049</v>
      </c>
      <c r="G1471" s="12" t="str">
        <f t="shared" si="45"/>
        <v>C</v>
      </c>
      <c r="H1471" s="9" t="s">
        <v>183</v>
      </c>
      <c r="I1471" s="9"/>
      <c r="J1471" s="9" t="s">
        <v>40</v>
      </c>
      <c r="K1471" s="10" t="str">
        <f>IFERROR(VLOOKUP(A1471,'Pedido ESTHER'!$B:$C,2,0),"")</f>
        <v/>
      </c>
      <c r="L1471" s="12" t="str">
        <f>IF(N(K1471)&gt;0,"COMPRA","NÃO COMPRA")</f>
        <v>NÃO COMPRA</v>
      </c>
    </row>
    <row r="1472" spans="1:12">
      <c r="A1472" s="8" t="s">
        <v>3156</v>
      </c>
      <c r="B1472" s="9" t="s">
        <v>2950</v>
      </c>
      <c r="C1472" s="9" t="e">
        <f>VLOOKUP(A1472,[2]Planilha1!$A:$B,2,0)</f>
        <v>#N/A</v>
      </c>
      <c r="D1472" s="10">
        <f>SUMIF([1]Relatório!$A$2:$A$2653,A1472,[1]Relatório!$AK$2:$AK$2653)</f>
        <v>21</v>
      </c>
      <c r="E1472" s="11">
        <f t="shared" si="44"/>
        <v>3.59000747063459e-5</v>
      </c>
      <c r="F1472" s="11">
        <f>SUM($E$7:E1472)</f>
        <v>0.995507362079607</v>
      </c>
      <c r="G1472" s="12" t="str">
        <f t="shared" si="45"/>
        <v>C</v>
      </c>
      <c r="H1472" s="9" t="s">
        <v>183</v>
      </c>
      <c r="I1472" s="9" t="s">
        <v>3157</v>
      </c>
      <c r="J1472" s="9" t="s">
        <v>382</v>
      </c>
      <c r="K1472" s="10" t="str">
        <f>IFERROR(VLOOKUP(A1472,'Pedido ESTHER'!$B:$C,2,0),"")</f>
        <v/>
      </c>
      <c r="L1472" s="12" t="str">
        <f>IF(N(K1472)&gt;0,"COMPRA","NÃO COMPRA")</f>
        <v>NÃO COMPRA</v>
      </c>
    </row>
    <row r="1473" spans="1:12">
      <c r="A1473" s="8" t="s">
        <v>3158</v>
      </c>
      <c r="B1473" s="9" t="s">
        <v>1769</v>
      </c>
      <c r="C1473" s="9" t="e">
        <f>VLOOKUP(A1473,[2]Planilha1!$A:$B,2,0)</f>
        <v>#N/A</v>
      </c>
      <c r="D1473" s="10">
        <f>SUMIF([1]Relatório!$A$2:$A$2653,A1473,[1]Relatório!$AK$2:$AK$2653)</f>
        <v>21</v>
      </c>
      <c r="E1473" s="11">
        <f t="shared" si="44"/>
        <v>3.59000747063459e-5</v>
      </c>
      <c r="F1473" s="11">
        <f>SUM($E$7:E1473)</f>
        <v>0.995543262154313</v>
      </c>
      <c r="G1473" s="12" t="str">
        <f t="shared" si="45"/>
        <v>C</v>
      </c>
      <c r="H1473" s="9" t="s">
        <v>1059</v>
      </c>
      <c r="I1473" s="9" t="s">
        <v>3159</v>
      </c>
      <c r="J1473" s="9" t="s">
        <v>359</v>
      </c>
      <c r="K1473" s="10" t="str">
        <f>IFERROR(VLOOKUP(A1473,'Pedido ESTHER'!$B:$C,2,0),"")</f>
        <v/>
      </c>
      <c r="L1473" s="12" t="str">
        <f>IF(N(K1473)&gt;0,"COMPRA","NÃO COMPRA")</f>
        <v>NÃO COMPRA</v>
      </c>
    </row>
    <row r="1474" spans="1:12">
      <c r="A1474" s="8" t="s">
        <v>3160</v>
      </c>
      <c r="B1474" s="9" t="s">
        <v>3161</v>
      </c>
      <c r="C1474" s="9" t="e">
        <f>VLOOKUP(A1474,[2]Planilha1!$A:$B,2,0)</f>
        <v>#N/A</v>
      </c>
      <c r="D1474" s="10">
        <f>SUMIF([1]Relatório!$A$2:$A$2653,A1474,[1]Relatório!$AK$2:$AK$2653)</f>
        <v>21</v>
      </c>
      <c r="E1474" s="11">
        <f t="shared" si="44"/>
        <v>3.59000747063459e-5</v>
      </c>
      <c r="F1474" s="11">
        <f>SUM($E$7:E1474)</f>
        <v>0.995579162229019</v>
      </c>
      <c r="G1474" s="12" t="str">
        <f t="shared" si="45"/>
        <v>C</v>
      </c>
      <c r="H1474" s="9" t="s">
        <v>112</v>
      </c>
      <c r="I1474" s="9" t="s">
        <v>3162</v>
      </c>
      <c r="J1474" s="9" t="s">
        <v>1477</v>
      </c>
      <c r="K1474" s="10" t="str">
        <f>IFERROR(VLOOKUP(A1474,'Pedido ESTHER'!$B:$C,2,0),"")</f>
        <v/>
      </c>
      <c r="L1474" s="12" t="str">
        <f>IF(N(K1474)&gt;0,"COMPRA","NÃO COMPRA")</f>
        <v>NÃO COMPRA</v>
      </c>
    </row>
    <row r="1475" spans="1:12">
      <c r="A1475" s="8" t="s">
        <v>3163</v>
      </c>
      <c r="B1475" s="9" t="s">
        <v>1116</v>
      </c>
      <c r="C1475" s="9" t="e">
        <f>VLOOKUP(A1475,[2]Planilha1!$A:$B,2,0)</f>
        <v>#N/A</v>
      </c>
      <c r="D1475" s="10">
        <f>SUMIF([1]Relatório!$A$2:$A$2653,A1475,[1]Relatório!$AK$2:$AK$2653)</f>
        <v>21</v>
      </c>
      <c r="E1475" s="11">
        <f t="shared" si="44"/>
        <v>3.59000747063459e-5</v>
      </c>
      <c r="F1475" s="11">
        <f>SUM($E$7:E1475)</f>
        <v>0.995615062303726</v>
      </c>
      <c r="G1475" s="12" t="str">
        <f t="shared" si="45"/>
        <v>C</v>
      </c>
      <c r="H1475" s="9" t="s">
        <v>1117</v>
      </c>
      <c r="I1475" s="9" t="s">
        <v>3164</v>
      </c>
      <c r="J1475" s="9" t="s">
        <v>44</v>
      </c>
      <c r="K1475" s="10" t="str">
        <f>IFERROR(VLOOKUP(A1475,'Pedido ESTHER'!$B:$C,2,0),"")</f>
        <v/>
      </c>
      <c r="L1475" s="12" t="str">
        <f>IF(N(K1475)&gt;0,"COMPRA","NÃO COMPRA")</f>
        <v>NÃO COMPRA</v>
      </c>
    </row>
    <row r="1476" spans="1:12">
      <c r="A1476" s="8" t="s">
        <v>3165</v>
      </c>
      <c r="B1476" s="9" t="s">
        <v>1968</v>
      </c>
      <c r="C1476" s="9" t="e">
        <f>VLOOKUP(A1476,[2]Planilha1!$A:$B,2,0)</f>
        <v>#N/A</v>
      </c>
      <c r="D1476" s="10">
        <f>SUMIF([1]Relatório!$A$2:$A$2653,A1476,[1]Relatório!$AK$2:$AK$2653)</f>
        <v>20</v>
      </c>
      <c r="E1476" s="11">
        <f t="shared" si="44"/>
        <v>3.41905473393771e-5</v>
      </c>
      <c r="F1476" s="11">
        <f>SUM($E$7:E1476)</f>
        <v>0.995649252851065</v>
      </c>
      <c r="G1476" s="12" t="str">
        <f t="shared" si="45"/>
        <v>C</v>
      </c>
      <c r="H1476" s="9" t="s">
        <v>1344</v>
      </c>
      <c r="I1476" s="9" t="s">
        <v>3166</v>
      </c>
      <c r="J1476" s="9" t="s">
        <v>3167</v>
      </c>
      <c r="K1476" s="10" t="str">
        <f>IFERROR(VLOOKUP(A1476,'Pedido ESTHER'!$B:$C,2,0),"")</f>
        <v/>
      </c>
      <c r="L1476" s="12" t="str">
        <f>IF(N(K1476)&gt;0,"COMPRA","NÃO COMPRA")</f>
        <v>NÃO COMPRA</v>
      </c>
    </row>
    <row r="1477" spans="1:12">
      <c r="A1477" s="8" t="s">
        <v>3168</v>
      </c>
      <c r="B1477" s="9" t="s">
        <v>1933</v>
      </c>
      <c r="C1477" s="9" t="e">
        <f>VLOOKUP(A1477,[2]Planilha1!$A:$B,2,0)</f>
        <v>#N/A</v>
      </c>
      <c r="D1477" s="10">
        <f>SUMIF([1]Relatório!$A$2:$A$2653,A1477,[1]Relatório!$AK$2:$AK$2653)</f>
        <v>20</v>
      </c>
      <c r="E1477" s="11">
        <f t="shared" si="44"/>
        <v>3.41905473393771e-5</v>
      </c>
      <c r="F1477" s="11">
        <f>SUM($E$7:E1477)</f>
        <v>0.995683443398404</v>
      </c>
      <c r="G1477" s="12" t="str">
        <f t="shared" si="45"/>
        <v>C</v>
      </c>
      <c r="H1477" s="9" t="s">
        <v>2406</v>
      </c>
      <c r="I1477" s="9" t="s">
        <v>3169</v>
      </c>
      <c r="J1477" s="9" t="s">
        <v>23</v>
      </c>
      <c r="K1477" s="10" t="str">
        <f>IFERROR(VLOOKUP(A1477,'Pedido ESTHER'!$B:$C,2,0),"")</f>
        <v/>
      </c>
      <c r="L1477" s="12" t="str">
        <f>IF(N(K1477)&gt;0,"COMPRA","NÃO COMPRA")</f>
        <v>NÃO COMPRA</v>
      </c>
    </row>
    <row r="1478" spans="1:12">
      <c r="A1478" s="8" t="s">
        <v>3170</v>
      </c>
      <c r="B1478" s="9" t="s">
        <v>1796</v>
      </c>
      <c r="C1478" s="9" t="e">
        <f>VLOOKUP(A1478,[2]Planilha1!$A:$B,2,0)</f>
        <v>#N/A</v>
      </c>
      <c r="D1478" s="10">
        <f>SUMIF([1]Relatório!$A$2:$A$2653,A1478,[1]Relatório!$AK$2:$AK$2653)</f>
        <v>20</v>
      </c>
      <c r="E1478" s="11">
        <f t="shared" si="44"/>
        <v>3.41905473393771e-5</v>
      </c>
      <c r="F1478" s="11">
        <f>SUM($E$7:E1478)</f>
        <v>0.995717633945744</v>
      </c>
      <c r="G1478" s="12" t="str">
        <f t="shared" si="45"/>
        <v>C</v>
      </c>
      <c r="H1478" s="9" t="s">
        <v>1344</v>
      </c>
      <c r="I1478" s="9" t="s">
        <v>3171</v>
      </c>
      <c r="J1478" s="9" t="s">
        <v>201</v>
      </c>
      <c r="K1478" s="10" t="str">
        <f>IFERROR(VLOOKUP(A1478,'Pedido ESTHER'!$B:$C,2,0),"")</f>
        <v/>
      </c>
      <c r="L1478" s="12" t="str">
        <f>IF(N(K1478)&gt;0,"COMPRA","NÃO COMPRA")</f>
        <v>NÃO COMPRA</v>
      </c>
    </row>
    <row r="1479" spans="1:12">
      <c r="A1479" s="8" t="s">
        <v>3172</v>
      </c>
      <c r="B1479" s="9" t="s">
        <v>335</v>
      </c>
      <c r="C1479" s="9" t="e">
        <f>VLOOKUP(A1479,[2]Planilha1!$A:$B,2,0)</f>
        <v>#N/A</v>
      </c>
      <c r="D1479" s="10">
        <f>SUMIF([1]Relatório!$A$2:$A$2653,A1479,[1]Relatório!$AK$2:$AK$2653)</f>
        <v>20</v>
      </c>
      <c r="E1479" s="11">
        <f t="shared" si="44"/>
        <v>3.41905473393771e-5</v>
      </c>
      <c r="F1479" s="11">
        <f>SUM($E$7:E1479)</f>
        <v>0.995751824493083</v>
      </c>
      <c r="G1479" s="12" t="str">
        <f t="shared" si="45"/>
        <v>C</v>
      </c>
      <c r="H1479" s="9" t="s">
        <v>183</v>
      </c>
      <c r="I1479" s="9"/>
      <c r="J1479" s="9" t="s">
        <v>44</v>
      </c>
      <c r="K1479" s="10" t="str">
        <f>IFERROR(VLOOKUP(A1479,'Pedido ESTHER'!$B:$C,2,0),"")</f>
        <v/>
      </c>
      <c r="L1479" s="12" t="str">
        <f>IF(N(K1479)&gt;0,"COMPRA","NÃO COMPRA")</f>
        <v>NÃO COMPRA</v>
      </c>
    </row>
    <row r="1480" spans="1:12">
      <c r="A1480" s="8" t="s">
        <v>3173</v>
      </c>
      <c r="B1480" s="9" t="s">
        <v>2474</v>
      </c>
      <c r="C1480" s="9" t="e">
        <f>VLOOKUP(A1480,[2]Planilha1!$A:$B,2,0)</f>
        <v>#N/A</v>
      </c>
      <c r="D1480" s="10">
        <f>SUMIF([1]Relatório!$A$2:$A$2653,A1480,[1]Relatório!$AK$2:$AK$2653)</f>
        <v>20</v>
      </c>
      <c r="E1480" s="11">
        <f t="shared" ref="E1480:E1543" si="46">D1480/SUM($D$7:$D$1708)</f>
        <v>3.41905473393771e-5</v>
      </c>
      <c r="F1480" s="11">
        <f>SUM($E$7:E1480)</f>
        <v>0.995786015040422</v>
      </c>
      <c r="G1480" s="12" t="str">
        <f t="shared" ref="G1480:G1543" si="47">IF(F1480&lt;=70%,"A",IF(F1480&lt;=90%,"B","C"))</f>
        <v>C</v>
      </c>
      <c r="H1480" s="9" t="s">
        <v>1700</v>
      </c>
      <c r="I1480" s="9" t="s">
        <v>3174</v>
      </c>
      <c r="J1480" s="9" t="s">
        <v>44</v>
      </c>
      <c r="K1480" s="10" t="str">
        <f>IFERROR(VLOOKUP(A1480,'Pedido ESTHER'!$B:$C,2,0),"")</f>
        <v/>
      </c>
      <c r="L1480" s="12" t="str">
        <f>IF(N(K1480)&gt;0,"COMPRA","NÃO COMPRA")</f>
        <v>NÃO COMPRA</v>
      </c>
    </row>
    <row r="1481" spans="1:12">
      <c r="A1481" s="8" t="s">
        <v>3175</v>
      </c>
      <c r="B1481" s="9" t="s">
        <v>812</v>
      </c>
      <c r="C1481" s="9" t="e">
        <f>VLOOKUP(A1481,[2]Planilha1!$A:$B,2,0)</f>
        <v>#N/A</v>
      </c>
      <c r="D1481" s="10">
        <f>SUMIF([1]Relatório!$A$2:$A$2653,A1481,[1]Relatório!$AK$2:$AK$2653)</f>
        <v>20</v>
      </c>
      <c r="E1481" s="11">
        <f t="shared" si="46"/>
        <v>3.41905473393771e-5</v>
      </c>
      <c r="F1481" s="11">
        <f>SUM($E$7:E1481)</f>
        <v>0.995820205587762</v>
      </c>
      <c r="G1481" s="12" t="str">
        <f t="shared" si="47"/>
        <v>C</v>
      </c>
      <c r="H1481" s="9" t="s">
        <v>776</v>
      </c>
      <c r="I1481" s="9"/>
      <c r="J1481" s="9" t="s">
        <v>1143</v>
      </c>
      <c r="K1481" s="10" t="str">
        <f>IFERROR(VLOOKUP(A1481,'Pedido ESTHER'!$B:$C,2,0),"")</f>
        <v/>
      </c>
      <c r="L1481" s="12" t="str">
        <f>IF(N(K1481)&gt;0,"COMPRA","NÃO COMPRA")</f>
        <v>NÃO COMPRA</v>
      </c>
    </row>
    <row r="1482" spans="1:12">
      <c r="A1482" s="8" t="s">
        <v>3176</v>
      </c>
      <c r="B1482" s="9" t="s">
        <v>3177</v>
      </c>
      <c r="C1482" s="9" t="e">
        <f>VLOOKUP(A1482,[2]Planilha1!$A:$B,2,0)</f>
        <v>#N/A</v>
      </c>
      <c r="D1482" s="10">
        <f>SUMIF([1]Relatório!$A$2:$A$2653,A1482,[1]Relatório!$AK$2:$AK$2653)</f>
        <v>20</v>
      </c>
      <c r="E1482" s="11">
        <f t="shared" si="46"/>
        <v>3.41905473393771e-5</v>
      </c>
      <c r="F1482" s="11">
        <f>SUM($E$7:E1482)</f>
        <v>0.995854396135101</v>
      </c>
      <c r="G1482" s="12" t="str">
        <f t="shared" si="47"/>
        <v>C</v>
      </c>
      <c r="H1482" s="9" t="s">
        <v>18</v>
      </c>
      <c r="I1482" s="9" t="s">
        <v>3178</v>
      </c>
      <c r="J1482" s="9" t="s">
        <v>390</v>
      </c>
      <c r="K1482" s="10" t="str">
        <f>IFERROR(VLOOKUP(A1482,'Pedido ESTHER'!$B:$C,2,0),"")</f>
        <v/>
      </c>
      <c r="L1482" s="12" t="str">
        <f>IF(N(K1482)&gt;0,"COMPRA","NÃO COMPRA")</f>
        <v>NÃO COMPRA</v>
      </c>
    </row>
    <row r="1483" spans="1:12">
      <c r="A1483" s="8" t="s">
        <v>3179</v>
      </c>
      <c r="B1483" s="9" t="s">
        <v>2645</v>
      </c>
      <c r="C1483" s="9" t="e">
        <f>VLOOKUP(A1483,[2]Planilha1!$A:$B,2,0)</f>
        <v>#N/A</v>
      </c>
      <c r="D1483" s="10">
        <f>SUMIF([1]Relatório!$A$2:$A$2653,A1483,[1]Relatório!$AK$2:$AK$2653)</f>
        <v>20</v>
      </c>
      <c r="E1483" s="11">
        <f t="shared" si="46"/>
        <v>3.41905473393771e-5</v>
      </c>
      <c r="F1483" s="11">
        <f>SUM($E$7:E1483)</f>
        <v>0.99588858668244</v>
      </c>
      <c r="G1483" s="12" t="str">
        <f t="shared" si="47"/>
        <v>C</v>
      </c>
      <c r="H1483" s="9" t="s">
        <v>2452</v>
      </c>
      <c r="I1483" s="9" t="s">
        <v>3180</v>
      </c>
      <c r="J1483" s="9" t="s">
        <v>23</v>
      </c>
      <c r="K1483" s="10" t="str">
        <f>IFERROR(VLOOKUP(A1483,'Pedido ESTHER'!$B:$C,2,0),"")</f>
        <v/>
      </c>
      <c r="L1483" s="12" t="str">
        <f>IF(N(K1483)&gt;0,"COMPRA","NÃO COMPRA")</f>
        <v>NÃO COMPRA</v>
      </c>
    </row>
    <row r="1484" spans="1:12">
      <c r="A1484" s="8" t="s">
        <v>3181</v>
      </c>
      <c r="B1484" s="9" t="s">
        <v>469</v>
      </c>
      <c r="C1484" s="9" t="e">
        <f>VLOOKUP(A1484,[2]Planilha1!$A:$B,2,0)</f>
        <v>#N/A</v>
      </c>
      <c r="D1484" s="10">
        <f>SUMIF([1]Relatório!$A$2:$A$2653,A1484,[1]Relatório!$AK$2:$AK$2653)</f>
        <v>19</v>
      </c>
      <c r="E1484" s="11">
        <f t="shared" si="46"/>
        <v>3.24810199724082e-5</v>
      </c>
      <c r="F1484" s="11">
        <f>SUM($E$7:E1484)</f>
        <v>0.995921067702413</v>
      </c>
      <c r="G1484" s="12" t="str">
        <f t="shared" si="47"/>
        <v>C</v>
      </c>
      <c r="H1484" s="9" t="s">
        <v>183</v>
      </c>
      <c r="I1484" s="9"/>
      <c r="J1484" s="9" t="s">
        <v>23</v>
      </c>
      <c r="K1484" s="10" t="str">
        <f>IFERROR(VLOOKUP(A1484,'Pedido ESTHER'!$B:$C,2,0),"")</f>
        <v/>
      </c>
      <c r="L1484" s="12" t="str">
        <f>IF(N(K1484)&gt;0,"COMPRA","NÃO COMPRA")</f>
        <v>NÃO COMPRA</v>
      </c>
    </row>
    <row r="1485" spans="1:12">
      <c r="A1485" s="8" t="s">
        <v>3182</v>
      </c>
      <c r="B1485" s="9" t="s">
        <v>1781</v>
      </c>
      <c r="C1485" s="9" t="e">
        <f>VLOOKUP(A1485,[2]Planilha1!$A:$B,2,0)</f>
        <v>#N/A</v>
      </c>
      <c r="D1485" s="10">
        <f>SUMIF([1]Relatório!$A$2:$A$2653,A1485,[1]Relatório!$AK$2:$AK$2653)</f>
        <v>19</v>
      </c>
      <c r="E1485" s="11">
        <f t="shared" si="46"/>
        <v>3.24810199724082e-5</v>
      </c>
      <c r="F1485" s="11">
        <f>SUM($E$7:E1485)</f>
        <v>0.995953548722385</v>
      </c>
      <c r="G1485" s="12" t="str">
        <f t="shared" si="47"/>
        <v>C</v>
      </c>
      <c r="H1485" s="9" t="s">
        <v>2406</v>
      </c>
      <c r="I1485" s="9" t="s">
        <v>3183</v>
      </c>
      <c r="J1485" s="9" t="s">
        <v>201</v>
      </c>
      <c r="K1485" s="10" t="str">
        <f>IFERROR(VLOOKUP(A1485,'Pedido ESTHER'!$B:$C,2,0),"")</f>
        <v/>
      </c>
      <c r="L1485" s="12" t="str">
        <f>IF(N(K1485)&gt;0,"COMPRA","NÃO COMPRA")</f>
        <v>NÃO COMPRA</v>
      </c>
    </row>
    <row r="1486" spans="1:12">
      <c r="A1486" s="8" t="s">
        <v>3184</v>
      </c>
      <c r="B1486" s="9" t="s">
        <v>2844</v>
      </c>
      <c r="C1486" s="9" t="e">
        <f>VLOOKUP(A1486,[2]Planilha1!$A:$B,2,0)</f>
        <v>#N/A</v>
      </c>
      <c r="D1486" s="10">
        <f>SUMIF([1]Relatório!$A$2:$A$2653,A1486,[1]Relatório!$AK$2:$AK$2653)</f>
        <v>19</v>
      </c>
      <c r="E1486" s="11">
        <f t="shared" si="46"/>
        <v>3.24810199724082e-5</v>
      </c>
      <c r="F1486" s="11">
        <f>SUM($E$7:E1486)</f>
        <v>0.995986029742358</v>
      </c>
      <c r="G1486" s="12" t="str">
        <f t="shared" si="47"/>
        <v>C</v>
      </c>
      <c r="H1486" s="9" t="s">
        <v>2406</v>
      </c>
      <c r="I1486" s="9" t="s">
        <v>3185</v>
      </c>
      <c r="J1486" s="9" t="s">
        <v>1169</v>
      </c>
      <c r="K1486" s="10" t="str">
        <f>IFERROR(VLOOKUP(A1486,'Pedido ESTHER'!$B:$C,2,0),"")</f>
        <v/>
      </c>
      <c r="L1486" s="12" t="str">
        <f>IF(N(K1486)&gt;0,"COMPRA","NÃO COMPRA")</f>
        <v>NÃO COMPRA</v>
      </c>
    </row>
    <row r="1487" spans="1:12">
      <c r="A1487" s="8" t="s">
        <v>3186</v>
      </c>
      <c r="B1487" s="9" t="s">
        <v>2330</v>
      </c>
      <c r="C1487" s="9" t="e">
        <f>VLOOKUP(A1487,[2]Planilha1!$A:$B,2,0)</f>
        <v>#N/A</v>
      </c>
      <c r="D1487" s="10">
        <f>SUMIF([1]Relatório!$A$2:$A$2653,A1487,[1]Relatório!$AK$2:$AK$2653)</f>
        <v>19</v>
      </c>
      <c r="E1487" s="11">
        <f t="shared" si="46"/>
        <v>3.24810199724082e-5</v>
      </c>
      <c r="F1487" s="11">
        <f>SUM($E$7:E1487)</f>
        <v>0.99601851076233</v>
      </c>
      <c r="G1487" s="12" t="str">
        <f t="shared" si="47"/>
        <v>C</v>
      </c>
      <c r="H1487" s="9" t="s">
        <v>1344</v>
      </c>
      <c r="I1487" s="9" t="s">
        <v>3187</v>
      </c>
      <c r="J1487" s="9" t="s">
        <v>36</v>
      </c>
      <c r="K1487" s="10" t="str">
        <f>IFERROR(VLOOKUP(A1487,'Pedido ESTHER'!$B:$C,2,0),"")</f>
        <v/>
      </c>
      <c r="L1487" s="12" t="str">
        <f>IF(N(K1487)&gt;0,"COMPRA","NÃO COMPRA")</f>
        <v>NÃO COMPRA</v>
      </c>
    </row>
    <row r="1488" spans="1:12">
      <c r="A1488" s="8" t="s">
        <v>3188</v>
      </c>
      <c r="B1488" s="9" t="s">
        <v>1781</v>
      </c>
      <c r="C1488" s="9" t="e">
        <f>VLOOKUP(A1488,[2]Planilha1!$A:$B,2,0)</f>
        <v>#N/A</v>
      </c>
      <c r="D1488" s="10">
        <f>SUMIF([1]Relatório!$A$2:$A$2653,A1488,[1]Relatório!$AK$2:$AK$2653)</f>
        <v>19</v>
      </c>
      <c r="E1488" s="11">
        <f t="shared" si="46"/>
        <v>3.24810199724082e-5</v>
      </c>
      <c r="F1488" s="11">
        <f>SUM($E$7:E1488)</f>
        <v>0.996050991782302</v>
      </c>
      <c r="G1488" s="12" t="str">
        <f t="shared" si="47"/>
        <v>C</v>
      </c>
      <c r="H1488" s="9" t="s">
        <v>1344</v>
      </c>
      <c r="I1488" s="9" t="s">
        <v>3189</v>
      </c>
      <c r="J1488" s="9" t="s">
        <v>201</v>
      </c>
      <c r="K1488" s="10" t="str">
        <f>IFERROR(VLOOKUP(A1488,'Pedido ESTHER'!$B:$C,2,0),"")</f>
        <v/>
      </c>
      <c r="L1488" s="12" t="str">
        <f>IF(N(K1488)&gt;0,"COMPRA","NÃO COMPRA")</f>
        <v>NÃO COMPRA</v>
      </c>
    </row>
    <row r="1489" spans="1:12">
      <c r="A1489" s="8" t="s">
        <v>3190</v>
      </c>
      <c r="B1489" s="9" t="s">
        <v>469</v>
      </c>
      <c r="C1489" s="9" t="e">
        <f>VLOOKUP(A1489,[2]Planilha1!$A:$B,2,0)</f>
        <v>#N/A</v>
      </c>
      <c r="D1489" s="10">
        <f>SUMIF([1]Relatório!$A$2:$A$2653,A1489,[1]Relatório!$AK$2:$AK$2653)</f>
        <v>19</v>
      </c>
      <c r="E1489" s="11">
        <f t="shared" si="46"/>
        <v>3.24810199724082e-5</v>
      </c>
      <c r="F1489" s="11">
        <f>SUM($E$7:E1489)</f>
        <v>0.996083472802275</v>
      </c>
      <c r="G1489" s="12" t="str">
        <f t="shared" si="47"/>
        <v>C</v>
      </c>
      <c r="H1489" s="9" t="s">
        <v>183</v>
      </c>
      <c r="I1489" s="9" t="s">
        <v>3191</v>
      </c>
      <c r="J1489" s="9" t="s">
        <v>23</v>
      </c>
      <c r="K1489" s="10" t="str">
        <f>IFERROR(VLOOKUP(A1489,'Pedido ESTHER'!$B:$C,2,0),"")</f>
        <v/>
      </c>
      <c r="L1489" s="12" t="str">
        <f>IF(N(K1489)&gt;0,"COMPRA","NÃO COMPRA")</f>
        <v>NÃO COMPRA</v>
      </c>
    </row>
    <row r="1490" spans="1:12">
      <c r="A1490" s="8" t="s">
        <v>3192</v>
      </c>
      <c r="B1490" s="9" t="s">
        <v>177</v>
      </c>
      <c r="C1490" s="9" t="e">
        <f>VLOOKUP(A1490,[2]Planilha1!$A:$B,2,0)</f>
        <v>#N/A</v>
      </c>
      <c r="D1490" s="10">
        <f>SUMIF([1]Relatório!$A$2:$A$2653,A1490,[1]Relatório!$AK$2:$AK$2653)</f>
        <v>19</v>
      </c>
      <c r="E1490" s="11">
        <f t="shared" si="46"/>
        <v>3.24810199724082e-5</v>
      </c>
      <c r="F1490" s="11">
        <f>SUM($E$7:E1490)</f>
        <v>0.996115953822247</v>
      </c>
      <c r="G1490" s="12" t="str">
        <f t="shared" si="47"/>
        <v>C</v>
      </c>
      <c r="H1490" s="9" t="s">
        <v>21</v>
      </c>
      <c r="I1490" s="9"/>
      <c r="J1490" s="9" t="s">
        <v>36</v>
      </c>
      <c r="K1490" s="10" t="str">
        <f>IFERROR(VLOOKUP(A1490,'Pedido ESTHER'!$B:$C,2,0),"")</f>
        <v/>
      </c>
      <c r="L1490" s="12" t="str">
        <f>IF(N(K1490)&gt;0,"COMPRA","NÃO COMPRA")</f>
        <v>NÃO COMPRA</v>
      </c>
    </row>
    <row r="1491" spans="1:12">
      <c r="A1491" s="8" t="s">
        <v>3193</v>
      </c>
      <c r="B1491" s="9" t="s">
        <v>363</v>
      </c>
      <c r="C1491" s="9" t="e">
        <f>VLOOKUP(A1491,[2]Planilha1!$A:$B,2,0)</f>
        <v>#N/A</v>
      </c>
      <c r="D1491" s="10">
        <f>SUMIF([1]Relatório!$A$2:$A$2653,A1491,[1]Relatório!$AK$2:$AK$2653)</f>
        <v>19</v>
      </c>
      <c r="E1491" s="11">
        <f t="shared" si="46"/>
        <v>3.24810199724082e-5</v>
      </c>
      <c r="F1491" s="11">
        <f>SUM($E$7:E1491)</f>
        <v>0.99614843484222</v>
      </c>
      <c r="G1491" s="12" t="str">
        <f t="shared" si="47"/>
        <v>C</v>
      </c>
      <c r="H1491" s="9" t="s">
        <v>776</v>
      </c>
      <c r="I1491" s="9" t="s">
        <v>3194</v>
      </c>
      <c r="J1491" s="9" t="s">
        <v>40</v>
      </c>
      <c r="K1491" s="10" t="str">
        <f>IFERROR(VLOOKUP(A1491,'Pedido ESTHER'!$B:$C,2,0),"")</f>
        <v/>
      </c>
      <c r="L1491" s="12" t="str">
        <f>IF(N(K1491)&gt;0,"COMPRA","NÃO COMPRA")</f>
        <v>NÃO COMPRA</v>
      </c>
    </row>
    <row r="1492" spans="1:12">
      <c r="A1492" s="8" t="s">
        <v>3195</v>
      </c>
      <c r="B1492" s="9" t="s">
        <v>1708</v>
      </c>
      <c r="C1492" s="9" t="e">
        <f>VLOOKUP(A1492,[2]Planilha1!$A:$B,2,0)</f>
        <v>#N/A</v>
      </c>
      <c r="D1492" s="10">
        <f>SUMIF([1]Relatório!$A$2:$A$2653,A1492,[1]Relatório!$AK$2:$AK$2653)</f>
        <v>19</v>
      </c>
      <c r="E1492" s="11">
        <f t="shared" si="46"/>
        <v>3.24810199724082e-5</v>
      </c>
      <c r="F1492" s="11">
        <f>SUM($E$7:E1492)</f>
        <v>0.996180915862192</v>
      </c>
      <c r="G1492" s="12" t="str">
        <f t="shared" si="47"/>
        <v>C</v>
      </c>
      <c r="H1492" s="9" t="s">
        <v>183</v>
      </c>
      <c r="I1492" s="9" t="s">
        <v>3196</v>
      </c>
      <c r="J1492" s="9" t="s">
        <v>1710</v>
      </c>
      <c r="K1492" s="10" t="str">
        <f>IFERROR(VLOOKUP(A1492,'Pedido ESTHER'!$B:$C,2,0),"")</f>
        <v/>
      </c>
      <c r="L1492" s="12" t="str">
        <f>IF(N(K1492)&gt;0,"COMPRA","NÃO COMPRA")</f>
        <v>NÃO COMPRA</v>
      </c>
    </row>
    <row r="1493" spans="1:12">
      <c r="A1493" s="8" t="s">
        <v>3197</v>
      </c>
      <c r="B1493" s="9" t="s">
        <v>38</v>
      </c>
      <c r="C1493" s="9" t="e">
        <f>VLOOKUP(A1493,[2]Planilha1!$A:$B,2,0)</f>
        <v>#N/A</v>
      </c>
      <c r="D1493" s="10">
        <f>SUMIF([1]Relatório!$A$2:$A$2653,A1493,[1]Relatório!$AK$2:$AK$2653)</f>
        <v>19</v>
      </c>
      <c r="E1493" s="11">
        <f t="shared" si="46"/>
        <v>3.24810199724082e-5</v>
      </c>
      <c r="F1493" s="11">
        <f>SUM($E$7:E1493)</f>
        <v>0.996213396882165</v>
      </c>
      <c r="G1493" s="12" t="str">
        <f t="shared" si="47"/>
        <v>C</v>
      </c>
      <c r="H1493" s="9" t="s">
        <v>21</v>
      </c>
      <c r="I1493" s="9" t="s">
        <v>3198</v>
      </c>
      <c r="J1493" s="9" t="s">
        <v>40</v>
      </c>
      <c r="K1493" s="10" t="str">
        <f>IFERROR(VLOOKUP(A1493,'Pedido ESTHER'!$B:$C,2,0),"")</f>
        <v/>
      </c>
      <c r="L1493" s="12" t="str">
        <f>IF(N(K1493)&gt;0,"COMPRA","NÃO COMPRA")</f>
        <v>NÃO COMPRA</v>
      </c>
    </row>
    <row r="1494" spans="1:12">
      <c r="A1494" s="8" t="s">
        <v>3199</v>
      </c>
      <c r="B1494" s="9" t="s">
        <v>1116</v>
      </c>
      <c r="C1494" s="9" t="e">
        <f>VLOOKUP(A1494,[2]Planilha1!$A:$B,2,0)</f>
        <v>#N/A</v>
      </c>
      <c r="D1494" s="10">
        <f>SUMIF([1]Relatório!$A$2:$A$2653,A1494,[1]Relatório!$AK$2:$AK$2653)</f>
        <v>19</v>
      </c>
      <c r="E1494" s="11">
        <f t="shared" si="46"/>
        <v>3.24810199724082e-5</v>
      </c>
      <c r="F1494" s="11">
        <f>SUM($E$7:E1494)</f>
        <v>0.996245877902137</v>
      </c>
      <c r="G1494" s="12" t="str">
        <f t="shared" si="47"/>
        <v>C</v>
      </c>
      <c r="H1494" s="9" t="s">
        <v>1117</v>
      </c>
      <c r="I1494" s="9" t="s">
        <v>3200</v>
      </c>
      <c r="J1494" s="9" t="s">
        <v>44</v>
      </c>
      <c r="K1494" s="10" t="str">
        <f>IFERROR(VLOOKUP(A1494,'Pedido ESTHER'!$B:$C,2,0),"")</f>
        <v/>
      </c>
      <c r="L1494" s="12" t="str">
        <f>IF(N(K1494)&gt;0,"COMPRA","NÃO COMPRA")</f>
        <v>NÃO COMPRA</v>
      </c>
    </row>
    <row r="1495" spans="1:12">
      <c r="A1495" s="8" t="s">
        <v>3201</v>
      </c>
      <c r="B1495" s="9" t="s">
        <v>2455</v>
      </c>
      <c r="C1495" s="9" t="e">
        <f>VLOOKUP(A1495,[2]Planilha1!$A:$B,2,0)</f>
        <v>#N/A</v>
      </c>
      <c r="D1495" s="10">
        <f>SUMIF([1]Relatório!$A$2:$A$2653,A1495,[1]Relatório!$AK$2:$AK$2653)</f>
        <v>19</v>
      </c>
      <c r="E1495" s="11">
        <f t="shared" si="46"/>
        <v>3.24810199724082e-5</v>
      </c>
      <c r="F1495" s="11">
        <f>SUM($E$7:E1495)</f>
        <v>0.996278358922109</v>
      </c>
      <c r="G1495" s="12" t="str">
        <f t="shared" si="47"/>
        <v>C</v>
      </c>
      <c r="H1495" s="9" t="s">
        <v>2452</v>
      </c>
      <c r="I1495" s="9" t="s">
        <v>3202</v>
      </c>
      <c r="J1495" s="9" t="s">
        <v>44</v>
      </c>
      <c r="K1495" s="10" t="str">
        <f>IFERROR(VLOOKUP(A1495,'Pedido ESTHER'!$B:$C,2,0),"")</f>
        <v/>
      </c>
      <c r="L1495" s="12" t="str">
        <f>IF(N(K1495)&gt;0,"COMPRA","NÃO COMPRA")</f>
        <v>NÃO COMPRA</v>
      </c>
    </row>
    <row r="1496" spans="1:12">
      <c r="A1496" s="8" t="s">
        <v>3203</v>
      </c>
      <c r="B1496" s="9" t="s">
        <v>3075</v>
      </c>
      <c r="C1496" s="9" t="e">
        <f>VLOOKUP(A1496,[2]Planilha1!$A:$B,2,0)</f>
        <v>#N/A</v>
      </c>
      <c r="D1496" s="10">
        <f>SUMIF([1]Relatório!$A$2:$A$2653,A1496,[1]Relatório!$AK$2:$AK$2653)</f>
        <v>19</v>
      </c>
      <c r="E1496" s="11">
        <f t="shared" si="46"/>
        <v>3.24810199724082e-5</v>
      </c>
      <c r="F1496" s="11">
        <f>SUM($E$7:E1496)</f>
        <v>0.996310839942082</v>
      </c>
      <c r="G1496" s="12" t="str">
        <f t="shared" si="47"/>
        <v>C</v>
      </c>
      <c r="H1496" s="9" t="s">
        <v>2452</v>
      </c>
      <c r="I1496" s="9" t="s">
        <v>3204</v>
      </c>
      <c r="J1496" s="9" t="s">
        <v>29</v>
      </c>
      <c r="K1496" s="10" t="str">
        <f>IFERROR(VLOOKUP(A1496,'Pedido ESTHER'!$B:$C,2,0),"")</f>
        <v/>
      </c>
      <c r="L1496" s="12" t="str">
        <f>IF(N(K1496)&gt;0,"COMPRA","NÃO COMPRA")</f>
        <v>NÃO COMPRA</v>
      </c>
    </row>
    <row r="1497" spans="1:12">
      <c r="A1497" s="8" t="s">
        <v>3205</v>
      </c>
      <c r="B1497" s="9" t="s">
        <v>193</v>
      </c>
      <c r="C1497" s="9" t="e">
        <f>VLOOKUP(A1497,[2]Planilha1!$A:$B,2,0)</f>
        <v>#N/A</v>
      </c>
      <c r="D1497" s="10">
        <f>SUMIF([1]Relatório!$A$2:$A$2653,A1497,[1]Relatório!$AK$2:$AK$2653)</f>
        <v>18</v>
      </c>
      <c r="E1497" s="11">
        <f t="shared" si="46"/>
        <v>3.07714926054394e-5</v>
      </c>
      <c r="F1497" s="11">
        <f>SUM($E$7:E1497)</f>
        <v>0.996341611434687</v>
      </c>
      <c r="G1497" s="12" t="str">
        <f t="shared" si="47"/>
        <v>C</v>
      </c>
      <c r="H1497" s="9" t="s">
        <v>183</v>
      </c>
      <c r="I1497" s="9" t="s">
        <v>3206</v>
      </c>
      <c r="J1497" s="9" t="s">
        <v>3207</v>
      </c>
      <c r="K1497" s="10" t="str">
        <f>IFERROR(VLOOKUP(A1497,'Pedido ESTHER'!$B:$C,2,0),"")</f>
        <v/>
      </c>
      <c r="L1497" s="12" t="str">
        <f>IF(N(K1497)&gt;0,"COMPRA","NÃO COMPRA")</f>
        <v>NÃO COMPRA</v>
      </c>
    </row>
    <row r="1498" spans="1:12">
      <c r="A1498" s="8" t="s">
        <v>3208</v>
      </c>
      <c r="B1498" s="9" t="s">
        <v>2861</v>
      </c>
      <c r="C1498" s="9" t="e">
        <f>VLOOKUP(A1498,[2]Planilha1!$A:$B,2,0)</f>
        <v>#N/A</v>
      </c>
      <c r="D1498" s="10">
        <f>SUMIF([1]Relatório!$A$2:$A$2653,A1498,[1]Relatório!$AK$2:$AK$2653)</f>
        <v>18</v>
      </c>
      <c r="E1498" s="11">
        <f t="shared" si="46"/>
        <v>3.07714926054394e-5</v>
      </c>
      <c r="F1498" s="11">
        <f>SUM($E$7:E1498)</f>
        <v>0.996372382927293</v>
      </c>
      <c r="G1498" s="12" t="str">
        <f t="shared" si="47"/>
        <v>C</v>
      </c>
      <c r="H1498" s="9" t="s">
        <v>2406</v>
      </c>
      <c r="I1498" s="9" t="s">
        <v>3209</v>
      </c>
      <c r="J1498" s="9" t="s">
        <v>1169</v>
      </c>
      <c r="K1498" s="10" t="str">
        <f>IFERROR(VLOOKUP(A1498,'Pedido ESTHER'!$B:$C,2,0),"")</f>
        <v/>
      </c>
      <c r="L1498" s="12" t="str">
        <f>IF(N(K1498)&gt;0,"COMPRA","NÃO COMPRA")</f>
        <v>NÃO COMPRA</v>
      </c>
    </row>
    <row r="1499" spans="1:12">
      <c r="A1499" s="8" t="s">
        <v>3210</v>
      </c>
      <c r="B1499" s="9" t="s">
        <v>1885</v>
      </c>
      <c r="C1499" s="9" t="e">
        <f>VLOOKUP(A1499,[2]Planilha1!$A:$B,2,0)</f>
        <v>#N/A</v>
      </c>
      <c r="D1499" s="10">
        <f>SUMIF([1]Relatório!$A$2:$A$2653,A1499,[1]Relatório!$AK$2:$AK$2653)</f>
        <v>18</v>
      </c>
      <c r="E1499" s="11">
        <f t="shared" si="46"/>
        <v>3.07714926054394e-5</v>
      </c>
      <c r="F1499" s="11">
        <f>SUM($E$7:E1499)</f>
        <v>0.996403154419898</v>
      </c>
      <c r="G1499" s="12" t="str">
        <f t="shared" si="47"/>
        <v>C</v>
      </c>
      <c r="H1499" s="9" t="s">
        <v>1344</v>
      </c>
      <c r="I1499" s="9" t="s">
        <v>3211</v>
      </c>
      <c r="J1499" s="9" t="s">
        <v>3167</v>
      </c>
      <c r="K1499" s="10" t="str">
        <f>IFERROR(VLOOKUP(A1499,'Pedido ESTHER'!$B:$C,2,0),"")</f>
        <v/>
      </c>
      <c r="L1499" s="12" t="str">
        <f>IF(N(K1499)&gt;0,"COMPRA","NÃO COMPRA")</f>
        <v>NÃO COMPRA</v>
      </c>
    </row>
    <row r="1500" spans="1:12">
      <c r="A1500" s="8" t="s">
        <v>3212</v>
      </c>
      <c r="B1500" s="9" t="s">
        <v>3113</v>
      </c>
      <c r="C1500" s="9" t="e">
        <f>VLOOKUP(A1500,[2]Planilha1!$A:$B,2,0)</f>
        <v>#N/A</v>
      </c>
      <c r="D1500" s="10">
        <f>SUMIF([1]Relatório!$A$2:$A$2653,A1500,[1]Relatório!$AK$2:$AK$2653)</f>
        <v>18</v>
      </c>
      <c r="E1500" s="11">
        <f t="shared" si="46"/>
        <v>3.07714926054394e-5</v>
      </c>
      <c r="F1500" s="11">
        <f>SUM($E$7:E1500)</f>
        <v>0.996433925912504</v>
      </c>
      <c r="G1500" s="12" t="str">
        <f t="shared" si="47"/>
        <v>C</v>
      </c>
      <c r="H1500" s="9" t="s">
        <v>1344</v>
      </c>
      <c r="I1500" s="9" t="s">
        <v>3213</v>
      </c>
      <c r="J1500" s="9" t="s">
        <v>1418</v>
      </c>
      <c r="K1500" s="10" t="str">
        <f>IFERROR(VLOOKUP(A1500,'Pedido ESTHER'!$B:$C,2,0),"")</f>
        <v/>
      </c>
      <c r="L1500" s="12" t="str">
        <f>IF(N(K1500)&gt;0,"COMPRA","NÃO COMPRA")</f>
        <v>NÃO COMPRA</v>
      </c>
    </row>
    <row r="1501" spans="1:12">
      <c r="A1501" s="8" t="s">
        <v>3214</v>
      </c>
      <c r="B1501" s="9" t="s">
        <v>2566</v>
      </c>
      <c r="C1501" s="9" t="e">
        <f>VLOOKUP(A1501,[2]Planilha1!$A:$B,2,0)</f>
        <v>#N/A</v>
      </c>
      <c r="D1501" s="10">
        <f>SUMIF([1]Relatório!$A$2:$A$2653,A1501,[1]Relatório!$AK$2:$AK$2653)</f>
        <v>18</v>
      </c>
      <c r="E1501" s="11">
        <f t="shared" si="46"/>
        <v>3.07714926054394e-5</v>
      </c>
      <c r="F1501" s="11">
        <f>SUM($E$7:E1501)</f>
        <v>0.996464697405109</v>
      </c>
      <c r="G1501" s="12" t="str">
        <f t="shared" si="47"/>
        <v>C</v>
      </c>
      <c r="H1501" s="9" t="s">
        <v>1937</v>
      </c>
      <c r="I1501" s="9"/>
      <c r="J1501" s="9" t="s">
        <v>1143</v>
      </c>
      <c r="K1501" s="10" t="str">
        <f>IFERROR(VLOOKUP(A1501,'Pedido ESTHER'!$B:$C,2,0),"")</f>
        <v/>
      </c>
      <c r="L1501" s="12" t="str">
        <f>IF(N(K1501)&gt;0,"COMPRA","NÃO COMPRA")</f>
        <v>NÃO COMPRA</v>
      </c>
    </row>
    <row r="1502" spans="1:12">
      <c r="A1502" s="8" t="s">
        <v>3215</v>
      </c>
      <c r="B1502" s="9" t="s">
        <v>1864</v>
      </c>
      <c r="C1502" s="9" t="e">
        <f>VLOOKUP(A1502,[2]Planilha1!$A:$B,2,0)</f>
        <v>#N/A</v>
      </c>
      <c r="D1502" s="10">
        <f>SUMIF([1]Relatório!$A$2:$A$2653,A1502,[1]Relatório!$AK$2:$AK$2653)</f>
        <v>18</v>
      </c>
      <c r="E1502" s="11">
        <f t="shared" si="46"/>
        <v>3.07714926054394e-5</v>
      </c>
      <c r="F1502" s="11">
        <f>SUM($E$7:E1502)</f>
        <v>0.996495468897715</v>
      </c>
      <c r="G1502" s="12" t="str">
        <f t="shared" si="47"/>
        <v>C</v>
      </c>
      <c r="H1502" s="9" t="s">
        <v>1344</v>
      </c>
      <c r="I1502" s="9" t="s">
        <v>3216</v>
      </c>
      <c r="J1502" s="9" t="s">
        <v>164</v>
      </c>
      <c r="K1502" s="10" t="str">
        <f>IFERROR(VLOOKUP(A1502,'Pedido ESTHER'!$B:$C,2,0),"")</f>
        <v/>
      </c>
      <c r="L1502" s="12" t="str">
        <f>IF(N(K1502)&gt;0,"COMPRA","NÃO COMPRA")</f>
        <v>NÃO COMPRA</v>
      </c>
    </row>
    <row r="1503" spans="1:12">
      <c r="A1503" s="8" t="s">
        <v>3217</v>
      </c>
      <c r="B1503" s="9" t="s">
        <v>335</v>
      </c>
      <c r="C1503" s="9" t="e">
        <f>VLOOKUP(A1503,[2]Planilha1!$A:$B,2,0)</f>
        <v>#N/A</v>
      </c>
      <c r="D1503" s="10">
        <f>SUMIF([1]Relatório!$A$2:$A$2653,A1503,[1]Relatório!$AK$2:$AK$2653)</f>
        <v>18</v>
      </c>
      <c r="E1503" s="11">
        <f t="shared" si="46"/>
        <v>3.07714926054394e-5</v>
      </c>
      <c r="F1503" s="11">
        <f>SUM($E$7:E1503)</f>
        <v>0.99652624039032</v>
      </c>
      <c r="G1503" s="12" t="str">
        <f t="shared" si="47"/>
        <v>C</v>
      </c>
      <c r="H1503" s="9" t="s">
        <v>183</v>
      </c>
      <c r="I1503" s="9" t="s">
        <v>3218</v>
      </c>
      <c r="J1503" s="9" t="s">
        <v>44</v>
      </c>
      <c r="K1503" s="10" t="str">
        <f>IFERROR(VLOOKUP(A1503,'Pedido ESTHER'!$B:$C,2,0),"")</f>
        <v/>
      </c>
      <c r="L1503" s="12" t="str">
        <f>IF(N(K1503)&gt;0,"COMPRA","NÃO COMPRA")</f>
        <v>NÃO COMPRA</v>
      </c>
    </row>
    <row r="1504" spans="1:12">
      <c r="A1504" s="8" t="s">
        <v>3219</v>
      </c>
      <c r="B1504" s="9" t="s">
        <v>363</v>
      </c>
      <c r="C1504" s="9" t="e">
        <f>VLOOKUP(A1504,[2]Planilha1!$A:$B,2,0)</f>
        <v>#N/A</v>
      </c>
      <c r="D1504" s="10">
        <f>SUMIF([1]Relatório!$A$2:$A$2653,A1504,[1]Relatório!$AK$2:$AK$2653)</f>
        <v>18</v>
      </c>
      <c r="E1504" s="11">
        <f t="shared" si="46"/>
        <v>3.07714926054394e-5</v>
      </c>
      <c r="F1504" s="11">
        <f>SUM($E$7:E1504)</f>
        <v>0.996557011882925</v>
      </c>
      <c r="G1504" s="12" t="str">
        <f t="shared" si="47"/>
        <v>C</v>
      </c>
      <c r="H1504" s="9" t="s">
        <v>183</v>
      </c>
      <c r="I1504" s="9" t="s">
        <v>3220</v>
      </c>
      <c r="J1504" s="9" t="s">
        <v>40</v>
      </c>
      <c r="K1504" s="10" t="str">
        <f>IFERROR(VLOOKUP(A1504,'Pedido ESTHER'!$B:$C,2,0),"")</f>
        <v/>
      </c>
      <c r="L1504" s="12" t="str">
        <f>IF(N(K1504)&gt;0,"COMPRA","NÃO COMPRA")</f>
        <v>NÃO COMPRA</v>
      </c>
    </row>
    <row r="1505" spans="1:12">
      <c r="A1505" s="8" t="s">
        <v>3221</v>
      </c>
      <c r="B1505" s="9" t="s">
        <v>1900</v>
      </c>
      <c r="C1505" s="9" t="e">
        <f>VLOOKUP(A1505,[2]Planilha1!$A:$B,2,0)</f>
        <v>#N/A</v>
      </c>
      <c r="D1505" s="10">
        <f>SUMIF([1]Relatório!$A$2:$A$2653,A1505,[1]Relatório!$AK$2:$AK$2653)</f>
        <v>18</v>
      </c>
      <c r="E1505" s="11">
        <f t="shared" si="46"/>
        <v>3.07714926054394e-5</v>
      </c>
      <c r="F1505" s="11">
        <f>SUM($E$7:E1505)</f>
        <v>0.996587783375531</v>
      </c>
      <c r="G1505" s="12" t="str">
        <f t="shared" si="47"/>
        <v>C</v>
      </c>
      <c r="H1505" s="9" t="s">
        <v>892</v>
      </c>
      <c r="I1505" s="9" t="s">
        <v>3222</v>
      </c>
      <c r="J1505" s="9" t="s">
        <v>2894</v>
      </c>
      <c r="K1505" s="10" t="str">
        <f>IFERROR(VLOOKUP(A1505,'Pedido ESTHER'!$B:$C,2,0),"")</f>
        <v/>
      </c>
      <c r="L1505" s="12" t="str">
        <f>IF(N(K1505)&gt;0,"COMPRA","NÃO COMPRA")</f>
        <v>NÃO COMPRA</v>
      </c>
    </row>
    <row r="1506" spans="1:12">
      <c r="A1506" s="8" t="s">
        <v>3223</v>
      </c>
      <c r="B1506" s="9" t="s">
        <v>812</v>
      </c>
      <c r="C1506" s="9" t="e">
        <f>VLOOKUP(A1506,[2]Planilha1!$A:$B,2,0)</f>
        <v>#N/A</v>
      </c>
      <c r="D1506" s="10">
        <f>SUMIF([1]Relatório!$A$2:$A$2653,A1506,[1]Relatório!$AK$2:$AK$2653)</f>
        <v>18</v>
      </c>
      <c r="E1506" s="11">
        <f t="shared" si="46"/>
        <v>3.07714926054394e-5</v>
      </c>
      <c r="F1506" s="11">
        <f>SUM($E$7:E1506)</f>
        <v>0.996618554868136</v>
      </c>
      <c r="G1506" s="12" t="str">
        <f t="shared" si="47"/>
        <v>C</v>
      </c>
      <c r="H1506" s="9" t="s">
        <v>892</v>
      </c>
      <c r="I1506" s="9" t="s">
        <v>3224</v>
      </c>
      <c r="J1506" s="9" t="s">
        <v>1143</v>
      </c>
      <c r="K1506" s="10" t="str">
        <f>IFERROR(VLOOKUP(A1506,'Pedido ESTHER'!$B:$C,2,0),"")</f>
        <v/>
      </c>
      <c r="L1506" s="12" t="str">
        <f>IF(N(K1506)&gt;0,"COMPRA","NÃO COMPRA")</f>
        <v>NÃO COMPRA</v>
      </c>
    </row>
    <row r="1507" spans="1:12">
      <c r="A1507" s="8" t="s">
        <v>3225</v>
      </c>
      <c r="B1507" s="9" t="s">
        <v>154</v>
      </c>
      <c r="C1507" s="9" t="e">
        <f>VLOOKUP(A1507,[2]Planilha1!$A:$B,2,0)</f>
        <v>#N/A</v>
      </c>
      <c r="D1507" s="10">
        <f>SUMIF([1]Relatório!$A$2:$A$2653,A1507,[1]Relatório!$AK$2:$AK$2653)</f>
        <v>18</v>
      </c>
      <c r="E1507" s="11">
        <f t="shared" si="46"/>
        <v>3.07714926054394e-5</v>
      </c>
      <c r="F1507" s="11">
        <f>SUM($E$7:E1507)</f>
        <v>0.996649326360742</v>
      </c>
      <c r="G1507" s="12" t="str">
        <f t="shared" si="47"/>
        <v>C</v>
      </c>
      <c r="H1507" s="9" t="s">
        <v>831</v>
      </c>
      <c r="I1507" s="9" t="s">
        <v>3226</v>
      </c>
      <c r="J1507" s="9" t="s">
        <v>359</v>
      </c>
      <c r="K1507" s="10" t="str">
        <f>IFERROR(VLOOKUP(A1507,'Pedido ESTHER'!$B:$C,2,0),"")</f>
        <v/>
      </c>
      <c r="L1507" s="12" t="str">
        <f>IF(N(K1507)&gt;0,"COMPRA","NÃO COMPRA")</f>
        <v>NÃO COMPRA</v>
      </c>
    </row>
    <row r="1508" spans="1:12">
      <c r="A1508" s="8" t="s">
        <v>3227</v>
      </c>
      <c r="B1508" s="9" t="s">
        <v>2455</v>
      </c>
      <c r="C1508" s="9" t="e">
        <f>VLOOKUP(A1508,[2]Planilha1!$A:$B,2,0)</f>
        <v>#N/A</v>
      </c>
      <c r="D1508" s="10">
        <f>SUMIF([1]Relatório!$A$2:$A$2653,A1508,[1]Relatório!$AK$2:$AK$2653)</f>
        <v>18</v>
      </c>
      <c r="E1508" s="11">
        <f t="shared" si="46"/>
        <v>3.07714926054394e-5</v>
      </c>
      <c r="F1508" s="11">
        <f>SUM($E$7:E1508)</f>
        <v>0.996680097853347</v>
      </c>
      <c r="G1508" s="12" t="str">
        <f t="shared" si="47"/>
        <v>C</v>
      </c>
      <c r="H1508" s="9" t="s">
        <v>2452</v>
      </c>
      <c r="I1508" s="9" t="s">
        <v>3228</v>
      </c>
      <c r="J1508" s="9" t="s">
        <v>44</v>
      </c>
      <c r="K1508" s="10" t="str">
        <f>IFERROR(VLOOKUP(A1508,'Pedido ESTHER'!$B:$C,2,0),"")</f>
        <v/>
      </c>
      <c r="L1508" s="12" t="str">
        <f>IF(N(K1508)&gt;0,"COMPRA","NÃO COMPRA")</f>
        <v>NÃO COMPRA</v>
      </c>
    </row>
    <row r="1509" spans="1:12">
      <c r="A1509" s="8" t="s">
        <v>3229</v>
      </c>
      <c r="B1509" s="9" t="s">
        <v>3230</v>
      </c>
      <c r="C1509" s="9" t="e">
        <f>VLOOKUP(A1509,[2]Planilha1!$A:$B,2,0)</f>
        <v>#N/A</v>
      </c>
      <c r="D1509" s="10">
        <f>SUMIF([1]Relatório!$A$2:$A$2653,A1509,[1]Relatório!$AK$2:$AK$2653)</f>
        <v>18</v>
      </c>
      <c r="E1509" s="11">
        <f t="shared" si="46"/>
        <v>3.07714926054394e-5</v>
      </c>
      <c r="F1509" s="11">
        <f>SUM($E$7:E1509)</f>
        <v>0.996710869345953</v>
      </c>
      <c r="G1509" s="12" t="str">
        <f t="shared" si="47"/>
        <v>C</v>
      </c>
      <c r="H1509" s="9" t="s">
        <v>2452</v>
      </c>
      <c r="I1509" s="9" t="s">
        <v>3231</v>
      </c>
      <c r="J1509" s="9" t="s">
        <v>58</v>
      </c>
      <c r="K1509" s="10" t="str">
        <f>IFERROR(VLOOKUP(A1509,'Pedido ESTHER'!$B:$C,2,0),"")</f>
        <v/>
      </c>
      <c r="L1509" s="12" t="str">
        <f>IF(N(K1509)&gt;0,"COMPRA","NÃO COMPRA")</f>
        <v>NÃO COMPRA</v>
      </c>
    </row>
    <row r="1510" spans="1:12">
      <c r="A1510" s="8" t="s">
        <v>3232</v>
      </c>
      <c r="B1510" s="9" t="s">
        <v>2455</v>
      </c>
      <c r="C1510" s="9" t="e">
        <f>VLOOKUP(A1510,[2]Planilha1!$A:$B,2,0)</f>
        <v>#N/A</v>
      </c>
      <c r="D1510" s="10">
        <f>SUMIF([1]Relatório!$A$2:$A$2653,A1510,[1]Relatório!$AK$2:$AK$2653)</f>
        <v>18</v>
      </c>
      <c r="E1510" s="11">
        <f t="shared" si="46"/>
        <v>3.07714926054394e-5</v>
      </c>
      <c r="F1510" s="11">
        <f>SUM($E$7:E1510)</f>
        <v>0.996741640838558</v>
      </c>
      <c r="G1510" s="12" t="str">
        <f t="shared" si="47"/>
        <v>C</v>
      </c>
      <c r="H1510" s="9" t="s">
        <v>2452</v>
      </c>
      <c r="I1510" s="9" t="s">
        <v>3233</v>
      </c>
      <c r="J1510" s="9" t="s">
        <v>44</v>
      </c>
      <c r="K1510" s="10" t="str">
        <f>IFERROR(VLOOKUP(A1510,'Pedido ESTHER'!$B:$C,2,0),"")</f>
        <v/>
      </c>
      <c r="L1510" s="12" t="str">
        <f>IF(N(K1510)&gt;0,"COMPRA","NÃO COMPRA")</f>
        <v>NÃO COMPRA</v>
      </c>
    </row>
    <row r="1511" spans="1:12">
      <c r="A1511" s="8" t="s">
        <v>3234</v>
      </c>
      <c r="B1511" s="9" t="s">
        <v>3052</v>
      </c>
      <c r="C1511" s="9" t="e">
        <f>VLOOKUP(A1511,[2]Planilha1!$A:$B,2,0)</f>
        <v>#N/A</v>
      </c>
      <c r="D1511" s="10">
        <f>SUMIF([1]Relatório!$A$2:$A$2653,A1511,[1]Relatório!$AK$2:$AK$2653)</f>
        <v>18</v>
      </c>
      <c r="E1511" s="11">
        <f t="shared" si="46"/>
        <v>3.07714926054394e-5</v>
      </c>
      <c r="F1511" s="11">
        <f>SUM($E$7:E1511)</f>
        <v>0.996772412331164</v>
      </c>
      <c r="G1511" s="12" t="str">
        <f t="shared" si="47"/>
        <v>C</v>
      </c>
      <c r="H1511" s="9" t="s">
        <v>2452</v>
      </c>
      <c r="I1511" s="9" t="s">
        <v>3235</v>
      </c>
      <c r="J1511" s="9" t="s">
        <v>40</v>
      </c>
      <c r="K1511" s="10" t="str">
        <f>IFERROR(VLOOKUP(A1511,'Pedido ESTHER'!$B:$C,2,0),"")</f>
        <v/>
      </c>
      <c r="L1511" s="12" t="str">
        <f>IF(N(K1511)&gt;0,"COMPRA","NÃO COMPRA")</f>
        <v>NÃO COMPRA</v>
      </c>
    </row>
    <row r="1512" spans="1:12">
      <c r="A1512" s="8" t="s">
        <v>3236</v>
      </c>
      <c r="B1512" s="9" t="s">
        <v>2645</v>
      </c>
      <c r="C1512" s="9" t="e">
        <f>VLOOKUP(A1512,[2]Planilha1!$A:$B,2,0)</f>
        <v>#N/A</v>
      </c>
      <c r="D1512" s="10">
        <f>SUMIF([1]Relatório!$A$2:$A$2653,A1512,[1]Relatório!$AK$2:$AK$2653)</f>
        <v>18</v>
      </c>
      <c r="E1512" s="11">
        <f t="shared" si="46"/>
        <v>3.07714926054394e-5</v>
      </c>
      <c r="F1512" s="11">
        <f>SUM($E$7:E1512)</f>
        <v>0.996803183823769</v>
      </c>
      <c r="G1512" s="12" t="str">
        <f t="shared" si="47"/>
        <v>C</v>
      </c>
      <c r="H1512" s="9" t="s">
        <v>2452</v>
      </c>
      <c r="I1512" s="9" t="s">
        <v>3237</v>
      </c>
      <c r="J1512" s="9" t="s">
        <v>23</v>
      </c>
      <c r="K1512" s="10" t="str">
        <f>IFERROR(VLOOKUP(A1512,'Pedido ESTHER'!$B:$C,2,0),"")</f>
        <v/>
      </c>
      <c r="L1512" s="12" t="str">
        <f>IF(N(K1512)&gt;0,"COMPRA","NÃO COMPRA")</f>
        <v>NÃO COMPRA</v>
      </c>
    </row>
    <row r="1513" spans="1:12">
      <c r="A1513" s="8" t="s">
        <v>3238</v>
      </c>
      <c r="B1513" s="9" t="s">
        <v>3075</v>
      </c>
      <c r="C1513" s="9" t="e">
        <f>VLOOKUP(A1513,[2]Planilha1!$A:$B,2,0)</f>
        <v>#N/A</v>
      </c>
      <c r="D1513" s="10">
        <f>SUMIF([1]Relatório!$A$2:$A$2653,A1513,[1]Relatório!$AK$2:$AK$2653)</f>
        <v>18</v>
      </c>
      <c r="E1513" s="11">
        <f t="shared" si="46"/>
        <v>3.07714926054394e-5</v>
      </c>
      <c r="F1513" s="11">
        <f>SUM($E$7:E1513)</f>
        <v>0.996833955316374</v>
      </c>
      <c r="G1513" s="12" t="str">
        <f t="shared" si="47"/>
        <v>C</v>
      </c>
      <c r="H1513" s="9" t="s">
        <v>2452</v>
      </c>
      <c r="I1513" s="9" t="s">
        <v>3239</v>
      </c>
      <c r="J1513" s="9" t="s">
        <v>29</v>
      </c>
      <c r="K1513" s="10" t="str">
        <f>IFERROR(VLOOKUP(A1513,'Pedido ESTHER'!$B:$C,2,0),"")</f>
        <v/>
      </c>
      <c r="L1513" s="12" t="str">
        <f>IF(N(K1513)&gt;0,"COMPRA","NÃO COMPRA")</f>
        <v>NÃO COMPRA</v>
      </c>
    </row>
    <row r="1514" spans="1:12">
      <c r="A1514" s="8" t="s">
        <v>3240</v>
      </c>
      <c r="B1514" s="9" t="s">
        <v>1867</v>
      </c>
      <c r="C1514" s="9" t="e">
        <f>VLOOKUP(A1514,[2]Planilha1!$A:$B,2,0)</f>
        <v>#N/A</v>
      </c>
      <c r="D1514" s="10">
        <f>SUMIF([1]Relatório!$A$2:$A$2653,A1514,[1]Relatório!$AK$2:$AK$2653)</f>
        <v>17</v>
      </c>
      <c r="E1514" s="11">
        <f t="shared" si="46"/>
        <v>2.90619652384705e-5</v>
      </c>
      <c r="F1514" s="11">
        <f>SUM($E$7:E1514)</f>
        <v>0.996863017281613</v>
      </c>
      <c r="G1514" s="12" t="str">
        <f t="shared" si="47"/>
        <v>C</v>
      </c>
      <c r="H1514" s="9" t="s">
        <v>1344</v>
      </c>
      <c r="I1514" s="9" t="s">
        <v>3241</v>
      </c>
      <c r="J1514" s="9" t="s">
        <v>44</v>
      </c>
      <c r="K1514" s="10" t="str">
        <f>IFERROR(VLOOKUP(A1514,'Pedido ESTHER'!$B:$C,2,0),"")</f>
        <v/>
      </c>
      <c r="L1514" s="12" t="str">
        <f>IF(N(K1514)&gt;0,"COMPRA","NÃO COMPRA")</f>
        <v>NÃO COMPRA</v>
      </c>
    </row>
    <row r="1515" spans="1:12">
      <c r="A1515" s="8" t="s">
        <v>3242</v>
      </c>
      <c r="B1515" s="9" t="s">
        <v>2752</v>
      </c>
      <c r="C1515" s="9" t="e">
        <f>VLOOKUP(A1515,[2]Planilha1!$A:$B,2,0)</f>
        <v>#N/A</v>
      </c>
      <c r="D1515" s="10">
        <f>SUMIF([1]Relatório!$A$2:$A$2653,A1515,[1]Relatório!$AK$2:$AK$2653)</f>
        <v>17</v>
      </c>
      <c r="E1515" s="11">
        <f t="shared" si="46"/>
        <v>2.90619652384705e-5</v>
      </c>
      <c r="F1515" s="11">
        <f>SUM($E$7:E1515)</f>
        <v>0.996892079246851</v>
      </c>
      <c r="G1515" s="12" t="str">
        <f t="shared" si="47"/>
        <v>C</v>
      </c>
      <c r="H1515" s="9" t="s">
        <v>1344</v>
      </c>
      <c r="I1515" s="9" t="s">
        <v>3243</v>
      </c>
      <c r="J1515" s="9" t="s">
        <v>1418</v>
      </c>
      <c r="K1515" s="10" t="str">
        <f>IFERROR(VLOOKUP(A1515,'Pedido ESTHER'!$B:$C,2,0),"")</f>
        <v/>
      </c>
      <c r="L1515" s="12" t="str">
        <f>IF(N(K1515)&gt;0,"COMPRA","NÃO COMPRA")</f>
        <v>NÃO COMPRA</v>
      </c>
    </row>
    <row r="1516" spans="1:12">
      <c r="A1516" s="8" t="s">
        <v>3244</v>
      </c>
      <c r="B1516" s="9" t="s">
        <v>495</v>
      </c>
      <c r="C1516" s="9" t="e">
        <f>VLOOKUP(A1516,[2]Planilha1!$A:$B,2,0)</f>
        <v>#N/A</v>
      </c>
      <c r="D1516" s="10">
        <f>SUMIF([1]Relatório!$A$2:$A$2653,A1516,[1]Relatório!$AK$2:$AK$2653)</f>
        <v>17</v>
      </c>
      <c r="E1516" s="11">
        <f t="shared" si="46"/>
        <v>2.90619652384705e-5</v>
      </c>
      <c r="F1516" s="11">
        <f>SUM($E$7:E1516)</f>
        <v>0.99692114121209</v>
      </c>
      <c r="G1516" s="12" t="str">
        <f t="shared" si="47"/>
        <v>C</v>
      </c>
      <c r="H1516" s="9" t="s">
        <v>183</v>
      </c>
      <c r="I1516" s="9"/>
      <c r="J1516" s="9" t="s">
        <v>64</v>
      </c>
      <c r="K1516" s="10" t="str">
        <f>IFERROR(VLOOKUP(A1516,'Pedido ESTHER'!$B:$C,2,0),"")</f>
        <v/>
      </c>
      <c r="L1516" s="12" t="str">
        <f>IF(N(K1516)&gt;0,"COMPRA","NÃO COMPRA")</f>
        <v>NÃO COMPRA</v>
      </c>
    </row>
    <row r="1517" spans="1:12">
      <c r="A1517" s="8" t="s">
        <v>3245</v>
      </c>
      <c r="B1517" s="9" t="s">
        <v>3246</v>
      </c>
      <c r="C1517" s="9" t="e">
        <f>VLOOKUP(A1517,[2]Planilha1!$A:$B,2,0)</f>
        <v>#N/A</v>
      </c>
      <c r="D1517" s="10">
        <f>SUMIF([1]Relatório!$A$2:$A$2653,A1517,[1]Relatório!$AK$2:$AK$2653)</f>
        <v>17</v>
      </c>
      <c r="E1517" s="11">
        <f t="shared" si="46"/>
        <v>2.90619652384705e-5</v>
      </c>
      <c r="F1517" s="11">
        <f>SUM($E$7:E1517)</f>
        <v>0.996950203177328</v>
      </c>
      <c r="G1517" s="12" t="str">
        <f t="shared" si="47"/>
        <v>C</v>
      </c>
      <c r="H1517" s="9" t="s">
        <v>21</v>
      </c>
      <c r="I1517" s="9"/>
      <c r="J1517" s="9" t="s">
        <v>2291</v>
      </c>
      <c r="K1517" s="10" t="str">
        <f>IFERROR(VLOOKUP(A1517,'Pedido ESTHER'!$B:$C,2,0),"")</f>
        <v/>
      </c>
      <c r="L1517" s="12" t="str">
        <f>IF(N(K1517)&gt;0,"COMPRA","NÃO COMPRA")</f>
        <v>NÃO COMPRA</v>
      </c>
    </row>
    <row r="1518" spans="1:12">
      <c r="A1518" s="8" t="s">
        <v>3247</v>
      </c>
      <c r="B1518" s="9" t="s">
        <v>812</v>
      </c>
      <c r="C1518" s="9" t="e">
        <f>VLOOKUP(A1518,[2]Planilha1!$A:$B,2,0)</f>
        <v>#N/A</v>
      </c>
      <c r="D1518" s="10">
        <f>SUMIF([1]Relatório!$A$2:$A$2653,A1518,[1]Relatório!$AK$2:$AK$2653)</f>
        <v>17</v>
      </c>
      <c r="E1518" s="11">
        <f t="shared" si="46"/>
        <v>2.90619652384705e-5</v>
      </c>
      <c r="F1518" s="11">
        <f>SUM($E$7:E1518)</f>
        <v>0.996979265142567</v>
      </c>
      <c r="G1518" s="12" t="str">
        <f t="shared" si="47"/>
        <v>C</v>
      </c>
      <c r="H1518" s="9" t="s">
        <v>183</v>
      </c>
      <c r="I1518" s="9" t="s">
        <v>3248</v>
      </c>
      <c r="J1518" s="9" t="s">
        <v>1143</v>
      </c>
      <c r="K1518" s="10" t="str">
        <f>IFERROR(VLOOKUP(A1518,'Pedido ESTHER'!$B:$C,2,0),"")</f>
        <v/>
      </c>
      <c r="L1518" s="12" t="str">
        <f>IF(N(K1518)&gt;0,"COMPRA","NÃO COMPRA")</f>
        <v>NÃO COMPRA</v>
      </c>
    </row>
    <row r="1519" spans="1:12">
      <c r="A1519" s="8" t="s">
        <v>3249</v>
      </c>
      <c r="B1519" s="9" t="s">
        <v>131</v>
      </c>
      <c r="C1519" s="9" t="e">
        <f>VLOOKUP(A1519,[2]Planilha1!$A:$B,2,0)</f>
        <v>#N/A</v>
      </c>
      <c r="D1519" s="10">
        <f>SUMIF([1]Relatório!$A$2:$A$2653,A1519,[1]Relatório!$AK$2:$AK$2653)</f>
        <v>17</v>
      </c>
      <c r="E1519" s="11">
        <f t="shared" si="46"/>
        <v>2.90619652384705e-5</v>
      </c>
      <c r="F1519" s="11">
        <f>SUM($E$7:E1519)</f>
        <v>0.997008327107805</v>
      </c>
      <c r="G1519" s="12" t="str">
        <f t="shared" si="47"/>
        <v>C</v>
      </c>
      <c r="H1519" s="9" t="s">
        <v>14</v>
      </c>
      <c r="I1519" s="9"/>
      <c r="J1519" s="9" t="s">
        <v>23</v>
      </c>
      <c r="K1519" s="10" t="str">
        <f>IFERROR(VLOOKUP(A1519,'Pedido ESTHER'!$B:$C,2,0),"")</f>
        <v/>
      </c>
      <c r="L1519" s="12" t="str">
        <f>IF(N(K1519)&gt;0,"COMPRA","NÃO COMPRA")</f>
        <v>NÃO COMPRA</v>
      </c>
    </row>
    <row r="1520" spans="1:12">
      <c r="A1520" s="8" t="s">
        <v>3250</v>
      </c>
      <c r="B1520" s="9" t="s">
        <v>3130</v>
      </c>
      <c r="C1520" s="9" t="e">
        <f>VLOOKUP(A1520,[2]Planilha1!$A:$B,2,0)</f>
        <v>#N/A</v>
      </c>
      <c r="D1520" s="10">
        <f>SUMIF([1]Relatório!$A$2:$A$2653,A1520,[1]Relatório!$AK$2:$AK$2653)</f>
        <v>17</v>
      </c>
      <c r="E1520" s="11">
        <f t="shared" si="46"/>
        <v>2.90619652384705e-5</v>
      </c>
      <c r="F1520" s="11">
        <f>SUM($E$7:E1520)</f>
        <v>0.997037389073044</v>
      </c>
      <c r="G1520" s="12" t="str">
        <f t="shared" si="47"/>
        <v>C</v>
      </c>
      <c r="H1520" s="9" t="s">
        <v>183</v>
      </c>
      <c r="I1520" s="9" t="s">
        <v>3251</v>
      </c>
      <c r="J1520" s="9" t="s">
        <v>2813</v>
      </c>
      <c r="K1520" s="10" t="str">
        <f>IFERROR(VLOOKUP(A1520,'Pedido ESTHER'!$B:$C,2,0),"")</f>
        <v/>
      </c>
      <c r="L1520" s="12" t="str">
        <f>IF(N(K1520)&gt;0,"COMPRA","NÃO COMPRA")</f>
        <v>NÃO COMPRA</v>
      </c>
    </row>
    <row r="1521" spans="1:12">
      <c r="A1521" s="8" t="s">
        <v>3252</v>
      </c>
      <c r="B1521" s="9" t="s">
        <v>1708</v>
      </c>
      <c r="C1521" s="9" t="e">
        <f>VLOOKUP(A1521,[2]Planilha1!$A:$B,2,0)</f>
        <v>#N/A</v>
      </c>
      <c r="D1521" s="10">
        <f>SUMIF([1]Relatório!$A$2:$A$2653,A1521,[1]Relatório!$AK$2:$AK$2653)</f>
        <v>17</v>
      </c>
      <c r="E1521" s="11">
        <f t="shared" si="46"/>
        <v>2.90619652384705e-5</v>
      </c>
      <c r="F1521" s="11">
        <f>SUM($E$7:E1521)</f>
        <v>0.997066451038282</v>
      </c>
      <c r="G1521" s="12" t="str">
        <f t="shared" si="47"/>
        <v>C</v>
      </c>
      <c r="H1521" s="9" t="s">
        <v>183</v>
      </c>
      <c r="I1521" s="9" t="s">
        <v>3253</v>
      </c>
      <c r="J1521" s="9" t="s">
        <v>2075</v>
      </c>
      <c r="K1521" s="10" t="str">
        <f>IFERROR(VLOOKUP(A1521,'Pedido ESTHER'!$B:$C,2,0),"")</f>
        <v/>
      </c>
      <c r="L1521" s="12" t="str">
        <f>IF(N(K1521)&gt;0,"COMPRA","NÃO COMPRA")</f>
        <v>NÃO COMPRA</v>
      </c>
    </row>
    <row r="1522" spans="1:12">
      <c r="A1522" s="8" t="s">
        <v>3254</v>
      </c>
      <c r="B1522" s="9" t="s">
        <v>1769</v>
      </c>
      <c r="C1522" s="9" t="e">
        <f>VLOOKUP(A1522,[2]Planilha1!$A:$B,2,0)</f>
        <v>#N/A</v>
      </c>
      <c r="D1522" s="10">
        <f>SUMIF([1]Relatório!$A$2:$A$2653,A1522,[1]Relatório!$AK$2:$AK$2653)</f>
        <v>17</v>
      </c>
      <c r="E1522" s="11">
        <f t="shared" si="46"/>
        <v>2.90619652384705e-5</v>
      </c>
      <c r="F1522" s="11">
        <f>SUM($E$7:E1522)</f>
        <v>0.99709551300352</v>
      </c>
      <c r="G1522" s="12" t="str">
        <f t="shared" si="47"/>
        <v>C</v>
      </c>
      <c r="H1522" s="9" t="s">
        <v>1059</v>
      </c>
      <c r="I1522" s="9" t="s">
        <v>3255</v>
      </c>
      <c r="J1522" s="9" t="s">
        <v>359</v>
      </c>
      <c r="K1522" s="10" t="str">
        <f>IFERROR(VLOOKUP(A1522,'Pedido ESTHER'!$B:$C,2,0),"")</f>
        <v/>
      </c>
      <c r="L1522" s="12" t="str">
        <f>IF(N(K1522)&gt;0,"COMPRA","NÃO COMPRA")</f>
        <v>NÃO COMPRA</v>
      </c>
    </row>
    <row r="1523" spans="1:12">
      <c r="A1523" s="8" t="s">
        <v>3256</v>
      </c>
      <c r="B1523" s="9" t="s">
        <v>3257</v>
      </c>
      <c r="C1523" s="9" t="e">
        <f>VLOOKUP(A1523,[2]Planilha1!$A:$B,2,0)</f>
        <v>#N/A</v>
      </c>
      <c r="D1523" s="10">
        <f>SUMIF([1]Relatório!$A$2:$A$2653,A1523,[1]Relatório!$AK$2:$AK$2653)</f>
        <v>17</v>
      </c>
      <c r="E1523" s="11">
        <f t="shared" si="46"/>
        <v>2.90619652384705e-5</v>
      </c>
      <c r="F1523" s="11">
        <f>SUM($E$7:E1523)</f>
        <v>0.997124574968759</v>
      </c>
      <c r="G1523" s="12" t="str">
        <f t="shared" si="47"/>
        <v>C</v>
      </c>
      <c r="H1523" s="9" t="s">
        <v>221</v>
      </c>
      <c r="I1523" s="9" t="s">
        <v>3258</v>
      </c>
      <c r="J1523" s="9" t="s">
        <v>123</v>
      </c>
      <c r="K1523" s="10" t="str">
        <f>IFERROR(VLOOKUP(A1523,'Pedido ESTHER'!$B:$C,2,0),"")</f>
        <v/>
      </c>
      <c r="L1523" s="12" t="str">
        <f>IF(N(K1523)&gt;0,"COMPRA","NÃO COMPRA")</f>
        <v>NÃO COMPRA</v>
      </c>
    </row>
    <row r="1524" spans="1:12">
      <c r="A1524" s="8" t="s">
        <v>3259</v>
      </c>
      <c r="B1524" s="9" t="s">
        <v>2455</v>
      </c>
      <c r="C1524" s="9" t="e">
        <f>VLOOKUP(A1524,[2]Planilha1!$A:$B,2,0)</f>
        <v>#N/A</v>
      </c>
      <c r="D1524" s="10">
        <f>SUMIF([1]Relatório!$A$2:$A$2653,A1524,[1]Relatório!$AK$2:$AK$2653)</f>
        <v>17</v>
      </c>
      <c r="E1524" s="11">
        <f t="shared" si="46"/>
        <v>2.90619652384705e-5</v>
      </c>
      <c r="F1524" s="11">
        <f>SUM($E$7:E1524)</f>
        <v>0.997153636933997</v>
      </c>
      <c r="G1524" s="12" t="str">
        <f t="shared" si="47"/>
        <v>C</v>
      </c>
      <c r="H1524" s="9" t="s">
        <v>2452</v>
      </c>
      <c r="I1524" s="9" t="s">
        <v>3260</v>
      </c>
      <c r="J1524" s="9" t="s">
        <v>44</v>
      </c>
      <c r="K1524" s="10" t="str">
        <f>IFERROR(VLOOKUP(A1524,'Pedido ESTHER'!$B:$C,2,0),"")</f>
        <v/>
      </c>
      <c r="L1524" s="12" t="str">
        <f>IF(N(K1524)&gt;0,"COMPRA","NÃO COMPRA")</f>
        <v>NÃO COMPRA</v>
      </c>
    </row>
    <row r="1525" spans="1:12">
      <c r="A1525" s="8" t="s">
        <v>3261</v>
      </c>
      <c r="B1525" s="9" t="s">
        <v>2455</v>
      </c>
      <c r="C1525" s="9" t="e">
        <f>VLOOKUP(A1525,[2]Planilha1!$A:$B,2,0)</f>
        <v>#N/A</v>
      </c>
      <c r="D1525" s="10">
        <f>SUMIF([1]Relatório!$A$2:$A$2653,A1525,[1]Relatório!$AK$2:$AK$2653)</f>
        <v>17</v>
      </c>
      <c r="E1525" s="11">
        <f t="shared" si="46"/>
        <v>2.90619652384705e-5</v>
      </c>
      <c r="F1525" s="11">
        <f>SUM($E$7:E1525)</f>
        <v>0.997182698899236</v>
      </c>
      <c r="G1525" s="12" t="str">
        <f t="shared" si="47"/>
        <v>C</v>
      </c>
      <c r="H1525" s="9" t="s">
        <v>2452</v>
      </c>
      <c r="I1525" s="9" t="s">
        <v>3262</v>
      </c>
      <c r="J1525" s="9" t="s">
        <v>44</v>
      </c>
      <c r="K1525" s="10" t="str">
        <f>IFERROR(VLOOKUP(A1525,'Pedido ESTHER'!$B:$C,2,0),"")</f>
        <v/>
      </c>
      <c r="L1525" s="12" t="str">
        <f>IF(N(K1525)&gt;0,"COMPRA","NÃO COMPRA")</f>
        <v>NÃO COMPRA</v>
      </c>
    </row>
    <row r="1526" spans="1:12">
      <c r="A1526" s="8" t="s">
        <v>3263</v>
      </c>
      <c r="B1526" s="9" t="s">
        <v>2017</v>
      </c>
      <c r="C1526" s="9" t="e">
        <f>VLOOKUP(A1526,[2]Planilha1!$A:$B,2,0)</f>
        <v>#N/A</v>
      </c>
      <c r="D1526" s="10">
        <f>SUMIF([1]Relatório!$A$2:$A$2653,A1526,[1]Relatório!$AK$2:$AK$2653)</f>
        <v>16</v>
      </c>
      <c r="E1526" s="11">
        <f t="shared" si="46"/>
        <v>2.73524378715017e-5</v>
      </c>
      <c r="F1526" s="11">
        <f>SUM($E$7:E1526)</f>
        <v>0.997210051337107</v>
      </c>
      <c r="G1526" s="12" t="str">
        <f t="shared" si="47"/>
        <v>C</v>
      </c>
      <c r="H1526" s="9" t="s">
        <v>2406</v>
      </c>
      <c r="I1526" s="9" t="s">
        <v>3264</v>
      </c>
      <c r="J1526" s="9" t="s">
        <v>23</v>
      </c>
      <c r="K1526" s="10" t="str">
        <f>IFERROR(VLOOKUP(A1526,'Pedido ESTHER'!$B:$C,2,0),"")</f>
        <v/>
      </c>
      <c r="L1526" s="12" t="str">
        <f>IF(N(K1526)&gt;0,"COMPRA","NÃO COMPRA")</f>
        <v>NÃO COMPRA</v>
      </c>
    </row>
    <row r="1527" spans="1:12">
      <c r="A1527" s="8" t="s">
        <v>3265</v>
      </c>
      <c r="B1527" s="9" t="s">
        <v>3266</v>
      </c>
      <c r="C1527" s="9" t="e">
        <f>VLOOKUP(A1527,[2]Planilha1!$A:$B,2,0)</f>
        <v>#N/A</v>
      </c>
      <c r="D1527" s="10">
        <f>SUMIF([1]Relatório!$A$2:$A$2653,A1527,[1]Relatório!$AK$2:$AK$2653)</f>
        <v>16</v>
      </c>
      <c r="E1527" s="11">
        <f t="shared" si="46"/>
        <v>2.73524378715017e-5</v>
      </c>
      <c r="F1527" s="11">
        <f>SUM($E$7:E1527)</f>
        <v>0.997237403774979</v>
      </c>
      <c r="G1527" s="12" t="str">
        <f t="shared" si="47"/>
        <v>C</v>
      </c>
      <c r="H1527" s="9" t="s">
        <v>1344</v>
      </c>
      <c r="I1527" s="9" t="s">
        <v>3267</v>
      </c>
      <c r="J1527" s="9" t="s">
        <v>2894</v>
      </c>
      <c r="K1527" s="10" t="str">
        <f>IFERROR(VLOOKUP(A1527,'Pedido ESTHER'!$B:$C,2,0),"")</f>
        <v/>
      </c>
      <c r="L1527" s="12" t="str">
        <f>IF(N(K1527)&gt;0,"COMPRA","NÃO COMPRA")</f>
        <v>NÃO COMPRA</v>
      </c>
    </row>
    <row r="1528" spans="1:12">
      <c r="A1528" s="8" t="s">
        <v>3268</v>
      </c>
      <c r="B1528" s="9" t="s">
        <v>1376</v>
      </c>
      <c r="C1528" s="9" t="e">
        <f>VLOOKUP(A1528,[2]Planilha1!$A:$B,2,0)</f>
        <v>#N/A</v>
      </c>
      <c r="D1528" s="10">
        <f>SUMIF([1]Relatório!$A$2:$A$2653,A1528,[1]Relatório!$AK$2:$AK$2653)</f>
        <v>16</v>
      </c>
      <c r="E1528" s="11">
        <f t="shared" si="46"/>
        <v>2.73524378715017e-5</v>
      </c>
      <c r="F1528" s="11">
        <f>SUM($E$7:E1528)</f>
        <v>0.99726475621285</v>
      </c>
      <c r="G1528" s="12" t="str">
        <f t="shared" si="47"/>
        <v>C</v>
      </c>
      <c r="H1528" s="9" t="s">
        <v>1344</v>
      </c>
      <c r="I1528" s="9" t="s">
        <v>3269</v>
      </c>
      <c r="J1528" s="9" t="s">
        <v>29</v>
      </c>
      <c r="K1528" s="10" t="str">
        <f>IFERROR(VLOOKUP(A1528,'Pedido ESTHER'!$B:$C,2,0),"")</f>
        <v/>
      </c>
      <c r="L1528" s="12" t="str">
        <f>IF(N(K1528)&gt;0,"COMPRA","NÃO COMPRA")</f>
        <v>NÃO COMPRA</v>
      </c>
    </row>
    <row r="1529" spans="1:12">
      <c r="A1529" s="8" t="s">
        <v>3270</v>
      </c>
      <c r="B1529" s="9" t="s">
        <v>363</v>
      </c>
      <c r="C1529" s="9" t="e">
        <f>VLOOKUP(A1529,[2]Planilha1!$A:$B,2,0)</f>
        <v>#N/A</v>
      </c>
      <c r="D1529" s="10">
        <f>SUMIF([1]Relatório!$A$2:$A$2653,A1529,[1]Relatório!$AK$2:$AK$2653)</f>
        <v>16</v>
      </c>
      <c r="E1529" s="11">
        <f t="shared" si="46"/>
        <v>2.73524378715017e-5</v>
      </c>
      <c r="F1529" s="11">
        <f>SUM($E$7:E1529)</f>
        <v>0.997292108650722</v>
      </c>
      <c r="G1529" s="12" t="str">
        <f t="shared" si="47"/>
        <v>C</v>
      </c>
      <c r="H1529" s="9" t="s">
        <v>183</v>
      </c>
      <c r="I1529" s="9"/>
      <c r="J1529" s="9" t="s">
        <v>40</v>
      </c>
      <c r="K1529" s="10" t="str">
        <f>IFERROR(VLOOKUP(A1529,'Pedido ESTHER'!$B:$C,2,0),"")</f>
        <v/>
      </c>
      <c r="L1529" s="12" t="str">
        <f>IF(N(K1529)&gt;0,"COMPRA","NÃO COMPRA")</f>
        <v>NÃO COMPRA</v>
      </c>
    </row>
    <row r="1530" spans="1:12">
      <c r="A1530" s="8" t="s">
        <v>3271</v>
      </c>
      <c r="B1530" s="9" t="s">
        <v>734</v>
      </c>
      <c r="C1530" s="9" t="e">
        <f>VLOOKUP(A1530,[2]Planilha1!$A:$B,2,0)</f>
        <v>#N/A</v>
      </c>
      <c r="D1530" s="10">
        <f>SUMIF([1]Relatório!$A$2:$A$2653,A1530,[1]Relatório!$AK$2:$AK$2653)</f>
        <v>16</v>
      </c>
      <c r="E1530" s="11">
        <f t="shared" si="46"/>
        <v>2.73524378715017e-5</v>
      </c>
      <c r="F1530" s="11">
        <f>SUM($E$7:E1530)</f>
        <v>0.997319461088593</v>
      </c>
      <c r="G1530" s="12" t="str">
        <f t="shared" si="47"/>
        <v>C</v>
      </c>
      <c r="H1530" s="9" t="s">
        <v>82</v>
      </c>
      <c r="I1530" s="9" t="s">
        <v>3272</v>
      </c>
      <c r="J1530" s="9" t="s">
        <v>1143</v>
      </c>
      <c r="K1530" s="10" t="str">
        <f>IFERROR(VLOOKUP(A1530,'Pedido ESTHER'!$B:$C,2,0),"")</f>
        <v/>
      </c>
      <c r="L1530" s="12" t="str">
        <f>IF(N(K1530)&gt;0,"COMPRA","NÃO COMPRA")</f>
        <v>NÃO COMPRA</v>
      </c>
    </row>
    <row r="1531" spans="1:12">
      <c r="A1531" s="8" t="s">
        <v>3273</v>
      </c>
      <c r="B1531" s="9" t="s">
        <v>342</v>
      </c>
      <c r="C1531" s="9" t="e">
        <f>VLOOKUP(A1531,[2]Planilha1!$A:$B,2,0)</f>
        <v>#N/A</v>
      </c>
      <c r="D1531" s="10">
        <f>SUMIF([1]Relatório!$A$2:$A$2653,A1531,[1]Relatório!$AK$2:$AK$2653)</f>
        <v>16</v>
      </c>
      <c r="E1531" s="11">
        <f t="shared" si="46"/>
        <v>2.73524378715017e-5</v>
      </c>
      <c r="F1531" s="11">
        <f>SUM($E$7:E1531)</f>
        <v>0.997346813526465</v>
      </c>
      <c r="G1531" s="12" t="str">
        <f t="shared" si="47"/>
        <v>C</v>
      </c>
      <c r="H1531" s="9" t="s">
        <v>117</v>
      </c>
      <c r="I1531" s="9" t="s">
        <v>3274</v>
      </c>
      <c r="J1531" s="9" t="s">
        <v>158</v>
      </c>
      <c r="K1531" s="10" t="str">
        <f>IFERROR(VLOOKUP(A1531,'Pedido ESTHER'!$B:$C,2,0),"")</f>
        <v/>
      </c>
      <c r="L1531" s="12" t="str">
        <f>IF(N(K1531)&gt;0,"COMPRA","NÃO COMPRA")</f>
        <v>NÃO COMPRA</v>
      </c>
    </row>
    <row r="1532" spans="1:12">
      <c r="A1532" s="8" t="s">
        <v>3275</v>
      </c>
      <c r="B1532" s="9" t="s">
        <v>1373</v>
      </c>
      <c r="C1532" s="9" t="e">
        <f>VLOOKUP(A1532,[2]Planilha1!$A:$B,2,0)</f>
        <v>#N/A</v>
      </c>
      <c r="D1532" s="10">
        <f>SUMIF([1]Relatório!$A$2:$A$2653,A1532,[1]Relatório!$AK$2:$AK$2653)</f>
        <v>16</v>
      </c>
      <c r="E1532" s="11">
        <f t="shared" si="46"/>
        <v>2.73524378715017e-5</v>
      </c>
      <c r="F1532" s="11">
        <f>SUM($E$7:E1532)</f>
        <v>0.997374165964337</v>
      </c>
      <c r="G1532" s="12" t="str">
        <f t="shared" si="47"/>
        <v>C</v>
      </c>
      <c r="H1532" s="9" t="s">
        <v>221</v>
      </c>
      <c r="I1532" s="9" t="s">
        <v>3276</v>
      </c>
      <c r="J1532" s="9" t="s">
        <v>1143</v>
      </c>
      <c r="K1532" s="10" t="str">
        <f>IFERROR(VLOOKUP(A1532,'Pedido ESTHER'!$B:$C,2,0),"")</f>
        <v/>
      </c>
      <c r="L1532" s="12" t="str">
        <f>IF(N(K1532)&gt;0,"COMPRA","NÃO COMPRA")</f>
        <v>NÃO COMPRA</v>
      </c>
    </row>
    <row r="1533" spans="1:12">
      <c r="A1533" s="8" t="s">
        <v>3277</v>
      </c>
      <c r="B1533" s="9" t="s">
        <v>3278</v>
      </c>
      <c r="C1533" s="9" t="e">
        <f>VLOOKUP(A1533,[2]Planilha1!$A:$B,2,0)</f>
        <v>#N/A</v>
      </c>
      <c r="D1533" s="10">
        <f>SUMIF([1]Relatório!$A$2:$A$2653,A1533,[1]Relatório!$AK$2:$AK$2653)</f>
        <v>16</v>
      </c>
      <c r="E1533" s="11">
        <f t="shared" si="46"/>
        <v>2.73524378715017e-5</v>
      </c>
      <c r="F1533" s="11">
        <f>SUM($E$7:E1533)</f>
        <v>0.997401518402208</v>
      </c>
      <c r="G1533" s="12" t="str">
        <f t="shared" si="47"/>
        <v>C</v>
      </c>
      <c r="H1533" s="9" t="s">
        <v>1117</v>
      </c>
      <c r="I1533" s="9" t="s">
        <v>3279</v>
      </c>
      <c r="J1533" s="9" t="s">
        <v>23</v>
      </c>
      <c r="K1533" s="10" t="str">
        <f>IFERROR(VLOOKUP(A1533,'Pedido ESTHER'!$B:$C,2,0),"")</f>
        <v/>
      </c>
      <c r="L1533" s="12" t="str">
        <f>IF(N(K1533)&gt;0,"COMPRA","NÃO COMPRA")</f>
        <v>NÃO COMPRA</v>
      </c>
    </row>
    <row r="1534" spans="1:12">
      <c r="A1534" s="8" t="s">
        <v>3280</v>
      </c>
      <c r="B1534" s="9" t="s">
        <v>3052</v>
      </c>
      <c r="C1534" s="9" t="e">
        <f>VLOOKUP(A1534,[2]Planilha1!$A:$B,2,0)</f>
        <v>#N/A</v>
      </c>
      <c r="D1534" s="10">
        <f>SUMIF([1]Relatório!$A$2:$A$2653,A1534,[1]Relatório!$AK$2:$AK$2653)</f>
        <v>16</v>
      </c>
      <c r="E1534" s="11">
        <f t="shared" si="46"/>
        <v>2.73524378715017e-5</v>
      </c>
      <c r="F1534" s="11">
        <f>SUM($E$7:E1534)</f>
        <v>0.99742887084008</v>
      </c>
      <c r="G1534" s="12" t="str">
        <f t="shared" si="47"/>
        <v>C</v>
      </c>
      <c r="H1534" s="9" t="s">
        <v>2452</v>
      </c>
      <c r="I1534" s="9" t="s">
        <v>3281</v>
      </c>
      <c r="J1534" s="9" t="s">
        <v>40</v>
      </c>
      <c r="K1534" s="10" t="str">
        <f>IFERROR(VLOOKUP(A1534,'Pedido ESTHER'!$B:$C,2,0),"")</f>
        <v/>
      </c>
      <c r="L1534" s="12" t="str">
        <f>IF(N(K1534)&gt;0,"COMPRA","NÃO COMPRA")</f>
        <v>NÃO COMPRA</v>
      </c>
    </row>
    <row r="1535" spans="1:12">
      <c r="A1535" s="8" t="s">
        <v>3282</v>
      </c>
      <c r="B1535" s="9" t="s">
        <v>363</v>
      </c>
      <c r="C1535" s="9" t="e">
        <f>VLOOKUP(A1535,[2]Planilha1!$A:$B,2,0)</f>
        <v>#N/A</v>
      </c>
      <c r="D1535" s="10">
        <f>SUMIF([1]Relatório!$A$2:$A$2653,A1535,[1]Relatório!$AK$2:$AK$2653)</f>
        <v>15</v>
      </c>
      <c r="E1535" s="11">
        <f t="shared" si="46"/>
        <v>2.56429105045328e-5</v>
      </c>
      <c r="F1535" s="11">
        <f>SUM($E$7:E1535)</f>
        <v>0.997454513750584</v>
      </c>
      <c r="G1535" s="12" t="str">
        <f t="shared" si="47"/>
        <v>C</v>
      </c>
      <c r="H1535" s="9" t="s">
        <v>183</v>
      </c>
      <c r="I1535" s="9" t="s">
        <v>3283</v>
      </c>
      <c r="J1535" s="9" t="s">
        <v>40</v>
      </c>
      <c r="K1535" s="10" t="str">
        <f>IFERROR(VLOOKUP(A1535,'Pedido ESTHER'!$B:$C,2,0),"")</f>
        <v/>
      </c>
      <c r="L1535" s="12" t="str">
        <f>IF(N(K1535)&gt;0,"COMPRA","NÃO COMPRA")</f>
        <v>NÃO COMPRA</v>
      </c>
    </row>
    <row r="1536" spans="1:12">
      <c r="A1536" s="8" t="s">
        <v>3284</v>
      </c>
      <c r="B1536" s="9" t="s">
        <v>1956</v>
      </c>
      <c r="C1536" s="9" t="e">
        <f>VLOOKUP(A1536,[2]Planilha1!$A:$B,2,0)</f>
        <v>#N/A</v>
      </c>
      <c r="D1536" s="10">
        <f>SUMIF([1]Relatório!$A$2:$A$2653,A1536,[1]Relatório!$AK$2:$AK$2653)</f>
        <v>15</v>
      </c>
      <c r="E1536" s="11">
        <f t="shared" si="46"/>
        <v>2.56429105045328e-5</v>
      </c>
      <c r="F1536" s="11">
        <f>SUM($E$7:E1536)</f>
        <v>0.997480156661089</v>
      </c>
      <c r="G1536" s="12" t="str">
        <f t="shared" si="47"/>
        <v>C</v>
      </c>
      <c r="H1536" s="9" t="s">
        <v>183</v>
      </c>
      <c r="I1536" s="9" t="s">
        <v>3285</v>
      </c>
      <c r="J1536" s="9" t="s">
        <v>390</v>
      </c>
      <c r="K1536" s="10" t="str">
        <f>IFERROR(VLOOKUP(A1536,'Pedido ESTHER'!$B:$C,2,0),"")</f>
        <v/>
      </c>
      <c r="L1536" s="12" t="str">
        <f>IF(N(K1536)&gt;0,"COMPRA","NÃO COMPRA")</f>
        <v>NÃO COMPRA</v>
      </c>
    </row>
    <row r="1537" spans="1:12">
      <c r="A1537" s="8" t="s">
        <v>3286</v>
      </c>
      <c r="B1537" s="9" t="s">
        <v>2270</v>
      </c>
      <c r="C1537" s="9" t="e">
        <f>VLOOKUP(A1537,[2]Planilha1!$A:$B,2,0)</f>
        <v>#N/A</v>
      </c>
      <c r="D1537" s="10">
        <f>SUMIF([1]Relatório!$A$2:$A$2653,A1537,[1]Relatório!$AK$2:$AK$2653)</f>
        <v>15</v>
      </c>
      <c r="E1537" s="11">
        <f t="shared" si="46"/>
        <v>2.56429105045328e-5</v>
      </c>
      <c r="F1537" s="11">
        <f>SUM($E$7:E1537)</f>
        <v>0.997505799571593</v>
      </c>
      <c r="G1537" s="12" t="str">
        <f t="shared" si="47"/>
        <v>C</v>
      </c>
      <c r="H1537" s="9" t="s">
        <v>2406</v>
      </c>
      <c r="I1537" s="9" t="s">
        <v>3287</v>
      </c>
      <c r="J1537" s="9" t="s">
        <v>241</v>
      </c>
      <c r="K1537" s="10" t="str">
        <f>IFERROR(VLOOKUP(A1537,'Pedido ESTHER'!$B:$C,2,0),"")</f>
        <v/>
      </c>
      <c r="L1537" s="12" t="str">
        <f>IF(N(K1537)&gt;0,"COMPRA","NÃO COMPRA")</f>
        <v>NÃO COMPRA</v>
      </c>
    </row>
    <row r="1538" spans="1:12">
      <c r="A1538" s="8" t="s">
        <v>3288</v>
      </c>
      <c r="B1538" s="9" t="s">
        <v>3289</v>
      </c>
      <c r="C1538" s="9" t="e">
        <f>VLOOKUP(A1538,[2]Planilha1!$A:$B,2,0)</f>
        <v>#N/A</v>
      </c>
      <c r="D1538" s="10">
        <f>SUMIF([1]Relatório!$A$2:$A$2653,A1538,[1]Relatório!$AK$2:$AK$2653)</f>
        <v>15</v>
      </c>
      <c r="E1538" s="11">
        <f t="shared" si="46"/>
        <v>2.56429105045328e-5</v>
      </c>
      <c r="F1538" s="11">
        <f>SUM($E$7:E1538)</f>
        <v>0.997531442482098</v>
      </c>
      <c r="G1538" s="12" t="str">
        <f t="shared" si="47"/>
        <v>C</v>
      </c>
      <c r="H1538" s="9" t="s">
        <v>1344</v>
      </c>
      <c r="I1538" s="9" t="s">
        <v>3290</v>
      </c>
      <c r="J1538" s="9" t="s">
        <v>2894</v>
      </c>
      <c r="K1538" s="10" t="str">
        <f>IFERROR(VLOOKUP(A1538,'Pedido ESTHER'!$B:$C,2,0),"")</f>
        <v/>
      </c>
      <c r="L1538" s="12" t="str">
        <f>IF(N(K1538)&gt;0,"COMPRA","NÃO COMPRA")</f>
        <v>NÃO COMPRA</v>
      </c>
    </row>
    <row r="1539" spans="1:12">
      <c r="A1539" s="8" t="s">
        <v>3291</v>
      </c>
      <c r="B1539" s="9" t="s">
        <v>1343</v>
      </c>
      <c r="C1539" s="9" t="e">
        <f>VLOOKUP(A1539,[2]Planilha1!$A:$B,2,0)</f>
        <v>#N/A</v>
      </c>
      <c r="D1539" s="10">
        <f>SUMIF([1]Relatório!$A$2:$A$2653,A1539,[1]Relatório!$AK$2:$AK$2653)</f>
        <v>15</v>
      </c>
      <c r="E1539" s="11">
        <f t="shared" si="46"/>
        <v>2.56429105045328e-5</v>
      </c>
      <c r="F1539" s="11">
        <f>SUM($E$7:E1539)</f>
        <v>0.997557085392602</v>
      </c>
      <c r="G1539" s="12" t="str">
        <f t="shared" si="47"/>
        <v>C</v>
      </c>
      <c r="H1539" s="9" t="s">
        <v>1344</v>
      </c>
      <c r="I1539" s="9" t="s">
        <v>3292</v>
      </c>
      <c r="J1539" s="9" t="s">
        <v>29</v>
      </c>
      <c r="K1539" s="10" t="str">
        <f>IFERROR(VLOOKUP(A1539,'Pedido ESTHER'!$B:$C,2,0),"")</f>
        <v/>
      </c>
      <c r="L1539" s="12" t="str">
        <f>IF(N(K1539)&gt;0,"COMPRA","NÃO COMPRA")</f>
        <v>NÃO COMPRA</v>
      </c>
    </row>
    <row r="1540" spans="1:12">
      <c r="A1540" s="8" t="s">
        <v>3293</v>
      </c>
      <c r="B1540" s="9" t="s">
        <v>363</v>
      </c>
      <c r="C1540" s="9" t="e">
        <f>VLOOKUP(A1540,[2]Planilha1!$A:$B,2,0)</f>
        <v>#N/A</v>
      </c>
      <c r="D1540" s="10">
        <f>SUMIF([1]Relatório!$A$2:$A$2653,A1540,[1]Relatório!$AK$2:$AK$2653)</f>
        <v>15</v>
      </c>
      <c r="E1540" s="11">
        <f t="shared" si="46"/>
        <v>2.56429105045328e-5</v>
      </c>
      <c r="F1540" s="11">
        <f>SUM($E$7:E1540)</f>
        <v>0.997582728303107</v>
      </c>
      <c r="G1540" s="12" t="str">
        <f t="shared" si="47"/>
        <v>C</v>
      </c>
      <c r="H1540" s="9" t="s">
        <v>183</v>
      </c>
      <c r="I1540" s="9" t="s">
        <v>3294</v>
      </c>
      <c r="J1540" s="9" t="s">
        <v>40</v>
      </c>
      <c r="K1540" s="10" t="str">
        <f>IFERROR(VLOOKUP(A1540,'Pedido ESTHER'!$B:$C,2,0),"")</f>
        <v/>
      </c>
      <c r="L1540" s="12" t="str">
        <f>IF(N(K1540)&gt;0,"COMPRA","NÃO COMPRA")</f>
        <v>NÃO COMPRA</v>
      </c>
    </row>
    <row r="1541" spans="1:12">
      <c r="A1541" s="8" t="s">
        <v>3295</v>
      </c>
      <c r="B1541" s="9" t="s">
        <v>3296</v>
      </c>
      <c r="C1541" s="9" t="e">
        <f>VLOOKUP(A1541,[2]Planilha1!$A:$B,2,0)</f>
        <v>#N/A</v>
      </c>
      <c r="D1541" s="10">
        <f>SUMIF([1]Relatório!$A$2:$A$2653,A1541,[1]Relatório!$AK$2:$AK$2653)</f>
        <v>15</v>
      </c>
      <c r="E1541" s="11">
        <f t="shared" si="46"/>
        <v>2.56429105045328e-5</v>
      </c>
      <c r="F1541" s="11">
        <f>SUM($E$7:E1541)</f>
        <v>0.997608371213612</v>
      </c>
      <c r="G1541" s="12" t="str">
        <f t="shared" si="47"/>
        <v>C</v>
      </c>
      <c r="H1541" s="9" t="s">
        <v>183</v>
      </c>
      <c r="I1541" s="9" t="s">
        <v>3297</v>
      </c>
      <c r="J1541" s="9" t="s">
        <v>3298</v>
      </c>
      <c r="K1541" s="10" t="str">
        <f>IFERROR(VLOOKUP(A1541,'Pedido ESTHER'!$B:$C,2,0),"")</f>
        <v/>
      </c>
      <c r="L1541" s="12" t="str">
        <f>IF(N(K1541)&gt;0,"COMPRA","NÃO COMPRA")</f>
        <v>NÃO COMPRA</v>
      </c>
    </row>
    <row r="1542" spans="1:12">
      <c r="A1542" s="8" t="s">
        <v>3299</v>
      </c>
      <c r="B1542" s="9" t="s">
        <v>1312</v>
      </c>
      <c r="C1542" s="9" t="e">
        <f>VLOOKUP(A1542,[2]Planilha1!$A:$B,2,0)</f>
        <v>#N/A</v>
      </c>
      <c r="D1542" s="10">
        <f>SUMIF([1]Relatório!$A$2:$A$2653,A1542,[1]Relatório!$AK$2:$AK$2653)</f>
        <v>15</v>
      </c>
      <c r="E1542" s="11">
        <f t="shared" si="46"/>
        <v>2.56429105045328e-5</v>
      </c>
      <c r="F1542" s="11">
        <f>SUM($E$7:E1542)</f>
        <v>0.997634014124116</v>
      </c>
      <c r="G1542" s="12" t="str">
        <f t="shared" si="47"/>
        <v>C</v>
      </c>
      <c r="H1542" s="9" t="s">
        <v>776</v>
      </c>
      <c r="I1542" s="9" t="s">
        <v>3300</v>
      </c>
      <c r="J1542" s="9" t="s">
        <v>164</v>
      </c>
      <c r="K1542" s="10" t="str">
        <f>IFERROR(VLOOKUP(A1542,'Pedido ESTHER'!$B:$C,2,0),"")</f>
        <v/>
      </c>
      <c r="L1542" s="12" t="str">
        <f>IF(N(K1542)&gt;0,"COMPRA","NÃO COMPRA")</f>
        <v>NÃO COMPRA</v>
      </c>
    </row>
    <row r="1543" spans="1:12">
      <c r="A1543" s="8" t="s">
        <v>3301</v>
      </c>
      <c r="B1543" s="9" t="s">
        <v>2012</v>
      </c>
      <c r="C1543" s="9" t="e">
        <f>VLOOKUP(A1543,[2]Planilha1!$A:$B,2,0)</f>
        <v>#N/A</v>
      </c>
      <c r="D1543" s="10">
        <f>SUMIF([1]Relatório!$A$2:$A$2653,A1543,[1]Relatório!$AK$2:$AK$2653)</f>
        <v>15</v>
      </c>
      <c r="E1543" s="11">
        <f t="shared" si="46"/>
        <v>2.56429105045328e-5</v>
      </c>
      <c r="F1543" s="11">
        <f>SUM($E$7:E1543)</f>
        <v>0.997659657034621</v>
      </c>
      <c r="G1543" s="12" t="str">
        <f t="shared" si="47"/>
        <v>C</v>
      </c>
      <c r="H1543" s="9" t="s">
        <v>1059</v>
      </c>
      <c r="I1543" s="9" t="s">
        <v>3302</v>
      </c>
      <c r="J1543" s="9" t="s">
        <v>1143</v>
      </c>
      <c r="K1543" s="10" t="str">
        <f>IFERROR(VLOOKUP(A1543,'Pedido ESTHER'!$B:$C,2,0),"")</f>
        <v/>
      </c>
      <c r="L1543" s="12" t="str">
        <f>IF(N(K1543)&gt;0,"COMPRA","NÃO COMPRA")</f>
        <v>NÃO COMPRA</v>
      </c>
    </row>
    <row r="1544" spans="1:12">
      <c r="A1544" s="8" t="s">
        <v>3303</v>
      </c>
      <c r="B1544" s="9" t="s">
        <v>3304</v>
      </c>
      <c r="C1544" s="9" t="e">
        <f>VLOOKUP(A1544,[2]Planilha1!$A:$B,2,0)</f>
        <v>#N/A</v>
      </c>
      <c r="D1544" s="10">
        <f>SUMIF([1]Relatório!$A$2:$A$2653,A1544,[1]Relatório!$AK$2:$AK$2653)</f>
        <v>15</v>
      </c>
      <c r="E1544" s="11">
        <f t="shared" ref="E1544:E1607" si="48">D1544/SUM($D$7:$D$1708)</f>
        <v>2.56429105045328e-5</v>
      </c>
      <c r="F1544" s="11">
        <f>SUM($E$7:E1544)</f>
        <v>0.997685299945125</v>
      </c>
      <c r="G1544" s="12" t="str">
        <f t="shared" ref="G1544:G1607" si="49">IF(F1544&lt;=70%,"A",IF(F1544&lt;=90%,"B","C"))</f>
        <v>C</v>
      </c>
      <c r="H1544" s="9" t="s">
        <v>21</v>
      </c>
      <c r="I1544" s="9" t="s">
        <v>3305</v>
      </c>
      <c r="J1544" s="9" t="s">
        <v>2894</v>
      </c>
      <c r="K1544" s="10" t="str">
        <f>IFERROR(VLOOKUP(A1544,'Pedido ESTHER'!$B:$C,2,0),"")</f>
        <v/>
      </c>
      <c r="L1544" s="12" t="str">
        <f>IF(N(K1544)&gt;0,"COMPRA","NÃO COMPRA")</f>
        <v>NÃO COMPRA</v>
      </c>
    </row>
    <row r="1545" spans="1:12">
      <c r="A1545" s="8" t="s">
        <v>3306</v>
      </c>
      <c r="B1545" s="9" t="s">
        <v>339</v>
      </c>
      <c r="C1545" s="9" t="e">
        <f>VLOOKUP(A1545,[2]Planilha1!$A:$B,2,0)</f>
        <v>#N/A</v>
      </c>
      <c r="D1545" s="10">
        <f>SUMIF([1]Relatório!$A$2:$A$2653,A1545,[1]Relatório!$AK$2:$AK$2653)</f>
        <v>15</v>
      </c>
      <c r="E1545" s="11">
        <f t="shared" si="48"/>
        <v>2.56429105045328e-5</v>
      </c>
      <c r="F1545" s="11">
        <f>SUM($E$7:E1545)</f>
        <v>0.99771094285563</v>
      </c>
      <c r="G1545" s="12" t="str">
        <f t="shared" si="49"/>
        <v>C</v>
      </c>
      <c r="H1545" s="9" t="s">
        <v>74</v>
      </c>
      <c r="I1545" s="9" t="s">
        <v>3307</v>
      </c>
      <c r="J1545" s="9" t="s">
        <v>164</v>
      </c>
      <c r="K1545" s="10" t="str">
        <f>IFERROR(VLOOKUP(A1545,'Pedido ESTHER'!$B:$C,2,0),"")</f>
        <v/>
      </c>
      <c r="L1545" s="12" t="str">
        <f>IF(N(K1545)&gt;0,"COMPRA","NÃO COMPRA")</f>
        <v>NÃO COMPRA</v>
      </c>
    </row>
    <row r="1546" spans="1:12">
      <c r="A1546" s="8" t="s">
        <v>3308</v>
      </c>
      <c r="B1546" s="9" t="s">
        <v>131</v>
      </c>
      <c r="C1546" s="9" t="e">
        <f>VLOOKUP(A1546,[2]Planilha1!$A:$B,2,0)</f>
        <v>#N/A</v>
      </c>
      <c r="D1546" s="10">
        <f>SUMIF([1]Relatório!$A$2:$A$2653,A1546,[1]Relatório!$AK$2:$AK$2653)</f>
        <v>15</v>
      </c>
      <c r="E1546" s="11">
        <f t="shared" si="48"/>
        <v>2.56429105045328e-5</v>
      </c>
      <c r="F1546" s="11">
        <f>SUM($E$7:E1546)</f>
        <v>0.997736585766134</v>
      </c>
      <c r="G1546" s="12" t="str">
        <f t="shared" si="49"/>
        <v>C</v>
      </c>
      <c r="H1546" s="9" t="s">
        <v>14</v>
      </c>
      <c r="I1546" s="9" t="s">
        <v>3309</v>
      </c>
      <c r="J1546" s="9" t="s">
        <v>23</v>
      </c>
      <c r="K1546" s="10" t="str">
        <f>IFERROR(VLOOKUP(A1546,'Pedido ESTHER'!$B:$C,2,0),"")</f>
        <v/>
      </c>
      <c r="L1546" s="12" t="str">
        <f>IF(N(K1546)&gt;0,"COMPRA","NÃO COMPRA")</f>
        <v>NÃO COMPRA</v>
      </c>
    </row>
    <row r="1547" spans="1:12">
      <c r="A1547" s="8" t="s">
        <v>3310</v>
      </c>
      <c r="B1547" s="9" t="s">
        <v>2474</v>
      </c>
      <c r="C1547" s="9" t="e">
        <f>VLOOKUP(A1547,[2]Planilha1!$A:$B,2,0)</f>
        <v>#N/A</v>
      </c>
      <c r="D1547" s="10">
        <f>SUMIF([1]Relatório!$A$2:$A$2653,A1547,[1]Relatório!$AK$2:$AK$2653)</f>
        <v>15</v>
      </c>
      <c r="E1547" s="11">
        <f t="shared" si="48"/>
        <v>2.56429105045328e-5</v>
      </c>
      <c r="F1547" s="11">
        <f>SUM($E$7:E1547)</f>
        <v>0.997762228676639</v>
      </c>
      <c r="G1547" s="12" t="str">
        <f t="shared" si="49"/>
        <v>C</v>
      </c>
      <c r="H1547" s="9" t="s">
        <v>1700</v>
      </c>
      <c r="I1547" s="9" t="s">
        <v>3311</v>
      </c>
      <c r="J1547" s="9" t="s">
        <v>44</v>
      </c>
      <c r="K1547" s="10" t="str">
        <f>IFERROR(VLOOKUP(A1547,'Pedido ESTHER'!$B:$C,2,0),"")</f>
        <v/>
      </c>
      <c r="L1547" s="12" t="str">
        <f>IF(N(K1547)&gt;0,"COMPRA","NÃO COMPRA")</f>
        <v>NÃO COMPRA</v>
      </c>
    </row>
    <row r="1548" spans="1:12">
      <c r="A1548" s="8" t="s">
        <v>3312</v>
      </c>
      <c r="B1548" s="9" t="s">
        <v>2455</v>
      </c>
      <c r="C1548" s="9" t="e">
        <f>VLOOKUP(A1548,[2]Planilha1!$A:$B,2,0)</f>
        <v>#N/A</v>
      </c>
      <c r="D1548" s="10">
        <f>SUMIF([1]Relatório!$A$2:$A$2653,A1548,[1]Relatório!$AK$2:$AK$2653)</f>
        <v>15</v>
      </c>
      <c r="E1548" s="11">
        <f t="shared" si="48"/>
        <v>2.56429105045328e-5</v>
      </c>
      <c r="F1548" s="11">
        <f>SUM($E$7:E1548)</f>
        <v>0.997787871587143</v>
      </c>
      <c r="G1548" s="12" t="str">
        <f t="shared" si="49"/>
        <v>C</v>
      </c>
      <c r="H1548" s="9" t="s">
        <v>2452</v>
      </c>
      <c r="I1548" s="9" t="s">
        <v>3313</v>
      </c>
      <c r="J1548" s="9" t="s">
        <v>44</v>
      </c>
      <c r="K1548" s="10" t="str">
        <f>IFERROR(VLOOKUP(A1548,'Pedido ESTHER'!$B:$C,2,0),"")</f>
        <v/>
      </c>
      <c r="L1548" s="12" t="str">
        <f>IF(N(K1548)&gt;0,"COMPRA","NÃO COMPRA")</f>
        <v>NÃO COMPRA</v>
      </c>
    </row>
    <row r="1549" spans="1:12">
      <c r="A1549" s="8" t="s">
        <v>3314</v>
      </c>
      <c r="B1549" s="9" t="s">
        <v>2481</v>
      </c>
      <c r="C1549" s="9" t="e">
        <f>VLOOKUP(A1549,[2]Planilha1!$A:$B,2,0)</f>
        <v>#N/A</v>
      </c>
      <c r="D1549" s="10">
        <f>SUMIF([1]Relatório!$A$2:$A$2653,A1549,[1]Relatório!$AK$2:$AK$2653)</f>
        <v>15</v>
      </c>
      <c r="E1549" s="11">
        <f t="shared" si="48"/>
        <v>2.56429105045328e-5</v>
      </c>
      <c r="F1549" s="11">
        <f>SUM($E$7:E1549)</f>
        <v>0.997813514497648</v>
      </c>
      <c r="G1549" s="12" t="str">
        <f t="shared" si="49"/>
        <v>C</v>
      </c>
      <c r="H1549" s="9" t="s">
        <v>2452</v>
      </c>
      <c r="I1549" s="9" t="s">
        <v>3315</v>
      </c>
      <c r="J1549" s="9" t="s">
        <v>33</v>
      </c>
      <c r="K1549" s="10" t="str">
        <f>IFERROR(VLOOKUP(A1549,'Pedido ESTHER'!$B:$C,2,0),"")</f>
        <v/>
      </c>
      <c r="L1549" s="12" t="str">
        <f>IF(N(K1549)&gt;0,"COMPRA","NÃO COMPRA")</f>
        <v>NÃO COMPRA</v>
      </c>
    </row>
    <row r="1550" spans="1:12">
      <c r="A1550" s="8" t="s">
        <v>3316</v>
      </c>
      <c r="B1550" s="9" t="s">
        <v>2455</v>
      </c>
      <c r="C1550" s="9" t="e">
        <f>VLOOKUP(A1550,[2]Planilha1!$A:$B,2,0)</f>
        <v>#N/A</v>
      </c>
      <c r="D1550" s="10">
        <f>SUMIF([1]Relatório!$A$2:$A$2653,A1550,[1]Relatório!$AK$2:$AK$2653)</f>
        <v>15</v>
      </c>
      <c r="E1550" s="11">
        <f t="shared" si="48"/>
        <v>2.56429105045328e-5</v>
      </c>
      <c r="F1550" s="11">
        <f>SUM($E$7:E1550)</f>
        <v>0.997839157408153</v>
      </c>
      <c r="G1550" s="12" t="str">
        <f t="shared" si="49"/>
        <v>C</v>
      </c>
      <c r="H1550" s="9" t="s">
        <v>2452</v>
      </c>
      <c r="I1550" s="9" t="s">
        <v>3317</v>
      </c>
      <c r="J1550" s="9" t="s">
        <v>44</v>
      </c>
      <c r="K1550" s="10" t="str">
        <f>IFERROR(VLOOKUP(A1550,'Pedido ESTHER'!$B:$C,2,0),"")</f>
        <v/>
      </c>
      <c r="L1550" s="12" t="str">
        <f>IF(N(K1550)&gt;0,"COMPRA","NÃO COMPRA")</f>
        <v>NÃO COMPRA</v>
      </c>
    </row>
    <row r="1551" spans="1:12">
      <c r="A1551" s="8" t="s">
        <v>3318</v>
      </c>
      <c r="B1551" s="9" t="s">
        <v>3319</v>
      </c>
      <c r="C1551" s="9" t="e">
        <f>VLOOKUP(A1551,[2]Planilha1!$A:$B,2,0)</f>
        <v>#N/A</v>
      </c>
      <c r="D1551" s="10">
        <f>SUMIF([1]Relatório!$A$2:$A$2653,A1551,[1]Relatório!$AK$2:$AK$2653)</f>
        <v>15</v>
      </c>
      <c r="E1551" s="11">
        <f t="shared" si="48"/>
        <v>2.56429105045328e-5</v>
      </c>
      <c r="F1551" s="11">
        <f>SUM($E$7:E1551)</f>
        <v>0.997864800318657</v>
      </c>
      <c r="G1551" s="12" t="str">
        <f t="shared" si="49"/>
        <v>C</v>
      </c>
      <c r="H1551" s="9" t="s">
        <v>2452</v>
      </c>
      <c r="I1551" s="9" t="s">
        <v>3320</v>
      </c>
      <c r="J1551" s="9" t="s">
        <v>241</v>
      </c>
      <c r="K1551" s="10" t="str">
        <f>IFERROR(VLOOKUP(A1551,'Pedido ESTHER'!$B:$C,2,0),"")</f>
        <v/>
      </c>
      <c r="L1551" s="12" t="str">
        <f>IF(N(K1551)&gt;0,"COMPRA","NÃO COMPRA")</f>
        <v>NÃO COMPRA</v>
      </c>
    </row>
    <row r="1552" spans="1:12">
      <c r="A1552" s="8" t="s">
        <v>3321</v>
      </c>
      <c r="B1552" s="9" t="s">
        <v>3322</v>
      </c>
      <c r="C1552" s="9" t="e">
        <f>VLOOKUP(A1552,[2]Planilha1!$A:$B,2,0)</f>
        <v>#N/A</v>
      </c>
      <c r="D1552" s="10">
        <f>SUMIF([1]Relatório!$A$2:$A$2653,A1552,[1]Relatório!$AK$2:$AK$2653)</f>
        <v>15</v>
      </c>
      <c r="E1552" s="11">
        <f t="shared" si="48"/>
        <v>2.56429105045328e-5</v>
      </c>
      <c r="F1552" s="11">
        <f>SUM($E$7:E1552)</f>
        <v>0.997890443229162</v>
      </c>
      <c r="G1552" s="12" t="str">
        <f t="shared" si="49"/>
        <v>C</v>
      </c>
      <c r="H1552" s="9" t="s">
        <v>2452</v>
      </c>
      <c r="I1552" s="9" t="s">
        <v>3323</v>
      </c>
      <c r="J1552" s="9" t="s">
        <v>359</v>
      </c>
      <c r="K1552" s="10" t="str">
        <f>IFERROR(VLOOKUP(A1552,'Pedido ESTHER'!$B:$C,2,0),"")</f>
        <v/>
      </c>
      <c r="L1552" s="12" t="str">
        <f>IF(N(K1552)&gt;0,"COMPRA","NÃO COMPRA")</f>
        <v>NÃO COMPRA</v>
      </c>
    </row>
    <row r="1553" spans="1:12">
      <c r="A1553" s="8" t="s">
        <v>3324</v>
      </c>
      <c r="B1553" s="9" t="s">
        <v>3325</v>
      </c>
      <c r="C1553" s="9" t="e">
        <f>VLOOKUP(A1553,[2]Planilha1!$A:$B,2,0)</f>
        <v>#N/A</v>
      </c>
      <c r="D1553" s="10">
        <f>SUMIF([1]Relatório!$A$2:$A$2653,A1553,[1]Relatório!$AK$2:$AK$2653)</f>
        <v>14</v>
      </c>
      <c r="E1553" s="11">
        <f t="shared" si="48"/>
        <v>2.3933383137564e-5</v>
      </c>
      <c r="F1553" s="11">
        <f>SUM($E$7:E1553)</f>
        <v>0.997914376612299</v>
      </c>
      <c r="G1553" s="12" t="str">
        <f t="shared" si="49"/>
        <v>C</v>
      </c>
      <c r="H1553" s="9" t="s">
        <v>3326</v>
      </c>
      <c r="I1553" s="9" t="s">
        <v>3327</v>
      </c>
      <c r="J1553" s="9" t="s">
        <v>1169</v>
      </c>
      <c r="K1553" s="10" t="str">
        <f>IFERROR(VLOOKUP(A1553,'Pedido ESTHER'!$B:$C,2,0),"")</f>
        <v/>
      </c>
      <c r="L1553" s="12" t="str">
        <f>IF(N(K1553)&gt;0,"COMPRA","NÃO COMPRA")</f>
        <v>NÃO COMPRA</v>
      </c>
    </row>
    <row r="1554" spans="1:12">
      <c r="A1554" s="8" t="s">
        <v>3328</v>
      </c>
      <c r="B1554" s="9" t="s">
        <v>2085</v>
      </c>
      <c r="C1554" s="9" t="e">
        <f>VLOOKUP(A1554,[2]Planilha1!$A:$B,2,0)</f>
        <v>#N/A</v>
      </c>
      <c r="D1554" s="10">
        <f>SUMIF([1]Relatório!$A$2:$A$2653,A1554,[1]Relatório!$AK$2:$AK$2653)</f>
        <v>14</v>
      </c>
      <c r="E1554" s="11">
        <f t="shared" si="48"/>
        <v>2.3933383137564e-5</v>
      </c>
      <c r="F1554" s="11">
        <f>SUM($E$7:E1554)</f>
        <v>0.997938309995437</v>
      </c>
      <c r="G1554" s="12" t="str">
        <f t="shared" si="49"/>
        <v>C</v>
      </c>
      <c r="H1554" s="9" t="s">
        <v>2406</v>
      </c>
      <c r="I1554" s="9" t="s">
        <v>3329</v>
      </c>
      <c r="J1554" s="9" t="s">
        <v>44</v>
      </c>
      <c r="K1554" s="10" t="str">
        <f>IFERROR(VLOOKUP(A1554,'Pedido ESTHER'!$B:$C,2,0),"")</f>
        <v/>
      </c>
      <c r="L1554" s="12" t="str">
        <f>IF(N(K1554)&gt;0,"COMPRA","NÃO COMPRA")</f>
        <v>NÃO COMPRA</v>
      </c>
    </row>
    <row r="1555" spans="1:12">
      <c r="A1555" s="8" t="s">
        <v>3330</v>
      </c>
      <c r="B1555" s="9" t="s">
        <v>1264</v>
      </c>
      <c r="C1555" s="9" t="e">
        <f>VLOOKUP(A1555,[2]Planilha1!$A:$B,2,0)</f>
        <v>#N/A</v>
      </c>
      <c r="D1555" s="10">
        <f>SUMIF([1]Relatório!$A$2:$A$2653,A1555,[1]Relatório!$AK$2:$AK$2653)</f>
        <v>14</v>
      </c>
      <c r="E1555" s="11">
        <f t="shared" si="48"/>
        <v>2.3933383137564e-5</v>
      </c>
      <c r="F1555" s="11">
        <f>SUM($E$7:E1555)</f>
        <v>0.997962243378574</v>
      </c>
      <c r="G1555" s="12" t="str">
        <f t="shared" si="49"/>
        <v>C</v>
      </c>
      <c r="H1555" s="9" t="s">
        <v>183</v>
      </c>
      <c r="I1555" s="9" t="s">
        <v>3331</v>
      </c>
      <c r="J1555" s="9" t="s">
        <v>3332</v>
      </c>
      <c r="K1555" s="10" t="str">
        <f>IFERROR(VLOOKUP(A1555,'Pedido ESTHER'!$B:$C,2,0),"")</f>
        <v/>
      </c>
      <c r="L1555" s="12" t="str">
        <f>IF(N(K1555)&gt;0,"COMPRA","NÃO COMPRA")</f>
        <v>NÃO COMPRA</v>
      </c>
    </row>
    <row r="1556" spans="1:12">
      <c r="A1556" s="8" t="s">
        <v>3333</v>
      </c>
      <c r="B1556" s="9" t="s">
        <v>734</v>
      </c>
      <c r="C1556" s="9" t="e">
        <f>VLOOKUP(A1556,[2]Planilha1!$A:$B,2,0)</f>
        <v>#N/A</v>
      </c>
      <c r="D1556" s="10">
        <f>SUMIF([1]Relatório!$A$2:$A$2653,A1556,[1]Relatório!$AK$2:$AK$2653)</f>
        <v>14</v>
      </c>
      <c r="E1556" s="11">
        <f t="shared" si="48"/>
        <v>2.3933383137564e-5</v>
      </c>
      <c r="F1556" s="11">
        <f>SUM($E$7:E1556)</f>
        <v>0.997986176761712</v>
      </c>
      <c r="G1556" s="12" t="str">
        <f t="shared" si="49"/>
        <v>C</v>
      </c>
      <c r="H1556" s="9" t="s">
        <v>82</v>
      </c>
      <c r="I1556" s="9" t="s">
        <v>3334</v>
      </c>
      <c r="J1556" s="9" t="s">
        <v>1143</v>
      </c>
      <c r="K1556" s="10" t="str">
        <f>IFERROR(VLOOKUP(A1556,'Pedido ESTHER'!$B:$C,2,0),"")</f>
        <v/>
      </c>
      <c r="L1556" s="12" t="str">
        <f>IF(N(K1556)&gt;0,"COMPRA","NÃO COMPRA")</f>
        <v>NÃO COMPRA</v>
      </c>
    </row>
    <row r="1557" spans="1:12">
      <c r="A1557" s="8" t="s">
        <v>3335</v>
      </c>
      <c r="B1557" s="9" t="s">
        <v>734</v>
      </c>
      <c r="C1557" s="9" t="e">
        <f>VLOOKUP(A1557,[2]Planilha1!$A:$B,2,0)</f>
        <v>#N/A</v>
      </c>
      <c r="D1557" s="10">
        <f>SUMIF([1]Relatório!$A$2:$A$2653,A1557,[1]Relatório!$AK$2:$AK$2653)</f>
        <v>14</v>
      </c>
      <c r="E1557" s="11">
        <f t="shared" si="48"/>
        <v>2.3933383137564e-5</v>
      </c>
      <c r="F1557" s="11">
        <f>SUM($E$7:E1557)</f>
        <v>0.998010110144849</v>
      </c>
      <c r="G1557" s="12" t="str">
        <f t="shared" si="49"/>
        <v>C</v>
      </c>
      <c r="H1557" s="9" t="s">
        <v>82</v>
      </c>
      <c r="I1557" s="9" t="s">
        <v>3336</v>
      </c>
      <c r="J1557" s="9" t="s">
        <v>3337</v>
      </c>
      <c r="K1557" s="10" t="str">
        <f>IFERROR(VLOOKUP(A1557,'Pedido ESTHER'!$B:$C,2,0),"")</f>
        <v/>
      </c>
      <c r="L1557" s="12" t="str">
        <f>IF(N(K1557)&gt;0,"COMPRA","NÃO COMPRA")</f>
        <v>NÃO COMPRA</v>
      </c>
    </row>
    <row r="1558" spans="1:12">
      <c r="A1558" s="8" t="s">
        <v>3338</v>
      </c>
      <c r="B1558" s="9" t="s">
        <v>2744</v>
      </c>
      <c r="C1558" s="9" t="e">
        <f>VLOOKUP(A1558,[2]Planilha1!$A:$B,2,0)</f>
        <v>#N/A</v>
      </c>
      <c r="D1558" s="10">
        <f>SUMIF([1]Relatório!$A$2:$A$2653,A1558,[1]Relatório!$AK$2:$AK$2653)</f>
        <v>14</v>
      </c>
      <c r="E1558" s="11">
        <f t="shared" si="48"/>
        <v>2.3933383137564e-5</v>
      </c>
      <c r="F1558" s="11">
        <f>SUM($E$7:E1558)</f>
        <v>0.998034043527987</v>
      </c>
      <c r="G1558" s="12" t="str">
        <f t="shared" si="49"/>
        <v>C</v>
      </c>
      <c r="H1558" s="9" t="s">
        <v>14</v>
      </c>
      <c r="I1558" s="9" t="s">
        <v>3339</v>
      </c>
      <c r="J1558" s="9" t="s">
        <v>359</v>
      </c>
      <c r="K1558" s="10" t="str">
        <f>IFERROR(VLOOKUP(A1558,'Pedido ESTHER'!$B:$C,2,0),"")</f>
        <v/>
      </c>
      <c r="L1558" s="12" t="str">
        <f>IF(N(K1558)&gt;0,"COMPRA","NÃO COMPRA")</f>
        <v>NÃO COMPRA</v>
      </c>
    </row>
    <row r="1559" spans="1:12">
      <c r="A1559" s="8" t="s">
        <v>3340</v>
      </c>
      <c r="B1559" s="9" t="s">
        <v>1175</v>
      </c>
      <c r="C1559" s="9" t="e">
        <f>VLOOKUP(A1559,[2]Planilha1!$A:$B,2,0)</f>
        <v>#N/A</v>
      </c>
      <c r="D1559" s="10">
        <f>SUMIF([1]Relatório!$A$2:$A$2653,A1559,[1]Relatório!$AK$2:$AK$2653)</f>
        <v>14</v>
      </c>
      <c r="E1559" s="11">
        <f t="shared" si="48"/>
        <v>2.3933383137564e-5</v>
      </c>
      <c r="F1559" s="11">
        <f>SUM($E$7:E1559)</f>
        <v>0.998057976911125</v>
      </c>
      <c r="G1559" s="12" t="str">
        <f t="shared" si="49"/>
        <v>C</v>
      </c>
      <c r="H1559" s="9" t="s">
        <v>74</v>
      </c>
      <c r="I1559" s="9" t="s">
        <v>3341</v>
      </c>
      <c r="J1559" s="9" t="s">
        <v>44</v>
      </c>
      <c r="K1559" s="10" t="str">
        <f>IFERROR(VLOOKUP(A1559,'Pedido ESTHER'!$B:$C,2,0),"")</f>
        <v/>
      </c>
      <c r="L1559" s="12" t="str">
        <f>IF(N(K1559)&gt;0,"COMPRA","NÃO COMPRA")</f>
        <v>NÃO COMPRA</v>
      </c>
    </row>
    <row r="1560" spans="1:12">
      <c r="A1560" s="8" t="s">
        <v>3342</v>
      </c>
      <c r="B1560" s="9" t="s">
        <v>3343</v>
      </c>
      <c r="C1560" s="9" t="e">
        <f>VLOOKUP(A1560,[2]Planilha1!$A:$B,2,0)</f>
        <v>#N/A</v>
      </c>
      <c r="D1560" s="10">
        <f>SUMIF([1]Relatório!$A$2:$A$2653,A1560,[1]Relatório!$AK$2:$AK$2653)</f>
        <v>14</v>
      </c>
      <c r="E1560" s="11">
        <f t="shared" si="48"/>
        <v>2.3933383137564e-5</v>
      </c>
      <c r="F1560" s="11">
        <f>SUM($E$7:E1560)</f>
        <v>0.998081910294262</v>
      </c>
      <c r="G1560" s="12" t="str">
        <f t="shared" si="49"/>
        <v>C</v>
      </c>
      <c r="H1560" s="9" t="s">
        <v>14</v>
      </c>
      <c r="I1560" s="9" t="s">
        <v>3344</v>
      </c>
      <c r="J1560" s="9" t="s">
        <v>40</v>
      </c>
      <c r="K1560" s="10" t="str">
        <f>IFERROR(VLOOKUP(A1560,'Pedido ESTHER'!$B:$C,2,0),"")</f>
        <v/>
      </c>
      <c r="L1560" s="12" t="str">
        <f>IF(N(K1560)&gt;0,"COMPRA","NÃO COMPRA")</f>
        <v>NÃO COMPRA</v>
      </c>
    </row>
    <row r="1561" spans="1:12">
      <c r="A1561" s="8" t="s">
        <v>3345</v>
      </c>
      <c r="B1561" s="9" t="s">
        <v>179</v>
      </c>
      <c r="C1561" s="9" t="e">
        <f>VLOOKUP(A1561,[2]Planilha1!$A:$B,2,0)</f>
        <v>#N/A</v>
      </c>
      <c r="D1561" s="10">
        <f>SUMIF([1]Relatório!$A$2:$A$2653,A1561,[1]Relatório!$AK$2:$AK$2653)</f>
        <v>14</v>
      </c>
      <c r="E1561" s="11">
        <f t="shared" si="48"/>
        <v>2.3933383137564e-5</v>
      </c>
      <c r="F1561" s="11">
        <f>SUM($E$7:E1561)</f>
        <v>0.9981058436774</v>
      </c>
      <c r="G1561" s="12" t="str">
        <f t="shared" si="49"/>
        <v>C</v>
      </c>
      <c r="H1561" s="9" t="s">
        <v>18</v>
      </c>
      <c r="I1561" s="9" t="s">
        <v>3346</v>
      </c>
      <c r="J1561" s="9" t="s">
        <v>40</v>
      </c>
      <c r="K1561" s="10" t="str">
        <f>IFERROR(VLOOKUP(A1561,'Pedido ESTHER'!$B:$C,2,0),"")</f>
        <v/>
      </c>
      <c r="L1561" s="12" t="str">
        <f>IF(N(K1561)&gt;0,"COMPRA","NÃO COMPRA")</f>
        <v>NÃO COMPRA</v>
      </c>
    </row>
    <row r="1562" spans="1:12">
      <c r="A1562" s="8" t="s">
        <v>3347</v>
      </c>
      <c r="B1562" s="9" t="s">
        <v>2744</v>
      </c>
      <c r="C1562" s="9" t="e">
        <f>VLOOKUP(A1562,[2]Planilha1!$A:$B,2,0)</f>
        <v>#N/A</v>
      </c>
      <c r="D1562" s="10">
        <f>SUMIF([1]Relatório!$A$2:$A$2653,A1562,[1]Relatório!$AK$2:$AK$2653)</f>
        <v>14</v>
      </c>
      <c r="E1562" s="11">
        <f t="shared" si="48"/>
        <v>2.3933383137564e-5</v>
      </c>
      <c r="F1562" s="11">
        <f>SUM($E$7:E1562)</f>
        <v>0.998129777060537</v>
      </c>
      <c r="G1562" s="12" t="str">
        <f t="shared" si="49"/>
        <v>C</v>
      </c>
      <c r="H1562" s="9" t="s">
        <v>14</v>
      </c>
      <c r="I1562" s="9" t="s">
        <v>3348</v>
      </c>
      <c r="J1562" s="9" t="s">
        <v>359</v>
      </c>
      <c r="K1562" s="10" t="str">
        <f>IFERROR(VLOOKUP(A1562,'Pedido ESTHER'!$B:$C,2,0),"")</f>
        <v/>
      </c>
      <c r="L1562" s="12" t="str">
        <f>IF(N(K1562)&gt;0,"COMPRA","NÃO COMPRA")</f>
        <v>NÃO COMPRA</v>
      </c>
    </row>
    <row r="1563" spans="1:12">
      <c r="A1563" s="8" t="s">
        <v>3349</v>
      </c>
      <c r="B1563" s="9" t="s">
        <v>1428</v>
      </c>
      <c r="C1563" s="9" t="e">
        <f>VLOOKUP(A1563,[2]Planilha1!$A:$B,2,0)</f>
        <v>#N/A</v>
      </c>
      <c r="D1563" s="10">
        <f>SUMIF([1]Relatório!$A$2:$A$2653,A1563,[1]Relatório!$AK$2:$AK$2653)</f>
        <v>14</v>
      </c>
      <c r="E1563" s="11">
        <f t="shared" si="48"/>
        <v>2.3933383137564e-5</v>
      </c>
      <c r="F1563" s="11">
        <f>SUM($E$7:E1563)</f>
        <v>0.998153710443675</v>
      </c>
      <c r="G1563" s="12" t="str">
        <f t="shared" si="49"/>
        <v>C</v>
      </c>
      <c r="H1563" s="9" t="s">
        <v>1117</v>
      </c>
      <c r="I1563" s="9" t="s">
        <v>3350</v>
      </c>
      <c r="J1563" s="9" t="s">
        <v>213</v>
      </c>
      <c r="K1563" s="10" t="str">
        <f>IFERROR(VLOOKUP(A1563,'Pedido ESTHER'!$B:$C,2,0),"")</f>
        <v/>
      </c>
      <c r="L1563" s="12" t="str">
        <f>IF(N(K1563)&gt;0,"COMPRA","NÃO COMPRA")</f>
        <v>NÃO COMPRA</v>
      </c>
    </row>
    <row r="1564" spans="1:12">
      <c r="A1564" s="8" t="s">
        <v>3351</v>
      </c>
      <c r="B1564" s="9" t="s">
        <v>3052</v>
      </c>
      <c r="C1564" s="9" t="e">
        <f>VLOOKUP(A1564,[2]Planilha1!$A:$B,2,0)</f>
        <v>#N/A</v>
      </c>
      <c r="D1564" s="10">
        <f>SUMIF([1]Relatório!$A$2:$A$2653,A1564,[1]Relatório!$AK$2:$AK$2653)</f>
        <v>14</v>
      </c>
      <c r="E1564" s="11">
        <f t="shared" si="48"/>
        <v>2.3933383137564e-5</v>
      </c>
      <c r="F1564" s="11">
        <f>SUM($E$7:E1564)</f>
        <v>0.998177643826812</v>
      </c>
      <c r="G1564" s="12" t="str">
        <f t="shared" si="49"/>
        <v>C</v>
      </c>
      <c r="H1564" s="9" t="s">
        <v>2452</v>
      </c>
      <c r="I1564" s="9" t="s">
        <v>3352</v>
      </c>
      <c r="J1564" s="9" t="s">
        <v>40</v>
      </c>
      <c r="K1564" s="10" t="str">
        <f>IFERROR(VLOOKUP(A1564,'Pedido ESTHER'!$B:$C,2,0),"")</f>
        <v/>
      </c>
      <c r="L1564" s="12" t="str">
        <f>IF(N(K1564)&gt;0,"COMPRA","NÃO COMPRA")</f>
        <v>NÃO COMPRA</v>
      </c>
    </row>
    <row r="1565" spans="1:12">
      <c r="A1565" s="8" t="s">
        <v>3353</v>
      </c>
      <c r="B1565" s="9" t="s">
        <v>3052</v>
      </c>
      <c r="C1565" s="9" t="e">
        <f>VLOOKUP(A1565,[2]Planilha1!$A:$B,2,0)</f>
        <v>#N/A</v>
      </c>
      <c r="D1565" s="10">
        <f>SUMIF([1]Relatório!$A$2:$A$2653,A1565,[1]Relatório!$AK$2:$AK$2653)</f>
        <v>14</v>
      </c>
      <c r="E1565" s="11">
        <f t="shared" si="48"/>
        <v>2.3933383137564e-5</v>
      </c>
      <c r="F1565" s="11">
        <f>SUM($E$7:E1565)</f>
        <v>0.99820157720995</v>
      </c>
      <c r="G1565" s="12" t="str">
        <f t="shared" si="49"/>
        <v>C</v>
      </c>
      <c r="H1565" s="9" t="s">
        <v>2452</v>
      </c>
      <c r="I1565" s="9" t="s">
        <v>3354</v>
      </c>
      <c r="J1565" s="9" t="s">
        <v>40</v>
      </c>
      <c r="K1565" s="10" t="str">
        <f>IFERROR(VLOOKUP(A1565,'Pedido ESTHER'!$B:$C,2,0),"")</f>
        <v/>
      </c>
      <c r="L1565" s="12" t="str">
        <f>IF(N(K1565)&gt;0,"COMPRA","NÃO COMPRA")</f>
        <v>NÃO COMPRA</v>
      </c>
    </row>
    <row r="1566" spans="1:12">
      <c r="A1566" s="8" t="s">
        <v>3355</v>
      </c>
      <c r="B1566" s="9" t="s">
        <v>2267</v>
      </c>
      <c r="C1566" s="9" t="e">
        <f>VLOOKUP(A1566,[2]Planilha1!$A:$B,2,0)</f>
        <v>#N/A</v>
      </c>
      <c r="D1566" s="10">
        <f>SUMIF([1]Relatório!$A$2:$A$2653,A1566,[1]Relatório!$AK$2:$AK$2653)</f>
        <v>13</v>
      </c>
      <c r="E1566" s="11">
        <f t="shared" si="48"/>
        <v>2.22238557705951e-5</v>
      </c>
      <c r="F1566" s="11">
        <f>SUM($E$7:E1566)</f>
        <v>0.99822380106572</v>
      </c>
      <c r="G1566" s="12" t="str">
        <f t="shared" si="49"/>
        <v>C</v>
      </c>
      <c r="H1566" s="9" t="s">
        <v>2406</v>
      </c>
      <c r="I1566" s="9" t="s">
        <v>3356</v>
      </c>
      <c r="J1566" s="9" t="s">
        <v>241</v>
      </c>
      <c r="K1566" s="10" t="str">
        <f>IFERROR(VLOOKUP(A1566,'Pedido ESTHER'!$B:$C,2,0),"")</f>
        <v/>
      </c>
      <c r="L1566" s="12" t="str">
        <f>IF(N(K1566)&gt;0,"COMPRA","NÃO COMPRA")</f>
        <v>NÃO COMPRA</v>
      </c>
    </row>
    <row r="1567" spans="1:12">
      <c r="A1567" s="8" t="s">
        <v>3357</v>
      </c>
      <c r="B1567" s="9" t="s">
        <v>1895</v>
      </c>
      <c r="C1567" s="9" t="e">
        <f>VLOOKUP(A1567,[2]Planilha1!$A:$B,2,0)</f>
        <v>#N/A</v>
      </c>
      <c r="D1567" s="10">
        <f>SUMIF([1]Relatório!$A$2:$A$2653,A1567,[1]Relatório!$AK$2:$AK$2653)</f>
        <v>13</v>
      </c>
      <c r="E1567" s="11">
        <f t="shared" si="48"/>
        <v>2.22238557705951e-5</v>
      </c>
      <c r="F1567" s="11">
        <f>SUM($E$7:E1567)</f>
        <v>0.998246024921491</v>
      </c>
      <c r="G1567" s="12" t="str">
        <f t="shared" si="49"/>
        <v>C</v>
      </c>
      <c r="H1567" s="9" t="s">
        <v>2406</v>
      </c>
      <c r="I1567" s="9" t="s">
        <v>3358</v>
      </c>
      <c r="J1567" s="9" t="s">
        <v>15</v>
      </c>
      <c r="K1567" s="10" t="str">
        <f>IFERROR(VLOOKUP(A1567,'Pedido ESTHER'!$B:$C,2,0),"")</f>
        <v/>
      </c>
      <c r="L1567" s="12" t="str">
        <f>IF(N(K1567)&gt;0,"COMPRA","NÃO COMPRA")</f>
        <v>NÃO COMPRA</v>
      </c>
    </row>
    <row r="1568" spans="1:12">
      <c r="A1568" s="8" t="s">
        <v>3359</v>
      </c>
      <c r="B1568" s="9" t="s">
        <v>1945</v>
      </c>
      <c r="C1568" s="9" t="e">
        <f>VLOOKUP(A1568,[2]Planilha1!$A:$B,2,0)</f>
        <v>#N/A</v>
      </c>
      <c r="D1568" s="10">
        <f>SUMIF([1]Relatório!$A$2:$A$2653,A1568,[1]Relatório!$AK$2:$AK$2653)</f>
        <v>13</v>
      </c>
      <c r="E1568" s="11">
        <f t="shared" si="48"/>
        <v>2.22238557705951e-5</v>
      </c>
      <c r="F1568" s="11">
        <f>SUM($E$7:E1568)</f>
        <v>0.998268248777262</v>
      </c>
      <c r="G1568" s="12" t="str">
        <f t="shared" si="49"/>
        <v>C</v>
      </c>
      <c r="H1568" s="9" t="s">
        <v>2406</v>
      </c>
      <c r="I1568" s="9" t="s">
        <v>3360</v>
      </c>
      <c r="J1568" s="9" t="s">
        <v>15</v>
      </c>
      <c r="K1568" s="10" t="str">
        <f>IFERROR(VLOOKUP(A1568,'Pedido ESTHER'!$B:$C,2,0),"")</f>
        <v/>
      </c>
      <c r="L1568" s="12" t="str">
        <f>IF(N(K1568)&gt;0,"COMPRA","NÃO COMPRA")</f>
        <v>NÃO COMPRA</v>
      </c>
    </row>
    <row r="1569" spans="1:12">
      <c r="A1569" s="8" t="s">
        <v>3361</v>
      </c>
      <c r="B1569" s="9" t="s">
        <v>812</v>
      </c>
      <c r="C1569" s="9" t="e">
        <f>VLOOKUP(A1569,[2]Planilha1!$A:$B,2,0)</f>
        <v>#N/A</v>
      </c>
      <c r="D1569" s="10">
        <f>SUMIF([1]Relatório!$A$2:$A$2653,A1569,[1]Relatório!$AK$2:$AK$2653)</f>
        <v>13</v>
      </c>
      <c r="E1569" s="11">
        <f t="shared" si="48"/>
        <v>2.22238557705951e-5</v>
      </c>
      <c r="F1569" s="11">
        <f>SUM($E$7:E1569)</f>
        <v>0.998290472633032</v>
      </c>
      <c r="G1569" s="12" t="str">
        <f t="shared" si="49"/>
        <v>C</v>
      </c>
      <c r="H1569" s="9" t="s">
        <v>892</v>
      </c>
      <c r="I1569" s="9" t="s">
        <v>3362</v>
      </c>
      <c r="J1569" s="9" t="s">
        <v>1143</v>
      </c>
      <c r="K1569" s="10" t="str">
        <f>IFERROR(VLOOKUP(A1569,'Pedido ESTHER'!$B:$C,2,0),"")</f>
        <v/>
      </c>
      <c r="L1569" s="12" t="str">
        <f>IF(N(K1569)&gt;0,"COMPRA","NÃO COMPRA")</f>
        <v>NÃO COMPRA</v>
      </c>
    </row>
    <row r="1570" spans="1:12">
      <c r="A1570" s="8" t="s">
        <v>3363</v>
      </c>
      <c r="B1570" s="9" t="s">
        <v>1645</v>
      </c>
      <c r="C1570" s="9" t="e">
        <f>VLOOKUP(A1570,[2]Planilha1!$A:$B,2,0)</f>
        <v>#N/A</v>
      </c>
      <c r="D1570" s="10">
        <f>SUMIF([1]Relatório!$A$2:$A$2653,A1570,[1]Relatório!$AK$2:$AK$2653)</f>
        <v>13</v>
      </c>
      <c r="E1570" s="11">
        <f t="shared" si="48"/>
        <v>2.22238557705951e-5</v>
      </c>
      <c r="F1570" s="11">
        <f>SUM($E$7:E1570)</f>
        <v>0.998312696488803</v>
      </c>
      <c r="G1570" s="12" t="str">
        <f t="shared" si="49"/>
        <v>C</v>
      </c>
      <c r="H1570" s="9" t="s">
        <v>183</v>
      </c>
      <c r="I1570" s="9" t="s">
        <v>3364</v>
      </c>
      <c r="J1570" s="9" t="s">
        <v>33</v>
      </c>
      <c r="K1570" s="10" t="str">
        <f>IFERROR(VLOOKUP(A1570,'Pedido ESTHER'!$B:$C,2,0),"")</f>
        <v/>
      </c>
      <c r="L1570" s="12" t="str">
        <f>IF(N(K1570)&gt;0,"COMPRA","NÃO COMPRA")</f>
        <v>NÃO COMPRA</v>
      </c>
    </row>
    <row r="1571" spans="1:12">
      <c r="A1571" s="8" t="s">
        <v>3365</v>
      </c>
      <c r="B1571" s="9" t="s">
        <v>2411</v>
      </c>
      <c r="C1571" s="9" t="e">
        <f>VLOOKUP(A1571,[2]Planilha1!$A:$B,2,0)</f>
        <v>#N/A</v>
      </c>
      <c r="D1571" s="10">
        <f>SUMIF([1]Relatório!$A$2:$A$2653,A1571,[1]Relatório!$AK$2:$AK$2653)</f>
        <v>13</v>
      </c>
      <c r="E1571" s="11">
        <f t="shared" si="48"/>
        <v>2.22238557705951e-5</v>
      </c>
      <c r="F1571" s="11">
        <f>SUM($E$7:E1571)</f>
        <v>0.998334920344573</v>
      </c>
      <c r="G1571" s="12" t="str">
        <f t="shared" si="49"/>
        <v>C</v>
      </c>
      <c r="H1571" s="9" t="s">
        <v>74</v>
      </c>
      <c r="I1571" s="9" t="s">
        <v>3366</v>
      </c>
      <c r="J1571" s="9" t="s">
        <v>40</v>
      </c>
      <c r="K1571" s="10" t="str">
        <f>IFERROR(VLOOKUP(A1571,'Pedido ESTHER'!$B:$C,2,0),"")</f>
        <v/>
      </c>
      <c r="L1571" s="12" t="str">
        <f>IF(N(K1571)&gt;0,"COMPRA","NÃO COMPRA")</f>
        <v>NÃO COMPRA</v>
      </c>
    </row>
    <row r="1572" spans="1:12">
      <c r="A1572" s="8" t="s">
        <v>3367</v>
      </c>
      <c r="B1572" s="9" t="s">
        <v>2411</v>
      </c>
      <c r="C1572" s="9" t="e">
        <f>VLOOKUP(A1572,[2]Planilha1!$A:$B,2,0)</f>
        <v>#N/A</v>
      </c>
      <c r="D1572" s="10">
        <f>SUMIF([1]Relatório!$A$2:$A$2653,A1572,[1]Relatório!$AK$2:$AK$2653)</f>
        <v>13</v>
      </c>
      <c r="E1572" s="11">
        <f t="shared" si="48"/>
        <v>2.22238557705951e-5</v>
      </c>
      <c r="F1572" s="11">
        <f>SUM($E$7:E1572)</f>
        <v>0.998357144200344</v>
      </c>
      <c r="G1572" s="12" t="str">
        <f t="shared" si="49"/>
        <v>C</v>
      </c>
      <c r="H1572" s="9" t="s">
        <v>74</v>
      </c>
      <c r="I1572" s="9"/>
      <c r="J1572" s="9" t="s">
        <v>2813</v>
      </c>
      <c r="K1572" s="10" t="str">
        <f>IFERROR(VLOOKUP(A1572,'Pedido ESTHER'!$B:$C,2,0),"")</f>
        <v/>
      </c>
      <c r="L1572" s="12" t="str">
        <f>IF(N(K1572)&gt;0,"COMPRA","NÃO COMPRA")</f>
        <v>NÃO COMPRA</v>
      </c>
    </row>
    <row r="1573" spans="1:12">
      <c r="A1573" s="8" t="s">
        <v>3368</v>
      </c>
      <c r="B1573" s="9" t="s">
        <v>2341</v>
      </c>
      <c r="C1573" s="9" t="e">
        <f>VLOOKUP(A1573,[2]Planilha1!$A:$B,2,0)</f>
        <v>#N/A</v>
      </c>
      <c r="D1573" s="10">
        <f>SUMIF([1]Relatório!$A$2:$A$2653,A1573,[1]Relatório!$AK$2:$AK$2653)</f>
        <v>13</v>
      </c>
      <c r="E1573" s="11">
        <f t="shared" si="48"/>
        <v>2.22238557705951e-5</v>
      </c>
      <c r="F1573" s="11">
        <f>SUM($E$7:E1573)</f>
        <v>0.998379368056114</v>
      </c>
      <c r="G1573" s="12" t="str">
        <f t="shared" si="49"/>
        <v>C</v>
      </c>
      <c r="H1573" s="9" t="s">
        <v>1117</v>
      </c>
      <c r="I1573" s="9" t="s">
        <v>3369</v>
      </c>
      <c r="J1573" s="9" t="s">
        <v>359</v>
      </c>
      <c r="K1573" s="10" t="str">
        <f>IFERROR(VLOOKUP(A1573,'Pedido ESTHER'!$B:$C,2,0),"")</f>
        <v/>
      </c>
      <c r="L1573" s="12" t="str">
        <f>IF(N(K1573)&gt;0,"COMPRA","NÃO COMPRA")</f>
        <v>NÃO COMPRA</v>
      </c>
    </row>
    <row r="1574" spans="1:12">
      <c r="A1574" s="8" t="s">
        <v>3370</v>
      </c>
      <c r="B1574" s="9" t="s">
        <v>3371</v>
      </c>
      <c r="C1574" s="9" t="e">
        <f>VLOOKUP(A1574,[2]Planilha1!$A:$B,2,0)</f>
        <v>#N/A</v>
      </c>
      <c r="D1574" s="10">
        <f>SUMIF([1]Relatório!$A$2:$A$2653,A1574,[1]Relatório!$AK$2:$AK$2653)</f>
        <v>13</v>
      </c>
      <c r="E1574" s="11">
        <f t="shared" si="48"/>
        <v>2.22238557705951e-5</v>
      </c>
      <c r="F1574" s="11">
        <f>SUM($E$7:E1574)</f>
        <v>0.998401591911885</v>
      </c>
      <c r="G1574" s="12" t="str">
        <f t="shared" si="49"/>
        <v>C</v>
      </c>
      <c r="H1574" s="9" t="s">
        <v>2452</v>
      </c>
      <c r="I1574" s="9" t="s">
        <v>3372</v>
      </c>
      <c r="J1574" s="9" t="s">
        <v>36</v>
      </c>
      <c r="K1574" s="10" t="str">
        <f>IFERROR(VLOOKUP(A1574,'Pedido ESTHER'!$B:$C,2,0),"")</f>
        <v/>
      </c>
      <c r="L1574" s="12" t="str">
        <f>IF(N(K1574)&gt;0,"COMPRA","NÃO COMPRA")</f>
        <v>NÃO COMPRA</v>
      </c>
    </row>
    <row r="1575" spans="1:12">
      <c r="A1575" s="8" t="s">
        <v>3373</v>
      </c>
      <c r="B1575" s="9" t="s">
        <v>3230</v>
      </c>
      <c r="C1575" s="9" t="e">
        <f>VLOOKUP(A1575,[2]Planilha1!$A:$B,2,0)</f>
        <v>#N/A</v>
      </c>
      <c r="D1575" s="10">
        <f>SUMIF([1]Relatório!$A$2:$A$2653,A1575,[1]Relatório!$AK$2:$AK$2653)</f>
        <v>13</v>
      </c>
      <c r="E1575" s="11">
        <f t="shared" si="48"/>
        <v>2.22238557705951e-5</v>
      </c>
      <c r="F1575" s="11">
        <f>SUM($E$7:E1575)</f>
        <v>0.998423815767655</v>
      </c>
      <c r="G1575" s="12" t="str">
        <f t="shared" si="49"/>
        <v>C</v>
      </c>
      <c r="H1575" s="9" t="s">
        <v>2452</v>
      </c>
      <c r="I1575" s="9" t="s">
        <v>3374</v>
      </c>
      <c r="J1575" s="9" t="s">
        <v>58</v>
      </c>
      <c r="K1575" s="10" t="str">
        <f>IFERROR(VLOOKUP(A1575,'Pedido ESTHER'!$B:$C,2,0),"")</f>
        <v/>
      </c>
      <c r="L1575" s="12" t="str">
        <f>IF(N(K1575)&gt;0,"COMPRA","NÃO COMPRA")</f>
        <v>NÃO COMPRA</v>
      </c>
    </row>
    <row r="1576" spans="1:12">
      <c r="A1576" s="8" t="s">
        <v>3375</v>
      </c>
      <c r="B1576" s="9" t="s">
        <v>2481</v>
      </c>
      <c r="C1576" s="9" t="e">
        <f>VLOOKUP(A1576,[2]Planilha1!$A:$B,2,0)</f>
        <v>#N/A</v>
      </c>
      <c r="D1576" s="10">
        <f>SUMIF([1]Relatório!$A$2:$A$2653,A1576,[1]Relatório!$AK$2:$AK$2653)</f>
        <v>13</v>
      </c>
      <c r="E1576" s="11">
        <f t="shared" si="48"/>
        <v>2.22238557705951e-5</v>
      </c>
      <c r="F1576" s="11">
        <f>SUM($E$7:E1576)</f>
        <v>0.998446039623426</v>
      </c>
      <c r="G1576" s="12" t="str">
        <f t="shared" si="49"/>
        <v>C</v>
      </c>
      <c r="H1576" s="9" t="s">
        <v>2452</v>
      </c>
      <c r="I1576" s="9" t="s">
        <v>3376</v>
      </c>
      <c r="J1576" s="9" t="s">
        <v>33</v>
      </c>
      <c r="K1576" s="10" t="str">
        <f>IFERROR(VLOOKUP(A1576,'Pedido ESTHER'!$B:$C,2,0),"")</f>
        <v/>
      </c>
      <c r="L1576" s="12" t="str">
        <f>IF(N(K1576)&gt;0,"COMPRA","NÃO COMPRA")</f>
        <v>NÃO COMPRA</v>
      </c>
    </row>
    <row r="1577" spans="1:12">
      <c r="A1577" s="8" t="s">
        <v>3377</v>
      </c>
      <c r="B1577" s="9" t="s">
        <v>3319</v>
      </c>
      <c r="C1577" s="9" t="e">
        <f>VLOOKUP(A1577,[2]Planilha1!$A:$B,2,0)</f>
        <v>#N/A</v>
      </c>
      <c r="D1577" s="10">
        <f>SUMIF([1]Relatório!$A$2:$A$2653,A1577,[1]Relatório!$AK$2:$AK$2653)</f>
        <v>13</v>
      </c>
      <c r="E1577" s="11">
        <f t="shared" si="48"/>
        <v>2.22238557705951e-5</v>
      </c>
      <c r="F1577" s="11">
        <f>SUM($E$7:E1577)</f>
        <v>0.998468263479196</v>
      </c>
      <c r="G1577" s="12" t="str">
        <f t="shared" si="49"/>
        <v>C</v>
      </c>
      <c r="H1577" s="9" t="s">
        <v>2452</v>
      </c>
      <c r="I1577" s="9" t="s">
        <v>3378</v>
      </c>
      <c r="J1577" s="9" t="s">
        <v>241</v>
      </c>
      <c r="K1577" s="10" t="str">
        <f>IFERROR(VLOOKUP(A1577,'Pedido ESTHER'!$B:$C,2,0),"")</f>
        <v/>
      </c>
      <c r="L1577" s="12" t="str">
        <f>IF(N(K1577)&gt;0,"COMPRA","NÃO COMPRA")</f>
        <v>NÃO COMPRA</v>
      </c>
    </row>
    <row r="1578" spans="1:12">
      <c r="A1578" s="8" t="s">
        <v>3379</v>
      </c>
      <c r="B1578" s="9" t="s">
        <v>3380</v>
      </c>
      <c r="C1578" s="9" t="e">
        <f>VLOOKUP(A1578,[2]Planilha1!$A:$B,2,0)</f>
        <v>#N/A</v>
      </c>
      <c r="D1578" s="10">
        <f>SUMIF([1]Relatório!$A$2:$A$2653,A1578,[1]Relatório!$AK$2:$AK$2653)</f>
        <v>13</v>
      </c>
      <c r="E1578" s="11">
        <f t="shared" si="48"/>
        <v>2.22238557705951e-5</v>
      </c>
      <c r="F1578" s="11">
        <f>SUM($E$7:E1578)</f>
        <v>0.998490487334967</v>
      </c>
      <c r="G1578" s="12" t="str">
        <f t="shared" si="49"/>
        <v>C</v>
      </c>
      <c r="H1578" s="9" t="s">
        <v>2452</v>
      </c>
      <c r="I1578" s="9" t="s">
        <v>3381</v>
      </c>
      <c r="J1578" s="9" t="s">
        <v>158</v>
      </c>
      <c r="K1578" s="10" t="str">
        <f>IFERROR(VLOOKUP(A1578,'Pedido ESTHER'!$B:$C,2,0),"")</f>
        <v/>
      </c>
      <c r="L1578" s="12" t="str">
        <f>IF(N(K1578)&gt;0,"COMPRA","NÃO COMPRA")</f>
        <v>NÃO COMPRA</v>
      </c>
    </row>
    <row r="1579" spans="1:12">
      <c r="A1579" s="8" t="s">
        <v>3382</v>
      </c>
      <c r="B1579" s="9" t="s">
        <v>2330</v>
      </c>
      <c r="C1579" s="9" t="e">
        <f>VLOOKUP(A1579,[2]Planilha1!$A:$B,2,0)</f>
        <v>#N/A</v>
      </c>
      <c r="D1579" s="10">
        <f>SUMIF([1]Relatório!$A$2:$A$2653,A1579,[1]Relatório!$AK$2:$AK$2653)</f>
        <v>12</v>
      </c>
      <c r="E1579" s="11">
        <f t="shared" si="48"/>
        <v>2.05143284036263e-5</v>
      </c>
      <c r="F1579" s="11">
        <f>SUM($E$7:E1579)</f>
        <v>0.998511001663371</v>
      </c>
      <c r="G1579" s="12" t="str">
        <f t="shared" si="49"/>
        <v>C</v>
      </c>
      <c r="H1579" s="9" t="s">
        <v>1344</v>
      </c>
      <c r="I1579" s="9" t="s">
        <v>3383</v>
      </c>
      <c r="J1579" s="9" t="s">
        <v>36</v>
      </c>
      <c r="K1579" s="10" t="str">
        <f>IFERROR(VLOOKUP(A1579,'Pedido ESTHER'!$B:$C,2,0),"")</f>
        <v/>
      </c>
      <c r="L1579" s="12" t="str">
        <f>IF(N(K1579)&gt;0,"COMPRA","NÃO COMPRA")</f>
        <v>NÃO COMPRA</v>
      </c>
    </row>
    <row r="1580" spans="1:12">
      <c r="A1580" s="8" t="s">
        <v>3384</v>
      </c>
      <c r="B1580" s="9" t="s">
        <v>721</v>
      </c>
      <c r="C1580" s="9" t="e">
        <f>VLOOKUP(A1580,[2]Planilha1!$A:$B,2,0)</f>
        <v>#N/A</v>
      </c>
      <c r="D1580" s="10">
        <f>SUMIF([1]Relatório!$A$2:$A$2653,A1580,[1]Relatório!$AK$2:$AK$2653)</f>
        <v>12</v>
      </c>
      <c r="E1580" s="11">
        <f t="shared" si="48"/>
        <v>2.05143284036263e-5</v>
      </c>
      <c r="F1580" s="11">
        <f>SUM($E$7:E1580)</f>
        <v>0.998531515991774</v>
      </c>
      <c r="G1580" s="12" t="str">
        <f t="shared" si="49"/>
        <v>C</v>
      </c>
      <c r="H1580" s="9" t="s">
        <v>183</v>
      </c>
      <c r="I1580" s="9"/>
      <c r="J1580" s="9" t="s">
        <v>158</v>
      </c>
      <c r="K1580" s="10" t="str">
        <f>IFERROR(VLOOKUP(A1580,'Pedido ESTHER'!$B:$C,2,0),"")</f>
        <v/>
      </c>
      <c r="L1580" s="12" t="str">
        <f>IF(N(K1580)&gt;0,"COMPRA","NÃO COMPRA")</f>
        <v>NÃO COMPRA</v>
      </c>
    </row>
    <row r="1581" spans="1:12">
      <c r="A1581" s="8" t="s">
        <v>3385</v>
      </c>
      <c r="B1581" s="9" t="s">
        <v>1900</v>
      </c>
      <c r="C1581" s="9" t="e">
        <f>VLOOKUP(A1581,[2]Planilha1!$A:$B,2,0)</f>
        <v>#N/A</v>
      </c>
      <c r="D1581" s="10">
        <f>SUMIF([1]Relatório!$A$2:$A$2653,A1581,[1]Relatório!$AK$2:$AK$2653)</f>
        <v>12</v>
      </c>
      <c r="E1581" s="11">
        <f t="shared" si="48"/>
        <v>2.05143284036263e-5</v>
      </c>
      <c r="F1581" s="11">
        <f>SUM($E$7:E1581)</f>
        <v>0.998552030320178</v>
      </c>
      <c r="G1581" s="12" t="str">
        <f t="shared" si="49"/>
        <v>C</v>
      </c>
      <c r="H1581" s="9" t="s">
        <v>892</v>
      </c>
      <c r="I1581" s="9" t="s">
        <v>3386</v>
      </c>
      <c r="J1581" s="9" t="s">
        <v>2894</v>
      </c>
      <c r="K1581" s="10" t="str">
        <f>IFERROR(VLOOKUP(A1581,'Pedido ESTHER'!$B:$C,2,0),"")</f>
        <v/>
      </c>
      <c r="L1581" s="12" t="str">
        <f>IF(N(K1581)&gt;0,"COMPRA","NÃO COMPRA")</f>
        <v>NÃO COMPRA</v>
      </c>
    </row>
    <row r="1582" spans="1:12">
      <c r="A1582" s="8" t="s">
        <v>3387</v>
      </c>
      <c r="B1582" s="9" t="s">
        <v>1428</v>
      </c>
      <c r="C1582" s="9" t="e">
        <f>VLOOKUP(A1582,[2]Planilha1!$A:$B,2,0)</f>
        <v>#N/A</v>
      </c>
      <c r="D1582" s="10">
        <f>SUMIF([1]Relatório!$A$2:$A$2653,A1582,[1]Relatório!$AK$2:$AK$2653)</f>
        <v>12</v>
      </c>
      <c r="E1582" s="11">
        <f t="shared" si="48"/>
        <v>2.05143284036263e-5</v>
      </c>
      <c r="F1582" s="11">
        <f>SUM($E$7:E1582)</f>
        <v>0.998572544648582</v>
      </c>
      <c r="G1582" s="12" t="str">
        <f t="shared" si="49"/>
        <v>C</v>
      </c>
      <c r="H1582" s="9" t="s">
        <v>1117</v>
      </c>
      <c r="I1582" s="9" t="s">
        <v>3388</v>
      </c>
      <c r="J1582" s="9" t="s">
        <v>213</v>
      </c>
      <c r="K1582" s="10" t="str">
        <f>IFERROR(VLOOKUP(A1582,'Pedido ESTHER'!$B:$C,2,0),"")</f>
        <v/>
      </c>
      <c r="L1582" s="12" t="str">
        <f>IF(N(K1582)&gt;0,"COMPRA","NÃO COMPRA")</f>
        <v>NÃO COMPRA</v>
      </c>
    </row>
    <row r="1583" spans="1:12">
      <c r="A1583" s="8" t="s">
        <v>3389</v>
      </c>
      <c r="B1583" s="9" t="s">
        <v>2102</v>
      </c>
      <c r="C1583" s="9" t="e">
        <f>VLOOKUP(A1583,[2]Planilha1!$A:$B,2,0)</f>
        <v>#N/A</v>
      </c>
      <c r="D1583" s="10">
        <f>SUMIF([1]Relatório!$A$2:$A$2653,A1583,[1]Relatório!$AK$2:$AK$2653)</f>
        <v>12</v>
      </c>
      <c r="E1583" s="11">
        <f t="shared" si="48"/>
        <v>2.05143284036263e-5</v>
      </c>
      <c r="F1583" s="11">
        <f>SUM($E$7:E1583)</f>
        <v>0.998593058976985</v>
      </c>
      <c r="G1583" s="12" t="str">
        <f t="shared" si="49"/>
        <v>C</v>
      </c>
      <c r="H1583" s="9" t="s">
        <v>1117</v>
      </c>
      <c r="I1583" s="9" t="s">
        <v>3390</v>
      </c>
      <c r="J1583" s="9" t="s">
        <v>1143</v>
      </c>
      <c r="K1583" s="10" t="str">
        <f>IFERROR(VLOOKUP(A1583,'Pedido ESTHER'!$B:$C,2,0),"")</f>
        <v/>
      </c>
      <c r="L1583" s="12" t="str">
        <f>IF(N(K1583)&gt;0,"COMPRA","NÃO COMPRA")</f>
        <v>NÃO COMPRA</v>
      </c>
    </row>
    <row r="1584" spans="1:12">
      <c r="A1584" s="8" t="s">
        <v>3391</v>
      </c>
      <c r="B1584" s="9" t="s">
        <v>2645</v>
      </c>
      <c r="C1584" s="9" t="e">
        <f>VLOOKUP(A1584,[2]Planilha1!$A:$B,2,0)</f>
        <v>#N/A</v>
      </c>
      <c r="D1584" s="10">
        <f>SUMIF([1]Relatório!$A$2:$A$2653,A1584,[1]Relatório!$AK$2:$AK$2653)</f>
        <v>12</v>
      </c>
      <c r="E1584" s="11">
        <f t="shared" si="48"/>
        <v>2.05143284036263e-5</v>
      </c>
      <c r="F1584" s="11">
        <f>SUM($E$7:E1584)</f>
        <v>0.998613573305389</v>
      </c>
      <c r="G1584" s="12" t="str">
        <f t="shared" si="49"/>
        <v>C</v>
      </c>
      <c r="H1584" s="9" t="s">
        <v>2452</v>
      </c>
      <c r="I1584" s="9" t="s">
        <v>3392</v>
      </c>
      <c r="J1584" s="9" t="s">
        <v>23</v>
      </c>
      <c r="K1584" s="10" t="str">
        <f>IFERROR(VLOOKUP(A1584,'Pedido ESTHER'!$B:$C,2,0),"")</f>
        <v/>
      </c>
      <c r="L1584" s="12" t="str">
        <f>IF(N(K1584)&gt;0,"COMPRA","NÃO COMPRA")</f>
        <v>NÃO COMPRA</v>
      </c>
    </row>
    <row r="1585" spans="1:12">
      <c r="A1585" s="8" t="s">
        <v>3393</v>
      </c>
      <c r="B1585" s="9" t="s">
        <v>3319</v>
      </c>
      <c r="C1585" s="9" t="e">
        <f>VLOOKUP(A1585,[2]Planilha1!$A:$B,2,0)</f>
        <v>#N/A</v>
      </c>
      <c r="D1585" s="10">
        <f>SUMIF([1]Relatório!$A$2:$A$2653,A1585,[1]Relatório!$AK$2:$AK$2653)</f>
        <v>12</v>
      </c>
      <c r="E1585" s="11">
        <f t="shared" si="48"/>
        <v>2.05143284036263e-5</v>
      </c>
      <c r="F1585" s="11">
        <f>SUM($E$7:E1585)</f>
        <v>0.998634087633793</v>
      </c>
      <c r="G1585" s="12" t="str">
        <f t="shared" si="49"/>
        <v>C</v>
      </c>
      <c r="H1585" s="9" t="s">
        <v>2452</v>
      </c>
      <c r="I1585" s="9" t="s">
        <v>3394</v>
      </c>
      <c r="J1585" s="9" t="s">
        <v>241</v>
      </c>
      <c r="K1585" s="10" t="str">
        <f>IFERROR(VLOOKUP(A1585,'Pedido ESTHER'!$B:$C,2,0),"")</f>
        <v/>
      </c>
      <c r="L1585" s="12" t="str">
        <f>IF(N(K1585)&gt;0,"COMPRA","NÃO COMPRA")</f>
        <v>NÃO COMPRA</v>
      </c>
    </row>
    <row r="1586" spans="1:12">
      <c r="A1586" s="8" t="s">
        <v>3395</v>
      </c>
      <c r="B1586" s="9" t="s">
        <v>2455</v>
      </c>
      <c r="C1586" s="9" t="e">
        <f>VLOOKUP(A1586,[2]Planilha1!$A:$B,2,0)</f>
        <v>#N/A</v>
      </c>
      <c r="D1586" s="10">
        <f>SUMIF([1]Relatório!$A$2:$A$2653,A1586,[1]Relatório!$AK$2:$AK$2653)</f>
        <v>12</v>
      </c>
      <c r="E1586" s="11">
        <f t="shared" si="48"/>
        <v>2.05143284036263e-5</v>
      </c>
      <c r="F1586" s="11">
        <f>SUM($E$7:E1586)</f>
        <v>0.998654601962196</v>
      </c>
      <c r="G1586" s="12" t="str">
        <f t="shared" si="49"/>
        <v>C</v>
      </c>
      <c r="H1586" s="9" t="s">
        <v>2452</v>
      </c>
      <c r="I1586" s="9" t="s">
        <v>3396</v>
      </c>
      <c r="J1586" s="9" t="s">
        <v>44</v>
      </c>
      <c r="K1586" s="10" t="str">
        <f>IFERROR(VLOOKUP(A1586,'Pedido ESTHER'!$B:$C,2,0),"")</f>
        <v/>
      </c>
      <c r="L1586" s="12" t="str">
        <f>IF(N(K1586)&gt;0,"COMPRA","NÃO COMPRA")</f>
        <v>NÃO COMPRA</v>
      </c>
    </row>
    <row r="1587" spans="1:12">
      <c r="A1587" s="8" t="s">
        <v>3397</v>
      </c>
      <c r="B1587" s="9" t="s">
        <v>3075</v>
      </c>
      <c r="C1587" s="9" t="e">
        <f>VLOOKUP(A1587,[2]Planilha1!$A:$B,2,0)</f>
        <v>#N/A</v>
      </c>
      <c r="D1587" s="10">
        <f>SUMIF([1]Relatório!$A$2:$A$2653,A1587,[1]Relatório!$AK$2:$AK$2653)</f>
        <v>12</v>
      </c>
      <c r="E1587" s="11">
        <f t="shared" si="48"/>
        <v>2.05143284036263e-5</v>
      </c>
      <c r="F1587" s="11">
        <f>SUM($E$7:E1587)</f>
        <v>0.9986751162906</v>
      </c>
      <c r="G1587" s="12" t="str">
        <f t="shared" si="49"/>
        <v>C</v>
      </c>
      <c r="H1587" s="9" t="s">
        <v>2452</v>
      </c>
      <c r="I1587" s="9" t="s">
        <v>3398</v>
      </c>
      <c r="J1587" s="9" t="s">
        <v>29</v>
      </c>
      <c r="K1587" s="10" t="str">
        <f>IFERROR(VLOOKUP(A1587,'Pedido ESTHER'!$B:$C,2,0),"")</f>
        <v/>
      </c>
      <c r="L1587" s="12" t="str">
        <f>IF(N(K1587)&gt;0,"COMPRA","NÃO COMPRA")</f>
        <v>NÃO COMPRA</v>
      </c>
    </row>
    <row r="1588" spans="1:12">
      <c r="A1588" s="8" t="s">
        <v>3399</v>
      </c>
      <c r="B1588" s="9" t="s">
        <v>3075</v>
      </c>
      <c r="C1588" s="9" t="e">
        <f>VLOOKUP(A1588,[2]Planilha1!$A:$B,2,0)</f>
        <v>#N/A</v>
      </c>
      <c r="D1588" s="10">
        <f>SUMIF([1]Relatório!$A$2:$A$2653,A1588,[1]Relatório!$AK$2:$AK$2653)</f>
        <v>12</v>
      </c>
      <c r="E1588" s="11">
        <f t="shared" si="48"/>
        <v>2.05143284036263e-5</v>
      </c>
      <c r="F1588" s="11">
        <f>SUM($E$7:E1588)</f>
        <v>0.998695630619004</v>
      </c>
      <c r="G1588" s="12" t="str">
        <f t="shared" si="49"/>
        <v>C</v>
      </c>
      <c r="H1588" s="9" t="s">
        <v>2452</v>
      </c>
      <c r="I1588" s="9" t="s">
        <v>3400</v>
      </c>
      <c r="J1588" s="9" t="s">
        <v>29</v>
      </c>
      <c r="K1588" s="10" t="str">
        <f>IFERROR(VLOOKUP(A1588,'Pedido ESTHER'!$B:$C,2,0),"")</f>
        <v/>
      </c>
      <c r="L1588" s="12" t="str">
        <f>IF(N(K1588)&gt;0,"COMPRA","NÃO COMPRA")</f>
        <v>NÃO COMPRA</v>
      </c>
    </row>
    <row r="1589" spans="1:12">
      <c r="A1589" s="8" t="s">
        <v>3401</v>
      </c>
      <c r="B1589" s="9" t="s">
        <v>2219</v>
      </c>
      <c r="C1589" s="9" t="e">
        <f>VLOOKUP(A1589,[2]Planilha1!$A:$B,2,0)</f>
        <v>#N/A</v>
      </c>
      <c r="D1589" s="10">
        <f>SUMIF([1]Relatório!$A$2:$A$2653,A1589,[1]Relatório!$AK$2:$AK$2653)</f>
        <v>11</v>
      </c>
      <c r="E1589" s="11">
        <f t="shared" si="48"/>
        <v>1.88048010366574e-5</v>
      </c>
      <c r="F1589" s="11">
        <f>SUM($E$7:E1589)</f>
        <v>0.99871443542004</v>
      </c>
      <c r="G1589" s="12" t="str">
        <f t="shared" si="49"/>
        <v>C</v>
      </c>
      <c r="H1589" s="9" t="s">
        <v>1344</v>
      </c>
      <c r="I1589" s="9" t="s">
        <v>3402</v>
      </c>
      <c r="J1589" s="9" t="s">
        <v>36</v>
      </c>
      <c r="K1589" s="10" t="str">
        <f>IFERROR(VLOOKUP(A1589,'Pedido ESTHER'!$B:$C,2,0),"")</f>
        <v/>
      </c>
      <c r="L1589" s="12" t="str">
        <f>IF(N(K1589)&gt;0,"COMPRA","NÃO COMPRA")</f>
        <v>NÃO COMPRA</v>
      </c>
    </row>
    <row r="1590" spans="1:12">
      <c r="A1590" s="8" t="s">
        <v>3403</v>
      </c>
      <c r="B1590" s="9" t="s">
        <v>2175</v>
      </c>
      <c r="C1590" s="9" t="e">
        <f>VLOOKUP(A1590,[2]Planilha1!$A:$B,2,0)</f>
        <v>#N/A</v>
      </c>
      <c r="D1590" s="10">
        <f>SUMIF([1]Relatório!$A$2:$A$2653,A1590,[1]Relatório!$AK$2:$AK$2653)</f>
        <v>11</v>
      </c>
      <c r="E1590" s="11">
        <f t="shared" si="48"/>
        <v>1.88048010366574e-5</v>
      </c>
      <c r="F1590" s="11">
        <f>SUM($E$7:E1590)</f>
        <v>0.998733240221077</v>
      </c>
      <c r="G1590" s="12" t="str">
        <f t="shared" si="49"/>
        <v>C</v>
      </c>
      <c r="H1590" s="9" t="s">
        <v>831</v>
      </c>
      <c r="I1590" s="9" t="s">
        <v>3404</v>
      </c>
      <c r="J1590" s="9" t="s">
        <v>1143</v>
      </c>
      <c r="K1590" s="10" t="str">
        <f>IFERROR(VLOOKUP(A1590,'Pedido ESTHER'!$B:$C,2,0),"")</f>
        <v/>
      </c>
      <c r="L1590" s="12" t="str">
        <f>IF(N(K1590)&gt;0,"COMPRA","NÃO COMPRA")</f>
        <v>NÃO COMPRA</v>
      </c>
    </row>
    <row r="1591" spans="1:12">
      <c r="A1591" s="8" t="s">
        <v>3405</v>
      </c>
      <c r="B1591" s="9" t="s">
        <v>1956</v>
      </c>
      <c r="C1591" s="9" t="e">
        <f>VLOOKUP(A1591,[2]Planilha1!$A:$B,2,0)</f>
        <v>#N/A</v>
      </c>
      <c r="D1591" s="10">
        <f>SUMIF([1]Relatório!$A$2:$A$2653,A1591,[1]Relatório!$AK$2:$AK$2653)</f>
        <v>11</v>
      </c>
      <c r="E1591" s="11">
        <f t="shared" si="48"/>
        <v>1.88048010366574e-5</v>
      </c>
      <c r="F1591" s="11">
        <f>SUM($E$7:E1591)</f>
        <v>0.998752045022114</v>
      </c>
      <c r="G1591" s="12" t="str">
        <f t="shared" si="49"/>
        <v>C</v>
      </c>
      <c r="H1591" s="9" t="s">
        <v>183</v>
      </c>
      <c r="I1591" s="9" t="s">
        <v>3406</v>
      </c>
      <c r="J1591" s="9" t="s">
        <v>390</v>
      </c>
      <c r="K1591" s="10" t="str">
        <f>IFERROR(VLOOKUP(A1591,'Pedido ESTHER'!$B:$C,2,0),"")</f>
        <v/>
      </c>
      <c r="L1591" s="12" t="str">
        <f>IF(N(K1591)&gt;0,"COMPRA","NÃO COMPRA")</f>
        <v>NÃO COMPRA</v>
      </c>
    </row>
    <row r="1592" spans="1:12">
      <c r="A1592" s="8" t="s">
        <v>3407</v>
      </c>
      <c r="B1592" s="9" t="s">
        <v>2370</v>
      </c>
      <c r="C1592" s="9" t="e">
        <f>VLOOKUP(A1592,[2]Planilha1!$A:$B,2,0)</f>
        <v>#N/A</v>
      </c>
      <c r="D1592" s="10">
        <f>SUMIF([1]Relatório!$A$2:$A$2653,A1592,[1]Relatório!$AK$2:$AK$2653)</f>
        <v>11</v>
      </c>
      <c r="E1592" s="11">
        <f t="shared" si="48"/>
        <v>1.88048010366574e-5</v>
      </c>
      <c r="F1592" s="11">
        <f>SUM($E$7:E1592)</f>
        <v>0.99877084982315</v>
      </c>
      <c r="G1592" s="12" t="str">
        <f t="shared" si="49"/>
        <v>C</v>
      </c>
      <c r="H1592" s="9" t="s">
        <v>74</v>
      </c>
      <c r="I1592" s="9" t="s">
        <v>3408</v>
      </c>
      <c r="J1592" s="9" t="s">
        <v>2813</v>
      </c>
      <c r="K1592" s="10" t="str">
        <f>IFERROR(VLOOKUP(A1592,'Pedido ESTHER'!$B:$C,2,0),"")</f>
        <v/>
      </c>
      <c r="L1592" s="12" t="str">
        <f>IF(N(K1592)&gt;0,"COMPRA","NÃO COMPRA")</f>
        <v>NÃO COMPRA</v>
      </c>
    </row>
    <row r="1593" spans="1:12">
      <c r="A1593" s="8" t="s">
        <v>3409</v>
      </c>
      <c r="B1593" s="9" t="s">
        <v>2455</v>
      </c>
      <c r="C1593" s="9" t="e">
        <f>VLOOKUP(A1593,[2]Planilha1!$A:$B,2,0)</f>
        <v>#N/A</v>
      </c>
      <c r="D1593" s="10">
        <f>SUMIF([1]Relatório!$A$2:$A$2653,A1593,[1]Relatório!$AK$2:$AK$2653)</f>
        <v>11</v>
      </c>
      <c r="E1593" s="11">
        <f t="shared" si="48"/>
        <v>1.88048010366574e-5</v>
      </c>
      <c r="F1593" s="11">
        <f>SUM($E$7:E1593)</f>
        <v>0.998789654624187</v>
      </c>
      <c r="G1593" s="12" t="str">
        <f t="shared" si="49"/>
        <v>C</v>
      </c>
      <c r="H1593" s="9" t="s">
        <v>2452</v>
      </c>
      <c r="I1593" s="9" t="s">
        <v>3410</v>
      </c>
      <c r="J1593" s="9" t="s">
        <v>44</v>
      </c>
      <c r="K1593" s="10" t="str">
        <f>IFERROR(VLOOKUP(A1593,'Pedido ESTHER'!$B:$C,2,0),"")</f>
        <v/>
      </c>
      <c r="L1593" s="12" t="str">
        <f>IF(N(K1593)&gt;0,"COMPRA","NÃO COMPRA")</f>
        <v>NÃO COMPRA</v>
      </c>
    </row>
    <row r="1594" spans="1:12">
      <c r="A1594" s="8" t="s">
        <v>3411</v>
      </c>
      <c r="B1594" s="9" t="s">
        <v>2455</v>
      </c>
      <c r="C1594" s="9" t="e">
        <f>VLOOKUP(A1594,[2]Planilha1!$A:$B,2,0)</f>
        <v>#N/A</v>
      </c>
      <c r="D1594" s="10">
        <f>SUMIF([1]Relatório!$A$2:$A$2653,A1594,[1]Relatório!$AK$2:$AK$2653)</f>
        <v>11</v>
      </c>
      <c r="E1594" s="11">
        <f t="shared" si="48"/>
        <v>1.88048010366574e-5</v>
      </c>
      <c r="F1594" s="11">
        <f>SUM($E$7:E1594)</f>
        <v>0.998808459425224</v>
      </c>
      <c r="G1594" s="12" t="str">
        <f t="shared" si="49"/>
        <v>C</v>
      </c>
      <c r="H1594" s="9" t="s">
        <v>2452</v>
      </c>
      <c r="I1594" s="9" t="s">
        <v>3412</v>
      </c>
      <c r="J1594" s="9" t="s">
        <v>44</v>
      </c>
      <c r="K1594" s="10" t="str">
        <f>IFERROR(VLOOKUP(A1594,'Pedido ESTHER'!$B:$C,2,0),"")</f>
        <v/>
      </c>
      <c r="L1594" s="12" t="str">
        <f>IF(N(K1594)&gt;0,"COMPRA","NÃO COMPRA")</f>
        <v>NÃO COMPRA</v>
      </c>
    </row>
    <row r="1595" spans="1:12">
      <c r="A1595" s="8" t="s">
        <v>3413</v>
      </c>
      <c r="B1595" s="9" t="s">
        <v>2455</v>
      </c>
      <c r="C1595" s="9" t="e">
        <f>VLOOKUP(A1595,[2]Planilha1!$A:$B,2,0)</f>
        <v>#N/A</v>
      </c>
      <c r="D1595" s="10">
        <f>SUMIF([1]Relatório!$A$2:$A$2653,A1595,[1]Relatório!$AK$2:$AK$2653)</f>
        <v>11</v>
      </c>
      <c r="E1595" s="11">
        <f t="shared" si="48"/>
        <v>1.88048010366574e-5</v>
      </c>
      <c r="F1595" s="11">
        <f>SUM($E$7:E1595)</f>
        <v>0.99882726422626</v>
      </c>
      <c r="G1595" s="12" t="str">
        <f t="shared" si="49"/>
        <v>C</v>
      </c>
      <c r="H1595" s="9" t="s">
        <v>2452</v>
      </c>
      <c r="I1595" s="9" t="s">
        <v>3414</v>
      </c>
      <c r="J1595" s="9" t="s">
        <v>44</v>
      </c>
      <c r="K1595" s="10" t="str">
        <f>IFERROR(VLOOKUP(A1595,'Pedido ESTHER'!$B:$C,2,0),"")</f>
        <v/>
      </c>
      <c r="L1595" s="12" t="str">
        <f>IF(N(K1595)&gt;0,"COMPRA","NÃO COMPRA")</f>
        <v>NÃO COMPRA</v>
      </c>
    </row>
    <row r="1596" spans="1:12">
      <c r="A1596" s="8" t="s">
        <v>3415</v>
      </c>
      <c r="B1596" s="9" t="s">
        <v>2455</v>
      </c>
      <c r="C1596" s="9" t="e">
        <f>VLOOKUP(A1596,[2]Planilha1!$A:$B,2,0)</f>
        <v>#N/A</v>
      </c>
      <c r="D1596" s="10">
        <f>SUMIF([1]Relatório!$A$2:$A$2653,A1596,[1]Relatório!$AK$2:$AK$2653)</f>
        <v>11</v>
      </c>
      <c r="E1596" s="11">
        <f t="shared" si="48"/>
        <v>1.88048010366574e-5</v>
      </c>
      <c r="F1596" s="11">
        <f>SUM($E$7:E1596)</f>
        <v>0.998846069027297</v>
      </c>
      <c r="G1596" s="12" t="str">
        <f t="shared" si="49"/>
        <v>C</v>
      </c>
      <c r="H1596" s="9" t="s">
        <v>2452</v>
      </c>
      <c r="I1596" s="9" t="s">
        <v>3416</v>
      </c>
      <c r="J1596" s="9" t="s">
        <v>44</v>
      </c>
      <c r="K1596" s="10" t="str">
        <f>IFERROR(VLOOKUP(A1596,'Pedido ESTHER'!$B:$C,2,0),"")</f>
        <v/>
      </c>
      <c r="L1596" s="12" t="str">
        <f>IF(N(K1596)&gt;0,"COMPRA","NÃO COMPRA")</f>
        <v>NÃO COMPRA</v>
      </c>
    </row>
    <row r="1597" spans="1:12">
      <c r="A1597" s="8" t="s">
        <v>3417</v>
      </c>
      <c r="B1597" s="9" t="s">
        <v>3322</v>
      </c>
      <c r="C1597" s="9" t="e">
        <f>VLOOKUP(A1597,[2]Planilha1!$A:$B,2,0)</f>
        <v>#N/A</v>
      </c>
      <c r="D1597" s="10">
        <f>SUMIF([1]Relatório!$A$2:$A$2653,A1597,[1]Relatório!$AK$2:$AK$2653)</f>
        <v>11</v>
      </c>
      <c r="E1597" s="11">
        <f t="shared" si="48"/>
        <v>1.88048010366574e-5</v>
      </c>
      <c r="F1597" s="11">
        <f>SUM($E$7:E1597)</f>
        <v>0.998864873828334</v>
      </c>
      <c r="G1597" s="12" t="str">
        <f t="shared" si="49"/>
        <v>C</v>
      </c>
      <c r="H1597" s="9" t="s">
        <v>2452</v>
      </c>
      <c r="I1597" s="9" t="s">
        <v>3418</v>
      </c>
      <c r="J1597" s="9" t="s">
        <v>359</v>
      </c>
      <c r="K1597" s="10" t="str">
        <f>IFERROR(VLOOKUP(A1597,'Pedido ESTHER'!$B:$C,2,0),"")</f>
        <v/>
      </c>
      <c r="L1597" s="12" t="str">
        <f>IF(N(K1597)&gt;0,"COMPRA","NÃO COMPRA")</f>
        <v>NÃO COMPRA</v>
      </c>
    </row>
    <row r="1598" spans="1:12">
      <c r="A1598" s="8" t="s">
        <v>3419</v>
      </c>
      <c r="B1598" s="9" t="s">
        <v>2085</v>
      </c>
      <c r="C1598" s="9" t="e">
        <f>VLOOKUP(A1598,[2]Planilha1!$A:$B,2,0)</f>
        <v>#N/A</v>
      </c>
      <c r="D1598" s="10">
        <f>SUMIF([1]Relatório!$A$2:$A$2653,A1598,[1]Relatório!$AK$2:$AK$2653)</f>
        <v>10</v>
      </c>
      <c r="E1598" s="11">
        <f t="shared" si="48"/>
        <v>1.70952736696885e-5</v>
      </c>
      <c r="F1598" s="11">
        <f>SUM($E$7:E1598)</f>
        <v>0.998881969102003</v>
      </c>
      <c r="G1598" s="12" t="str">
        <f t="shared" si="49"/>
        <v>C</v>
      </c>
      <c r="H1598" s="9" t="s">
        <v>1344</v>
      </c>
      <c r="I1598" s="9" t="s">
        <v>3420</v>
      </c>
      <c r="J1598" s="9" t="s">
        <v>44</v>
      </c>
      <c r="K1598" s="10" t="str">
        <f>IFERROR(VLOOKUP(A1598,'Pedido ESTHER'!$B:$C,2,0),"")</f>
        <v/>
      </c>
      <c r="L1598" s="12" t="str">
        <f>IF(N(K1598)&gt;0,"COMPRA","NÃO COMPRA")</f>
        <v>NÃO COMPRA</v>
      </c>
    </row>
    <row r="1599" spans="1:12">
      <c r="A1599" s="8" t="s">
        <v>3421</v>
      </c>
      <c r="B1599" s="9" t="s">
        <v>363</v>
      </c>
      <c r="C1599" s="9" t="e">
        <f>VLOOKUP(A1599,[2]Planilha1!$A:$B,2,0)</f>
        <v>#N/A</v>
      </c>
      <c r="D1599" s="10">
        <f>SUMIF([1]Relatório!$A$2:$A$2653,A1599,[1]Relatório!$AK$2:$AK$2653)</f>
        <v>10</v>
      </c>
      <c r="E1599" s="11">
        <f t="shared" si="48"/>
        <v>1.70952736696885e-5</v>
      </c>
      <c r="F1599" s="11">
        <f>SUM($E$7:E1599)</f>
        <v>0.998899064375673</v>
      </c>
      <c r="G1599" s="12" t="str">
        <f t="shared" si="49"/>
        <v>C</v>
      </c>
      <c r="H1599" s="9" t="s">
        <v>183</v>
      </c>
      <c r="I1599" s="9"/>
      <c r="J1599" s="9" t="s">
        <v>40</v>
      </c>
      <c r="K1599" s="10" t="str">
        <f>IFERROR(VLOOKUP(A1599,'Pedido ESTHER'!$B:$C,2,0),"")</f>
        <v/>
      </c>
      <c r="L1599" s="12" t="str">
        <f>IF(N(K1599)&gt;0,"COMPRA","NÃO COMPRA")</f>
        <v>NÃO COMPRA</v>
      </c>
    </row>
    <row r="1600" spans="1:12">
      <c r="A1600" s="8" t="s">
        <v>3422</v>
      </c>
      <c r="B1600" s="9" t="s">
        <v>3423</v>
      </c>
      <c r="C1600" s="9" t="e">
        <f>VLOOKUP(A1600,[2]Planilha1!$A:$B,2,0)</f>
        <v>#N/A</v>
      </c>
      <c r="D1600" s="10">
        <f>SUMIF([1]Relatório!$A$2:$A$2653,A1600,[1]Relatório!$AK$2:$AK$2653)</f>
        <v>10</v>
      </c>
      <c r="E1600" s="11">
        <f t="shared" si="48"/>
        <v>1.70952736696885e-5</v>
      </c>
      <c r="F1600" s="11">
        <f>SUM($E$7:E1600)</f>
        <v>0.998916159649343</v>
      </c>
      <c r="G1600" s="12" t="str">
        <f t="shared" si="49"/>
        <v>C</v>
      </c>
      <c r="H1600" s="9" t="s">
        <v>183</v>
      </c>
      <c r="I1600" s="9"/>
      <c r="J1600" s="9" t="s">
        <v>40</v>
      </c>
      <c r="K1600" s="10" t="str">
        <f>IFERROR(VLOOKUP(A1600,'Pedido ESTHER'!$B:$C,2,0),"")</f>
        <v/>
      </c>
      <c r="L1600" s="12" t="str">
        <f>IF(N(K1600)&gt;0,"COMPRA","NÃO COMPRA")</f>
        <v>NÃO COMPRA</v>
      </c>
    </row>
    <row r="1601" spans="1:12">
      <c r="A1601" s="8" t="s">
        <v>3424</v>
      </c>
      <c r="B1601" s="9" t="s">
        <v>3425</v>
      </c>
      <c r="C1601" s="9" t="e">
        <f>VLOOKUP(A1601,[2]Planilha1!$A:$B,2,0)</f>
        <v>#N/A</v>
      </c>
      <c r="D1601" s="10">
        <f>SUMIF([1]Relatório!$A$2:$A$2653,A1601,[1]Relatório!$AK$2:$AK$2653)</f>
        <v>10</v>
      </c>
      <c r="E1601" s="11">
        <f t="shared" si="48"/>
        <v>1.70952736696885e-5</v>
      </c>
      <c r="F1601" s="11">
        <f>SUM($E$7:E1601)</f>
        <v>0.998933254923012</v>
      </c>
      <c r="G1601" s="12" t="str">
        <f t="shared" si="49"/>
        <v>C</v>
      </c>
      <c r="H1601" s="9" t="s">
        <v>221</v>
      </c>
      <c r="I1601" s="9" t="s">
        <v>3426</v>
      </c>
      <c r="J1601" s="9" t="s">
        <v>1496</v>
      </c>
      <c r="K1601" s="10" t="str">
        <f>IFERROR(VLOOKUP(A1601,'Pedido ESTHER'!$B:$C,2,0),"")</f>
        <v/>
      </c>
      <c r="L1601" s="12" t="str">
        <f>IF(N(K1601)&gt;0,"COMPRA","NÃO COMPRA")</f>
        <v>NÃO COMPRA</v>
      </c>
    </row>
    <row r="1602" spans="1:12">
      <c r="A1602" s="8" t="s">
        <v>3427</v>
      </c>
      <c r="B1602" s="9" t="s">
        <v>1070</v>
      </c>
      <c r="C1602" s="9" t="e">
        <f>VLOOKUP(A1602,[2]Planilha1!$A:$B,2,0)</f>
        <v>#N/A</v>
      </c>
      <c r="D1602" s="10">
        <f>SUMIF([1]Relatório!$A$2:$A$2653,A1602,[1]Relatório!$AK$2:$AK$2653)</f>
        <v>10</v>
      </c>
      <c r="E1602" s="11">
        <f t="shared" si="48"/>
        <v>1.70952736696885e-5</v>
      </c>
      <c r="F1602" s="11">
        <f>SUM($E$7:E1602)</f>
        <v>0.998950350196682</v>
      </c>
      <c r="G1602" s="12" t="str">
        <f t="shared" si="49"/>
        <v>C</v>
      </c>
      <c r="H1602" s="9" t="s">
        <v>74</v>
      </c>
      <c r="I1602" s="9" t="s">
        <v>3428</v>
      </c>
      <c r="J1602" s="9" t="s">
        <v>44</v>
      </c>
      <c r="K1602" s="10" t="str">
        <f>IFERROR(VLOOKUP(A1602,'Pedido ESTHER'!$B:$C,2,0),"")</f>
        <v/>
      </c>
      <c r="L1602" s="12" t="str">
        <f>IF(N(K1602)&gt;0,"COMPRA","NÃO COMPRA")</f>
        <v>NÃO COMPRA</v>
      </c>
    </row>
    <row r="1603" spans="1:12">
      <c r="A1603" s="8" t="s">
        <v>3429</v>
      </c>
      <c r="B1603" s="9" t="s">
        <v>2370</v>
      </c>
      <c r="C1603" s="9" t="e">
        <f>VLOOKUP(A1603,[2]Planilha1!$A:$B,2,0)</f>
        <v>#N/A</v>
      </c>
      <c r="D1603" s="10">
        <f>SUMIF([1]Relatório!$A$2:$A$2653,A1603,[1]Relatório!$AK$2:$AK$2653)</f>
        <v>10</v>
      </c>
      <c r="E1603" s="11">
        <f t="shared" si="48"/>
        <v>1.70952736696885e-5</v>
      </c>
      <c r="F1603" s="11">
        <f>SUM($E$7:E1603)</f>
        <v>0.998967445470352</v>
      </c>
      <c r="G1603" s="12" t="str">
        <f t="shared" si="49"/>
        <v>C</v>
      </c>
      <c r="H1603" s="9" t="s">
        <v>74</v>
      </c>
      <c r="I1603" s="9" t="s">
        <v>3430</v>
      </c>
      <c r="J1603" s="9" t="s">
        <v>2813</v>
      </c>
      <c r="K1603" s="10" t="str">
        <f>IFERROR(VLOOKUP(A1603,'Pedido ESTHER'!$B:$C,2,0),"")</f>
        <v/>
      </c>
      <c r="L1603" s="12" t="str">
        <f>IF(N(K1603)&gt;0,"COMPRA","NÃO COMPRA")</f>
        <v>NÃO COMPRA</v>
      </c>
    </row>
    <row r="1604" spans="1:12">
      <c r="A1604" s="8" t="s">
        <v>3431</v>
      </c>
      <c r="B1604" s="9" t="s">
        <v>3432</v>
      </c>
      <c r="C1604" s="9" t="e">
        <f>VLOOKUP(A1604,[2]Planilha1!$A:$B,2,0)</f>
        <v>#N/A</v>
      </c>
      <c r="D1604" s="10">
        <f>SUMIF([1]Relatório!$A$2:$A$2653,A1604,[1]Relatório!$AK$2:$AK$2653)</f>
        <v>10</v>
      </c>
      <c r="E1604" s="11">
        <f t="shared" si="48"/>
        <v>1.70952736696885e-5</v>
      </c>
      <c r="F1604" s="11">
        <f>SUM($E$7:E1604)</f>
        <v>0.998984540744021</v>
      </c>
      <c r="G1604" s="12" t="str">
        <f t="shared" si="49"/>
        <v>C</v>
      </c>
      <c r="H1604" s="9" t="s">
        <v>14</v>
      </c>
      <c r="I1604" s="9" t="s">
        <v>3433</v>
      </c>
      <c r="J1604" s="9" t="s">
        <v>40</v>
      </c>
      <c r="K1604" s="10" t="str">
        <f>IFERROR(VLOOKUP(A1604,'Pedido ESTHER'!$B:$C,2,0),"")</f>
        <v/>
      </c>
      <c r="L1604" s="12" t="str">
        <f>IF(N(K1604)&gt;0,"COMPRA","NÃO COMPRA")</f>
        <v>NÃO COMPRA</v>
      </c>
    </row>
    <row r="1605" spans="1:12">
      <c r="A1605" s="8" t="s">
        <v>3434</v>
      </c>
      <c r="B1605" s="9" t="s">
        <v>3435</v>
      </c>
      <c r="C1605" s="9" t="e">
        <f>VLOOKUP(A1605,[2]Planilha1!$A:$B,2,0)</f>
        <v>#N/A</v>
      </c>
      <c r="D1605" s="10">
        <f>SUMIF([1]Relatório!$A$2:$A$2653,A1605,[1]Relatório!$AK$2:$AK$2653)</f>
        <v>10</v>
      </c>
      <c r="E1605" s="11">
        <f t="shared" si="48"/>
        <v>1.70952736696885e-5</v>
      </c>
      <c r="F1605" s="11">
        <f>SUM($E$7:E1605)</f>
        <v>0.999001636017691</v>
      </c>
      <c r="G1605" s="12" t="str">
        <f t="shared" si="49"/>
        <v>C</v>
      </c>
      <c r="H1605" s="9" t="s">
        <v>1117</v>
      </c>
      <c r="I1605" s="9" t="s">
        <v>3436</v>
      </c>
      <c r="J1605" s="9" t="s">
        <v>1710</v>
      </c>
      <c r="K1605" s="10" t="str">
        <f>IFERROR(VLOOKUP(A1605,'Pedido ESTHER'!$B:$C,2,0),"")</f>
        <v/>
      </c>
      <c r="L1605" s="12" t="str">
        <f>IF(N(K1605)&gt;0,"COMPRA","NÃO COMPRA")</f>
        <v>NÃO COMPRA</v>
      </c>
    </row>
    <row r="1606" spans="1:12">
      <c r="A1606" s="8" t="s">
        <v>3437</v>
      </c>
      <c r="B1606" s="9" t="s">
        <v>2455</v>
      </c>
      <c r="C1606" s="9" t="e">
        <f>VLOOKUP(A1606,[2]Planilha1!$A:$B,2,0)</f>
        <v>#N/A</v>
      </c>
      <c r="D1606" s="10">
        <f>SUMIF([1]Relatório!$A$2:$A$2653,A1606,[1]Relatório!$AK$2:$AK$2653)</f>
        <v>10</v>
      </c>
      <c r="E1606" s="11">
        <f t="shared" si="48"/>
        <v>1.70952736696885e-5</v>
      </c>
      <c r="F1606" s="11">
        <f>SUM($E$7:E1606)</f>
        <v>0.999018731291361</v>
      </c>
      <c r="G1606" s="12" t="str">
        <f t="shared" si="49"/>
        <v>C</v>
      </c>
      <c r="H1606" s="9" t="s">
        <v>2452</v>
      </c>
      <c r="I1606" s="9" t="s">
        <v>3438</v>
      </c>
      <c r="J1606" s="9" t="s">
        <v>44</v>
      </c>
      <c r="K1606" s="10" t="str">
        <f>IFERROR(VLOOKUP(A1606,'Pedido ESTHER'!$B:$C,2,0),"")</f>
        <v/>
      </c>
      <c r="L1606" s="12" t="str">
        <f>IF(N(K1606)&gt;0,"COMPRA","NÃO COMPRA")</f>
        <v>NÃO COMPRA</v>
      </c>
    </row>
    <row r="1607" spans="1:12">
      <c r="A1607" s="8" t="s">
        <v>3439</v>
      </c>
      <c r="B1607" s="9" t="s">
        <v>3371</v>
      </c>
      <c r="C1607" s="9" t="e">
        <f>VLOOKUP(A1607,[2]Planilha1!$A:$B,2,0)</f>
        <v>#N/A</v>
      </c>
      <c r="D1607" s="10">
        <f>SUMIF([1]Relatório!$A$2:$A$2653,A1607,[1]Relatório!$AK$2:$AK$2653)</f>
        <v>10</v>
      </c>
      <c r="E1607" s="11">
        <f t="shared" si="48"/>
        <v>1.70952736696885e-5</v>
      </c>
      <c r="F1607" s="11">
        <f>SUM($E$7:E1607)</f>
        <v>0.99903582656503</v>
      </c>
      <c r="G1607" s="12" t="str">
        <f t="shared" si="49"/>
        <v>C</v>
      </c>
      <c r="H1607" s="9" t="s">
        <v>2452</v>
      </c>
      <c r="I1607" s="9" t="s">
        <v>3440</v>
      </c>
      <c r="J1607" s="9" t="s">
        <v>36</v>
      </c>
      <c r="K1607" s="10" t="str">
        <f>IFERROR(VLOOKUP(A1607,'Pedido ESTHER'!$B:$C,2,0),"")</f>
        <v/>
      </c>
      <c r="L1607" s="12" t="str">
        <f>IF(N(K1607)&gt;0,"COMPRA","NÃO COMPRA")</f>
        <v>NÃO COMPRA</v>
      </c>
    </row>
    <row r="1608" spans="1:12">
      <c r="A1608" s="8" t="s">
        <v>3441</v>
      </c>
      <c r="B1608" s="9" t="s">
        <v>2481</v>
      </c>
      <c r="C1608" s="9" t="e">
        <f>VLOOKUP(A1608,[2]Planilha1!$A:$B,2,0)</f>
        <v>#N/A</v>
      </c>
      <c r="D1608" s="10">
        <f>SUMIF([1]Relatório!$A$2:$A$2653,A1608,[1]Relatório!$AK$2:$AK$2653)</f>
        <v>10</v>
      </c>
      <c r="E1608" s="11">
        <f t="shared" ref="E1608:E1671" si="50">D1608/SUM($D$7:$D$1708)</f>
        <v>1.70952736696885e-5</v>
      </c>
      <c r="F1608" s="11">
        <f>SUM($E$7:E1608)</f>
        <v>0.9990529218387</v>
      </c>
      <c r="G1608" s="12" t="str">
        <f t="shared" ref="G1608:G1671" si="51">IF(F1608&lt;=70%,"A",IF(F1608&lt;=90%,"B","C"))</f>
        <v>C</v>
      </c>
      <c r="H1608" s="9" t="s">
        <v>2452</v>
      </c>
      <c r="I1608" s="9" t="s">
        <v>3442</v>
      </c>
      <c r="J1608" s="9" t="s">
        <v>33</v>
      </c>
      <c r="K1608" s="10" t="str">
        <f>IFERROR(VLOOKUP(A1608,'Pedido ESTHER'!$B:$C,2,0),"")</f>
        <v/>
      </c>
      <c r="L1608" s="12" t="str">
        <f>IF(N(K1608)&gt;0,"COMPRA","NÃO COMPRA")</f>
        <v>NÃO COMPRA</v>
      </c>
    </row>
    <row r="1609" spans="1:12">
      <c r="A1609" s="8" t="s">
        <v>3443</v>
      </c>
      <c r="B1609" s="9" t="s">
        <v>2455</v>
      </c>
      <c r="C1609" s="9" t="e">
        <f>VLOOKUP(A1609,[2]Planilha1!$A:$B,2,0)</f>
        <v>#N/A</v>
      </c>
      <c r="D1609" s="10">
        <f>SUMIF([1]Relatório!$A$2:$A$2653,A1609,[1]Relatório!$AK$2:$AK$2653)</f>
        <v>10</v>
      </c>
      <c r="E1609" s="11">
        <f t="shared" si="50"/>
        <v>1.70952736696885e-5</v>
      </c>
      <c r="F1609" s="11">
        <f>SUM($E$7:E1609)</f>
        <v>0.99907001711237</v>
      </c>
      <c r="G1609" s="12" t="str">
        <f t="shared" si="51"/>
        <v>C</v>
      </c>
      <c r="H1609" s="9" t="s">
        <v>2452</v>
      </c>
      <c r="I1609" s="9" t="s">
        <v>3444</v>
      </c>
      <c r="J1609" s="9" t="s">
        <v>44</v>
      </c>
      <c r="K1609" s="10" t="str">
        <f>IFERROR(VLOOKUP(A1609,'Pedido ESTHER'!$B:$C,2,0),"")</f>
        <v/>
      </c>
      <c r="L1609" s="12" t="str">
        <f>IF(N(K1609)&gt;0,"COMPRA","NÃO COMPRA")</f>
        <v>NÃO COMPRA</v>
      </c>
    </row>
    <row r="1610" spans="1:12">
      <c r="A1610" s="8" t="s">
        <v>3445</v>
      </c>
      <c r="B1610" s="9" t="s">
        <v>3446</v>
      </c>
      <c r="C1610" s="9" t="e">
        <f>VLOOKUP(A1610,[2]Planilha1!$A:$B,2,0)</f>
        <v>#N/A</v>
      </c>
      <c r="D1610" s="10">
        <f>SUMIF([1]Relatório!$A$2:$A$2653,A1610,[1]Relatório!$AK$2:$AK$2653)</f>
        <v>10</v>
      </c>
      <c r="E1610" s="11">
        <f t="shared" si="50"/>
        <v>1.70952736696885e-5</v>
      </c>
      <c r="F1610" s="11">
        <f>SUM($E$7:E1610)</f>
        <v>0.999087112386039</v>
      </c>
      <c r="G1610" s="12" t="str">
        <f t="shared" si="51"/>
        <v>C</v>
      </c>
      <c r="H1610" s="9" t="s">
        <v>2452</v>
      </c>
      <c r="I1610" s="9" t="s">
        <v>3447</v>
      </c>
      <c r="J1610" s="9" t="s">
        <v>201</v>
      </c>
      <c r="K1610" s="10" t="str">
        <f>IFERROR(VLOOKUP(A1610,'Pedido ESTHER'!$B:$C,2,0),"")</f>
        <v/>
      </c>
      <c r="L1610" s="12" t="str">
        <f>IF(N(K1610)&gt;0,"COMPRA","NÃO COMPRA")</f>
        <v>NÃO COMPRA</v>
      </c>
    </row>
    <row r="1611" spans="1:12">
      <c r="A1611" s="8" t="s">
        <v>3448</v>
      </c>
      <c r="B1611" s="9" t="s">
        <v>3371</v>
      </c>
      <c r="C1611" s="9" t="e">
        <f>VLOOKUP(A1611,[2]Planilha1!$A:$B,2,0)</f>
        <v>#N/A</v>
      </c>
      <c r="D1611" s="10">
        <f>SUMIF([1]Relatório!$A$2:$A$2653,A1611,[1]Relatório!$AK$2:$AK$2653)</f>
        <v>10</v>
      </c>
      <c r="E1611" s="11">
        <f t="shared" si="50"/>
        <v>1.70952736696885e-5</v>
      </c>
      <c r="F1611" s="11">
        <f>SUM($E$7:E1611)</f>
        <v>0.999104207659709</v>
      </c>
      <c r="G1611" s="12" t="str">
        <f t="shared" si="51"/>
        <v>C</v>
      </c>
      <c r="H1611" s="9" t="s">
        <v>2452</v>
      </c>
      <c r="I1611" s="9" t="s">
        <v>3449</v>
      </c>
      <c r="J1611" s="9" t="s">
        <v>36</v>
      </c>
      <c r="K1611" s="10" t="str">
        <f>IFERROR(VLOOKUP(A1611,'Pedido ESTHER'!$B:$C,2,0),"")</f>
        <v/>
      </c>
      <c r="L1611" s="12" t="str">
        <f>IF(N(K1611)&gt;0,"COMPRA","NÃO COMPRA")</f>
        <v>NÃO COMPRA</v>
      </c>
    </row>
    <row r="1612" spans="1:12">
      <c r="A1612" s="8" t="s">
        <v>3450</v>
      </c>
      <c r="B1612" s="9" t="s">
        <v>602</v>
      </c>
      <c r="C1612" s="9" t="e">
        <f>VLOOKUP(A1612,[2]Planilha1!$A:$B,2,0)</f>
        <v>#N/A</v>
      </c>
      <c r="D1612" s="10">
        <f>SUMIF([1]Relatório!$A$2:$A$2653,A1612,[1]Relatório!$AK$2:$AK$2653)</f>
        <v>9</v>
      </c>
      <c r="E1612" s="11">
        <f t="shared" si="50"/>
        <v>1.53857463027197e-5</v>
      </c>
      <c r="F1612" s="11">
        <f>SUM($E$7:E1612)</f>
        <v>0.999119593406012</v>
      </c>
      <c r="G1612" s="12" t="str">
        <f t="shared" si="51"/>
        <v>C</v>
      </c>
      <c r="H1612" s="9" t="s">
        <v>183</v>
      </c>
      <c r="I1612" s="9"/>
      <c r="J1612" s="9" t="s">
        <v>23</v>
      </c>
      <c r="K1612" s="10" t="str">
        <f>IFERROR(VLOOKUP(A1612,'Pedido ESTHER'!$B:$C,2,0),"")</f>
        <v/>
      </c>
      <c r="L1612" s="12" t="str">
        <f>IF(N(K1612)&gt;0,"COMPRA","NÃO COMPRA")</f>
        <v>NÃO COMPRA</v>
      </c>
    </row>
    <row r="1613" spans="1:12">
      <c r="A1613" s="8" t="s">
        <v>3451</v>
      </c>
      <c r="B1613" s="9" t="s">
        <v>2278</v>
      </c>
      <c r="C1613" s="9" t="e">
        <f>VLOOKUP(A1613,[2]Planilha1!$A:$B,2,0)</f>
        <v>#N/A</v>
      </c>
      <c r="D1613" s="10">
        <f>SUMIF([1]Relatório!$A$2:$A$2653,A1613,[1]Relatório!$AK$2:$AK$2653)</f>
        <v>9</v>
      </c>
      <c r="E1613" s="11">
        <f t="shared" si="50"/>
        <v>1.53857463027197e-5</v>
      </c>
      <c r="F1613" s="11">
        <f>SUM($E$7:E1613)</f>
        <v>0.999134979152314</v>
      </c>
      <c r="G1613" s="12" t="str">
        <f t="shared" si="51"/>
        <v>C</v>
      </c>
      <c r="H1613" s="9" t="s">
        <v>1700</v>
      </c>
      <c r="I1613" s="9" t="s">
        <v>3452</v>
      </c>
      <c r="J1613" s="9" t="s">
        <v>273</v>
      </c>
      <c r="K1613" s="10" t="str">
        <f>IFERROR(VLOOKUP(A1613,'Pedido ESTHER'!$B:$C,2,0),"")</f>
        <v/>
      </c>
      <c r="L1613" s="12" t="str">
        <f>IF(N(K1613)&gt;0,"COMPRA","NÃO COMPRA")</f>
        <v>NÃO COMPRA</v>
      </c>
    </row>
    <row r="1614" spans="1:12">
      <c r="A1614" s="8" t="s">
        <v>3453</v>
      </c>
      <c r="B1614" s="9" t="s">
        <v>3454</v>
      </c>
      <c r="C1614" s="9" t="e">
        <f>VLOOKUP(A1614,[2]Planilha1!$A:$B,2,0)</f>
        <v>#N/A</v>
      </c>
      <c r="D1614" s="10">
        <f>SUMIF([1]Relatório!$A$2:$A$2653,A1614,[1]Relatório!$AK$2:$AK$2653)</f>
        <v>9</v>
      </c>
      <c r="E1614" s="11">
        <f t="shared" si="50"/>
        <v>1.53857463027197e-5</v>
      </c>
      <c r="F1614" s="11">
        <f>SUM($E$7:E1614)</f>
        <v>0.999150364898617</v>
      </c>
      <c r="G1614" s="12" t="str">
        <f t="shared" si="51"/>
        <v>C</v>
      </c>
      <c r="H1614" s="9" t="s">
        <v>82</v>
      </c>
      <c r="I1614" s="9" t="s">
        <v>3455</v>
      </c>
      <c r="J1614" s="9" t="s">
        <v>3456</v>
      </c>
      <c r="K1614" s="10" t="str">
        <f>IFERROR(VLOOKUP(A1614,'Pedido ESTHER'!$B:$C,2,0),"")</f>
        <v/>
      </c>
      <c r="L1614" s="12" t="str">
        <f>IF(N(K1614)&gt;0,"COMPRA","NÃO COMPRA")</f>
        <v>NÃO COMPRA</v>
      </c>
    </row>
    <row r="1615" spans="1:12">
      <c r="A1615" s="8" t="s">
        <v>3457</v>
      </c>
      <c r="B1615" s="9" t="s">
        <v>2411</v>
      </c>
      <c r="C1615" s="9" t="e">
        <f>VLOOKUP(A1615,[2]Planilha1!$A:$B,2,0)</f>
        <v>#N/A</v>
      </c>
      <c r="D1615" s="10">
        <f>SUMIF([1]Relatório!$A$2:$A$2653,A1615,[1]Relatório!$AK$2:$AK$2653)</f>
        <v>9</v>
      </c>
      <c r="E1615" s="11">
        <f t="shared" si="50"/>
        <v>1.53857463027197e-5</v>
      </c>
      <c r="F1615" s="11">
        <f>SUM($E$7:E1615)</f>
        <v>0.99916575064492</v>
      </c>
      <c r="G1615" s="12" t="str">
        <f t="shared" si="51"/>
        <v>C</v>
      </c>
      <c r="H1615" s="9" t="s">
        <v>74</v>
      </c>
      <c r="I1615" s="9" t="s">
        <v>3458</v>
      </c>
      <c r="J1615" s="9" t="s">
        <v>40</v>
      </c>
      <c r="K1615" s="10" t="str">
        <f>IFERROR(VLOOKUP(A1615,'Pedido ESTHER'!$B:$C,2,0),"")</f>
        <v/>
      </c>
      <c r="L1615" s="12" t="str">
        <f>IF(N(K1615)&gt;0,"COMPRA","NÃO COMPRA")</f>
        <v>NÃO COMPRA</v>
      </c>
    </row>
    <row r="1616" spans="1:12">
      <c r="A1616" s="8" t="s">
        <v>3459</v>
      </c>
      <c r="B1616" s="9" t="s">
        <v>2645</v>
      </c>
      <c r="C1616" s="9" t="e">
        <f>VLOOKUP(A1616,[2]Planilha1!$A:$B,2,0)</f>
        <v>#N/A</v>
      </c>
      <c r="D1616" s="10">
        <f>SUMIF([1]Relatório!$A$2:$A$2653,A1616,[1]Relatório!$AK$2:$AK$2653)</f>
        <v>9</v>
      </c>
      <c r="E1616" s="11">
        <f t="shared" si="50"/>
        <v>1.53857463027197e-5</v>
      </c>
      <c r="F1616" s="11">
        <f>SUM($E$7:E1616)</f>
        <v>0.999181136391222</v>
      </c>
      <c r="G1616" s="12" t="str">
        <f t="shared" si="51"/>
        <v>C</v>
      </c>
      <c r="H1616" s="9" t="s">
        <v>2452</v>
      </c>
      <c r="I1616" s="9" t="s">
        <v>3460</v>
      </c>
      <c r="J1616" s="9" t="s">
        <v>23</v>
      </c>
      <c r="K1616" s="10" t="str">
        <f>IFERROR(VLOOKUP(A1616,'Pedido ESTHER'!$B:$C,2,0),"")</f>
        <v/>
      </c>
      <c r="L1616" s="12" t="str">
        <f>IF(N(K1616)&gt;0,"COMPRA","NÃO COMPRA")</f>
        <v>NÃO COMPRA</v>
      </c>
    </row>
    <row r="1617" spans="1:12">
      <c r="A1617" s="8" t="s">
        <v>3461</v>
      </c>
      <c r="B1617" s="9" t="s">
        <v>2455</v>
      </c>
      <c r="C1617" s="9" t="e">
        <f>VLOOKUP(A1617,[2]Planilha1!$A:$B,2,0)</f>
        <v>#N/A</v>
      </c>
      <c r="D1617" s="10">
        <f>SUMIF([1]Relatório!$A$2:$A$2653,A1617,[1]Relatório!$AK$2:$AK$2653)</f>
        <v>9</v>
      </c>
      <c r="E1617" s="11">
        <f t="shared" si="50"/>
        <v>1.53857463027197e-5</v>
      </c>
      <c r="F1617" s="11">
        <f>SUM($E$7:E1617)</f>
        <v>0.999196522137525</v>
      </c>
      <c r="G1617" s="12" t="str">
        <f t="shared" si="51"/>
        <v>C</v>
      </c>
      <c r="H1617" s="9" t="s">
        <v>2452</v>
      </c>
      <c r="I1617" s="9" t="s">
        <v>3462</v>
      </c>
      <c r="J1617" s="9" t="s">
        <v>44</v>
      </c>
      <c r="K1617" s="10" t="str">
        <f>IFERROR(VLOOKUP(A1617,'Pedido ESTHER'!$B:$C,2,0),"")</f>
        <v/>
      </c>
      <c r="L1617" s="12" t="str">
        <f>IF(N(K1617)&gt;0,"COMPRA","NÃO COMPRA")</f>
        <v>NÃO COMPRA</v>
      </c>
    </row>
    <row r="1618" spans="1:12">
      <c r="A1618" s="8" t="s">
        <v>3463</v>
      </c>
      <c r="B1618" s="9" t="s">
        <v>3464</v>
      </c>
      <c r="C1618" s="9" t="e">
        <f>VLOOKUP(A1618,[2]Planilha1!$A:$B,2,0)</f>
        <v>#N/A</v>
      </c>
      <c r="D1618" s="10">
        <f>SUMIF([1]Relatório!$A$2:$A$2653,A1618,[1]Relatório!$AK$2:$AK$2653)</f>
        <v>9</v>
      </c>
      <c r="E1618" s="11">
        <f t="shared" si="50"/>
        <v>1.53857463027197e-5</v>
      </c>
      <c r="F1618" s="11">
        <f>SUM($E$7:E1618)</f>
        <v>0.999211907883828</v>
      </c>
      <c r="G1618" s="12" t="str">
        <f t="shared" si="51"/>
        <v>C</v>
      </c>
      <c r="H1618" s="9" t="s">
        <v>2452</v>
      </c>
      <c r="I1618" s="9" t="s">
        <v>3465</v>
      </c>
      <c r="J1618" s="9" t="s">
        <v>171</v>
      </c>
      <c r="K1618" s="10" t="str">
        <f>IFERROR(VLOOKUP(A1618,'Pedido ESTHER'!$B:$C,2,0),"")</f>
        <v/>
      </c>
      <c r="L1618" s="12" t="str">
        <f>IF(N(K1618)&gt;0,"COMPRA","NÃO COMPRA")</f>
        <v>NÃO COMPRA</v>
      </c>
    </row>
    <row r="1619" spans="1:12">
      <c r="A1619" s="8" t="s">
        <v>3466</v>
      </c>
      <c r="B1619" s="9" t="s">
        <v>3075</v>
      </c>
      <c r="C1619" s="9" t="e">
        <f>VLOOKUP(A1619,[2]Planilha1!$A:$B,2,0)</f>
        <v>#N/A</v>
      </c>
      <c r="D1619" s="10">
        <f>SUMIF([1]Relatório!$A$2:$A$2653,A1619,[1]Relatório!$AK$2:$AK$2653)</f>
        <v>9</v>
      </c>
      <c r="E1619" s="11">
        <f t="shared" si="50"/>
        <v>1.53857463027197e-5</v>
      </c>
      <c r="F1619" s="11">
        <f>SUM($E$7:E1619)</f>
        <v>0.99922729363013</v>
      </c>
      <c r="G1619" s="12" t="str">
        <f t="shared" si="51"/>
        <v>C</v>
      </c>
      <c r="H1619" s="9" t="s">
        <v>2452</v>
      </c>
      <c r="I1619" s="9" t="s">
        <v>3467</v>
      </c>
      <c r="J1619" s="9" t="s">
        <v>29</v>
      </c>
      <c r="K1619" s="10" t="str">
        <f>IFERROR(VLOOKUP(A1619,'Pedido ESTHER'!$B:$C,2,0),"")</f>
        <v/>
      </c>
      <c r="L1619" s="12" t="str">
        <f>IF(N(K1619)&gt;0,"COMPRA","NÃO COMPRA")</f>
        <v>NÃO COMPRA</v>
      </c>
    </row>
    <row r="1620" spans="1:12">
      <c r="A1620" s="8" t="s">
        <v>3468</v>
      </c>
      <c r="B1620" s="9" t="s">
        <v>2481</v>
      </c>
      <c r="C1620" s="9" t="e">
        <f>VLOOKUP(A1620,[2]Planilha1!$A:$B,2,0)</f>
        <v>#N/A</v>
      </c>
      <c r="D1620" s="10">
        <f>SUMIF([1]Relatório!$A$2:$A$2653,A1620,[1]Relatório!$AK$2:$AK$2653)</f>
        <v>9</v>
      </c>
      <c r="E1620" s="11">
        <f t="shared" si="50"/>
        <v>1.53857463027197e-5</v>
      </c>
      <c r="F1620" s="11">
        <f>SUM($E$7:E1620)</f>
        <v>0.999242679376433</v>
      </c>
      <c r="G1620" s="12" t="str">
        <f t="shared" si="51"/>
        <v>C</v>
      </c>
      <c r="H1620" s="9" t="s">
        <v>2452</v>
      </c>
      <c r="I1620" s="9" t="s">
        <v>3469</v>
      </c>
      <c r="J1620" s="9" t="s">
        <v>33</v>
      </c>
      <c r="K1620" s="10" t="str">
        <f>IFERROR(VLOOKUP(A1620,'Pedido ESTHER'!$B:$C,2,0),"")</f>
        <v/>
      </c>
      <c r="L1620" s="12" t="str">
        <f>IF(N(K1620)&gt;0,"COMPRA","NÃO COMPRA")</f>
        <v>NÃO COMPRA</v>
      </c>
    </row>
    <row r="1621" spans="1:12">
      <c r="A1621" s="8" t="s">
        <v>3470</v>
      </c>
      <c r="B1621" s="9" t="s">
        <v>3052</v>
      </c>
      <c r="C1621" s="9" t="e">
        <f>VLOOKUP(A1621,[2]Planilha1!$A:$B,2,0)</f>
        <v>#N/A</v>
      </c>
      <c r="D1621" s="10">
        <f>SUMIF([1]Relatório!$A$2:$A$2653,A1621,[1]Relatório!$AK$2:$AK$2653)</f>
        <v>9</v>
      </c>
      <c r="E1621" s="11">
        <f t="shared" si="50"/>
        <v>1.53857463027197e-5</v>
      </c>
      <c r="F1621" s="11">
        <f>SUM($E$7:E1621)</f>
        <v>0.999258065122736</v>
      </c>
      <c r="G1621" s="12" t="str">
        <f t="shared" si="51"/>
        <v>C</v>
      </c>
      <c r="H1621" s="9" t="s">
        <v>2452</v>
      </c>
      <c r="I1621" s="9" t="s">
        <v>3471</v>
      </c>
      <c r="J1621" s="9" t="s">
        <v>40</v>
      </c>
      <c r="K1621" s="10" t="str">
        <f>IFERROR(VLOOKUP(A1621,'Pedido ESTHER'!$B:$C,2,0),"")</f>
        <v/>
      </c>
      <c r="L1621" s="12" t="str">
        <f>IF(N(K1621)&gt;0,"COMPRA","NÃO COMPRA")</f>
        <v>NÃO COMPRA</v>
      </c>
    </row>
    <row r="1622" spans="1:12">
      <c r="A1622" s="8" t="s">
        <v>3472</v>
      </c>
      <c r="B1622" s="9" t="s">
        <v>363</v>
      </c>
      <c r="C1622" s="9" t="e">
        <f>VLOOKUP(A1622,[2]Planilha1!$A:$B,2,0)</f>
        <v>#N/A</v>
      </c>
      <c r="D1622" s="10">
        <f>SUMIF([1]Relatório!$A$2:$A$2653,A1622,[1]Relatório!$AK$2:$AK$2653)</f>
        <v>8</v>
      </c>
      <c r="E1622" s="11">
        <f t="shared" si="50"/>
        <v>1.36762189357508e-5</v>
      </c>
      <c r="F1622" s="11">
        <f>SUM($E$7:E1622)</f>
        <v>0.999271741341671</v>
      </c>
      <c r="G1622" s="12" t="str">
        <f t="shared" si="51"/>
        <v>C</v>
      </c>
      <c r="H1622" s="9" t="s">
        <v>183</v>
      </c>
      <c r="I1622" s="9" t="s">
        <v>3473</v>
      </c>
      <c r="J1622" s="9" t="s">
        <v>40</v>
      </c>
      <c r="K1622" s="10" t="str">
        <f>IFERROR(VLOOKUP(A1622,'Pedido ESTHER'!$B:$C,2,0),"")</f>
        <v/>
      </c>
      <c r="L1622" s="12" t="str">
        <f>IF(N(K1622)&gt;0,"COMPRA","NÃO COMPRA")</f>
        <v>NÃO COMPRA</v>
      </c>
    </row>
    <row r="1623" spans="1:12">
      <c r="A1623" s="8" t="s">
        <v>3474</v>
      </c>
      <c r="B1623" s="9" t="s">
        <v>1900</v>
      </c>
      <c r="C1623" s="9" t="e">
        <f>VLOOKUP(A1623,[2]Planilha1!$A:$B,2,0)</f>
        <v>#N/A</v>
      </c>
      <c r="D1623" s="10">
        <f>SUMIF([1]Relatório!$A$2:$A$2653,A1623,[1]Relatório!$AK$2:$AK$2653)</f>
        <v>8</v>
      </c>
      <c r="E1623" s="11">
        <f t="shared" si="50"/>
        <v>1.36762189357508e-5</v>
      </c>
      <c r="F1623" s="11">
        <f>SUM($E$7:E1623)</f>
        <v>0.999285417560607</v>
      </c>
      <c r="G1623" s="12" t="str">
        <f t="shared" si="51"/>
        <v>C</v>
      </c>
      <c r="H1623" s="9" t="s">
        <v>183</v>
      </c>
      <c r="I1623" s="9"/>
      <c r="J1623" s="9" t="s">
        <v>213</v>
      </c>
      <c r="K1623" s="10" t="str">
        <f>IFERROR(VLOOKUP(A1623,'Pedido ESTHER'!$B:$C,2,0),"")</f>
        <v/>
      </c>
      <c r="L1623" s="12" t="str">
        <f>IF(N(K1623)&gt;0,"COMPRA","NÃO COMPRA")</f>
        <v>NÃO COMPRA</v>
      </c>
    </row>
    <row r="1624" spans="1:12">
      <c r="A1624" s="8" t="s">
        <v>3475</v>
      </c>
      <c r="B1624" s="9" t="s">
        <v>3476</v>
      </c>
      <c r="C1624" s="9" t="e">
        <f>VLOOKUP(A1624,[2]Planilha1!$A:$B,2,0)</f>
        <v>#N/A</v>
      </c>
      <c r="D1624" s="10">
        <f>SUMIF([1]Relatório!$A$2:$A$2653,A1624,[1]Relatório!$AK$2:$AK$2653)</f>
        <v>8</v>
      </c>
      <c r="E1624" s="11">
        <f t="shared" si="50"/>
        <v>1.36762189357508e-5</v>
      </c>
      <c r="F1624" s="11">
        <f>SUM($E$7:E1624)</f>
        <v>0.999299093779543</v>
      </c>
      <c r="G1624" s="12" t="str">
        <f t="shared" si="51"/>
        <v>C</v>
      </c>
      <c r="H1624" s="9" t="s">
        <v>183</v>
      </c>
      <c r="I1624" s="9" t="s">
        <v>3477</v>
      </c>
      <c r="J1624" s="9" t="s">
        <v>3478</v>
      </c>
      <c r="K1624" s="10" t="str">
        <f>IFERROR(VLOOKUP(A1624,'Pedido ESTHER'!$B:$C,2,0),"")</f>
        <v/>
      </c>
      <c r="L1624" s="12" t="str">
        <f>IF(N(K1624)&gt;0,"COMPRA","NÃO COMPRA")</f>
        <v>NÃO COMPRA</v>
      </c>
    </row>
    <row r="1625" spans="1:12">
      <c r="A1625" s="8" t="s">
        <v>3479</v>
      </c>
      <c r="B1625" s="9" t="s">
        <v>495</v>
      </c>
      <c r="C1625" s="9" t="e">
        <f>VLOOKUP(A1625,[2]Planilha1!$A:$B,2,0)</f>
        <v>#N/A</v>
      </c>
      <c r="D1625" s="10">
        <f>SUMIF([1]Relatório!$A$2:$A$2653,A1625,[1]Relatório!$AK$2:$AK$2653)</f>
        <v>8</v>
      </c>
      <c r="E1625" s="11">
        <f t="shared" si="50"/>
        <v>1.36762189357508e-5</v>
      </c>
      <c r="F1625" s="11">
        <f>SUM($E$7:E1625)</f>
        <v>0.999312769998479</v>
      </c>
      <c r="G1625" s="12" t="str">
        <f t="shared" si="51"/>
        <v>C</v>
      </c>
      <c r="H1625" s="9" t="s">
        <v>183</v>
      </c>
      <c r="I1625" s="9" t="s">
        <v>3480</v>
      </c>
      <c r="J1625" s="9" t="s">
        <v>3481</v>
      </c>
      <c r="K1625" s="10" t="str">
        <f>IFERROR(VLOOKUP(A1625,'Pedido ESTHER'!$B:$C,2,0),"")</f>
        <v/>
      </c>
      <c r="L1625" s="12" t="str">
        <f>IF(N(K1625)&gt;0,"COMPRA","NÃO COMPRA")</f>
        <v>NÃO COMPRA</v>
      </c>
    </row>
    <row r="1626" spans="1:12">
      <c r="A1626" s="8" t="s">
        <v>3482</v>
      </c>
      <c r="B1626" s="9" t="s">
        <v>3483</v>
      </c>
      <c r="C1626" s="9" t="e">
        <f>VLOOKUP(A1626,[2]Planilha1!$A:$B,2,0)</f>
        <v>#N/A</v>
      </c>
      <c r="D1626" s="10">
        <f>SUMIF([1]Relatório!$A$2:$A$2653,A1626,[1]Relatório!$AK$2:$AK$2653)</f>
        <v>8</v>
      </c>
      <c r="E1626" s="11">
        <f t="shared" si="50"/>
        <v>1.36762189357508e-5</v>
      </c>
      <c r="F1626" s="11">
        <f>SUM($E$7:E1626)</f>
        <v>0.999326446217415</v>
      </c>
      <c r="G1626" s="12" t="str">
        <f t="shared" si="51"/>
        <v>C</v>
      </c>
      <c r="H1626" s="9" t="s">
        <v>183</v>
      </c>
      <c r="I1626" s="9" t="s">
        <v>3484</v>
      </c>
      <c r="J1626" s="9" t="s">
        <v>3485</v>
      </c>
      <c r="K1626" s="10" t="str">
        <f>IFERROR(VLOOKUP(A1626,'Pedido ESTHER'!$B:$C,2,0),"")</f>
        <v/>
      </c>
      <c r="L1626" s="12" t="str">
        <f>IF(N(K1626)&gt;0,"COMPRA","NÃO COMPRA")</f>
        <v>NÃO COMPRA</v>
      </c>
    </row>
    <row r="1627" spans="1:12">
      <c r="A1627" s="8" t="s">
        <v>3486</v>
      </c>
      <c r="B1627" s="9" t="s">
        <v>3487</v>
      </c>
      <c r="C1627" s="9" t="e">
        <f>VLOOKUP(A1627,[2]Planilha1!$A:$B,2,0)</f>
        <v>#N/A</v>
      </c>
      <c r="D1627" s="10">
        <f>SUMIF([1]Relatório!$A$2:$A$2653,A1627,[1]Relatório!$AK$2:$AK$2653)</f>
        <v>8</v>
      </c>
      <c r="E1627" s="11">
        <f t="shared" si="50"/>
        <v>1.36762189357508e-5</v>
      </c>
      <c r="F1627" s="11">
        <f>SUM($E$7:E1627)</f>
        <v>0.99934012243635</v>
      </c>
      <c r="G1627" s="12" t="str">
        <f t="shared" si="51"/>
        <v>C</v>
      </c>
      <c r="H1627" s="9" t="s">
        <v>221</v>
      </c>
      <c r="I1627" s="9" t="s">
        <v>3488</v>
      </c>
      <c r="J1627" s="9" t="s">
        <v>1710</v>
      </c>
      <c r="K1627" s="10" t="str">
        <f>IFERROR(VLOOKUP(A1627,'Pedido ESTHER'!$B:$C,2,0),"")</f>
        <v/>
      </c>
      <c r="L1627" s="12" t="str">
        <f>IF(N(K1627)&gt;0,"COMPRA","NÃO COMPRA")</f>
        <v>NÃO COMPRA</v>
      </c>
    </row>
    <row r="1628" spans="1:12">
      <c r="A1628" s="8" t="s">
        <v>3489</v>
      </c>
      <c r="B1628" s="9" t="s">
        <v>3490</v>
      </c>
      <c r="C1628" s="9" t="e">
        <f>VLOOKUP(A1628,[2]Planilha1!$A:$B,2,0)</f>
        <v>#N/A</v>
      </c>
      <c r="D1628" s="10">
        <f>SUMIF([1]Relatório!$A$2:$A$2653,A1628,[1]Relatório!$AK$2:$AK$2653)</f>
        <v>8</v>
      </c>
      <c r="E1628" s="11">
        <f t="shared" si="50"/>
        <v>1.36762189357508e-5</v>
      </c>
      <c r="F1628" s="11">
        <f>SUM($E$7:E1628)</f>
        <v>0.999353798655286</v>
      </c>
      <c r="G1628" s="12" t="str">
        <f t="shared" si="51"/>
        <v>C</v>
      </c>
      <c r="H1628" s="9" t="s">
        <v>221</v>
      </c>
      <c r="I1628" s="9" t="s">
        <v>3491</v>
      </c>
      <c r="J1628" s="9" t="s">
        <v>359</v>
      </c>
      <c r="K1628" s="10" t="str">
        <f>IFERROR(VLOOKUP(A1628,'Pedido ESTHER'!$B:$C,2,0),"")</f>
        <v/>
      </c>
      <c r="L1628" s="12" t="str">
        <f>IF(N(K1628)&gt;0,"COMPRA","NÃO COMPRA")</f>
        <v>NÃO COMPRA</v>
      </c>
    </row>
    <row r="1629" spans="1:12">
      <c r="A1629" s="8" t="s">
        <v>3492</v>
      </c>
      <c r="B1629" s="9" t="s">
        <v>3493</v>
      </c>
      <c r="C1629" s="9" t="e">
        <f>VLOOKUP(A1629,[2]Planilha1!$A:$B,2,0)</f>
        <v>#N/A</v>
      </c>
      <c r="D1629" s="10">
        <f>SUMIF([1]Relatório!$A$2:$A$2653,A1629,[1]Relatório!$AK$2:$AK$2653)</f>
        <v>8</v>
      </c>
      <c r="E1629" s="11">
        <f t="shared" si="50"/>
        <v>1.36762189357508e-5</v>
      </c>
      <c r="F1629" s="11">
        <f>SUM($E$7:E1629)</f>
        <v>0.999367474874222</v>
      </c>
      <c r="G1629" s="12" t="str">
        <f t="shared" si="51"/>
        <v>C</v>
      </c>
      <c r="H1629" s="9" t="s">
        <v>1117</v>
      </c>
      <c r="I1629" s="9" t="s">
        <v>3494</v>
      </c>
      <c r="J1629" s="9" t="s">
        <v>158</v>
      </c>
      <c r="K1629" s="10" t="str">
        <f>IFERROR(VLOOKUP(A1629,'Pedido ESTHER'!$B:$C,2,0),"")</f>
        <v/>
      </c>
      <c r="L1629" s="12" t="str">
        <f>IF(N(K1629)&gt;0,"COMPRA","NÃO COMPRA")</f>
        <v>NÃO COMPRA</v>
      </c>
    </row>
    <row r="1630" spans="1:12">
      <c r="A1630" s="8" t="s">
        <v>3495</v>
      </c>
      <c r="B1630" s="9" t="s">
        <v>2645</v>
      </c>
      <c r="C1630" s="9" t="e">
        <f>VLOOKUP(A1630,[2]Planilha1!$A:$B,2,0)</f>
        <v>#N/A</v>
      </c>
      <c r="D1630" s="10">
        <f>SUMIF([1]Relatório!$A$2:$A$2653,A1630,[1]Relatório!$AK$2:$AK$2653)</f>
        <v>8</v>
      </c>
      <c r="E1630" s="11">
        <f t="shared" si="50"/>
        <v>1.36762189357508e-5</v>
      </c>
      <c r="F1630" s="11">
        <f>SUM($E$7:E1630)</f>
        <v>0.999381151093158</v>
      </c>
      <c r="G1630" s="12" t="str">
        <f t="shared" si="51"/>
        <v>C</v>
      </c>
      <c r="H1630" s="9" t="s">
        <v>2452</v>
      </c>
      <c r="I1630" s="9" t="s">
        <v>3496</v>
      </c>
      <c r="J1630" s="9" t="s">
        <v>23</v>
      </c>
      <c r="K1630" s="10" t="str">
        <f>IFERROR(VLOOKUP(A1630,'Pedido ESTHER'!$B:$C,2,0),"")</f>
        <v/>
      </c>
      <c r="L1630" s="12" t="str">
        <f>IF(N(K1630)&gt;0,"COMPRA","NÃO COMPRA")</f>
        <v>NÃO COMPRA</v>
      </c>
    </row>
    <row r="1631" spans="1:12">
      <c r="A1631" s="8" t="s">
        <v>3497</v>
      </c>
      <c r="B1631" s="9" t="s">
        <v>3319</v>
      </c>
      <c r="C1631" s="9" t="e">
        <f>VLOOKUP(A1631,[2]Planilha1!$A:$B,2,0)</f>
        <v>#N/A</v>
      </c>
      <c r="D1631" s="10">
        <f>SUMIF([1]Relatório!$A$2:$A$2653,A1631,[1]Relatório!$AK$2:$AK$2653)</f>
        <v>8</v>
      </c>
      <c r="E1631" s="11">
        <f t="shared" si="50"/>
        <v>1.36762189357508e-5</v>
      </c>
      <c r="F1631" s="11">
        <f>SUM($E$7:E1631)</f>
        <v>0.999394827312093</v>
      </c>
      <c r="G1631" s="12" t="str">
        <f t="shared" si="51"/>
        <v>C</v>
      </c>
      <c r="H1631" s="9" t="s">
        <v>2452</v>
      </c>
      <c r="I1631" s="9" t="s">
        <v>3498</v>
      </c>
      <c r="J1631" s="9" t="s">
        <v>241</v>
      </c>
      <c r="K1631" s="10" t="str">
        <f>IFERROR(VLOOKUP(A1631,'Pedido ESTHER'!$B:$C,2,0),"")</f>
        <v/>
      </c>
      <c r="L1631" s="12" t="str">
        <f>IF(N(K1631)&gt;0,"COMPRA","NÃO COMPRA")</f>
        <v>NÃO COMPRA</v>
      </c>
    </row>
    <row r="1632" spans="1:12">
      <c r="A1632" s="8" t="s">
        <v>3499</v>
      </c>
      <c r="B1632" s="9" t="s">
        <v>812</v>
      </c>
      <c r="C1632" s="9" t="e">
        <f>VLOOKUP(A1632,[2]Planilha1!$A:$B,2,0)</f>
        <v>#N/A</v>
      </c>
      <c r="D1632" s="10">
        <f>SUMIF([1]Relatório!$A$2:$A$2653,A1632,[1]Relatório!$AK$2:$AK$2653)</f>
        <v>7</v>
      </c>
      <c r="E1632" s="11">
        <f t="shared" si="50"/>
        <v>1.1966691568782e-5</v>
      </c>
      <c r="F1632" s="11">
        <f>SUM($E$7:E1632)</f>
        <v>0.999406794003662</v>
      </c>
      <c r="G1632" s="12" t="str">
        <f t="shared" si="51"/>
        <v>C</v>
      </c>
      <c r="H1632" s="9" t="s">
        <v>183</v>
      </c>
      <c r="I1632" s="9"/>
      <c r="J1632" s="9" t="s">
        <v>1143</v>
      </c>
      <c r="K1632" s="10" t="str">
        <f>IFERROR(VLOOKUP(A1632,'Pedido ESTHER'!$B:$C,2,0),"")</f>
        <v/>
      </c>
      <c r="L1632" s="12" t="str">
        <f>IF(N(K1632)&gt;0,"COMPRA","NÃO COMPRA")</f>
        <v>NÃO COMPRA</v>
      </c>
    </row>
    <row r="1633" spans="1:12">
      <c r="A1633" s="8" t="s">
        <v>3500</v>
      </c>
      <c r="B1633" s="9" t="s">
        <v>193</v>
      </c>
      <c r="C1633" s="9" t="e">
        <f>VLOOKUP(A1633,[2]Planilha1!$A:$B,2,0)</f>
        <v>#N/A</v>
      </c>
      <c r="D1633" s="10">
        <f>SUMIF([1]Relatório!$A$2:$A$2653,A1633,[1]Relatório!$AK$2:$AK$2653)</f>
        <v>7</v>
      </c>
      <c r="E1633" s="11">
        <f t="shared" si="50"/>
        <v>1.1966691568782e-5</v>
      </c>
      <c r="F1633" s="11">
        <f>SUM($E$7:E1633)</f>
        <v>0.999418760695231</v>
      </c>
      <c r="G1633" s="12" t="str">
        <f t="shared" si="51"/>
        <v>C</v>
      </c>
      <c r="H1633" s="9" t="s">
        <v>183</v>
      </c>
      <c r="I1633" s="9" t="s">
        <v>3501</v>
      </c>
      <c r="J1633" s="9" t="s">
        <v>29</v>
      </c>
      <c r="K1633" s="10" t="str">
        <f>IFERROR(VLOOKUP(A1633,'Pedido ESTHER'!$B:$C,2,0),"")</f>
        <v/>
      </c>
      <c r="L1633" s="12" t="str">
        <f>IF(N(K1633)&gt;0,"COMPRA","NÃO COMPRA")</f>
        <v>NÃO COMPRA</v>
      </c>
    </row>
    <row r="1634" spans="1:12">
      <c r="A1634" s="8" t="s">
        <v>3502</v>
      </c>
      <c r="B1634" s="9" t="s">
        <v>1867</v>
      </c>
      <c r="C1634" s="9" t="e">
        <f>VLOOKUP(A1634,[2]Planilha1!$A:$B,2,0)</f>
        <v>#N/A</v>
      </c>
      <c r="D1634" s="10">
        <f>SUMIF([1]Relatório!$A$2:$A$2653,A1634,[1]Relatório!$AK$2:$AK$2653)</f>
        <v>7</v>
      </c>
      <c r="E1634" s="11">
        <f t="shared" si="50"/>
        <v>1.1966691568782e-5</v>
      </c>
      <c r="F1634" s="11">
        <f>SUM($E$7:E1634)</f>
        <v>0.9994307273868</v>
      </c>
      <c r="G1634" s="12" t="str">
        <f t="shared" si="51"/>
        <v>C</v>
      </c>
      <c r="H1634" s="9" t="s">
        <v>2406</v>
      </c>
      <c r="I1634" s="9" t="s">
        <v>3503</v>
      </c>
      <c r="J1634" s="9" t="s">
        <v>44</v>
      </c>
      <c r="K1634" s="10" t="str">
        <f>IFERROR(VLOOKUP(A1634,'Pedido ESTHER'!$B:$C,2,0),"")</f>
        <v/>
      </c>
      <c r="L1634" s="12" t="str">
        <f>IF(N(K1634)&gt;0,"COMPRA","NÃO COMPRA")</f>
        <v>NÃO COMPRA</v>
      </c>
    </row>
    <row r="1635" spans="1:12">
      <c r="A1635" s="8" t="s">
        <v>3504</v>
      </c>
      <c r="B1635" s="9" t="s">
        <v>1781</v>
      </c>
      <c r="C1635" s="9" t="e">
        <f>VLOOKUP(A1635,[2]Planilha1!$A:$B,2,0)</f>
        <v>#N/A</v>
      </c>
      <c r="D1635" s="10">
        <f>SUMIF([1]Relatório!$A$2:$A$2653,A1635,[1]Relatório!$AK$2:$AK$2653)</f>
        <v>7</v>
      </c>
      <c r="E1635" s="11">
        <f t="shared" si="50"/>
        <v>1.1966691568782e-5</v>
      </c>
      <c r="F1635" s="11">
        <f>SUM($E$7:E1635)</f>
        <v>0.999442694078368</v>
      </c>
      <c r="G1635" s="12" t="str">
        <f t="shared" si="51"/>
        <v>C</v>
      </c>
      <c r="H1635" s="9" t="s">
        <v>2406</v>
      </c>
      <c r="I1635" s="9" t="s">
        <v>3505</v>
      </c>
      <c r="J1635" s="9" t="s">
        <v>201</v>
      </c>
      <c r="K1635" s="10" t="str">
        <f>IFERROR(VLOOKUP(A1635,'Pedido ESTHER'!$B:$C,2,0),"")</f>
        <v/>
      </c>
      <c r="L1635" s="12" t="str">
        <f>IF(N(K1635)&gt;0,"COMPRA","NÃO COMPRA")</f>
        <v>NÃO COMPRA</v>
      </c>
    </row>
    <row r="1636" spans="1:12">
      <c r="A1636" s="8" t="s">
        <v>3506</v>
      </c>
      <c r="B1636" s="9" t="s">
        <v>1796</v>
      </c>
      <c r="C1636" s="9" t="e">
        <f>VLOOKUP(A1636,[2]Planilha1!$A:$B,2,0)</f>
        <v>#N/A</v>
      </c>
      <c r="D1636" s="10">
        <f>SUMIF([1]Relatório!$A$2:$A$2653,A1636,[1]Relatório!$AK$2:$AK$2653)</f>
        <v>7</v>
      </c>
      <c r="E1636" s="11">
        <f t="shared" si="50"/>
        <v>1.1966691568782e-5</v>
      </c>
      <c r="F1636" s="11">
        <f>SUM($E$7:E1636)</f>
        <v>0.999454660769937</v>
      </c>
      <c r="G1636" s="12" t="str">
        <f t="shared" si="51"/>
        <v>C</v>
      </c>
      <c r="H1636" s="9" t="s">
        <v>2406</v>
      </c>
      <c r="I1636" s="9" t="s">
        <v>3507</v>
      </c>
      <c r="J1636" s="9" t="s">
        <v>201</v>
      </c>
      <c r="K1636" s="10" t="str">
        <f>IFERROR(VLOOKUP(A1636,'Pedido ESTHER'!$B:$C,2,0),"")</f>
        <v/>
      </c>
      <c r="L1636" s="12" t="str">
        <f>IF(N(K1636)&gt;0,"COMPRA","NÃO COMPRA")</f>
        <v>NÃO COMPRA</v>
      </c>
    </row>
    <row r="1637" spans="1:12">
      <c r="A1637" s="8" t="s">
        <v>3508</v>
      </c>
      <c r="B1637" s="9" t="s">
        <v>1892</v>
      </c>
      <c r="C1637" s="9" t="e">
        <f>VLOOKUP(A1637,[2]Planilha1!$A:$B,2,0)</f>
        <v>#N/A</v>
      </c>
      <c r="D1637" s="10">
        <f>SUMIF([1]Relatório!$A$2:$A$2653,A1637,[1]Relatório!$AK$2:$AK$2653)</f>
        <v>7</v>
      </c>
      <c r="E1637" s="11">
        <f t="shared" si="50"/>
        <v>1.1966691568782e-5</v>
      </c>
      <c r="F1637" s="11">
        <f>SUM($E$7:E1637)</f>
        <v>0.999466627461506</v>
      </c>
      <c r="G1637" s="12" t="str">
        <f t="shared" si="51"/>
        <v>C</v>
      </c>
      <c r="H1637" s="9" t="s">
        <v>1344</v>
      </c>
      <c r="I1637" s="9" t="s">
        <v>3509</v>
      </c>
      <c r="J1637" s="9" t="s">
        <v>40</v>
      </c>
      <c r="K1637" s="10" t="str">
        <f>IFERROR(VLOOKUP(A1637,'Pedido ESTHER'!$B:$C,2,0),"")</f>
        <v/>
      </c>
      <c r="L1637" s="12" t="str">
        <f>IF(N(K1637)&gt;0,"COMPRA","NÃO COMPRA")</f>
        <v>NÃO COMPRA</v>
      </c>
    </row>
    <row r="1638" spans="1:12">
      <c r="A1638" s="8" t="s">
        <v>3510</v>
      </c>
      <c r="B1638" s="9" t="s">
        <v>1917</v>
      </c>
      <c r="C1638" s="9" t="e">
        <f>VLOOKUP(A1638,[2]Planilha1!$A:$B,2,0)</f>
        <v>#N/A</v>
      </c>
      <c r="D1638" s="10">
        <f>SUMIF([1]Relatório!$A$2:$A$2653,A1638,[1]Relatório!$AK$2:$AK$2653)</f>
        <v>7</v>
      </c>
      <c r="E1638" s="11">
        <f t="shared" si="50"/>
        <v>1.1966691568782e-5</v>
      </c>
      <c r="F1638" s="11">
        <f>SUM($E$7:E1638)</f>
        <v>0.999478594153075</v>
      </c>
      <c r="G1638" s="12" t="str">
        <f t="shared" si="51"/>
        <v>C</v>
      </c>
      <c r="H1638" s="9" t="s">
        <v>1344</v>
      </c>
      <c r="I1638" s="9" t="s">
        <v>3511</v>
      </c>
      <c r="J1638" s="9" t="s">
        <v>40</v>
      </c>
      <c r="K1638" s="10" t="str">
        <f>IFERROR(VLOOKUP(A1638,'Pedido ESTHER'!$B:$C,2,0),"")</f>
        <v/>
      </c>
      <c r="L1638" s="12" t="str">
        <f>IF(N(K1638)&gt;0,"COMPRA","NÃO COMPRA")</f>
        <v>NÃO COMPRA</v>
      </c>
    </row>
    <row r="1639" spans="1:12">
      <c r="A1639" s="8" t="s">
        <v>3512</v>
      </c>
      <c r="B1639" s="9" t="s">
        <v>193</v>
      </c>
      <c r="C1639" s="9" t="e">
        <f>VLOOKUP(A1639,[2]Planilha1!$A:$B,2,0)</f>
        <v>#N/A</v>
      </c>
      <c r="D1639" s="10">
        <f>SUMIF([1]Relatório!$A$2:$A$2653,A1639,[1]Relatório!$AK$2:$AK$2653)</f>
        <v>7</v>
      </c>
      <c r="E1639" s="11">
        <f t="shared" si="50"/>
        <v>1.1966691568782e-5</v>
      </c>
      <c r="F1639" s="11">
        <f>SUM($E$7:E1639)</f>
        <v>0.999490560844644</v>
      </c>
      <c r="G1639" s="12" t="str">
        <f t="shared" si="51"/>
        <v>C</v>
      </c>
      <c r="H1639" s="9" t="s">
        <v>183</v>
      </c>
      <c r="I1639" s="9"/>
      <c r="J1639" s="9" t="s">
        <v>29</v>
      </c>
      <c r="K1639" s="10" t="str">
        <f>IFERROR(VLOOKUP(A1639,'Pedido ESTHER'!$B:$C,2,0),"")</f>
        <v/>
      </c>
      <c r="L1639" s="12" t="str">
        <f>IF(N(K1639)&gt;0,"COMPRA","NÃO COMPRA")</f>
        <v>NÃO COMPRA</v>
      </c>
    </row>
    <row r="1640" spans="1:12">
      <c r="A1640" s="8" t="s">
        <v>3513</v>
      </c>
      <c r="B1640" s="9" t="s">
        <v>602</v>
      </c>
      <c r="C1640" s="9" t="e">
        <f>VLOOKUP(A1640,[2]Planilha1!$A:$B,2,0)</f>
        <v>#N/A</v>
      </c>
      <c r="D1640" s="10">
        <f>SUMIF([1]Relatório!$A$2:$A$2653,A1640,[1]Relatório!$AK$2:$AK$2653)</f>
        <v>7</v>
      </c>
      <c r="E1640" s="11">
        <f t="shared" si="50"/>
        <v>1.1966691568782e-5</v>
      </c>
      <c r="F1640" s="11">
        <f>SUM($E$7:E1640)</f>
        <v>0.999502527536212</v>
      </c>
      <c r="G1640" s="12" t="str">
        <f t="shared" si="51"/>
        <v>C</v>
      </c>
      <c r="H1640" s="9" t="s">
        <v>183</v>
      </c>
      <c r="I1640" s="9"/>
      <c r="J1640" s="9" t="s">
        <v>213</v>
      </c>
      <c r="K1640" s="10" t="str">
        <f>IFERROR(VLOOKUP(A1640,'Pedido ESTHER'!$B:$C,2,0),"")</f>
        <v/>
      </c>
      <c r="L1640" s="12" t="str">
        <f>IF(N(K1640)&gt;0,"COMPRA","NÃO COMPRA")</f>
        <v>NÃO COMPRA</v>
      </c>
    </row>
    <row r="1641" spans="1:12">
      <c r="A1641" s="8" t="s">
        <v>3514</v>
      </c>
      <c r="B1641" s="9" t="s">
        <v>3296</v>
      </c>
      <c r="C1641" s="9" t="e">
        <f>VLOOKUP(A1641,[2]Planilha1!$A:$B,2,0)</f>
        <v>#N/A</v>
      </c>
      <c r="D1641" s="10">
        <f>SUMIF([1]Relatório!$A$2:$A$2653,A1641,[1]Relatório!$AK$2:$AK$2653)</f>
        <v>7</v>
      </c>
      <c r="E1641" s="11">
        <f t="shared" si="50"/>
        <v>1.1966691568782e-5</v>
      </c>
      <c r="F1641" s="11">
        <f>SUM($E$7:E1641)</f>
        <v>0.999514494227781</v>
      </c>
      <c r="G1641" s="12" t="str">
        <f t="shared" si="51"/>
        <v>C</v>
      </c>
      <c r="H1641" s="9" t="s">
        <v>183</v>
      </c>
      <c r="I1641" s="9" t="s">
        <v>3515</v>
      </c>
      <c r="J1641" s="9" t="s">
        <v>3298</v>
      </c>
      <c r="K1641" s="10" t="str">
        <f>IFERROR(VLOOKUP(A1641,'Pedido ESTHER'!$B:$C,2,0),"")</f>
        <v/>
      </c>
      <c r="L1641" s="12" t="str">
        <f>IF(N(K1641)&gt;0,"COMPRA","NÃO COMPRA")</f>
        <v>NÃO COMPRA</v>
      </c>
    </row>
    <row r="1642" spans="1:12">
      <c r="A1642" s="8" t="s">
        <v>3516</v>
      </c>
      <c r="B1642" s="9" t="s">
        <v>2411</v>
      </c>
      <c r="C1642" s="9" t="e">
        <f>VLOOKUP(A1642,[2]Planilha1!$A:$B,2,0)</f>
        <v>#N/A</v>
      </c>
      <c r="D1642" s="10">
        <f>SUMIF([1]Relatório!$A$2:$A$2653,A1642,[1]Relatório!$AK$2:$AK$2653)</f>
        <v>7</v>
      </c>
      <c r="E1642" s="11">
        <f t="shared" si="50"/>
        <v>1.1966691568782e-5</v>
      </c>
      <c r="F1642" s="11">
        <f>SUM($E$7:E1642)</f>
        <v>0.99952646091935</v>
      </c>
      <c r="G1642" s="12" t="str">
        <f t="shared" si="51"/>
        <v>C</v>
      </c>
      <c r="H1642" s="9" t="s">
        <v>74</v>
      </c>
      <c r="I1642" s="9" t="s">
        <v>3517</v>
      </c>
      <c r="J1642" s="9" t="s">
        <v>40</v>
      </c>
      <c r="K1642" s="10" t="str">
        <f>IFERROR(VLOOKUP(A1642,'Pedido ESTHER'!$B:$C,2,0),"")</f>
        <v/>
      </c>
      <c r="L1642" s="12" t="str">
        <f>IF(N(K1642)&gt;0,"COMPRA","NÃO COMPRA")</f>
        <v>NÃO COMPRA</v>
      </c>
    </row>
    <row r="1643" spans="1:12">
      <c r="A1643" s="8" t="s">
        <v>3518</v>
      </c>
      <c r="B1643" s="9" t="s">
        <v>3519</v>
      </c>
      <c r="C1643" s="9" t="e">
        <f>VLOOKUP(A1643,[2]Planilha1!$A:$B,2,0)</f>
        <v>#N/A</v>
      </c>
      <c r="D1643" s="10">
        <f>SUMIF([1]Relatório!$A$2:$A$2653,A1643,[1]Relatório!$AK$2:$AK$2653)</f>
        <v>7</v>
      </c>
      <c r="E1643" s="11">
        <f t="shared" si="50"/>
        <v>1.1966691568782e-5</v>
      </c>
      <c r="F1643" s="11">
        <f>SUM($E$7:E1643)</f>
        <v>0.999538427610919</v>
      </c>
      <c r="G1643" s="12" t="str">
        <f t="shared" si="51"/>
        <v>C</v>
      </c>
      <c r="H1643" s="9" t="s">
        <v>18</v>
      </c>
      <c r="I1643" s="9" t="s">
        <v>3520</v>
      </c>
      <c r="J1643" s="9" t="s">
        <v>359</v>
      </c>
      <c r="K1643" s="10" t="str">
        <f>IFERROR(VLOOKUP(A1643,'Pedido ESTHER'!$B:$C,2,0),"")</f>
        <v/>
      </c>
      <c r="L1643" s="12" t="str">
        <f>IF(N(K1643)&gt;0,"COMPRA","NÃO COMPRA")</f>
        <v>NÃO COMPRA</v>
      </c>
    </row>
    <row r="1644" spans="1:12">
      <c r="A1644" s="8" t="s">
        <v>3521</v>
      </c>
      <c r="B1644" s="9" t="s">
        <v>2744</v>
      </c>
      <c r="C1644" s="9" t="e">
        <f>VLOOKUP(A1644,[2]Planilha1!$A:$B,2,0)</f>
        <v>#N/A</v>
      </c>
      <c r="D1644" s="10">
        <f>SUMIF([1]Relatório!$A$2:$A$2653,A1644,[1]Relatório!$AK$2:$AK$2653)</f>
        <v>7</v>
      </c>
      <c r="E1644" s="11">
        <f t="shared" si="50"/>
        <v>1.1966691568782e-5</v>
      </c>
      <c r="F1644" s="11">
        <f>SUM($E$7:E1644)</f>
        <v>0.999550394302487</v>
      </c>
      <c r="G1644" s="12" t="str">
        <f t="shared" si="51"/>
        <v>C</v>
      </c>
      <c r="H1644" s="9" t="s">
        <v>14</v>
      </c>
      <c r="I1644" s="9" t="s">
        <v>3522</v>
      </c>
      <c r="J1644" s="9" t="s">
        <v>359</v>
      </c>
      <c r="K1644" s="10" t="str">
        <f>IFERROR(VLOOKUP(A1644,'Pedido ESTHER'!$B:$C,2,0),"")</f>
        <v/>
      </c>
      <c r="L1644" s="12" t="str">
        <f>IF(N(K1644)&gt;0,"COMPRA","NÃO COMPRA")</f>
        <v>NÃO COMPRA</v>
      </c>
    </row>
    <row r="1645" spans="1:12">
      <c r="A1645" s="8" t="s">
        <v>3523</v>
      </c>
      <c r="B1645" s="9" t="s">
        <v>91</v>
      </c>
      <c r="C1645" s="9" t="e">
        <f>VLOOKUP(A1645,[2]Planilha1!$A:$B,2,0)</f>
        <v>#N/A</v>
      </c>
      <c r="D1645" s="10">
        <f>SUMIF([1]Relatório!$A$2:$A$2653,A1645,[1]Relatório!$AK$2:$AK$2653)</f>
        <v>7</v>
      </c>
      <c r="E1645" s="11">
        <f t="shared" si="50"/>
        <v>1.1966691568782e-5</v>
      </c>
      <c r="F1645" s="11">
        <f>SUM($E$7:E1645)</f>
        <v>0.999562360994056</v>
      </c>
      <c r="G1645" s="12" t="str">
        <f t="shared" si="51"/>
        <v>C</v>
      </c>
      <c r="H1645" s="9" t="s">
        <v>74</v>
      </c>
      <c r="I1645" s="9" t="s">
        <v>3524</v>
      </c>
      <c r="J1645" s="9" t="s">
        <v>33</v>
      </c>
      <c r="K1645" s="10" t="str">
        <f>IFERROR(VLOOKUP(A1645,'Pedido ESTHER'!$B:$C,2,0),"")</f>
        <v/>
      </c>
      <c r="L1645" s="12" t="str">
        <f>IF(N(K1645)&gt;0,"COMPRA","NÃO COMPRA")</f>
        <v>NÃO COMPRA</v>
      </c>
    </row>
    <row r="1646" spans="1:12">
      <c r="A1646" s="8" t="s">
        <v>3525</v>
      </c>
      <c r="B1646" s="9" t="s">
        <v>2102</v>
      </c>
      <c r="C1646" s="9" t="e">
        <f>VLOOKUP(A1646,[2]Planilha1!$A:$B,2,0)</f>
        <v>#N/A</v>
      </c>
      <c r="D1646" s="10">
        <f>SUMIF([1]Relatório!$A$2:$A$2653,A1646,[1]Relatório!$AK$2:$AK$2653)</f>
        <v>7</v>
      </c>
      <c r="E1646" s="11">
        <f t="shared" si="50"/>
        <v>1.1966691568782e-5</v>
      </c>
      <c r="F1646" s="11">
        <f>SUM($E$7:E1646)</f>
        <v>0.999574327685625</v>
      </c>
      <c r="G1646" s="12" t="str">
        <f t="shared" si="51"/>
        <v>C</v>
      </c>
      <c r="H1646" s="9" t="s">
        <v>1117</v>
      </c>
      <c r="I1646" s="9" t="s">
        <v>3526</v>
      </c>
      <c r="J1646" s="9" t="s">
        <v>1143</v>
      </c>
      <c r="K1646" s="10" t="str">
        <f>IFERROR(VLOOKUP(A1646,'Pedido ESTHER'!$B:$C,2,0),"")</f>
        <v/>
      </c>
      <c r="L1646" s="12" t="str">
        <f>IF(N(K1646)&gt;0,"COMPRA","NÃO COMPRA")</f>
        <v>NÃO COMPRA</v>
      </c>
    </row>
    <row r="1647" spans="1:12">
      <c r="A1647" s="8" t="s">
        <v>3527</v>
      </c>
      <c r="B1647" s="9" t="s">
        <v>3464</v>
      </c>
      <c r="C1647" s="9" t="e">
        <f>VLOOKUP(A1647,[2]Planilha1!$A:$B,2,0)</f>
        <v>#N/A</v>
      </c>
      <c r="D1647" s="10">
        <f>SUMIF([1]Relatório!$A$2:$A$2653,A1647,[1]Relatório!$AK$2:$AK$2653)</f>
        <v>7</v>
      </c>
      <c r="E1647" s="11">
        <f t="shared" si="50"/>
        <v>1.1966691568782e-5</v>
      </c>
      <c r="F1647" s="11">
        <f>SUM($E$7:E1647)</f>
        <v>0.999586294377194</v>
      </c>
      <c r="G1647" s="12" t="str">
        <f t="shared" si="51"/>
        <v>C</v>
      </c>
      <c r="H1647" s="9" t="s">
        <v>2452</v>
      </c>
      <c r="I1647" s="9" t="s">
        <v>3528</v>
      </c>
      <c r="J1647" s="9" t="s">
        <v>171</v>
      </c>
      <c r="K1647" s="10" t="str">
        <f>IFERROR(VLOOKUP(A1647,'Pedido ESTHER'!$B:$C,2,0),"")</f>
        <v/>
      </c>
      <c r="L1647" s="12" t="str">
        <f>IF(N(K1647)&gt;0,"COMPRA","NÃO COMPRA")</f>
        <v>NÃO COMPRA</v>
      </c>
    </row>
    <row r="1648" spans="1:12">
      <c r="A1648" s="8" t="s">
        <v>3529</v>
      </c>
      <c r="B1648" s="9" t="s">
        <v>3464</v>
      </c>
      <c r="C1648" s="9" t="e">
        <f>VLOOKUP(A1648,[2]Planilha1!$A:$B,2,0)</f>
        <v>#N/A</v>
      </c>
      <c r="D1648" s="10">
        <f>SUMIF([1]Relatório!$A$2:$A$2653,A1648,[1]Relatório!$AK$2:$AK$2653)</f>
        <v>7</v>
      </c>
      <c r="E1648" s="11">
        <f t="shared" si="50"/>
        <v>1.1966691568782e-5</v>
      </c>
      <c r="F1648" s="11">
        <f>SUM($E$7:E1648)</f>
        <v>0.999598261068763</v>
      </c>
      <c r="G1648" s="12" t="str">
        <f t="shared" si="51"/>
        <v>C</v>
      </c>
      <c r="H1648" s="9" t="s">
        <v>2452</v>
      </c>
      <c r="I1648" s="9" t="s">
        <v>3530</v>
      </c>
      <c r="J1648" s="9" t="s">
        <v>171</v>
      </c>
      <c r="K1648" s="10" t="str">
        <f>IFERROR(VLOOKUP(A1648,'Pedido ESTHER'!$B:$C,2,0),"")</f>
        <v/>
      </c>
      <c r="L1648" s="12" t="str">
        <f>IF(N(K1648)&gt;0,"COMPRA","NÃO COMPRA")</f>
        <v>NÃO COMPRA</v>
      </c>
    </row>
    <row r="1649" spans="1:12">
      <c r="A1649" s="8" t="s">
        <v>3531</v>
      </c>
      <c r="B1649" s="9" t="s">
        <v>2455</v>
      </c>
      <c r="C1649" s="9" t="e">
        <f>VLOOKUP(A1649,[2]Planilha1!$A:$B,2,0)</f>
        <v>#N/A</v>
      </c>
      <c r="D1649" s="10">
        <f>SUMIF([1]Relatório!$A$2:$A$2653,A1649,[1]Relatório!$AK$2:$AK$2653)</f>
        <v>7</v>
      </c>
      <c r="E1649" s="11">
        <f t="shared" si="50"/>
        <v>1.1966691568782e-5</v>
      </c>
      <c r="F1649" s="11">
        <f>SUM($E$7:E1649)</f>
        <v>0.999610227760331</v>
      </c>
      <c r="G1649" s="12" t="str">
        <f t="shared" si="51"/>
        <v>C</v>
      </c>
      <c r="H1649" s="9" t="s">
        <v>2452</v>
      </c>
      <c r="I1649" s="9" t="s">
        <v>3532</v>
      </c>
      <c r="J1649" s="9" t="s">
        <v>44</v>
      </c>
      <c r="K1649" s="10" t="str">
        <f>IFERROR(VLOOKUP(A1649,'Pedido ESTHER'!$B:$C,2,0),"")</f>
        <v/>
      </c>
      <c r="L1649" s="12" t="str">
        <f>IF(N(K1649)&gt;0,"COMPRA","NÃO COMPRA")</f>
        <v>NÃO COMPRA</v>
      </c>
    </row>
    <row r="1650" spans="1:12">
      <c r="A1650" s="8" t="s">
        <v>3533</v>
      </c>
      <c r="B1650" s="9" t="s">
        <v>2455</v>
      </c>
      <c r="C1650" s="9" t="e">
        <f>VLOOKUP(A1650,[2]Planilha1!$A:$B,2,0)</f>
        <v>#N/A</v>
      </c>
      <c r="D1650" s="10">
        <f>SUMIF([1]Relatório!$A$2:$A$2653,A1650,[1]Relatório!$AK$2:$AK$2653)</f>
        <v>7</v>
      </c>
      <c r="E1650" s="11">
        <f t="shared" si="50"/>
        <v>1.1966691568782e-5</v>
      </c>
      <c r="F1650" s="11">
        <f>SUM($E$7:E1650)</f>
        <v>0.9996221944519</v>
      </c>
      <c r="G1650" s="12" t="str">
        <f t="shared" si="51"/>
        <v>C</v>
      </c>
      <c r="H1650" s="9" t="s">
        <v>2452</v>
      </c>
      <c r="I1650" s="9" t="s">
        <v>3534</v>
      </c>
      <c r="J1650" s="9" t="s">
        <v>44</v>
      </c>
      <c r="K1650" s="10" t="str">
        <f>IFERROR(VLOOKUP(A1650,'Pedido ESTHER'!$B:$C,2,0),"")</f>
        <v/>
      </c>
      <c r="L1650" s="12" t="str">
        <f>IF(N(K1650)&gt;0,"COMPRA","NÃO COMPRA")</f>
        <v>NÃO COMPRA</v>
      </c>
    </row>
    <row r="1651" spans="1:12">
      <c r="A1651" s="8" t="s">
        <v>3535</v>
      </c>
      <c r="B1651" s="9" t="s">
        <v>2052</v>
      </c>
      <c r="C1651" s="9" t="e">
        <f>VLOOKUP(A1651,[2]Planilha1!$A:$B,2,0)</f>
        <v>#N/A</v>
      </c>
      <c r="D1651" s="10">
        <f>SUMIF([1]Relatório!$A$2:$A$2653,A1651,[1]Relatório!$AK$2:$AK$2653)</f>
        <v>6</v>
      </c>
      <c r="E1651" s="11">
        <f t="shared" si="50"/>
        <v>1.02571642018131e-5</v>
      </c>
      <c r="F1651" s="11">
        <f>SUM($E$7:E1651)</f>
        <v>0.999632451616102</v>
      </c>
      <c r="G1651" s="12" t="str">
        <f t="shared" si="51"/>
        <v>C</v>
      </c>
      <c r="H1651" s="9" t="s">
        <v>183</v>
      </c>
      <c r="I1651" s="9"/>
      <c r="J1651" s="9" t="s">
        <v>2291</v>
      </c>
      <c r="K1651" s="10" t="str">
        <f>IFERROR(VLOOKUP(A1651,'Pedido ESTHER'!$B:$C,2,0),"")</f>
        <v/>
      </c>
      <c r="L1651" s="12" t="str">
        <f>IF(N(K1651)&gt;0,"COMPRA","NÃO COMPRA")</f>
        <v>NÃO COMPRA</v>
      </c>
    </row>
    <row r="1652" spans="1:12">
      <c r="A1652" s="8" t="s">
        <v>3536</v>
      </c>
      <c r="B1652" s="9" t="s">
        <v>1699</v>
      </c>
      <c r="C1652" s="9" t="e">
        <f>VLOOKUP(A1652,[2]Planilha1!$A:$B,2,0)</f>
        <v>#N/A</v>
      </c>
      <c r="D1652" s="10">
        <f>SUMIF([1]Relatório!$A$2:$A$2653,A1652,[1]Relatório!$AK$2:$AK$2653)</f>
        <v>6</v>
      </c>
      <c r="E1652" s="11">
        <f t="shared" si="50"/>
        <v>1.02571642018131e-5</v>
      </c>
      <c r="F1652" s="11">
        <f>SUM($E$7:E1652)</f>
        <v>0.999642708780304</v>
      </c>
      <c r="G1652" s="12" t="str">
        <f t="shared" si="51"/>
        <v>C</v>
      </c>
      <c r="H1652" s="9" t="s">
        <v>1700</v>
      </c>
      <c r="I1652" s="9" t="s">
        <v>3537</v>
      </c>
      <c r="J1652" s="9" t="s">
        <v>201</v>
      </c>
      <c r="K1652" s="10" t="str">
        <f>IFERROR(VLOOKUP(A1652,'Pedido ESTHER'!$B:$C,2,0),"")</f>
        <v/>
      </c>
      <c r="L1652" s="12" t="str">
        <f>IF(N(K1652)&gt;0,"COMPRA","NÃO COMPRA")</f>
        <v>NÃO COMPRA</v>
      </c>
    </row>
    <row r="1653" spans="1:12">
      <c r="A1653" s="8" t="s">
        <v>3538</v>
      </c>
      <c r="B1653" s="9" t="s">
        <v>3539</v>
      </c>
      <c r="C1653" s="9" t="e">
        <f>VLOOKUP(A1653,[2]Planilha1!$A:$B,2,0)</f>
        <v>#N/A</v>
      </c>
      <c r="D1653" s="10">
        <f>SUMIF([1]Relatório!$A$2:$A$2653,A1653,[1]Relatório!$AK$2:$AK$2653)</f>
        <v>6</v>
      </c>
      <c r="E1653" s="11">
        <f t="shared" si="50"/>
        <v>1.02571642018131e-5</v>
      </c>
      <c r="F1653" s="11">
        <f>SUM($E$7:E1653)</f>
        <v>0.999652965944505</v>
      </c>
      <c r="G1653" s="12" t="str">
        <f t="shared" si="51"/>
        <v>C</v>
      </c>
      <c r="H1653" s="9" t="s">
        <v>183</v>
      </c>
      <c r="I1653" s="9"/>
      <c r="J1653" s="9" t="s">
        <v>281</v>
      </c>
      <c r="K1653" s="10" t="str">
        <f>IFERROR(VLOOKUP(A1653,'Pedido ESTHER'!$B:$C,2,0),"")</f>
        <v/>
      </c>
      <c r="L1653" s="12" t="str">
        <f>IF(N(K1653)&gt;0,"COMPRA","NÃO COMPRA")</f>
        <v>NÃO COMPRA</v>
      </c>
    </row>
    <row r="1654" spans="1:12">
      <c r="A1654" s="8" t="s">
        <v>3540</v>
      </c>
      <c r="B1654" s="9" t="s">
        <v>1900</v>
      </c>
      <c r="C1654" s="9" t="e">
        <f>VLOOKUP(A1654,[2]Planilha1!$A:$B,2,0)</f>
        <v>#N/A</v>
      </c>
      <c r="D1654" s="10">
        <f>SUMIF([1]Relatório!$A$2:$A$2653,A1654,[1]Relatório!$AK$2:$AK$2653)</f>
        <v>6</v>
      </c>
      <c r="E1654" s="11">
        <f t="shared" si="50"/>
        <v>1.02571642018131e-5</v>
      </c>
      <c r="F1654" s="11">
        <f>SUM($E$7:E1654)</f>
        <v>0.999663223108707</v>
      </c>
      <c r="G1654" s="12" t="str">
        <f t="shared" si="51"/>
        <v>C</v>
      </c>
      <c r="H1654" s="9" t="s">
        <v>183</v>
      </c>
      <c r="I1654" s="9"/>
      <c r="J1654" s="9" t="s">
        <v>2894</v>
      </c>
      <c r="K1654" s="10" t="str">
        <f>IFERROR(VLOOKUP(A1654,'Pedido ESTHER'!$B:$C,2,0),"")</f>
        <v/>
      </c>
      <c r="L1654" s="12" t="str">
        <f>IF(N(K1654)&gt;0,"COMPRA","NÃO COMPRA")</f>
        <v>NÃO COMPRA</v>
      </c>
    </row>
    <row r="1655" spans="1:12">
      <c r="A1655" s="8" t="s">
        <v>3541</v>
      </c>
      <c r="B1655" s="9" t="s">
        <v>2370</v>
      </c>
      <c r="C1655" s="9" t="e">
        <f>VLOOKUP(A1655,[2]Planilha1!$A:$B,2,0)</f>
        <v>#N/A</v>
      </c>
      <c r="D1655" s="10">
        <f>SUMIF([1]Relatório!$A$2:$A$2653,A1655,[1]Relatório!$AK$2:$AK$2653)</f>
        <v>6</v>
      </c>
      <c r="E1655" s="11">
        <f t="shared" si="50"/>
        <v>1.02571642018131e-5</v>
      </c>
      <c r="F1655" s="11">
        <f>SUM($E$7:E1655)</f>
        <v>0.999673480272909</v>
      </c>
      <c r="G1655" s="12" t="str">
        <f t="shared" si="51"/>
        <v>C</v>
      </c>
      <c r="H1655" s="9" t="s">
        <v>74</v>
      </c>
      <c r="I1655" s="9" t="s">
        <v>3542</v>
      </c>
      <c r="J1655" s="9" t="s">
        <v>40</v>
      </c>
      <c r="K1655" s="10" t="str">
        <f>IFERROR(VLOOKUP(A1655,'Pedido ESTHER'!$B:$C,2,0),"")</f>
        <v/>
      </c>
      <c r="L1655" s="12" t="str">
        <f>IF(N(K1655)&gt;0,"COMPRA","NÃO COMPRA")</f>
        <v>NÃO COMPRA</v>
      </c>
    </row>
    <row r="1656" spans="1:12">
      <c r="A1656" s="8" t="s">
        <v>3543</v>
      </c>
      <c r="B1656" s="9" t="s">
        <v>358</v>
      </c>
      <c r="C1656" s="9" t="e">
        <f>VLOOKUP(A1656,[2]Planilha1!$A:$B,2,0)</f>
        <v>#N/A</v>
      </c>
      <c r="D1656" s="10">
        <f>SUMIF([1]Relatório!$A$2:$A$2653,A1656,[1]Relatório!$AK$2:$AK$2653)</f>
        <v>6</v>
      </c>
      <c r="E1656" s="11">
        <f t="shared" si="50"/>
        <v>1.02571642018131e-5</v>
      </c>
      <c r="F1656" s="11">
        <f>SUM($E$7:E1656)</f>
        <v>0.999683737437111</v>
      </c>
      <c r="G1656" s="12" t="str">
        <f t="shared" si="51"/>
        <v>C</v>
      </c>
      <c r="H1656" s="9" t="s">
        <v>21</v>
      </c>
      <c r="I1656" s="9" t="s">
        <v>3544</v>
      </c>
      <c r="J1656" s="9" t="s">
        <v>359</v>
      </c>
      <c r="K1656" s="10" t="str">
        <f>IFERROR(VLOOKUP(A1656,'Pedido ESTHER'!$B:$C,2,0),"")</f>
        <v/>
      </c>
      <c r="L1656" s="12" t="str">
        <f>IF(N(K1656)&gt;0,"COMPRA","NÃO COMPRA")</f>
        <v>NÃO COMPRA</v>
      </c>
    </row>
    <row r="1657" spans="1:12">
      <c r="A1657" s="8" t="s">
        <v>3545</v>
      </c>
      <c r="B1657" s="9" t="s">
        <v>3432</v>
      </c>
      <c r="C1657" s="9" t="e">
        <f>VLOOKUP(A1657,[2]Planilha1!$A:$B,2,0)</f>
        <v>#N/A</v>
      </c>
      <c r="D1657" s="10">
        <f>SUMIF([1]Relatório!$A$2:$A$2653,A1657,[1]Relatório!$AK$2:$AK$2653)</f>
        <v>6</v>
      </c>
      <c r="E1657" s="11">
        <f t="shared" si="50"/>
        <v>1.02571642018131e-5</v>
      </c>
      <c r="F1657" s="11">
        <f>SUM($E$7:E1657)</f>
        <v>0.999693994601313</v>
      </c>
      <c r="G1657" s="12" t="str">
        <f t="shared" si="51"/>
        <v>C</v>
      </c>
      <c r="H1657" s="9" t="s">
        <v>14</v>
      </c>
      <c r="I1657" s="9" t="s">
        <v>3546</v>
      </c>
      <c r="J1657" s="9" t="s">
        <v>2813</v>
      </c>
      <c r="K1657" s="10" t="str">
        <f>IFERROR(VLOOKUP(A1657,'Pedido ESTHER'!$B:$C,2,0),"")</f>
        <v/>
      </c>
      <c r="L1657" s="12" t="str">
        <f>IF(N(K1657)&gt;0,"COMPRA","NÃO COMPRA")</f>
        <v>NÃO COMPRA</v>
      </c>
    </row>
    <row r="1658" spans="1:12">
      <c r="A1658" s="8" t="s">
        <v>3547</v>
      </c>
      <c r="B1658" s="9" t="s">
        <v>2020</v>
      </c>
      <c r="C1658" s="9" t="e">
        <f>VLOOKUP(A1658,[2]Planilha1!$A:$B,2,0)</f>
        <v>#N/A</v>
      </c>
      <c r="D1658" s="10">
        <f>SUMIF([1]Relatório!$A$2:$A$2653,A1658,[1]Relatório!$AK$2:$AK$2653)</f>
        <v>6</v>
      </c>
      <c r="E1658" s="11">
        <f t="shared" si="50"/>
        <v>1.02571642018131e-5</v>
      </c>
      <c r="F1658" s="11">
        <f>SUM($E$7:E1658)</f>
        <v>0.999704251765514</v>
      </c>
      <c r="G1658" s="12" t="str">
        <f t="shared" si="51"/>
        <v>C</v>
      </c>
      <c r="H1658" s="9" t="s">
        <v>1700</v>
      </c>
      <c r="I1658" s="9" t="s">
        <v>3548</v>
      </c>
      <c r="J1658" s="9" t="s">
        <v>158</v>
      </c>
      <c r="K1658" s="10" t="str">
        <f>IFERROR(VLOOKUP(A1658,'Pedido ESTHER'!$B:$C,2,0),"")</f>
        <v/>
      </c>
      <c r="L1658" s="12" t="str">
        <f>IF(N(K1658)&gt;0,"COMPRA","NÃO COMPRA")</f>
        <v>NÃO COMPRA</v>
      </c>
    </row>
    <row r="1659" spans="1:12">
      <c r="A1659" s="8" t="s">
        <v>3549</v>
      </c>
      <c r="B1659" s="9" t="s">
        <v>2645</v>
      </c>
      <c r="C1659" s="9" t="e">
        <f>VLOOKUP(A1659,[2]Planilha1!$A:$B,2,0)</f>
        <v>#N/A</v>
      </c>
      <c r="D1659" s="10">
        <f>SUMIF([1]Relatório!$A$2:$A$2653,A1659,[1]Relatório!$AK$2:$AK$2653)</f>
        <v>6</v>
      </c>
      <c r="E1659" s="11">
        <f t="shared" si="50"/>
        <v>1.02571642018131e-5</v>
      </c>
      <c r="F1659" s="11">
        <f>SUM($E$7:E1659)</f>
        <v>0.999714508929716</v>
      </c>
      <c r="G1659" s="12" t="str">
        <f t="shared" si="51"/>
        <v>C</v>
      </c>
      <c r="H1659" s="9" t="s">
        <v>2452</v>
      </c>
      <c r="I1659" s="9" t="s">
        <v>3550</v>
      </c>
      <c r="J1659" s="9" t="s">
        <v>3551</v>
      </c>
      <c r="K1659" s="10" t="str">
        <f>IFERROR(VLOOKUP(A1659,'Pedido ESTHER'!$B:$C,2,0),"")</f>
        <v/>
      </c>
      <c r="L1659" s="12" t="str">
        <f>IF(N(K1659)&gt;0,"COMPRA","NÃO COMPRA")</f>
        <v>NÃO COMPRA</v>
      </c>
    </row>
    <row r="1660" spans="1:12">
      <c r="A1660" s="8" t="s">
        <v>3552</v>
      </c>
      <c r="B1660" s="9" t="s">
        <v>2455</v>
      </c>
      <c r="C1660" s="9" t="e">
        <f>VLOOKUP(A1660,[2]Planilha1!$A:$B,2,0)</f>
        <v>#N/A</v>
      </c>
      <c r="D1660" s="10">
        <f>SUMIF([1]Relatório!$A$2:$A$2653,A1660,[1]Relatório!$AK$2:$AK$2653)</f>
        <v>6</v>
      </c>
      <c r="E1660" s="11">
        <f t="shared" si="50"/>
        <v>1.02571642018131e-5</v>
      </c>
      <c r="F1660" s="11">
        <f>SUM($E$7:E1660)</f>
        <v>0.999724766093918</v>
      </c>
      <c r="G1660" s="12" t="str">
        <f t="shared" si="51"/>
        <v>C</v>
      </c>
      <c r="H1660" s="9" t="s">
        <v>2452</v>
      </c>
      <c r="I1660" s="9" t="s">
        <v>3553</v>
      </c>
      <c r="J1660" s="9" t="s">
        <v>44</v>
      </c>
      <c r="K1660" s="10" t="str">
        <f>IFERROR(VLOOKUP(A1660,'Pedido ESTHER'!$B:$C,2,0),"")</f>
        <v/>
      </c>
      <c r="L1660" s="12" t="str">
        <f>IF(N(K1660)&gt;0,"COMPRA","NÃO COMPRA")</f>
        <v>NÃO COMPRA</v>
      </c>
    </row>
    <row r="1661" spans="1:12">
      <c r="A1661" s="8" t="s">
        <v>3554</v>
      </c>
      <c r="B1661" s="9" t="s">
        <v>2645</v>
      </c>
      <c r="C1661" s="9" t="e">
        <f>VLOOKUP(A1661,[2]Planilha1!$A:$B,2,0)</f>
        <v>#N/A</v>
      </c>
      <c r="D1661" s="10">
        <f>SUMIF([1]Relatório!$A$2:$A$2653,A1661,[1]Relatório!$AK$2:$AK$2653)</f>
        <v>6</v>
      </c>
      <c r="E1661" s="11">
        <f t="shared" si="50"/>
        <v>1.02571642018131e-5</v>
      </c>
      <c r="F1661" s="11">
        <f>SUM($E$7:E1661)</f>
        <v>0.99973502325812</v>
      </c>
      <c r="G1661" s="12" t="str">
        <f t="shared" si="51"/>
        <v>C</v>
      </c>
      <c r="H1661" s="9" t="s">
        <v>2452</v>
      </c>
      <c r="I1661" s="9" t="s">
        <v>3555</v>
      </c>
      <c r="J1661" s="9" t="s">
        <v>23</v>
      </c>
      <c r="K1661" s="10" t="str">
        <f>IFERROR(VLOOKUP(A1661,'Pedido ESTHER'!$B:$C,2,0),"")</f>
        <v/>
      </c>
      <c r="L1661" s="12" t="str">
        <f>IF(N(K1661)&gt;0,"COMPRA","NÃO COMPRA")</f>
        <v>NÃO COMPRA</v>
      </c>
    </row>
    <row r="1662" spans="1:12">
      <c r="A1662" s="8" t="s">
        <v>3556</v>
      </c>
      <c r="B1662" s="9" t="s">
        <v>2455</v>
      </c>
      <c r="C1662" s="9" t="e">
        <f>VLOOKUP(A1662,[2]Planilha1!$A:$B,2,0)</f>
        <v>#N/A</v>
      </c>
      <c r="D1662" s="10">
        <f>SUMIF([1]Relatório!$A$2:$A$2653,A1662,[1]Relatório!$AK$2:$AK$2653)</f>
        <v>6</v>
      </c>
      <c r="E1662" s="11">
        <f t="shared" si="50"/>
        <v>1.02571642018131e-5</v>
      </c>
      <c r="F1662" s="11">
        <f>SUM($E$7:E1662)</f>
        <v>0.999745280422321</v>
      </c>
      <c r="G1662" s="12" t="str">
        <f t="shared" si="51"/>
        <v>C</v>
      </c>
      <c r="H1662" s="9" t="s">
        <v>2452</v>
      </c>
      <c r="I1662" s="9" t="s">
        <v>3557</v>
      </c>
      <c r="J1662" s="9" t="s">
        <v>44</v>
      </c>
      <c r="K1662" s="10" t="str">
        <f>IFERROR(VLOOKUP(A1662,'Pedido ESTHER'!$B:$C,2,0),"")</f>
        <v/>
      </c>
      <c r="L1662" s="12" t="str">
        <f>IF(N(K1662)&gt;0,"COMPRA","NÃO COMPRA")</f>
        <v>NÃO COMPRA</v>
      </c>
    </row>
    <row r="1663" spans="1:12">
      <c r="A1663" s="8" t="s">
        <v>3558</v>
      </c>
      <c r="B1663" s="9" t="s">
        <v>3052</v>
      </c>
      <c r="C1663" s="9" t="e">
        <f>VLOOKUP(A1663,[2]Planilha1!$A:$B,2,0)</f>
        <v>#N/A</v>
      </c>
      <c r="D1663" s="10">
        <f>SUMIF([1]Relatório!$A$2:$A$2653,A1663,[1]Relatório!$AK$2:$AK$2653)</f>
        <v>6</v>
      </c>
      <c r="E1663" s="11">
        <f t="shared" si="50"/>
        <v>1.02571642018131e-5</v>
      </c>
      <c r="F1663" s="11">
        <f>SUM($E$7:E1663)</f>
        <v>0.999755537586523</v>
      </c>
      <c r="G1663" s="12" t="str">
        <f t="shared" si="51"/>
        <v>C</v>
      </c>
      <c r="H1663" s="9" t="s">
        <v>2452</v>
      </c>
      <c r="I1663" s="9" t="s">
        <v>3559</v>
      </c>
      <c r="J1663" s="9" t="s">
        <v>40</v>
      </c>
      <c r="K1663" s="10" t="str">
        <f>IFERROR(VLOOKUP(A1663,'Pedido ESTHER'!$B:$C,2,0),"")</f>
        <v/>
      </c>
      <c r="L1663" s="12" t="str">
        <f>IF(N(K1663)&gt;0,"COMPRA","NÃO COMPRA")</f>
        <v>NÃO COMPRA</v>
      </c>
    </row>
    <row r="1664" spans="1:12">
      <c r="A1664" s="8" t="s">
        <v>3560</v>
      </c>
      <c r="B1664" s="9" t="s">
        <v>495</v>
      </c>
      <c r="C1664" s="9" t="e">
        <f>VLOOKUP(A1664,[2]Planilha1!$A:$B,2,0)</f>
        <v>#N/A</v>
      </c>
      <c r="D1664" s="10">
        <f>SUMIF([1]Relatório!$A$2:$A$2653,A1664,[1]Relatório!$AK$2:$AK$2653)</f>
        <v>5</v>
      </c>
      <c r="E1664" s="11">
        <f t="shared" si="50"/>
        <v>8.54763683484427e-6</v>
      </c>
      <c r="F1664" s="11">
        <f>SUM($E$7:E1664)</f>
        <v>0.999764085223358</v>
      </c>
      <c r="G1664" s="12" t="str">
        <f t="shared" si="51"/>
        <v>C</v>
      </c>
      <c r="H1664" s="9" t="s">
        <v>183</v>
      </c>
      <c r="I1664" s="9"/>
      <c r="J1664" s="9" t="s">
        <v>268</v>
      </c>
      <c r="K1664" s="10" t="str">
        <f>IFERROR(VLOOKUP(A1664,'Pedido ESTHER'!$B:$C,2,0),"")</f>
        <v/>
      </c>
      <c r="L1664" s="12" t="str">
        <f>IF(N(K1664)&gt;0,"COMPRA","NÃO COMPRA")</f>
        <v>NÃO COMPRA</v>
      </c>
    </row>
    <row r="1665" spans="1:12">
      <c r="A1665" s="8" t="s">
        <v>3561</v>
      </c>
      <c r="B1665" s="9" t="s">
        <v>827</v>
      </c>
      <c r="C1665" s="9" t="e">
        <f>VLOOKUP(A1665,[2]Planilha1!$A:$B,2,0)</f>
        <v>#N/A</v>
      </c>
      <c r="D1665" s="10">
        <f>SUMIF([1]Relatório!$A$2:$A$2653,A1665,[1]Relatório!$AK$2:$AK$2653)</f>
        <v>5</v>
      </c>
      <c r="E1665" s="11">
        <f t="shared" si="50"/>
        <v>8.54763683484427e-6</v>
      </c>
      <c r="F1665" s="11">
        <f>SUM($E$7:E1665)</f>
        <v>0.999772632860193</v>
      </c>
      <c r="G1665" s="12" t="str">
        <f t="shared" si="51"/>
        <v>C</v>
      </c>
      <c r="H1665" s="9" t="s">
        <v>183</v>
      </c>
      <c r="I1665" s="9"/>
      <c r="J1665" s="9" t="s">
        <v>36</v>
      </c>
      <c r="K1665" s="10" t="str">
        <f>IFERROR(VLOOKUP(A1665,'Pedido ESTHER'!$B:$C,2,0),"")</f>
        <v/>
      </c>
      <c r="L1665" s="12" t="str">
        <f>IF(N(K1665)&gt;0,"COMPRA","NÃO COMPRA")</f>
        <v>NÃO COMPRA</v>
      </c>
    </row>
    <row r="1666" spans="1:12">
      <c r="A1666" s="8" t="s">
        <v>3562</v>
      </c>
      <c r="B1666" s="9" t="s">
        <v>335</v>
      </c>
      <c r="C1666" s="9" t="e">
        <f>VLOOKUP(A1666,[2]Planilha1!$A:$B,2,0)</f>
        <v>#N/A</v>
      </c>
      <c r="D1666" s="10">
        <f>SUMIF([1]Relatório!$A$2:$A$2653,A1666,[1]Relatório!$AK$2:$AK$2653)</f>
        <v>5</v>
      </c>
      <c r="E1666" s="11">
        <f t="shared" si="50"/>
        <v>8.54763683484427e-6</v>
      </c>
      <c r="F1666" s="11">
        <f>SUM($E$7:E1666)</f>
        <v>0.999781180497028</v>
      </c>
      <c r="G1666" s="12" t="str">
        <f t="shared" si="51"/>
        <v>C</v>
      </c>
      <c r="H1666" s="9" t="s">
        <v>183</v>
      </c>
      <c r="I1666" s="9"/>
      <c r="J1666" s="9" t="s">
        <v>44</v>
      </c>
      <c r="K1666" s="10" t="str">
        <f>IFERROR(VLOOKUP(A1666,'Pedido ESTHER'!$B:$C,2,0),"")</f>
        <v/>
      </c>
      <c r="L1666" s="12" t="str">
        <f>IF(N(K1666)&gt;0,"COMPRA","NÃO COMPRA")</f>
        <v>NÃO COMPRA</v>
      </c>
    </row>
    <row r="1667" spans="1:12">
      <c r="A1667" s="8" t="s">
        <v>3563</v>
      </c>
      <c r="B1667" s="9" t="s">
        <v>1312</v>
      </c>
      <c r="C1667" s="9" t="e">
        <f>VLOOKUP(A1667,[2]Planilha1!$A:$B,2,0)</f>
        <v>#N/A</v>
      </c>
      <c r="D1667" s="10">
        <f>SUMIF([1]Relatório!$A$2:$A$2653,A1667,[1]Relatório!$AK$2:$AK$2653)</f>
        <v>5</v>
      </c>
      <c r="E1667" s="11">
        <f t="shared" si="50"/>
        <v>8.54763683484427e-6</v>
      </c>
      <c r="F1667" s="11">
        <f>SUM($E$7:E1667)</f>
        <v>0.999789728133863</v>
      </c>
      <c r="G1667" s="12" t="str">
        <f t="shared" si="51"/>
        <v>C</v>
      </c>
      <c r="H1667" s="9" t="s">
        <v>183</v>
      </c>
      <c r="I1667" s="9"/>
      <c r="J1667" s="9" t="s">
        <v>2333</v>
      </c>
      <c r="K1667" s="10" t="str">
        <f>IFERROR(VLOOKUP(A1667,'Pedido ESTHER'!$B:$C,2,0),"")</f>
        <v/>
      </c>
      <c r="L1667" s="12" t="str">
        <f>IF(N(K1667)&gt;0,"COMPRA","NÃO COMPRA")</f>
        <v>NÃO COMPRA</v>
      </c>
    </row>
    <row r="1668" spans="1:12">
      <c r="A1668" s="8" t="s">
        <v>3564</v>
      </c>
      <c r="B1668" s="9" t="s">
        <v>2744</v>
      </c>
      <c r="C1668" s="9" t="e">
        <f>VLOOKUP(A1668,[2]Planilha1!$A:$B,2,0)</f>
        <v>#N/A</v>
      </c>
      <c r="D1668" s="10">
        <f>SUMIF([1]Relatório!$A$2:$A$2653,A1668,[1]Relatório!$AK$2:$AK$2653)</f>
        <v>5</v>
      </c>
      <c r="E1668" s="11">
        <f t="shared" si="50"/>
        <v>8.54763683484427e-6</v>
      </c>
      <c r="F1668" s="11">
        <f>SUM($E$7:E1668)</f>
        <v>0.999798275770698</v>
      </c>
      <c r="G1668" s="12" t="str">
        <f t="shared" si="51"/>
        <v>C</v>
      </c>
      <c r="H1668" s="9" t="s">
        <v>14</v>
      </c>
      <c r="I1668" s="9" t="s">
        <v>3565</v>
      </c>
      <c r="J1668" s="9" t="s">
        <v>359</v>
      </c>
      <c r="K1668" s="10" t="str">
        <f>IFERROR(VLOOKUP(A1668,'Pedido ESTHER'!$B:$C,2,0),"")</f>
        <v/>
      </c>
      <c r="L1668" s="12" t="str">
        <f>IF(N(K1668)&gt;0,"COMPRA","NÃO COMPRA")</f>
        <v>NÃO COMPRA</v>
      </c>
    </row>
    <row r="1669" spans="1:12">
      <c r="A1669" s="8" t="s">
        <v>3566</v>
      </c>
      <c r="B1669" s="9" t="s">
        <v>179</v>
      </c>
      <c r="C1669" s="9" t="e">
        <f>VLOOKUP(A1669,[2]Planilha1!$A:$B,2,0)</f>
        <v>#N/A</v>
      </c>
      <c r="D1669" s="10">
        <f>SUMIF([1]Relatório!$A$2:$A$2653,A1669,[1]Relatório!$AK$2:$AK$2653)</f>
        <v>5</v>
      </c>
      <c r="E1669" s="11">
        <f t="shared" si="50"/>
        <v>8.54763683484427e-6</v>
      </c>
      <c r="F1669" s="11">
        <f>SUM($E$7:E1669)</f>
        <v>0.999806823407533</v>
      </c>
      <c r="G1669" s="12" t="str">
        <f t="shared" si="51"/>
        <v>C</v>
      </c>
      <c r="H1669" s="9" t="s">
        <v>18</v>
      </c>
      <c r="I1669" s="9" t="s">
        <v>3567</v>
      </c>
      <c r="J1669" s="9" t="s">
        <v>40</v>
      </c>
      <c r="K1669" s="10" t="str">
        <f>IFERROR(VLOOKUP(A1669,'Pedido ESTHER'!$B:$C,2,0),"")</f>
        <v/>
      </c>
      <c r="L1669" s="12" t="str">
        <f>IF(N(K1669)&gt;0,"COMPRA","NÃO COMPRA")</f>
        <v>NÃO COMPRA</v>
      </c>
    </row>
    <row r="1670" spans="1:12">
      <c r="A1670" s="8" t="s">
        <v>3568</v>
      </c>
      <c r="B1670" s="9" t="s">
        <v>18</v>
      </c>
      <c r="C1670" s="9" t="e">
        <f>VLOOKUP(A1670,[2]Planilha1!$A:$B,2,0)</f>
        <v>#N/A</v>
      </c>
      <c r="D1670" s="10">
        <f>SUMIF([1]Relatório!$A$2:$A$2653,A1670,[1]Relatório!$AK$2:$AK$2653)</f>
        <v>5</v>
      </c>
      <c r="E1670" s="11">
        <f t="shared" si="50"/>
        <v>8.54763683484427e-6</v>
      </c>
      <c r="F1670" s="11">
        <f>SUM($E$7:E1670)</f>
        <v>0.999815371044367</v>
      </c>
      <c r="G1670" s="12" t="str">
        <f t="shared" si="51"/>
        <v>C</v>
      </c>
      <c r="H1670" s="9" t="s">
        <v>18</v>
      </c>
      <c r="I1670" s="9" t="s">
        <v>3569</v>
      </c>
      <c r="J1670" s="9" t="s">
        <v>3570</v>
      </c>
      <c r="K1670" s="10" t="str">
        <f>IFERROR(VLOOKUP(A1670,'Pedido ESTHER'!$B:$C,2,0),"")</f>
        <v/>
      </c>
      <c r="L1670" s="12" t="str">
        <f>IF(N(K1670)&gt;0,"COMPRA","NÃO COMPRA")</f>
        <v>NÃO COMPRA</v>
      </c>
    </row>
    <row r="1671" spans="1:12">
      <c r="A1671" s="8" t="s">
        <v>3571</v>
      </c>
      <c r="B1671" s="9" t="s">
        <v>3072</v>
      </c>
      <c r="C1671" s="9" t="e">
        <f>VLOOKUP(A1671,[2]Planilha1!$A:$B,2,0)</f>
        <v>#N/A</v>
      </c>
      <c r="D1671" s="10">
        <f>SUMIF([1]Relatório!$A$2:$A$2653,A1671,[1]Relatório!$AK$2:$AK$2653)</f>
        <v>5</v>
      </c>
      <c r="E1671" s="11">
        <f t="shared" si="50"/>
        <v>8.54763683484427e-6</v>
      </c>
      <c r="F1671" s="11">
        <f>SUM($E$7:E1671)</f>
        <v>0.999823918681202</v>
      </c>
      <c r="G1671" s="12" t="str">
        <f t="shared" si="51"/>
        <v>C</v>
      </c>
      <c r="H1671" s="9" t="s">
        <v>18</v>
      </c>
      <c r="I1671" s="9" t="s">
        <v>3572</v>
      </c>
      <c r="J1671" s="9" t="s">
        <v>359</v>
      </c>
      <c r="K1671" s="10" t="str">
        <f>IFERROR(VLOOKUP(A1671,'Pedido ESTHER'!$B:$C,2,0),"")</f>
        <v/>
      </c>
      <c r="L1671" s="12" t="str">
        <f>IF(N(K1671)&gt;0,"COMPRA","NÃO COMPRA")</f>
        <v>NÃO COMPRA</v>
      </c>
    </row>
    <row r="1672" spans="1:12">
      <c r="A1672" s="8" t="s">
        <v>3573</v>
      </c>
      <c r="B1672" s="9" t="s">
        <v>2744</v>
      </c>
      <c r="C1672" s="9" t="e">
        <f>VLOOKUP(A1672,[2]Planilha1!$A:$B,2,0)</f>
        <v>#N/A</v>
      </c>
      <c r="D1672" s="10">
        <f>SUMIF([1]Relatório!$A$2:$A$2653,A1672,[1]Relatório!$AK$2:$AK$2653)</f>
        <v>5</v>
      </c>
      <c r="E1672" s="11">
        <f t="shared" ref="E1672:E1708" si="52">D1672/SUM($D$7:$D$1708)</f>
        <v>8.54763683484427e-6</v>
      </c>
      <c r="F1672" s="11">
        <f>SUM($E$7:E1672)</f>
        <v>0.999832466318037</v>
      </c>
      <c r="G1672" s="12" t="str">
        <f t="shared" ref="G1672:G1708" si="53">IF(F1672&lt;=70%,"A",IF(F1672&lt;=90%,"B","C"))</f>
        <v>C</v>
      </c>
      <c r="H1672" s="9" t="s">
        <v>14</v>
      </c>
      <c r="I1672" s="9" t="s">
        <v>3574</v>
      </c>
      <c r="J1672" s="9" t="s">
        <v>359</v>
      </c>
      <c r="K1672" s="10" t="str">
        <f>IFERROR(VLOOKUP(A1672,'Pedido ESTHER'!$B:$C,2,0),"")</f>
        <v/>
      </c>
      <c r="L1672" s="12" t="str">
        <f>IF(N(K1672)&gt;0,"COMPRA","NÃO COMPRA")</f>
        <v>NÃO COMPRA</v>
      </c>
    </row>
    <row r="1673" spans="1:12">
      <c r="A1673" s="8" t="s">
        <v>3575</v>
      </c>
      <c r="B1673" s="9" t="s">
        <v>3576</v>
      </c>
      <c r="C1673" s="9" t="e">
        <f>VLOOKUP(A1673,[2]Planilha1!$A:$B,2,0)</f>
        <v>#N/A</v>
      </c>
      <c r="D1673" s="10">
        <f>SUMIF([1]Relatório!$A$2:$A$2653,A1673,[1]Relatório!$AK$2:$AK$2653)</f>
        <v>5</v>
      </c>
      <c r="E1673" s="11">
        <f t="shared" si="52"/>
        <v>8.54763683484427e-6</v>
      </c>
      <c r="F1673" s="11">
        <f>SUM($E$7:E1673)</f>
        <v>0.999841013954872</v>
      </c>
      <c r="G1673" s="12" t="str">
        <f t="shared" si="53"/>
        <v>C</v>
      </c>
      <c r="H1673" s="9" t="s">
        <v>21</v>
      </c>
      <c r="I1673" s="9" t="s">
        <v>3577</v>
      </c>
      <c r="J1673" s="9" t="s">
        <v>3578</v>
      </c>
      <c r="K1673" s="10" t="str">
        <f>IFERROR(VLOOKUP(A1673,'Pedido ESTHER'!$B:$C,2,0),"")</f>
        <v/>
      </c>
      <c r="L1673" s="12" t="str">
        <f>IF(N(K1673)&gt;0,"COMPRA","NÃO COMPRA")</f>
        <v>NÃO COMPRA</v>
      </c>
    </row>
    <row r="1674" spans="1:12">
      <c r="A1674" s="8" t="s">
        <v>3579</v>
      </c>
      <c r="B1674" s="9" t="s">
        <v>2451</v>
      </c>
      <c r="C1674" s="9" t="e">
        <f>VLOOKUP(A1674,[2]Planilha1!$A:$B,2,0)</f>
        <v>#N/A</v>
      </c>
      <c r="D1674" s="10">
        <f>SUMIF([1]Relatório!$A$2:$A$2653,A1674,[1]Relatório!$AK$2:$AK$2653)</f>
        <v>5</v>
      </c>
      <c r="E1674" s="11">
        <f t="shared" si="52"/>
        <v>8.54763683484427e-6</v>
      </c>
      <c r="F1674" s="11">
        <f>SUM($E$7:E1674)</f>
        <v>0.999849561591707</v>
      </c>
      <c r="G1674" s="12" t="str">
        <f t="shared" si="53"/>
        <v>C</v>
      </c>
      <c r="H1674" s="9" t="s">
        <v>2452</v>
      </c>
      <c r="I1674" s="9" t="s">
        <v>3580</v>
      </c>
      <c r="J1674" s="9" t="s">
        <v>164</v>
      </c>
      <c r="K1674" s="10" t="str">
        <f>IFERROR(VLOOKUP(A1674,'Pedido ESTHER'!$B:$C,2,0),"")</f>
        <v/>
      </c>
      <c r="L1674" s="12" t="str">
        <f>IF(N(K1674)&gt;0,"COMPRA","NÃO COMPRA")</f>
        <v>NÃO COMPRA</v>
      </c>
    </row>
    <row r="1675" spans="1:12">
      <c r="A1675" s="8" t="s">
        <v>3581</v>
      </c>
      <c r="B1675" s="9" t="s">
        <v>3052</v>
      </c>
      <c r="C1675" s="9" t="e">
        <f>VLOOKUP(A1675,[2]Planilha1!$A:$B,2,0)</f>
        <v>#N/A</v>
      </c>
      <c r="D1675" s="10">
        <f>SUMIF([1]Relatório!$A$2:$A$2653,A1675,[1]Relatório!$AK$2:$AK$2653)</f>
        <v>5</v>
      </c>
      <c r="E1675" s="11">
        <f t="shared" si="52"/>
        <v>8.54763683484427e-6</v>
      </c>
      <c r="F1675" s="11">
        <f>SUM($E$7:E1675)</f>
        <v>0.999858109228542</v>
      </c>
      <c r="G1675" s="12" t="str">
        <f t="shared" si="53"/>
        <v>C</v>
      </c>
      <c r="H1675" s="9" t="s">
        <v>2452</v>
      </c>
      <c r="I1675" s="9" t="s">
        <v>3582</v>
      </c>
      <c r="J1675" s="9" t="s">
        <v>40</v>
      </c>
      <c r="K1675" s="10" t="str">
        <f>IFERROR(VLOOKUP(A1675,'Pedido ESTHER'!$B:$C,2,0),"")</f>
        <v/>
      </c>
      <c r="L1675" s="12" t="str">
        <f>IF(N(K1675)&gt;0,"COMPRA","NÃO COMPRA")</f>
        <v>NÃO COMPRA</v>
      </c>
    </row>
    <row r="1676" spans="1:12">
      <c r="A1676" s="8" t="s">
        <v>3583</v>
      </c>
      <c r="B1676" s="9" t="s">
        <v>1645</v>
      </c>
      <c r="C1676" s="9" t="e">
        <f>VLOOKUP(A1676,[2]Planilha1!$A:$B,2,0)</f>
        <v>#N/A</v>
      </c>
      <c r="D1676" s="10">
        <f>SUMIF([1]Relatório!$A$2:$A$2653,A1676,[1]Relatório!$AK$2:$AK$2653)</f>
        <v>4</v>
      </c>
      <c r="E1676" s="11">
        <f t="shared" si="52"/>
        <v>6.83810946787542e-6</v>
      </c>
      <c r="F1676" s="11">
        <f>SUM($E$7:E1676)</f>
        <v>0.99986494733801</v>
      </c>
      <c r="G1676" s="12" t="str">
        <f t="shared" si="53"/>
        <v>C</v>
      </c>
      <c r="H1676" s="9" t="s">
        <v>183</v>
      </c>
      <c r="I1676" s="9" t="s">
        <v>3584</v>
      </c>
      <c r="J1676" s="9" t="s">
        <v>3585</v>
      </c>
      <c r="K1676" s="10" t="str">
        <f>IFERROR(VLOOKUP(A1676,'Pedido ESTHER'!$B:$C,2,0),"")</f>
        <v/>
      </c>
      <c r="L1676" s="12" t="str">
        <f>IF(N(K1676)&gt;0,"COMPRA","NÃO COMPRA")</f>
        <v>NÃO COMPRA</v>
      </c>
    </row>
    <row r="1677" spans="1:12">
      <c r="A1677" s="8" t="s">
        <v>3586</v>
      </c>
      <c r="B1677" s="9" t="s">
        <v>469</v>
      </c>
      <c r="C1677" s="9" t="e">
        <f>VLOOKUP(A1677,[2]Planilha1!$A:$B,2,0)</f>
        <v>#N/A</v>
      </c>
      <c r="D1677" s="10">
        <f>SUMIF([1]Relatório!$A$2:$A$2653,A1677,[1]Relatório!$AK$2:$AK$2653)</f>
        <v>4</v>
      </c>
      <c r="E1677" s="11">
        <f t="shared" si="52"/>
        <v>6.83810946787542e-6</v>
      </c>
      <c r="F1677" s="11">
        <f>SUM($E$7:E1677)</f>
        <v>0.999871785447478</v>
      </c>
      <c r="G1677" s="12" t="str">
        <f t="shared" si="53"/>
        <v>C</v>
      </c>
      <c r="H1677" s="9" t="s">
        <v>183</v>
      </c>
      <c r="I1677" s="9"/>
      <c r="J1677" s="9" t="s">
        <v>23</v>
      </c>
      <c r="K1677" s="10" t="str">
        <f>IFERROR(VLOOKUP(A1677,'Pedido ESTHER'!$B:$C,2,0),"")</f>
        <v/>
      </c>
      <c r="L1677" s="12" t="str">
        <f>IF(N(K1677)&gt;0,"COMPRA","NÃO COMPRA")</f>
        <v>NÃO COMPRA</v>
      </c>
    </row>
    <row r="1678" spans="1:12">
      <c r="A1678" s="8" t="s">
        <v>3587</v>
      </c>
      <c r="B1678" s="9" t="s">
        <v>1645</v>
      </c>
      <c r="C1678" s="9" t="e">
        <f>VLOOKUP(A1678,[2]Planilha1!$A:$B,2,0)</f>
        <v>#N/A</v>
      </c>
      <c r="D1678" s="10">
        <f>SUMIF([1]Relatório!$A$2:$A$2653,A1678,[1]Relatório!$AK$2:$AK$2653)</f>
        <v>4</v>
      </c>
      <c r="E1678" s="11">
        <f t="shared" si="52"/>
        <v>6.83810946787542e-6</v>
      </c>
      <c r="F1678" s="11">
        <f>SUM($E$7:E1678)</f>
        <v>0.999878623556946</v>
      </c>
      <c r="G1678" s="12" t="str">
        <f t="shared" si="53"/>
        <v>C</v>
      </c>
      <c r="H1678" s="9" t="s">
        <v>183</v>
      </c>
      <c r="I1678" s="9" t="s">
        <v>3588</v>
      </c>
      <c r="J1678" s="9" t="s">
        <v>3585</v>
      </c>
      <c r="K1678" s="10" t="str">
        <f>IFERROR(VLOOKUP(A1678,'Pedido ESTHER'!$B:$C,2,0),"")</f>
        <v/>
      </c>
      <c r="L1678" s="12" t="str">
        <f>IF(N(K1678)&gt;0,"COMPRA","NÃO COMPRA")</f>
        <v>NÃO COMPRA</v>
      </c>
    </row>
    <row r="1679" spans="1:12">
      <c r="A1679" s="8" t="s">
        <v>3589</v>
      </c>
      <c r="B1679" s="9" t="s">
        <v>3590</v>
      </c>
      <c r="C1679" s="9" t="e">
        <f>VLOOKUP(A1679,[2]Planilha1!$A:$B,2,0)</f>
        <v>#N/A</v>
      </c>
      <c r="D1679" s="10">
        <f>SUMIF([1]Relatório!$A$2:$A$2653,A1679,[1]Relatório!$AK$2:$AK$2653)</f>
        <v>4</v>
      </c>
      <c r="E1679" s="11">
        <f t="shared" si="52"/>
        <v>6.83810946787542e-6</v>
      </c>
      <c r="F1679" s="11">
        <f>SUM($E$7:E1679)</f>
        <v>0.999885461666413</v>
      </c>
      <c r="G1679" s="12" t="str">
        <f t="shared" si="53"/>
        <v>C</v>
      </c>
      <c r="H1679" s="9" t="s">
        <v>183</v>
      </c>
      <c r="I1679" s="9" t="s">
        <v>3591</v>
      </c>
      <c r="J1679" s="9" t="s">
        <v>1087</v>
      </c>
      <c r="K1679" s="10" t="str">
        <f>IFERROR(VLOOKUP(A1679,'Pedido ESTHER'!$B:$C,2,0),"")</f>
        <v/>
      </c>
      <c r="L1679" s="12" t="str">
        <f>IF(N(K1679)&gt;0,"COMPRA","NÃO COMPRA")</f>
        <v>NÃO COMPRA</v>
      </c>
    </row>
    <row r="1680" spans="1:12">
      <c r="A1680" s="8" t="s">
        <v>3592</v>
      </c>
      <c r="B1680" s="9" t="s">
        <v>1264</v>
      </c>
      <c r="C1680" s="9" t="e">
        <f>VLOOKUP(A1680,[2]Planilha1!$A:$B,2,0)</f>
        <v>#N/A</v>
      </c>
      <c r="D1680" s="10">
        <f>SUMIF([1]Relatório!$A$2:$A$2653,A1680,[1]Relatório!$AK$2:$AK$2653)</f>
        <v>4</v>
      </c>
      <c r="E1680" s="11">
        <f t="shared" si="52"/>
        <v>6.83810946787542e-6</v>
      </c>
      <c r="F1680" s="11">
        <f>SUM($E$7:E1680)</f>
        <v>0.999892299775881</v>
      </c>
      <c r="G1680" s="12" t="str">
        <f t="shared" si="53"/>
        <v>C</v>
      </c>
      <c r="H1680" s="9" t="s">
        <v>183</v>
      </c>
      <c r="I1680" s="9" t="s">
        <v>3593</v>
      </c>
      <c r="J1680" s="9" t="s">
        <v>1418</v>
      </c>
      <c r="K1680" s="10" t="str">
        <f>IFERROR(VLOOKUP(A1680,'Pedido ESTHER'!$B:$C,2,0),"")</f>
        <v/>
      </c>
      <c r="L1680" s="12" t="str">
        <f>IF(N(K1680)&gt;0,"COMPRA","NÃO COMPRA")</f>
        <v>NÃO COMPRA</v>
      </c>
    </row>
    <row r="1681" spans="1:12">
      <c r="A1681" s="8" t="s">
        <v>3594</v>
      </c>
      <c r="B1681" s="9" t="s">
        <v>3072</v>
      </c>
      <c r="C1681" s="9" t="e">
        <f>VLOOKUP(A1681,[2]Planilha1!$A:$B,2,0)</f>
        <v>#N/A</v>
      </c>
      <c r="D1681" s="10">
        <f>SUMIF([1]Relatório!$A$2:$A$2653,A1681,[1]Relatório!$AK$2:$AK$2653)</f>
        <v>4</v>
      </c>
      <c r="E1681" s="11">
        <f t="shared" si="52"/>
        <v>6.83810946787542e-6</v>
      </c>
      <c r="F1681" s="11">
        <f>SUM($E$7:E1681)</f>
        <v>0.999899137885349</v>
      </c>
      <c r="G1681" s="12" t="str">
        <f t="shared" si="53"/>
        <v>C</v>
      </c>
      <c r="H1681" s="9" t="s">
        <v>18</v>
      </c>
      <c r="I1681" s="9" t="s">
        <v>3595</v>
      </c>
      <c r="J1681" s="9" t="s">
        <v>359</v>
      </c>
      <c r="K1681" s="10" t="str">
        <f>IFERROR(VLOOKUP(A1681,'Pedido ESTHER'!$B:$C,2,0),"")</f>
        <v/>
      </c>
      <c r="L1681" s="12" t="str">
        <f>IF(N(K1681)&gt;0,"COMPRA","NÃO COMPRA")</f>
        <v>NÃO COMPRA</v>
      </c>
    </row>
    <row r="1682" spans="1:12">
      <c r="A1682" s="8" t="s">
        <v>3596</v>
      </c>
      <c r="B1682" s="9" t="s">
        <v>3597</v>
      </c>
      <c r="C1682" s="9" t="e">
        <f>VLOOKUP(A1682,[2]Planilha1!$A:$B,2,0)</f>
        <v>#N/A</v>
      </c>
      <c r="D1682" s="10">
        <f>SUMIF([1]Relatório!$A$2:$A$2653,A1682,[1]Relatório!$AK$2:$AK$2653)</f>
        <v>4</v>
      </c>
      <c r="E1682" s="11">
        <f t="shared" si="52"/>
        <v>6.83810946787542e-6</v>
      </c>
      <c r="F1682" s="11">
        <f>SUM($E$7:E1682)</f>
        <v>0.999905975994817</v>
      </c>
      <c r="G1682" s="12" t="str">
        <f t="shared" si="53"/>
        <v>C</v>
      </c>
      <c r="H1682" s="9" t="s">
        <v>18</v>
      </c>
      <c r="I1682" s="9" t="s">
        <v>3598</v>
      </c>
      <c r="J1682" s="9" t="s">
        <v>1418</v>
      </c>
      <c r="K1682" s="10" t="str">
        <f>IFERROR(VLOOKUP(A1682,'Pedido ESTHER'!$B:$C,2,0),"")</f>
        <v/>
      </c>
      <c r="L1682" s="12" t="str">
        <f>IF(N(K1682)&gt;0,"COMPRA","NÃO COMPRA")</f>
        <v>NÃO COMPRA</v>
      </c>
    </row>
    <row r="1683" spans="1:12">
      <c r="A1683" s="8" t="s">
        <v>3599</v>
      </c>
      <c r="B1683" s="9" t="s">
        <v>749</v>
      </c>
      <c r="C1683" s="9" t="e">
        <f>VLOOKUP(A1683,[2]Planilha1!$A:$B,2,0)</f>
        <v>#N/A</v>
      </c>
      <c r="D1683" s="10">
        <f>SUMIF([1]Relatório!$A$2:$A$2653,A1683,[1]Relatório!$AK$2:$AK$2653)</f>
        <v>3</v>
      </c>
      <c r="E1683" s="11">
        <f t="shared" si="52"/>
        <v>5.12858210090656e-6</v>
      </c>
      <c r="F1683" s="11">
        <f>SUM($E$7:E1683)</f>
        <v>0.999911104576918</v>
      </c>
      <c r="G1683" s="12" t="str">
        <f t="shared" si="53"/>
        <v>C</v>
      </c>
      <c r="H1683" s="9" t="s">
        <v>183</v>
      </c>
      <c r="I1683" s="9" t="s">
        <v>3600</v>
      </c>
      <c r="J1683" s="9" t="s">
        <v>359</v>
      </c>
      <c r="K1683" s="10" t="str">
        <f>IFERROR(VLOOKUP(A1683,'Pedido ESTHER'!$B:$C,2,0),"")</f>
        <v/>
      </c>
      <c r="L1683" s="12" t="str">
        <f>IF(N(K1683)&gt;0,"COMPRA","NÃO COMPRA")</f>
        <v>NÃO COMPRA</v>
      </c>
    </row>
    <row r="1684" spans="1:12">
      <c r="A1684" s="8" t="s">
        <v>3601</v>
      </c>
      <c r="B1684" s="9" t="s">
        <v>3590</v>
      </c>
      <c r="C1684" s="9" t="e">
        <f>VLOOKUP(A1684,[2]Planilha1!$A:$B,2,0)</f>
        <v>#N/A</v>
      </c>
      <c r="D1684" s="10">
        <f>SUMIF([1]Relatório!$A$2:$A$2653,A1684,[1]Relatório!$AK$2:$AK$2653)</f>
        <v>3</v>
      </c>
      <c r="E1684" s="11">
        <f t="shared" si="52"/>
        <v>5.12858210090656e-6</v>
      </c>
      <c r="F1684" s="11">
        <f>SUM($E$7:E1684)</f>
        <v>0.999916233159019</v>
      </c>
      <c r="G1684" s="12" t="str">
        <f t="shared" si="53"/>
        <v>C</v>
      </c>
      <c r="H1684" s="9" t="s">
        <v>183</v>
      </c>
      <c r="I1684" s="9" t="s">
        <v>3602</v>
      </c>
      <c r="J1684" s="9" t="s">
        <v>1087</v>
      </c>
      <c r="K1684" s="10" t="str">
        <f>IFERROR(VLOOKUP(A1684,'Pedido ESTHER'!$B:$C,2,0),"")</f>
        <v/>
      </c>
      <c r="L1684" s="12" t="str">
        <f>IF(N(K1684)&gt;0,"COMPRA","NÃO COMPRA")</f>
        <v>NÃO COMPRA</v>
      </c>
    </row>
    <row r="1685" spans="1:12">
      <c r="A1685" s="8" t="s">
        <v>3603</v>
      </c>
      <c r="B1685" s="9" t="s">
        <v>3590</v>
      </c>
      <c r="C1685" s="9" t="e">
        <f>VLOOKUP(A1685,[2]Planilha1!$A:$B,2,0)</f>
        <v>#N/A</v>
      </c>
      <c r="D1685" s="10">
        <f>SUMIF([1]Relatório!$A$2:$A$2653,A1685,[1]Relatório!$AK$2:$AK$2653)</f>
        <v>3</v>
      </c>
      <c r="E1685" s="11">
        <f t="shared" si="52"/>
        <v>5.12858210090656e-6</v>
      </c>
      <c r="F1685" s="11">
        <f>SUM($E$7:E1685)</f>
        <v>0.99992136174112</v>
      </c>
      <c r="G1685" s="12" t="str">
        <f t="shared" si="53"/>
        <v>C</v>
      </c>
      <c r="H1685" s="9" t="s">
        <v>183</v>
      </c>
      <c r="I1685" s="9" t="s">
        <v>3604</v>
      </c>
      <c r="J1685" s="9" t="s">
        <v>1087</v>
      </c>
      <c r="K1685" s="10" t="str">
        <f>IFERROR(VLOOKUP(A1685,'Pedido ESTHER'!$B:$C,2,0),"")</f>
        <v/>
      </c>
      <c r="L1685" s="12" t="str">
        <f>IF(N(K1685)&gt;0,"COMPRA","NÃO COMPRA")</f>
        <v>NÃO COMPRA</v>
      </c>
    </row>
    <row r="1686" spans="1:12">
      <c r="A1686" s="8" t="s">
        <v>3605</v>
      </c>
      <c r="B1686" s="9" t="s">
        <v>3072</v>
      </c>
      <c r="C1686" s="9" t="e">
        <f>VLOOKUP(A1686,[2]Planilha1!$A:$B,2,0)</f>
        <v>#N/A</v>
      </c>
      <c r="D1686" s="10">
        <f>SUMIF([1]Relatório!$A$2:$A$2653,A1686,[1]Relatório!$AK$2:$AK$2653)</f>
        <v>3</v>
      </c>
      <c r="E1686" s="11">
        <f t="shared" si="52"/>
        <v>5.12858210090656e-6</v>
      </c>
      <c r="F1686" s="11">
        <f>SUM($E$7:E1686)</f>
        <v>0.999926490323221</v>
      </c>
      <c r="G1686" s="12" t="str">
        <f t="shared" si="53"/>
        <v>C</v>
      </c>
      <c r="H1686" s="9" t="s">
        <v>18</v>
      </c>
      <c r="I1686" s="9" t="s">
        <v>3606</v>
      </c>
      <c r="J1686" s="9" t="s">
        <v>359</v>
      </c>
      <c r="K1686" s="10" t="str">
        <f>IFERROR(VLOOKUP(A1686,'Pedido ESTHER'!$B:$C,2,0),"")</f>
        <v/>
      </c>
      <c r="L1686" s="12" t="str">
        <f>IF(N(K1686)&gt;0,"COMPRA","NÃO COMPRA")</f>
        <v>NÃO COMPRA</v>
      </c>
    </row>
    <row r="1687" spans="1:12">
      <c r="A1687" s="8" t="s">
        <v>3607</v>
      </c>
      <c r="B1687" s="9" t="s">
        <v>349</v>
      </c>
      <c r="C1687" s="9" t="e">
        <f>VLOOKUP(A1687,[2]Planilha1!$A:$B,2,0)</f>
        <v>#N/A</v>
      </c>
      <c r="D1687" s="10">
        <f>SUMIF([1]Relatório!$A$2:$A$2653,A1687,[1]Relatório!$AK$2:$AK$2653)</f>
        <v>3</v>
      </c>
      <c r="E1687" s="11">
        <f t="shared" si="52"/>
        <v>5.12858210090656e-6</v>
      </c>
      <c r="F1687" s="11">
        <f>SUM($E$7:E1687)</f>
        <v>0.999931618905322</v>
      </c>
      <c r="G1687" s="12" t="str">
        <f t="shared" si="53"/>
        <v>C</v>
      </c>
      <c r="H1687" s="9" t="s">
        <v>18</v>
      </c>
      <c r="I1687" s="9" t="s">
        <v>3608</v>
      </c>
      <c r="J1687" s="9" t="s">
        <v>3609</v>
      </c>
      <c r="K1687" s="10" t="str">
        <f>IFERROR(VLOOKUP(A1687,'Pedido ESTHER'!$B:$C,2,0),"")</f>
        <v/>
      </c>
      <c r="L1687" s="12" t="str">
        <f>IF(N(K1687)&gt;0,"COMPRA","NÃO COMPRA")</f>
        <v>NÃO COMPRA</v>
      </c>
    </row>
    <row r="1688" spans="1:12">
      <c r="A1688" s="8" t="s">
        <v>3610</v>
      </c>
      <c r="B1688" s="9" t="s">
        <v>131</v>
      </c>
      <c r="C1688" s="9" t="e">
        <f>VLOOKUP(A1688,[2]Planilha1!$A:$B,2,0)</f>
        <v>#N/A</v>
      </c>
      <c r="D1688" s="10">
        <f>SUMIF([1]Relatório!$A$2:$A$2653,A1688,[1]Relatório!$AK$2:$AK$2653)</f>
        <v>3</v>
      </c>
      <c r="E1688" s="11">
        <f t="shared" si="52"/>
        <v>5.12858210090656e-6</v>
      </c>
      <c r="F1688" s="11">
        <f>SUM($E$7:E1688)</f>
        <v>0.999936747487422</v>
      </c>
      <c r="G1688" s="12" t="str">
        <f t="shared" si="53"/>
        <v>C</v>
      </c>
      <c r="H1688" s="9" t="s">
        <v>14</v>
      </c>
      <c r="I1688" s="9" t="s">
        <v>3611</v>
      </c>
      <c r="J1688" s="9" t="s">
        <v>3612</v>
      </c>
      <c r="K1688" s="10" t="str">
        <f>IFERROR(VLOOKUP(A1688,'Pedido ESTHER'!$B:$C,2,0),"")</f>
        <v/>
      </c>
      <c r="L1688" s="12" t="str">
        <f>IF(N(K1688)&gt;0,"COMPRA","NÃO COMPRA")</f>
        <v>NÃO COMPRA</v>
      </c>
    </row>
    <row r="1689" spans="1:12">
      <c r="A1689" s="8" t="s">
        <v>3613</v>
      </c>
      <c r="B1689" s="9" t="s">
        <v>2278</v>
      </c>
      <c r="C1689" s="9" t="e">
        <f>VLOOKUP(A1689,[2]Planilha1!$A:$B,2,0)</f>
        <v>#N/A</v>
      </c>
      <c r="D1689" s="10">
        <f>SUMIF([1]Relatório!$A$2:$A$2653,A1689,[1]Relatório!$AK$2:$AK$2653)</f>
        <v>3</v>
      </c>
      <c r="E1689" s="11">
        <f t="shared" si="52"/>
        <v>5.12858210090656e-6</v>
      </c>
      <c r="F1689" s="11">
        <f>SUM($E$7:E1689)</f>
        <v>0.999941876069523</v>
      </c>
      <c r="G1689" s="12" t="str">
        <f t="shared" si="53"/>
        <v>C</v>
      </c>
      <c r="H1689" s="9" t="s">
        <v>1700</v>
      </c>
      <c r="I1689" s="9" t="s">
        <v>3614</v>
      </c>
      <c r="J1689" s="9" t="s">
        <v>40</v>
      </c>
      <c r="K1689" s="10" t="str">
        <f>IFERROR(VLOOKUP(A1689,'Pedido ESTHER'!$B:$C,2,0),"")</f>
        <v/>
      </c>
      <c r="L1689" s="12" t="str">
        <f>IF(N(K1689)&gt;0,"COMPRA","NÃO COMPRA")</f>
        <v>NÃO COMPRA</v>
      </c>
    </row>
    <row r="1690" spans="1:12">
      <c r="A1690" s="8" t="s">
        <v>3615</v>
      </c>
      <c r="B1690" s="9" t="s">
        <v>2718</v>
      </c>
      <c r="C1690" s="9" t="e">
        <f>VLOOKUP(A1690,[2]Planilha1!$A:$B,2,0)</f>
        <v>#N/A</v>
      </c>
      <c r="D1690" s="10">
        <f>SUMIF([1]Relatório!$A$2:$A$2653,A1690,[1]Relatório!$AK$2:$AK$2653)</f>
        <v>3</v>
      </c>
      <c r="E1690" s="11">
        <f t="shared" si="52"/>
        <v>5.12858210090656e-6</v>
      </c>
      <c r="F1690" s="11">
        <f>SUM($E$7:E1690)</f>
        <v>0.999947004651624</v>
      </c>
      <c r="G1690" s="12" t="str">
        <f t="shared" si="53"/>
        <v>C</v>
      </c>
      <c r="H1690" s="9" t="s">
        <v>1700</v>
      </c>
      <c r="I1690" s="9" t="s">
        <v>3616</v>
      </c>
      <c r="J1690" s="9" t="s">
        <v>241</v>
      </c>
      <c r="K1690" s="10" t="str">
        <f>IFERROR(VLOOKUP(A1690,'Pedido ESTHER'!$B:$C,2,0),"")</f>
        <v/>
      </c>
      <c r="L1690" s="12" t="str">
        <f>IF(N(K1690)&gt;0,"COMPRA","NÃO COMPRA")</f>
        <v>NÃO COMPRA</v>
      </c>
    </row>
    <row r="1691" spans="1:12">
      <c r="A1691" s="8" t="s">
        <v>3617</v>
      </c>
      <c r="B1691" s="9" t="s">
        <v>3618</v>
      </c>
      <c r="C1691" s="9" t="e">
        <f>VLOOKUP(A1691,[2]Planilha1!$A:$B,2,0)</f>
        <v>#N/A</v>
      </c>
      <c r="D1691" s="10">
        <f>SUMIF([1]Relatório!$A$2:$A$2653,A1691,[1]Relatório!$AK$2:$AK$2653)</f>
        <v>3</v>
      </c>
      <c r="E1691" s="11">
        <f t="shared" si="52"/>
        <v>5.12858210090656e-6</v>
      </c>
      <c r="F1691" s="11">
        <f>SUM($E$7:E1691)</f>
        <v>0.999952133233725</v>
      </c>
      <c r="G1691" s="12" t="str">
        <f t="shared" si="53"/>
        <v>C</v>
      </c>
      <c r="H1691" s="9" t="s">
        <v>1700</v>
      </c>
      <c r="I1691" s="9" t="s">
        <v>3619</v>
      </c>
      <c r="J1691" s="9" t="s">
        <v>3620</v>
      </c>
      <c r="K1691" s="10" t="str">
        <f>IFERROR(VLOOKUP(A1691,'Pedido ESTHER'!$B:$C,2,0),"")</f>
        <v/>
      </c>
      <c r="L1691" s="12" t="str">
        <f>IF(N(K1691)&gt;0,"COMPRA","NÃO COMPRA")</f>
        <v>NÃO COMPRA</v>
      </c>
    </row>
    <row r="1692" spans="1:12">
      <c r="A1692" s="8" t="s">
        <v>3621</v>
      </c>
      <c r="B1692" s="9" t="s">
        <v>3622</v>
      </c>
      <c r="C1692" s="9" t="e">
        <f>VLOOKUP(A1692,[2]Planilha1!$A:$B,2,0)</f>
        <v>#N/A</v>
      </c>
      <c r="D1692" s="10">
        <f>SUMIF([1]Relatório!$A$2:$A$2653,A1692,[1]Relatório!$AK$2:$AK$2653)</f>
        <v>3</v>
      </c>
      <c r="E1692" s="11">
        <f t="shared" si="52"/>
        <v>5.12858210090656e-6</v>
      </c>
      <c r="F1692" s="11">
        <f>SUM($E$7:E1692)</f>
        <v>0.999957261815826</v>
      </c>
      <c r="G1692" s="12" t="str">
        <f t="shared" si="53"/>
        <v>C</v>
      </c>
      <c r="H1692" s="9" t="s">
        <v>1700</v>
      </c>
      <c r="I1692" s="9" t="s">
        <v>3623</v>
      </c>
      <c r="J1692" s="9" t="s">
        <v>3624</v>
      </c>
      <c r="K1692" s="10">
        <f>IFERROR(VLOOKUP(A1692,'Pedido ESTHER'!$B:$C,2,0),"")</f>
        <v>2</v>
      </c>
      <c r="L1692" s="12" t="str">
        <f>IF(N(K1692)&gt;0,"COMPRA","NÃO COMPRA")</f>
        <v>COMPRA</v>
      </c>
    </row>
    <row r="1693" spans="1:12">
      <c r="A1693" s="8" t="s">
        <v>3625</v>
      </c>
      <c r="B1693" s="9" t="s">
        <v>335</v>
      </c>
      <c r="C1693" s="9" t="e">
        <f>VLOOKUP(A1693,[2]Planilha1!$A:$B,2,0)</f>
        <v>#N/A</v>
      </c>
      <c r="D1693" s="10">
        <f>SUMIF([1]Relatório!$A$2:$A$2653,A1693,[1]Relatório!$AK$2:$AK$2653)</f>
        <v>2</v>
      </c>
      <c r="E1693" s="11">
        <f t="shared" si="52"/>
        <v>3.41905473393771e-6</v>
      </c>
      <c r="F1693" s="11">
        <f>SUM($E$7:E1693)</f>
        <v>0.99996068087056</v>
      </c>
      <c r="G1693" s="12" t="str">
        <f t="shared" si="53"/>
        <v>C</v>
      </c>
      <c r="H1693" s="9" t="s">
        <v>183</v>
      </c>
      <c r="I1693" s="9"/>
      <c r="J1693" s="9" t="s">
        <v>44</v>
      </c>
      <c r="K1693" s="10" t="str">
        <f>IFERROR(VLOOKUP(A1693,'Pedido ESTHER'!$B:$C,2,0),"")</f>
        <v/>
      </c>
      <c r="L1693" s="12" t="str">
        <f>IF(N(K1693)&gt;0,"COMPRA","NÃO COMPRA")</f>
        <v>NÃO COMPRA</v>
      </c>
    </row>
    <row r="1694" spans="1:12">
      <c r="A1694" s="8" t="s">
        <v>3626</v>
      </c>
      <c r="B1694" s="9" t="s">
        <v>3627</v>
      </c>
      <c r="C1694" s="9" t="e">
        <f>VLOOKUP(A1694,[2]Planilha1!$A:$B,2,0)</f>
        <v>#N/A</v>
      </c>
      <c r="D1694" s="10">
        <f>SUMIF([1]Relatório!$A$2:$A$2653,A1694,[1]Relatório!$AK$2:$AK$2653)</f>
        <v>2</v>
      </c>
      <c r="E1694" s="11">
        <f t="shared" si="52"/>
        <v>3.41905473393771e-6</v>
      </c>
      <c r="F1694" s="11">
        <f>SUM($E$7:E1694)</f>
        <v>0.999964099925294</v>
      </c>
      <c r="G1694" s="12" t="str">
        <f t="shared" si="53"/>
        <v>C</v>
      </c>
      <c r="H1694" s="9" t="s">
        <v>183</v>
      </c>
      <c r="I1694" s="9"/>
      <c r="J1694" s="9" t="s">
        <v>3628</v>
      </c>
      <c r="K1694" s="10" t="str">
        <f>IFERROR(VLOOKUP(A1694,'Pedido ESTHER'!$B:$C,2,0),"")</f>
        <v/>
      </c>
      <c r="L1694" s="12" t="str">
        <f>IF(N(K1694)&gt;0,"COMPRA","NÃO COMPRA")</f>
        <v>NÃO COMPRA</v>
      </c>
    </row>
    <row r="1695" spans="1:12">
      <c r="A1695" s="8" t="s">
        <v>3629</v>
      </c>
      <c r="B1695" s="9" t="s">
        <v>1550</v>
      </c>
      <c r="C1695" s="9" t="e">
        <f>VLOOKUP(A1695,[2]Planilha1!$A:$B,2,0)</f>
        <v>#N/A</v>
      </c>
      <c r="D1695" s="10">
        <f>SUMIF([1]Relatório!$A$2:$A$2653,A1695,[1]Relatório!$AK$2:$AK$2653)</f>
        <v>2</v>
      </c>
      <c r="E1695" s="11">
        <f t="shared" si="52"/>
        <v>3.41905473393771e-6</v>
      </c>
      <c r="F1695" s="11">
        <f>SUM($E$7:E1695)</f>
        <v>0.999967518980028</v>
      </c>
      <c r="G1695" s="12" t="str">
        <f t="shared" si="53"/>
        <v>C</v>
      </c>
      <c r="H1695" s="9" t="s">
        <v>183</v>
      </c>
      <c r="I1695" s="9" t="s">
        <v>3630</v>
      </c>
      <c r="J1695" s="9" t="s">
        <v>3631</v>
      </c>
      <c r="K1695" s="10" t="str">
        <f>IFERROR(VLOOKUP(A1695,'Pedido ESTHER'!$B:$C,2,0),"")</f>
        <v/>
      </c>
      <c r="L1695" s="12" t="str">
        <f>IF(N(K1695)&gt;0,"COMPRA","NÃO COMPRA")</f>
        <v>NÃO COMPRA</v>
      </c>
    </row>
    <row r="1696" spans="1:12">
      <c r="A1696" s="8" t="s">
        <v>3632</v>
      </c>
      <c r="B1696" s="9" t="s">
        <v>3590</v>
      </c>
      <c r="C1696" s="9" t="e">
        <f>VLOOKUP(A1696,[2]Planilha1!$A:$B,2,0)</f>
        <v>#N/A</v>
      </c>
      <c r="D1696" s="10">
        <f>SUMIF([1]Relatório!$A$2:$A$2653,A1696,[1]Relatório!$AK$2:$AK$2653)</f>
        <v>2</v>
      </c>
      <c r="E1696" s="11">
        <f t="shared" si="52"/>
        <v>3.41905473393771e-6</v>
      </c>
      <c r="F1696" s="11">
        <f>SUM($E$7:E1696)</f>
        <v>0.999970938034762</v>
      </c>
      <c r="G1696" s="12" t="str">
        <f t="shared" si="53"/>
        <v>C</v>
      </c>
      <c r="H1696" s="9" t="s">
        <v>183</v>
      </c>
      <c r="I1696" s="9" t="s">
        <v>3633</v>
      </c>
      <c r="J1696" s="9" t="s">
        <v>3634</v>
      </c>
      <c r="K1696" s="10" t="str">
        <f>IFERROR(VLOOKUP(A1696,'Pedido ESTHER'!$B:$C,2,0),"")</f>
        <v/>
      </c>
      <c r="L1696" s="12" t="str">
        <f>IF(N(K1696)&gt;0,"COMPRA","NÃO COMPRA")</f>
        <v>NÃO COMPRA</v>
      </c>
    </row>
    <row r="1697" spans="1:12">
      <c r="A1697" s="8" t="s">
        <v>3635</v>
      </c>
      <c r="B1697" s="9" t="s">
        <v>2411</v>
      </c>
      <c r="C1697" s="9" t="e">
        <f>VLOOKUP(A1697,[2]Planilha1!$A:$B,2,0)</f>
        <v>#N/A</v>
      </c>
      <c r="D1697" s="10">
        <f>SUMIF([1]Relatório!$A$2:$A$2653,A1697,[1]Relatório!$AK$2:$AK$2653)</f>
        <v>2</v>
      </c>
      <c r="E1697" s="11">
        <f t="shared" si="52"/>
        <v>3.41905473393771e-6</v>
      </c>
      <c r="F1697" s="11">
        <f>SUM($E$7:E1697)</f>
        <v>0.999974357089495</v>
      </c>
      <c r="G1697" s="12" t="str">
        <f t="shared" si="53"/>
        <v>C</v>
      </c>
      <c r="H1697" s="9" t="s">
        <v>74</v>
      </c>
      <c r="I1697" s="9" t="s">
        <v>3636</v>
      </c>
      <c r="J1697" s="9" t="s">
        <v>40</v>
      </c>
      <c r="K1697" s="10" t="str">
        <f>IFERROR(VLOOKUP(A1697,'Pedido ESTHER'!$B:$C,2,0),"")</f>
        <v/>
      </c>
      <c r="L1697" s="12" t="str">
        <f>IF(N(K1697)&gt;0,"COMPRA","NÃO COMPRA")</f>
        <v>NÃO COMPRA</v>
      </c>
    </row>
    <row r="1698" spans="1:12">
      <c r="A1698" s="8" t="s">
        <v>3637</v>
      </c>
      <c r="B1698" s="9" t="s">
        <v>2370</v>
      </c>
      <c r="C1698" s="9" t="e">
        <f>VLOOKUP(A1698,[2]Planilha1!$A:$B,2,0)</f>
        <v>#N/A</v>
      </c>
      <c r="D1698" s="10">
        <f>SUMIF([1]Relatório!$A$2:$A$2653,A1698,[1]Relatório!$AK$2:$AK$2653)</f>
        <v>2</v>
      </c>
      <c r="E1698" s="11">
        <f t="shared" si="52"/>
        <v>3.41905473393771e-6</v>
      </c>
      <c r="F1698" s="11">
        <f>SUM($E$7:E1698)</f>
        <v>0.999977776144229</v>
      </c>
      <c r="G1698" s="12" t="str">
        <f t="shared" si="53"/>
        <v>C</v>
      </c>
      <c r="H1698" s="9" t="s">
        <v>74</v>
      </c>
      <c r="I1698" s="9" t="s">
        <v>3638</v>
      </c>
      <c r="J1698" s="9" t="s">
        <v>40</v>
      </c>
      <c r="K1698" s="10" t="str">
        <f>IFERROR(VLOOKUP(A1698,'Pedido ESTHER'!$B:$C,2,0),"")</f>
        <v/>
      </c>
      <c r="L1698" s="12" t="str">
        <f>IF(N(K1698)&gt;0,"COMPRA","NÃO COMPRA")</f>
        <v>NÃO COMPRA</v>
      </c>
    </row>
    <row r="1699" spans="1:12">
      <c r="A1699" s="8" t="s">
        <v>3639</v>
      </c>
      <c r="B1699" s="9" t="s">
        <v>673</v>
      </c>
      <c r="C1699" s="9" t="e">
        <f>VLOOKUP(A1699,[2]Planilha1!$A:$B,2,0)</f>
        <v>#N/A</v>
      </c>
      <c r="D1699" s="10">
        <f>SUMIF([1]Relatório!$A$2:$A$2653,A1699,[1]Relatório!$AK$2:$AK$2653)</f>
        <v>2</v>
      </c>
      <c r="E1699" s="11">
        <f t="shared" si="52"/>
        <v>3.41905473393771e-6</v>
      </c>
      <c r="F1699" s="11">
        <f>SUM($E$7:E1699)</f>
        <v>0.999981195198963</v>
      </c>
      <c r="G1699" s="12" t="str">
        <f t="shared" si="53"/>
        <v>C</v>
      </c>
      <c r="H1699" s="9" t="s">
        <v>18</v>
      </c>
      <c r="I1699" s="9" t="s">
        <v>3640</v>
      </c>
      <c r="J1699" s="9" t="s">
        <v>359</v>
      </c>
      <c r="K1699" s="10" t="str">
        <f>IFERROR(VLOOKUP(A1699,'Pedido ESTHER'!$B:$C,2,0),"")</f>
        <v/>
      </c>
      <c r="L1699" s="12" t="str">
        <f>IF(N(K1699)&gt;0,"COMPRA","NÃO COMPRA")</f>
        <v>NÃO COMPRA</v>
      </c>
    </row>
    <row r="1700" spans="1:12">
      <c r="A1700" s="8" t="s">
        <v>3641</v>
      </c>
      <c r="B1700" s="9" t="s">
        <v>131</v>
      </c>
      <c r="C1700" s="9" t="e">
        <f>VLOOKUP(A1700,[2]Planilha1!$A:$B,2,0)</f>
        <v>#N/A</v>
      </c>
      <c r="D1700" s="10">
        <f>SUMIF([1]Relatório!$A$2:$A$2653,A1700,[1]Relatório!$AK$2:$AK$2653)</f>
        <v>2</v>
      </c>
      <c r="E1700" s="11">
        <f t="shared" si="52"/>
        <v>3.41905473393771e-6</v>
      </c>
      <c r="F1700" s="11">
        <f>SUM($E$7:E1700)</f>
        <v>0.999984614253697</v>
      </c>
      <c r="G1700" s="12" t="str">
        <f t="shared" si="53"/>
        <v>C</v>
      </c>
      <c r="H1700" s="9" t="s">
        <v>14</v>
      </c>
      <c r="I1700" s="9" t="s">
        <v>3309</v>
      </c>
      <c r="J1700" s="9" t="s">
        <v>23</v>
      </c>
      <c r="K1700" s="10" t="str">
        <f>IFERROR(VLOOKUP(A1700,'Pedido ESTHER'!$B:$C,2,0),"")</f>
        <v/>
      </c>
      <c r="L1700" s="12" t="str">
        <f>IF(N(K1700)&gt;0,"COMPRA","NÃO COMPRA")</f>
        <v>NÃO COMPRA</v>
      </c>
    </row>
    <row r="1701" spans="1:12">
      <c r="A1701" s="8" t="s">
        <v>3642</v>
      </c>
      <c r="B1701" s="9" t="s">
        <v>3643</v>
      </c>
      <c r="C1701" s="9" t="e">
        <f>VLOOKUP(A1701,[2]Planilha1!$A:$B,2,0)</f>
        <v>#N/A</v>
      </c>
      <c r="D1701" s="10">
        <f>SUMIF([1]Relatório!$A$2:$A$2653,A1701,[1]Relatório!$AK$2:$AK$2653)</f>
        <v>2</v>
      </c>
      <c r="E1701" s="11">
        <f t="shared" si="52"/>
        <v>3.41905473393771e-6</v>
      </c>
      <c r="F1701" s="11">
        <f>SUM($E$7:E1701)</f>
        <v>0.999988033308431</v>
      </c>
      <c r="G1701" s="12" t="str">
        <f t="shared" si="53"/>
        <v>C</v>
      </c>
      <c r="H1701" s="9" t="s">
        <v>1700</v>
      </c>
      <c r="I1701" s="9" t="s">
        <v>3644</v>
      </c>
      <c r="J1701" s="9" t="s">
        <v>3298</v>
      </c>
      <c r="K1701" s="10" t="str">
        <f>IFERROR(VLOOKUP(A1701,'Pedido ESTHER'!$B:$C,2,0),"")</f>
        <v/>
      </c>
      <c r="L1701" s="12" t="str">
        <f>IF(N(K1701)&gt;0,"COMPRA","NÃO COMPRA")</f>
        <v>NÃO COMPRA</v>
      </c>
    </row>
    <row r="1702" spans="1:12">
      <c r="A1702" s="8" t="s">
        <v>3645</v>
      </c>
      <c r="B1702" s="9" t="s">
        <v>3646</v>
      </c>
      <c r="C1702" s="9" t="e">
        <f>VLOOKUP(A1702,[2]Planilha1!$A:$B,2,0)</f>
        <v>#N/A</v>
      </c>
      <c r="D1702" s="10">
        <f>SUMIF([1]Relatório!$A$2:$A$2653,A1702,[1]Relatório!$AK$2:$AK$2653)</f>
        <v>1</v>
      </c>
      <c r="E1702" s="11">
        <f t="shared" si="52"/>
        <v>1.70952736696885e-6</v>
      </c>
      <c r="F1702" s="11">
        <f>SUM($E$7:E1702)</f>
        <v>0.999989742835798</v>
      </c>
      <c r="G1702" s="12" t="str">
        <f t="shared" si="53"/>
        <v>C</v>
      </c>
      <c r="H1702" s="9" t="s">
        <v>183</v>
      </c>
      <c r="I1702" s="9"/>
      <c r="J1702" s="9"/>
      <c r="K1702" s="10" t="str">
        <f>IFERROR(VLOOKUP(A1702,'Pedido ESTHER'!$B:$C,2,0),"")</f>
        <v/>
      </c>
      <c r="L1702" s="12" t="str">
        <f>IF(N(K1702)&gt;0,"COMPRA","NÃO COMPRA")</f>
        <v>NÃO COMPRA</v>
      </c>
    </row>
    <row r="1703" spans="1:12">
      <c r="A1703" s="8" t="s">
        <v>3647</v>
      </c>
      <c r="B1703" s="9" t="s">
        <v>3648</v>
      </c>
      <c r="C1703" s="9" t="e">
        <f>VLOOKUP(A1703,[2]Planilha1!$A:$B,2,0)</f>
        <v>#N/A</v>
      </c>
      <c r="D1703" s="10">
        <f>SUMIF([1]Relatório!$A$2:$A$2653,A1703,[1]Relatório!$AK$2:$AK$2653)</f>
        <v>1</v>
      </c>
      <c r="E1703" s="11">
        <f t="shared" si="52"/>
        <v>1.70952736696885e-6</v>
      </c>
      <c r="F1703" s="11">
        <f>SUM($E$7:E1703)</f>
        <v>0.999991452363165</v>
      </c>
      <c r="G1703" s="12" t="str">
        <f t="shared" si="53"/>
        <v>C</v>
      </c>
      <c r="H1703" s="9" t="s">
        <v>14</v>
      </c>
      <c r="I1703" s="9" t="s">
        <v>3649</v>
      </c>
      <c r="J1703" s="9" t="s">
        <v>1418</v>
      </c>
      <c r="K1703" s="10" t="str">
        <f>IFERROR(VLOOKUP(A1703,'Pedido ESTHER'!$B:$C,2,0),"")</f>
        <v/>
      </c>
      <c r="L1703" s="12" t="str">
        <f>IF(N(K1703)&gt;0,"COMPRA","NÃO COMPRA")</f>
        <v>NÃO COMPRA</v>
      </c>
    </row>
    <row r="1704" spans="1:12">
      <c r="A1704" s="8" t="s">
        <v>3650</v>
      </c>
      <c r="B1704" s="9" t="s">
        <v>365</v>
      </c>
      <c r="C1704" s="9" t="e">
        <f>VLOOKUP(A1704,[2]Planilha1!$A:$B,2,0)</f>
        <v>#N/A</v>
      </c>
      <c r="D1704" s="10">
        <f>SUMIF([1]Relatório!$A$2:$A$2653,A1704,[1]Relatório!$AK$2:$AK$2653)</f>
        <v>1</v>
      </c>
      <c r="E1704" s="11">
        <f t="shared" si="52"/>
        <v>1.70952736696885e-6</v>
      </c>
      <c r="F1704" s="11">
        <f>SUM($E$7:E1704)</f>
        <v>0.999993161890532</v>
      </c>
      <c r="G1704" s="12" t="str">
        <f t="shared" si="53"/>
        <v>C</v>
      </c>
      <c r="H1704" s="9" t="s">
        <v>18</v>
      </c>
      <c r="I1704" s="9" t="s">
        <v>3651</v>
      </c>
      <c r="J1704" s="9" t="s">
        <v>3612</v>
      </c>
      <c r="K1704" s="10" t="str">
        <f>IFERROR(VLOOKUP(A1704,'Pedido ESTHER'!$B:$C,2,0),"")</f>
        <v/>
      </c>
      <c r="L1704" s="12" t="str">
        <f>IF(N(K1704)&gt;0,"COMPRA","NÃO COMPRA")</f>
        <v>NÃO COMPRA</v>
      </c>
    </row>
    <row r="1705" spans="1:12">
      <c r="A1705" s="8" t="s">
        <v>3652</v>
      </c>
      <c r="B1705" s="9" t="s">
        <v>2278</v>
      </c>
      <c r="C1705" s="9" t="e">
        <f>VLOOKUP(A1705,[2]Planilha1!$A:$B,2,0)</f>
        <v>#N/A</v>
      </c>
      <c r="D1705" s="10">
        <f>SUMIF([1]Relatório!$A$2:$A$2653,A1705,[1]Relatório!$AK$2:$AK$2653)</f>
        <v>1</v>
      </c>
      <c r="E1705" s="11">
        <f t="shared" si="52"/>
        <v>1.70952736696885e-6</v>
      </c>
      <c r="F1705" s="11">
        <f>SUM($E$7:E1705)</f>
        <v>0.999994871417899</v>
      </c>
      <c r="G1705" s="12" t="str">
        <f t="shared" si="53"/>
        <v>C</v>
      </c>
      <c r="H1705" s="9" t="s">
        <v>1700</v>
      </c>
      <c r="I1705" s="9" t="s">
        <v>3653</v>
      </c>
      <c r="J1705" s="9" t="s">
        <v>40</v>
      </c>
      <c r="K1705" s="10" t="str">
        <f>IFERROR(VLOOKUP(A1705,'Pedido ESTHER'!$B:$C,2,0),"")</f>
        <v/>
      </c>
      <c r="L1705" s="12" t="str">
        <f>IF(N(K1705)&gt;0,"COMPRA","NÃO COMPRA")</f>
        <v>NÃO COMPRA</v>
      </c>
    </row>
    <row r="1706" spans="1:12">
      <c r="A1706" s="8" t="s">
        <v>3654</v>
      </c>
      <c r="B1706" s="9" t="s">
        <v>3618</v>
      </c>
      <c r="C1706" s="9" t="e">
        <f>VLOOKUP(A1706,[2]Planilha1!$A:$B,2,0)</f>
        <v>#N/A</v>
      </c>
      <c r="D1706" s="10">
        <f>SUMIF([1]Relatório!$A$2:$A$2653,A1706,[1]Relatório!$AK$2:$AK$2653)</f>
        <v>1</v>
      </c>
      <c r="E1706" s="11">
        <f t="shared" si="52"/>
        <v>1.70952736696885e-6</v>
      </c>
      <c r="F1706" s="11">
        <f>SUM($E$7:E1706)</f>
        <v>0.999996580945266</v>
      </c>
      <c r="G1706" s="12" t="str">
        <f t="shared" si="53"/>
        <v>C</v>
      </c>
      <c r="H1706" s="9" t="s">
        <v>1700</v>
      </c>
      <c r="I1706" s="9" t="s">
        <v>3655</v>
      </c>
      <c r="J1706" s="9" t="s">
        <v>3656</v>
      </c>
      <c r="K1706" s="10" t="str">
        <f>IFERROR(VLOOKUP(A1706,'Pedido ESTHER'!$B:$C,2,0),"")</f>
        <v/>
      </c>
      <c r="L1706" s="12" t="str">
        <f>IF(N(K1706)&gt;0,"COMPRA","NÃO COMPRA")</f>
        <v>NÃO COMPRA</v>
      </c>
    </row>
    <row r="1707" spans="1:12">
      <c r="A1707" s="8" t="s">
        <v>3657</v>
      </c>
      <c r="B1707" s="9" t="s">
        <v>3658</v>
      </c>
      <c r="C1707" s="9" t="e">
        <f>VLOOKUP(A1707,[2]Planilha1!$A:$B,2,0)</f>
        <v>#N/A</v>
      </c>
      <c r="D1707" s="10">
        <f>SUMIF([1]Relatório!$A$2:$A$2653,A1707,[1]Relatório!$AK$2:$AK$2653)</f>
        <v>1</v>
      </c>
      <c r="E1707" s="11">
        <f t="shared" si="52"/>
        <v>1.70952736696885e-6</v>
      </c>
      <c r="F1707" s="11">
        <f>SUM($E$7:E1707)</f>
        <v>0.999998290472633</v>
      </c>
      <c r="G1707" s="12" t="str">
        <f t="shared" si="53"/>
        <v>C</v>
      </c>
      <c r="H1707" s="9" t="s">
        <v>1700</v>
      </c>
      <c r="I1707" s="9" t="s">
        <v>3659</v>
      </c>
      <c r="J1707" s="9" t="s">
        <v>3485</v>
      </c>
      <c r="K1707" s="10" t="str">
        <f>IFERROR(VLOOKUP(A1707,'Pedido ESTHER'!$B:$C,2,0),"")</f>
        <v/>
      </c>
      <c r="L1707" s="12" t="str">
        <f>IF(N(K1707)&gt;0,"COMPRA","NÃO COMPRA")</f>
        <v>NÃO COMPRA</v>
      </c>
    </row>
    <row r="1708" spans="1:12">
      <c r="A1708" s="8" t="s">
        <v>3660</v>
      </c>
      <c r="B1708" s="9" t="s">
        <v>3661</v>
      </c>
      <c r="C1708" s="9" t="e">
        <f>VLOOKUP(A1708,[2]Planilha1!$A:$B,2,0)</f>
        <v>#N/A</v>
      </c>
      <c r="D1708" s="10">
        <f>SUMIF([1]Relatório!$A$2:$A$2653,A1708,[1]Relatório!$AK$2:$AK$2653)</f>
        <v>1</v>
      </c>
      <c r="E1708" s="11">
        <f t="shared" si="52"/>
        <v>1.70952736696885e-6</v>
      </c>
      <c r="F1708" s="11">
        <f>SUM($E$7:E1708)</f>
        <v>1</v>
      </c>
      <c r="G1708" s="12" t="str">
        <f t="shared" si="53"/>
        <v>C</v>
      </c>
      <c r="H1708" s="9" t="s">
        <v>1700</v>
      </c>
      <c r="I1708" s="9" t="s">
        <v>3662</v>
      </c>
      <c r="J1708" s="9" t="s">
        <v>1418</v>
      </c>
      <c r="K1708" s="10" t="str">
        <f>IFERROR(VLOOKUP(A1708,'Pedido ESTHER'!$B:$C,2,0),"")</f>
        <v/>
      </c>
      <c r="L1708" s="12" t="str">
        <f>IF(N(K1708)&gt;0,"COMPRA","NÃO COMPRA")</f>
        <v>NÃO COMPRA</v>
      </c>
    </row>
  </sheetData>
  <autoFilter xmlns:etc="http://www.wps.cn/officeDocument/2017/etCustomData" ref="A1:J2" etc:filterBottomFollowUsedRange="0">
    <extLst/>
  </autoFilter>
  <mergeCells count="2">
    <mergeCell ref="A1:J1"/>
    <mergeCell ref="A2:J2"/>
  </mergeCells>
  <conditionalFormatting sqref="L7:L1708">
    <cfRule type="cellIs" dxfId="10" priority="1" operator="equal">
      <formula>"NÃO COMPRA"</formula>
    </cfRule>
  </conditionalFormatting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>
  <dimension ref="A1:C151"/>
  <sheetViews>
    <sheetView workbookViewId="0">
      <pane ySplit="1" topLeftCell="A2" activePane="bottomLeft" state="frozen"/>
    </sheetView>
  </sheetViews>
  <sheetFormatPr defaultRowHeight="13.2"/>
  <cols>
    <col min="1" max="1" width="30" customWidth="1"/>
    <col min="2" max="2" width="24" customWidth="1"/>
    <col min="3" max="3" width="14" customWidth="1"/>
  </cols>
  <sheetData>
    <row r="1">
      <c r="A1" s="7" t="inlineStr">
        <is>
          <t>CÓDIGO (como veio no pedido)</t>
        </is>
      </c>
      <c r="B1" s="7" t="inlineStr">
        <is>
          <t>CÓDIGO (sem espaço)</t>
        </is>
      </c>
      <c r="C1" s="7" t="inlineStr">
        <is>
          <t>QUANTIDADE</t>
        </is>
      </c>
    </row>
    <row r="2">
      <c r="A2" s="9" t="inlineStr">
        <is>
          <t>SBC 1011</t>
        </is>
      </c>
      <c r="B2" s="9" t="str">
        <f>UPPER(SUBSTITUTE(TRIM(A2)," ",""))</f>
        <v>SBC1011</v>
      </c>
      <c r="C2" s="10">
        <v>4</v>
      </c>
    </row>
    <row r="3">
      <c r="A3" s="9" t="inlineStr">
        <is>
          <t>SBC 1117</t>
        </is>
      </c>
      <c r="B3" s="9" t="str">
        <f>UPPER(SUBSTITUTE(TRIM(A3)," ",""))</f>
        <v>SBC1117</v>
      </c>
      <c r="C3" s="10">
        <v>6</v>
      </c>
    </row>
    <row r="4">
      <c r="A4" s="9" t="inlineStr">
        <is>
          <t>SBC 1124</t>
        </is>
      </c>
      <c r="B4" s="9" t="str">
        <f>UPPER(SUBSTITUTE(TRIM(A4)," ",""))</f>
        <v>SBC1124</v>
      </c>
      <c r="C4" s="10">
        <v>6</v>
      </c>
    </row>
    <row r="5">
      <c r="A5" s="9" t="inlineStr">
        <is>
          <t>SBC 1147</t>
        </is>
      </c>
      <c r="B5" s="9" t="str">
        <f>UPPER(SUBSTITUTE(TRIM(A5)," ",""))</f>
        <v>SBC1147</v>
      </c>
      <c r="C5" s="10">
        <v>4</v>
      </c>
    </row>
    <row r="6">
      <c r="A6" s="9" t="inlineStr">
        <is>
          <t>SBC 1148</t>
        </is>
      </c>
      <c r="B6" s="9" t="str">
        <f>UPPER(SUBSTITUTE(TRIM(A6)," ",""))</f>
        <v>SBC1148</v>
      </c>
      <c r="C6" s="10">
        <v>6</v>
      </c>
    </row>
    <row r="7">
      <c r="A7" s="9" t="inlineStr">
        <is>
          <t>SBC 1149</t>
        </is>
      </c>
      <c r="B7" s="9" t="str">
        <f>UPPER(SUBSTITUTE(TRIM(A7)," ",""))</f>
        <v>SBC1149</v>
      </c>
      <c r="C7" s="10">
        <v>6</v>
      </c>
    </row>
    <row r="8">
      <c r="A8" s="9" t="inlineStr">
        <is>
          <t>SBC 1188</t>
        </is>
      </c>
      <c r="B8" s="9" t="str">
        <f>UPPER(SUBSTITUTE(TRIM(A8)," ",""))</f>
        <v>SBC1188</v>
      </c>
      <c r="C8" s="10">
        <v>8</v>
      </c>
    </row>
    <row r="9">
      <c r="A9" s="9" t="inlineStr">
        <is>
          <t>SCA 8053 FL</t>
        </is>
      </c>
      <c r="B9" s="9" t="str">
        <f>UPPER(SUBSTITUTE(TRIM(A9)," ",""))</f>
        <v>SCA8053FL</v>
      </c>
      <c r="C9" s="10">
        <v>3</v>
      </c>
    </row>
    <row r="10">
      <c r="A10" s="9" t="inlineStr">
        <is>
          <t>SCA 8053 FR</t>
        </is>
      </c>
      <c r="B10" s="9" t="str">
        <f>UPPER(SUBSTITUTE(TRIM(A10)," ",""))</f>
        <v>SCA8053FR</v>
      </c>
      <c r="C10" s="10">
        <v>3</v>
      </c>
    </row>
    <row r="11">
      <c r="A11" s="9" t="inlineStr">
        <is>
          <t>SCA 8060 FL</t>
        </is>
      </c>
      <c r="B11" s="9" t="str">
        <f>UPPER(SUBSTITUTE(TRIM(A11)," ",""))</f>
        <v>SCA8060FL</v>
      </c>
      <c r="C11" s="10">
        <v>3</v>
      </c>
    </row>
    <row r="12">
      <c r="A12" s="9" t="inlineStr">
        <is>
          <t>SCA 8060 FR</t>
        </is>
      </c>
      <c r="B12" s="9" t="str">
        <f>UPPER(SUBSTITUTE(TRIM(A12)," ",""))</f>
        <v>SCA8060FR</v>
      </c>
      <c r="C12" s="10">
        <v>3</v>
      </c>
    </row>
    <row r="13">
      <c r="A13" s="9" t="inlineStr">
        <is>
          <t>SCC 2010</t>
        </is>
      </c>
      <c r="B13" s="9" t="str">
        <f>UPPER(SUBSTITUTE(TRIM(A13)," ",""))</f>
        <v>SCC2010</v>
      </c>
      <c r="C13" s="10">
        <v>8</v>
      </c>
    </row>
    <row r="14">
      <c r="A14" s="9" t="inlineStr">
        <is>
          <t>SCC 2017</t>
        </is>
      </c>
      <c r="B14" s="9" t="str">
        <f>UPPER(SUBSTITUTE(TRIM(A14)," ",""))</f>
        <v>SCC2017</v>
      </c>
      <c r="C14" s="10">
        <v>1</v>
      </c>
    </row>
    <row r="15">
      <c r="A15" s="9" t="inlineStr">
        <is>
          <t>SCC 2029</t>
        </is>
      </c>
      <c r="B15" s="9" t="str">
        <f>UPPER(SUBSTITUTE(TRIM(A15)," ",""))</f>
        <v>SCC2029</v>
      </c>
      <c r="C15" s="10">
        <v>4</v>
      </c>
    </row>
    <row r="16">
      <c r="A16" s="9" t="inlineStr">
        <is>
          <t>SCC 2063</t>
        </is>
      </c>
      <c r="B16" s="9" t="str">
        <f>UPPER(SUBSTITUTE(TRIM(A16)," ",""))</f>
        <v>SCC2063</v>
      </c>
      <c r="C16" s="10">
        <v>8</v>
      </c>
    </row>
    <row r="17">
      <c r="A17" s="9" t="inlineStr">
        <is>
          <t>SCC 2067</t>
        </is>
      </c>
      <c r="B17" s="9" t="str">
        <f>UPPER(SUBSTITUTE(TRIM(A17)," ",""))</f>
        <v>SCC2067</v>
      </c>
      <c r="C17" s="10">
        <v>4</v>
      </c>
    </row>
    <row r="18">
      <c r="A18" s="9" t="inlineStr">
        <is>
          <t>SCC 2078</t>
        </is>
      </c>
      <c r="B18" s="9" t="str">
        <f>UPPER(SUBSTITUTE(TRIM(A18)," ",""))</f>
        <v>SCC2078</v>
      </c>
      <c r="C18" s="10">
        <v>4</v>
      </c>
    </row>
    <row r="19">
      <c r="A19" s="9" t="inlineStr">
        <is>
          <t>SFC 7034</t>
        </is>
      </c>
      <c r="B19" s="9" t="str">
        <f>UPPER(SUBSTITUTE(TRIM(A19)," ",""))</f>
        <v>SFC7034</v>
      </c>
      <c r="C19" s="10">
        <v>2</v>
      </c>
    </row>
    <row r="20">
      <c r="A20" s="9" t="inlineStr">
        <is>
          <t>SOC 9002</t>
        </is>
      </c>
      <c r="B20" s="9" t="str">
        <f>UPPER(SUBSTITUTE(TRIM(A20)," ",""))</f>
        <v>SOC9002</v>
      </c>
      <c r="C20" s="10">
        <v>2</v>
      </c>
    </row>
    <row r="21">
      <c r="A21" s="9" t="inlineStr">
        <is>
          <t>SOC 9025</t>
        </is>
      </c>
      <c r="B21" s="9" t="str">
        <f>UPPER(SUBSTITUTE(TRIM(A21)," ",""))</f>
        <v>SOC9025</v>
      </c>
      <c r="C21" s="10">
        <v>2</v>
      </c>
    </row>
    <row r="22">
      <c r="A22" s="9" t="inlineStr">
        <is>
          <t>SOC 9031</t>
        </is>
      </c>
      <c r="B22" s="9" t="str">
        <f>UPPER(SUBSTITUTE(TRIM(A22)," ",""))</f>
        <v>SOC9031</v>
      </c>
      <c r="C22" s="10">
        <v>2</v>
      </c>
    </row>
    <row r="23">
      <c r="A23" s="9" t="inlineStr">
        <is>
          <t>SSC 3042</t>
        </is>
      </c>
      <c r="B23" s="9" t="str">
        <f>UPPER(SUBSTITUTE(TRIM(A23)," ",""))</f>
        <v>SSC3042</v>
      </c>
      <c r="C23" s="10">
        <v>8</v>
      </c>
    </row>
    <row r="24">
      <c r="A24" s="9" t="inlineStr">
        <is>
          <t>SWC 5013</t>
        </is>
      </c>
      <c r="B24" s="9" t="str">
        <f>UPPER(SUBSTITUTE(TRIM(A24)," ",""))</f>
        <v>SWC5013</v>
      </c>
      <c r="C24" s="10">
        <v>20</v>
      </c>
    </row>
    <row r="25">
      <c r="A25" s="9" t="inlineStr">
        <is>
          <t>SWC 5018</t>
        </is>
      </c>
      <c r="B25" s="9" t="str">
        <f>UPPER(SUBSTITUTE(TRIM(A25)," ",""))</f>
        <v>SWC5018</v>
      </c>
      <c r="C25" s="10">
        <v>8</v>
      </c>
    </row>
    <row r="26">
      <c r="A26" s="9" t="inlineStr">
        <is>
          <t>SCC 2003</t>
        </is>
      </c>
      <c r="B26" s="9" t="str">
        <f>UPPER(SUBSTITUTE(TRIM(A26)," ",""))</f>
        <v>SCC2003</v>
      </c>
      <c r="C26" s="10">
        <v>10</v>
      </c>
    </row>
    <row r="27">
      <c r="A27" s="9"/>
      <c r="B27" s="9" t="str">
        <f>UPPER(SUBSTITUTE(TRIM(A27)," ",""))</f>
        <v/>
      </c>
      <c r="C27" s="10"/>
    </row>
    <row r="28">
      <c r="A28" s="9"/>
      <c r="B28" s="9" t="str">
        <f>UPPER(SUBSTITUTE(TRIM(A28)," ",""))</f>
        <v/>
      </c>
      <c r="C28" s="10"/>
    </row>
    <row r="29">
      <c r="A29" s="9"/>
      <c r="B29" s="9" t="str">
        <f>UPPER(SUBSTITUTE(TRIM(A29)," ",""))</f>
        <v/>
      </c>
      <c r="C29" s="10"/>
    </row>
    <row r="30">
      <c r="A30" s="9"/>
      <c r="B30" s="9" t="str">
        <f>UPPER(SUBSTITUTE(TRIM(A30)," ",""))</f>
        <v/>
      </c>
      <c r="C30" s="10"/>
    </row>
    <row r="31">
      <c r="A31" s="9"/>
      <c r="B31" s="9" t="str">
        <f>UPPER(SUBSTITUTE(TRIM(A31)," ",""))</f>
        <v/>
      </c>
      <c r="C31" s="10"/>
    </row>
    <row r="32">
      <c r="A32" s="9"/>
      <c r="B32" s="9" t="str">
        <f>UPPER(SUBSTITUTE(TRIM(A32)," ",""))</f>
        <v/>
      </c>
      <c r="C32" s="10"/>
    </row>
    <row r="33">
      <c r="A33" s="9"/>
      <c r="B33" s="9" t="str">
        <f>UPPER(SUBSTITUTE(TRIM(A33)," ",""))</f>
        <v/>
      </c>
      <c r="C33" s="10"/>
    </row>
    <row r="34">
      <c r="A34" s="9"/>
      <c r="B34" s="9" t="str">
        <f>UPPER(SUBSTITUTE(TRIM(A34)," ",""))</f>
        <v/>
      </c>
      <c r="C34" s="10"/>
    </row>
    <row r="35">
      <c r="A35" s="9"/>
      <c r="B35" s="9" t="str">
        <f>UPPER(SUBSTITUTE(TRIM(A35)," ",""))</f>
        <v/>
      </c>
      <c r="C35" s="10"/>
    </row>
    <row r="36">
      <c r="A36" s="9"/>
      <c r="B36" s="9" t="str">
        <f>UPPER(SUBSTITUTE(TRIM(A36)," ",""))</f>
        <v/>
      </c>
      <c r="C36" s="10"/>
    </row>
    <row r="37">
      <c r="A37" s="9"/>
      <c r="B37" s="9" t="str">
        <f>UPPER(SUBSTITUTE(TRIM(A37)," ",""))</f>
        <v/>
      </c>
      <c r="C37" s="10"/>
    </row>
    <row r="38">
      <c r="A38" s="9"/>
      <c r="B38" s="9" t="str">
        <f>UPPER(SUBSTITUTE(TRIM(A38)," ",""))</f>
        <v/>
      </c>
      <c r="C38" s="10"/>
    </row>
    <row r="39">
      <c r="A39" s="9"/>
      <c r="B39" s="9" t="str">
        <f>UPPER(SUBSTITUTE(TRIM(A39)," ",""))</f>
        <v/>
      </c>
      <c r="C39" s="10"/>
    </row>
    <row r="40">
      <c r="A40" s="9"/>
      <c r="B40" s="9" t="str">
        <f>UPPER(SUBSTITUTE(TRIM(A40)," ",""))</f>
        <v/>
      </c>
      <c r="C40" s="10"/>
    </row>
    <row r="41">
      <c r="A41" s="9"/>
      <c r="B41" s="9" t="str">
        <f>UPPER(SUBSTITUTE(TRIM(A41)," ",""))</f>
        <v/>
      </c>
      <c r="C41" s="10"/>
    </row>
    <row r="42">
      <c r="A42" s="9"/>
      <c r="B42" s="9" t="str">
        <f>UPPER(SUBSTITUTE(TRIM(A42)," ",""))</f>
        <v/>
      </c>
      <c r="C42" s="10"/>
    </row>
    <row r="43">
      <c r="A43" s="9"/>
      <c r="B43" s="9" t="str">
        <f>UPPER(SUBSTITUTE(TRIM(A43)," ",""))</f>
        <v/>
      </c>
      <c r="C43" s="10"/>
    </row>
    <row r="44">
      <c r="A44" s="9"/>
      <c r="B44" s="9" t="str">
        <f>UPPER(SUBSTITUTE(TRIM(A44)," ",""))</f>
        <v/>
      </c>
      <c r="C44" s="10"/>
    </row>
    <row r="45">
      <c r="A45" s="9"/>
      <c r="B45" s="9" t="str">
        <f>UPPER(SUBSTITUTE(TRIM(A45)," ",""))</f>
        <v/>
      </c>
      <c r="C45" s="10"/>
    </row>
    <row r="46">
      <c r="A46" s="9"/>
      <c r="B46" s="9" t="str">
        <f>UPPER(SUBSTITUTE(TRIM(A46)," ",""))</f>
        <v/>
      </c>
      <c r="C46" s="10"/>
    </row>
    <row r="47">
      <c r="A47" s="9"/>
      <c r="B47" s="9" t="str">
        <f>UPPER(SUBSTITUTE(TRIM(A47)," ",""))</f>
        <v/>
      </c>
      <c r="C47" s="10"/>
    </row>
    <row r="48">
      <c r="A48" s="9"/>
      <c r="B48" s="9" t="str">
        <f>UPPER(SUBSTITUTE(TRIM(A48)," ",""))</f>
        <v/>
      </c>
      <c r="C48" s="10"/>
    </row>
    <row r="49">
      <c r="A49" s="9"/>
      <c r="B49" s="9" t="str">
        <f>UPPER(SUBSTITUTE(TRIM(A49)," ",""))</f>
        <v/>
      </c>
      <c r="C49" s="10"/>
    </row>
    <row r="50">
      <c r="A50" s="9"/>
      <c r="B50" s="9" t="str">
        <f>UPPER(SUBSTITUTE(TRIM(A50)," ",""))</f>
        <v/>
      </c>
      <c r="C50" s="10"/>
    </row>
    <row r="51">
      <c r="A51" s="9"/>
      <c r="B51" s="9" t="str">
        <f>UPPER(SUBSTITUTE(TRIM(A51)," ",""))</f>
        <v/>
      </c>
      <c r="C51" s="10"/>
    </row>
    <row r="52">
      <c r="A52" s="9"/>
      <c r="B52" s="9" t="str">
        <f>UPPER(SUBSTITUTE(TRIM(A52)," ",""))</f>
        <v/>
      </c>
      <c r="C52" s="10"/>
    </row>
    <row r="53">
      <c r="A53" s="9"/>
      <c r="B53" s="9" t="str">
        <f>UPPER(SUBSTITUTE(TRIM(A53)," ",""))</f>
        <v/>
      </c>
      <c r="C53" s="10"/>
    </row>
    <row r="54">
      <c r="A54" s="9"/>
      <c r="B54" s="9" t="str">
        <f>UPPER(SUBSTITUTE(TRIM(A54)," ",""))</f>
        <v/>
      </c>
      <c r="C54" s="10"/>
    </row>
    <row r="55">
      <c r="A55" s="9"/>
      <c r="B55" s="9" t="str">
        <f>UPPER(SUBSTITUTE(TRIM(A55)," ",""))</f>
        <v/>
      </c>
      <c r="C55" s="10"/>
    </row>
    <row r="56">
      <c r="A56" s="9"/>
      <c r="B56" s="9" t="str">
        <f>UPPER(SUBSTITUTE(TRIM(A56)," ",""))</f>
        <v/>
      </c>
      <c r="C56" s="10"/>
    </row>
    <row r="57">
      <c r="A57" s="9"/>
      <c r="B57" s="9" t="str">
        <f>UPPER(SUBSTITUTE(TRIM(A57)," ",""))</f>
        <v/>
      </c>
      <c r="C57" s="10"/>
    </row>
    <row r="58">
      <c r="A58" s="9"/>
      <c r="B58" s="9" t="str">
        <f>UPPER(SUBSTITUTE(TRIM(A58)," ",""))</f>
        <v/>
      </c>
      <c r="C58" s="10"/>
    </row>
    <row r="59">
      <c r="A59" s="9"/>
      <c r="B59" s="9" t="str">
        <f>UPPER(SUBSTITUTE(TRIM(A59)," ",""))</f>
        <v/>
      </c>
      <c r="C59" s="10"/>
    </row>
    <row r="60">
      <c r="A60" s="9"/>
      <c r="B60" s="9" t="str">
        <f>UPPER(SUBSTITUTE(TRIM(A60)," ",""))</f>
        <v/>
      </c>
      <c r="C60" s="10"/>
    </row>
    <row r="61">
      <c r="A61" s="9"/>
      <c r="B61" s="9" t="str">
        <f>UPPER(SUBSTITUTE(TRIM(A61)," ",""))</f>
        <v/>
      </c>
      <c r="C61" s="10"/>
    </row>
    <row r="62">
      <c r="A62" s="9"/>
      <c r="B62" s="9" t="str">
        <f>UPPER(SUBSTITUTE(TRIM(A62)," ",""))</f>
        <v/>
      </c>
      <c r="C62" s="10"/>
    </row>
    <row r="63">
      <c r="A63" s="9"/>
      <c r="B63" s="9" t="str">
        <f>UPPER(SUBSTITUTE(TRIM(A63)," ",""))</f>
        <v/>
      </c>
      <c r="C63" s="10"/>
    </row>
    <row r="64">
      <c r="A64" s="9"/>
      <c r="B64" s="9" t="str">
        <f>UPPER(SUBSTITUTE(TRIM(A64)," ",""))</f>
        <v/>
      </c>
      <c r="C64" s="10"/>
    </row>
    <row r="65">
      <c r="A65" s="9"/>
      <c r="B65" s="9" t="str">
        <f>UPPER(SUBSTITUTE(TRIM(A65)," ",""))</f>
        <v/>
      </c>
      <c r="C65" s="10"/>
    </row>
    <row r="66">
      <c r="A66" s="9"/>
      <c r="B66" s="9" t="str">
        <f>UPPER(SUBSTITUTE(TRIM(A66)," ",""))</f>
        <v/>
      </c>
      <c r="C66" s="10"/>
    </row>
    <row r="67">
      <c r="A67" s="9"/>
      <c r="B67" s="9" t="str">
        <f>UPPER(SUBSTITUTE(TRIM(A67)," ",""))</f>
        <v/>
      </c>
      <c r="C67" s="10"/>
    </row>
    <row r="68">
      <c r="A68" s="9"/>
      <c r="B68" s="9" t="str">
        <f>UPPER(SUBSTITUTE(TRIM(A68)," ",""))</f>
        <v/>
      </c>
      <c r="C68" s="10"/>
    </row>
    <row r="69">
      <c r="A69" s="9"/>
      <c r="B69" s="9" t="str">
        <f>UPPER(SUBSTITUTE(TRIM(A69)," ",""))</f>
        <v/>
      </c>
      <c r="C69" s="10"/>
    </row>
    <row r="70">
      <c r="A70" s="9"/>
      <c r="B70" s="9" t="str">
        <f>UPPER(SUBSTITUTE(TRIM(A70)," ",""))</f>
        <v/>
      </c>
      <c r="C70" s="10"/>
    </row>
    <row r="71">
      <c r="A71" s="9"/>
      <c r="B71" s="9" t="str">
        <f>UPPER(SUBSTITUTE(TRIM(A71)," ",""))</f>
        <v/>
      </c>
      <c r="C71" s="10"/>
    </row>
    <row r="72">
      <c r="A72" s="9"/>
      <c r="B72" s="9" t="str">
        <f>UPPER(SUBSTITUTE(TRIM(A72)," ",""))</f>
        <v/>
      </c>
      <c r="C72" s="10"/>
    </row>
    <row r="73">
      <c r="A73" s="9"/>
      <c r="B73" s="9" t="str">
        <f>UPPER(SUBSTITUTE(TRIM(A73)," ",""))</f>
        <v/>
      </c>
      <c r="C73" s="10"/>
    </row>
    <row r="74">
      <c r="A74" s="9"/>
      <c r="B74" s="9" t="str">
        <f>UPPER(SUBSTITUTE(TRIM(A74)," ",""))</f>
        <v/>
      </c>
      <c r="C74" s="10"/>
    </row>
    <row r="75">
      <c r="A75" s="9"/>
      <c r="B75" s="9" t="str">
        <f>UPPER(SUBSTITUTE(TRIM(A75)," ",""))</f>
        <v/>
      </c>
      <c r="C75" s="10"/>
    </row>
    <row r="76">
      <c r="A76" s="9"/>
      <c r="B76" s="9" t="str">
        <f>UPPER(SUBSTITUTE(TRIM(A76)," ",""))</f>
        <v/>
      </c>
      <c r="C76" s="10"/>
    </row>
    <row r="77">
      <c r="A77" s="9"/>
      <c r="B77" s="9" t="str">
        <f>UPPER(SUBSTITUTE(TRIM(A77)," ",""))</f>
        <v/>
      </c>
      <c r="C77" s="10"/>
    </row>
    <row r="78">
      <c r="A78" s="9"/>
      <c r="B78" s="9" t="str">
        <f>UPPER(SUBSTITUTE(TRIM(A78)," ",""))</f>
        <v/>
      </c>
      <c r="C78" s="10"/>
    </row>
    <row r="79">
      <c r="A79" s="9"/>
      <c r="B79" s="9" t="str">
        <f>UPPER(SUBSTITUTE(TRIM(A79)," ",""))</f>
        <v/>
      </c>
      <c r="C79" s="10"/>
    </row>
    <row r="80">
      <c r="A80" s="9"/>
      <c r="B80" s="9" t="str">
        <f>UPPER(SUBSTITUTE(TRIM(A80)," ",""))</f>
        <v/>
      </c>
      <c r="C80" s="10"/>
    </row>
    <row r="81">
      <c r="A81" s="9"/>
      <c r="B81" s="9" t="str">
        <f>UPPER(SUBSTITUTE(TRIM(A81)," ",""))</f>
        <v/>
      </c>
      <c r="C81" s="10"/>
    </row>
    <row r="82">
      <c r="A82" s="9"/>
      <c r="B82" s="9" t="str">
        <f>UPPER(SUBSTITUTE(TRIM(A82)," ",""))</f>
        <v/>
      </c>
      <c r="C82" s="10"/>
    </row>
    <row r="83">
      <c r="A83" s="9"/>
      <c r="B83" s="9" t="str">
        <f>UPPER(SUBSTITUTE(TRIM(A83)," ",""))</f>
        <v/>
      </c>
      <c r="C83" s="10"/>
    </row>
    <row r="84">
      <c r="A84" s="9"/>
      <c r="B84" s="9" t="str">
        <f>UPPER(SUBSTITUTE(TRIM(A84)," ",""))</f>
        <v/>
      </c>
      <c r="C84" s="10"/>
    </row>
    <row r="85">
      <c r="A85" s="9"/>
      <c r="B85" s="9" t="str">
        <f>UPPER(SUBSTITUTE(TRIM(A85)," ",""))</f>
        <v/>
      </c>
      <c r="C85" s="10"/>
    </row>
    <row r="86">
      <c r="A86" s="9"/>
      <c r="B86" s="9" t="str">
        <f>UPPER(SUBSTITUTE(TRIM(A86)," ",""))</f>
        <v/>
      </c>
      <c r="C86" s="10"/>
    </row>
    <row r="87">
      <c r="A87" s="9"/>
      <c r="B87" s="9" t="str">
        <f>UPPER(SUBSTITUTE(TRIM(A87)," ",""))</f>
        <v/>
      </c>
      <c r="C87" s="10"/>
    </row>
    <row r="88">
      <c r="A88" s="9"/>
      <c r="B88" s="9" t="str">
        <f>UPPER(SUBSTITUTE(TRIM(A88)," ",""))</f>
        <v/>
      </c>
      <c r="C88" s="10"/>
    </row>
    <row r="89">
      <c r="A89" s="9"/>
      <c r="B89" s="9" t="str">
        <f>UPPER(SUBSTITUTE(TRIM(A89)," ",""))</f>
        <v/>
      </c>
      <c r="C89" s="10"/>
    </row>
    <row r="90">
      <c r="A90" s="9"/>
      <c r="B90" s="9" t="str">
        <f>UPPER(SUBSTITUTE(TRIM(A90)," ",""))</f>
        <v/>
      </c>
      <c r="C90" s="10"/>
    </row>
    <row r="91">
      <c r="A91" s="9"/>
      <c r="B91" s="9" t="str">
        <f>UPPER(SUBSTITUTE(TRIM(A91)," ",""))</f>
        <v/>
      </c>
      <c r="C91" s="10"/>
    </row>
    <row r="92">
      <c r="A92" s="9"/>
      <c r="B92" s="9" t="str">
        <f>UPPER(SUBSTITUTE(TRIM(A92)," ",""))</f>
        <v/>
      </c>
      <c r="C92" s="10"/>
    </row>
    <row r="93">
      <c r="A93" s="9"/>
      <c r="B93" s="9" t="str">
        <f>UPPER(SUBSTITUTE(TRIM(A93)," ",""))</f>
        <v/>
      </c>
      <c r="C93" s="10"/>
    </row>
    <row r="94">
      <c r="A94" s="9"/>
      <c r="B94" s="9" t="str">
        <f>UPPER(SUBSTITUTE(TRIM(A94)," ",""))</f>
        <v/>
      </c>
      <c r="C94" s="10"/>
    </row>
    <row r="95">
      <c r="A95" s="9"/>
      <c r="B95" s="9" t="str">
        <f>UPPER(SUBSTITUTE(TRIM(A95)," ",""))</f>
        <v/>
      </c>
      <c r="C95" s="10"/>
    </row>
    <row r="96">
      <c r="A96" s="9"/>
      <c r="B96" s="9" t="str">
        <f>UPPER(SUBSTITUTE(TRIM(A96)," ",""))</f>
        <v/>
      </c>
      <c r="C96" s="10"/>
    </row>
    <row r="97">
      <c r="A97" s="9"/>
      <c r="B97" s="9" t="str">
        <f>UPPER(SUBSTITUTE(TRIM(A97)," ",""))</f>
        <v/>
      </c>
      <c r="C97" s="10"/>
    </row>
    <row r="98">
      <c r="A98" s="9"/>
      <c r="B98" s="9" t="str">
        <f>UPPER(SUBSTITUTE(TRIM(A98)," ",""))</f>
        <v/>
      </c>
      <c r="C98" s="10"/>
    </row>
    <row r="99">
      <c r="A99" s="9"/>
      <c r="B99" s="9" t="str">
        <f>UPPER(SUBSTITUTE(TRIM(A99)," ",""))</f>
        <v/>
      </c>
      <c r="C99" s="10"/>
    </row>
    <row r="100">
      <c r="A100" s="9"/>
      <c r="B100" s="9" t="str">
        <f>UPPER(SUBSTITUTE(TRIM(A100)," ",""))</f>
        <v/>
      </c>
      <c r="C100" s="10"/>
    </row>
    <row r="101">
      <c r="A101" s="9"/>
      <c r="B101" s="9" t="str">
        <f>UPPER(SUBSTITUTE(TRIM(A101)," ",""))</f>
        <v/>
      </c>
      <c r="C101" s="10"/>
    </row>
    <row r="102">
      <c r="A102" s="9"/>
      <c r="B102" s="9" t="str">
        <f>UPPER(SUBSTITUTE(TRIM(A102)," ",""))</f>
        <v/>
      </c>
      <c r="C102" s="10"/>
    </row>
    <row r="103">
      <c r="A103" s="9"/>
      <c r="B103" s="9" t="str">
        <f>UPPER(SUBSTITUTE(TRIM(A103)," ",""))</f>
        <v/>
      </c>
      <c r="C103" s="10"/>
    </row>
    <row r="104">
      <c r="A104" s="9"/>
      <c r="B104" s="9" t="str">
        <f>UPPER(SUBSTITUTE(TRIM(A104)," ",""))</f>
        <v/>
      </c>
      <c r="C104" s="10"/>
    </row>
    <row r="105">
      <c r="A105" s="9"/>
      <c r="B105" s="9" t="str">
        <f>UPPER(SUBSTITUTE(TRIM(A105)," ",""))</f>
        <v/>
      </c>
      <c r="C105" s="10"/>
    </row>
    <row r="106">
      <c r="A106" s="9"/>
      <c r="B106" s="9" t="str">
        <f>UPPER(SUBSTITUTE(TRIM(A106)," ",""))</f>
        <v/>
      </c>
      <c r="C106" s="10"/>
    </row>
    <row r="107">
      <c r="A107" s="9"/>
      <c r="B107" s="9" t="str">
        <f>UPPER(SUBSTITUTE(TRIM(A107)," ",""))</f>
        <v/>
      </c>
      <c r="C107" s="10"/>
    </row>
    <row r="108">
      <c r="A108" s="9"/>
      <c r="B108" s="9" t="str">
        <f>UPPER(SUBSTITUTE(TRIM(A108)," ",""))</f>
        <v/>
      </c>
      <c r="C108" s="10"/>
    </row>
    <row r="109">
      <c r="A109" s="9"/>
      <c r="B109" s="9" t="str">
        <f>UPPER(SUBSTITUTE(TRIM(A109)," ",""))</f>
        <v/>
      </c>
      <c r="C109" s="10"/>
    </row>
    <row r="110">
      <c r="A110" s="9"/>
      <c r="B110" s="9" t="str">
        <f>UPPER(SUBSTITUTE(TRIM(A110)," ",""))</f>
        <v/>
      </c>
      <c r="C110" s="10"/>
    </row>
    <row r="111">
      <c r="A111" s="9"/>
      <c r="B111" s="9" t="str">
        <f>UPPER(SUBSTITUTE(TRIM(A111)," ",""))</f>
        <v/>
      </c>
      <c r="C111" s="10"/>
    </row>
    <row r="112">
      <c r="A112" s="9"/>
      <c r="B112" s="9" t="str">
        <f>UPPER(SUBSTITUTE(TRIM(A112)," ",""))</f>
        <v/>
      </c>
      <c r="C112" s="10"/>
    </row>
    <row r="113">
      <c r="A113" s="9"/>
      <c r="B113" s="9" t="str">
        <f>UPPER(SUBSTITUTE(TRIM(A113)," ",""))</f>
        <v/>
      </c>
      <c r="C113" s="10"/>
    </row>
    <row r="114">
      <c r="A114" s="9"/>
      <c r="B114" s="9" t="str">
        <f>UPPER(SUBSTITUTE(TRIM(A114)," ",""))</f>
        <v/>
      </c>
      <c r="C114" s="10"/>
    </row>
    <row r="115">
      <c r="A115" s="9"/>
      <c r="B115" s="9" t="str">
        <f>UPPER(SUBSTITUTE(TRIM(A115)," ",""))</f>
        <v/>
      </c>
      <c r="C115" s="10"/>
    </row>
    <row r="116">
      <c r="A116" s="9"/>
      <c r="B116" s="9" t="str">
        <f>UPPER(SUBSTITUTE(TRIM(A116)," ",""))</f>
        <v/>
      </c>
      <c r="C116" s="10"/>
    </row>
    <row r="117">
      <c r="A117" s="9"/>
      <c r="B117" s="9" t="str">
        <f>UPPER(SUBSTITUTE(TRIM(A117)," ",""))</f>
        <v/>
      </c>
      <c r="C117" s="10"/>
    </row>
    <row r="118">
      <c r="A118" s="9"/>
      <c r="B118" s="9" t="str">
        <f>UPPER(SUBSTITUTE(TRIM(A118)," ",""))</f>
        <v/>
      </c>
      <c r="C118" s="10"/>
    </row>
    <row r="119">
      <c r="A119" s="9"/>
      <c r="B119" s="9" t="str">
        <f>UPPER(SUBSTITUTE(TRIM(A119)," ",""))</f>
        <v/>
      </c>
      <c r="C119" s="10"/>
    </row>
    <row r="120">
      <c r="A120" s="9"/>
      <c r="B120" s="9" t="str">
        <f>UPPER(SUBSTITUTE(TRIM(A120)," ",""))</f>
        <v/>
      </c>
      <c r="C120" s="10"/>
    </row>
    <row r="121">
      <c r="A121" s="9"/>
      <c r="B121" s="9" t="str">
        <f>UPPER(SUBSTITUTE(TRIM(A121)," ",""))</f>
        <v/>
      </c>
      <c r="C121" s="10"/>
    </row>
    <row r="122">
      <c r="A122" s="9"/>
      <c r="B122" s="9" t="str">
        <f>UPPER(SUBSTITUTE(TRIM(A122)," ",""))</f>
        <v/>
      </c>
      <c r="C122" s="10"/>
    </row>
    <row r="123">
      <c r="A123" s="9"/>
      <c r="B123" s="9" t="str">
        <f>UPPER(SUBSTITUTE(TRIM(A123)," ",""))</f>
        <v/>
      </c>
      <c r="C123" s="10"/>
    </row>
    <row r="124">
      <c r="A124" s="9"/>
      <c r="B124" s="9" t="str">
        <f>UPPER(SUBSTITUTE(TRIM(A124)," ",""))</f>
        <v/>
      </c>
      <c r="C124" s="10"/>
    </row>
    <row r="125">
      <c r="A125" s="9"/>
      <c r="B125" s="9" t="str">
        <f>UPPER(SUBSTITUTE(TRIM(A125)," ",""))</f>
        <v/>
      </c>
      <c r="C125" s="10"/>
    </row>
    <row r="126">
      <c r="A126" s="9"/>
      <c r="B126" s="9" t="str">
        <f>UPPER(SUBSTITUTE(TRIM(A126)," ",""))</f>
        <v/>
      </c>
      <c r="C126" s="10"/>
    </row>
    <row r="127">
      <c r="A127" s="9"/>
      <c r="B127" s="9" t="str">
        <f>UPPER(SUBSTITUTE(TRIM(A127)," ",""))</f>
        <v/>
      </c>
      <c r="C127" s="10"/>
    </row>
    <row r="128">
      <c r="A128" s="9"/>
      <c r="B128" s="9" t="str">
        <f>UPPER(SUBSTITUTE(TRIM(A128)," ",""))</f>
        <v/>
      </c>
      <c r="C128" s="10"/>
    </row>
    <row r="129">
      <c r="A129" s="9"/>
      <c r="B129" s="9" t="str">
        <f>UPPER(SUBSTITUTE(TRIM(A129)," ",""))</f>
        <v/>
      </c>
      <c r="C129" s="10"/>
    </row>
    <row r="130">
      <c r="A130" s="9"/>
      <c r="B130" s="9" t="str">
        <f>UPPER(SUBSTITUTE(TRIM(A130)," ",""))</f>
        <v/>
      </c>
      <c r="C130" s="10"/>
    </row>
    <row r="131">
      <c r="A131" s="9"/>
      <c r="B131" s="9" t="str">
        <f>UPPER(SUBSTITUTE(TRIM(A131)," ",""))</f>
        <v/>
      </c>
      <c r="C131" s="10"/>
    </row>
    <row r="132">
      <c r="A132" s="9"/>
      <c r="B132" s="9" t="str">
        <f>UPPER(SUBSTITUTE(TRIM(A132)," ",""))</f>
        <v/>
      </c>
      <c r="C132" s="10"/>
    </row>
    <row r="133">
      <c r="A133" s="9"/>
      <c r="B133" s="9" t="str">
        <f>UPPER(SUBSTITUTE(TRIM(A133)," ",""))</f>
        <v/>
      </c>
      <c r="C133" s="10"/>
    </row>
    <row r="134">
      <c r="A134" s="9"/>
      <c r="B134" s="9" t="str">
        <f>UPPER(SUBSTITUTE(TRIM(A134)," ",""))</f>
        <v/>
      </c>
      <c r="C134" s="10"/>
    </row>
    <row r="135">
      <c r="A135" s="9"/>
      <c r="B135" s="9" t="str">
        <f>UPPER(SUBSTITUTE(TRIM(A135)," ",""))</f>
        <v/>
      </c>
      <c r="C135" s="10"/>
    </row>
    <row r="136">
      <c r="A136" s="9"/>
      <c r="B136" s="9" t="str">
        <f>UPPER(SUBSTITUTE(TRIM(A136)," ",""))</f>
        <v/>
      </c>
      <c r="C136" s="10"/>
    </row>
    <row r="137">
      <c r="A137" s="9"/>
      <c r="B137" s="9" t="str">
        <f>UPPER(SUBSTITUTE(TRIM(A137)," ",""))</f>
        <v/>
      </c>
      <c r="C137" s="10"/>
    </row>
    <row r="138">
      <c r="A138" s="9"/>
      <c r="B138" s="9" t="str">
        <f>UPPER(SUBSTITUTE(TRIM(A138)," ",""))</f>
        <v/>
      </c>
      <c r="C138" s="10"/>
    </row>
    <row r="139">
      <c r="A139" s="9"/>
      <c r="B139" s="9" t="str">
        <f>UPPER(SUBSTITUTE(TRIM(A139)," ",""))</f>
        <v/>
      </c>
      <c r="C139" s="10"/>
    </row>
    <row r="140">
      <c r="A140" s="9"/>
      <c r="B140" s="9" t="str">
        <f>UPPER(SUBSTITUTE(TRIM(A140)," ",""))</f>
        <v/>
      </c>
      <c r="C140" s="10"/>
    </row>
    <row r="141">
      <c r="A141" s="9"/>
      <c r="B141" s="9" t="str">
        <f>UPPER(SUBSTITUTE(TRIM(A141)," ",""))</f>
        <v/>
      </c>
      <c r="C141" s="10"/>
    </row>
    <row r="142">
      <c r="A142" s="9"/>
      <c r="B142" s="9" t="str">
        <f>UPPER(SUBSTITUTE(TRIM(A142)," ",""))</f>
        <v/>
      </c>
      <c r="C142" s="10"/>
    </row>
    <row r="143">
      <c r="A143" s="9"/>
      <c r="B143" s="9" t="str">
        <f>UPPER(SUBSTITUTE(TRIM(A143)," ",""))</f>
        <v/>
      </c>
      <c r="C143" s="10"/>
    </row>
    <row r="144">
      <c r="A144" s="9"/>
      <c r="B144" s="9" t="str">
        <f>UPPER(SUBSTITUTE(TRIM(A144)," ",""))</f>
        <v/>
      </c>
      <c r="C144" s="10"/>
    </row>
    <row r="145">
      <c r="A145" s="9"/>
      <c r="B145" s="9" t="str">
        <f>UPPER(SUBSTITUTE(TRIM(A145)," ",""))</f>
        <v/>
      </c>
      <c r="C145" s="10"/>
    </row>
    <row r="146">
      <c r="A146" s="9"/>
      <c r="B146" s="9" t="str">
        <f>UPPER(SUBSTITUTE(TRIM(A146)," ",""))</f>
        <v/>
      </c>
      <c r="C146" s="10"/>
    </row>
    <row r="147">
      <c r="A147" s="9"/>
      <c r="B147" s="9" t="str">
        <f>UPPER(SUBSTITUTE(TRIM(A147)," ",""))</f>
        <v/>
      </c>
      <c r="C147" s="10"/>
    </row>
    <row r="148">
      <c r="A148" s="9"/>
      <c r="B148" s="9" t="str">
        <f>UPPER(SUBSTITUTE(TRIM(A148)," ",""))</f>
        <v/>
      </c>
      <c r="C148" s="10"/>
    </row>
    <row r="149">
      <c r="A149" s="9"/>
      <c r="B149" s="9" t="str">
        <f>UPPER(SUBSTITUTE(TRIM(A149)," ",""))</f>
        <v/>
      </c>
      <c r="C149" s="10"/>
    </row>
    <row r="150">
      <c r="A150" s="9"/>
      <c r="B150" s="9" t="str">
        <f>UPPER(SUBSTITUTE(TRIM(A150)," ",""))</f>
        <v/>
      </c>
      <c r="C150" s="10"/>
    </row>
    <row r="151">
      <c r="A151" s="9"/>
      <c r="B151" s="9" t="str">
        <f>UPPER(SUBSTITUTE(TRIM(A151)," ",""))</f>
        <v/>
      </c>
      <c r="C151" s="1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Oziano Chagas</cp:lastModifiedBy>
  <dcterms:created xsi:type="dcterms:W3CDTF">2026-10-08T21:46:00Z</dcterms:created>
  <dcterms:modified xsi:type="dcterms:W3CDTF">2026-10-28T15:45:52Z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1046-12.1.0.29162</vt:lpwstr>
  </property>
  <property fmtid="{D5CDD505-2E9C-101B-9397-08002B2CF9AE}" pid="3" name="CalculationRule">
    <vt:i4>0</vt:i4>
  </property>
  <property fmtid="{D5CDD505-2E9C-101B-9397-08002B2CF9AE}" pid="4" name="ICV">
    <vt:lpwstr>81E62E10721748F8B0B931EA50BA7E55_13</vt:lpwstr>
  </property>
</Properties>
</file>