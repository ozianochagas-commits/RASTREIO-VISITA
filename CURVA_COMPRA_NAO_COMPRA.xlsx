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" sheetId="1" state="visible" r:id="rId3"/>
    <sheet name="Curva" sheetId="2" state="visible" r:id="rId4"/>
    <sheet name="Pedido" sheetId="3" state="visible" r:id="rId5"/>
    <sheet name="Relatorio_AK" sheetId="4" state="visible" r:id="rId6"/>
    <sheet name="Lista_Starke" sheetId="5" state="visible" r:id="rId7"/>
  </sheets>
  <definedNames>
    <definedName function="false" hidden="true" localSheetId="1" name="_xlnm._FilterDatabase" vbProcedure="false">Curva!$A$1:$P$1703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<sst xmlns="http://schemas.openxmlformats.org/spreadsheetml/2006/main" count="20532" uniqueCount="7038">
  <si>
    <t xml:space="preserve">RESUMO - ESTHER DISTRIBUIDORA DE PEÇAS LTDA</t>
  </si>
  <si>
    <t xml:space="preserve">Classe</t>
  </si>
  <si>
    <t xml:space="preserve">Itens na curva</t>
  </si>
  <si>
    <t xml:space="preserve">COMPRA</t>
  </si>
  <si>
    <t xml:space="preserve">NÃO COMPRA</t>
  </si>
  <si>
    <t xml:space="preserve">% Compra</t>
  </si>
  <si>
    <t xml:space="preserve">Valor do pedido (R$)</t>
  </si>
  <si>
    <t xml:space="preserve">A</t>
  </si>
  <si>
    <t xml:space="preserve">B</t>
  </si>
  <si>
    <t xml:space="preserve">C</t>
  </si>
  <si>
    <t xml:space="preserve">TOTAL</t>
  </si>
  <si>
    <t xml:space="preserve">Código</t>
  </si>
  <si>
    <t xml:space="preserve">CÓDIGO NO PEDIDO (PROCV)</t>
  </si>
  <si>
    <t xml:space="preserve">COMPRA / NÃO COMPRA</t>
  </si>
  <si>
    <t xml:space="preserve">QTD PEDIDO</t>
  </si>
  <si>
    <t xml:space="preserve">VALOR PEDIDO</t>
  </si>
  <si>
    <t xml:space="preserve">Produto</t>
  </si>
  <si>
    <t xml:space="preserve">Familia</t>
  </si>
  <si>
    <t xml:space="preserve">Montadora</t>
  </si>
  <si>
    <t xml:space="preserve">Cross</t>
  </si>
  <si>
    <t xml:space="preserve">Total (histórico)</t>
  </si>
  <si>
    <t xml:space="preserve">% Acumulado</t>
  </si>
  <si>
    <t xml:space="preserve">AK (RELATÓRIO)</t>
  </si>
  <si>
    <t xml:space="preserve">CONFERE c/ TOTAL</t>
  </si>
  <si>
    <t xml:space="preserve">APLICAÇÃO (LISTA)</t>
  </si>
  <si>
    <t xml:space="preserve">PRODUTO (LISTA)</t>
  </si>
  <si>
    <t xml:space="preserve">SSC3020</t>
  </si>
  <si>
    <t xml:space="preserve">CILINDRO AUXILIAR DE EMBREAGEM HYUNDAI</t>
  </si>
  <si>
    <t xml:space="preserve">CILINDRO AUXILIAR DE EMBREAGEM</t>
  </si>
  <si>
    <t xml:space="preserve">HYUNDAI</t>
  </si>
  <si>
    <t xml:space="preserve">SCC2064</t>
  </si>
  <si>
    <t xml:space="preserve">CILINDRO MESTRE DE EMBREAGEM HYUNDAI</t>
  </si>
  <si>
    <t xml:space="preserve">CILINDRO MESTRE DE EMBREAGEM</t>
  </si>
  <si>
    <t xml:space="preserve">SBC1000</t>
  </si>
  <si>
    <t xml:space="preserve">CILINDRO MESTRE DE FREIO VW</t>
  </si>
  <si>
    <t xml:space="preserve">CILINDRO MESTRE DE FREIO</t>
  </si>
  <si>
    <t xml:space="preserve">VOLKSWAGEN</t>
  </si>
  <si>
    <t xml:space="preserve">5109 (ATE) | C2003 (CONTROIL) | RCCM23314 (TRW)</t>
  </si>
  <si>
    <t xml:space="preserve">SBC1090A</t>
  </si>
  <si>
    <t xml:space="preserve">CILINDRO MESTRE FREIO VW</t>
  </si>
  <si>
    <t xml:space="preserve">SBC1001</t>
  </si>
  <si>
    <t xml:space="preserve">CILINDRO MESTRE DE FREIO RENAULT</t>
  </si>
  <si>
    <t xml:space="preserve">RENAULT</t>
  </si>
  <si>
    <t xml:space="preserve">0986AB8673 (BOSCH) | 7701205740 (OEM) | 7701205815 (OEM) | C2096 (CONTROIL)</t>
  </si>
  <si>
    <t xml:space="preserve">SBC1137</t>
  </si>
  <si>
    <t xml:space="preserve">CILIDNRO MESTRE DE FREIO FIAT</t>
  </si>
  <si>
    <t xml:space="preserve">FIAT</t>
  </si>
  <si>
    <t xml:space="preserve">0204798525 (BOSCH)</t>
  </si>
  <si>
    <t xml:space="preserve">SCC2017</t>
  </si>
  <si>
    <t xml:space="preserve">CILINDRO MESTRE DE EMBREAGEM HONDA</t>
  </si>
  <si>
    <t xml:space="preserve">HONDA</t>
  </si>
  <si>
    <t xml:space="preserve">SBC1068</t>
  </si>
  <si>
    <t xml:space="preserve">CILINDRO MESTRE DE FREIO FORD</t>
  </si>
  <si>
    <t xml:space="preserve">FORD</t>
  </si>
  <si>
    <t xml:space="preserve">2S652140CA (OEM) | 6168 (ATE) | C2155 (CONTROIL)</t>
  </si>
  <si>
    <t xml:space="preserve">SBC1123</t>
  </si>
  <si>
    <t xml:space="preserve">CILINDRO MESTRE DE FREIO GM</t>
  </si>
  <si>
    <t xml:space="preserve">GM</t>
  </si>
  <si>
    <t xml:space="preserve">6989 (ATE) | 94756709 (OEM) | C2220 (CONTROIL)</t>
  </si>
  <si>
    <t xml:space="preserve">SBC1087</t>
  </si>
  <si>
    <t xml:space="preserve">460118760R (OEM) | 6001551613 (OEM) | 6967 (ATE) | C-2178 (CONTROIL)</t>
  </si>
  <si>
    <t xml:space="preserve">SCC2060</t>
  </si>
  <si>
    <t xml:space="preserve">CILINDRO MESTRE DE EMBREAGEM RENAULT</t>
  </si>
  <si>
    <t xml:space="preserve">NISSAN / RENAULT</t>
  </si>
  <si>
    <t xml:space="preserve">SBC1014</t>
  </si>
  <si>
    <t xml:space="preserve">CILINDRO MESTRE DE FREIO FIAT</t>
  </si>
  <si>
    <t xml:space="preserve">5785 (ATE) | 7079433 (OEM) | C2075 (CONTROIL) | RCCD01530 (TRW)</t>
  </si>
  <si>
    <t xml:space="preserve">SBC1007</t>
  </si>
  <si>
    <t xml:space="preserve">0986AB8644 (BOSCH) | 5991 (ATE) | 93289332 (OEM) | C2082 (CONTROIL) | RCCD01620 (TRW)</t>
  </si>
  <si>
    <t xml:space="preserve">SBC1011</t>
  </si>
  <si>
    <t xml:space="preserve">CILINDRO MESTRE DE FREIO PEUGEOT</t>
  </si>
  <si>
    <t xml:space="preserve">PEUGEOT</t>
  </si>
  <si>
    <t xml:space="preserve">0986AB8648 (BOSCH) | 4601F8 (OEM) | 6071 (ATE) | C2130 (CONTROIL) | PMF494 (TRW)</t>
  </si>
  <si>
    <t xml:space="preserve">SBC1085</t>
  </si>
  <si>
    <t xml:space="preserve">7087530 (OEM) | 7402 (ATE) | C2225 (CONTROIL)</t>
  </si>
  <si>
    <t xml:space="preserve">SBC1135</t>
  </si>
  <si>
    <t xml:space="preserve">CILINDRO MESTRE DE FREIO CITROEN/PEUGEOT</t>
  </si>
  <si>
    <t xml:space="preserve">CITROEN / PEUGEOT</t>
  </si>
  <si>
    <t xml:space="preserve">1613317680 (OEM) | C2260 (CONTROIL)</t>
  </si>
  <si>
    <t xml:space="preserve">SBC1021</t>
  </si>
  <si>
    <t xml:space="preserve">5766 (ATE) | 7074619 (OEM) | C2033 (CONTROIL) | RCCD00890 (TRW)</t>
  </si>
  <si>
    <t xml:space="preserve">SBC1134</t>
  </si>
  <si>
    <t xml:space="preserve">0204798374 (BOSCH) | 460119216R (OEM) | C2263 (CONTROIL)</t>
  </si>
  <si>
    <t xml:space="preserve">SBC1090</t>
  </si>
  <si>
    <t xml:space="preserve">SBC1081</t>
  </si>
  <si>
    <t xml:space="preserve">0986AB8572 (BOSCH) | 5Z0611019N (OEM) | C2160 (CONTROIL)</t>
  </si>
  <si>
    <t xml:space="preserve">SWC5006</t>
  </si>
  <si>
    <t xml:space="preserve">CILINDRO DE RODA LE/LD RENAULT/VW</t>
  </si>
  <si>
    <t xml:space="preserve">CILINDRO DE RODA</t>
  </si>
  <si>
    <t xml:space="preserve">RENAULT / VOLKSWAGEN</t>
  </si>
  <si>
    <t xml:space="preserve">0986AB8653 (BOSCH) | 6001551410 (OEM) | C3537 (CONTROIL) | CCR92250 (FORTEC) | RCCR03580 (TRW)</t>
  </si>
  <si>
    <t xml:space="preserve">SWC5015</t>
  </si>
  <si>
    <t xml:space="preserve">CILINDRO DE RODA LE/LD GM</t>
  </si>
  <si>
    <t xml:space="preserve">0986AB8667 (BOSCH) | 7630 (ATE) | 93313891 (OEM) | C3521 (CONTROIL) | CCR92241 (FORTEC) | CR2202 (BOSCH)</t>
  </si>
  <si>
    <t xml:space="preserve">SVP6031</t>
  </si>
  <si>
    <t xml:space="preserve">BOMBA DE VÁCUO FIAT/JEEP</t>
  </si>
  <si>
    <t xml:space="preserve">BOMBA DE VÁCUO</t>
  </si>
  <si>
    <t xml:space="preserve">FIAT / JEEP</t>
  </si>
  <si>
    <t xml:space="preserve">SCC2029</t>
  </si>
  <si>
    <t xml:space="preserve">306107623R (RENAULT)</t>
  </si>
  <si>
    <t xml:space="preserve">SBC1097</t>
  </si>
  <si>
    <t xml:space="preserve">460114036R (OEM) | 6371 (ATE) | 6966 (ATE) | C2204 (CONTROIL)</t>
  </si>
  <si>
    <t xml:space="preserve">SBC1027</t>
  </si>
  <si>
    <t xml:space="preserve">C2061 (CONTROIL) | RCCD00910 (TRW)</t>
  </si>
  <si>
    <t xml:space="preserve">SWC5032</t>
  </si>
  <si>
    <t xml:space="preserve">CILINDRO DE RODA LE/LD FIAT</t>
  </si>
  <si>
    <t xml:space="preserve">0986AB8658 (BOSCH) | 5684 (ATE) | 71737949 (OEM) | 71737950 (OEM) | 7729634 (OEM) | 7757604 (OEM) | C3411 (CONTROIL) | CCR9230 (FORTEC) | CR1687 (BOSCH) | RCCR02120 (TRW)</t>
  </si>
  <si>
    <t xml:space="preserve">SCC2073</t>
  </si>
  <si>
    <t xml:space="preserve">SBC1005</t>
  </si>
  <si>
    <t xml:space="preserve">0986AB8602 (BOSCH) | 30561101513 (OEM) | 5849 (ATE) | C2000 (CONTROIL) | RCCD00680 (TRW)</t>
  </si>
  <si>
    <t xml:space="preserve">SBC1042</t>
  </si>
  <si>
    <t xml:space="preserve">SWC5011</t>
  </si>
  <si>
    <t xml:space="preserve">0986AB8656 (BOSCH) | 95018639 (OEM) | 95231320 (OEM) | BWD6000 (TRW) | C3426 (CONTROIL) | CCR92267 (FORTEC)</t>
  </si>
  <si>
    <t xml:space="preserve">SSC3024</t>
  </si>
  <si>
    <t xml:space="preserve">CILINDRO AUXILIAR DE EMBREAGEM JAC</t>
  </si>
  <si>
    <t xml:space="preserve">JAC MOTORS</t>
  </si>
  <si>
    <t xml:space="preserve">SCC2083</t>
  </si>
  <si>
    <t xml:space="preserve">CILINDRO MESTRE DE EMBREAGEM GM</t>
  </si>
  <si>
    <t xml:space="preserve">SWC5013</t>
  </si>
  <si>
    <t xml:space="preserve">6987 (ATE) | 7088827 (OEM) | C3429 (CONTROIL) | CCR92283 (FORTEC)</t>
  </si>
  <si>
    <t xml:space="preserve">SBC1099</t>
  </si>
  <si>
    <t xml:space="preserve">0986AB8570 (BOSCH) | 6476 (ATE) | 94735981 (OEM) | C-2174 (CONTROIL) | PMF6000 (TRW)</t>
  </si>
  <si>
    <t xml:space="preserve">SCC2058</t>
  </si>
  <si>
    <t xml:space="preserve">6001548446 (RENAULT) | 8200424004 (RENAULT) | 8200424007 (RENAULT)</t>
  </si>
  <si>
    <t xml:space="preserve">SOC9000</t>
  </si>
  <si>
    <t xml:space="preserve">RESFRIADOR OLEO FIAT</t>
  </si>
  <si>
    <t xml:space="preserve">RESFRIADOR DE ÓLEO CÂMBIO</t>
  </si>
  <si>
    <t xml:space="preserve">BMW / FIAT / JEEP / MINI</t>
  </si>
  <si>
    <t xml:space="preserve">7089720 (OEM)</t>
  </si>
  <si>
    <t xml:space="preserve">SBS8000</t>
  </si>
  <si>
    <t xml:space="preserve">SAPATA DE FREIO FIAT</t>
  </si>
  <si>
    <t xml:space="preserve">SAPATA DE FREIO</t>
  </si>
  <si>
    <t xml:space="preserve">0504CPA (COBREQ) | 203001 (SYL) | BPSA0090138 (MAZZICAR) | FI97CP (FRAS-LE) | HQJ502 (JURID)</t>
  </si>
  <si>
    <t xml:space="preserve">SBC1117</t>
  </si>
  <si>
    <t xml:space="preserve">6953 (ATE) | 94766501 (OEM) | C2221 (CONTROIL)</t>
  </si>
  <si>
    <t xml:space="preserve">SCC2028</t>
  </si>
  <si>
    <t xml:space="preserve">CILINDRO MESTRE DE EMBREAGEM FIAT</t>
  </si>
  <si>
    <t xml:space="preserve">CITROEN / FIAT / PEUGEOT</t>
  </si>
  <si>
    <t xml:space="preserve">SWC5034</t>
  </si>
  <si>
    <t xml:space="preserve">CILINDRO DE RODA LE/LD VW</t>
  </si>
  <si>
    <t xml:space="preserve">0986AB8498 (BOSCH) | 5U0611053A (OEM) | 5U0611053C (OEM) | 7600 (ATE) | C3527 (CONTROIL) | CCR92261 (FORTEC) | RCCR03510 (TRW)</t>
  </si>
  <si>
    <t xml:space="preserve">SBC1083</t>
  </si>
  <si>
    <t xml:space="preserve">CILINDRO MESTRE DE FREIO HYUNDA</t>
  </si>
  <si>
    <t xml:space="preserve">585101S300 (OEM) | 7661 (ATE) | C2244 (CONTROIL)</t>
  </si>
  <si>
    <t xml:space="preserve">SSC3034</t>
  </si>
  <si>
    <t xml:space="preserve">CILINDRO AUXILIAR DE EMBREAGEM VW</t>
  </si>
  <si>
    <t xml:space="preserve">SVP6029</t>
  </si>
  <si>
    <t xml:space="preserve">BOMBA DE VÁCUO GM</t>
  </si>
  <si>
    <t xml:space="preserve">SCC2066</t>
  </si>
  <si>
    <t xml:space="preserve">CILINDRO MESTRE DE EMBREAGEM JAC</t>
  </si>
  <si>
    <t xml:space="preserve">SCC2065</t>
  </si>
  <si>
    <t xml:space="preserve">46920SNAA02 (OEM) | C2679 (CONTROIL)</t>
  </si>
  <si>
    <t xml:space="preserve">SBS8019</t>
  </si>
  <si>
    <t xml:space="preserve">203020 (SYL) | 2717CPA (COBREQ) | BPSA0090146 (MAZZICAR) | FI219CPA (FRAS-LE)</t>
  </si>
  <si>
    <t xml:space="preserve">SVP6028</t>
  </si>
  <si>
    <t xml:space="preserve">SCS4031</t>
  </si>
  <si>
    <t xml:space="preserve">ATUADOR DE EMBREAGEM NISSAN/RENAULT</t>
  </si>
  <si>
    <t xml:space="preserve">ATUADOR DE EMBREAGEM</t>
  </si>
  <si>
    <t xml:space="preserve">1100930 (VALEO) | 510009710 (LUK) | ZA300741 (FTE)</t>
  </si>
  <si>
    <t xml:space="preserve">SWC5003R</t>
  </si>
  <si>
    <t xml:space="preserve">CILINDRO DE RODA LD PEUGEOT</t>
  </si>
  <si>
    <t xml:space="preserve">0986AB8039 (BOSCH) | 440298 (OEM) | 7602 (ATE) | 95668068 (OEM) | C3512 (CONTROIL) | CCR92236 (FORTEC) | CR2728 (BOSCH) | RCCR02960 (TRW)</t>
  </si>
  <si>
    <t xml:space="preserve">SBC1122B</t>
  </si>
  <si>
    <t xml:space="preserve">SBS8001</t>
  </si>
  <si>
    <t xml:space="preserve">SAPATA DE FREIO FORD/GM</t>
  </si>
  <si>
    <t xml:space="preserve">FORD / GM</t>
  </si>
  <si>
    <t xml:space="preserve">201705 (SYL) | 2615CPA (COBREQ) | BPSA0097175 (MAZZICAR) | FD61CPA (FRAS-LE) | HQJ508A (JURID) | RRSA00710 (TRW)</t>
  </si>
  <si>
    <t xml:space="preserve">SBS8018</t>
  </si>
  <si>
    <t xml:space="preserve">SAPATA DE FREIO GM</t>
  </si>
  <si>
    <t xml:space="preserve">201711 (SYL) | 2715CPA (COBREQ) | BPSA0094680 (MAZZICAR) | CB416CPA (FRAS-LE)</t>
  </si>
  <si>
    <t xml:space="preserve">SBC1077</t>
  </si>
  <si>
    <t xml:space="preserve">CILINDRO MESTE FREIO HYUNDAI</t>
  </si>
  <si>
    <t xml:space="preserve">HYUNDAI / KIA</t>
  </si>
  <si>
    <t xml:space="preserve">SSC3006</t>
  </si>
  <si>
    <t xml:space="preserve">C2732 (CONTROIL) | KN2005471 (FTE) | RCCE01630 (TRW)</t>
  </si>
  <si>
    <t xml:space="preserve">SBC1142</t>
  </si>
  <si>
    <t xml:space="preserve">CILINDRO MESTRE DE FREIO TOYOTA</t>
  </si>
  <si>
    <t xml:space="preserve">TOYOTA</t>
  </si>
  <si>
    <t xml:space="preserve">0204054841 (BOSCH) | CM4841CR (BOSCH)</t>
  </si>
  <si>
    <t xml:space="preserve">SSC3021</t>
  </si>
  <si>
    <t xml:space="preserve">CILINDRO AUXILIAR DE EMBREAGEM HONDA</t>
  </si>
  <si>
    <t xml:space="preserve">46930SNAA41 (OEM) | C2699 (CONTROIL) | D161023 (FTE)</t>
  </si>
  <si>
    <t xml:space="preserve">SWC5000</t>
  </si>
  <si>
    <t xml:space="preserve">CILINDRO DE RODA LE/LD FORD/VW</t>
  </si>
  <si>
    <t xml:space="preserve">FORD / VOLKSWAGEN</t>
  </si>
  <si>
    <t xml:space="preserve">0986AB8659 (BOSCH) | 3096110531 (OEM) | 5346 (ATE) | 5841 (ATE) | 6N0611053 (OEM) | 6QE611053 (OEM) | C3356 (CONTROIL) | CCR9213 (FORTEC) | CR9167 (BOSCH) | RCCR02930 (TRW)</t>
  </si>
  <si>
    <t xml:space="preserve">SBS8007</t>
  </si>
  <si>
    <t xml:space="preserve">201703 (SYL) | 2649CPA (COBREQ) | BPSA0094660 (MAZZICAR) | CB49CPA (FRAS-LE) | HQJ509A (JURID) | RRSA00694 (TRW)</t>
  </si>
  <si>
    <t xml:space="preserve">SWC5012</t>
  </si>
  <si>
    <t xml:space="preserve">6996 (ATE) | 7088679 (OEM) | C3427 (CONTROIL)</t>
  </si>
  <si>
    <t xml:space="preserve">SBC1152</t>
  </si>
  <si>
    <t xml:space="preserve">CILINDRO MESTRE DE FREIO HONDA</t>
  </si>
  <si>
    <t xml:space="preserve">SCC2038</t>
  </si>
  <si>
    <t xml:space="preserve">CILINDRO MESTRE DE EMBREAGEM FORD</t>
  </si>
  <si>
    <t xml:space="preserve">C2684 (CONTROIL) | KG19009501 (FTE) | RCCE01080 (TRW) | VKCH4745 (SKF)</t>
  </si>
  <si>
    <t xml:space="preserve">SWP232H</t>
  </si>
  <si>
    <t xml:space="preserve">BOMBA ÁGUA MINI</t>
  </si>
  <si>
    <t xml:space="preserve">BOMBA D'ÁGUA</t>
  </si>
  <si>
    <t xml:space="preserve">FIAT / JEEP / MINI</t>
  </si>
  <si>
    <t xml:space="preserve">114504 (INDISA)</t>
  </si>
  <si>
    <t xml:space="preserve">SBS8034</t>
  </si>
  <si>
    <t xml:space="preserve">203012 (SYL) | 2782CPA (COBREQ) | BPSA0090137 (MAZZICAR) | FI330CPA (FRAS-LE)</t>
  </si>
  <si>
    <t xml:space="preserve">SSC3029</t>
  </si>
  <si>
    <t xml:space="preserve">41700-4F000 (HYUNDAI)</t>
  </si>
  <si>
    <t xml:space="preserve">SBC1094</t>
  </si>
  <si>
    <t xml:space="preserve">6360 (ATE) | 7N152140AA (OEM)</t>
  </si>
  <si>
    <t xml:space="preserve">SWP283</t>
  </si>
  <si>
    <t xml:space="preserve">BOMBA ÁGUA RENAULT</t>
  </si>
  <si>
    <t xml:space="preserve">NKBA09826 (NAKATA)</t>
  </si>
  <si>
    <t xml:space="preserve">SBC1144</t>
  </si>
  <si>
    <t xml:space="preserve">6490 (ATE) | 94741181 (OEM) | C2207 (CONTROIL) | PMF6011 (TRW)</t>
  </si>
  <si>
    <t xml:space="preserve">SBC1161</t>
  </si>
  <si>
    <t xml:space="preserve">0986AB8672 (BOSCH) | 93249824 (OEM) | C2214 (CONTROIL) | CM2593 (BOSCH)</t>
  </si>
  <si>
    <t xml:space="preserve">SBC1190</t>
  </si>
  <si>
    <t xml:space="preserve">CILINDRO MESTRE DE FREIO NISSAN</t>
  </si>
  <si>
    <t xml:space="preserve">NISSAN</t>
  </si>
  <si>
    <t xml:space="preserve">SBC1069</t>
  </si>
  <si>
    <t xml:space="preserve">0986AB8569 (BOSCH) | 5Z0611019P (OEM) | 5Z1614105G (OEM) | 5Z1614105P (OEM) | 5Z2614105J (OEM)</t>
  </si>
  <si>
    <t xml:space="preserve">SSC3004</t>
  </si>
  <si>
    <t xml:space="preserve">CILINDRO AUXILIAR DE EMBREAGEM GM</t>
  </si>
  <si>
    <t xml:space="preserve">C2625 (CONTROIL) | D151017 (FTE) | RCCE01230 (TRW) | VKCH151017 (SKF)</t>
  </si>
  <si>
    <t xml:space="preserve">SWC5019</t>
  </si>
  <si>
    <t xml:space="preserve">CILINDRO DE RODA LE/LD RENAULT</t>
  </si>
  <si>
    <t xml:space="preserve">0986AB8579 (BOSCH) | 6001549707 (OEM) | 7687 (ATE) | C3431 (CONTROIL) | CCR92268 (FORTEC)</t>
  </si>
  <si>
    <t xml:space="preserve">SBC1023</t>
  </si>
  <si>
    <t xml:space="preserve">CILINDRO MESTRE DE FREIO AUDI/VW</t>
  </si>
  <si>
    <t xml:space="preserve">AUDI / VOLKSWAGEN</t>
  </si>
  <si>
    <t xml:space="preserve">0986AB8595 (BOSCH) | 1J1614019 (OEM) | 6350 (ATE) | C2095 (CONTROIL) | PMK491 (TRW)</t>
  </si>
  <si>
    <t xml:space="preserve">SCS4003</t>
  </si>
  <si>
    <t xml:space="preserve">ATUADOR DE EMBREAGEM RENAULT</t>
  </si>
  <si>
    <t xml:space="preserve">SWC5003L</t>
  </si>
  <si>
    <t xml:space="preserve">CILINDRO DE RODA LE PEUGEOT</t>
  </si>
  <si>
    <t xml:space="preserve">0986AB8040 (BOSCH) | 440297 (OEM) | 7612 (ATE) | 95668067 (OEM) | C3511 (CONTROIL) | CCR92237 (FORTEC) | CR2727 (BOSCH) | RCCR02950 (TRW)</t>
  </si>
  <si>
    <t xml:space="preserve">SOC9014</t>
  </si>
  <si>
    <t xml:space="preserve">RESFRIADOR OLEO NISSAN</t>
  </si>
  <si>
    <t xml:space="preserve">RESFRIADOR DE ÓLEO MOTOR</t>
  </si>
  <si>
    <t xml:space="preserve">213053566R (OEM)</t>
  </si>
  <si>
    <t xml:space="preserve">SBC1036</t>
  </si>
  <si>
    <t xml:space="preserve">0986AB8646 (BOSCH) | 5825 (ATE) | 93235560 (OEM) | C2041 (CONTROIL) | RCCD01610 (TRW)</t>
  </si>
  <si>
    <t xml:space="preserve">SCS4034</t>
  </si>
  <si>
    <t xml:space="preserve">ATUADOR DE EMBREAGEM GM</t>
  </si>
  <si>
    <t xml:space="preserve">SCC2062</t>
  </si>
  <si>
    <t xml:space="preserve">41600-4F000 (HYUNDAI) | C2730 (CONTROIL)</t>
  </si>
  <si>
    <t xml:space="preserve">SBC1095</t>
  </si>
  <si>
    <t xml:space="preserve">0204051923 (BOSCH) | CM1923 (BOSCH)</t>
  </si>
  <si>
    <t xml:space="preserve">SSC3009</t>
  </si>
  <si>
    <t xml:space="preserve">C2656 (CONTROIL) | KN1903042 (FTE) | RCCE01310 (TRW) | VKCH19030 (SKF)</t>
  </si>
  <si>
    <t xml:space="preserve">SBC1041</t>
  </si>
  <si>
    <t xml:space="preserve">FORD / TROLLER / VOLKSWAGEN</t>
  </si>
  <si>
    <t xml:space="preserve">C2060 (CONTROIL) | RCCD00140 (TRW)</t>
  </si>
  <si>
    <t xml:space="preserve">SSC3019</t>
  </si>
  <si>
    <t xml:space="preserve">CILINDRO AUXILIAR DE EMBREAGEM FIAT</t>
  </si>
  <si>
    <t xml:space="preserve">KN2007371 (FTE)</t>
  </si>
  <si>
    <t xml:space="preserve">SBC1141</t>
  </si>
  <si>
    <t xml:space="preserve">CILINDRO MESTRE DE FREIO MITSUBISHI</t>
  </si>
  <si>
    <t xml:space="preserve">MITSUBISHI</t>
  </si>
  <si>
    <t xml:space="preserve">SBC1002</t>
  </si>
  <si>
    <t xml:space="preserve">FIAT / VOLKSWAGEN</t>
  </si>
  <si>
    <t xml:space="preserve">6342 (ATE) | C2067 (CONTROIL)</t>
  </si>
  <si>
    <t xml:space="preserve">SBC1017</t>
  </si>
  <si>
    <t xml:space="preserve">SCC2027</t>
  </si>
  <si>
    <t xml:space="preserve">SBC1046</t>
  </si>
  <si>
    <t xml:space="preserve">0986AB8616 (BOSCH) | 377611015A (OEM) | 6041 (ATE) | C2058 (CONTROIL) | RCCD00180 (TRW)</t>
  </si>
  <si>
    <t xml:space="preserve">SWC5002</t>
  </si>
  <si>
    <t xml:space="preserve">CILINDRO DE RODA LE/LD FORD</t>
  </si>
  <si>
    <t xml:space="preserve">0986AB8497 (BOSCH) | 7684 (ATE) | 8V5Z2261A (OEM) | C3430 (CONTROIL) | E3B12261AA (OEM)</t>
  </si>
  <si>
    <t xml:space="preserve">SBC1032</t>
  </si>
  <si>
    <t xml:space="preserve">6220 (ATE) | 93385740 (OEM) | C2092 (CONTROIL) | RCCD00970 (TRW)</t>
  </si>
  <si>
    <t xml:space="preserve">SSC3001</t>
  </si>
  <si>
    <t xml:space="preserve">C2651 (CONTROIL) | KN1901749 (FTE) | RCCE01280 (TRW) | VKCH4748 (SKF)</t>
  </si>
  <si>
    <t xml:space="preserve">SWC5020</t>
  </si>
  <si>
    <t xml:space="preserve">C3567 (CONTROIL) | CCR92300 (FORTEC)</t>
  </si>
  <si>
    <t xml:space="preserve">SCC2061</t>
  </si>
  <si>
    <t xml:space="preserve">CILINDRO MESTRE DE EMBREAGEM NISSAN</t>
  </si>
  <si>
    <t xml:space="preserve">30610EA000 (OEM) | C2725 (CONTROIL)</t>
  </si>
  <si>
    <t xml:space="preserve">SBC1126A</t>
  </si>
  <si>
    <t xml:space="preserve">SBS8002</t>
  </si>
  <si>
    <t xml:space="preserve">SAPATA DE FREIO FORD</t>
  </si>
  <si>
    <t xml:space="preserve">203102 (SYL) | 2621CPA (COBREQ) | BPSA0090151 (MAZZICAR) | FD98CP (FRAS-LE) | HQJ501A (JURID)</t>
  </si>
  <si>
    <t xml:space="preserve">SWC5007</t>
  </si>
  <si>
    <t xml:space="preserve">CILINDRO DE RODA LE/LD CITROEN</t>
  </si>
  <si>
    <t xml:space="preserve">CITROEN</t>
  </si>
  <si>
    <t xml:space="preserve">0986AB8655 (BOSCH) | 4402F9 (OEM) | 7718 (ATE) | C3538 (CONTROIL) | CCR92279 (FORTEC)</t>
  </si>
  <si>
    <t xml:space="preserve">SCC2044</t>
  </si>
  <si>
    <t xml:space="preserve">C2674 (CONTROIL) | D111001 (FTE)</t>
  </si>
  <si>
    <t xml:space="preserve">SWC5018</t>
  </si>
  <si>
    <t xml:space="preserve">FORD / TROLLER</t>
  </si>
  <si>
    <t xml:space="preserve">0986AB8584 (BOSCH) | 6M342261AB (OEM) | 7685 (ATE) | BWK6001 (TRW) | C3555 (CONTROIL) | CCR92275 (FORTEC)</t>
  </si>
  <si>
    <t xml:space="preserve">SSC3002</t>
  </si>
  <si>
    <t xml:space="preserve">CILINDRO AUXILIAR DE EMBREAGEM CITROEN</t>
  </si>
  <si>
    <t xml:space="preserve">C2682 (CONTROIL) | KN19021A1 (FTE) | RCCE01300 (TRW) | VKCH4892 (SKF)</t>
  </si>
  <si>
    <t xml:space="preserve">SBC1044</t>
  </si>
  <si>
    <t xml:space="preserve">C2183 (CONTROIL) | PMD731 (TRW)</t>
  </si>
  <si>
    <t xml:space="preserve">SBC1031</t>
  </si>
  <si>
    <t xml:space="preserve">CILINDRO MESTRE DE FREIO CHERY</t>
  </si>
  <si>
    <t xml:space="preserve">CHERY</t>
  </si>
  <si>
    <t xml:space="preserve">SCC2086</t>
  </si>
  <si>
    <t xml:space="preserve">CILINDRO MESTRE DE EMBREAGEM MITSUBISHI</t>
  </si>
  <si>
    <t xml:space="preserve">SBC1048</t>
  </si>
  <si>
    <t xml:space="preserve">6345 (ATE) | 96FB2140DE (OEM) | C2091 (CONTROIL) | RCCD00920 (TRW)</t>
  </si>
  <si>
    <t xml:space="preserve">SBC1075</t>
  </si>
  <si>
    <t xml:space="preserve">CILINDRO MESTRE DE FREIO AUDI</t>
  </si>
  <si>
    <t xml:space="preserve">SBC1131</t>
  </si>
  <si>
    <t xml:space="preserve">CILNDRO MESTRE DE FREIO NISSAN</t>
  </si>
  <si>
    <t xml:space="preserve">SBC1122A</t>
  </si>
  <si>
    <t xml:space="preserve">SCC2090</t>
  </si>
  <si>
    <t xml:space="preserve">SWP027</t>
  </si>
  <si>
    <t xml:space="preserve">BOMBA ÁGUA FIAT/JEEP</t>
  </si>
  <si>
    <t xml:space="preserve">SCS4017</t>
  </si>
  <si>
    <t xml:space="preserve">ATUADOR DE EMBREAGEM MITSUBISHI</t>
  </si>
  <si>
    <t xml:space="preserve">DODGE / FIAT / MITSUBISHI</t>
  </si>
  <si>
    <t xml:space="preserve">SBC1034</t>
  </si>
  <si>
    <t xml:space="preserve">C2097 (CONTROIL) | RCCD00960 (TRW)</t>
  </si>
  <si>
    <t xml:space="preserve">SBS8030</t>
  </si>
  <si>
    <t xml:space="preserve">SAPATA DE FREIO RENAULT</t>
  </si>
  <si>
    <t xml:space="preserve">207609 (SYL) | 2763CPA (COBREQ) | BPSA0097480 (MAZZICAR) | RN325CPA (FRAS-LE)</t>
  </si>
  <si>
    <t xml:space="preserve">SBC1080</t>
  </si>
  <si>
    <t xml:space="preserve">SCC2025A</t>
  </si>
  <si>
    <t xml:space="preserve">SBC1160</t>
  </si>
  <si>
    <t xml:space="preserve">0986AB8601 (BOSCH) | 2116110152 (OEM) | 6091 (ATE) | C2018 (CONTROIL) | CM9220 (BOSCH) | RCCD00500 (TRW)</t>
  </si>
  <si>
    <t xml:space="preserve">SBC1128</t>
  </si>
  <si>
    <t xml:space="preserve">7420 (ATE) | C2262 (CONTROIL) | E3B12004AA (OEM)</t>
  </si>
  <si>
    <t xml:space="preserve">SCC2079</t>
  </si>
  <si>
    <t xml:space="preserve">D701095 (FTE)</t>
  </si>
  <si>
    <t xml:space="preserve">SVP6011</t>
  </si>
  <si>
    <t xml:space="preserve">BOMBA DE VÁCUO FORD</t>
  </si>
  <si>
    <t xml:space="preserve">BOMBA DE VÁCUO ALTERNADOR</t>
  </si>
  <si>
    <t xml:space="preserve">FORD / GM / LAND ROVER / MERCEDES-BENZ</t>
  </si>
  <si>
    <t xml:space="preserve">SWC5004</t>
  </si>
  <si>
    <t xml:space="preserve">CILINDRO DE RODA LE/LD CHERY</t>
  </si>
  <si>
    <t xml:space="preserve">C3556 (CONTROIL)</t>
  </si>
  <si>
    <t xml:space="preserve">SSC3030</t>
  </si>
  <si>
    <t xml:space="preserve">CILINDRO AUXILIAR DE EMBREAGEM TOYOTA</t>
  </si>
  <si>
    <t xml:space="preserve">SCC2007</t>
  </si>
  <si>
    <t xml:space="preserve">KG1508547 (FTE) | VKCH1508547 (SKF)</t>
  </si>
  <si>
    <t xml:space="preserve">SWC5016</t>
  </si>
  <si>
    <t xml:space="preserve">CILINDRO DE RODA LE/LD NISSAN</t>
  </si>
  <si>
    <t xml:space="preserve">44100ET000 (OEM) | 7635 (ATE) | C3423 (CONTROIL) | CCR92282 (FORTEC)</t>
  </si>
  <si>
    <t xml:space="preserve">SBS8027</t>
  </si>
  <si>
    <t xml:space="preserve">203112 (SYL) | 2751CPA (COBREQ) | BPSA0097180 (MAZZICAR) | FD152CPA (FRAS-LE)</t>
  </si>
  <si>
    <t xml:space="preserve">SBS8014</t>
  </si>
  <si>
    <t xml:space="preserve">SAPATA DE FREIO FORD VW</t>
  </si>
  <si>
    <t xml:space="preserve">208000 (SYL) | 2677CPA (COBREQ) | BPSA0096830 (MAZZICAR) | VW276CPA (FRAS-LE)</t>
  </si>
  <si>
    <t xml:space="preserve">SOC9003</t>
  </si>
  <si>
    <t xml:space="preserve">RESFRIADOR OLEO VW</t>
  </si>
  <si>
    <t xml:space="preserve">03L115389C (OEM) | 03L117021B (OEM) | 03P115389 (OEM)</t>
  </si>
  <si>
    <t xml:space="preserve">SBS8031</t>
  </si>
  <si>
    <t xml:space="preserve">207613 (SYL) | 2766CPA (COBREQ) | BPSA0090105 (MAZZICAR) | RN329CPA (FRAS-LE)</t>
  </si>
  <si>
    <t xml:space="preserve">SWP297</t>
  </si>
  <si>
    <t xml:space="preserve">BOMBA ÁGUA GM</t>
  </si>
  <si>
    <t xml:space="preserve">254561 (INDISA)</t>
  </si>
  <si>
    <t xml:space="preserve">SBC1115</t>
  </si>
  <si>
    <t xml:space="preserve">SWC5022</t>
  </si>
  <si>
    <t xml:space="preserve">CILINDRO DE RODA LE/LD TOYOTA</t>
  </si>
  <si>
    <t xml:space="preserve">4755009070 (OEM) | 4755009090 (OEM) | 7362 (ATE) | BWH906 (TRW) | C3531 (CONTROIL) | CCR92249 (FORTEC) | F026A06012 (BOSCH)</t>
  </si>
  <si>
    <t xml:space="preserve">SBS8026</t>
  </si>
  <si>
    <t xml:space="preserve">SAPATA DE FREIO HYUNDAI</t>
  </si>
  <si>
    <t xml:space="preserve">204003 (SYL) | 2741CPA (COBREQ) | BPSA0096065 (MAZZICAR) | HY418CPA (FRAS-LE)</t>
  </si>
  <si>
    <t xml:space="preserve">SCC2087</t>
  </si>
  <si>
    <t xml:space="preserve">5110329100 (LUK)</t>
  </si>
  <si>
    <t xml:space="preserve">SCC2052</t>
  </si>
  <si>
    <t xml:space="preserve">8200673232 (OEM) | C2718 (CONTROIL) | KG15007971 (FTE)</t>
  </si>
  <si>
    <t xml:space="preserve">SCC2010</t>
  </si>
  <si>
    <t xml:space="preserve">CILINDRO MESTRE DE EMBREAGEM TOYOTA</t>
  </si>
  <si>
    <t xml:space="preserve">C2673 (CONTROIL) | KG15007471 (FTE)</t>
  </si>
  <si>
    <t xml:space="preserve">SBC1151</t>
  </si>
  <si>
    <t xml:space="preserve">CILINDRO MESTRE DR FREIO GM</t>
  </si>
  <si>
    <t xml:space="preserve">RCCD28227 (TRW)</t>
  </si>
  <si>
    <t xml:space="preserve">SWC5021</t>
  </si>
  <si>
    <t xml:space="preserve">CILINDRO DE RODA LE/LD MITSUBISHI</t>
  </si>
  <si>
    <t xml:space="preserve">0986AB8135 (BOSCH) | 4610A009 (OEM) | BWH818 (TRW) | C3455 (CONTROIL) | CCR92262 (FORTEC)</t>
  </si>
  <si>
    <t xml:space="preserve">SBC1147</t>
  </si>
  <si>
    <t xml:space="preserve">CILINDRO MESTRE DE FREIO M BENZ</t>
  </si>
  <si>
    <t xml:space="preserve">MERCEDES-BENZ</t>
  </si>
  <si>
    <t xml:space="preserve">SWC5017</t>
  </si>
  <si>
    <t xml:space="preserve">0986AB8643 (BOSCH) | 6446 (ATE) | 7701044681 (OEM) | C3490 (CONTROIL) | CCR92118 (FORTEC) | CR3013 (BOSCH) | RCCR02910 (TRW)</t>
  </si>
  <si>
    <t xml:space="preserve">SWP240A</t>
  </si>
  <si>
    <t xml:space="preserve">BOMBA ÁGUA FORD</t>
  </si>
  <si>
    <t xml:space="preserve">SCC2082</t>
  </si>
  <si>
    <t xml:space="preserve">CILINDRO MESTRE DE EMBREAGEM VW</t>
  </si>
  <si>
    <t xml:space="preserve">SBC1116</t>
  </si>
  <si>
    <t xml:space="preserve">SBC1076</t>
  </si>
  <si>
    <t xml:space="preserve">5723 (ATE) | 7078627 (OEM) | C2046 (CONTROIL) | RCCD0100 (TRW)</t>
  </si>
  <si>
    <t xml:space="preserve">SCC2033</t>
  </si>
  <si>
    <t xml:space="preserve">SBC1121</t>
  </si>
  <si>
    <t xml:space="preserve">460110032R (OEM) | C2242 (CONTROIL)</t>
  </si>
  <si>
    <t xml:space="preserve">SSC3022</t>
  </si>
  <si>
    <t xml:space="preserve">CILINDRO AUXILIAR DE EMBREAGEM NISSAN</t>
  </si>
  <si>
    <t xml:space="preserve">30620U7000 (NISSAN) | PJD165 (TRW)</t>
  </si>
  <si>
    <t xml:space="preserve">SBC1113</t>
  </si>
  <si>
    <t xml:space="preserve">CILLINDRO MESTRE DE FREIO VW</t>
  </si>
  <si>
    <t xml:space="preserve">6459 (ATE) | C2173 (CONTROIL) | RCCD01800 (TRW)</t>
  </si>
  <si>
    <t xml:space="preserve">SCS4020</t>
  </si>
  <si>
    <t xml:space="preserve">ATUADOR DE EMBREAGEM M BENZ</t>
  </si>
  <si>
    <t xml:space="preserve">SSC3041</t>
  </si>
  <si>
    <t xml:space="preserve">CILINDRO AUXILIAR DE EMBREAGEM SUZUKI</t>
  </si>
  <si>
    <t xml:space="preserve">GM / SUZUKI</t>
  </si>
  <si>
    <t xml:space="preserve">SWC5053</t>
  </si>
  <si>
    <t xml:space="preserve">0986AB8577 (BOSCH) | 475500D070 (OEM) | C3544 (CONTROIL) | CCR92284 (FORTEC) | RCCR03610 (TRW)</t>
  </si>
  <si>
    <t xml:space="preserve">SBC1022</t>
  </si>
  <si>
    <t xml:space="preserve">C-2161 (CONTROIL)</t>
  </si>
  <si>
    <t xml:space="preserve">SBC1114</t>
  </si>
  <si>
    <t xml:space="preserve">CILINDRO MESTRE DE FREIO IVECO</t>
  </si>
  <si>
    <t xml:space="preserve">IVECO</t>
  </si>
  <si>
    <t xml:space="preserve">42556837 (OEM) | C2261 (CONTROIL)</t>
  </si>
  <si>
    <t xml:space="preserve">SPF5002K</t>
  </si>
  <si>
    <t xml:space="preserve">KIT CILINDRO EMBREAGEM FORD</t>
  </si>
  <si>
    <t xml:space="preserve">KIT CILINDRO DE EMBREAGEM</t>
  </si>
  <si>
    <t xml:space="preserve">D701048 (FTE)</t>
  </si>
  <si>
    <t xml:space="preserve">SBC1136</t>
  </si>
  <si>
    <t xml:space="preserve">4601V0 (OEM) | 4601Y3 (OEM) | 7678 (ATE) | C2194 (CONTROIL) | PMK902 (TRW)</t>
  </si>
  <si>
    <t xml:space="preserve">SWC5023</t>
  </si>
  <si>
    <t xml:space="preserve">CILINDRO DE RODA LE/LD</t>
  </si>
  <si>
    <t xml:space="preserve">7636 (ATE) | 95018640 (OEM) | BWF6000 (TRW) | C3432 (CONTROIL) | CCR92285 (FORTEC)</t>
  </si>
  <si>
    <t xml:space="preserve">SVP6023</t>
  </si>
  <si>
    <t xml:space="preserve">SCC2016</t>
  </si>
  <si>
    <t xml:space="preserve">CILINDRO MESTRE DE EMBREAGEM SUZUKI</t>
  </si>
  <si>
    <t xml:space="preserve">SBC1080B</t>
  </si>
  <si>
    <t xml:space="preserve">SBC1139</t>
  </si>
  <si>
    <t xml:space="preserve">0204807231 (BOSCH)</t>
  </si>
  <si>
    <t xml:space="preserve">SBC1122M</t>
  </si>
  <si>
    <t xml:space="preserve">SBC1129</t>
  </si>
  <si>
    <t xml:space="preserve">CILINDRO MESTRE DE FREIO JAC</t>
  </si>
  <si>
    <t xml:space="preserve">SBC1005R</t>
  </si>
  <si>
    <t xml:space="preserve">SBC1086</t>
  </si>
  <si>
    <t xml:space="preserve">6001551314 (OEM) | 7671 (ATE) | C2209 (CONTROIL)</t>
  </si>
  <si>
    <t xml:space="preserve">SWC5009</t>
  </si>
  <si>
    <t xml:space="preserve">CILINDRO DE RODA LE/LD FIAT/RENAULT</t>
  </si>
  <si>
    <t xml:space="preserve">CITROEN / FIAT / PEUGEOT / RENAULT</t>
  </si>
  <si>
    <t xml:space="preserve">0986AB8461 (BOSCH) | 6274 (ATE) | 7086715 (OEM) | 7701041021 (OEM) | C3478 (CONTROIL) | CCR92115 (FORTEC) | CR3016 (BOSCH) | RCCR02860 (TRW)</t>
  </si>
  <si>
    <t xml:space="preserve">SBC1126M</t>
  </si>
  <si>
    <t xml:space="preserve">SBS8033</t>
  </si>
  <si>
    <t xml:space="preserve">SAPATA DE FREIO VW</t>
  </si>
  <si>
    <t xml:space="preserve">209002 (SYL) | 2776CPA (COBREQ) | BPSA0096850 (MAZZICAR) | VW486CPA (FRAS-LE)</t>
  </si>
  <si>
    <t xml:space="preserve">SOC9001</t>
  </si>
  <si>
    <t xml:space="preserve">RESFRIADOR OLEO GM</t>
  </si>
  <si>
    <t xml:space="preserve">12992593 (OEM) | 55355603 (OEM) | 93186324 (OEM)</t>
  </si>
  <si>
    <t xml:space="preserve">SCC2002</t>
  </si>
  <si>
    <t xml:space="preserve">C2662 (CONTROIL) | KG1503901 (FTE) | RCCE00940 (TRW) | VKCH1503901 (SKF)</t>
  </si>
  <si>
    <t xml:space="preserve">SBS8043</t>
  </si>
  <si>
    <t xml:space="preserve">SAPATA DE FREIO CITROEN</t>
  </si>
  <si>
    <t xml:space="preserve">BPSA0090240 (MAZZICAR) | CI430CPA (FRAS-LE)</t>
  </si>
  <si>
    <t xml:space="preserve">SCS4019</t>
  </si>
  <si>
    <t xml:space="preserve">D151187 (FTE) | VKCH151187 (SKF)</t>
  </si>
  <si>
    <t xml:space="preserve">SOC9011</t>
  </si>
  <si>
    <t xml:space="preserve">RESFRIADOR OLEO FORD</t>
  </si>
  <si>
    <t xml:space="preserve">7S7G6B856BA (OEM) | 7S7G6B856CA (OEM) | 7S7GB856A4A (OEM)</t>
  </si>
  <si>
    <t xml:space="preserve">SCS4013</t>
  </si>
  <si>
    <t xml:space="preserve">510007310 (LUK) | RCAC00050 (TRW) | VKCH3102 (SKF) | ZA310241 (FTE)</t>
  </si>
  <si>
    <t xml:space="preserve">SNB1466</t>
  </si>
  <si>
    <t xml:space="preserve">RESPIRO ATUADOR EMBREAGEM MITSUBISHI</t>
  </si>
  <si>
    <t xml:space="preserve">RESPIRO ATUADOR EMBREAGEM</t>
  </si>
  <si>
    <t xml:space="preserve">SWC5055</t>
  </si>
  <si>
    <t xml:space="preserve">441004843R (OEM) | BWB1012 (TRW) | C3434 (CONTROIL) | CCR92292 (FORTEC)</t>
  </si>
  <si>
    <t xml:space="preserve">SCS4029</t>
  </si>
  <si>
    <t xml:space="preserve">ATUADOR DE EMBREAGEM FIAT/JEEP</t>
  </si>
  <si>
    <t xml:space="preserve">SBC1120</t>
  </si>
  <si>
    <t xml:space="preserve">6248 (ATE) | 7085011 (OEM) | C2189 (CONTROIL) | PMH6005 (TRW)</t>
  </si>
  <si>
    <t xml:space="preserve">SCC2054</t>
  </si>
  <si>
    <t xml:space="preserve">SCC2071</t>
  </si>
  <si>
    <t xml:space="preserve">CILINDRO MESTRE DE EMBREAGEM KIA/HYUNDAI</t>
  </si>
  <si>
    <t xml:space="preserve">SCC2057</t>
  </si>
  <si>
    <t xml:space="preserve">511029910 (LUK) | 5110299100 (LUK)</t>
  </si>
  <si>
    <t xml:space="preserve">SCC2031</t>
  </si>
  <si>
    <t xml:space="preserve">306101HB0A (OEM) | C2733 (CONTROIL)</t>
  </si>
  <si>
    <t xml:space="preserve">SWC5036</t>
  </si>
  <si>
    <t xml:space="preserve">94770079 (OEM) | BWK6000 (TRW) | C3554 (CONTROIL)</t>
  </si>
  <si>
    <t xml:space="preserve">SCC2003</t>
  </si>
  <si>
    <t xml:space="preserve">6Q0721388 (OEM) | 6Q0721388A (OEM) | 6Q0721388C (OEM) | 6Q0721388D (OEM) | C2657 (CONTROIL) | KG15010941 (FTE) | RCCE00930 (TRW) | VKCH4747 (SKF)</t>
  </si>
  <si>
    <t xml:space="preserve">SBS8090</t>
  </si>
  <si>
    <t xml:space="preserve">BPSA0090108 (MAZZICAR)</t>
  </si>
  <si>
    <t xml:space="preserve">SBS8102</t>
  </si>
  <si>
    <t xml:space="preserve">203004 (SYL) | 2637CPA (COBREQ) | BPSA0090143 (MAZZICAR) | FI91CPA (FRAS-LE) | HQ505A (JURID)</t>
  </si>
  <si>
    <t xml:space="preserve">SCC2012</t>
  </si>
  <si>
    <t xml:space="preserve">CILINDRO MESTRE DE EMBREAGEM CITROEN</t>
  </si>
  <si>
    <t xml:space="preserve">C2681 (CONTROIL) | KG1504044 (FTE) | RCCE00970 (TRW) | VKCH4889 (SKF)</t>
  </si>
  <si>
    <t xml:space="preserve">SBC1089</t>
  </si>
  <si>
    <t xml:space="preserve">7404 (ATE)</t>
  </si>
  <si>
    <t xml:space="preserve">SBC1108</t>
  </si>
  <si>
    <t xml:space="preserve">GM / TROLLER</t>
  </si>
  <si>
    <t xml:space="preserve">0986AB8684 (BOSCH) | 6330 (ATE) | 93217723 (OEM) | C2073 (CONTROIL) | PML6000 (TRW) | RCCD00990 (TRW)</t>
  </si>
  <si>
    <t xml:space="preserve">SBC1101</t>
  </si>
  <si>
    <t xml:space="preserve">SWP292</t>
  </si>
  <si>
    <t xml:space="preserve">BOMBA ÁGUA VW</t>
  </si>
  <si>
    <t xml:space="preserve">SPF5001K</t>
  </si>
  <si>
    <t xml:space="preserve">KIT CILINDRO EMBREAGEM IVECO</t>
  </si>
  <si>
    <t xml:space="preserve">5802008238 (LUK)</t>
  </si>
  <si>
    <t xml:space="preserve">SWP296</t>
  </si>
  <si>
    <t xml:space="preserve">BOMBA ÁGUA NISSAN</t>
  </si>
  <si>
    <t xml:space="preserve">SBC1078</t>
  </si>
  <si>
    <t xml:space="preserve">CILINDRO MESTRE FREIO HYUNDAI</t>
  </si>
  <si>
    <t xml:space="preserve">SBC1155</t>
  </si>
  <si>
    <t xml:space="preserve">0986AB8598 (BOSCH) | 7657 (ATE) | 7701205742 (OEM) | C2202 (CONTROIL)</t>
  </si>
  <si>
    <t xml:space="preserve">SBC1109</t>
  </si>
  <si>
    <t xml:space="preserve">0986ab8679 (BOSCH) | C2129 (CONTROIL) | CM2824 (BOSCH) | F87A2A032CC (OEM) | F87Z2140CA (OEM)</t>
  </si>
  <si>
    <t xml:space="preserve">SBC1073</t>
  </si>
  <si>
    <t xml:space="preserve">C2163 (CONTROIL)</t>
  </si>
  <si>
    <t xml:space="preserve">SCC2040</t>
  </si>
  <si>
    <t xml:space="preserve">AB397A543AD (OEM) | C2727 (CONTROIL) | KG19020271 (FTE)</t>
  </si>
  <si>
    <t xml:space="preserve">SBS8098</t>
  </si>
  <si>
    <t xml:space="preserve">201706 (SYL) | 2618CPA (COBREQ) | BPSA0097200 (MAZZICAR) | CB46CPA (FRAS-LE) | HQ512A (JURID) | LS3500 (BOSCH)</t>
  </si>
  <si>
    <t xml:space="preserve">SOC9026</t>
  </si>
  <si>
    <t xml:space="preserve">RESFRIADOR OLEO RENAULT</t>
  </si>
  <si>
    <t xml:space="preserve">8200806731 (OEM)</t>
  </si>
  <si>
    <t xml:space="preserve">SCC2076</t>
  </si>
  <si>
    <t xml:space="preserve">KG15001271 (FTE)</t>
  </si>
  <si>
    <t xml:space="preserve">SSC3010</t>
  </si>
  <si>
    <t xml:space="preserve">KN19020B1 (FTE) | RCCE01290 (TRW) | VKCH4894 (SKF)</t>
  </si>
  <si>
    <t xml:space="preserve">SWP141</t>
  </si>
  <si>
    <t xml:space="preserve">BOMBA ÁGUA CITROEN</t>
  </si>
  <si>
    <t xml:space="preserve">BMW / CITROEN / MINI / PEUGEOT</t>
  </si>
  <si>
    <t xml:space="preserve">VKPC83812 (SKF)</t>
  </si>
  <si>
    <t xml:space="preserve">SBC1118A</t>
  </si>
  <si>
    <t xml:space="preserve">6377 (ATE) | 7086770 (OEM) | C2188 (CONTROIL)</t>
  </si>
  <si>
    <t xml:space="preserve">SWC5044R</t>
  </si>
  <si>
    <t xml:space="preserve">CILINDRO DE RODA LD SUZUKI</t>
  </si>
  <si>
    <t xml:space="preserve">5340165D00 (OEM) | C3533 (CONTROIL)</t>
  </si>
  <si>
    <t xml:space="preserve">SWC5044L</t>
  </si>
  <si>
    <t xml:space="preserve">CILINDRO DE RODA LE SUZUKI</t>
  </si>
  <si>
    <t xml:space="preserve">5340265D00 (OEM) | C3532 (CONTROIL)</t>
  </si>
  <si>
    <t xml:space="preserve">SWC5029</t>
  </si>
  <si>
    <t xml:space="preserve">44100EB30A (OEM) | 44100EB360 (OEM) | C3536 (CONTROIL) | CCR92246 (FORTEC)</t>
  </si>
  <si>
    <t xml:space="preserve">SCC2063</t>
  </si>
  <si>
    <t xml:space="preserve">MR132298 (MITSUBISHI) | PNB459 (TRW)</t>
  </si>
  <si>
    <t xml:space="preserve">SWC5026</t>
  </si>
  <si>
    <t xml:space="preserve">CILINDRO DE RODA LE/LD HYUNDAI</t>
  </si>
  <si>
    <t xml:space="preserve">583301G000 (OEM) | C3545 (CONTROIL) | CCR92264 (FORTEC)</t>
  </si>
  <si>
    <t xml:space="preserve">SBS8085</t>
  </si>
  <si>
    <t xml:space="preserve">207610 (SYL) | 2851CPA (COBREQ) | BPSA0097470 (MAZZICAR) | RN446CPA (FRAS-LE)</t>
  </si>
  <si>
    <t xml:space="preserve">SSC3007</t>
  </si>
  <si>
    <t xml:space="preserve">CILINDRO AUXILIAR DE EMBREAGEM M BENZ</t>
  </si>
  <si>
    <t xml:space="preserve">C2631 (CONTROIL) | KN22056D1 (FTE) | RCCE01330 (TRW) | VKCH22056 (SKF)</t>
  </si>
  <si>
    <t xml:space="preserve">SWP318</t>
  </si>
  <si>
    <t xml:space="preserve">SBC1112</t>
  </si>
  <si>
    <t xml:space="preserve">6366 (ATE) | 6S652140AA (OEM) | C2198 (CONTROIL)</t>
  </si>
  <si>
    <t xml:space="preserve">SBS8079</t>
  </si>
  <si>
    <t xml:space="preserve">SAPATA DE FREIO NISSAN</t>
  </si>
  <si>
    <t xml:space="preserve">BPSA0090160 (MAZZICAR) | NI441CPA (FRAS-LE)</t>
  </si>
  <si>
    <t xml:space="preserve">SBC1003</t>
  </si>
  <si>
    <t xml:space="preserve">SBS8024</t>
  </si>
  <si>
    <t xml:space="preserve">201709 (SYL) | 2733CPA (COBREQ) | BPSA0094690 (MAZZICAR) | CB417CPA (FRAS-LE)</t>
  </si>
  <si>
    <t xml:space="preserve">SBC1096</t>
  </si>
  <si>
    <t xml:space="preserve">CILINDRO MESTRE DE FREIO CITROEN</t>
  </si>
  <si>
    <t xml:space="preserve">4601.L7 (OEM) | C-2172 (CONTROIL)</t>
  </si>
  <si>
    <t xml:space="preserve">SBC1119</t>
  </si>
  <si>
    <t xml:space="preserve">SCC2014</t>
  </si>
  <si>
    <t xml:space="preserve">KG19013544 (FTE) | RCCE01480 (TRW) | VKCH1903544 (SKF)</t>
  </si>
  <si>
    <t xml:space="preserve">SCS4030</t>
  </si>
  <si>
    <t xml:space="preserve">ATUADOR DE EMBREAGEM FORD</t>
  </si>
  <si>
    <t xml:space="preserve">SBC1040</t>
  </si>
  <si>
    <t xml:space="preserve">PMF917 (TRW)</t>
  </si>
  <si>
    <t xml:space="preserve">SWP245</t>
  </si>
  <si>
    <t xml:space="preserve">BOMBA ÁGUA HYUNDAI</t>
  </si>
  <si>
    <t xml:space="preserve">7000854500 (INDISA)</t>
  </si>
  <si>
    <t xml:space="preserve">SCC2051</t>
  </si>
  <si>
    <t xml:space="preserve">KG1506901 (FTE)</t>
  </si>
  <si>
    <t xml:space="preserve">SWC5030</t>
  </si>
  <si>
    <t xml:space="preserve">CILINDRO DE RODA LE/LD HONDA</t>
  </si>
  <si>
    <t xml:space="preserve">C3413 (CONTROIL) | CCR92248 (FORTEC) | RCCR03700 (TRW)</t>
  </si>
  <si>
    <t xml:space="preserve">SSC3042</t>
  </si>
  <si>
    <t xml:space="preserve">SWC5054</t>
  </si>
  <si>
    <t xml:space="preserve">CILINDRO DE RODA E/D FIAT</t>
  </si>
  <si>
    <t xml:space="preserve">7090575 (OEM) | C3571 (CONTROIL)</t>
  </si>
  <si>
    <t xml:space="preserve">SCC2085</t>
  </si>
  <si>
    <t xml:space="preserve">SBC1149</t>
  </si>
  <si>
    <t xml:space="preserve">SBS8086</t>
  </si>
  <si>
    <t xml:space="preserve">207611 (SYL) | 2808CP (COBREQ) | BPSA0097477 (MAZZICAR) | RN489CP (FRAS-LE)</t>
  </si>
  <si>
    <t xml:space="preserve">SCC2074</t>
  </si>
  <si>
    <t xml:space="preserve">SBC1153</t>
  </si>
  <si>
    <t xml:space="preserve">SBC1029</t>
  </si>
  <si>
    <t xml:space="preserve">C2094 (CONTROIL) | RCCD00950 (TRW)</t>
  </si>
  <si>
    <t xml:space="preserve">SBC1042NR</t>
  </si>
  <si>
    <t xml:space="preserve">52075430 (OEM) | 7665 (ATE) | C2201 (CONTROIL)</t>
  </si>
  <si>
    <t xml:space="preserve">SBC1084</t>
  </si>
  <si>
    <t xml:space="preserve">SWC5035</t>
  </si>
  <si>
    <t xml:space="preserve">0986AB8665 (BOSCH) | 1136110551 (OEM) | 5102 (ATE) | C3352 (CONTROIL) | CCR9222 (FORTEC) | CR9874 (BOSCH) | RCCR23805 (TRW)</t>
  </si>
  <si>
    <t xml:space="preserve">SBC1091</t>
  </si>
  <si>
    <t xml:space="preserve">SOC9022</t>
  </si>
  <si>
    <t xml:space="preserve">24586601 (OEM) | 55488257 (OEM) | 554897969 (OEM)</t>
  </si>
  <si>
    <t xml:space="preserve">SOC9027</t>
  </si>
  <si>
    <t xml:space="preserve">RESFRIADOR OLEO JEEP</t>
  </si>
  <si>
    <t xml:space="preserve">DODGE / FIAT / JEEP</t>
  </si>
  <si>
    <t xml:space="preserve">05048119AA (OEM) | 5047370AA (OEM) | 5047370AB (OEM)</t>
  </si>
  <si>
    <t xml:space="preserve">SCC2070</t>
  </si>
  <si>
    <t xml:space="preserve">CILINDRO MESTRE DE EMBREAGEM HYUNDAI/KIA</t>
  </si>
  <si>
    <t xml:space="preserve">SBS8044</t>
  </si>
  <si>
    <t xml:space="preserve">207002 (SYL) | BPSA0090245 (MAZZICAR) | CI344CPA (FRAS-LE)</t>
  </si>
  <si>
    <t xml:space="preserve">SOC9009</t>
  </si>
  <si>
    <t xml:space="preserve">RESFRIADOR OLEO AUDI/VW</t>
  </si>
  <si>
    <t xml:space="preserve">AUDI / FORD / VOLKSWAGEN</t>
  </si>
  <si>
    <t xml:space="preserve">028117021L (OEM) | 068117021B (OEM) | 078117021A (OEM)</t>
  </si>
  <si>
    <t xml:space="preserve">SBC1183</t>
  </si>
  <si>
    <t xml:space="preserve">SBC1179</t>
  </si>
  <si>
    <t xml:space="preserve">SBC1194A</t>
  </si>
  <si>
    <t xml:space="preserve">SCC2032</t>
  </si>
  <si>
    <t xml:space="preserve">SBC1093</t>
  </si>
  <si>
    <t xml:space="preserve">C2199 (CONTROIL) | CN152140BA (OEM)</t>
  </si>
  <si>
    <t xml:space="preserve">SWC5010</t>
  </si>
  <si>
    <t xml:space="preserve">43300T5RA01 (OEM) | 7651 (ATE) | C3579 (CONTROIL) | CCR92293 (FORTEC)</t>
  </si>
  <si>
    <t xml:space="preserve">SVP6021</t>
  </si>
  <si>
    <t xml:space="preserve">BOMBA DE VÁCUO FREIO</t>
  </si>
  <si>
    <t xml:space="preserve">SBC1082</t>
  </si>
  <si>
    <t xml:space="preserve">CILINDRO MESTRE DE FREIO HYUNDAI</t>
  </si>
  <si>
    <t xml:space="preserve">SBC1100</t>
  </si>
  <si>
    <t xml:space="preserve">RCCD01470 (TRW)</t>
  </si>
  <si>
    <t xml:space="preserve">SVP6018</t>
  </si>
  <si>
    <t xml:space="preserve">GM / NISSAN / TROLLER</t>
  </si>
  <si>
    <t xml:space="preserve">167006-S300 (OEM) | 7002657C1 (OEM) | 7002661C1 (OEM) | 98500126 (OEM)</t>
  </si>
  <si>
    <t xml:space="preserve">SWP297A</t>
  </si>
  <si>
    <t xml:space="preserve">254562 (INDISA)</t>
  </si>
  <si>
    <t xml:space="preserve">SBS8009</t>
  </si>
  <si>
    <t xml:space="preserve">207604 (SYL) | 2660CPA (COBREQ) | BPSA0097490 (MAZZICAR) | LS3549 (BOSCH) | RN324CPA (FRAS-LE)</t>
  </si>
  <si>
    <t xml:space="preserve">SBS8008</t>
  </si>
  <si>
    <t xml:space="preserve">FIAT / GM</t>
  </si>
  <si>
    <t xml:space="preserve">203013 (SYL) | 2652CPA (COBREQ) | BPSA0090145 (MAZZICAR) | FI136CPA (FRAS-LE) | HQJ511A (JURID)</t>
  </si>
  <si>
    <t xml:space="preserve">SWP263</t>
  </si>
  <si>
    <t xml:space="preserve">BOMBA ÁGUA AUDI/VW</t>
  </si>
  <si>
    <t xml:space="preserve">SBC1064</t>
  </si>
  <si>
    <t xml:space="preserve">6331 (ATE) | C2002 (CONTROIL) | RCCD00700 (TRW)</t>
  </si>
  <si>
    <t xml:space="preserve">SNB1465A</t>
  </si>
  <si>
    <t xml:space="preserve">RESPIRO ATUADOR EMBREAGEM VW</t>
  </si>
  <si>
    <t xml:space="preserve">SBC1026</t>
  </si>
  <si>
    <t xml:space="preserve">0986AB8589 (BOSCH) | 93332850 (OEM) | C2143 (CONTROIL) | RCCD01460 (TRW)</t>
  </si>
  <si>
    <t xml:space="preserve">SSC3031</t>
  </si>
  <si>
    <t xml:space="preserve">SCS4018</t>
  </si>
  <si>
    <t xml:space="preserve">510003710 (LUK) | D751112 (FTE) | RCAC00020 (TRW) | VKCH151112 (SKF)</t>
  </si>
  <si>
    <t xml:space="preserve">SOC9020D</t>
  </si>
  <si>
    <t xml:space="preserve">RESFRIADOR DE ÓLEO MOTOR FIAT</t>
  </si>
  <si>
    <t xml:space="preserve">55246619 (OEM)</t>
  </si>
  <si>
    <t xml:space="preserve">SWC5037</t>
  </si>
  <si>
    <t xml:space="preserve">2116110473 (OEM) | 5269 (ATE) | C3366 (CONTROIL) | CCR9210 (FORTEC) | CR9294 (BOSCH) | RCCR00767 (TRW)</t>
  </si>
  <si>
    <t xml:space="preserve">SBC1004</t>
  </si>
  <si>
    <t xml:space="preserve">0986AB8611 (BOSCH) | 1136110156 (OEM) | 5111 (ATE) | C2007 (CONTROIL) | RCCD24061 (TRW)</t>
  </si>
  <si>
    <t xml:space="preserve">SBS8035</t>
  </si>
  <si>
    <t xml:space="preserve">CHERY / VOLKSWAGEN</t>
  </si>
  <si>
    <t xml:space="preserve">208000 (SYL) | 2795CPA (COBREQ) | BPSA0096840 (MAZZICAR) | VW281CPA (FRAS-LE)</t>
  </si>
  <si>
    <t xml:space="preserve">SBS8016</t>
  </si>
  <si>
    <t xml:space="preserve">GM / MITSUBISHI</t>
  </si>
  <si>
    <t xml:space="preserve">206503 (SYL) | 2700CP (COBREQ) | BPSA95280 (MAZZICAR) | MI370CP (FRAS-LE)</t>
  </si>
  <si>
    <t xml:space="preserve">SBS8050</t>
  </si>
  <si>
    <t xml:space="preserve">SAPATA DE FREIO TOYOTA</t>
  </si>
  <si>
    <t xml:space="preserve">JAC MOTORS / TOYOTA</t>
  </si>
  <si>
    <t xml:space="preserve">208807 (SYL) | 2744CPA (COBREQ) | BPSA0094585 (MAZZICAR) | TY481CPA (FRAS-LE)</t>
  </si>
  <si>
    <t xml:space="preserve">SBS8003</t>
  </si>
  <si>
    <t xml:space="preserve">SAPATA DE FREIO PEUGEOT</t>
  </si>
  <si>
    <t xml:space="preserve">207000 (SYL) | 2625CPA (COBREQ) | BPSA0091337 (MAZZICAR) | HQJ506A (JURID) | PG202CP (FRAS-LE)</t>
  </si>
  <si>
    <t xml:space="preserve">SBC1028</t>
  </si>
  <si>
    <t xml:space="preserve">6335 (ATE) | C2038 (CONTROIL) | RCCD28170 (TRW)</t>
  </si>
  <si>
    <t xml:space="preserve">SBC1106</t>
  </si>
  <si>
    <t xml:space="preserve">CILINDRO MESTRE FREIO NISSAN</t>
  </si>
  <si>
    <t xml:space="preserve">SSC3025</t>
  </si>
  <si>
    <t xml:space="preserve">SCC2019</t>
  </si>
  <si>
    <t xml:space="preserve">D111007 (FTE)</t>
  </si>
  <si>
    <t xml:space="preserve">SSC3032</t>
  </si>
  <si>
    <t xml:space="preserve">SBC1188</t>
  </si>
  <si>
    <t xml:space="preserve">SVP6003</t>
  </si>
  <si>
    <t xml:space="preserve">BOMBA DE VÁCUO LAND ROVER/VOLVO</t>
  </si>
  <si>
    <t xml:space="preserve">FORD / JAGUAR / LAND ROVER / VOLVO</t>
  </si>
  <si>
    <t xml:space="preserve">724807650 (PIERBURG)</t>
  </si>
  <si>
    <t xml:space="preserve">SBS8089</t>
  </si>
  <si>
    <t xml:space="preserve">2628CPA (COBREQ) | BPSA0090135 (MAZZICAR)</t>
  </si>
  <si>
    <t xml:space="preserve">SBS8095</t>
  </si>
  <si>
    <t xml:space="preserve">201713 (SYL) | 2809CPA (COBREQ) | BPSA0094685 (MAZZICAR) | CB508CPA (FRAS-LE)</t>
  </si>
  <si>
    <t xml:space="preserve">SCC2069</t>
  </si>
  <si>
    <t xml:space="preserve">55257322 (OEM) | 55272342 (OEM) | C2735 (CONTROIL) | KG15013842 (FTE) | VKCH4919 (SKF)</t>
  </si>
  <si>
    <t xml:space="preserve">SBC1154</t>
  </si>
  <si>
    <t xml:space="preserve">SBS8096</t>
  </si>
  <si>
    <t xml:space="preserve">204610 (SYL) | BPSA0096071 (MAZZICAR)</t>
  </si>
  <si>
    <t xml:space="preserve">SWP310</t>
  </si>
  <si>
    <t xml:space="preserve">SCC2006</t>
  </si>
  <si>
    <t xml:space="preserve">C2644 (CONTROIL) | KG1504401 (FTE) | RCCE00990 (TRW) | VKCH4739 (SKF)</t>
  </si>
  <si>
    <t xml:space="preserve">SBC1191A</t>
  </si>
  <si>
    <t xml:space="preserve">SBS8023</t>
  </si>
  <si>
    <t xml:space="preserve">FORD / NISSAN</t>
  </si>
  <si>
    <t xml:space="preserve">203113 (SYL) | 2730CP (COBREQ) | BPSA0090163 (MAZZICAR) | NI443CP (FRAS-LE)</t>
  </si>
  <si>
    <t xml:space="preserve">SBC1148</t>
  </si>
  <si>
    <t xml:space="preserve">SOC9015</t>
  </si>
  <si>
    <t xml:space="preserve">CITROEN / FIAT / IVECO / PEUGEOT</t>
  </si>
  <si>
    <t xml:space="preserve">504375378 (OEM) | 5801555580 (OEM) | 5801630224 (OEM)</t>
  </si>
  <si>
    <t xml:space="preserve">SBS8039</t>
  </si>
  <si>
    <t xml:space="preserve">2818CPA (COBREQ) | BPSA0096846 (MAZZICAR)</t>
  </si>
  <si>
    <t xml:space="preserve">SBC1024</t>
  </si>
  <si>
    <t xml:space="preserve">SCC2056</t>
  </si>
  <si>
    <t xml:space="preserve">CILINDRO MESTRE DE EMBREAGEM LAND ROVER</t>
  </si>
  <si>
    <t xml:space="preserve">LAND ROVER</t>
  </si>
  <si>
    <t xml:space="preserve">RCCE01100 (TRW)</t>
  </si>
  <si>
    <t xml:space="preserve">SCC2011</t>
  </si>
  <si>
    <t xml:space="preserve">CILINDRO MESTRE DE EMBREAGEM M BENZ</t>
  </si>
  <si>
    <t xml:space="preserve">C2630 (CONTROIL) | KG19005401 (FTE) | RCCE01040 (TRW) | VKCH190054 (SKF)</t>
  </si>
  <si>
    <t xml:space="preserve">SBS8040</t>
  </si>
  <si>
    <t xml:space="preserve">SAPATA DE FREIO HONDA</t>
  </si>
  <si>
    <t xml:space="preserve">2824CP (COBREQ) | BPSA0091260 (MAZZICAR)</t>
  </si>
  <si>
    <t xml:space="preserve">SVP6016</t>
  </si>
  <si>
    <t xml:space="preserve">703800050 (PIERBURG)</t>
  </si>
  <si>
    <t xml:space="preserve">SWP237</t>
  </si>
  <si>
    <t xml:space="preserve">BOMBA ÁGUA CHERY</t>
  </si>
  <si>
    <t xml:space="preserve">SSC3017</t>
  </si>
  <si>
    <t xml:space="preserve">46930SAA013 (OEM) | 6283600146 (SACHS) | C2698 (CONTROIL) | PJH700 (TRW)</t>
  </si>
  <si>
    <t xml:space="preserve">SBS8010</t>
  </si>
  <si>
    <t xml:space="preserve">207602 (SYL) | 2663CPA (COBREQ) | BPSA0091319 (MAZZICAR) | LS3536 (BOSCH) | RN131CPA (FRAS-LE)</t>
  </si>
  <si>
    <t xml:space="preserve">SSC3012</t>
  </si>
  <si>
    <t xml:space="preserve">4171039A00 (OEM) | C2754 (CONTROIL) | D161007 (FTE) | PJA114 (TRW)</t>
  </si>
  <si>
    <t xml:space="preserve">SBC1150</t>
  </si>
  <si>
    <t xml:space="preserve">C2010 (CONTROIL) | RCCD00284 (TRW)</t>
  </si>
  <si>
    <t xml:space="preserve">SWC5005</t>
  </si>
  <si>
    <t xml:space="preserve">CILINDRO DE RODA LE/LD CITROEN/PEUGEOT</t>
  </si>
  <si>
    <t xml:space="preserve">0986AB8654 (BOSCH) | 4402C8 (OEM) | 7712 (ATE) | C3535 (CONTROIL) | CCR92271 (FORTEC)</t>
  </si>
  <si>
    <t xml:space="preserve">SWP092</t>
  </si>
  <si>
    <t xml:space="preserve">BOMBA ÁGUA LAND ROVER/VOLVO</t>
  </si>
  <si>
    <t xml:space="preserve">LAND ROVER / VOLVO</t>
  </si>
  <si>
    <t xml:space="preserve">SOC9029</t>
  </si>
  <si>
    <t xml:space="preserve">RESFRIADOR OLEO HONDA</t>
  </si>
  <si>
    <t xml:space="preserve">124100-7821 (OEM)</t>
  </si>
  <si>
    <t xml:space="preserve">SWC5025R</t>
  </si>
  <si>
    <t xml:space="preserve">CILINDRO DE RODA LD HYUNDAI/KIA</t>
  </si>
  <si>
    <t xml:space="preserve">583804F100 (OEM) | C3425 (CONTROIL) | CCR92254 (FORTEC)</t>
  </si>
  <si>
    <t xml:space="preserve">SBC1020</t>
  </si>
  <si>
    <t xml:space="preserve">SSC3036</t>
  </si>
  <si>
    <t xml:space="preserve">46930TR0L41 (OEM) | C2680 (CONTROIL)</t>
  </si>
  <si>
    <t xml:space="preserve">SWP220</t>
  </si>
  <si>
    <t xml:space="preserve">BOMBA ÁGUA MITSUBISHI</t>
  </si>
  <si>
    <t xml:space="preserve">DODGE / FIAT / JEEP / KIA / MITSUBISHI</t>
  </si>
  <si>
    <t xml:space="preserve">SBC1184</t>
  </si>
  <si>
    <t xml:space="preserve">26315212 (OEM) | C2227 (CONTROIL)</t>
  </si>
  <si>
    <t xml:space="preserve">SWP172</t>
  </si>
  <si>
    <t xml:space="preserve">BOMBA ÁGUA SUZUKI</t>
  </si>
  <si>
    <t xml:space="preserve">7000804501 (INDISA)</t>
  </si>
  <si>
    <t xml:space="preserve">SWP030H1</t>
  </si>
  <si>
    <t xml:space="preserve">452561 (INDISA)</t>
  </si>
  <si>
    <t xml:space="preserve">SWC5045L</t>
  </si>
  <si>
    <t xml:space="preserve">CILINDRO DE RODA LE NISSAN</t>
  </si>
  <si>
    <t xml:space="preserve">441005RB0B (OEM) | 441015RB0A (OEM) | C3560 (CONTROIL)</t>
  </si>
  <si>
    <t xml:space="preserve">SCC2067</t>
  </si>
  <si>
    <t xml:space="preserve">D111006 (FTE) | RCCE01660 (TRW)</t>
  </si>
  <si>
    <t xml:space="preserve">SWP248</t>
  </si>
  <si>
    <t xml:space="preserve">BOMBA ÁGUA HYUNDAI/KIA</t>
  </si>
  <si>
    <t xml:space="preserve">7000854513 (INDISA) | UB0421 (URBA)</t>
  </si>
  <si>
    <t xml:space="preserve">SWC5024</t>
  </si>
  <si>
    <t xml:space="preserve">0986AB8578 (BOSCH) | 6995 (ATE) | C3546 (CONTROIL) | CN152261AA (OEM)</t>
  </si>
  <si>
    <t xml:space="preserve">SBC1013</t>
  </si>
  <si>
    <t xml:space="preserve">13286445 (OEM) | 7637 (ATE) | C2210 (CONTROIL)</t>
  </si>
  <si>
    <t xml:space="preserve">SWC5025L</t>
  </si>
  <si>
    <t xml:space="preserve">CILINDRO DE RODA LE HYUNDAI/KIA</t>
  </si>
  <si>
    <t xml:space="preserve">583304F100 (OEM) | C3424 (CONTROIL) | CCR92253 (FORTEC) | CR1459 (BOSCH) | NKF12435 (NAKATA)</t>
  </si>
  <si>
    <t xml:space="preserve">SSC3011</t>
  </si>
  <si>
    <t xml:space="preserve">512017410 (LUK) | C2648 (CONTROIL) | KN2209171 (FTE) | KN2209172 (FTE) | RCCE01430 (TRW) | VKCH4723 (SKF)</t>
  </si>
  <si>
    <t xml:space="preserve">SWP301</t>
  </si>
  <si>
    <t xml:space="preserve">SVP6017</t>
  </si>
  <si>
    <t xml:space="preserve">BOMBA DE VÁCUO BMW</t>
  </si>
  <si>
    <t xml:space="preserve">701366060 (PIERBURG)</t>
  </si>
  <si>
    <t xml:space="preserve">SBC1098</t>
  </si>
  <si>
    <t xml:space="preserve">6920 (ATE) | 7087904 (OEM) | PMH6006 (TRW)</t>
  </si>
  <si>
    <t xml:space="preserve">SSC3033</t>
  </si>
  <si>
    <t xml:space="preserve">CILINDRO AUXILIAR DE EMBREAGEM FORD</t>
  </si>
  <si>
    <t xml:space="preserve">3C117A508AB (OEM) | C2728 (CONTROIL)</t>
  </si>
  <si>
    <t xml:space="preserve">SWC5045R</t>
  </si>
  <si>
    <t xml:space="preserve">CILINDRO DE RODA LD NISSAN</t>
  </si>
  <si>
    <t xml:space="preserve">441005RB0A (OEM) | 441015RB0B (OEM) | C3561 (CONTROIL)</t>
  </si>
  <si>
    <t xml:space="preserve">SBS8082</t>
  </si>
  <si>
    <t xml:space="preserve">BPSA0090166 (MAZZICAR) | NI488CP (FRAS-LE)</t>
  </si>
  <si>
    <t xml:space="preserve">SOC9020</t>
  </si>
  <si>
    <t xml:space="preserve">55246619 (OEM) | 55273044 (OEM)</t>
  </si>
  <si>
    <t xml:space="preserve">SWP266</t>
  </si>
  <si>
    <t xml:space="preserve">BOMBA ÁGUA M BENZ</t>
  </si>
  <si>
    <t xml:space="preserve">SWC5103</t>
  </si>
  <si>
    <t xml:space="preserve">6013 (ATE) | 90443261 (OEM) | 90498300 (OEM) | 93284550 (OEM) | 93330205 (OEM) | C3410 (CONTROIL) | CR2754 (BOSCH) | RCCR01305 (TRW)</t>
  </si>
  <si>
    <t xml:space="preserve">SCC2075</t>
  </si>
  <si>
    <t xml:space="preserve">KG15018571 (FTE)</t>
  </si>
  <si>
    <t xml:space="preserve">SWC5090</t>
  </si>
  <si>
    <t xml:space="preserve">7088134 (OEM) | C3562 (CONTROIL)</t>
  </si>
  <si>
    <t xml:space="preserve">SBC1019</t>
  </si>
  <si>
    <t xml:space="preserve">6153 (ATE) | 7089438 (OEM) | C2205 (CONTROIL) | PMH6003 (TRW)</t>
  </si>
  <si>
    <t xml:space="preserve">SBC1065</t>
  </si>
  <si>
    <t xml:space="preserve">6024 (ATE) | C2014 (CONTROIL) | RCCD27891 (TRW)</t>
  </si>
  <si>
    <t xml:space="preserve">SBC1124</t>
  </si>
  <si>
    <t xml:space="preserve">CILINDRO MESTRE DE FREIO FIAT/JEEP</t>
  </si>
  <si>
    <t xml:space="preserve">0204819119 (BOSCH) | 7660 (ATE) | CM9119 (BOSCH)</t>
  </si>
  <si>
    <t xml:space="preserve">SCC2025</t>
  </si>
  <si>
    <t xml:space="preserve">SWP030H</t>
  </si>
  <si>
    <t xml:space="preserve">SBS8022</t>
  </si>
  <si>
    <t xml:space="preserve">201708 (SYL) | 2727CPA (COBREQ) | BPSA0094670 (MAZZICAR) | CB153CPA (FRAS-LE)</t>
  </si>
  <si>
    <t xml:space="preserve">SVP6000</t>
  </si>
  <si>
    <t xml:space="preserve">BOMBA DE VÁCUO VW</t>
  </si>
  <si>
    <t xml:space="preserve">704303050 (PIERBURG)</t>
  </si>
  <si>
    <t xml:space="preserve">SOC9005</t>
  </si>
  <si>
    <t xml:space="preserve">RESFRIADOR OLEO CITROEN</t>
  </si>
  <si>
    <t xml:space="preserve">1103N3 (OEM) | 3221470 (OEM) | 5989070251 (OEM)</t>
  </si>
  <si>
    <t xml:space="preserve">SWP308</t>
  </si>
  <si>
    <t xml:space="preserve">SWP314</t>
  </si>
  <si>
    <t xml:space="preserve">BOMBA ÁGUA CITROEN/PEUGEOT</t>
  </si>
  <si>
    <t xml:space="preserve">BOMBA D'ÁGUA ELÉTRICA</t>
  </si>
  <si>
    <t xml:space="preserve">SVP6022</t>
  </si>
  <si>
    <t xml:space="preserve">BOMBA DE VÁCUO HYUNDAI/KIA</t>
  </si>
  <si>
    <t xml:space="preserve">SWC5031</t>
  </si>
  <si>
    <t xml:space="preserve">CILINDRO DE RODA LE/LD M BENZ</t>
  </si>
  <si>
    <t xml:space="preserve">SBS8101</t>
  </si>
  <si>
    <t xml:space="preserve">203017 (SYL) | BPSA0090136 (MAZZICAR) | FI431CPA (FRAS-LE)</t>
  </si>
  <si>
    <t xml:space="preserve">SBS8055</t>
  </si>
  <si>
    <t xml:space="preserve">BPSA0096890 (MAZZICAR) | CB176CP (FRAS-LE)</t>
  </si>
  <si>
    <t xml:space="preserve">SOC9050</t>
  </si>
  <si>
    <t xml:space="preserve">RESFRIADOR DE ÓLEO CÂMBIO RENAULT</t>
  </si>
  <si>
    <t xml:space="preserve">7700873354 (OEM)</t>
  </si>
  <si>
    <t xml:space="preserve">SBC1088</t>
  </si>
  <si>
    <t xml:space="preserve">SCC2080</t>
  </si>
  <si>
    <t xml:space="preserve">SBC1167</t>
  </si>
  <si>
    <t xml:space="preserve">SBS8133</t>
  </si>
  <si>
    <t xml:space="preserve">BPSA0090248 (MAZZICAR)</t>
  </si>
  <si>
    <t xml:space="preserve">SWC5001</t>
  </si>
  <si>
    <t xml:space="preserve">441003HA0A (OEM) | 7641 (ATE) | C3558 (CONTROIL) | CCR92287 (FORTEC)</t>
  </si>
  <si>
    <t xml:space="preserve">SBC1176</t>
  </si>
  <si>
    <t xml:space="preserve">1K1614019M (OEM) | C2238 (CONTROIL)</t>
  </si>
  <si>
    <t xml:space="preserve">SBC1039</t>
  </si>
  <si>
    <t xml:space="preserve">0986480998 (BOSCH) | PMK593 (TRW)</t>
  </si>
  <si>
    <t xml:space="preserve">SWP203</t>
  </si>
  <si>
    <t xml:space="preserve">20218 (SCHADEK) | 7000952006 (INDISA) | NKBA08807 (NAKATA) | UB0807 (URBA) | VKPC83644 (SKF)</t>
  </si>
  <si>
    <t xml:space="preserve">SSC3039</t>
  </si>
  <si>
    <t xml:space="preserve">3103420 (VALEO) | KN2006041 (FTE) | VKCH2002241 (SKF)</t>
  </si>
  <si>
    <t xml:space="preserve">SOC9047</t>
  </si>
  <si>
    <t xml:space="preserve">55282257 (OEM)</t>
  </si>
  <si>
    <t xml:space="preserve">SBC1055</t>
  </si>
  <si>
    <t xml:space="preserve">SOC9023</t>
  </si>
  <si>
    <t xml:space="preserve">RESFRIADOR OLEO M BENZ</t>
  </si>
  <si>
    <t xml:space="preserve">6511800610 (OEM) | 6511800810 (OEM) | 651180130 (OEM)</t>
  </si>
  <si>
    <t xml:space="preserve">SCC2005</t>
  </si>
  <si>
    <t xml:space="preserve">C2643 (CONTROIL) | KG19009601 (FTE) | RCCE01090 (TRW) | VKCH4728 (SKF)</t>
  </si>
  <si>
    <t xml:space="preserve">SWP269</t>
  </si>
  <si>
    <t xml:space="preserve">BOMBA ÁGUA BMW</t>
  </si>
  <si>
    <t xml:space="preserve">BMW / MINI</t>
  </si>
  <si>
    <t xml:space="preserve">SSC3040</t>
  </si>
  <si>
    <t xml:space="preserve">CILINDRO AUXILIAR DE EMBREAGEM MITSUBISHI</t>
  </si>
  <si>
    <t xml:space="preserve">SCC2037</t>
  </si>
  <si>
    <t xml:space="preserve">C2641 (CONTROIL) | KG19009401 (FTE) | RCCE01070 (TRW) | VKCH4727 (SKF)</t>
  </si>
  <si>
    <t xml:space="preserve">SBC1178</t>
  </si>
  <si>
    <t xml:space="preserve">SBS8046</t>
  </si>
  <si>
    <t xml:space="preserve">203015 (SYL) | 2832CPA (COBREQ) | BPSA0097158 (MAZZICAR) | FI485CPA (FRAS-LE)</t>
  </si>
  <si>
    <t xml:space="preserve">SCS4012</t>
  </si>
  <si>
    <t xml:space="preserve">510007310 (LUK) | RCAC00060 (TRW) | VKCH3102 (SKF) | ZA3103B2 (FTE)</t>
  </si>
  <si>
    <t xml:space="preserve">SCC2078</t>
  </si>
  <si>
    <t xml:space="preserve">SCS4032</t>
  </si>
  <si>
    <t xml:space="preserve">ATUADOR DE EMBREAGEM VW</t>
  </si>
  <si>
    <t xml:space="preserve">SWP178</t>
  </si>
  <si>
    <t xml:space="preserve">BOMBA ÁGUA HONDA</t>
  </si>
  <si>
    <t xml:space="preserve">7000752005 (INDISA) | NKBA12605 (NAKATA)</t>
  </si>
  <si>
    <t xml:space="preserve">SWP284</t>
  </si>
  <si>
    <t xml:space="preserve">SBS8100PB</t>
  </si>
  <si>
    <t xml:space="preserve">SAPATA DE FREIO DE MÃO</t>
  </si>
  <si>
    <t xml:space="preserve">BPSA0096750 (MAZZICAR)</t>
  </si>
  <si>
    <t xml:space="preserve">SBC1118</t>
  </si>
  <si>
    <t xml:space="preserve">6380 (ATE) | 70866769 (OEM) | C2187 (CONTROIL) | PMH6014 (TRW)</t>
  </si>
  <si>
    <t xml:space="preserve">SBC1058</t>
  </si>
  <si>
    <t xml:space="preserve">SCC2022</t>
  </si>
  <si>
    <t xml:space="preserve">CILINDRO MESTRE DE EMBREAGEM AUDI/VW</t>
  </si>
  <si>
    <t xml:space="preserve">C2650 (CONTROIL) | KG1503201 (FTE) | RCCE00920 (TRW) | VKCH15032 (SKF)</t>
  </si>
  <si>
    <t xml:space="preserve">SBC1102</t>
  </si>
  <si>
    <t xml:space="preserve">SWC5050</t>
  </si>
  <si>
    <t xml:space="preserve">0986AB8583 (BOSCH) | 2H0611053 (OEM) | 7964 (ATE) | C3543 (CONTROIL) | RCCR03590 (TRW)</t>
  </si>
  <si>
    <t xml:space="preserve">SBC1143</t>
  </si>
  <si>
    <t xml:space="preserve">0986AB8647 (BOSCH) | 6954 (ATE) | 94766502 (OEM) | C2203 (CONTROIL)</t>
  </si>
  <si>
    <t xml:space="preserve">SBC1110</t>
  </si>
  <si>
    <t xml:space="preserve">C2132 (CONTROIL) | F57Z2140B (OEM) | F67Z2140JA (OEM) | ZZM543990 (OEM) | ZZM843990 (OEM)</t>
  </si>
  <si>
    <t xml:space="preserve">SBC1192</t>
  </si>
  <si>
    <t xml:space="preserve">SWP123A</t>
  </si>
  <si>
    <t xml:space="preserve">702522 (INDISA) | VKPC86810 (SKF)</t>
  </si>
  <si>
    <t xml:space="preserve">SOC9008</t>
  </si>
  <si>
    <t xml:space="preserve">A2711801210 (OEM)</t>
  </si>
  <si>
    <t xml:space="preserve">SBS8084</t>
  </si>
  <si>
    <t xml:space="preserve">207612 (SYL) | BPSA0090107 (MAZZICAR) | RN445CPA (FRAS-LE)</t>
  </si>
  <si>
    <t xml:space="preserve">SWP187A</t>
  </si>
  <si>
    <t xml:space="preserve">SBS8103</t>
  </si>
  <si>
    <t xml:space="preserve">209000 (SYL) | 2769CPA (COBREQ) | BPSA0096825 (MAZZICAR) | VW280CPA (FRAS-LE)</t>
  </si>
  <si>
    <t xml:space="preserve">SCC2093</t>
  </si>
  <si>
    <t xml:space="preserve">SWC5040</t>
  </si>
  <si>
    <t xml:space="preserve">0986475751 (BOSCH) | 6263 (ATE) | 93BB2261DC (OEM) | 93BB2261DD (OEM) | 97FB2261BB (OEM) | C3470 (CONTROIL) | CR3014 (BOSCH) | NKF12470 (NAKATA) | RCCR02010 (TRW)</t>
  </si>
  <si>
    <t xml:space="preserve">SCS4023</t>
  </si>
  <si>
    <t xml:space="preserve">ZA300841 (FTE)</t>
  </si>
  <si>
    <t xml:space="preserve">SVP6007</t>
  </si>
  <si>
    <t xml:space="preserve">FORD / LAND ROVER</t>
  </si>
  <si>
    <t xml:space="preserve">724808020 (PIERBURG)</t>
  </si>
  <si>
    <t xml:space="preserve">SSC3005</t>
  </si>
  <si>
    <t xml:space="preserve">D161035 (FTE)</t>
  </si>
  <si>
    <t xml:space="preserve">SWP342</t>
  </si>
  <si>
    <t xml:space="preserve">155254067 (OEM) | 1628941780 (OEM) | 1638159580 (OEM)</t>
  </si>
  <si>
    <t xml:space="preserve">SBC1168</t>
  </si>
  <si>
    <t xml:space="preserve">SWP293</t>
  </si>
  <si>
    <t xml:space="preserve">SBC1156</t>
  </si>
  <si>
    <t xml:space="preserve">SBC1025</t>
  </si>
  <si>
    <t xml:space="preserve">CILINdRO MESTRE DE FREIO RENAULT</t>
  </si>
  <si>
    <t xml:space="preserve">C2192 (CONTROIL)</t>
  </si>
  <si>
    <t xml:space="preserve">SBC1132</t>
  </si>
  <si>
    <t xml:space="preserve">SVP6032</t>
  </si>
  <si>
    <t xml:space="preserve">BOMBA DE VÁCUO FIAT</t>
  </si>
  <si>
    <t xml:space="preserve">SBC1164</t>
  </si>
  <si>
    <t xml:space="preserve">SBC1012</t>
  </si>
  <si>
    <t xml:space="preserve">HYUNDAI / MITSUBISHI</t>
  </si>
  <si>
    <t xml:space="preserve">C2131 (CONTROIL) | MB534480 (OEM) | MB699830 (OEM) | MR307964 (OEM) | MR449476 (OEM)</t>
  </si>
  <si>
    <t xml:space="preserve">SBS8099PB</t>
  </si>
  <si>
    <t xml:space="preserve">FORD / SSANGYONG</t>
  </si>
  <si>
    <t xml:space="preserve">BPSA0090155 (MAZZICAR)</t>
  </si>
  <si>
    <t xml:space="preserve">SBS8021</t>
  </si>
  <si>
    <t xml:space="preserve">209001 (SYL) | 2723CPA (COBREQ) | BPSA0096860 (MAZZICAR) | VW282CPA (FRAS-LE)</t>
  </si>
  <si>
    <t xml:space="preserve">SBS8060</t>
  </si>
  <si>
    <t xml:space="preserve">SAPATA DE FREIO M BENZ</t>
  </si>
  <si>
    <t xml:space="preserve">206002 (SYL) | BPSA0090115 (MAZZICAR) | LS3531 (BOSCH) | MB169CPA (FRAS-LE)</t>
  </si>
  <si>
    <t xml:space="preserve">SCC2045</t>
  </si>
  <si>
    <t xml:space="preserve">KG15004771 (FTE)</t>
  </si>
  <si>
    <t xml:space="preserve">SWP372</t>
  </si>
  <si>
    <t xml:space="preserve">BOMBA D'ÁGUA AUXILIAR</t>
  </si>
  <si>
    <t xml:space="preserve">52076512 (OEM)</t>
  </si>
  <si>
    <t xml:space="preserve">SWC5082</t>
  </si>
  <si>
    <t xml:space="preserve">CITROEN / FIAT / FORD / PEUGEOT</t>
  </si>
  <si>
    <t xml:space="preserve">0986BB3011 (BOSCH) | 1608512780 (OEM) | 2S652261BA (OEM) | 6098 (ATE) | 7081424 (OEM) | 7084405 (OEM) | C3496 (CONTROIL) | CR3011 (BOSCH) | RCCR03440 (TRW)</t>
  </si>
  <si>
    <t xml:space="preserve">SWP103</t>
  </si>
  <si>
    <t xml:space="preserve">BOMBA ÁGUA PORSCHE/VW</t>
  </si>
  <si>
    <t xml:space="preserve">PORSCHE / VOLKSWAGEN</t>
  </si>
  <si>
    <t xml:space="preserve">454540 (INDISA) | VLBA0330552 (VILLA FRANCA)</t>
  </si>
  <si>
    <t xml:space="preserve">SCS4021</t>
  </si>
  <si>
    <t xml:space="preserve">510002610 (LUK) | D751103 (FTE) | RCAC00010 (TRW) | VKCH151103 (SKF)</t>
  </si>
  <si>
    <t xml:space="preserve">SCS4027</t>
  </si>
  <si>
    <t xml:space="preserve">ATUADOR DE EMBREAGEM NISSAN</t>
  </si>
  <si>
    <t xml:space="preserve">510015610 (LUK) | D151127 (FTE) | RCAC00030 (TRW) | VKCH151127 (SKF)</t>
  </si>
  <si>
    <t xml:space="preserve">SOC9030</t>
  </si>
  <si>
    <t xml:space="preserve">09G409061 (OEM)</t>
  </si>
  <si>
    <t xml:space="preserve">SBS8087PB</t>
  </si>
  <si>
    <t xml:space="preserve">208805 (SYL) | BPSA0094550 (MAZZICAR) | TY328CPA (FRAS-LE)</t>
  </si>
  <si>
    <t xml:space="preserve">SBC1052</t>
  </si>
  <si>
    <t xml:space="preserve">SBC1140</t>
  </si>
  <si>
    <t xml:space="preserve">0204817551 (BOSCH)</t>
  </si>
  <si>
    <t xml:space="preserve">SBS8052</t>
  </si>
  <si>
    <t xml:space="preserve">SAPATA DE FREIO SUZUKI</t>
  </si>
  <si>
    <t xml:space="preserve">SUZUKI</t>
  </si>
  <si>
    <t xml:space="preserve">203803 (SYL) | BPSA0096870 (MAZZICAR) | HO507CP (FRAS-LE)</t>
  </si>
  <si>
    <t xml:space="preserve">SBC1057</t>
  </si>
  <si>
    <t xml:space="preserve">SCC2000</t>
  </si>
  <si>
    <t xml:space="preserve">C2661 (CONTROIL) | KG19013471 (FTE) | RCCE01120 (TRW) | VKCH4729 (SKF)</t>
  </si>
  <si>
    <t xml:space="preserve">SBS8045</t>
  </si>
  <si>
    <t xml:space="preserve">203014 (SYL) | 2829CPA (COBREQ) | BPSA0097157 (MAZZICAR) | FI484CPA (FRAS-LE)</t>
  </si>
  <si>
    <t xml:space="preserve">SWP336</t>
  </si>
  <si>
    <t xml:space="preserve">BOMBA ÁGUA LAND ROVER</t>
  </si>
  <si>
    <t xml:space="preserve">JAGUAR / LAND ROVER</t>
  </si>
  <si>
    <t xml:space="preserve">LR092953 (OEM) | LR123392 (OEM) | LR154597 (OEM)</t>
  </si>
  <si>
    <t xml:space="preserve">SBC1204</t>
  </si>
  <si>
    <t xml:space="preserve">SSC3044</t>
  </si>
  <si>
    <t xml:space="preserve">3103919 (VALEO) | 46930S5A013 (OEM) | C2693 (CONTROIL) | D161004 (FTE)</t>
  </si>
  <si>
    <t xml:space="preserve">SBS8056</t>
  </si>
  <si>
    <t xml:space="preserve">201701 (SYL) | 2785CP (COBREQ) | BPSA0090199 (MAZZICAR) | CB175CP (FRAS-LE) | LS3542 (BOSCH)</t>
  </si>
  <si>
    <t xml:space="preserve">SOC9016</t>
  </si>
  <si>
    <t xml:space="preserve">RESFRIADOR OLEO BMW</t>
  </si>
  <si>
    <t xml:space="preserve">11428511391 (OEM) | 11428585235 (OEM)</t>
  </si>
  <si>
    <t xml:space="preserve">SOC9010</t>
  </si>
  <si>
    <t xml:space="preserve">RESFRIADOR OLEO MITSUBISHI</t>
  </si>
  <si>
    <t xml:space="preserve">2920A017 (OEM) | 2920A097 (OEM)</t>
  </si>
  <si>
    <t xml:space="preserve">SCC2004</t>
  </si>
  <si>
    <t xml:space="preserve">511015510 (LUK) | C2647 (CONTROIL) | KG1509471 (FTE) | RCCE01420 (TRW) | VKCH4726 (SKF)</t>
  </si>
  <si>
    <t xml:space="preserve">SBS8070PB</t>
  </si>
  <si>
    <t xml:space="preserve">BPSA0096068 (MAZZICAR) | HY340CP (FRAS-LE)</t>
  </si>
  <si>
    <t xml:space="preserve">SWP140</t>
  </si>
  <si>
    <t xml:space="preserve">7000854512 (INDISA)</t>
  </si>
  <si>
    <t xml:space="preserve">SVP6042</t>
  </si>
  <si>
    <t xml:space="preserve">BOMBA DE VÁCUO NISSAN</t>
  </si>
  <si>
    <t xml:space="preserve">SOC9028</t>
  </si>
  <si>
    <t xml:space="preserve">09G409061F (OEM)</t>
  </si>
  <si>
    <t xml:space="preserve">SBS8112</t>
  </si>
  <si>
    <t xml:space="preserve">203016 (SYL) | 7089579 (OEM) | BPSA0090147 (MAZZICAR) | FI432CPA (FRAS-LE)</t>
  </si>
  <si>
    <t xml:space="preserve">SCS4007</t>
  </si>
  <si>
    <t xml:space="preserve">510006511 (LUK) | RCAC00110 (TRW) | VKCH4750 (SKF) | ZA2802415 (FTE)</t>
  </si>
  <si>
    <t xml:space="preserve">SSC3023</t>
  </si>
  <si>
    <t xml:space="preserve">C2697 (CONTROIL) | MR165177 (OEM) | PJD260 (TRW)</t>
  </si>
  <si>
    <t xml:space="preserve">SWC5014L</t>
  </si>
  <si>
    <t xml:space="preserve">CILINDRO DE RODA LE MITSUBISHI</t>
  </si>
  <si>
    <t xml:space="preserve">0986475920 (BOSCH) | BWK160 (TRW) | C3528 (CONTROIL) | MB500738 (OEM)</t>
  </si>
  <si>
    <t xml:space="preserve">SCS4033</t>
  </si>
  <si>
    <t xml:space="preserve">ATUADOR DE EMBREAGEM FIAT</t>
  </si>
  <si>
    <t xml:space="preserve">SBS8091</t>
  </si>
  <si>
    <t xml:space="preserve">BPSA0090149 (MAZZICAR)</t>
  </si>
  <si>
    <t xml:space="preserve">SCS4006</t>
  </si>
  <si>
    <t xml:space="preserve">510009210 (LUK) | ZA34011831 (FTE)</t>
  </si>
  <si>
    <t xml:space="preserve">SBC1037</t>
  </si>
  <si>
    <t xml:space="preserve">1K1614019F (OEM)</t>
  </si>
  <si>
    <t xml:space="preserve">SBS8037</t>
  </si>
  <si>
    <t xml:space="preserve">SAPATA DE FREIO CHERY</t>
  </si>
  <si>
    <t xml:space="preserve">BPSA0097461 (MAZZICAR) | CB506CPA (FRAS-LE)</t>
  </si>
  <si>
    <t xml:space="preserve">SWP312</t>
  </si>
  <si>
    <t xml:space="preserve">BOMBA ÁGUA ELÉTRICA M BENZ</t>
  </si>
  <si>
    <t xml:space="preserve">SWP267</t>
  </si>
  <si>
    <t xml:space="preserve">BOMBA ÁGUA JAC</t>
  </si>
  <si>
    <t xml:space="preserve">UB0490 (URBA)</t>
  </si>
  <si>
    <t xml:space="preserve">SWC5095</t>
  </si>
  <si>
    <t xml:space="preserve">FIAT / FORD</t>
  </si>
  <si>
    <t xml:space="preserve">2S652261AA (OEM) | 5958 (ATE) | 7081423 (OEM) | 7081575 (OEM) | 7084406 (OEM) | C3472 (CONTROIL) | CR3009 (BOSCH) | RCCR02880 (TRW)</t>
  </si>
  <si>
    <t xml:space="preserve">SOC9017</t>
  </si>
  <si>
    <t xml:space="preserve">9807979380 (OEM)</t>
  </si>
  <si>
    <t xml:space="preserve">SBC1067</t>
  </si>
  <si>
    <t xml:space="preserve">C2057 (CONTROIL)</t>
  </si>
  <si>
    <t xml:space="preserve">SCC2105</t>
  </si>
  <si>
    <t xml:space="preserve">SWP242H1</t>
  </si>
  <si>
    <t xml:space="preserve">452560 (INDISA)</t>
  </si>
  <si>
    <t xml:space="preserve">SBC1066</t>
  </si>
  <si>
    <t xml:space="preserve">5799 (ATE) | C2032 (CONTROIL)</t>
  </si>
  <si>
    <t xml:space="preserve">SBC1177</t>
  </si>
  <si>
    <t xml:space="preserve">SOC9052</t>
  </si>
  <si>
    <t xml:space="preserve">RESFRIADOR DE ÓLEO CÂMBIO HONDA</t>
  </si>
  <si>
    <t xml:space="preserve">25560R3W (OEM)</t>
  </si>
  <si>
    <t xml:space="preserve">SBC1018</t>
  </si>
  <si>
    <t xml:space="preserve">SWP279</t>
  </si>
  <si>
    <t xml:space="preserve">BOMBA ÁGUA SUZIKI</t>
  </si>
  <si>
    <t xml:space="preserve">SWP302</t>
  </si>
  <si>
    <t xml:space="preserve">SCC2068</t>
  </si>
  <si>
    <t xml:space="preserve">SBC1016</t>
  </si>
  <si>
    <t xml:space="preserve">PMF918 (TRW)</t>
  </si>
  <si>
    <t xml:space="preserve">SBC1169</t>
  </si>
  <si>
    <t xml:space="preserve">SBC1054</t>
  </si>
  <si>
    <t xml:space="preserve">4601F9 (OEM) | 4601J3 (OEM) | 6072 (ATE) | C2138 (CONTROIL)</t>
  </si>
  <si>
    <t xml:space="preserve">SCC2009</t>
  </si>
  <si>
    <t xml:space="preserve">C2646 (CONTROIL) | D101153 (FTE) | RCCE00880 (TRW) | VKCH101153 (SKF)</t>
  </si>
  <si>
    <t xml:space="preserve">SCC2018</t>
  </si>
  <si>
    <t xml:space="preserve">C2638 (CONTROIL) | D101097 (FTE) | RCCE00820 (TRW) | VKCH101097 (SKF)</t>
  </si>
  <si>
    <t xml:space="preserve">SBS8017</t>
  </si>
  <si>
    <t xml:space="preserve">207602 (SYL) | 2709CPA (COBREQ) | BPSA0091338 (MAZZICAR) | PG209CPA (FRAS-LE)</t>
  </si>
  <si>
    <t xml:space="preserve">SVP6010</t>
  </si>
  <si>
    <t xml:space="preserve">BOMBA DE VÁCUO LAND ROVER</t>
  </si>
  <si>
    <t xml:space="preserve">SBS8005</t>
  </si>
  <si>
    <t xml:space="preserve">201700 (SYL) | 2640CP (COBREQ) | BPSA0090168 (MAZZICAR) | CB132CP (FRAS-LE) | HQJ517A (JURID)</t>
  </si>
  <si>
    <t xml:space="preserve">SBC1142B</t>
  </si>
  <si>
    <t xml:space="preserve">0204838280 (BOSCH)</t>
  </si>
  <si>
    <t xml:space="preserve">SBC1146</t>
  </si>
  <si>
    <t xml:space="preserve">0986AB8585 (BOSCH) | 6901 (ATE) | 7087526 (OEM) | C2182 (CONTROIL)</t>
  </si>
  <si>
    <t xml:space="preserve">SBS8012</t>
  </si>
  <si>
    <t xml:space="preserve">MAHINDRA / TOYOTA</t>
  </si>
  <si>
    <t xml:space="preserve">208802 (SYL) | 2673CP (COBREQ) | BPSA0096740 (MAZZICAR) | HQJ524 (JURID) | TY327CP (FRAS-LE)</t>
  </si>
  <si>
    <t xml:space="preserve">SOC9002</t>
  </si>
  <si>
    <t xml:space="preserve">DODGE / JEEP</t>
  </si>
  <si>
    <t xml:space="preserve">068105583AB (OEM) | 068105583AC (OEM) | 068105583AE (OEM)</t>
  </si>
  <si>
    <t xml:space="preserve">SBC1163</t>
  </si>
  <si>
    <t xml:space="preserve">SBS8054</t>
  </si>
  <si>
    <t xml:space="preserve">203108 (SYL) | 2754CPA (COBREQ) | BPSA0097380 (MAZZICAR) | FD138CPA (FRAS-LE) | LS3512 (BOSCH)</t>
  </si>
  <si>
    <t xml:space="preserve">SVP6030</t>
  </si>
  <si>
    <t xml:space="preserve">SWP307</t>
  </si>
  <si>
    <t xml:space="preserve">BOMBA ÁGUA M BENZ/RENAULT</t>
  </si>
  <si>
    <t xml:space="preserve">MERCEDES-BENZ / RENAULT</t>
  </si>
  <si>
    <t xml:space="preserve">SSC3050</t>
  </si>
  <si>
    <t xml:space="preserve">512007010 (LUK)</t>
  </si>
  <si>
    <t xml:space="preserve">SCC2041</t>
  </si>
  <si>
    <t xml:space="preserve">C2649 (CONTROIL) | D101128 (FTE) | RCCE00860 (TRW) | VKCH101128 (SKF)</t>
  </si>
  <si>
    <t xml:space="preserve">SBS8061PB</t>
  </si>
  <si>
    <t xml:space="preserve">BPSA0096080 (MAZZICAR)</t>
  </si>
  <si>
    <t xml:space="preserve">SBC1080A</t>
  </si>
  <si>
    <t xml:space="preserve">SCC2081</t>
  </si>
  <si>
    <t xml:space="preserve">SSC3026</t>
  </si>
  <si>
    <t xml:space="preserve">CILINDRO AXILIAR DE EMBREAGEM TOYOTA</t>
  </si>
  <si>
    <t xml:space="preserve">SBC1195</t>
  </si>
  <si>
    <t xml:space="preserve">SBC1141B</t>
  </si>
  <si>
    <t xml:space="preserve">SCC2072</t>
  </si>
  <si>
    <t xml:space="preserve">55270043 (OEM) | C2734 (CONTROIL)</t>
  </si>
  <si>
    <t xml:space="preserve">SWP208</t>
  </si>
  <si>
    <t xml:space="preserve">7000204500 (INDISA) | VKPC84217 (SKF)</t>
  </si>
  <si>
    <t xml:space="preserve">SWP334</t>
  </si>
  <si>
    <t xml:space="preserve">7H0965561 (OEM)</t>
  </si>
  <si>
    <t xml:space="preserve">SBS8053PB</t>
  </si>
  <si>
    <t xml:space="preserve">203018 (SYL) | 2800CP (COBREQ) | BPSA0097140 (MAZZICAR) | FI322CP (FRAS-LE) | LS3544 (BOSCH)</t>
  </si>
  <si>
    <t xml:space="preserve">SBC1172</t>
  </si>
  <si>
    <t xml:space="preserve">SBS8104</t>
  </si>
  <si>
    <t xml:space="preserve">PG627CPA (FRAS-LE)</t>
  </si>
  <si>
    <t xml:space="preserve">SWC5052L</t>
  </si>
  <si>
    <t xml:space="preserve">CILINDRO DE RODA LE RENAULT</t>
  </si>
  <si>
    <t xml:space="preserve">441004731R (OEM) | C3565 (CONTROIL)</t>
  </si>
  <si>
    <t xml:space="preserve">SWP239</t>
  </si>
  <si>
    <t xml:space="preserve">CHERY / RELY</t>
  </si>
  <si>
    <t xml:space="preserve">SBC1194M</t>
  </si>
  <si>
    <t xml:space="preserve">SOC9032</t>
  </si>
  <si>
    <t xml:space="preserve">RESFRIADOR DE ÓLEO MOTOR VW</t>
  </si>
  <si>
    <t xml:space="preserve">059117015K (OEM)</t>
  </si>
  <si>
    <t xml:space="preserve">STC12054</t>
  </si>
  <si>
    <t xml:space="preserve">VÁLVULA TERMOSTÁTICA FIAT</t>
  </si>
  <si>
    <t xml:space="preserve">VÁLVULA TERMOSTÁTICA</t>
  </si>
  <si>
    <t xml:space="preserve">1155.88 (VALCLEI) | 55202176 (OEM)</t>
  </si>
  <si>
    <t xml:space="preserve">SWP097</t>
  </si>
  <si>
    <t xml:space="preserve">7000952505 (INDISA)</t>
  </si>
  <si>
    <t xml:space="preserve">SWP384</t>
  </si>
  <si>
    <t xml:space="preserve">52076422 (OEM) | 52113825 (OEM) | 52148813 (OEM)</t>
  </si>
  <si>
    <t xml:space="preserve">SBC1079</t>
  </si>
  <si>
    <t xml:space="preserve">SOC9007</t>
  </si>
  <si>
    <t xml:space="preserve">RESFRIADOR DE ÓLEO MOTOR M BENZ</t>
  </si>
  <si>
    <t xml:space="preserve">2701800500 (OEM) | 2701800810 (OEM) | A2701800810 (OEM)</t>
  </si>
  <si>
    <t xml:space="preserve">SWC5047R</t>
  </si>
  <si>
    <t xml:space="preserve">CILINDRO DE RODA LD GM</t>
  </si>
  <si>
    <t xml:space="preserve">0986AB8496 (BOSCH) | 6261 (ATE) | 9233868 (OEM) | 93233870 (OEM) | C3418 (CONTROIL) | CR2409 (BOSCH) | RCCR01980 (TRW)</t>
  </si>
  <si>
    <t xml:space="preserve">SBC1092</t>
  </si>
  <si>
    <t xml:space="preserve">SWP244H1</t>
  </si>
  <si>
    <t xml:space="preserve">BOMBA ÁGUA FORD/TROLLER</t>
  </si>
  <si>
    <t xml:space="preserve">SOC9006</t>
  </si>
  <si>
    <t xml:space="preserve">06J117021D (OEM) | 06J117021J (OEM) | 06J117021P (OEM)</t>
  </si>
  <si>
    <t xml:space="preserve">SWC5052R</t>
  </si>
  <si>
    <t xml:space="preserve">CILINDRO DE RODA LD RENAULT</t>
  </si>
  <si>
    <t xml:space="preserve">441006176R (OEM) | C3566 (CONTROIL)</t>
  </si>
  <si>
    <t xml:space="preserve">SBC1009</t>
  </si>
  <si>
    <t xml:space="preserve">SWP157</t>
  </si>
  <si>
    <t xml:space="preserve">BOMBA ÁGUA MAXION</t>
  </si>
  <si>
    <t xml:space="preserve">20186 (SCHADEK) | 7000204014 (INDISA) | UB0342 (URBA)</t>
  </si>
  <si>
    <t xml:space="preserve">SSC3027</t>
  </si>
  <si>
    <t xml:space="preserve">CILINDRO AUXILIAR DE EMBREAGEM SCANIA</t>
  </si>
  <si>
    <t xml:space="preserve">SCANIA</t>
  </si>
  <si>
    <t xml:space="preserve">1355979 (SCANIA) | 1754943 (SCANIA) | 1756460 (SCANIA) | KN3801735 (FTE)</t>
  </si>
  <si>
    <t xml:space="preserve">SBC1165</t>
  </si>
  <si>
    <t xml:space="preserve">SBS8020</t>
  </si>
  <si>
    <t xml:space="preserve">207605 (SYL) | 2720CPA (COBREQ) | BPSA0090148 (MAZZICAR) | FI220CPA (FRAS-LE)</t>
  </si>
  <si>
    <t xml:space="preserve">SCC2047</t>
  </si>
  <si>
    <t xml:space="preserve">C2671 (CONTROIL) | KG15001171 (FTE)</t>
  </si>
  <si>
    <t xml:space="preserve">SBS8006</t>
  </si>
  <si>
    <t xml:space="preserve">201702 (SYL) | 2643CPA (COBREQ) | BPSA0090179 (MAZZICAR) | CB51CP (FRAS-LE) | HQJ518A (JURID)</t>
  </si>
  <si>
    <t xml:space="preserve">SBS8025</t>
  </si>
  <si>
    <t xml:space="preserve">203806 (SYL) | 2737CPA (COBREQ) | BPSA0091270 (MAZZICAR) | HO334CPA (FRAS-LE)</t>
  </si>
  <si>
    <t xml:space="preserve">SBC1125</t>
  </si>
  <si>
    <t xml:space="preserve">0986AB8599 (BOSCH) | 6908 (ATE) | 7087529 (OEM) | C2181 (CONTROIL) | PMH6004 (TRW)</t>
  </si>
  <si>
    <t xml:space="preserve">SWC5014R</t>
  </si>
  <si>
    <t xml:space="preserve">CILINDRO DE RODA LD MITSUBISHI</t>
  </si>
  <si>
    <t xml:space="preserve">0986475919 (BOSCH) | BWK161 (TRW) | C3529 (CONTROIL) | MB500739 (OEM)</t>
  </si>
  <si>
    <t xml:space="preserve">SVP6014</t>
  </si>
  <si>
    <t xml:space="preserve">BOMBA DE VÁCUO TOYOTA</t>
  </si>
  <si>
    <t xml:space="preserve">SBC1056</t>
  </si>
  <si>
    <t xml:space="preserve">SWP189</t>
  </si>
  <si>
    <t xml:space="preserve">7000702008 (INDISA) | UB0814 (URBA) | VLBA0330140 (VILLA FRANCA)</t>
  </si>
  <si>
    <t xml:space="preserve">SOC9013</t>
  </si>
  <si>
    <t xml:space="preserve">RESFRIADOR OLEO VOLVO</t>
  </si>
  <si>
    <t xml:space="preserve">JAGUAR / LAND ROVER / VOLVO</t>
  </si>
  <si>
    <t xml:space="preserve">6G917A095 (OEM) | LR002916 (OEM)</t>
  </si>
  <si>
    <t xml:space="preserve">SWC5093</t>
  </si>
  <si>
    <t xml:space="preserve">6447 (ATE) | 93306552 (OEM) | 93306553 (OEM) | C3500 (CONTROIL) | CR3010 (BOSCH) | RCCR02890 (TRW)</t>
  </si>
  <si>
    <t xml:space="preserve">SCC2039</t>
  </si>
  <si>
    <t xml:space="preserve">C2645 (CONTROIL) | KG19009301 (FTE) | RCCE01060 (TRW) | VKCH4744 (SKF)</t>
  </si>
  <si>
    <t xml:space="preserve">SHP11015</t>
  </si>
  <si>
    <t xml:space="preserve">BOMBA DE ALTA PRESSÃO GM</t>
  </si>
  <si>
    <t xml:space="preserve">BOMBA DE ALTA PRESSÃO GDI</t>
  </si>
  <si>
    <t xml:space="preserve">12686830 (OEM)</t>
  </si>
  <si>
    <t xml:space="preserve">SWP247</t>
  </si>
  <si>
    <t xml:space="preserve">UB0956 (URBA)</t>
  </si>
  <si>
    <t xml:space="preserve">SBS8047</t>
  </si>
  <si>
    <t xml:space="preserve">203801 (SYL) | BPSA0091250 (MAZZICAR) | HO197CPA (FRAS-LE) | LS3526 (BOSCH)</t>
  </si>
  <si>
    <t xml:space="preserve">SOC9004</t>
  </si>
  <si>
    <t xml:space="preserve">21606-1XF0A (OEM)</t>
  </si>
  <si>
    <t xml:space="preserve">SOC9021</t>
  </si>
  <si>
    <t xml:space="preserve">RESFRIADRO DE ÓLEO MOTOR VW</t>
  </si>
  <si>
    <t xml:space="preserve">04E117021B (OEM) | 04E117021C (OEM) | 04E117021K (OEM)</t>
  </si>
  <si>
    <t xml:space="preserve">SWP338</t>
  </si>
  <si>
    <t xml:space="preserve">BOMBA D'ÁGUA HYUNDAI</t>
  </si>
  <si>
    <t xml:space="preserve">2510004050 (OEM) | 854522 (INDISA)</t>
  </si>
  <si>
    <t xml:space="preserve">SWC5008L</t>
  </si>
  <si>
    <t xml:space="preserve">CILINDRO DE RODA LE HONDA</t>
  </si>
  <si>
    <t xml:space="preserve">BWD6002 (TRW) | C3513 (CONTROIL) | CCR92233 (FORTEC)</t>
  </si>
  <si>
    <t xml:space="preserve">SBC1049</t>
  </si>
  <si>
    <t xml:space="preserve">RCCD00350 (TRW)</t>
  </si>
  <si>
    <t xml:space="preserve">SWC5008R</t>
  </si>
  <si>
    <t xml:space="preserve">CILINDRO DE RODA LD HONDA</t>
  </si>
  <si>
    <t xml:space="preserve">BWD6001 (TRW) | C3514 (CONTROIL) | CCR92234 (FORTEC)</t>
  </si>
  <si>
    <t xml:space="preserve">SBS8041</t>
  </si>
  <si>
    <t xml:space="preserve">201908 (SYL) | BPSA0090230 (MAZZICAR) | CI321CPA (FRAS-LE) | LS3543 (BOSCH)</t>
  </si>
  <si>
    <t xml:space="preserve">SVP6034</t>
  </si>
  <si>
    <t xml:space="preserve">SWP313</t>
  </si>
  <si>
    <t xml:space="preserve">BMW</t>
  </si>
  <si>
    <t xml:space="preserve">SBS8059PB</t>
  </si>
  <si>
    <t xml:space="preserve">206006 (SYL) | BPSA0090117 (MAZZICAR) | MB516CP (FRAS-LE)</t>
  </si>
  <si>
    <t xml:space="preserve">SOC9058</t>
  </si>
  <si>
    <t xml:space="preserve">RESFRIADOR DE ÓLEO MOTOR HYUNDAI</t>
  </si>
  <si>
    <t xml:space="preserve">2641004501 (OEM)</t>
  </si>
  <si>
    <t xml:space="preserve">SBS8065</t>
  </si>
  <si>
    <t xml:space="preserve">203114 (SYL) | 2848CPA (COBREQ) | BPSA0090153 (MAZZICAR) | FD480CPA (FRAS-LE)</t>
  </si>
  <si>
    <t xml:space="preserve">SCC2023</t>
  </si>
  <si>
    <t xml:space="preserve">KG190117.4.1 (FTE)</t>
  </si>
  <si>
    <t xml:space="preserve">SBS8110</t>
  </si>
  <si>
    <t xml:space="preserve">0504CPA (COBREQ) | 203011 (SYL) | 7078585 (OEM) | 7081572 (OEM) | 7087516 (OEM) | BPSA0090139 (MAZZICAR) | FI97CPA (FRAS-LE) | GS9016 (TRW) | LS3516 (BOSCH)</t>
  </si>
  <si>
    <t xml:space="preserve">SBC1074</t>
  </si>
  <si>
    <t xml:space="preserve">SBC1127M</t>
  </si>
  <si>
    <t xml:space="preserve">SOC9048</t>
  </si>
  <si>
    <t xml:space="preserve">RESFRIADOR DE ÓLEO MOTOR CITROEN</t>
  </si>
  <si>
    <t xml:space="preserve">1103N0 (OEM)</t>
  </si>
  <si>
    <t xml:space="preserve">SWP286</t>
  </si>
  <si>
    <t xml:space="preserve">BOMBA ÁGUA JEEP</t>
  </si>
  <si>
    <t xml:space="preserve">SBS8032</t>
  </si>
  <si>
    <t xml:space="preserve">2772CPA (COBREQ) | BPSA0096741 (MAZZICAR) | TY327CPA (FRAS-LE)</t>
  </si>
  <si>
    <t xml:space="preserve">SBC1033</t>
  </si>
  <si>
    <t xml:space="preserve">0204122140 (BOSCH) | C2167 (CONTROIL) | H2593401 (FTE) | PML424 (TRW)</t>
  </si>
  <si>
    <t xml:space="preserve">SSC3018</t>
  </si>
  <si>
    <t xml:space="preserve">CILINDRO AUXILIAR DE EMBREAGEM KIA</t>
  </si>
  <si>
    <t xml:space="preserve">KIA</t>
  </si>
  <si>
    <t xml:space="preserve">C2635 (CONTROIL) | PJD138 (TRW)</t>
  </si>
  <si>
    <t xml:space="preserve">SBS8038</t>
  </si>
  <si>
    <t xml:space="preserve">209003 (SYL) | 2821CPA (COBREQ) | BPSA0096845 (MAZZICAR) | VW523CPA (FRAS-LE)</t>
  </si>
  <si>
    <t xml:space="preserve">SBS8094PB</t>
  </si>
  <si>
    <t xml:space="preserve">203021 (SYL) | BPSA0097150 (MAZZICAR)</t>
  </si>
  <si>
    <t xml:space="preserve">SWC5047L</t>
  </si>
  <si>
    <t xml:space="preserve">CILINDRO DE RODA LE GM</t>
  </si>
  <si>
    <t xml:space="preserve">0986AB8495 (BOSCH) | 6262 (ATE) | 93233867 (OEM) | 93233869 (OEM) | C3417 (CONTROIL) | CR2408 (BOSCH) | RCCR01970 (TRW)</t>
  </si>
  <si>
    <t xml:space="preserve">SBC1127A</t>
  </si>
  <si>
    <t xml:space="preserve">SWP254</t>
  </si>
  <si>
    <t xml:space="preserve">BOMBA ÁGUA CHANA</t>
  </si>
  <si>
    <t xml:space="preserve">CHANA / EFFA MOTORS / HAFEI</t>
  </si>
  <si>
    <t xml:space="preserve">SOC9018</t>
  </si>
  <si>
    <t xml:space="preserve">RESFRIADOR OLEO HYUNDAI</t>
  </si>
  <si>
    <t xml:space="preserve">264214A700 (OEM)</t>
  </si>
  <si>
    <t xml:space="preserve">SWP244</t>
  </si>
  <si>
    <t xml:space="preserve">SBC1061</t>
  </si>
  <si>
    <t xml:space="preserve">SBC1173</t>
  </si>
  <si>
    <t xml:space="preserve">CILINDRO MESTRE DE FREIO L ROVER</t>
  </si>
  <si>
    <t xml:space="preserve">SBC1166</t>
  </si>
  <si>
    <t xml:space="preserve">SWP185</t>
  </si>
  <si>
    <t xml:space="preserve">7000854010 (INDISA) | UB0420 (URBA)</t>
  </si>
  <si>
    <t xml:space="preserve">SBS8081</t>
  </si>
  <si>
    <t xml:space="preserve">206804 (SYL) | BPSA0090164 (MAZZICAR) | NI176CP (FRAS-LE)</t>
  </si>
  <si>
    <t xml:space="preserve">SBS8051</t>
  </si>
  <si>
    <t xml:space="preserve">206806 (SYL) | 2825CP (COBREQ) | BPSA0095710 (MAZZICAR) | NI528CP (FRAS-LE)</t>
  </si>
  <si>
    <t xml:space="preserve">SOC9083</t>
  </si>
  <si>
    <t xml:space="preserve">RESFRIADOR DE ÓLEO FORD</t>
  </si>
  <si>
    <t xml:space="preserve">J7BZ7095D (OEM) | J7BZ7A095D (OEM)</t>
  </si>
  <si>
    <t xml:space="preserve">SBS8080</t>
  </si>
  <si>
    <t xml:space="preserve">206803 (SYL) | BPSA0090162 (MAZZICAR) | NI442CP (FRAS-LE)</t>
  </si>
  <si>
    <t xml:space="preserve">SVP6008</t>
  </si>
  <si>
    <t xml:space="preserve">BOMBA DE VÁCUO MERCEDES-BENZ</t>
  </si>
  <si>
    <t xml:space="preserve">702551260 (PIERBURG)</t>
  </si>
  <si>
    <t xml:space="preserve">SOC9020C</t>
  </si>
  <si>
    <t xml:space="preserve">K68275310AA (OEM)</t>
  </si>
  <si>
    <t xml:space="preserve">STC12075</t>
  </si>
  <si>
    <t xml:space="preserve">VÁLVULA TERMOSTÁTICA HYUNDAI</t>
  </si>
  <si>
    <t xml:space="preserve">1161.82 (VALCLEI) | 25500-23001 (OEM)</t>
  </si>
  <si>
    <t xml:space="preserve">SCC2125</t>
  </si>
  <si>
    <t xml:space="preserve">CILINDRO MESTRE DE EMBREAGEM PEUGEOT</t>
  </si>
  <si>
    <t xml:space="preserve">982425540 (OEM)</t>
  </si>
  <si>
    <t xml:space="preserve">SCC2091</t>
  </si>
  <si>
    <t xml:space="preserve">C2675 (CONTROIL) | MR995034 (OEM)</t>
  </si>
  <si>
    <t xml:space="preserve">SBC1138</t>
  </si>
  <si>
    <t xml:space="preserve">SBC1182</t>
  </si>
  <si>
    <t xml:space="preserve">SCC2095</t>
  </si>
  <si>
    <t xml:space="preserve">C2652 (CONTROIL) | MR267829 (OEM)</t>
  </si>
  <si>
    <t xml:space="preserve">SBC1072</t>
  </si>
  <si>
    <t xml:space="preserve">C2164 (CONTROIL)</t>
  </si>
  <si>
    <t xml:space="preserve">SBS8049</t>
  </si>
  <si>
    <t xml:space="preserve">SAPATA DE FREIO JAC</t>
  </si>
  <si>
    <t xml:space="preserve">BPSA0090173 (MAZZICAR)</t>
  </si>
  <si>
    <t xml:space="preserve">SBC1059</t>
  </si>
  <si>
    <t xml:space="preserve">SBC1157</t>
  </si>
  <si>
    <t xml:space="preserve">6340 (ATE) | C2068 (CONTROIL) | RCCD00292 (TRW)</t>
  </si>
  <si>
    <t xml:space="preserve">SCC2084</t>
  </si>
  <si>
    <t xml:space="preserve">SWP238</t>
  </si>
  <si>
    <t xml:space="preserve">SBC1219</t>
  </si>
  <si>
    <t xml:space="preserve">7616 (ATE) | RCCM22377 (TRW)</t>
  </si>
  <si>
    <t xml:space="preserve">SSC3013</t>
  </si>
  <si>
    <t xml:space="preserve">C2678 (CONTROIL) | D161011 (FTE)</t>
  </si>
  <si>
    <t xml:space="preserve">SBC1175</t>
  </si>
  <si>
    <t xml:space="preserve">94S4Z2140B (OEM) | C2218 (CONTROIL)</t>
  </si>
  <si>
    <t xml:space="preserve">SCS4028</t>
  </si>
  <si>
    <t xml:space="preserve">SWP037</t>
  </si>
  <si>
    <t xml:space="preserve">20160 (SCHADEK) | 7000702003 (INDISA) | NKBA09820 (NAKATA) | UB0820 (URBA) | VKPC86416 (SKF)</t>
  </si>
  <si>
    <t xml:space="preserve">SWP224</t>
  </si>
  <si>
    <t xml:space="preserve">SCC2026</t>
  </si>
  <si>
    <t xml:space="preserve">SCC2020</t>
  </si>
  <si>
    <t xml:space="preserve">D111023 (FTE)</t>
  </si>
  <si>
    <t xml:space="preserve">SBC1159</t>
  </si>
  <si>
    <t xml:space="preserve">0204838259 (BOSCH) | 4720109870 (OEM)</t>
  </si>
  <si>
    <t xml:space="preserve">SBS8058PB</t>
  </si>
  <si>
    <t xml:space="preserve">SAPATA DE FREIO MITSUBISHI</t>
  </si>
  <si>
    <t xml:space="preserve">SWP187</t>
  </si>
  <si>
    <t xml:space="preserve">7000404504 (INDISA) | VLBA0010472 (VILLA FRANCA)</t>
  </si>
  <si>
    <t xml:space="preserve">SBC1035</t>
  </si>
  <si>
    <t xml:space="preserve">0986AB8645 (BOSCH) | 6152 (ATE) | 7082215 (OEM) | C2139 (CONTROIL) | RCCD01810 (TRW)</t>
  </si>
  <si>
    <t xml:space="preserve">SSC3000</t>
  </si>
  <si>
    <t xml:space="preserve">D151065 (FTE) | RCCE01270 (TRW) | VKCH151065 (SKF)</t>
  </si>
  <si>
    <t xml:space="preserve">SWC5101</t>
  </si>
  <si>
    <t xml:space="preserve">CILINDRO DE RODA LE/LD VW - IGUAL SWC5083</t>
  </si>
  <si>
    <t xml:space="preserve">171611053 (OEM) | 1H0611053B (OEM) | 3056110514 (OEM) | 5345 (ATE) | C3350 (CONTROIL) | CR2002 (BOSCH) | RCCR00384 (TRW)</t>
  </si>
  <si>
    <t xml:space="preserve">SCC2042</t>
  </si>
  <si>
    <t xml:space="preserve">KG19018771 (FTE)</t>
  </si>
  <si>
    <t xml:space="preserve">SBC1051</t>
  </si>
  <si>
    <t xml:space="preserve">C2148 (CONTROIL)</t>
  </si>
  <si>
    <t xml:space="preserve">SBC1208</t>
  </si>
  <si>
    <t xml:space="preserve">7669 (ATE) | 935390407 (OEM)</t>
  </si>
  <si>
    <t xml:space="preserve">SCC2015</t>
  </si>
  <si>
    <t xml:space="preserve">C2668 (CONTROIL) | KG1504402 (FTE) | RCCE01000 (TRW) | VKCH4740 (SKF)</t>
  </si>
  <si>
    <t xml:space="preserve">SBS8092</t>
  </si>
  <si>
    <t xml:space="preserve">2812CPA (COBREQ) | BPSA0094693 (MAZZICAR) | CB419CPA (FRAS-LE)</t>
  </si>
  <si>
    <t xml:space="preserve">SWP257</t>
  </si>
  <si>
    <t xml:space="preserve">BOMBA ÁGUA VOLVO</t>
  </si>
  <si>
    <t xml:space="preserve">SWC5083</t>
  </si>
  <si>
    <t xml:space="preserve">CILINDRO DE RODA LE/LD VW - IGUAL SWC5101</t>
  </si>
  <si>
    <t xml:space="preserve">SWC5060</t>
  </si>
  <si>
    <t xml:space="preserve">CILINDRO DE RODA GM - IGUAL SWC5084</t>
  </si>
  <si>
    <t xml:space="preserve">26276611 (OEM) | C3572 (CONTROIL)</t>
  </si>
  <si>
    <t xml:space="preserve">SBS8075</t>
  </si>
  <si>
    <t xml:space="preserve">SAPATA DE FREIO KIA</t>
  </si>
  <si>
    <t xml:space="preserve">BPSA0096073 (MAZZICAR)</t>
  </si>
  <si>
    <t xml:space="preserve">SOC9055</t>
  </si>
  <si>
    <t xml:space="preserve">2641025402 (OEM) | 264102G000 (OEM)</t>
  </si>
  <si>
    <t xml:space="preserve">SBC1218</t>
  </si>
  <si>
    <t xml:space="preserve">1S614105D (OEM)</t>
  </si>
  <si>
    <t xml:space="preserve">SOC9054</t>
  </si>
  <si>
    <t xml:space="preserve">216063JX2B (OEM)</t>
  </si>
  <si>
    <t xml:space="preserve">SBC1038</t>
  </si>
  <si>
    <t xml:space="preserve">93743542 (OEM) | C2234 (CONTROIL)</t>
  </si>
  <si>
    <t xml:space="preserve">SWC5028L</t>
  </si>
  <si>
    <t xml:space="preserve">6270 (ATE) | C3498 (CONTROIL) | CCR92230 (FORTEC) | MB238828 (OEM) | RCCR03020 (TRW)</t>
  </si>
  <si>
    <t xml:space="preserve">SVP6009</t>
  </si>
  <si>
    <t xml:space="preserve">724807300 (PIERBURG)</t>
  </si>
  <si>
    <t xml:space="preserve">SOC9025</t>
  </si>
  <si>
    <t xml:space="preserve">RESFRIADRO DE ÓLEO MOTOR RENAULT</t>
  </si>
  <si>
    <t xml:space="preserve">8201005241 (OEM)</t>
  </si>
  <si>
    <t xml:space="preserve">SCC2089</t>
  </si>
  <si>
    <t xml:space="preserve">SVP6013</t>
  </si>
  <si>
    <t xml:space="preserve">SCS4025</t>
  </si>
  <si>
    <t xml:space="preserve">ATUADOR DE EMBREAGEM CITROEN</t>
  </si>
  <si>
    <t xml:space="preserve">CITROEN / MINI / PEUGEOT</t>
  </si>
  <si>
    <t xml:space="preserve">SCC2055</t>
  </si>
  <si>
    <t xml:space="preserve">SWP101</t>
  </si>
  <si>
    <t xml:space="preserve">BOMBA ÁGUA JINBEI</t>
  </si>
  <si>
    <t xml:space="preserve">JINBEI</t>
  </si>
  <si>
    <t xml:space="preserve">SWC5062</t>
  </si>
  <si>
    <t xml:space="preserve">CILINDRO DE RODA VW</t>
  </si>
  <si>
    <t xml:space="preserve">2QB611053B (OEM) | C3576 (CONTROIL)</t>
  </si>
  <si>
    <t xml:space="preserve">SWP004</t>
  </si>
  <si>
    <t xml:space="preserve">CHRYSLER / DODGE / JEEP</t>
  </si>
  <si>
    <t xml:space="preserve">SWC5080</t>
  </si>
  <si>
    <t xml:space="preserve">CILINDRO DE RODA LE/LD PEUGEOT</t>
  </si>
  <si>
    <t xml:space="preserve">1607138880 (OEM) | C3575 (CONTROIL)</t>
  </si>
  <si>
    <t xml:space="preserve">SBC1206A</t>
  </si>
  <si>
    <t xml:space="preserve">STC12059</t>
  </si>
  <si>
    <t xml:space="preserve">VÁLVULA TERMOSTÁTICA RENAULT</t>
  </si>
  <si>
    <t xml:space="preserve">1289.89 (VALCLEI) | 2120006394R (OEM) | 4119200089 (OEM)</t>
  </si>
  <si>
    <t xml:space="preserve">SOC9049</t>
  </si>
  <si>
    <t xml:space="preserve">1103P7 (OEM) | 1103T5 (OEM) | 1103T7 (OEM) | 11427552687 (OEM) | V864374580 (OEM)</t>
  </si>
  <si>
    <t xml:space="preserve">SWP156</t>
  </si>
  <si>
    <t xml:space="preserve">BOMBA ÁGUA TOYOTA</t>
  </si>
  <si>
    <t xml:space="preserve">LIFAN / TOYOTA</t>
  </si>
  <si>
    <t xml:space="preserve">7000904507 (INDISA) | NKBA16703 (NAKATA) | UB0703 (URBA)</t>
  </si>
  <si>
    <t xml:space="preserve">SVP6019</t>
  </si>
  <si>
    <t xml:space="preserve">BOMBA DE VÁCUO MITSUBISHI</t>
  </si>
  <si>
    <t xml:space="preserve">SWP151</t>
  </si>
  <si>
    <t xml:space="preserve">BOMBA ÁGUA LIFAN</t>
  </si>
  <si>
    <t xml:space="preserve">SVP6015</t>
  </si>
  <si>
    <t xml:space="preserve">BOMBA DE VÁCUO RENAULT</t>
  </si>
  <si>
    <t xml:space="preserve">SBC1024B</t>
  </si>
  <si>
    <t xml:space="preserve">CILINDRO MESTRE DE FREIO KIA</t>
  </si>
  <si>
    <t xml:space="preserve">58510-2E000 (OEM)</t>
  </si>
  <si>
    <t xml:space="preserve">SBC1092C</t>
  </si>
  <si>
    <t xml:space="preserve">STC12067</t>
  </si>
  <si>
    <t xml:space="preserve">1100.82 (VALCLEI) | 25500-2B000 (OEM)</t>
  </si>
  <si>
    <t xml:space="preserve">SWP209</t>
  </si>
  <si>
    <t xml:space="preserve">7000504505 (INDISA) | UB0822 (URBA)</t>
  </si>
  <si>
    <t xml:space="preserve">SOC9057</t>
  </si>
  <si>
    <t xml:space="preserve">RESFRIADOR DE ÓLEO CÂMBIO CITROEN</t>
  </si>
  <si>
    <t xml:space="preserve">2275.71 (OEM)</t>
  </si>
  <si>
    <t xml:space="preserve">SCC2106</t>
  </si>
  <si>
    <t xml:space="preserve">306104007R (OEM)</t>
  </si>
  <si>
    <t xml:space="preserve">SWC5028R</t>
  </si>
  <si>
    <t xml:space="preserve">6271 (ATE) | C3499 (CONTROIL) | CCR92231 (FORTEC) | MB238829 (OEM) | RCCR03030 (TRW)</t>
  </si>
  <si>
    <t xml:space="preserve">SBS8048</t>
  </si>
  <si>
    <t xml:space="preserve">2815CPA (COBREQ) | BPSA0096067 (MAZZICAR) | HY487CPA (FRAS-LE)</t>
  </si>
  <si>
    <t xml:space="preserve">SBC1030</t>
  </si>
  <si>
    <t xml:space="preserve">RCCD01730 (TRW)</t>
  </si>
  <si>
    <t xml:space="preserve">SBC1257</t>
  </si>
  <si>
    <t xml:space="preserve">93354203 (OEM) | C2168 (CONTROIL) | RCCD01670 (TRW)</t>
  </si>
  <si>
    <t xml:space="preserve">SCA8022FR</t>
  </si>
  <si>
    <t xml:space="preserve">BANDEJA COMPLETA LD RENAULT</t>
  </si>
  <si>
    <t xml:space="preserve">BANDEJA INFERIOR</t>
  </si>
  <si>
    <t xml:space="preserve">5442364 (MONROE) | BDJ5226 (PERFECT) | NBJ6010DP (NAKATA) | RN4054CGG (GRAZZIMETAL) | SB8148DP (SAMPEL)</t>
  </si>
  <si>
    <t xml:space="preserve">SCC2088</t>
  </si>
  <si>
    <t xml:space="preserve">SCC2049</t>
  </si>
  <si>
    <t xml:space="preserve">KG1504047 (FTE) | RCCE00980 (TRW) | VKCH4891 (SKF)</t>
  </si>
  <si>
    <t xml:space="preserve">SWP146</t>
  </si>
  <si>
    <t xml:space="preserve">20211 (SCHADEK) | 7000204501 (INDISA) | UB0955 (URBA)</t>
  </si>
  <si>
    <t xml:space="preserve">SBS8036</t>
  </si>
  <si>
    <t xml:space="preserve">201600 (SYL) | BPSA0097460 (MAZZICAR) | CH524CP (FRAS-LE)</t>
  </si>
  <si>
    <t xml:space="preserve">SWP150</t>
  </si>
  <si>
    <t xml:space="preserve">20219 (SCHADEK) | 7000952500 (INDISA) | UB0808 (URBA) | VKPC83430 (SKF)</t>
  </si>
  <si>
    <t xml:space="preserve">SWP065</t>
  </si>
  <si>
    <t xml:space="preserve">7000114001 (INDISA)</t>
  </si>
  <si>
    <t xml:space="preserve">SBC1205</t>
  </si>
  <si>
    <t xml:space="preserve">SCS4035</t>
  </si>
  <si>
    <t xml:space="preserve">AT013GU (ELPER)</t>
  </si>
  <si>
    <t xml:space="preserve">SBS8093PB</t>
  </si>
  <si>
    <t xml:space="preserve">BPSA0095720 (MAZZICAR)</t>
  </si>
  <si>
    <t xml:space="preserve">SCS4026</t>
  </si>
  <si>
    <t xml:space="preserve">ATUADOR DE EMBREAGEM TOYOTA</t>
  </si>
  <si>
    <t xml:space="preserve">5100133100 (LUK)</t>
  </si>
  <si>
    <t xml:space="preserve">SCC2097</t>
  </si>
  <si>
    <t xml:space="preserve">SBC1198</t>
  </si>
  <si>
    <t xml:space="preserve">SSC3043</t>
  </si>
  <si>
    <t xml:space="preserve">CILINDRO AUXILIAR DE EMBREAGEM IVECO</t>
  </si>
  <si>
    <t xml:space="preserve">29126 (LNG)</t>
  </si>
  <si>
    <t xml:space="preserve">SVP6020</t>
  </si>
  <si>
    <t xml:space="preserve">CITROEN / FIAT / IVECO</t>
  </si>
  <si>
    <t xml:space="preserve">SOC9099</t>
  </si>
  <si>
    <t xml:space="preserve">RESFRIADOR DE ÓLEO BMW</t>
  </si>
  <si>
    <t xml:space="preserve">11428580414 (OEM) | 11428580415 (OEM) | 11428651710 (OEM)</t>
  </si>
  <si>
    <t xml:space="preserve">SCA8022FL</t>
  </si>
  <si>
    <t xml:space="preserve">BANDEJA COMPLETA LE RENAULT</t>
  </si>
  <si>
    <t xml:space="preserve">5442365 (MONROE) | BDJ5225 (PERFECT) | NBJ6010EP (NAKATA) | RN4053CGG (GRAZZIMETAL) | SB8148EP (SAMPEL)</t>
  </si>
  <si>
    <t xml:space="preserve">SWP324</t>
  </si>
  <si>
    <t xml:space="preserve">2742000107 (OEM)</t>
  </si>
  <si>
    <t xml:space="preserve">SWP029</t>
  </si>
  <si>
    <t xml:space="preserve">7000904500 (INDISA)</t>
  </si>
  <si>
    <t xml:space="preserve">SOC9046</t>
  </si>
  <si>
    <t xml:space="preserve">RESFRIADOR DE ÓLEO MOTOR FORD</t>
  </si>
  <si>
    <t xml:space="preserve">BB3Q6B624EA (OEM)</t>
  </si>
  <si>
    <t xml:space="preserve">STC12019</t>
  </si>
  <si>
    <t xml:space="preserve">1277.88 (VALCLEI) | 55241404 (OEM)</t>
  </si>
  <si>
    <t xml:space="preserve">STC12044</t>
  </si>
  <si>
    <t xml:space="preserve">VÁLVULA TERMOSTÁTICA FORD</t>
  </si>
  <si>
    <t xml:space="preserve">1200.92 (VALCLEI) | CM5G61J20AA (OEM) | CM5G9K478FA (OEM) | CM5Z8592A (OEM)</t>
  </si>
  <si>
    <t xml:space="preserve">SSC3014</t>
  </si>
  <si>
    <t xml:space="preserve">CILINDRO AUXILIAR DE EMBREAGEM AUDI/VW</t>
  </si>
  <si>
    <t xml:space="preserve">KN1903141 (FTE)</t>
  </si>
  <si>
    <t xml:space="preserve">SBS8071PB</t>
  </si>
  <si>
    <t xml:space="preserve">BPSA0096083 (MAZZICAR)</t>
  </si>
  <si>
    <t xml:space="preserve">SWP011</t>
  </si>
  <si>
    <t xml:space="preserve">20198 (SCHADEK) | 7000254008 (INDISA) | NKBA03341 (NAKATA) | UB0341 (URBA) | VKPC4899 (SKF)</t>
  </si>
  <si>
    <t xml:space="preserve">SBC1115B</t>
  </si>
  <si>
    <t xml:space="preserve">STC12041</t>
  </si>
  <si>
    <t xml:space="preserve">46346508 (OEM)</t>
  </si>
  <si>
    <t xml:space="preserve">STC12055</t>
  </si>
  <si>
    <t xml:space="preserve">GN1G9K478BA (OEM)</t>
  </si>
  <si>
    <t xml:space="preserve">SCA8035FR</t>
  </si>
  <si>
    <t xml:space="preserve">BDJ0640 (PERFECT) | NBJ6014DP (NAKATA) | RN4100C (GRAZZIMETAL) | SB8198DP (SAMPEL)</t>
  </si>
  <si>
    <t xml:space="preserve">STC12006</t>
  </si>
  <si>
    <t xml:space="preserve">VÁLVULA TERMOSTÁTICA CITROEN</t>
  </si>
  <si>
    <t xml:space="preserve">9803549480 (OEM) | 9850364680 (OEM)</t>
  </si>
  <si>
    <t xml:space="preserve">SCA8035FL</t>
  </si>
  <si>
    <t xml:space="preserve">BDJ0641 (PERFECT) | NBJ6014EP (NAKATA) | RN4101C (GRAZZIMETAL) | SB8198EP (SAMPEL)</t>
  </si>
  <si>
    <t xml:space="preserve">SBC1181</t>
  </si>
  <si>
    <t xml:space="preserve">0986AB8674 (BOSCH) | YC352A032AA (OEM)</t>
  </si>
  <si>
    <t xml:space="preserve">SBC1133</t>
  </si>
  <si>
    <t xml:space="preserve">SBS8076PB</t>
  </si>
  <si>
    <t xml:space="preserve">BPSA0095200 (MAZZICAR) | MI439CP (FRAS-LE)</t>
  </si>
  <si>
    <t xml:space="preserve">SBC1227</t>
  </si>
  <si>
    <t xml:space="preserve">460111914R (OEM)</t>
  </si>
  <si>
    <t xml:space="preserve">SWP323</t>
  </si>
  <si>
    <t xml:space="preserve">VOLVO</t>
  </si>
  <si>
    <t xml:space="preserve">31368419 (OEM)</t>
  </si>
  <si>
    <t xml:space="preserve">SOC9012</t>
  </si>
  <si>
    <t xml:space="preserve">02E409061B (OEM)</t>
  </si>
  <si>
    <t xml:space="preserve">SOC9070</t>
  </si>
  <si>
    <t xml:space="preserve">RESFRIADOR DE ÓLEO MOTOR RENAULT</t>
  </si>
  <si>
    <t xml:space="preserve">8200969622 (OEM)</t>
  </si>
  <si>
    <t xml:space="preserve">SBS8029</t>
  </si>
  <si>
    <t xml:space="preserve">206501 (SYL) | 2760CP (COBREQ) | BPSA0095250 (MAZZICAR) | LS3533 (BOSCH) | MI198CP (FRAS-LE)</t>
  </si>
  <si>
    <t xml:space="preserve">SWP210</t>
  </si>
  <si>
    <t xml:space="preserve">SHP11014</t>
  </si>
  <si>
    <t xml:space="preserve">BOMBA DE ALTA PRESSÃO AUDI/VW</t>
  </si>
  <si>
    <t xml:space="preserve">04E127026AA (OEM) | 04E127026AG (OEM) | 04E127026BC (OEM) | 04E127026BD (OEM) | 04E127026BJ (OEM)</t>
  </si>
  <si>
    <t xml:space="preserve">SWC5094</t>
  </si>
  <si>
    <t xml:space="preserve">204011571 (OEM) | C3542 (CONTROIL) | RCCR03600 (TRW)</t>
  </si>
  <si>
    <t xml:space="preserve">SBS8067</t>
  </si>
  <si>
    <t xml:space="preserve">201714 (SYL) | BPSA0090180 (MAZZICAR) | CB51CPA (FRAS-LE)</t>
  </si>
  <si>
    <t xml:space="preserve">SVP6001</t>
  </si>
  <si>
    <t xml:space="preserve">724807220 (PIERBURG)</t>
  </si>
  <si>
    <t xml:space="preserve">SWP285</t>
  </si>
  <si>
    <t xml:space="preserve">951004 (INDISA)</t>
  </si>
  <si>
    <t xml:space="preserve">SOC9063</t>
  </si>
  <si>
    <t xml:space="preserve">RESFRIADOR DE OLEO TOYOTA</t>
  </si>
  <si>
    <t xml:space="preserve">2241001731 (OEM) | 2241001741 (OEM)</t>
  </si>
  <si>
    <t xml:space="preserve">SBC1216</t>
  </si>
  <si>
    <t xml:space="preserve">SBC1193</t>
  </si>
  <si>
    <t xml:space="preserve">ASIA / KIA</t>
  </si>
  <si>
    <t xml:space="preserve">SWP183</t>
  </si>
  <si>
    <t xml:space="preserve">7000114500 (INDISA)</t>
  </si>
  <si>
    <t xml:space="preserve">SWP204</t>
  </si>
  <si>
    <t xml:space="preserve">SCC2050</t>
  </si>
  <si>
    <t xml:space="preserve">KG1504004 (FTE) | RCCE00960 (TRW) | VKCH4893 (SKF)</t>
  </si>
  <si>
    <t xml:space="preserve">SBS8004</t>
  </si>
  <si>
    <t xml:space="preserve">203103 (SYL) | 2628CPA (COBREQ) | BPSA0090152 (MAZZICAR) | FD130CPA (FRAS-LE) | HQJ513A (JURID) | RRSA00770 (TRW)</t>
  </si>
  <si>
    <t xml:space="preserve">SBC1092B</t>
  </si>
  <si>
    <t xml:space="preserve">AB312004WA (OEM)</t>
  </si>
  <si>
    <t xml:space="preserve">SCC2021</t>
  </si>
  <si>
    <t xml:space="preserve">C2690 (CONTROIL) | KG19013741 (FTE) | RCCE01450 (TRW) | VKCH19013741 (SKF)</t>
  </si>
  <si>
    <t xml:space="preserve">SBC1209</t>
  </si>
  <si>
    <t xml:space="preserve">SBC1186</t>
  </si>
  <si>
    <t xml:space="preserve">46010ET010 (OEM) | 7638 (ATE)</t>
  </si>
  <si>
    <t xml:space="preserve">SCC2102</t>
  </si>
  <si>
    <t xml:space="preserve">C2721 (CONTROIL) | MR374499 (OEM)</t>
  </si>
  <si>
    <t xml:space="preserve">SSC3049</t>
  </si>
  <si>
    <t xml:space="preserve">SBC1071</t>
  </si>
  <si>
    <t xml:space="preserve">58510-07000 (OEM)</t>
  </si>
  <si>
    <t xml:space="preserve">SWP199</t>
  </si>
  <si>
    <t xml:space="preserve">SWP058</t>
  </si>
  <si>
    <t xml:space="preserve">BOMBA ÁGUA SUBARU</t>
  </si>
  <si>
    <t xml:space="preserve">SUBARU</t>
  </si>
  <si>
    <t xml:space="preserve">7000774000 (INDISA)</t>
  </si>
  <si>
    <t xml:space="preserve">SBS8069PB</t>
  </si>
  <si>
    <t xml:space="preserve">BPSA0096084 (MAZZICAR)</t>
  </si>
  <si>
    <t xml:space="preserve">SSC3048</t>
  </si>
  <si>
    <t xml:space="preserve">C2722 (CONTROIL) | MR410188 (OEM)</t>
  </si>
  <si>
    <t xml:space="preserve">SCC2096</t>
  </si>
  <si>
    <t xml:space="preserve">SBC1043</t>
  </si>
  <si>
    <t xml:space="preserve">6338 (ATE) | C-2081 (CONTROIL) | RCCD00940 (TRW)</t>
  </si>
  <si>
    <t xml:space="preserve">SBS8064PB</t>
  </si>
  <si>
    <t xml:space="preserve">JEEP / MITSUBISHI</t>
  </si>
  <si>
    <t xml:space="preserve">BPSA0095230 (MAZZICAR) | CI525CP (FRAS-LE)</t>
  </si>
  <si>
    <t xml:space="preserve">SBS8072PB</t>
  </si>
  <si>
    <t xml:space="preserve">BPSA0096066 (MAZZICAR)</t>
  </si>
  <si>
    <t xml:space="preserve">SWP177</t>
  </si>
  <si>
    <t xml:space="preserve">SWP108</t>
  </si>
  <si>
    <t xml:space="preserve">MITSUBISHI / VOLVO</t>
  </si>
  <si>
    <t xml:space="preserve">7000854005 (INDISA)</t>
  </si>
  <si>
    <t xml:space="preserve">SBC1246</t>
  </si>
  <si>
    <t xml:space="preserve">CILINDRO MESTRE FREIO M BENZ</t>
  </si>
  <si>
    <t xml:space="preserve">0204032412 (BOSCH) | 0986AB8613 (BOSCH) | 3084307001 (OEM) | C2069 (CONTROIL) | RCCM00047 (TRW)</t>
  </si>
  <si>
    <t xml:space="preserve">SWP370</t>
  </si>
  <si>
    <t xml:space="preserve">925164GA0A (OEM)</t>
  </si>
  <si>
    <t xml:space="preserve">SBC1210</t>
  </si>
  <si>
    <t xml:space="preserve">58510-2S101 (OEM)</t>
  </si>
  <si>
    <t xml:space="preserve">SWP335</t>
  </si>
  <si>
    <t xml:space="preserve">LR013164 (OEM) | LR061982 (OEM) | LR089625 (OEM)</t>
  </si>
  <si>
    <t xml:space="preserve">SBC1185</t>
  </si>
  <si>
    <t xml:space="preserve">CILINDRO MESTRE DE FREIO DODGE</t>
  </si>
  <si>
    <t xml:space="preserve">DODGE</t>
  </si>
  <si>
    <t xml:space="preserve">68144664AA (OEM)</t>
  </si>
  <si>
    <t xml:space="preserve">SOC9096</t>
  </si>
  <si>
    <t xml:space="preserve">RESFRIADOR DE ÓLEO GM</t>
  </si>
  <si>
    <t xml:space="preserve">55509822 (OEM)</t>
  </si>
  <si>
    <t xml:space="preserve">SWP252</t>
  </si>
  <si>
    <t xml:space="preserve">SWP061</t>
  </si>
  <si>
    <t xml:space="preserve">20206 (SCHADEK) | 7000702001 (INDISA) | NKBA09805 (NAKATA) | UB0805 (URBA) | VKPC86215 (SKF)</t>
  </si>
  <si>
    <t xml:space="preserve">SCC2001</t>
  </si>
  <si>
    <t xml:space="preserve">D101126 (FTE) | RCCE00850 (TRW) | VKCH101126 (SKF)</t>
  </si>
  <si>
    <t xml:space="preserve">SOC9053</t>
  </si>
  <si>
    <t xml:space="preserve">RESFRIADOR DE ÓLEO CÂMBIO NISSAN</t>
  </si>
  <si>
    <t xml:space="preserve">21606X481A (OEM)</t>
  </si>
  <si>
    <t xml:space="preserve">SOC9033</t>
  </si>
  <si>
    <t xml:space="preserve">SUPORTE RESFRIADOR DE ÓLEO MOTOR</t>
  </si>
  <si>
    <t xml:space="preserve">07K115397D (OEM)</t>
  </si>
  <si>
    <t xml:space="preserve">SVP6024</t>
  </si>
  <si>
    <t xml:space="preserve">BOMBA DE VÁCUO AUDI/VW</t>
  </si>
  <si>
    <t xml:space="preserve">701341030 (PIERBURG)</t>
  </si>
  <si>
    <t xml:space="preserve">SVP6012</t>
  </si>
  <si>
    <t xml:space="preserve">SWP120</t>
  </si>
  <si>
    <t xml:space="preserve">20069 (SCHADEK) | 7000404000 (INDISA) | NKBA04340 (NAKATA) | UB0340 (URBA) | VKPC84425A (SKF)</t>
  </si>
  <si>
    <t xml:space="preserve">SWC5059</t>
  </si>
  <si>
    <t xml:space="preserve">95910900 (OEM) | C3573 (CONTROIL)</t>
  </si>
  <si>
    <t xml:space="preserve">SWC5071</t>
  </si>
  <si>
    <t xml:space="preserve">5727 (ATE) | 7078624 (OEM) | C3437 (CONTROIL) | CR9291 (BOSCH) | RCCR01990 (TRW)</t>
  </si>
  <si>
    <t xml:space="preserve">SWP167</t>
  </si>
  <si>
    <t xml:space="preserve">BOMBA ÁGUA PEUGEOT</t>
  </si>
  <si>
    <t xml:space="preserve">7000952501 (INDISA)</t>
  </si>
  <si>
    <t xml:space="preserve">SWP282</t>
  </si>
  <si>
    <t xml:space="preserve">BOMBA AGUA LAND ROVER</t>
  </si>
  <si>
    <t xml:space="preserve">STC12069</t>
  </si>
  <si>
    <t xml:space="preserve">VÁLVULA TERMOSTÁTICA TOYOTA</t>
  </si>
  <si>
    <t xml:space="preserve">9091603093 (OEM)</t>
  </si>
  <si>
    <t xml:space="preserve">SCC2034</t>
  </si>
  <si>
    <t xml:space="preserve">KG1504801 (FTE) | RCCE01010 (TRW) | VKCH4890 (SKF)</t>
  </si>
  <si>
    <t xml:space="preserve">SWP131</t>
  </si>
  <si>
    <t xml:space="preserve">7000752502 (INDISA) | UB0616 (URBA)</t>
  </si>
  <si>
    <t xml:space="preserve">SBS8083PB</t>
  </si>
  <si>
    <t xml:space="preserve">NISSAN / TOYOTA</t>
  </si>
  <si>
    <t xml:space="preserve">BPSA0096737 (MAZZICAR)</t>
  </si>
  <si>
    <t xml:space="preserve">SOC9067</t>
  </si>
  <si>
    <t xml:space="preserve">06L117021C (OEM) | 06L117021E (OEM)</t>
  </si>
  <si>
    <t xml:space="preserve">SBC1229</t>
  </si>
  <si>
    <t xml:space="preserve">460111659R (OEM)</t>
  </si>
  <si>
    <t xml:space="preserve">SCC2024</t>
  </si>
  <si>
    <t xml:space="preserve">SHP11005</t>
  </si>
  <si>
    <t xml:space="preserve">BOMBA DE ALTA PRESSÃO LAND ROVER</t>
  </si>
  <si>
    <t xml:space="preserve">1682260 (OEM) | 31359675 (OEM) | 5162174 (OEM) | AG9E9D376AA (OEM) | AG9E9D376AB (OEM) | AG9G9350BB (OEM) | LR025599 (OEM)</t>
  </si>
  <si>
    <t xml:space="preserve">SBC1063</t>
  </si>
  <si>
    <t xml:space="preserve">6S4Z2140AA (OEM) | C2146 (CONTROIL) | PMK602 (TRW) | YS4Z2004AA (OEM)</t>
  </si>
  <si>
    <t xml:space="preserve">SBC1107</t>
  </si>
  <si>
    <t xml:space="preserve">CILINDRO MESTRE FREIO FORD</t>
  </si>
  <si>
    <t xml:space="preserve">7739 (ATE) | C2240 (CONTROIL) | GN152004AA (OEM)</t>
  </si>
  <si>
    <t xml:space="preserve">SWP117</t>
  </si>
  <si>
    <t xml:space="preserve">BOMBA ÁGUA MWM</t>
  </si>
  <si>
    <t xml:space="preserve">20164 (SCHADEK)</t>
  </si>
  <si>
    <t xml:space="preserve">SWP343</t>
  </si>
  <si>
    <t xml:space="preserve">BOMBA ÁGUA EFFA</t>
  </si>
  <si>
    <t xml:space="preserve">EFFA MOTORS</t>
  </si>
  <si>
    <t xml:space="preserve">9052806 (OEM)</t>
  </si>
  <si>
    <t xml:space="preserve">STC12074</t>
  </si>
  <si>
    <t xml:space="preserve">VÁLVULA TERMOSTÁTICA NISSAN</t>
  </si>
  <si>
    <t xml:space="preserve">110604371R (OEM) | 1106100Q2B (OEM) | 1300.83 (VALCLEI)</t>
  </si>
  <si>
    <t xml:space="preserve">SWP132</t>
  </si>
  <si>
    <t xml:space="preserve">20187 (SCHADEK) | 452007 (INDISA) | NKBA07636 (NAKATA) | UB0636 (URBA) | VKPC4604 (SKF)</t>
  </si>
  <si>
    <t xml:space="preserve">SBC1174</t>
  </si>
  <si>
    <t xml:space="preserve">CIILNDRO MESTRE DE FREIO FORD</t>
  </si>
  <si>
    <t xml:space="preserve">SBS8028</t>
  </si>
  <si>
    <t xml:space="preserve">206500 (SYL) | 2757CP (COBREQ) | BPSA0095240 (MAZZICAR) | LS3532 (BOSCH) | MI139CP (FRAS-LE)</t>
  </si>
  <si>
    <t xml:space="preserve">SCC2077</t>
  </si>
  <si>
    <t xml:space="preserve">5110326100 (LUK)</t>
  </si>
  <si>
    <t xml:space="preserve">SCC2092</t>
  </si>
  <si>
    <t xml:space="preserve">2106015 (VALEO) | KG15010547 (FTE)</t>
  </si>
  <si>
    <t xml:space="preserve">SBC1045</t>
  </si>
  <si>
    <t xml:space="preserve">C2090 (CONTROIL) | RCCD01010 (TRW)</t>
  </si>
  <si>
    <t xml:space="preserve">SWP253</t>
  </si>
  <si>
    <t xml:space="preserve">SVP6036</t>
  </si>
  <si>
    <t xml:space="preserve">BOMBA DE VÁCUO HYUNDAI</t>
  </si>
  <si>
    <t xml:space="preserve">SVP6033</t>
  </si>
  <si>
    <t xml:space="preserve">SVP6043</t>
  </si>
  <si>
    <t xml:space="preserve">BOMBA DE VÁCUO CITROEN</t>
  </si>
  <si>
    <t xml:space="preserve">SCS4036</t>
  </si>
  <si>
    <t xml:space="preserve">30151 (ELPER) | 306202899R (OEM) | 306204287R (OEM) | 306205626R (OEM) | 8200987124 (OEM)</t>
  </si>
  <si>
    <t xml:space="preserve">SWP126</t>
  </si>
  <si>
    <t xml:space="preserve">7000404001 (INDISA) | UB0376 (URBA) | VKPC88850 (SKF)</t>
  </si>
  <si>
    <t xml:space="preserve">SOC9024</t>
  </si>
  <si>
    <t xml:space="preserve">21305-5M301 (OEM)</t>
  </si>
  <si>
    <t xml:space="preserve">SBC1194B</t>
  </si>
  <si>
    <t xml:space="preserve">46100-T9A-P01 (OEM)</t>
  </si>
  <si>
    <t xml:space="preserve">SOC9036</t>
  </si>
  <si>
    <t xml:space="preserve">RESFRIADOR DE ÓLEO CÂMBIO BMW</t>
  </si>
  <si>
    <t xml:space="preserve">17217529499 (OEM)</t>
  </si>
  <si>
    <t xml:space="preserve">STC12070</t>
  </si>
  <si>
    <t xml:space="preserve">HYUNDAI / KIA / TOYOTA</t>
  </si>
  <si>
    <t xml:space="preserve">1113.82 (VALCLEI) | 9091603097 (OEM) | 9091603118 (OEM)</t>
  </si>
  <si>
    <t xml:space="preserve">SVP6035</t>
  </si>
  <si>
    <t xml:space="preserve">SBC1103</t>
  </si>
  <si>
    <t xml:space="preserve">58510-2K800 (OEM)</t>
  </si>
  <si>
    <t xml:space="preserve">SBS8068PB</t>
  </si>
  <si>
    <t xml:space="preserve">BPSA0096081 (MAZZICAR)</t>
  </si>
  <si>
    <t xml:space="preserve">SWP164</t>
  </si>
  <si>
    <t xml:space="preserve">UB0821 (URBA) | VKPC92939 (SKF)</t>
  </si>
  <si>
    <t xml:space="preserve">SSC3046</t>
  </si>
  <si>
    <t xml:space="preserve">SWC5091</t>
  </si>
  <si>
    <t xml:space="preserve">CILINDRO DE RODA LE/LD NISSAN - SUBSTITUI SWC5001</t>
  </si>
  <si>
    <t xml:space="preserve">SBC1203</t>
  </si>
  <si>
    <t xml:space="preserve">13486143 (OEM) | 7666 (ATE) | C2228 (CONTROIL)</t>
  </si>
  <si>
    <t xml:space="preserve">STC12040</t>
  </si>
  <si>
    <t xml:space="preserve">VÁLVULA TERMOSTÁTICA GM</t>
  </si>
  <si>
    <t xml:space="preserve">12650241 (OEM) | 1299.95 (VALCLEI)</t>
  </si>
  <si>
    <t xml:space="preserve">SWC5089</t>
  </si>
  <si>
    <t xml:space="preserve">5760 (ATE) | 5987896 (OEM) | 7077174 (OEM) | 790833 (OEM) | C3353 (CONTROIL) | RCCR01400 (TRW)</t>
  </si>
  <si>
    <t xml:space="preserve">SWP339</t>
  </si>
  <si>
    <t xml:space="preserve">BOMBA D'ÁGUA BMW</t>
  </si>
  <si>
    <t xml:space="preserve">11518482250 (OEM) | 11518650988 (OEM)</t>
  </si>
  <si>
    <t xml:space="preserve">SCA8031FL</t>
  </si>
  <si>
    <t xml:space="preserve">BANDEJA COMPLETA LE FIAT</t>
  </si>
  <si>
    <t xml:space="preserve">BDJ9015 (PERFECT) | FI315C (GRAZZIMETAL) | NBJ4010EP (NAKATA)</t>
  </si>
  <si>
    <t xml:space="preserve">SBC1170</t>
  </si>
  <si>
    <t xml:space="preserve">SWP317</t>
  </si>
  <si>
    <t xml:space="preserve">SCA8021FL</t>
  </si>
  <si>
    <t xml:space="preserve">BANDEJA COMPLETA LE PEUGEOT</t>
  </si>
  <si>
    <t xml:space="preserve">540008V (VIEMAR) | BJC17014M (COFAP) | BRA2060 (PERFECT) | NBJ5002DP (NAKATA) | PG5002C (GRAZZIMETAL)</t>
  </si>
  <si>
    <t xml:space="preserve">SWP143</t>
  </si>
  <si>
    <t xml:space="preserve">854515 (INDISA)</t>
  </si>
  <si>
    <t xml:space="preserve">SWP256</t>
  </si>
  <si>
    <t xml:space="preserve">SCS4014</t>
  </si>
  <si>
    <t xml:space="preserve">510018010 (LUK) | VKCH3404831 (SKF) | ZA3404831 (FTE)</t>
  </si>
  <si>
    <t xml:space="preserve">SOC9068</t>
  </si>
  <si>
    <t xml:space="preserve">06K117021B (OEM)</t>
  </si>
  <si>
    <t xml:space="preserve">SCA8027FL</t>
  </si>
  <si>
    <t xml:space="preserve">BDJ0639 (PERFECT) | NBJ6011EP (NAKATA) | RN4091C (GRAZZIMETAL)</t>
  </si>
  <si>
    <t xml:space="preserve">SCA8027FR</t>
  </si>
  <si>
    <t xml:space="preserve">BDJ0638 (PERFECT) | NBJ6011DP (NAKATA) | RN4090C (GRAZZIMETAL)</t>
  </si>
  <si>
    <t xml:space="preserve">SCS4010</t>
  </si>
  <si>
    <t xml:space="preserve">ATUADOR DE EMBREAGEM CHERY</t>
  </si>
  <si>
    <t xml:space="preserve">SWP145</t>
  </si>
  <si>
    <t xml:space="preserve">7000702500 (INDISA) | UB0816 (URBA)</t>
  </si>
  <si>
    <t xml:space="preserve">SOC9035</t>
  </si>
  <si>
    <t xml:space="preserve">RESFRIADOR DE ÓLEO MOTOR BMW</t>
  </si>
  <si>
    <t xml:space="preserve">11427525333 (OEM)</t>
  </si>
  <si>
    <t xml:space="preserve">SCA8031FR</t>
  </si>
  <si>
    <t xml:space="preserve">BANDEJA COMPLETA LD FIAT</t>
  </si>
  <si>
    <t xml:space="preserve">BDJ9016 (PERFECT) | FI314C (GRAZZIMETAL) | NBJ4010DP (NAKATA)</t>
  </si>
  <si>
    <t xml:space="preserve">SBC1171</t>
  </si>
  <si>
    <t xml:space="preserve">CILINDRO MESTRE DE FREIO BMW</t>
  </si>
  <si>
    <t xml:space="preserve">SBS8015</t>
  </si>
  <si>
    <t xml:space="preserve">208800 (SYL) | 2691CP (COBREQ) | BPSA0090169 (MAZZICAR) | BPSA0096710 (MAZZICAR) | HQJ525 (JURID) | TY326CP (FRAS-LE)</t>
  </si>
  <si>
    <t xml:space="preserve">SWP109</t>
  </si>
  <si>
    <t xml:space="preserve">BOMBA ÁGUA FIAT</t>
  </si>
  <si>
    <t xml:space="preserve">20248 (SCHADEK) | 354504 (INDISA)</t>
  </si>
  <si>
    <t xml:space="preserve">SWP056</t>
  </si>
  <si>
    <t xml:space="preserve">7000404002 (INDISA) | NKBA059021 (NAKATA)</t>
  </si>
  <si>
    <t xml:space="preserve">SWP300</t>
  </si>
  <si>
    <t xml:space="preserve">SBC1206M</t>
  </si>
  <si>
    <t xml:space="preserve">STC12073</t>
  </si>
  <si>
    <t xml:space="preserve">1150.88 (VALCLEI) | XS7Q8575AA (OEM)</t>
  </si>
  <si>
    <t xml:space="preserve">SCC2112</t>
  </si>
  <si>
    <t xml:space="preserve">2T721405 (OEM) | 2TO721405 (OEM) | 2VB721405 (OEM) | C2720 (CONTROIL) | RCCE00700 (TRW)</t>
  </si>
  <si>
    <t xml:space="preserve">SCC2008</t>
  </si>
  <si>
    <t xml:space="preserve">C2624 (CONTROIL) | D101008 (FTE) | RCCE00800 (TRW) | VKCH101008 (SKF)</t>
  </si>
  <si>
    <t xml:space="preserve">SWC5033</t>
  </si>
  <si>
    <t xml:space="preserve">4755029265 (OEM) | BWH266 (TRW) | C3534 (CONTROIL)</t>
  </si>
  <si>
    <t xml:space="preserve">STC12066</t>
  </si>
  <si>
    <t xml:space="preserve">VÁLVULA TERMOSTÁTICA CHERY</t>
  </si>
  <si>
    <t xml:space="preserve">SBC1254</t>
  </si>
  <si>
    <t xml:space="preserve">SWP329</t>
  </si>
  <si>
    <t xml:space="preserve">03L965561A (OEM) | 454700 (INDISA) | 706740130 (PIERBURG) | UB0655 (URBA)</t>
  </si>
  <si>
    <t xml:space="preserve">SSC3008</t>
  </si>
  <si>
    <t xml:space="preserve">KN23027C1 (FTE) | RCCE01314 (TRW) | VKCH23027 (SKF)</t>
  </si>
  <si>
    <t xml:space="preserve">SWP066</t>
  </si>
  <si>
    <t xml:space="preserve">20232 (SCHADEK) | 7000854000 (INDISA) | NKBA179004 (NAKATA) | VKPC95404 (SKF)</t>
  </si>
  <si>
    <t xml:space="preserve">SBC1008</t>
  </si>
  <si>
    <t xml:space="preserve">RCCD27506 (TRW)</t>
  </si>
  <si>
    <t xml:space="preserve">SBC1092A</t>
  </si>
  <si>
    <t xml:space="preserve">AB12004EC (OEM)</t>
  </si>
  <si>
    <t xml:space="preserve">SWC5084</t>
  </si>
  <si>
    <t xml:space="preserve">CILINDRO DE RODA LE/LD GM - IGUAL SWC5060</t>
  </si>
  <si>
    <t xml:space="preserve">SCA8021FR</t>
  </si>
  <si>
    <t xml:space="preserve">BANDEJA COMPLETA LD PEUGEOT</t>
  </si>
  <si>
    <t xml:space="preserve">540009V (VIEMAR) | BJC17013M (COFAP) | BRA2061 (PERFECT) | NBJ5002EP (NAKATA) | PG5003C (GRAZZIMETAL)</t>
  </si>
  <si>
    <t xml:space="preserve">SBC1207A</t>
  </si>
  <si>
    <t xml:space="preserve">SWP006</t>
  </si>
  <si>
    <t xml:space="preserve">7000254007 (INDISA)</t>
  </si>
  <si>
    <t xml:space="preserve">SOC9038</t>
  </si>
  <si>
    <t xml:space="preserve">RESFRIADOR DE ÓLEO MOTOR VOLVO</t>
  </si>
  <si>
    <t xml:space="preserve">31339939 (OEM) | 5989070283 (OEM) | 8G9N6A642AA (OEM) | LR041422 (OEM)</t>
  </si>
  <si>
    <t xml:space="preserve">SCA8024FL</t>
  </si>
  <si>
    <t xml:space="preserve">BANDEJA LE VW</t>
  </si>
  <si>
    <t xml:space="preserve">BDJ1029 (PERFECT) | BJC01045M (COFAP) | NBJ1011E (NAKATA) | VW1205B (GRAZZIMETAL)</t>
  </si>
  <si>
    <t xml:space="preserve">SWP055</t>
  </si>
  <si>
    <t xml:space="preserve">20110 (SCHADEK) | 7000952002 (INDISA) | NKBA089018 (NAKATA) | VKPC83205 (SKF)</t>
  </si>
  <si>
    <t xml:space="preserve">SCA8024FR</t>
  </si>
  <si>
    <t xml:space="preserve">BANDEJA LD VW</t>
  </si>
  <si>
    <t xml:space="preserve">BDJ1028 (PERFECT) | BJC01044M (COFAP) | NBJ1011D (NAKATA) | VW1204B (GRAZZIMETAL)</t>
  </si>
  <si>
    <t xml:space="preserve">SWP091</t>
  </si>
  <si>
    <t xml:space="preserve">HYUNDAI / KIA / MITSUBISHI</t>
  </si>
  <si>
    <t xml:space="preserve">20233 (SCHADEK) | 7000854008 (INDISA) | NKBA179011 (NAKATA) | VKPC95800 (SKF)</t>
  </si>
  <si>
    <t xml:space="preserve">SCC2030</t>
  </si>
  <si>
    <t xml:space="preserve">CILINDRO MESTRE DE EMBREAGEM CHERY</t>
  </si>
  <si>
    <t xml:space="preserve">SBS8077</t>
  </si>
  <si>
    <t xml:space="preserve">BPSA0095210 (MAZZICAR)</t>
  </si>
  <si>
    <t xml:space="preserve">SFC7020</t>
  </si>
  <si>
    <t xml:space="preserve">POLIA VISCOSA NISSAN</t>
  </si>
  <si>
    <t xml:space="preserve">POLIA VISCOSA</t>
  </si>
  <si>
    <t xml:space="preserve">VPV039 (VETOR)</t>
  </si>
  <si>
    <t xml:space="preserve">SBS8013</t>
  </si>
  <si>
    <t xml:space="preserve">ASIA / HYUNDAI / KIA</t>
  </si>
  <si>
    <t xml:space="preserve">204603 (SYL) | 2676CP (COBREQ) | BPSA0096085 (MAZZICAR) | KI144CP (FRAS-LE)</t>
  </si>
  <si>
    <t xml:space="preserve">SWP163</t>
  </si>
  <si>
    <t xml:space="preserve">7000404006 (INDISA)</t>
  </si>
  <si>
    <t xml:space="preserve">SWP125</t>
  </si>
  <si>
    <t xml:space="preserve">BOMBA ÁGUA PORSCHE</t>
  </si>
  <si>
    <t xml:space="preserve">PORSCHE</t>
  </si>
  <si>
    <t xml:space="preserve">VLBA0010214 (VILLA FRANCA)</t>
  </si>
  <si>
    <t xml:space="preserve">SHP11008</t>
  </si>
  <si>
    <t xml:space="preserve">06J127025C (OEM) | 06J127025F (OEM) | 06J127025G (OEM) | 06J127025J (OEM) | 706032100 (PIERBURG) | HFS0345131 (HITACHI)</t>
  </si>
  <si>
    <t xml:space="preserve">SWP003</t>
  </si>
  <si>
    <t xml:space="preserve">SCC2059</t>
  </si>
  <si>
    <t xml:space="preserve">SWP288</t>
  </si>
  <si>
    <t xml:space="preserve">SWP291</t>
  </si>
  <si>
    <t xml:space="preserve">354512 (INDISA) | NKBA01774 (NAKATA)</t>
  </si>
  <si>
    <t xml:space="preserve">SCC2036</t>
  </si>
  <si>
    <t xml:space="preserve">KG15001671 (FTE)</t>
  </si>
  <si>
    <t xml:space="preserve">SWC5079</t>
  </si>
  <si>
    <t xml:space="preserve">4402G0 (OEM) | 7735 (ATE) | C3547 (CONTROIL)</t>
  </si>
  <si>
    <t xml:space="preserve">SVP6005</t>
  </si>
  <si>
    <t xml:space="preserve">724807290 (PIERBURG)</t>
  </si>
  <si>
    <t xml:space="preserve">SWP259</t>
  </si>
  <si>
    <t xml:space="preserve">SHP11009</t>
  </si>
  <si>
    <t xml:space="preserve">BOMBA DE ALTA PRESSÃO FORD</t>
  </si>
  <si>
    <t xml:space="preserve">CM5E9D376CB (OEM) | CM5Z9350CA (OEM)</t>
  </si>
  <si>
    <t xml:space="preserve">SBC1247</t>
  </si>
  <si>
    <t xml:space="preserve">211611011J (OEM) | C2084 (CONTROIL) | RCCM22946 (TRW)</t>
  </si>
  <si>
    <t xml:space="preserve">SHP11011</t>
  </si>
  <si>
    <t xml:space="preserve">06L127025K (OEM) | 06L127025M (OEM) | 06L127025N (OEM) | 06L127025P (OEM) | 06L127025Q (OEM) | 06L127025R (OEM) | 06L127025T (OEM)</t>
  </si>
  <si>
    <t xml:space="preserve">SBC1255</t>
  </si>
  <si>
    <t xml:space="preserve">5Q1611021A (OEM) | C2237 (CONTROIL)</t>
  </si>
  <si>
    <t xml:space="preserve">SVP6041</t>
  </si>
  <si>
    <t xml:space="preserve">SBC1199</t>
  </si>
  <si>
    <t xml:space="preserve">SCC2100</t>
  </si>
  <si>
    <t xml:space="preserve">CILINDRO MESTRE DE EMBREAGEM KIA</t>
  </si>
  <si>
    <t xml:space="preserve">416004E000 (OEM) | C2731 (CONTROIL)</t>
  </si>
  <si>
    <t xml:space="preserve">SWP284A</t>
  </si>
  <si>
    <t xml:space="preserve">SCA8025FR</t>
  </si>
  <si>
    <t xml:space="preserve">BDJ9000 (PERFECT) | FI194M (GRAZZIMETAL)</t>
  </si>
  <si>
    <t xml:space="preserve">SBC1180</t>
  </si>
  <si>
    <t xml:space="preserve">C2076 (CONTROIL) | RCCM00209 (TRW) | RCCM00240 (TRW)</t>
  </si>
  <si>
    <t xml:space="preserve">SWP130</t>
  </si>
  <si>
    <t xml:space="preserve">7000752004 (INDISA) | UB0604 (URBA) | VKPC93603 (SKF)</t>
  </si>
  <si>
    <t xml:space="preserve">SWP014</t>
  </si>
  <si>
    <t xml:space="preserve">BOMBA ÁGUA DODGE/JEEP</t>
  </si>
  <si>
    <t xml:space="preserve">7000054000 (INDISA)</t>
  </si>
  <si>
    <t xml:space="preserve">SWP162</t>
  </si>
  <si>
    <t xml:space="preserve">SVP6038</t>
  </si>
  <si>
    <t xml:space="preserve">SWP255</t>
  </si>
  <si>
    <t xml:space="preserve">SWP261</t>
  </si>
  <si>
    <t xml:space="preserve">SOC9039</t>
  </si>
  <si>
    <t xml:space="preserve">RESFRIADOR DE ÓLEO MOTOR L ROVER</t>
  </si>
  <si>
    <t xml:space="preserve">5989070371 (OEM) | 9X2Q6B624BB (OEM) | LR013149 (OEM) | LR040738 (OEM)</t>
  </si>
  <si>
    <t xml:space="preserve">STC12072</t>
  </si>
  <si>
    <t xml:space="preserve">VÁLVULA TERMOSTÁTICA PEUGEOT</t>
  </si>
  <si>
    <t xml:space="preserve">NISSAN / PEUGEOT / RENAULT</t>
  </si>
  <si>
    <t xml:space="preserve">1336T9 (OEM) | 3371.89 (VALCLEI) | 8200660882 (OEM)</t>
  </si>
  <si>
    <t xml:space="preserve">SBS8109</t>
  </si>
  <si>
    <t xml:space="preserve">201716 (SYL) | 2863CPA (COBREQ)</t>
  </si>
  <si>
    <t xml:space="preserve">SVP6039</t>
  </si>
  <si>
    <t xml:space="preserve">SCC2048</t>
  </si>
  <si>
    <t xml:space="preserve">KG15065418 (FTE)</t>
  </si>
  <si>
    <t xml:space="preserve">SCS4001</t>
  </si>
  <si>
    <t xml:space="preserve">3342 (ZF) | 510003510 (LUK) | RCAC00090 (TRW) | VKCH4844 (SKF) | ZA360832P (FTE)</t>
  </si>
  <si>
    <t xml:space="preserve">SBC1217</t>
  </si>
  <si>
    <t xml:space="preserve">STC12011</t>
  </si>
  <si>
    <t xml:space="preserve">VÁLVULA TERMOSTÁTICA M BENZ</t>
  </si>
  <si>
    <t xml:space="preserve">A2702000415 (OEM) | A2702000615 (OEM)</t>
  </si>
  <si>
    <t xml:space="preserve">SCC2099</t>
  </si>
  <si>
    <t xml:space="preserve">0S08941400 (OEM) | 0S08941990 (OEM) | C2634 (CONTROIL) | PNB171 (TRW) | RCCE00740 (TRW)</t>
  </si>
  <si>
    <t xml:space="preserve">SWP111</t>
  </si>
  <si>
    <t xml:space="preserve">20111 (SCHADEK) | 7000953000 (INDISA)</t>
  </si>
  <si>
    <t xml:space="preserve">SWP104A</t>
  </si>
  <si>
    <t xml:space="preserve">SWC5077</t>
  </si>
  <si>
    <t xml:space="preserve">0986475433 (BOSCH) | 1H0611053 (OEM) | 3086110531 (OEM) | 6279 (ATE) | C3440 (CONTROIL) | RCCR27860 (TRW)</t>
  </si>
  <si>
    <t xml:space="preserve">SCA8025FL</t>
  </si>
  <si>
    <t xml:space="preserve">BDJ9001 (PERFECT) | FI195M (GRAZZIMETAL)</t>
  </si>
  <si>
    <t xml:space="preserve">SCA8026FL</t>
  </si>
  <si>
    <t xml:space="preserve">BANDEJA COMPLETA LE NISSAN</t>
  </si>
  <si>
    <t xml:space="preserve">BDJ2045 (PERFECT) | BJC29017M (COFAP) | NBJ6003EP (NAKATA) | SB8291EP (SAMPEL)</t>
  </si>
  <si>
    <t xml:space="preserve">SOC9040</t>
  </si>
  <si>
    <t xml:space="preserve">4R8Q6C711DB (OEM) | LR009570 (OEM)</t>
  </si>
  <si>
    <t xml:space="preserve">STC12023</t>
  </si>
  <si>
    <t xml:space="preserve">F4J16-1306110 (OEM)</t>
  </si>
  <si>
    <t xml:space="preserve">STC12029</t>
  </si>
  <si>
    <t xml:space="preserve">1101.103 (VALCLEI) | 1336Z2 (OEM) | 9650926280 (OEM)</t>
  </si>
  <si>
    <t xml:space="preserve">STC12064</t>
  </si>
  <si>
    <t xml:space="preserve">2S6G8A586D1C (OEM) | 4402.82 (VALCLEI)</t>
  </si>
  <si>
    <t xml:space="preserve">SBC1231</t>
  </si>
  <si>
    <t xml:space="preserve">4601R9 (OEM) | 7677 (ATE)</t>
  </si>
  <si>
    <t xml:space="preserve">SSC3052</t>
  </si>
  <si>
    <t xml:space="preserve">41710-23020 (OEM)</t>
  </si>
  <si>
    <t xml:space="preserve">SCA8026FR</t>
  </si>
  <si>
    <t xml:space="preserve">BANDEJA COMPLETA LD NISSAN</t>
  </si>
  <si>
    <t xml:space="preserve">BDJ2046 (PERFECT) | BJC29016M (COFAP) | NBJ6003DP (NAKATA) | SB8291DP (SAMPEL)</t>
  </si>
  <si>
    <t xml:space="preserve">STC12014</t>
  </si>
  <si>
    <t xml:space="preserve">VÁLVULA TERMOSTÁTICA VW</t>
  </si>
  <si>
    <t xml:space="preserve">059121111BM (OEM) | 059121111CR (OEM)</t>
  </si>
  <si>
    <t xml:space="preserve">SBS8073PB</t>
  </si>
  <si>
    <t xml:space="preserve">SAPATA DE FREIO IVECO</t>
  </si>
  <si>
    <t xml:space="preserve">BSPA0097118 (MAZZICAR) | IV435CP (FRAS-LE)</t>
  </si>
  <si>
    <t xml:space="preserve">SCC2046</t>
  </si>
  <si>
    <t xml:space="preserve">KG1501641 (FTE)</t>
  </si>
  <si>
    <t xml:space="preserve">SWP144</t>
  </si>
  <si>
    <t xml:space="preserve">SVP6004</t>
  </si>
  <si>
    <t xml:space="preserve">BOMBA DE VÁCUO M BENZ</t>
  </si>
  <si>
    <t xml:space="preserve">JEEP / MERCEDES-BENZ</t>
  </si>
  <si>
    <t xml:space="preserve">724807070 (PIERBURG)</t>
  </si>
  <si>
    <t xml:space="preserve">SOC9042</t>
  </si>
  <si>
    <t xml:space="preserve">31316639 (OEM) | AG9G6A642BC (OEM) | LR025515 (OEM)</t>
  </si>
  <si>
    <t xml:space="preserve">SBS8113</t>
  </si>
  <si>
    <t xml:space="preserve">203005 (SYL) | 2601CP (COBREQ) | 7083041 (OEM) | BPSA0090144 (MAZZICAR) | FI136CP (FRAS-LE) | LS3521 (BOSCH)</t>
  </si>
  <si>
    <t xml:space="preserve">STC12024</t>
  </si>
  <si>
    <t xml:space="preserve">D4G15B-1306110 (OEM)</t>
  </si>
  <si>
    <t xml:space="preserve">STC12030</t>
  </si>
  <si>
    <t xml:space="preserve">1137.89 (VALCLEI) | 1336Z0 (OEM) | 9647265980 (OEM)</t>
  </si>
  <si>
    <t xml:space="preserve">SWP311</t>
  </si>
  <si>
    <t xml:space="preserve">SWP299</t>
  </si>
  <si>
    <t xml:space="preserve">BOMBA ÁGUA ELÉTRICA TOYOTA</t>
  </si>
  <si>
    <t xml:space="preserve">SOC9072</t>
  </si>
  <si>
    <t xml:space="preserve">6541805700 (OEM)</t>
  </si>
  <si>
    <t xml:space="preserve">SBS8132</t>
  </si>
  <si>
    <t xml:space="preserve">CI626CPA (FRAS-LE)</t>
  </si>
  <si>
    <t xml:space="preserve">SWP274</t>
  </si>
  <si>
    <t xml:space="preserve">BOMBA AGUA AUDI</t>
  </si>
  <si>
    <t xml:space="preserve">SWP363</t>
  </si>
  <si>
    <t xml:space="preserve">354506 (INDISA) | 55243968 (OEM) | UB0774 (URBA) | VKPC4994 (SKF)</t>
  </si>
  <si>
    <t xml:space="preserve">SWP242H</t>
  </si>
  <si>
    <t xml:space="preserve">SBC1053</t>
  </si>
  <si>
    <t xml:space="preserve">CILIDNRO MESTRE DE FREIO GM</t>
  </si>
  <si>
    <t xml:space="preserve">SOC9056</t>
  </si>
  <si>
    <t xml:space="preserve">264102B740 (OEM)</t>
  </si>
  <si>
    <t xml:space="preserve">SOC9069</t>
  </si>
  <si>
    <t xml:space="preserve">9801622280 (OEM)</t>
  </si>
  <si>
    <t xml:space="preserve">SBC1226</t>
  </si>
  <si>
    <t xml:space="preserve">7701207697 (OEM) | C2184 (CONTROIL)</t>
  </si>
  <si>
    <t xml:space="preserve">SWP293H</t>
  </si>
  <si>
    <t xml:space="preserve">SHP11013</t>
  </si>
  <si>
    <t xml:space="preserve">AUDI / PORSCHE / VOLKSWAGEN</t>
  </si>
  <si>
    <t xml:space="preserve">03H127025C (OEM) | 706032140 (PIERBURG) | 95511031600 (OEM) | HFS85303B (HITACHI)</t>
  </si>
  <si>
    <t xml:space="preserve">SWP158</t>
  </si>
  <si>
    <t xml:space="preserve">20214 (SCHADEK) | 7000904508 (INDISA)</t>
  </si>
  <si>
    <t xml:space="preserve">SCC2103</t>
  </si>
  <si>
    <t xml:space="preserve">SBC1158</t>
  </si>
  <si>
    <t xml:space="preserve">SCA8047FL</t>
  </si>
  <si>
    <t xml:space="preserve">BDJ3301 (PERFECT) | NBJ0613EP (NAKATA) | NS21039C (GRAZZIMETAL)</t>
  </si>
  <si>
    <t xml:space="preserve">SWP123</t>
  </si>
  <si>
    <t xml:space="preserve">20207 (SCHADEK) | 7000702007 (INDISA) | NKBA09800 (NAKATA) | UB0800 (URBA)</t>
  </si>
  <si>
    <t xml:space="preserve">SBS8062</t>
  </si>
  <si>
    <t xml:space="preserve">SAPATA DE FREIO JINBEI</t>
  </si>
  <si>
    <t xml:space="preserve">BPSA0095530 (MAZZICAR) | JI437CP (FRAS-LE)</t>
  </si>
  <si>
    <t xml:space="preserve">SCS4016</t>
  </si>
  <si>
    <t xml:space="preserve">ZA3405742 (FTE)</t>
  </si>
  <si>
    <t xml:space="preserve">SWP193</t>
  </si>
  <si>
    <t xml:space="preserve">7000204520 (INDISA)</t>
  </si>
  <si>
    <t xml:space="preserve">SOC9073</t>
  </si>
  <si>
    <t xml:space="preserve">RESFRIADOR DE ÓLEO CÂMBIO FORD</t>
  </si>
  <si>
    <t xml:space="preserve">JB3G7A095BA (OEM)</t>
  </si>
  <si>
    <t xml:space="preserve">SWP341</t>
  </si>
  <si>
    <t xml:space="preserve">GK3Z8501B (OEM)</t>
  </si>
  <si>
    <t xml:space="preserve">SCA8042FL</t>
  </si>
  <si>
    <t xml:space="preserve">BANDEJA COMPLETA LE TOYOTA</t>
  </si>
  <si>
    <t xml:space="preserve">BDJ0703 (PERFECT) | NBJ7011EP (NAKATA) | TT14041C (GRAZZIMETAL)</t>
  </si>
  <si>
    <t xml:space="preserve">SCA8040FL</t>
  </si>
  <si>
    <t xml:space="preserve">BANDEJA COMPLETA LE GM</t>
  </si>
  <si>
    <t xml:space="preserve">BDJ9855 (PERFECT) | BJC04157M (COFAP) | GM2277CGG (GRAZZIMETAL) | NBJ3016EP (NAKATA)</t>
  </si>
  <si>
    <t xml:space="preserve">SCC2035</t>
  </si>
  <si>
    <t xml:space="preserve">KG15098.2.1 (FTE) | RCCE01430 (TRW)</t>
  </si>
  <si>
    <t xml:space="preserve">SWP331</t>
  </si>
  <si>
    <t xml:space="preserve">1K0965561G (OEM) | 454711 (INDISA) | 702074500 (PIERBURG)</t>
  </si>
  <si>
    <t xml:space="preserve">SBC1200</t>
  </si>
  <si>
    <t xml:space="preserve">SWP074</t>
  </si>
  <si>
    <t xml:space="preserve">7000854004 (INDISA)</t>
  </si>
  <si>
    <t xml:space="preserve">SWP340</t>
  </si>
  <si>
    <t xml:space="preserve">JDE40023 (OEM) | L4P38501AD (OEM) | LR115260 (OEM)</t>
  </si>
  <si>
    <t xml:space="preserve">SWC5099</t>
  </si>
  <si>
    <t xml:space="preserve">1517558 (OEM) | 5516 (ATE) | 5517 (ATE) | 5727 (ATE) | 93305403 (OEM) | 93336460 (OEM) | C3439 (CONTROIL) | CR3001 (BOSCH) | CR9858 (BOSCH) | CR9859 (BOSCH) | RCCCR00945 (TRW) | RCCR00953 (TRW) | RCCR01910 (TRW) | XS512261AA (OEM)</t>
  </si>
  <si>
    <t xml:space="preserve">SBC1233</t>
  </si>
  <si>
    <t xml:space="preserve">CILINDRO MESTRE DE FREIO JEEP</t>
  </si>
  <si>
    <t xml:space="preserve">JEEP</t>
  </si>
  <si>
    <t xml:space="preserve">68347156AC (OEM) | C2270 (CONTROIL)</t>
  </si>
  <si>
    <t xml:space="preserve">SCA8101FL</t>
  </si>
  <si>
    <t xml:space="preserve">BANDEJA COMPLETA LE CHERY</t>
  </si>
  <si>
    <t xml:space="preserve">SCC2094</t>
  </si>
  <si>
    <t xml:space="preserve">SWC5061L</t>
  </si>
  <si>
    <t xml:space="preserve">6260 (ATE) | 93260019 (OEM) | BWH6001 (TRW) | C3456 (CONTROIL) | CR2955 (BOSCH)</t>
  </si>
  <si>
    <t xml:space="preserve">SCA8047FR</t>
  </si>
  <si>
    <t xml:space="preserve">BDJ3300 (PERFECT) | NBJ6013DP (NAKATA) | NS21038C (GRAZZIMETAL)</t>
  </si>
  <si>
    <t xml:space="preserve">SCA8086FL</t>
  </si>
  <si>
    <t xml:space="preserve">BANDEJA COMPLETA LE FORD</t>
  </si>
  <si>
    <t xml:space="preserve">BDJ0267 (PERFECT) | NBJ2029EP (NAKATA)</t>
  </si>
  <si>
    <t xml:space="preserve">SCA8110FL</t>
  </si>
  <si>
    <t xml:space="preserve">BANDEJA COMPLETA LE HYUNDAI</t>
  </si>
  <si>
    <t xml:space="preserve">BDJ2199 (PERFECT)</t>
  </si>
  <si>
    <t xml:space="preserve">SWP216</t>
  </si>
  <si>
    <t xml:space="preserve">7000254500 (INDISA) | NKBA03826 (NAKATA) | UB0165 (URBA) | VKPC85312 (SKF)</t>
  </si>
  <si>
    <t xml:space="preserve">SWP020</t>
  </si>
  <si>
    <t xml:space="preserve">BOMBA ÁGUA AUDI</t>
  </si>
  <si>
    <t xml:space="preserve">7000454005 (INDISA) | UB0632 (URBA)</t>
  </si>
  <si>
    <t xml:space="preserve">SWP227</t>
  </si>
  <si>
    <t xml:space="preserve">7000254501 (INDISA) | UB0169 (URBA)</t>
  </si>
  <si>
    <t xml:space="preserve">SCA8042FR</t>
  </si>
  <si>
    <t xml:space="preserve">BANDEJA COMPLETA LD TOYOTA</t>
  </si>
  <si>
    <t xml:space="preserve">BDJ0702 (PERFECT) | NBJ7011DP (NAKATA) | TT14040C (GRAZZIMETAL)</t>
  </si>
  <si>
    <t xml:space="preserve">SWP315</t>
  </si>
  <si>
    <t xml:space="preserve">SBC1201</t>
  </si>
  <si>
    <t xml:space="preserve">SCC2101</t>
  </si>
  <si>
    <t xml:space="preserve">SHP11006</t>
  </si>
  <si>
    <t xml:space="preserve">BOMBA DE ALTA PRESSÃO CITROEN</t>
  </si>
  <si>
    <t xml:space="preserve">0261520433 (BOSCH) | 9815930180 (OEM)</t>
  </si>
  <si>
    <t xml:space="preserve">SCA8010FR</t>
  </si>
  <si>
    <t xml:space="preserve">BANDEJA COMPLETA LD CITROEN</t>
  </si>
  <si>
    <t xml:space="preserve">BDJ0208 (PERFECT) | CT6002MAC (GRAZZIMETAL) | SB8063DP (SAMPEL)</t>
  </si>
  <si>
    <t xml:space="preserve">SCA8036FR</t>
  </si>
  <si>
    <t xml:space="preserve">BANDEJA COMPLETA LD FORD</t>
  </si>
  <si>
    <t xml:space="preserve">BDJ9872 (PERFECT) | FO3210C (GRAZZIMETAL) | NBJ2011DP (NAKATA)</t>
  </si>
  <si>
    <t xml:space="preserve">SCA8051FR</t>
  </si>
  <si>
    <t xml:space="preserve">BDJ0842 (PERFECT) | BJC17018M (COFAP) | NBJ5008D (NAKATA) | PG5012 (GRAZZIMETAL)</t>
  </si>
  <si>
    <t xml:space="preserve">SCA8100FL</t>
  </si>
  <si>
    <t xml:space="preserve">BDJ0150 (PERFECT)</t>
  </si>
  <si>
    <t xml:space="preserve">SCA8100FR</t>
  </si>
  <si>
    <t xml:space="preserve">BDJ0151 (PERFECT)</t>
  </si>
  <si>
    <t xml:space="preserve">SBC1197</t>
  </si>
  <si>
    <t xml:space="preserve">SWP060</t>
  </si>
  <si>
    <t xml:space="preserve">20177 (SCHADEK) | 7000702002 (INDISA) | NKBA09815 (NAKATA) | UB0815 (URBA) | VKPC86415 (SKF)</t>
  </si>
  <si>
    <t xml:space="preserve">SOC9037</t>
  </si>
  <si>
    <t xml:space="preserve">11428596283 (OEM)</t>
  </si>
  <si>
    <t xml:space="preserve">SOC9051</t>
  </si>
  <si>
    <t xml:space="preserve">7200756 (OEM)</t>
  </si>
  <si>
    <t xml:space="preserve">SCA8072FR</t>
  </si>
  <si>
    <t xml:space="preserve">BANDEJA COMPLETA LD VW</t>
  </si>
  <si>
    <t xml:space="preserve">BDJ0800 (PERFECT) | VW1292C (GRAZZIMETAL)</t>
  </si>
  <si>
    <t xml:space="preserve">SCA8049FLR</t>
  </si>
  <si>
    <t xml:space="preserve">BRALO OSCILANTE LE/LD FORD</t>
  </si>
  <si>
    <t xml:space="preserve">BRAÇO OSCILANTE</t>
  </si>
  <si>
    <t xml:space="preserve">BRA0230 (PERFECT) | NBJ2026P (NAKATA)</t>
  </si>
  <si>
    <t xml:space="preserve">SCA8070FLR</t>
  </si>
  <si>
    <t xml:space="preserve">BANDEJA COMPLETA LE/LD CHERY</t>
  </si>
  <si>
    <t xml:space="preserve">BRA9871 (PERFECT) | CY36006 (GRAZZIMETAL) | NBJ9007P (NAKATA)</t>
  </si>
  <si>
    <t xml:space="preserve">SCA8086FR</t>
  </si>
  <si>
    <t xml:space="preserve">BDJ0266 (PERFECT) | NBJ2029DP (NAKATA)</t>
  </si>
  <si>
    <t xml:space="preserve">SCA8110FR</t>
  </si>
  <si>
    <t xml:space="preserve">BANDEJA COMPLETA LD HYUNDAI</t>
  </si>
  <si>
    <t xml:space="preserve">BDJ2198 (PERFECT)</t>
  </si>
  <si>
    <t xml:space="preserve">SCS4009</t>
  </si>
  <si>
    <t xml:space="preserve">510002310 (LUK) | RCAC00070 (TRW) | VKCH4746 (SKF) | ZA3209A1 (FTE)</t>
  </si>
  <si>
    <t xml:space="preserve">SVP6027</t>
  </si>
  <si>
    <t xml:space="preserve">SWP244H</t>
  </si>
  <si>
    <t xml:space="preserve">SWP262</t>
  </si>
  <si>
    <t xml:space="preserve">SWP268</t>
  </si>
  <si>
    <t xml:space="preserve">SHP11000</t>
  </si>
  <si>
    <t xml:space="preserve">0261520055 (OEM) | 0261520472 (BOSCH) | 06h127025E (OEM) | 06H127025G (OEM) | 06H127025K (OEM) | 06H127025M (OEM) | 06H127025N (OEM) | 06H127025Q (OEM) | 06H127025R (OEM)</t>
  </si>
  <si>
    <t xml:space="preserve">SWP350</t>
  </si>
  <si>
    <t xml:space="preserve">BOMBA ÁGUA IVECO</t>
  </si>
  <si>
    <t xml:space="preserve">5801931331 (OEM)</t>
  </si>
  <si>
    <t xml:space="preserve">SWP351</t>
  </si>
  <si>
    <t xml:space="preserve">FORD / IVECO</t>
  </si>
  <si>
    <t xml:space="preserve">20228 (SCHADEK) | 202281 (SCHADEK) | 500356553 (OEM) | 758504 (INDISA)</t>
  </si>
  <si>
    <t xml:space="preserve">STC12015</t>
  </si>
  <si>
    <t xml:space="preserve">2742000115 (OEM) | 2742003100 (OEM)</t>
  </si>
  <si>
    <t xml:space="preserve">STC12028</t>
  </si>
  <si>
    <t xml:space="preserve">5530.95 (VALCLEI) | 6512000615 (OEM) | 6512001215 (OEM) | A6512002800 (OEM)</t>
  </si>
  <si>
    <t xml:space="preserve">SCA8036FL</t>
  </si>
  <si>
    <t xml:space="preserve">BDJ9873 (PERFECT) | FO3211C (GRAZZIMETAL) | NBJ2011EP (NAKATA)</t>
  </si>
  <si>
    <t xml:space="preserve">SCA8101FR</t>
  </si>
  <si>
    <t xml:space="preserve">BANDEJA COMPLETA LD CHERY</t>
  </si>
  <si>
    <t xml:space="preserve">STC12045</t>
  </si>
  <si>
    <t xml:space="preserve">1249.83 (VALCLEI) | 9676409580 (OEM)</t>
  </si>
  <si>
    <t xml:space="preserve">SCA8104FR</t>
  </si>
  <si>
    <t xml:space="preserve">BANDJA COMPLETA LD BYD</t>
  </si>
  <si>
    <t xml:space="preserve">BYD</t>
  </si>
  <si>
    <t xml:space="preserve">SBC1189</t>
  </si>
  <si>
    <t xml:space="preserve">SWP218</t>
  </si>
  <si>
    <t xml:space="preserve">7000254502 (INDISA)</t>
  </si>
  <si>
    <t xml:space="preserve">SWP138</t>
  </si>
  <si>
    <t xml:space="preserve">20094 (SCHADEK) | 7000254006 (INDISA) | NKBA03160 (NAKATA) | UB0160 (URBA)</t>
  </si>
  <si>
    <t xml:space="preserve">SBC1211</t>
  </si>
  <si>
    <t xml:space="preserve">47028-42070 (OEM)</t>
  </si>
  <si>
    <t xml:space="preserve">SBC1213</t>
  </si>
  <si>
    <t xml:space="preserve">46100-SWAA01 (OEM)</t>
  </si>
  <si>
    <t xml:space="preserve">STC12049</t>
  </si>
  <si>
    <t xml:space="preserve">1291.82 (VALCLEI) | 504017209 (OEM) | 504029725 (OEM)</t>
  </si>
  <si>
    <t xml:space="preserve">STC12050</t>
  </si>
  <si>
    <t xml:space="preserve">5802386464 (OEM)</t>
  </si>
  <si>
    <t xml:space="preserve">STC12058</t>
  </si>
  <si>
    <t xml:space="preserve">5047263AB (OEM) | 5047263AC (OEM) | K05047861AC (OEM) | K05047861AD (OEM)</t>
  </si>
  <si>
    <t xml:space="preserve">STC12061</t>
  </si>
  <si>
    <t xml:space="preserve">FIAT / JEEP / RAM</t>
  </si>
  <si>
    <t xml:space="preserve">46338853 (OEM)</t>
  </si>
  <si>
    <t xml:space="preserve">STC12062</t>
  </si>
  <si>
    <t xml:space="preserve">110600260R (OEM) | 110609301R (OEM)</t>
  </si>
  <si>
    <t xml:space="preserve">SCA8018FLR</t>
  </si>
  <si>
    <t xml:space="preserve">BRAÇO OSCILANTE DIANT COMPLETO LE/LD FIAT</t>
  </si>
  <si>
    <t xml:space="preserve">54001 (VIEMAR) | BJC03029M (COFAP) | BRA3029 (PERFECT) | FI217B (GRAZZIMETAL) | NBJ4001P (NAKATA)</t>
  </si>
  <si>
    <t xml:space="preserve">SCA8029FR</t>
  </si>
  <si>
    <t xml:space="preserve">BDJ9868 (PERFECT) | NBJ6009DP (NAKATA) | SB8185DP (SAMPEL)</t>
  </si>
  <si>
    <t xml:space="preserve">SBC1207M</t>
  </si>
  <si>
    <t xml:space="preserve">SVP6040</t>
  </si>
  <si>
    <t xml:space="preserve">SCA8104FL</t>
  </si>
  <si>
    <t xml:space="preserve">BANDEJA COMPLETA LE BYD</t>
  </si>
  <si>
    <t xml:space="preserve">SWP114</t>
  </si>
  <si>
    <t xml:space="preserve">7000904000 (INDISA)</t>
  </si>
  <si>
    <t xml:space="preserve">SBC1104M</t>
  </si>
  <si>
    <t xml:space="preserve">CILINDRO MESTRE DE FREIO SUZUKI</t>
  </si>
  <si>
    <t xml:space="preserve">CILINDRO MESTRE DUPLO</t>
  </si>
  <si>
    <t xml:space="preserve">51100-65J10 (OEM)</t>
  </si>
  <si>
    <t xml:space="preserve">SBC1214</t>
  </si>
  <si>
    <t xml:space="preserve">46100-T0TH01 (OEM)</t>
  </si>
  <si>
    <t xml:space="preserve">STC12001</t>
  </si>
  <si>
    <t xml:space="preserve">VÁLVULA TERMOSTÁTICA BMW</t>
  </si>
  <si>
    <t xml:space="preserve">11538642560 (OEM)</t>
  </si>
  <si>
    <t xml:space="preserve">STC12025</t>
  </si>
  <si>
    <t xml:space="preserve">1106100Q1K (OEM) | 1391.81 (VALCLEI) | 8200978549 (OEM)</t>
  </si>
  <si>
    <t xml:space="preserve">SCA8072FL</t>
  </si>
  <si>
    <t xml:space="preserve">BANDEJA COMPLETA LE VW</t>
  </si>
  <si>
    <t xml:space="preserve">BDJ0801 (PERFECT) | VW1293C (GRAZZIMETAL)</t>
  </si>
  <si>
    <t xml:space="preserve">SFC7014</t>
  </si>
  <si>
    <t xml:space="preserve">POLIA VISCOSA HYUNDAI</t>
  </si>
  <si>
    <t xml:space="preserve">VPV049 (VETOR)</t>
  </si>
  <si>
    <t xml:space="preserve">STC12042</t>
  </si>
  <si>
    <t xml:space="preserve">1106100Q0F (OEM) | 1106100QAK (OEM)</t>
  </si>
  <si>
    <t xml:space="preserve">SCA8029FL</t>
  </si>
  <si>
    <t xml:space="preserve">BDJ9867 (PERFECT) | NBJ6009EP (NAKATA) | SB8185EP (SAMPEL)</t>
  </si>
  <si>
    <t xml:space="preserve">SCA8051FL</t>
  </si>
  <si>
    <t xml:space="preserve">BANDEJA COMPLETA LE CITROEN</t>
  </si>
  <si>
    <t xml:space="preserve">BDJ0841 (PERFECT) | BJC17017M (COFAP) | NBJ5008E (NAKATA) | PG5011 (GRAZZIMETAL)</t>
  </si>
  <si>
    <t xml:space="preserve">SWP305</t>
  </si>
  <si>
    <t xml:space="preserve">SWP205</t>
  </si>
  <si>
    <t xml:space="preserve">7000854504 (INDISA)</t>
  </si>
  <si>
    <t xml:space="preserve">SWP287</t>
  </si>
  <si>
    <t xml:space="preserve">952511 (INDISA)</t>
  </si>
  <si>
    <t xml:space="preserve">SBC1244</t>
  </si>
  <si>
    <t xml:space="preserve">94769766 (OEM) | C2230 (CONTROIL)</t>
  </si>
  <si>
    <t xml:space="preserve">SBC1187</t>
  </si>
  <si>
    <t xml:space="preserve">SWP298</t>
  </si>
  <si>
    <t xml:space="preserve">SWP044</t>
  </si>
  <si>
    <t xml:space="preserve">20161 (SCHADEK) | 7000452005 (INDISA) | VKPC81408 (SKF)</t>
  </si>
  <si>
    <t xml:space="preserve">SWP107</t>
  </si>
  <si>
    <t xml:space="preserve">904522 (INDISA)</t>
  </si>
  <si>
    <t xml:space="preserve">SWP149</t>
  </si>
  <si>
    <t xml:space="preserve">VLBA0010469 (VILLA FRANCA)</t>
  </si>
  <si>
    <t xml:space="preserve">STC12052</t>
  </si>
  <si>
    <t xml:space="preserve">1107.98 (VALCLEI) | 1S7G8575AF (OEM) | 1S7G8575AK (OEM)</t>
  </si>
  <si>
    <t xml:space="preserve">SWC5048R</t>
  </si>
  <si>
    <t xml:space="preserve">CILINDRO DE RODA LD EFFA</t>
  </si>
  <si>
    <t xml:space="preserve">HAFEI</t>
  </si>
  <si>
    <t xml:space="preserve">SBC1010</t>
  </si>
  <si>
    <t xml:space="preserve">CILINDRO MESTRE DE FREIO JINBEI</t>
  </si>
  <si>
    <t xml:space="preserve">SWP234</t>
  </si>
  <si>
    <t xml:space="preserve">BOMBA ÁGUA CHRYSLER</t>
  </si>
  <si>
    <t xml:space="preserve">CHRYSLER / DODGE</t>
  </si>
  <si>
    <t xml:space="preserve">SOC9034</t>
  </si>
  <si>
    <t xml:space="preserve">RESFRIADOR DE ÓLEO CÂMBIO M BENZ</t>
  </si>
  <si>
    <t xml:space="preserve">2465010501 (OEM) | A2465010501 (OEM)</t>
  </si>
  <si>
    <t xml:space="preserve">SWC5074R</t>
  </si>
  <si>
    <t xml:space="preserve">CILINDRO DE RODA LD KIA</t>
  </si>
  <si>
    <t xml:space="preserve">583801Y000 (OEM) | C3602 (CONTROIL)</t>
  </si>
  <si>
    <t xml:space="preserve">SWP032</t>
  </si>
  <si>
    <t xml:space="preserve">7000752001 (INDISA) | VKPC93000 (SKF)</t>
  </si>
  <si>
    <t xml:space="preserve">SCA8112FR</t>
  </si>
  <si>
    <t xml:space="preserve">BDJ2194 (PERFECT)</t>
  </si>
  <si>
    <t xml:space="preserve">SCA8103FR</t>
  </si>
  <si>
    <t xml:space="preserve">BANDEJA COMPLETA LD BYD</t>
  </si>
  <si>
    <t xml:space="preserve">SWP034</t>
  </si>
  <si>
    <t xml:space="preserve">20108 (SCHADEK) | 352004 (INDISA) | NKBA01756 (NAKATA) | UB0756 (URBA) | VKPC82441A (SKF)</t>
  </si>
  <si>
    <t xml:space="preserve">SWP167H</t>
  </si>
  <si>
    <t xml:space="preserve">UB0811 (URBA)</t>
  </si>
  <si>
    <t xml:space="preserve">SWP053</t>
  </si>
  <si>
    <t xml:space="preserve">7000952004 (INDISA) | VKPC83636 (SKF)</t>
  </si>
  <si>
    <t xml:space="preserve">SWP148</t>
  </si>
  <si>
    <t xml:space="preserve">BOMBA ÁGUA AUDI/PORSCHE</t>
  </si>
  <si>
    <t xml:space="preserve">AUDI / PORSCHE</t>
  </si>
  <si>
    <t xml:space="preserve">VLBA0330550 (VILLA FRANCA)</t>
  </si>
  <si>
    <t xml:space="preserve">STC12007</t>
  </si>
  <si>
    <t xml:space="preserve">9804160380 (OEM)</t>
  </si>
  <si>
    <t xml:space="preserve">STC12056</t>
  </si>
  <si>
    <t xml:space="preserve">1261.77-95 (VALCLEI) | 68003583AA (OEM) | K55111016AA (OEM) | K55111017AD (OEM)</t>
  </si>
  <si>
    <t xml:space="preserve">SBC1235</t>
  </si>
  <si>
    <t xml:space="preserve">204788316 (OEM)</t>
  </si>
  <si>
    <t xml:space="preserve">SWC5061R</t>
  </si>
  <si>
    <t xml:space="preserve">6259 (ATE) | 93260020 (OEM) | BWH6000 (TRW) | C3457 (CONTROIL) | CR2956 (BOSCH)</t>
  </si>
  <si>
    <t xml:space="preserve">SCA8040FR</t>
  </si>
  <si>
    <t xml:space="preserve">BANDEJA COMPLETA LD GM</t>
  </si>
  <si>
    <t xml:space="preserve">BDJ9854 (PERFECT) | BJC04156M (COFAP) | GM2276CGG (GRAZZIMETAL) | NBJ3016DP (NAKATA)</t>
  </si>
  <si>
    <t xml:space="preserve">SWP077</t>
  </si>
  <si>
    <t xml:space="preserve">SWP024</t>
  </si>
  <si>
    <t xml:space="preserve">7000752000 (INDISA) | VKPC93601 (SKF)</t>
  </si>
  <si>
    <t xml:space="preserve">SWP198</t>
  </si>
  <si>
    <t xml:space="preserve">7000404005 (INDISA)</t>
  </si>
  <si>
    <t xml:space="preserve">SWP240</t>
  </si>
  <si>
    <t xml:space="preserve">SWP088</t>
  </si>
  <si>
    <t xml:space="preserve">20202 (SCHADEK) | 7000204008 (INDISA) | NKBA02950 (NAKATA) | UB0950 (URBA) | VKPC84415A (SKF)</t>
  </si>
  <si>
    <t xml:space="preserve">SOC9031</t>
  </si>
  <si>
    <t xml:space="preserve">RESFRIADOR DE ÓLEO RENAULT</t>
  </si>
  <si>
    <t xml:space="preserve">8200709764 (OEM)</t>
  </si>
  <si>
    <t xml:space="preserve">SBC1202</t>
  </si>
  <si>
    <t xml:space="preserve">SWP043</t>
  </si>
  <si>
    <t xml:space="preserve">20134 (SCHADEK) | 7000452006 (INDISA) | NKBA07633 (NAKATA) | UB0633 (URBA) | VKPC81620 (SKF)</t>
  </si>
  <si>
    <t xml:space="preserve">SHP11003</t>
  </si>
  <si>
    <t xml:space="preserve">BOMBA DE ALTA PRESSÃO BMW</t>
  </si>
  <si>
    <t xml:space="preserve">0261520281 (BOSCH) | 0261520282 (BOSCH) | 13518604229 (OEM)</t>
  </si>
  <si>
    <t xml:space="preserve">SWP342H</t>
  </si>
  <si>
    <t xml:space="preserve">1628941780 (OEM)</t>
  </si>
  <si>
    <t xml:space="preserve">STC12012</t>
  </si>
  <si>
    <t xml:space="preserve">A2712000115 (OEM) | A2712000215 (OEM) | A2712000315 (OEM)</t>
  </si>
  <si>
    <t xml:space="preserve">SBC1258</t>
  </si>
  <si>
    <t xml:space="preserve">47201-02860 (OEM) | 47201-12C30 (OEM)</t>
  </si>
  <si>
    <t xml:space="preserve">SWP316</t>
  </si>
  <si>
    <t xml:space="preserve">BOMBA D'ÁGUA TOYOTA</t>
  </si>
  <si>
    <t xml:space="preserve">SWP063</t>
  </si>
  <si>
    <t xml:space="preserve">SWP222</t>
  </si>
  <si>
    <t xml:space="preserve">7000454503 (INDISA)</t>
  </si>
  <si>
    <t xml:space="preserve">SVP6006</t>
  </si>
  <si>
    <t xml:space="preserve">702551190 (PIERBURG)</t>
  </si>
  <si>
    <t xml:space="preserve">SBS8057</t>
  </si>
  <si>
    <t xml:space="preserve">SAPATA DE FREIO HAFFEI</t>
  </si>
  <si>
    <t xml:space="preserve">200702 (SYL) | BPSA0097450 (MAZZICAR) | HA380CPA (FRAS-LE)</t>
  </si>
  <si>
    <t xml:space="preserve">SOC9064</t>
  </si>
  <si>
    <t xml:space="preserve">A2741880101 (OEM)</t>
  </si>
  <si>
    <t xml:space="preserve">SWP128</t>
  </si>
  <si>
    <t xml:space="preserve">BOMBA ÁGUA KIA</t>
  </si>
  <si>
    <t xml:space="preserve">7000004002 (INDISA) | NKBA189017 (NAKATA)</t>
  </si>
  <si>
    <t xml:space="preserve">SWP028</t>
  </si>
  <si>
    <t xml:space="preserve">20185 (SCHADEK) | 7000904001 (INDISA) | NKBA169014 (NAKATA) | VKPC91607A (SKF)</t>
  </si>
  <si>
    <t xml:space="preserve">SCA8019FLR</t>
  </si>
  <si>
    <t xml:space="preserve">BANDEJA LE/LD VW</t>
  </si>
  <si>
    <t xml:space="preserve">BDJ1027 (PERFECT) | BJC01027M (COFAP) | NBJ1003 (NAKATA) | VW1005B (GRAZZIMETAL)</t>
  </si>
  <si>
    <t xml:space="preserve">SBC1060</t>
  </si>
  <si>
    <t xml:space="preserve">SWP362</t>
  </si>
  <si>
    <t xml:space="preserve">JB3Z8501 (OEM)</t>
  </si>
  <si>
    <t xml:space="preserve">SWP364</t>
  </si>
  <si>
    <t xml:space="preserve">SCA8044FL</t>
  </si>
  <si>
    <t xml:space="preserve">BDJ5227 (PERFECT) | BJC18159M (COFAP) | NBJ6007EP (NAKATA) | RN4001C (GRAZZIMETAL)</t>
  </si>
  <si>
    <t xml:space="preserve">SVP6046</t>
  </si>
  <si>
    <t xml:space="preserve">BOMBA DE VÁCUO FORD/VW</t>
  </si>
  <si>
    <t xml:space="preserve">AGRALE / FORD / FOTON / JAC MOTORS / MARCOPOLO / VOLKSWAGEN</t>
  </si>
  <si>
    <t xml:space="preserve">23B145209 (OEM) | 5270422 (OEM) | 5270423 (OEM) | 5282085 (OEM) | 9140300120 (OEM) | 9149050114 (OEM)</t>
  </si>
  <si>
    <t xml:space="preserve">SHP11012</t>
  </si>
  <si>
    <t xml:space="preserve">06F127025A (OEM) | 06F127025D (OEM) | 06F127025N (OEM)</t>
  </si>
  <si>
    <t xml:space="preserve">SWP392</t>
  </si>
  <si>
    <t xml:space="preserve">354600 (INDISA) | 55243966 (OEM) | UB0778 (URBA)</t>
  </si>
  <si>
    <t xml:space="preserve">SCA8010FL</t>
  </si>
  <si>
    <t xml:space="preserve">BDJ0207 (PERFECT) | CT6003MAC (GRAZZIMETAL) | SB8063EP (SAMPEL)</t>
  </si>
  <si>
    <t xml:space="preserve">SWP062</t>
  </si>
  <si>
    <t xml:space="preserve">20249 (SCHADEK)</t>
  </si>
  <si>
    <t xml:space="preserve">SVP6026</t>
  </si>
  <si>
    <t xml:space="preserve">SHP11004</t>
  </si>
  <si>
    <t xml:space="preserve">0261520287 (BOSCH) | 0261520288 (BOSCH) | 13518605103 (OEM)</t>
  </si>
  <si>
    <t xml:space="preserve">SCA8012FR</t>
  </si>
  <si>
    <t xml:space="preserve">BDJ0904 (PERFECT) | CT6003MC (GRAZZIMETAL)</t>
  </si>
  <si>
    <t xml:space="preserve">SWP241H1</t>
  </si>
  <si>
    <t xml:space="preserve">SBS8078PB</t>
  </si>
  <si>
    <t xml:space="preserve">MITSUBISHI / SUBARU</t>
  </si>
  <si>
    <t xml:space="preserve">BPSA0095220 (MAZZICAR)</t>
  </si>
  <si>
    <t xml:space="preserve">SFC7001</t>
  </si>
  <si>
    <t xml:space="preserve">POLIA VISCOSA GM/NISSAN</t>
  </si>
  <si>
    <t xml:space="preserve">VPV001 (VETOR)</t>
  </si>
  <si>
    <t xml:space="preserve">STC12071</t>
  </si>
  <si>
    <t xml:space="preserve">VÁLVULA TERMOSTÁTICA HONDA</t>
  </si>
  <si>
    <t xml:space="preserve">19301REA305 (OEM) | 19301RNA315 (OEM)</t>
  </si>
  <si>
    <t xml:space="preserve">SBS8130</t>
  </si>
  <si>
    <t xml:space="preserve">2835CPA (COBREQ) | 5U0698525C (OEM) | BPSA0096820 (MAZZICAR) | HQJ587A (JURID)</t>
  </si>
  <si>
    <t xml:space="preserve">SBS8131</t>
  </si>
  <si>
    <t xml:space="preserve">1608512680 (OEM) | 201910 (SYL) | 2872CPA (COBREQ) | BPSA0090235 (MAZZICAR) | PG444CPA (FRAS-LE)</t>
  </si>
  <si>
    <t xml:space="preserve">SWC5073</t>
  </si>
  <si>
    <t xml:space="preserve">CILINDRO DE RODA LE/LD KIA</t>
  </si>
  <si>
    <t xml:space="preserve">58330-0700 (OEM) | C3540 (CONTROIL)</t>
  </si>
  <si>
    <t xml:space="preserve">SBC1259</t>
  </si>
  <si>
    <t xml:space="preserve">D6010-5EE0A (OEM)</t>
  </si>
  <si>
    <t xml:space="preserve">SCC2043</t>
  </si>
  <si>
    <t xml:space="preserve">KG1504141 (FTE) | RCCE01460 (TRW) | VKCH1504141 (SKF)</t>
  </si>
  <si>
    <t xml:space="preserve">SBS8063PB</t>
  </si>
  <si>
    <t xml:space="preserve">SAPATA DE FREIO BMW</t>
  </si>
  <si>
    <t xml:space="preserve">201300 (SYL) | BPSA0091229 (MAZZICAR)</t>
  </si>
  <si>
    <t xml:space="preserve">SBS8074PB</t>
  </si>
  <si>
    <t xml:space="preserve">204302 (SYL) | BPSA0097119 (MAZZICAR) | IV436CP (FRAS-LE)</t>
  </si>
  <si>
    <t xml:space="preserve">SWP180</t>
  </si>
  <si>
    <t xml:space="preserve">BOMBA ÁGUA ASIA</t>
  </si>
  <si>
    <t xml:space="preserve">ASIA</t>
  </si>
  <si>
    <t xml:space="preserve">SWP142</t>
  </si>
  <si>
    <t xml:space="preserve">STC12051</t>
  </si>
  <si>
    <t xml:space="preserve">VÁLVULA TERMOSTÁTICA IVECO</t>
  </si>
  <si>
    <t xml:space="preserve">504045799 (OEM) | 504084365 (OEM)</t>
  </si>
  <si>
    <t xml:space="preserve">SOC9090</t>
  </si>
  <si>
    <t xml:space="preserve">RESFRIADOR DE ÓLEO NISSAN</t>
  </si>
  <si>
    <t xml:space="preserve">21606-50X1B (OEM)</t>
  </si>
  <si>
    <t xml:space="preserve">SCS4037</t>
  </si>
  <si>
    <t xml:space="preserve">100230 (VALEO) | 306206620R (OEM)</t>
  </si>
  <si>
    <t xml:space="preserve">SBC1252</t>
  </si>
  <si>
    <t xml:space="preserve">CILINDRO MESTRE DE FREIO MERCEDES BENZ</t>
  </si>
  <si>
    <t xml:space="preserve">6884307801 (OEM) | C2169 (CONTROIL) | RCCM00030 (TRW)</t>
  </si>
  <si>
    <t xml:space="preserve">SCA8064FL</t>
  </si>
  <si>
    <t xml:space="preserve">BRAÇO OSCILANTE DIANT COMPLETO LE FORD</t>
  </si>
  <si>
    <t xml:space="preserve">BRA0231 (PERFECT) | FO3197 (GRAZZIMETAL) | NBJ2025EP (NAKATA)</t>
  </si>
  <si>
    <t xml:space="preserve">SCA8064FR</t>
  </si>
  <si>
    <t xml:space="preserve">BRAÇO OSCILANTE DIANT COMPLETO LD FORD</t>
  </si>
  <si>
    <t xml:space="preserve">BRA0232 (PERFECT) | FO3198 (GRAZZIMETAL) | NBJ2025DP (NAKATA)</t>
  </si>
  <si>
    <t xml:space="preserve">SWC5048L</t>
  </si>
  <si>
    <t xml:space="preserve">CILINDRO DE RODA LE EFFA</t>
  </si>
  <si>
    <t xml:space="preserve">SCA8012FL</t>
  </si>
  <si>
    <t xml:space="preserve">BDJ0903 (PERFECT) | CT6002MC (GRAZZIMETAL)</t>
  </si>
  <si>
    <t xml:space="preserve">SCA8052FL</t>
  </si>
  <si>
    <t xml:space="preserve">BDJ2402 (PERFECT) | JP23016C (GRAZZIMETAL)</t>
  </si>
  <si>
    <t xml:space="preserve">SWP246</t>
  </si>
  <si>
    <t xml:space="preserve">SWP179</t>
  </si>
  <si>
    <t xml:space="preserve">7000904514 (INDISA) | BDTO21 (TAKAO)</t>
  </si>
  <si>
    <t xml:space="preserve">SBC1105B</t>
  </si>
  <si>
    <t xml:space="preserve">58510-1Y000 (OEM)</t>
  </si>
  <si>
    <t xml:space="preserve">STC12065</t>
  </si>
  <si>
    <t xml:space="preserve">03L121111AB (OEM) | 03L121111H (OEM) | 4454.87 (VALCLEI)</t>
  </si>
  <si>
    <t xml:space="preserve">SCA8052FR</t>
  </si>
  <si>
    <t xml:space="preserve">BDJ2403 (PERFECT) | JP23017C (GRAZZIMETAL)</t>
  </si>
  <si>
    <t xml:space="preserve">SWP270</t>
  </si>
  <si>
    <t xml:space="preserve">SCA8111FR</t>
  </si>
  <si>
    <t xml:space="preserve">BDJ0306 (PERFECT) | NBJ3031DP (NAKATA)</t>
  </si>
  <si>
    <t xml:space="preserve">SCA8099FR</t>
  </si>
  <si>
    <t xml:space="preserve">BANDEJA COMPLETA LD HONDA</t>
  </si>
  <si>
    <t xml:space="preserve">BDJ0430C (PERFECT)</t>
  </si>
  <si>
    <t xml:space="preserve">SCC2104</t>
  </si>
  <si>
    <t xml:space="preserve">SOC9086</t>
  </si>
  <si>
    <t xml:space="preserve">RESFRIADOR DE ÓLEO CHERY</t>
  </si>
  <si>
    <t xml:space="preserve">E4T15B-101310 (OEM)</t>
  </si>
  <si>
    <t xml:space="preserve">SCA8068FL</t>
  </si>
  <si>
    <t xml:space="preserve">BDJ2029 (PERFECT) | HY9035C (GRAZZIMETAL) | NBJ8003EP (NAKATA)</t>
  </si>
  <si>
    <t xml:space="preserve">SSC3047</t>
  </si>
  <si>
    <t xml:space="preserve">SWP054</t>
  </si>
  <si>
    <t xml:space="preserve">FORD / GM / NISSAN / TROLLER</t>
  </si>
  <si>
    <t xml:space="preserve">20093 (SCHADEK) | 7000105002 (INDISA) | NKBA06577 (NAKATA) | UB0577 (URBA)</t>
  </si>
  <si>
    <t xml:space="preserve">SWP265</t>
  </si>
  <si>
    <t xml:space="preserve">SBS8117</t>
  </si>
  <si>
    <t xml:space="preserve">583502FA00 (OEM) | 583502KA00 (OEM) | BPSA0090191 (MAZZICAR) | KI362CPA (FRAS-LE)</t>
  </si>
  <si>
    <t xml:space="preserve">SWP371</t>
  </si>
  <si>
    <t xml:space="preserve">144B06803R (OEM)</t>
  </si>
  <si>
    <t xml:space="preserve">STC12053</t>
  </si>
  <si>
    <t xml:space="preserve">FORD / LAND ROVER / VOLVO</t>
  </si>
  <si>
    <t xml:space="preserve">4M5G8575EA (OEM) | 4M5G8575EB (OEM)</t>
  </si>
  <si>
    <t xml:space="preserve">SBC1240</t>
  </si>
  <si>
    <t xml:space="preserve">C2212 (CONTROIL) | D3BC2004AA (OEM)</t>
  </si>
  <si>
    <t xml:space="preserve">SWP309</t>
  </si>
  <si>
    <t xml:space="preserve">SCA8103FL</t>
  </si>
  <si>
    <t xml:space="preserve">SWP016</t>
  </si>
  <si>
    <t xml:space="preserve">7000052001 (INDISA) | NKBA139003 (NAKATA) | VKPC4896 (SKF)</t>
  </si>
  <si>
    <t xml:space="preserve">SWP270H</t>
  </si>
  <si>
    <t xml:space="preserve">SWP104</t>
  </si>
  <si>
    <t xml:space="preserve">904520 (INDISA)</t>
  </si>
  <si>
    <t xml:space="preserve">SBS8126PB</t>
  </si>
  <si>
    <t xml:space="preserve">58305-2BA00 (OEM) | 58305-3LA00 (OEM) | BPSA0096075 (MAZZICAR)</t>
  </si>
  <si>
    <t xml:space="preserve">SWC5074L</t>
  </si>
  <si>
    <t xml:space="preserve">CILINDRO DE RODA LE KIA</t>
  </si>
  <si>
    <t xml:space="preserve">583301Y000 (OEM) | C3601 (CONTROIL)</t>
  </si>
  <si>
    <t xml:space="preserve">SBC1260</t>
  </si>
  <si>
    <t xml:space="preserve">D6010-5EE0B (OEM)</t>
  </si>
  <si>
    <t xml:space="preserve">SCA8112FL</t>
  </si>
  <si>
    <t xml:space="preserve">BDJ2195 (PERFECT)</t>
  </si>
  <si>
    <t xml:space="preserve">SWP226</t>
  </si>
  <si>
    <t xml:space="preserve">VKPC91826 (SKF)</t>
  </si>
  <si>
    <t xml:space="preserve">SWP385</t>
  </si>
  <si>
    <t xml:space="preserve">E4T15B1118050 (OEM)</t>
  </si>
  <si>
    <t xml:space="preserve">SOC9098</t>
  </si>
  <si>
    <t xml:space="preserve">F4J16-1013010 (OEM) | F4J16-1013010AB (OEM)</t>
  </si>
  <si>
    <t xml:space="preserve">SWC5081</t>
  </si>
  <si>
    <t xml:space="preserve">CILINDRO DE RODA LE/LD JAC</t>
  </si>
  <si>
    <t xml:space="preserve">S3500L22042-00003</t>
  </si>
  <si>
    <t xml:space="preserve">SCA8062FL</t>
  </si>
  <si>
    <t xml:space="preserve">BANDEJA COMPLETA LE MITSUBISHI</t>
  </si>
  <si>
    <t xml:space="preserve">BDJ2039 (PERFECT) | MT17029C (GRAZZIMETAL) | NBJ9002EP (NAKATA)</t>
  </si>
  <si>
    <t xml:space="preserve">SCA8062FR</t>
  </si>
  <si>
    <t xml:space="preserve">BANDEJA COMPLETA LD MITSUBISHI</t>
  </si>
  <si>
    <t xml:space="preserve">BDJ2038 (PERFECT) | MT17030C (GRAZZIMETAL) | NBJ9002DP (NAKATA)</t>
  </si>
  <si>
    <t xml:space="preserve">STC12020</t>
  </si>
  <si>
    <t xml:space="preserve">9808647180 (OEM)</t>
  </si>
  <si>
    <t xml:space="preserve">SBC1237</t>
  </si>
  <si>
    <t xml:space="preserve">4625A213 (OEM)</t>
  </si>
  <si>
    <t xml:space="preserve">SWP294</t>
  </si>
  <si>
    <t xml:space="preserve">SFC7006</t>
  </si>
  <si>
    <t xml:space="preserve">POLIA VISCOSA FORD</t>
  </si>
  <si>
    <t xml:space="preserve">VPV040 (VETOR)</t>
  </si>
  <si>
    <t xml:space="preserve">SBS8066</t>
  </si>
  <si>
    <t xml:space="preserve">203111 (SYL) | 2696CP (COBREQ) | BPSA0090200 (MAZZICAR) | FD101CP (FRAS-LE) | HQJ520 (JURID)</t>
  </si>
  <si>
    <t xml:space="preserve">SWP161A</t>
  </si>
  <si>
    <t xml:space="preserve">SOC9060</t>
  </si>
  <si>
    <t xml:space="preserve">2711880401 (OEM)</t>
  </si>
  <si>
    <t xml:space="preserve">SWC5072</t>
  </si>
  <si>
    <t xml:space="preserve">43300SAAG01 (OEM) | 7256 (ATE) | C3520 (CONTROIL) | CR3012 (BOSCH) | RCCR03380 (TRW)</t>
  </si>
  <si>
    <t xml:space="preserve">SCS4005</t>
  </si>
  <si>
    <t xml:space="preserve">510000110 (LUK) | ZA320631 (FTE)</t>
  </si>
  <si>
    <t xml:space="preserve">SWP013</t>
  </si>
  <si>
    <t xml:space="preserve">CHRYSLER</t>
  </si>
  <si>
    <t xml:space="preserve">7000054002 (INDISA)</t>
  </si>
  <si>
    <t xml:space="preserve">SOC9043</t>
  </si>
  <si>
    <t xml:space="preserve">BBDG927A095AD (OEM) | DG937A095 (OEM)</t>
  </si>
  <si>
    <t xml:space="preserve">SHP11010</t>
  </si>
  <si>
    <t xml:space="preserve">0261520572 (BOSCH) | 04E127025A (OEM) | 04E127025B (OEM) | 04E127025D (OEM) | 04E127026F (OEM) | 04E127026K (OEM)</t>
  </si>
  <si>
    <t xml:space="preserve">SOC9082</t>
  </si>
  <si>
    <t xml:space="preserve">RESFRIADOR DE OLEO GM</t>
  </si>
  <si>
    <t xml:space="preserve">12640136 (OEM) | 126401869 (OEM) | 12678774 (OEM)</t>
  </si>
  <si>
    <t xml:space="preserve">SBS8115PB</t>
  </si>
  <si>
    <t xml:space="preserve">206006 (SYL) | A9064200320 (OEM) | A9104202600 (OEM) | BPSA0090117 (MAZZICAR) | MB516CP (FRAS-LE)</t>
  </si>
  <si>
    <t xml:space="preserve">SBC1105A</t>
  </si>
  <si>
    <t xml:space="preserve">58510-1Y920 (OEM)</t>
  </si>
  <si>
    <t xml:space="preserve">SCA8111FL</t>
  </si>
  <si>
    <t xml:space="preserve">BDJ0307 (PERFECT) | NBJ3031EP (NAKATA)</t>
  </si>
  <si>
    <t xml:space="preserve">SWP100</t>
  </si>
  <si>
    <t xml:space="preserve">7000854502 (INDISA)</t>
  </si>
  <si>
    <t xml:space="preserve">SWP233</t>
  </si>
  <si>
    <t xml:space="preserve">7000774500 (INDISA)</t>
  </si>
  <si>
    <t xml:space="preserve">STC12046</t>
  </si>
  <si>
    <t xml:space="preserve">9812131480 (OEM)</t>
  </si>
  <si>
    <t xml:space="preserve">SBC1224</t>
  </si>
  <si>
    <t xml:space="preserve">0204032603 (BOSCH) | 0986AB8677 (BOSCH) | 472010W030 (OEM)</t>
  </si>
  <si>
    <t xml:space="preserve">SCA8068FR</t>
  </si>
  <si>
    <t xml:space="preserve">BDJ2028 (PERFECT) | HY9036C (GRAZZIMETAL) | NBJ8003DP (NAKATA)</t>
  </si>
  <si>
    <t xml:space="preserve">SCA8069FL</t>
  </si>
  <si>
    <t xml:space="preserve">BDJ0381 (PERFECT) | BJC04161M (COFAP) | GM2341C (GRAZZIMETAL) | NBJ3026EP (NAKATA)</t>
  </si>
  <si>
    <t xml:space="preserve">SWP311H</t>
  </si>
  <si>
    <t xml:space="preserve">SCA8044FR</t>
  </si>
  <si>
    <t xml:space="preserve">BDJ5228 (PERFECT) | BJC18158M (COFAP) | NBJ6007DP (NAKATA) | RN4000C (GRAZZIMETAL)</t>
  </si>
  <si>
    <t xml:space="preserve">SWP251</t>
  </si>
  <si>
    <t xml:space="preserve">758503 (INDISA) | VBD704 (VETORE)</t>
  </si>
  <si>
    <t xml:space="preserve">SBS8108PB</t>
  </si>
  <si>
    <t xml:space="preserve">583051MA00 (OEM) | 583501GA00 (OEM) | BPSA0096074 (MAZZICAR)</t>
  </si>
  <si>
    <t xml:space="preserve">SWC5078L</t>
  </si>
  <si>
    <t xml:space="preserve">CILINDRO DE RODA LE CITROEN</t>
  </si>
  <si>
    <t xml:space="preserve">0986475907 (BOSCH) | 4402.E1 (OEM) | 4402.E9 (OEM) | C3524 (CONTROIL)</t>
  </si>
  <si>
    <t xml:space="preserve">SCA8048FR</t>
  </si>
  <si>
    <t xml:space="preserve">BDJ0139 (PERFECT) | FI357BC (GRAZZIMETAL) | NBJ4018EP (NAKATA)</t>
  </si>
  <si>
    <t xml:space="preserve">SCA8099FL</t>
  </si>
  <si>
    <t xml:space="preserve">BANDEJA COMPLETA LE HONDA</t>
  </si>
  <si>
    <t xml:space="preserve">BDJ0429C (PERFECT)</t>
  </si>
  <si>
    <t xml:space="preserve">SWP243</t>
  </si>
  <si>
    <t xml:space="preserve">LEXUS / TOYOTA</t>
  </si>
  <si>
    <t xml:space="preserve">SCC2098</t>
  </si>
  <si>
    <t xml:space="preserve">SWP103A</t>
  </si>
  <si>
    <t xml:space="preserve">SOC9061</t>
  </si>
  <si>
    <t xml:space="preserve">31293761 (OEM)</t>
  </si>
  <si>
    <t xml:space="preserve">SOC9071</t>
  </si>
  <si>
    <t xml:space="preserve">0995001100 (OEM) | 0995002300 (OEM)</t>
  </si>
  <si>
    <t xml:space="preserve">SHP11007</t>
  </si>
  <si>
    <t xml:space="preserve">BOMBA DE ALTA PRESSÃO M BENZ</t>
  </si>
  <si>
    <t xml:space="preserve">0261520215 (BOSCH) | A2740700401 (OEM) | A2740700501 (OEM)</t>
  </si>
  <si>
    <t xml:space="preserve">SHP11016</t>
  </si>
  <si>
    <t xml:space="preserve">BOMBA DE ALTA PRESSÃO HONDA</t>
  </si>
  <si>
    <t xml:space="preserve">1679059B003 (OEM)</t>
  </si>
  <si>
    <t xml:space="preserve">SBC1215</t>
  </si>
  <si>
    <t xml:space="preserve">1K0945459A (OEM)</t>
  </si>
  <si>
    <t xml:space="preserve">SBC1124NR</t>
  </si>
  <si>
    <t xml:space="preserve">68263298AA (OEM) | C2245 (CONTROIL)</t>
  </si>
  <si>
    <t xml:space="preserve">SWP229</t>
  </si>
  <si>
    <t xml:space="preserve">BOMBA ÁGUA FIAT/IVECO</t>
  </si>
  <si>
    <t xml:space="preserve">7000354500 (INDISA) | UB0777 (URBA)</t>
  </si>
  <si>
    <t xml:space="preserve">SWP119</t>
  </si>
  <si>
    <t xml:space="preserve">BDMI30A (TAKAO) | VLBA0010402 (VILLA FRANCA)</t>
  </si>
  <si>
    <t xml:space="preserve">SWP110</t>
  </si>
  <si>
    <t xml:space="preserve">7000354501 (INDISA) | UB0775 (URBA)</t>
  </si>
  <si>
    <t xml:space="preserve">SOC9044</t>
  </si>
  <si>
    <t xml:space="preserve">7T4Z6A642A (OEM) | 8A8E6A642AA (OEM)</t>
  </si>
  <si>
    <t xml:space="preserve">SOC9045</t>
  </si>
  <si>
    <t xml:space="preserve">6C1Q6B624BA (OEM) | 7C1Q6B624BB (OEM) | LR029928 (OEM)</t>
  </si>
  <si>
    <t xml:space="preserve">SHP11002</t>
  </si>
  <si>
    <t xml:space="preserve">0261520147 (BOSCH) | 0261520148 (BOSCH) | 13517584461 (OEM)</t>
  </si>
  <si>
    <t xml:space="preserve">SOC9080</t>
  </si>
  <si>
    <t xml:space="preserve">RESFRIADOR DE OLEO MITSUBISHI</t>
  </si>
  <si>
    <t xml:space="preserve">2920A400 (OEM)</t>
  </si>
  <si>
    <t xml:space="preserve">SOC9093</t>
  </si>
  <si>
    <t xml:space="preserve">RESFRIADOR DE ÓLEO TOYOTA</t>
  </si>
  <si>
    <t xml:space="preserve">15071-0E010 (OEM) | 15071-11010 (OEM)</t>
  </si>
  <si>
    <t xml:space="preserve">SWC5066R</t>
  </si>
  <si>
    <t xml:space="preserve">CILINDRO DE RODA LD FORD</t>
  </si>
  <si>
    <t xml:space="preserve">FORD / MERCEDES-BENZ</t>
  </si>
  <si>
    <t xml:space="preserve">5L552261AA (OEM) | 6280 (ATE) | C3467 (CONTROIL) | CR2588 (BOSCH) | RCCR00990 (TRW)</t>
  </si>
  <si>
    <t xml:space="preserve">SCA8087FL</t>
  </si>
  <si>
    <t xml:space="preserve">BDJ0643 (PERFECT) | RN4097C (GRAZZIMETAL)</t>
  </si>
  <si>
    <t xml:space="preserve">SWP304</t>
  </si>
  <si>
    <t xml:space="preserve">SOC9041</t>
  </si>
  <si>
    <t xml:space="preserve">LR004287 (OEM) | LR006653 (OEM)</t>
  </si>
  <si>
    <t xml:space="preserve">SOC9065</t>
  </si>
  <si>
    <t xml:space="preserve">17217593856 (OEM)</t>
  </si>
  <si>
    <t xml:space="preserve">SWP361</t>
  </si>
  <si>
    <t xml:space="preserve">BOMBA ÁGUA RAM</t>
  </si>
  <si>
    <t xml:space="preserve">RAM</t>
  </si>
  <si>
    <t xml:space="preserve">68445352AA (OEM) | 68569196AA (OEM) | K68445352AA (OEM) | K68569196AA (OEM)</t>
  </si>
  <si>
    <t xml:space="preserve">SBC1253</t>
  </si>
  <si>
    <t xml:space="preserve">SWP236</t>
  </si>
  <si>
    <t xml:space="preserve">BOMBA ÁGUA SSANGYOUNG</t>
  </si>
  <si>
    <t xml:space="preserve">SSANGYONG</t>
  </si>
  <si>
    <t xml:space="preserve">SWP345</t>
  </si>
  <si>
    <t xml:space="preserve">11518678905 (OEM)</t>
  </si>
  <si>
    <t xml:space="preserve">SCA8069FR</t>
  </si>
  <si>
    <t xml:space="preserve">BDJ0382 (PERFECT) | BJC04160M (COFAP) | GM2342C (GRAZZIMETAL) | NBJ3026DP (NAKATA)</t>
  </si>
  <si>
    <t xml:space="preserve">SCA8048FL</t>
  </si>
  <si>
    <t xml:space="preserve">BDJ0138 (PERFECT) | FI356BC (GRAZZIMETAL) | NBJ4018D (NAKATA)</t>
  </si>
  <si>
    <t xml:space="preserve">SWP017</t>
  </si>
  <si>
    <t xml:space="preserve">SWP271</t>
  </si>
  <si>
    <t xml:space="preserve">UB0179 (URBA)</t>
  </si>
  <si>
    <t xml:space="preserve">SBC1047</t>
  </si>
  <si>
    <t xml:space="preserve">STC12068</t>
  </si>
  <si>
    <t xml:space="preserve">255104A700 (OEM) | 255104A750 (OEM)</t>
  </si>
  <si>
    <t xml:space="preserve">SBC1222</t>
  </si>
  <si>
    <t xml:space="preserve">6341 (ATE) | 85TU2140B (OEM) | C2039 (CONTROIL) | RCCD00160 (TRW)</t>
  </si>
  <si>
    <t xml:space="preserve">SWC5078R</t>
  </si>
  <si>
    <t xml:space="preserve">CILINDRO DE RODA LD CITROEN</t>
  </si>
  <si>
    <t xml:space="preserve">0986475908 (BOSCH) | 4402.E2 (OEM) | 4402.E9 (OEM) | C3525 (CONTROIL)</t>
  </si>
  <si>
    <t xml:space="preserve">SCA8059FR</t>
  </si>
  <si>
    <t xml:space="preserve">BANDEJA SUPERIOR</t>
  </si>
  <si>
    <t xml:space="preserve">BDJ3194 (PERFECT) | BJC01844M (COFAP) | FO3194C (GRAZZIMETAL) | NBJ2027DP (NAKATA)</t>
  </si>
  <si>
    <t xml:space="preserve">SBS8111</t>
  </si>
  <si>
    <t xml:space="preserve">BG2T2200AA (OEM) | BPSA0090210 (MAZZICAR)</t>
  </si>
  <si>
    <t xml:space="preserve">SWC5066L</t>
  </si>
  <si>
    <t xml:space="preserve">CILINDRO DE RODA LE FORD</t>
  </si>
  <si>
    <t xml:space="preserve">5L552262AA (OEM) | 6281 (ATE) | C3466 (CONTROIL) | CR2587 (BOSCH) | RCCR00980 (TRW)</t>
  </si>
  <si>
    <t xml:space="preserve">SCA8028FR</t>
  </si>
  <si>
    <t xml:space="preserve">BDJ2107 (PERFECT) | HY9078C (GRAZZIMETAL) | NBJ9004DP (NAKATA)</t>
  </si>
  <si>
    <t xml:space="preserve">SBC1196</t>
  </si>
  <si>
    <t xml:space="preserve">SBC1212</t>
  </si>
  <si>
    <t xml:space="preserve">0K72A43400A (OEM) | 0K72B43400 (OEM) | C2162 (CONTROIL) | PMZ718 (TRW)</t>
  </si>
  <si>
    <t xml:space="preserve">SCA8060FR</t>
  </si>
  <si>
    <t xml:space="preserve">BDJ2400 (PERFECT) | FI346C (GRAZZIMETAL)</t>
  </si>
  <si>
    <t xml:space="preserve">SBC1070</t>
  </si>
  <si>
    <t xml:space="preserve">CILINDRO MESTRE DE FREIO EFFA</t>
  </si>
  <si>
    <t xml:space="preserve">SVP6055</t>
  </si>
  <si>
    <t xml:space="preserve">GK2Q2A451AD (OEM) | GK2Q2A451AE (OEM)</t>
  </si>
  <si>
    <t xml:space="preserve">STC12063</t>
  </si>
  <si>
    <t xml:space="preserve">VÁLVULA TERMOSTÁTICA VOLVO</t>
  </si>
  <si>
    <t xml:space="preserve">LR006071 (OEM)</t>
  </si>
  <si>
    <t xml:space="preserve">SWP212</t>
  </si>
  <si>
    <t xml:space="preserve">7000904511 (INDISA)</t>
  </si>
  <si>
    <t xml:space="preserve">SOC9066</t>
  </si>
  <si>
    <t xml:space="preserve">17217600553 (OEM)</t>
  </si>
  <si>
    <t xml:space="preserve">STC12000</t>
  </si>
  <si>
    <t xml:space="preserve">11537644811 (OEM)</t>
  </si>
  <si>
    <t xml:space="preserve">SWC5092</t>
  </si>
  <si>
    <t xml:space="preserve">1006016 (OEM) | 1104132 (OEM) | 1484750 (OEM) | 547611051A (OEM) | 6014 (ATE) | 72GB2261AA (OEM) | C3412 (CONTROIL) | RCCR01283 (TRW)</t>
  </si>
  <si>
    <t xml:space="preserve">SCA8087FR</t>
  </si>
  <si>
    <t xml:space="preserve">BDJ0642 (PERFECT) | RN4098C (GRAZZIMETAL)</t>
  </si>
  <si>
    <t xml:space="preserve">SWP326</t>
  </si>
  <si>
    <t xml:space="preserve">114704 (INDISA) | 11518616992 (OEM) | 704125210 (PIERBURG)</t>
  </si>
  <si>
    <t xml:space="preserve">SWP036</t>
  </si>
  <si>
    <t xml:space="preserve">20175 (SCHADEK) | 7000702006 (INDISA) | VKPC86206A (SKF)</t>
  </si>
  <si>
    <t xml:space="preserve">STC12018</t>
  </si>
  <si>
    <t xml:space="preserve">11437633477 (OEM) | 11537588257 (OEM)</t>
  </si>
  <si>
    <t xml:space="preserve">STC12031</t>
  </si>
  <si>
    <t xml:space="preserve">VÁLVULA TERMOSTÁTICA L ROVER</t>
  </si>
  <si>
    <t xml:space="preserve">JDE40346 (OEM) | LR073694 (OEM) | LR105975 (OEM)</t>
  </si>
  <si>
    <t xml:space="preserve">STC12035</t>
  </si>
  <si>
    <t xml:space="preserve">LR073372 (OEM)</t>
  </si>
  <si>
    <t xml:space="preserve">SBC1232</t>
  </si>
  <si>
    <t xml:space="preserve">D6010-5JW2A (OEM)</t>
  </si>
  <si>
    <t xml:space="preserve">SBB13080</t>
  </si>
  <si>
    <t xml:space="preserve">SERVO FREIO TOYOTA</t>
  </si>
  <si>
    <t xml:space="preserve">SERVO FREIO</t>
  </si>
  <si>
    <t xml:space="preserve">44610-09290 (OEM)</t>
  </si>
  <si>
    <t xml:space="preserve">SBB13084</t>
  </si>
  <si>
    <t xml:space="preserve">SERVO FREIO CHEVROLET</t>
  </si>
  <si>
    <t xml:space="preserve">0204032381 (BOSCH) | 0204032382 (BOSCH) | 02040C2062 (BOSCH) | 7908449963821 (OEM) | SF2062 (BOSCH) | SF5610S (BOSCH)</t>
  </si>
  <si>
    <t xml:space="preserve">SCA8011FR</t>
  </si>
  <si>
    <t xml:space="preserve">BANDEJA LD CITROEN</t>
  </si>
  <si>
    <t xml:space="preserve">BDJ0208SP (PERFECT) | BJC55000M (COFAP) | NBJ5004D (NAKATA)</t>
  </si>
  <si>
    <t xml:space="preserve">SCA8060FL</t>
  </si>
  <si>
    <t xml:space="preserve">BDJ2401 (PERFECT) | FI347C (GRAZZIMETAL)</t>
  </si>
  <si>
    <t xml:space="preserve">SBC1006</t>
  </si>
  <si>
    <t xml:space="preserve">SWP225</t>
  </si>
  <si>
    <t xml:space="preserve">7000952007 (INDISA)</t>
  </si>
  <si>
    <t xml:space="preserve">SBS8116PB</t>
  </si>
  <si>
    <t xml:space="preserve">9064200220 (OEM) | 9064200420 (OEM) | A9064200220 (OEM) | A9064200420 (OEM) | BPSA0090118 (MAZZICAR)</t>
  </si>
  <si>
    <t xml:space="preserve">SCA8034FR</t>
  </si>
  <si>
    <t xml:space="preserve">BDJ0734 (PERFECT) | BJC03062M (COFAP) | FI302C (GRAZZIMETAL)</t>
  </si>
  <si>
    <t xml:space="preserve">SCA8054FR</t>
  </si>
  <si>
    <t xml:space="preserve">BANDEJA LD TOYOTA</t>
  </si>
  <si>
    <t xml:space="preserve">BDJ2034 (PERFECT) | BJC22008M (COFAP) | NBJ7002D (NAKATA) | SB8229AD (SAMPEL) | TT14027B (GRAZZIMETAL)</t>
  </si>
  <si>
    <t xml:space="preserve">SWP137</t>
  </si>
  <si>
    <t xml:space="preserve">SFC7005</t>
  </si>
  <si>
    <t xml:space="preserve">POLIA VISCOSA GM</t>
  </si>
  <si>
    <t xml:space="preserve">VPV047 (VETOR)</t>
  </si>
  <si>
    <t xml:space="preserve">SBS8011PB</t>
  </si>
  <si>
    <t xml:space="preserve">58350-3JA00 (OEM) | 58350-4HA00 (OEM) | BPSA0096060 (MAZZICAR)</t>
  </si>
  <si>
    <t xml:space="preserve">SBS8118</t>
  </si>
  <si>
    <t xml:space="preserve">3M512200BB (OEM) | BPSA0097370 (MAZZICAR) | FD102CPA (FRAS-LE)</t>
  </si>
  <si>
    <t xml:space="preserve">SBB13034</t>
  </si>
  <si>
    <t xml:space="preserve">SERVO FREIO FIAT</t>
  </si>
  <si>
    <t xml:space="preserve">204032385 (BOSCH) | 6027 (ATE) | 6031 (ATE) | 7081979 (OEM) | 7082042 (OEM) | C5656 (CONTROIL) | SF2622 (BOSCH)</t>
  </si>
  <si>
    <t xml:space="preserve">SWP188</t>
  </si>
  <si>
    <t xml:space="preserve">SVP6025</t>
  </si>
  <si>
    <t xml:space="preserve">BOMBA DE VÁCIO M BENZ</t>
  </si>
  <si>
    <t xml:space="preserve">SWP373</t>
  </si>
  <si>
    <t xml:space="preserve">11517643949 (OEM) | 11518605322 (OEM)</t>
  </si>
  <si>
    <t xml:space="preserve">SCA8028FL</t>
  </si>
  <si>
    <t xml:space="preserve">BDJ2108 (PERFECT) | HY9079C (GRAZZIMETAL) | NBJ9004EP (NAKATA)</t>
  </si>
  <si>
    <t xml:space="preserve">SWP171</t>
  </si>
  <si>
    <t xml:space="preserve">904515 (INDISA)</t>
  </si>
  <si>
    <t xml:space="preserve">SWP052</t>
  </si>
  <si>
    <t xml:space="preserve">7000952005 (INDISA) | VKPC83635 (SKF)</t>
  </si>
  <si>
    <t xml:space="preserve">SVP6044</t>
  </si>
  <si>
    <t xml:space="preserve">SWP365</t>
  </si>
  <si>
    <t xml:space="preserve">BOMBA ÁGUA GWM</t>
  </si>
  <si>
    <t xml:space="preserve">GWM</t>
  </si>
  <si>
    <t xml:space="preserve">STC12034</t>
  </si>
  <si>
    <t xml:space="preserve">LR001312 (OEM)</t>
  </si>
  <si>
    <t xml:space="preserve">SWC5065R</t>
  </si>
  <si>
    <t xml:space="preserve">2S4611050 (OEM) | 85TU/2261/D (OEM) | C3377 (CONTROIL) | CR2058 (BOSCH) | RCCR01259 (TRW)</t>
  </si>
  <si>
    <t xml:space="preserve">SCA8063FR</t>
  </si>
  <si>
    <t xml:space="preserve">BDJ9012 (PERFECT) | FI296C (GRAZZIMETAL)</t>
  </si>
  <si>
    <t xml:space="preserve">SWP211H</t>
  </si>
  <si>
    <t xml:space="preserve">BOMBA AGUA KIA</t>
  </si>
  <si>
    <t xml:space="preserve">KIA / SUZUKI</t>
  </si>
  <si>
    <t xml:space="preserve">SFC7010</t>
  </si>
  <si>
    <t xml:space="preserve">FORD / MAZDA</t>
  </si>
  <si>
    <t xml:space="preserve">VPV053 (VETOR)</t>
  </si>
  <si>
    <t xml:space="preserve">SBS8076</t>
  </si>
  <si>
    <t xml:space="preserve">SWP386</t>
  </si>
  <si>
    <t xml:space="preserve">111100001AA (OEM)</t>
  </si>
  <si>
    <t xml:space="preserve">SWP026</t>
  </si>
  <si>
    <t xml:space="preserve">7000752003 (INDISA)</t>
  </si>
  <si>
    <t xml:space="preserve">SSC3045</t>
  </si>
  <si>
    <t xml:space="preserve">SWP344</t>
  </si>
  <si>
    <t xml:space="preserve">06M121012C (OEM) | 06M121013D (OEM)</t>
  </si>
  <si>
    <t xml:space="preserve">STC12022</t>
  </si>
  <si>
    <t xml:space="preserve">1336Z6 (OEM) | 9810916980 (OEM)</t>
  </si>
  <si>
    <t xml:space="preserve">STC12026</t>
  </si>
  <si>
    <t xml:space="preserve">31293912 (OEM) | 31439968 (OEM) | 31686560 (OEM)</t>
  </si>
  <si>
    <t xml:space="preserve">SWC5088</t>
  </si>
  <si>
    <t xml:space="preserve">4402.C6 (OEM) | 4402.E8 (OEM) | 7215 (ATE) | C3505 (CONTROIL) | CR3015 (BOSCH) | RCCR02920 (TRW)</t>
  </si>
  <si>
    <t xml:space="preserve">SCA8059FL</t>
  </si>
  <si>
    <t xml:space="preserve">BDJ3195 (PERFECT) | BJC08145M (COFAP) | FO3195C (GRAZZIMETAL) | NBJ2027EP (NAKATA)</t>
  </si>
  <si>
    <t xml:space="preserve">SCA8063FL</t>
  </si>
  <si>
    <t xml:space="preserve">BDJ9011 (PERFECT) | FI297C (GRAZZIMETAL) | SB1083EP (SAMPEL)</t>
  </si>
  <si>
    <t xml:space="preserve">SCA8054FL</t>
  </si>
  <si>
    <t xml:space="preserve">BANDEJA LE TOYOTA</t>
  </si>
  <si>
    <t xml:space="preserve">BDJ2035 (PERFECT) | BJC22009M (COFAP) | NBJ7002E (NAKATA) | SB8229AE (SAMPEL) | TT14028B (GRAZZIMETAL)</t>
  </si>
  <si>
    <t xml:space="preserve">SVP6002</t>
  </si>
  <si>
    <t xml:space="preserve">724807200 (PIERBURG)</t>
  </si>
  <si>
    <t xml:space="preserve">STC12033</t>
  </si>
  <si>
    <t xml:space="preserve">AJ813902 (OEM) | AJ814048 (OEM) | LR107288 (OEM) | LR117568 (OEM)</t>
  </si>
  <si>
    <t xml:space="preserve">SWC5085</t>
  </si>
  <si>
    <t xml:space="preserve">0986475039 (OEM) | 357611053B (OEM) | 376611051 (OEM) | 6215 (ATE) | 6U0611053 (OEM) | C3471 (CONTROIL) | CR2905 (BOSCH) | RCCR03300 (TRW)</t>
  </si>
  <si>
    <t xml:space="preserve">SCA8033FR</t>
  </si>
  <si>
    <t xml:space="preserve">BANDEJA LD GM</t>
  </si>
  <si>
    <t xml:space="preserve">BJC04118M (COFAP) | BRA4118 (PERFECT) | GM2150M (GRAZZIMETAL) | NBJ3001D (NAKATA)</t>
  </si>
  <si>
    <t xml:space="preserve">SWP035</t>
  </si>
  <si>
    <t xml:space="preserve">HYUNDAI / JAC MOTORS / KIA</t>
  </si>
  <si>
    <t xml:space="preserve">116001 (INDISA)</t>
  </si>
  <si>
    <t xml:space="preserve">SCA8091FL</t>
  </si>
  <si>
    <t xml:space="preserve">BANDEJA COMPLETA LE M BENZ</t>
  </si>
  <si>
    <t xml:space="preserve">BDJ3001 (PERFECT) | NBJ9013EP (NAKATA)</t>
  </si>
  <si>
    <t xml:space="preserve">SCA8038FL</t>
  </si>
  <si>
    <t xml:space="preserve">BDJ2055 (PERFECT) | NBJ7003EP (NAKATA) | TT14033C (GRAZZIMETAL)</t>
  </si>
  <si>
    <t xml:space="preserve">SCA8088FL</t>
  </si>
  <si>
    <t xml:space="preserve">BANDEJA COMPLETA LE L ROVER</t>
  </si>
  <si>
    <t xml:space="preserve">BDJ2701 (PERFECT) | BJC36005M (COFAP) | NBJ9012EP (NAKATA)</t>
  </si>
  <si>
    <t xml:space="preserve">SCA8088FR</t>
  </si>
  <si>
    <t xml:space="preserve">BANDEJA COMPLETA LD L ROVER</t>
  </si>
  <si>
    <t xml:space="preserve">BDJ2700 (PERFECT) | BJC36004M (COFAP) | NBJ9012DP (NAKATA)</t>
  </si>
  <si>
    <t xml:space="preserve">SCC2053</t>
  </si>
  <si>
    <t xml:space="preserve">SHP11001</t>
  </si>
  <si>
    <t xml:space="preserve">0261520149 (BOSCH) | 0261520150 (BOSCH) | 13517607159 (OEM)</t>
  </si>
  <si>
    <t xml:space="preserve">SBS8134PB</t>
  </si>
  <si>
    <t xml:space="preserve">52125707 (OEM) | BPSA0096900 (MAZZICAR)</t>
  </si>
  <si>
    <t xml:space="preserve">SBC1225</t>
  </si>
  <si>
    <t xml:space="preserve">4601L3 (OEM)</t>
  </si>
  <si>
    <t xml:space="preserve">SCA8093K</t>
  </si>
  <si>
    <t xml:space="preserve">KIT BRAÇO OSC DIANT SUP/INF COMPLETO LE/LD M BENZ</t>
  </si>
  <si>
    <t xml:space="preserve">SCA8095K</t>
  </si>
  <si>
    <t xml:space="preserve">KIT BRAÇO OSC DIANT SUP/INF COMPLETO LE/LD BMW</t>
  </si>
  <si>
    <t xml:space="preserve">SCA8097K</t>
  </si>
  <si>
    <t xml:space="preserve">KIT BRAÇO OSC DIANT INFERIOR COMPLETO LE/LD BMW</t>
  </si>
  <si>
    <t xml:space="preserve">SCA8030FL</t>
  </si>
  <si>
    <t xml:space="preserve">540012 (VIEMAR) | BJC08111M (COFAP) | BRA3803 (PERFECT) | FO3137 (GRAZZIMETAL) | NBJ2004EP (NAKATA)</t>
  </si>
  <si>
    <t xml:space="preserve">SCA8030FR</t>
  </si>
  <si>
    <t xml:space="preserve">540013 (VIEMAR) | BJC08110M (COFAP) | BRA2803 (PERFECT) | NBJ2004DP (NAKATA)</t>
  </si>
  <si>
    <t xml:space="preserve">SCA8071FL</t>
  </si>
  <si>
    <t xml:space="preserve">BDJ9857 (PERFECT) | BJC04123M (COFAP) | GM2275C (GRAZZIMETAL) | NBJ3022EP (NAKATA)</t>
  </si>
  <si>
    <t xml:space="preserve">SCA8071FR</t>
  </si>
  <si>
    <t xml:space="preserve">BDJ9856 (PERFECT) | BJC04122M (COFAP) | GM2274C (GRAZZIMETAL) | NBJ3022DP (NAKATA)</t>
  </si>
  <si>
    <t xml:space="preserve">SFC7000</t>
  </si>
  <si>
    <t xml:space="preserve">POLIA VISCOSA SUZUKI</t>
  </si>
  <si>
    <t xml:space="preserve">VPV044 (VETOR)</t>
  </si>
  <si>
    <t xml:space="preserve">SWC5096</t>
  </si>
  <si>
    <t xml:space="preserve">58380-2E500 (OEM) | 58380-2E510 (OEM) | C3559 (CONTROIL)</t>
  </si>
  <si>
    <t xml:space="preserve">SBC1241</t>
  </si>
  <si>
    <t xml:space="preserve">DGY04340Z (OEM)</t>
  </si>
  <si>
    <t xml:space="preserve">SBB13137</t>
  </si>
  <si>
    <t xml:space="preserve">HIDROBOOSTER FORD</t>
  </si>
  <si>
    <t xml:space="preserve">HIDROBOOSTER</t>
  </si>
  <si>
    <t xml:space="preserve">1C3Z2005AA (OEM) | 5C7Z2005B (OEM) | 7C3Z2005A (OEM)</t>
  </si>
  <si>
    <t xml:space="preserve">SCA8074FL</t>
  </si>
  <si>
    <t xml:space="preserve">BDJ0815 (PERFECT) | BJC01071M (COFAP) | NBJ1012EP (NAKATA) | VW1251C (GRAZZIMETAL)</t>
  </si>
  <si>
    <t xml:space="preserve">SCA8033FL</t>
  </si>
  <si>
    <t xml:space="preserve">BANDEJA LE GM</t>
  </si>
  <si>
    <t xml:space="preserve">BJC04119M (COFAP) | BRA4119 (PERFECT) | GM2151M (GRAZZIMETAL) | NBJ3001E (NAKATA)</t>
  </si>
  <si>
    <t xml:space="preserve">SCA8107FL</t>
  </si>
  <si>
    <t xml:space="preserve">BDJ3310 (PERFECT)</t>
  </si>
  <si>
    <t xml:space="preserve">SWP094</t>
  </si>
  <si>
    <t xml:space="preserve">20100 (SCHADEK) | 7000354007 (INDISA) | NKBA01780 (NAKATA) | UB0780 (URBA) | VKPC82652 (SKF)</t>
  </si>
  <si>
    <t xml:space="preserve">SWP196</t>
  </si>
  <si>
    <t xml:space="preserve">MERCEDES-BENZ / SSANGYONG</t>
  </si>
  <si>
    <t xml:space="preserve">7000404008 (INDISA)</t>
  </si>
  <si>
    <t xml:space="preserve">SWC5104</t>
  </si>
  <si>
    <t xml:space="preserve">4402A3 (OEM) | 9945891 (OEM) | CCR9228 (FORTEC)</t>
  </si>
  <si>
    <t xml:space="preserve">SBC1221</t>
  </si>
  <si>
    <t xml:space="preserve">93229039 (OEM)</t>
  </si>
  <si>
    <t xml:space="preserve">SWC5064L</t>
  </si>
  <si>
    <t xml:space="preserve">0204072272 (BOSCH) | 0986AB8454 (BOSCH) | 7229 (ATE) | BF8T2261A (OEM) | C3494 (CONTROIL) | RCCR03340 (TRW)</t>
  </si>
  <si>
    <t xml:space="preserve">SCA8011FL</t>
  </si>
  <si>
    <t xml:space="preserve">BANDEJA LE CITROEN</t>
  </si>
  <si>
    <t xml:space="preserve">BDJ0207SP (PERFECT) | BJC55001M (COFAP) | CT6003AB (GRAZZIMETAL) | NKBJ5004E (NAKATA)</t>
  </si>
  <si>
    <t xml:space="preserve">SCA8091FR</t>
  </si>
  <si>
    <t xml:space="preserve">BANDEJA COMPLETA LD M BENZ</t>
  </si>
  <si>
    <t xml:space="preserve">BDJ3000 (PERFECT) | NBJ9013DP (NAKATA)</t>
  </si>
  <si>
    <t xml:space="preserve">SWP235A</t>
  </si>
  <si>
    <t xml:space="preserve">854516 (INDISA)</t>
  </si>
  <si>
    <t xml:space="preserve">SFC7013</t>
  </si>
  <si>
    <t xml:space="preserve">VPV048 (VETOR)</t>
  </si>
  <si>
    <t xml:space="preserve">SWP273</t>
  </si>
  <si>
    <t xml:space="preserve">SWP039</t>
  </si>
  <si>
    <t xml:space="preserve">PEUGEOT / RENAULT</t>
  </si>
  <si>
    <t xml:space="preserve">SFC7012</t>
  </si>
  <si>
    <t xml:space="preserve">POLIA VISCOSA TOYOTA</t>
  </si>
  <si>
    <t xml:space="preserve">SWP388</t>
  </si>
  <si>
    <t xml:space="preserve">11518651288 (OEM)</t>
  </si>
  <si>
    <t xml:space="preserve">SWP391</t>
  </si>
  <si>
    <t xml:space="preserve">1603224010 (OEM)</t>
  </si>
  <si>
    <t xml:space="preserve">STC12002</t>
  </si>
  <si>
    <t xml:space="preserve">11537536655 (OEM) | 11537544788 (OEM) | 11537549476 (OEM)</t>
  </si>
  <si>
    <t xml:space="preserve">SBC1243</t>
  </si>
  <si>
    <t xml:space="preserve">C-2179 (CONTROIL) | MB618717 (OEM)</t>
  </si>
  <si>
    <t xml:space="preserve">SBC1245</t>
  </si>
  <si>
    <t xml:space="preserve">3256110156 (OEM) | 7679 (ATE)</t>
  </si>
  <si>
    <t xml:space="preserve">SWC5065L</t>
  </si>
  <si>
    <t xml:space="preserve">2S4611049 (OEM) | 85TU2262D (OEM) | C3376 (CONTROIL) | CR2057 (BOSCH) | RCCR01240 (TRW)</t>
  </si>
  <si>
    <t xml:space="preserve">SWP170</t>
  </si>
  <si>
    <t xml:space="preserve">VLBA0010470 (VILLA FRANCA)</t>
  </si>
  <si>
    <t xml:space="preserve">SWP106</t>
  </si>
  <si>
    <t xml:space="preserve">CHRYSLER / MITSUBISHI</t>
  </si>
  <si>
    <t xml:space="preserve">7000852000 (INDISA)</t>
  </si>
  <si>
    <t xml:space="preserve">SWP250</t>
  </si>
  <si>
    <t xml:space="preserve">SOC9081</t>
  </si>
  <si>
    <t xml:space="preserve">RESFRIADOR DE OLEO HYUNDAI</t>
  </si>
  <si>
    <t xml:space="preserve">264004A700 (OEM) | 264214A700 (OEM) | 264214A701 (OEM)</t>
  </si>
  <si>
    <t xml:space="preserve">STC12047</t>
  </si>
  <si>
    <t xml:space="preserve">9812113780 (OEM)</t>
  </si>
  <si>
    <t xml:space="preserve">SWC5064R</t>
  </si>
  <si>
    <t xml:space="preserve">0204072273 (BOSCH) | 0986AB8426 (BOSCH) | 7230 (ATE) | BF8T2261B (OEM) | C3495 (CONTROIL) | RCCR03360 (TRW)</t>
  </si>
  <si>
    <t xml:space="preserve">SBB13017</t>
  </si>
  <si>
    <t xml:space="preserve">SERVO FREIO VOLKSWAGEN</t>
  </si>
  <si>
    <t xml:space="preserve">5X0612105 (OEM) | C5661 (CONTROIL) | RCSF01510 (TRW) | SF2833 (BOSCH)</t>
  </si>
  <si>
    <t xml:space="preserve">SWP073</t>
  </si>
  <si>
    <t xml:space="preserve">SWP217</t>
  </si>
  <si>
    <t xml:space="preserve">SWP089</t>
  </si>
  <si>
    <t xml:space="preserve">700054505 (INDISA)</t>
  </si>
  <si>
    <t xml:space="preserve">SWP182</t>
  </si>
  <si>
    <t xml:space="preserve">20178 (SCHADEK) | 7000702005 (INDISA) | UB0825 (URBA) | VKPC86209A (SKF)</t>
  </si>
  <si>
    <t xml:space="preserve">SWP223</t>
  </si>
  <si>
    <t xml:space="preserve">7000854009 (INDISA)</t>
  </si>
  <si>
    <t xml:space="preserve">SSC3016</t>
  </si>
  <si>
    <t xml:space="preserve">STC12057</t>
  </si>
  <si>
    <t xml:space="preserve">1153.92 (VALCLEI) | 24435102 (OEM)</t>
  </si>
  <si>
    <t xml:space="preserve">SSC3063</t>
  </si>
  <si>
    <t xml:space="preserve">TOYOTA / TROLLER</t>
  </si>
  <si>
    <t xml:space="preserve">31470-98001C (OEM) | 6413 (ATE) | C2617 (CONTROIL) | RCCE21731 (TRW)</t>
  </si>
  <si>
    <t xml:space="preserve">SCA8083FL</t>
  </si>
  <si>
    <t xml:space="preserve">BDJ0305 (PERFECT)</t>
  </si>
  <si>
    <t xml:space="preserve">SCA8089FL</t>
  </si>
  <si>
    <t xml:space="preserve">BRAÇO OSCILANTE DIANT INF COMPLETO LE M BENZ</t>
  </si>
  <si>
    <t xml:space="preserve">BRA3007 (PERFECT) | NBJ9018EP (NAKATA)</t>
  </si>
  <si>
    <t xml:space="preserve">SCA8090FL</t>
  </si>
  <si>
    <t xml:space="preserve">BRA3008 (PERFECT) | NBJ9019EP (NAKATA)</t>
  </si>
  <si>
    <t xml:space="preserve">SCA8085FL</t>
  </si>
  <si>
    <t xml:space="preserve">BANDEJA COMPLETA LE JAC</t>
  </si>
  <si>
    <t xml:space="preserve">BDJ0205 (PERFECT)</t>
  </si>
  <si>
    <t xml:space="preserve">SWP241</t>
  </si>
  <si>
    <t xml:space="preserve">SWP202</t>
  </si>
  <si>
    <t xml:space="preserve">7000752500 (INDISA) | VKPC93614 (SKF)</t>
  </si>
  <si>
    <t xml:space="preserve">SWP015</t>
  </si>
  <si>
    <t xml:space="preserve">7000854002 (INDISA)</t>
  </si>
  <si>
    <t xml:space="preserve">SWC5086</t>
  </si>
  <si>
    <t xml:space="preserve">CILINDRO DE RODA LE/LD RENAULT - IGUAL SWC5098</t>
  </si>
  <si>
    <t xml:space="preserve">7701043913 (OEM) | C3526 (CONTROIL) | CR1272 (BOSCH) | RCCR03570 (TRW)</t>
  </si>
  <si>
    <t xml:space="preserve">SCA8020FL</t>
  </si>
  <si>
    <t xml:space="preserve">SUPORTE DIANTEIRO LE GM</t>
  </si>
  <si>
    <t xml:space="preserve">SUPORTE DIANTEIRO</t>
  </si>
  <si>
    <t xml:space="preserve">BRA2153 (PERFECT) | GM2153A (GRAZZIMETAL) | NBJ3010E (NAKATA) | STC04127M (COFAP)</t>
  </si>
  <si>
    <t xml:space="preserve">SCA8020FR</t>
  </si>
  <si>
    <t xml:space="preserve">SUPORTE DIANTEIRO LD GM</t>
  </si>
  <si>
    <t xml:space="preserve">BRA2152 (PERFECT) | GM2152A (GRAZZIMETAL) | NBJ3010D (NAKATA) | STC04126M (COFAP)</t>
  </si>
  <si>
    <t xml:space="preserve">SCA8075FL</t>
  </si>
  <si>
    <t xml:space="preserve">BDJ0425 (PERFECT) | HD13063C (GRAZZIMETAL)</t>
  </si>
  <si>
    <t xml:space="preserve">SCA8075FR</t>
  </si>
  <si>
    <t xml:space="preserve">BDJ0426 (PERFECT) | HD13062C (GRAZZIMETAL)</t>
  </si>
  <si>
    <t xml:space="preserve">SWP260</t>
  </si>
  <si>
    <t xml:space="preserve">702851200 (PIERBURG)</t>
  </si>
  <si>
    <t xml:space="preserve">SCA8106FR</t>
  </si>
  <si>
    <t xml:space="preserve">BDJ3313 (PERFECT) | NBJ6018EP (NAKATA)</t>
  </si>
  <si>
    <t xml:space="preserve">SWP197</t>
  </si>
  <si>
    <t xml:space="preserve">7000404004 (INDISA)</t>
  </si>
  <si>
    <t xml:space="preserve">SFC7004</t>
  </si>
  <si>
    <t xml:space="preserve">POLIA VISCOSA MERCEDES-BENZ</t>
  </si>
  <si>
    <t xml:space="preserve">VPV007 (VETOR)</t>
  </si>
  <si>
    <t xml:space="preserve">SBS8105PB</t>
  </si>
  <si>
    <t xml:space="preserve">SAPATA DE FREIO JEEP</t>
  </si>
  <si>
    <t xml:space="preserve">4560176AA (OEM) | BPSA0090223 (MAZZICAR)</t>
  </si>
  <si>
    <t xml:space="preserve">SWP382</t>
  </si>
  <si>
    <t xml:space="preserve">0PC121005 (OEM) | 0PC121005A (OEM) | 9A210605001 (OEM) | 9A210605002 (OEM) | 9A210605003 (OEM)</t>
  </si>
  <si>
    <t xml:space="preserve">SCC2123</t>
  </si>
  <si>
    <t xml:space="preserve">6418 (ATE) | C2606 (CONTROIL) | RCCE00690 (TRW)</t>
  </si>
  <si>
    <t xml:space="preserve">SCA8034FL</t>
  </si>
  <si>
    <t xml:space="preserve">BDJ0735 (PERFECT) | BJC03061M (COFAP) | FI301C (GRAZZIMETAL)</t>
  </si>
  <si>
    <t xml:space="preserve">SCA8053FL</t>
  </si>
  <si>
    <t xml:space="preserve">BDJ0238 (PERFECT) | FO3247C (GRAZZIMETAL) | NBJ2016EP (NAKATA)</t>
  </si>
  <si>
    <t xml:space="preserve">SCA8081FL</t>
  </si>
  <si>
    <t xml:space="preserve">BDJ9863 (PERFECT) | BJC01058M (COFAP) | NBJ1015E (NAKATA) | VW1239B (GRAZZIMETAL)</t>
  </si>
  <si>
    <t xml:space="preserve">SCA8081FR</t>
  </si>
  <si>
    <t xml:space="preserve">BCJ01059M (COFAP) | BDJ9864 (PERFECT) | NBJ1015D (NAKATA) | VW1238B (GRAZZIMETAL)</t>
  </si>
  <si>
    <t xml:space="preserve">SCA8113FR</t>
  </si>
  <si>
    <t xml:space="preserve">SFC7018</t>
  </si>
  <si>
    <t xml:space="preserve">POLIA VISCOSA COM HÉLICE</t>
  </si>
  <si>
    <t xml:space="preserve">SFC7016</t>
  </si>
  <si>
    <t xml:space="preserve">POLIA VISCOSA MITSUBISHI</t>
  </si>
  <si>
    <t xml:space="preserve">VPV055 (VETOR)</t>
  </si>
  <si>
    <t xml:space="preserve">SWP306</t>
  </si>
  <si>
    <t xml:space="preserve">SVP6049</t>
  </si>
  <si>
    <t xml:space="preserve">AJ811465 (OEM) | AJ813786 (OEM) | C2Z28245 (OEM) | C2Z29984 (OEM) | LR010690 (OEM) | LR048796 (OEM) | LR060475 (OEM) | LR082226 (OEM)</t>
  </si>
  <si>
    <t xml:space="preserve">SBS8119PB</t>
  </si>
  <si>
    <t xml:space="preserve">SAPATA DE FREIO LAND ROVER</t>
  </si>
  <si>
    <t xml:space="preserve">BPSA0090827 (MAZZICAR) | LR021877 (OEM) | LR025151 (OEM)</t>
  </si>
  <si>
    <t xml:space="preserve">STC12060</t>
  </si>
  <si>
    <t xml:space="preserve">1221.92AL (VALCLEI) | 96984103 (OEM)</t>
  </si>
  <si>
    <t xml:space="preserve">SBB13002</t>
  </si>
  <si>
    <t xml:space="preserve">897001582 (OEM) | C5683 (CONTROIL)</t>
  </si>
  <si>
    <t xml:space="preserve">SCA8079FR</t>
  </si>
  <si>
    <t xml:space="preserve">BJC8072 (COFAP) | FO3023AH (GRAZZIMETAL) | NBJ2001DP (NAKATA)</t>
  </si>
  <si>
    <t xml:space="preserve">SCA8066FL</t>
  </si>
  <si>
    <t xml:space="preserve">BDJ1057 (PERFECT) | NBJ6012EP (NAKATA) | NS21007C (GRAZZIMETAL) | SB8329EP (SAMPEL)</t>
  </si>
  <si>
    <t xml:space="preserve">SCA8066FR</t>
  </si>
  <si>
    <t xml:space="preserve">BDJ1056 (PERFECT) | NBJ6012DP (NAKATA) | NS21006C (GRAZZIMETAL) | SB8329DP (SAMPEL)</t>
  </si>
  <si>
    <t xml:space="preserve">SWP206</t>
  </si>
  <si>
    <t xml:space="preserve">7000854501 (INDISA)</t>
  </si>
  <si>
    <t xml:space="preserve">STC12027</t>
  </si>
  <si>
    <t xml:space="preserve">31293767 (OEM) | 31474800 (OEM) | 31686046 (OEM)</t>
  </si>
  <si>
    <t xml:space="preserve">SBS8106PB</t>
  </si>
  <si>
    <t xml:space="preserve">SAPATA DE FREIO DODGE RAM</t>
  </si>
  <si>
    <t xml:space="preserve">5179334AA (OEM) | 5179334AB (OEM) | 5C3Z2648AA (OEM) | 68049116AA (OEM) | 8C3Z2648A (OEM) | BPSA0090182 (MAZZICAR)</t>
  </si>
  <si>
    <t xml:space="preserve">SSC3053</t>
  </si>
  <si>
    <t xml:space="preserve">CILINDRO AUXILIAR DE EMBREAGEM MERCEDES BENZ</t>
  </si>
  <si>
    <t xml:space="preserve">0022951407 (OEM) | KN28031B1 (FTE)</t>
  </si>
  <si>
    <t xml:space="preserve">SCA8008FL</t>
  </si>
  <si>
    <t xml:space="preserve">BANDEJA COMPLETA LE EFFA</t>
  </si>
  <si>
    <t xml:space="preserve">CH38001C (GRAZZIMETAL)</t>
  </si>
  <si>
    <t xml:space="preserve">SCA8053FR</t>
  </si>
  <si>
    <t xml:space="preserve">BDJ0237 (PERFECT) | FO3248C (GRAZZIMETAL) | NBJ2016DP (NAKATA)</t>
  </si>
  <si>
    <t xml:space="preserve">SCA8108FR</t>
  </si>
  <si>
    <t xml:space="preserve">BANDEJA COMPLETA LD VOLVO</t>
  </si>
  <si>
    <t xml:space="preserve">SWP251A</t>
  </si>
  <si>
    <t xml:space="preserve">758509 (INDISA)                          VKPC4927 (SKF)</t>
  </si>
  <si>
    <t xml:space="preserve">SWP002</t>
  </si>
  <si>
    <t xml:space="preserve">20089 (SCHADEK) | 452001 (INDISA) | NKBA07630 (NAKATA) | UB0630 (URBA) | VKPC81210A (SKF)</t>
  </si>
  <si>
    <t xml:space="preserve">SWP174</t>
  </si>
  <si>
    <t xml:space="preserve">7000204503 (INDISA)</t>
  </si>
  <si>
    <t xml:space="preserve">SWP228</t>
  </si>
  <si>
    <t xml:space="preserve">7000454502 (INDISA)</t>
  </si>
  <si>
    <t xml:space="preserve">SWP258</t>
  </si>
  <si>
    <t xml:space="preserve">SVP6056</t>
  </si>
  <si>
    <t xml:space="preserve">14650-4KV0A (OEM)</t>
  </si>
  <si>
    <t xml:space="preserve">SCA8083FR</t>
  </si>
  <si>
    <t xml:space="preserve">BDJ0304 (PERFECT)</t>
  </si>
  <si>
    <t xml:space="preserve">SCA8089FR</t>
  </si>
  <si>
    <t xml:space="preserve">BRAÇO OSCILANTE DIANT INF COMPLETO LD M BENZ</t>
  </si>
  <si>
    <t xml:space="preserve">BRA3006 (PERFECT) | NBJ9018DP (NAKATA)</t>
  </si>
  <si>
    <t xml:space="preserve">SCA8013FL</t>
  </si>
  <si>
    <t xml:space="preserve">CT6223 (GRAZZIMETAL)</t>
  </si>
  <si>
    <t xml:space="preserve">SCA8085FR</t>
  </si>
  <si>
    <t xml:space="preserve">BANDEJA COMPLETA LD JAC</t>
  </si>
  <si>
    <t xml:space="preserve">BDJ0206 (PERFECT)</t>
  </si>
  <si>
    <t xml:space="preserve">SCA8102FL</t>
  </si>
  <si>
    <t xml:space="preserve">BDJ0439 (PERFECT)</t>
  </si>
  <si>
    <t xml:space="preserve">SCS4015</t>
  </si>
  <si>
    <t xml:space="preserve">ATUADOR DE EMBREAGEM SUZUKI</t>
  </si>
  <si>
    <t xml:space="preserve">ZA34023A1 (FTE)</t>
  </si>
  <si>
    <t xml:space="preserve">SWP022</t>
  </si>
  <si>
    <t xml:space="preserve">7000752507 (INDISA) | UB0616 (URBA)</t>
  </si>
  <si>
    <t xml:space="preserve">SWP211</t>
  </si>
  <si>
    <t xml:space="preserve">7000004500 (INDISA)</t>
  </si>
  <si>
    <t xml:space="preserve">SFC7019</t>
  </si>
  <si>
    <t xml:space="preserve">VPV038 (VETOR)</t>
  </si>
  <si>
    <t xml:space="preserve">SBS8128PB</t>
  </si>
  <si>
    <t xml:space="preserve">43154SFEJ02 (OEM) | BPSA0091248 (MAZZICAR) | HO503CP (FRAS-LE)</t>
  </si>
  <si>
    <t xml:space="preserve">SWC5087</t>
  </si>
  <si>
    <t xml:space="preserve">204116504 (BOSCH) | 6296 (ATE) | 72GB2261CA (OEM) | 91AB2261AA (OEM) | C3462 (CONTROIL) | RCCR01920 (TRW) | YS4Z2261AA (OEM)</t>
  </si>
  <si>
    <t xml:space="preserve">SCA8045FL</t>
  </si>
  <si>
    <t xml:space="preserve">BDJ2033 (PERFECT) | HD13027C (GRAZZIMETAL) | NBJ7006EP (NAKATA) | SB8317EP (SAMPEL)</t>
  </si>
  <si>
    <t xml:space="preserve">SCA8013FR</t>
  </si>
  <si>
    <t xml:space="preserve">CT6222 (GRAZZIMETAL)</t>
  </si>
  <si>
    <t xml:space="preserve">SCA8017FL</t>
  </si>
  <si>
    <t xml:space="preserve">CY36019C (GRAZZIMETAL)</t>
  </si>
  <si>
    <t xml:space="preserve">SCA8017FR</t>
  </si>
  <si>
    <t xml:space="preserve">CY36020C (GRAZZIMETAL)</t>
  </si>
  <si>
    <t xml:space="preserve">SWP337</t>
  </si>
  <si>
    <t xml:space="preserve">SWP086</t>
  </si>
  <si>
    <t xml:space="preserve">7000054001 (INDISA)</t>
  </si>
  <si>
    <t xml:space="preserve">SWP241H</t>
  </si>
  <si>
    <t xml:space="preserve">SWP278</t>
  </si>
  <si>
    <t xml:space="preserve">BOMBA AGUA FORD</t>
  </si>
  <si>
    <t xml:space="preserve">FORD / JAGUAR / MAZDA</t>
  </si>
  <si>
    <t xml:space="preserve">204013 (INDISA) | VKPC84626 (SKF)</t>
  </si>
  <si>
    <t xml:space="preserve">SFC7007</t>
  </si>
  <si>
    <t xml:space="preserve">VPV041 (VETOR)</t>
  </si>
  <si>
    <t xml:space="preserve">STC12013</t>
  </si>
  <si>
    <t xml:space="preserve">2642001501 (OEM) | 2642003901 (OEM)</t>
  </si>
  <si>
    <t xml:space="preserve">STC12043</t>
  </si>
  <si>
    <t xml:space="preserve">8200790911 (OEM) | 8200978542 (OEM)</t>
  </si>
  <si>
    <t xml:space="preserve">SWC5069L</t>
  </si>
  <si>
    <t xml:space="preserve">AGRALE / FORD</t>
  </si>
  <si>
    <t xml:space="preserve">BD2Y2062A (OEM) | C3307 (CONTROIL) | CR6078 (BOSCH)</t>
  </si>
  <si>
    <t xml:space="preserve">SWP166</t>
  </si>
  <si>
    <t xml:space="preserve">SCA8079FL</t>
  </si>
  <si>
    <t xml:space="preserve">BDJ9853 (PERFECT) | FO3024AH (GRAZZIMETAL) | NBJ2001EP (NAKATA)</t>
  </si>
  <si>
    <t xml:space="preserve">SCA8014FL</t>
  </si>
  <si>
    <t xml:space="preserve">CY36007C (GRAZZIMETAL)</t>
  </si>
  <si>
    <t xml:space="preserve">SCA8065FR</t>
  </si>
  <si>
    <t xml:space="preserve">BDJ0136 (PERFECT) | FI356C (GRAZZIMETAL)</t>
  </si>
  <si>
    <t xml:space="preserve">SCA8078FL</t>
  </si>
  <si>
    <t xml:space="preserve">BDJ0265 (PERFECT)</t>
  </si>
  <si>
    <t xml:space="preserve">SWP070H</t>
  </si>
  <si>
    <t xml:space="preserve">BOMBA AGUA VW</t>
  </si>
  <si>
    <t xml:space="preserve">SCA8107FR</t>
  </si>
  <si>
    <t xml:space="preserve">BDJ3311 (PERFECT)</t>
  </si>
  <si>
    <t xml:space="preserve">SFC7017</t>
  </si>
  <si>
    <t xml:space="preserve">SVP6018A</t>
  </si>
  <si>
    <t xml:space="preserve">STC12036</t>
  </si>
  <si>
    <t xml:space="preserve">VÁLVULA TERMOSTÁTICA AUDI</t>
  </si>
  <si>
    <t xml:space="preserve">06M121115G (OEM) | 06M121115H (OEM) | 06M121115J (OEM)</t>
  </si>
  <si>
    <t xml:space="preserve">STC12038</t>
  </si>
  <si>
    <t xml:space="preserve">VÁLVULA TERMOSTÁTICA PORSCHE</t>
  </si>
  <si>
    <t xml:space="preserve">94810603401 (OEM)</t>
  </si>
  <si>
    <t xml:space="preserve">STC12039</t>
  </si>
  <si>
    <t xml:space="preserve">03H121113A (OEM) | 03H121113B (OEM) | 95810612600 (OEM)</t>
  </si>
  <si>
    <t xml:space="preserve">SBS8123</t>
  </si>
  <si>
    <t xml:space="preserve">201700 (SYL) | 2640CPA (COBREQ) | 93260021 (OEM) | BPSA0090167 (MAZZICAR) | CB132CPA (FRAS-LE) | HQJ517A (JURID)</t>
  </si>
  <si>
    <t xml:space="preserve">SBC1223</t>
  </si>
  <si>
    <t xml:space="preserve">58510-2S201 (OEM) | 7642 (ATE)</t>
  </si>
  <si>
    <t xml:space="preserve">SCA8074FR</t>
  </si>
  <si>
    <t xml:space="preserve">BDJ0816 (PERFECT) | BJC01070M (COFAP) | NBJ1012DP (NAKATA) | VW1250C (GRAZZIMETAL)</t>
  </si>
  <si>
    <t xml:space="preserve">SCA8002FR</t>
  </si>
  <si>
    <t xml:space="preserve">BANDEJA COMPLETA LD KIA</t>
  </si>
  <si>
    <t xml:space="preserve">AK8056C (GRAZZIMETAL) | BDJ2508 (PERFECT)</t>
  </si>
  <si>
    <t xml:space="preserve">SCA8014FR</t>
  </si>
  <si>
    <t xml:space="preserve">CY36008C (GRAZZIMETAL)</t>
  </si>
  <si>
    <t xml:space="preserve">SCA8065FL</t>
  </si>
  <si>
    <t xml:space="preserve">BDJ0137 (PERFECT) | FI357C (GRAZZIMETAL)</t>
  </si>
  <si>
    <t xml:space="preserve">SWP113</t>
  </si>
  <si>
    <t xml:space="preserve">7000804001 (INDISA) | VKPC9602 (SKF)</t>
  </si>
  <si>
    <t xml:space="preserve">STC12016</t>
  </si>
  <si>
    <t xml:space="preserve">2822030175 (OEM)</t>
  </si>
  <si>
    <t xml:space="preserve">SOC9089</t>
  </si>
  <si>
    <t xml:space="preserve">5318533 (OEM)</t>
  </si>
  <si>
    <t xml:space="preserve">SOC9095</t>
  </si>
  <si>
    <t xml:space="preserve">2130500Q0B (OEM) | 213055917R (OEM)</t>
  </si>
  <si>
    <t xml:space="preserve">SCC2118</t>
  </si>
  <si>
    <t xml:space="preserve">6412 (ATE) | C2608 (CONTROIL) | RCCE00149 (TRW) | T00721405 (OEM)</t>
  </si>
  <si>
    <t xml:space="preserve">SCA8002FL</t>
  </si>
  <si>
    <t xml:space="preserve">BANDEJA COMPLETA LE KIA</t>
  </si>
  <si>
    <t xml:space="preserve">AK8055C (GRAZZIMETAL) | BDJ2507 (PERFECT)</t>
  </si>
  <si>
    <t xml:space="preserve">SCA8090FR</t>
  </si>
  <si>
    <t xml:space="preserve">BRA3008 (PERFECT) | NBJ9019DP (NAKATA)</t>
  </si>
  <si>
    <t xml:space="preserve">SCA8055FL</t>
  </si>
  <si>
    <t xml:space="preserve">BDJ0869 (PERFECT) | VW1253C (GRAZZIMETAL)</t>
  </si>
  <si>
    <t xml:space="preserve">SCA8106FL</t>
  </si>
  <si>
    <t xml:space="preserve">BDJ3312 (PERFECT) | NBJ6018DP (NAKATA)</t>
  </si>
  <si>
    <t xml:space="preserve">SWP040</t>
  </si>
  <si>
    <t xml:space="preserve">7000114000 (INDISA)</t>
  </si>
  <si>
    <t xml:space="preserve">STC12021</t>
  </si>
  <si>
    <t xml:space="preserve">1336CC (OEM) | 9808647080 (OEM)</t>
  </si>
  <si>
    <t xml:space="preserve">SBC1249</t>
  </si>
  <si>
    <t xml:space="preserve">2116110112 (OEM) | 6344 (ATE) | C2017 (CONTROIL) | RCCM27778 (TRW)</t>
  </si>
  <si>
    <t xml:space="preserve">SCA8082FL</t>
  </si>
  <si>
    <t xml:space="preserve">BDJ0375 (PERFECT) | BJC04149M (COFAP) | GM2302C (GRAZZIMETAL)</t>
  </si>
  <si>
    <t xml:space="preserve">SCA8001FL</t>
  </si>
  <si>
    <t xml:space="preserve">AK8037C (GRAZZIMETAL) | BDJ2509 (PERFECT)</t>
  </si>
  <si>
    <t xml:space="preserve">SCA8038FR</t>
  </si>
  <si>
    <t xml:space="preserve">BDJ2054 (PERFECT) | NBJ7003DP (NAKATA) | TT14032C (GRAZZIMETAL)</t>
  </si>
  <si>
    <t xml:space="preserve">SCA8055FR</t>
  </si>
  <si>
    <t xml:space="preserve">BDJ0868 (PERFECT) | VW1252C (GRAZZIMETAL)</t>
  </si>
  <si>
    <t xml:space="preserve">SCA8102FR</t>
  </si>
  <si>
    <t xml:space="preserve">BDJ0438 (PERFECT)</t>
  </si>
  <si>
    <t xml:space="preserve">SCA8113FL</t>
  </si>
  <si>
    <t xml:space="preserve">SWP333</t>
  </si>
  <si>
    <t xml:space="preserve">454709 (INDISA) | 5G0965567A (OEM) | UB0656 (URBA)</t>
  </si>
  <si>
    <t xml:space="preserve">SWP295</t>
  </si>
  <si>
    <t xml:space="preserve">SVP6047</t>
  </si>
  <si>
    <t xml:space="preserve">BOMBA DE VÁCUO VOLVO</t>
  </si>
  <si>
    <t xml:space="preserve">31219778 (OEM) | 31401152 (OEM) | LR002573 (OEM) | LR009388 (OEM)</t>
  </si>
  <si>
    <t xml:space="preserve">STC12048</t>
  </si>
  <si>
    <t xml:space="preserve">AUDI</t>
  </si>
  <si>
    <t xml:space="preserve">03C121026M (OEM) | 03C121110AA (OEM) | 03C121110J (OEM)</t>
  </si>
  <si>
    <t xml:space="preserve">SBS8125PB</t>
  </si>
  <si>
    <t xml:space="preserve">4833A-34010 (OEM) | 583052PA00 (OEM) | BPSA0096061 (MAZZICAR)</t>
  </si>
  <si>
    <t xml:space="preserve">SOC9087</t>
  </si>
  <si>
    <t xml:space="preserve">21305-EB300 (OEM) | 21305-EB305 (OEM)</t>
  </si>
  <si>
    <t xml:space="preserve">SBC1256</t>
  </si>
  <si>
    <t xml:space="preserve">7075444 (OEM) | 7077696 (OEM) | 71739127 (OEM) | C2035 (CONTROIL) | CM2594S (BOSCH)</t>
  </si>
  <si>
    <t xml:space="preserve">SCA8045FR</t>
  </si>
  <si>
    <t xml:space="preserve">BDJ2032 (PERFECT) | HD13026C (GRAZZIMETAL) | NBJ7006DP (NAKATA)</t>
  </si>
  <si>
    <t xml:space="preserve">SCA8082FR</t>
  </si>
  <si>
    <t xml:space="preserve">BDJ0374 (PERFECT) | BJC04150M (COFAP) | GM2303C (GRAZZIMETAL)</t>
  </si>
  <si>
    <t xml:space="preserve">SCA8032FR</t>
  </si>
  <si>
    <t xml:space="preserve">BDJ0241 (PERFECT) | FO3249C (GRAZZIMETAL) | NBJ2023EP (NAKATA)</t>
  </si>
  <si>
    <t xml:space="preserve">SWP219</t>
  </si>
  <si>
    <t xml:space="preserve">7000204013 (INDISA)</t>
  </si>
  <si>
    <t xml:space="preserve">SWP332</t>
  </si>
  <si>
    <t xml:space="preserve">5Q0965567 (OEM)</t>
  </si>
  <si>
    <t xml:space="preserve">SWP249</t>
  </si>
  <si>
    <t xml:space="preserve">BOMBA ÁGUA SMART</t>
  </si>
  <si>
    <t xml:space="preserve">SMART</t>
  </si>
  <si>
    <t xml:space="preserve">SVP6045</t>
  </si>
  <si>
    <t xml:space="preserve">06E145100AA (OEM) | 06E145100K (OEM) | 06E145100M (OEM) | 06E145100R (OEM) | 724807750 (PIERBURG)</t>
  </si>
  <si>
    <t xml:space="preserve">STC12003</t>
  </si>
  <si>
    <t xml:space="preserve">11537642854 (OEM)</t>
  </si>
  <si>
    <t xml:space="preserve">STC12032</t>
  </si>
  <si>
    <t xml:space="preserve">02JDE40345 (OEM) | G4D38575AF (OEM) | JDE38476 (OEM) | JDE40345 (OEM) | LR105974 (OEM)</t>
  </si>
  <si>
    <t xml:space="preserve">SBC1242</t>
  </si>
  <si>
    <t xml:space="preserve">DGY14340Z (OEM)</t>
  </si>
  <si>
    <t xml:space="preserve">SVP6037</t>
  </si>
  <si>
    <t xml:space="preserve">SCA8001FR</t>
  </si>
  <si>
    <t xml:space="preserve">AK8037C (GRAZZIMETAL) | BDJ2510 (PERFECT)</t>
  </si>
  <si>
    <t xml:space="preserve">SCA8005FR</t>
  </si>
  <si>
    <t xml:space="preserve">BDJ2129 (PERFECT) | HY9095C (GRAZZIMETAL) | SB8171EP (SAMPEL)</t>
  </si>
  <si>
    <t xml:space="preserve">SCA8009FR</t>
  </si>
  <si>
    <t xml:space="preserve">BDJ2018 (PERFECT)</t>
  </si>
  <si>
    <t xml:space="preserve">SCA8078FR</t>
  </si>
  <si>
    <t xml:space="preserve">BDJ0264 (PERFECT)</t>
  </si>
  <si>
    <t xml:space="preserve">SWP181</t>
  </si>
  <si>
    <t xml:space="preserve">VLBA0330551 (VILLA FRANCA)</t>
  </si>
  <si>
    <t xml:space="preserve">SWP093</t>
  </si>
  <si>
    <t xml:space="preserve">SFC7008</t>
  </si>
  <si>
    <t xml:space="preserve">POLIA VISCOSA GM/FORD</t>
  </si>
  <si>
    <t xml:space="preserve">VPV006 (VETOR)</t>
  </si>
  <si>
    <t xml:space="preserve">SFC7015</t>
  </si>
  <si>
    <t xml:space="preserve">VPV010 (VETOR)</t>
  </si>
  <si>
    <t xml:space="preserve">SWP378</t>
  </si>
  <si>
    <t xml:space="preserve">BOMBA ÁGUA L ROVER</t>
  </si>
  <si>
    <t xml:space="preserve">LR121418 (OEM) | T4A41037 (OEM)</t>
  </si>
  <si>
    <t xml:space="preserve">SBS8129PB</t>
  </si>
  <si>
    <t xml:space="preserve">CHERY / MITSUBISHI / TOYOTA</t>
  </si>
  <si>
    <t xml:space="preserve">201601 (SYL) | 44060W020P (OEM) | 4800A082 (OEM) | BPSA0097462 (MAZZICAR) | T11-3502170 (OEM)</t>
  </si>
  <si>
    <t xml:space="preserve">SWC5098</t>
  </si>
  <si>
    <t xml:space="preserve">CILINDRO DE RODA LE/LD RENAULT - IGUAL SWC5086</t>
  </si>
  <si>
    <t xml:space="preserve">SWP124</t>
  </si>
  <si>
    <t xml:space="preserve">20145 (SCHADEK) | 252008 (INDISA) | NKBA03162 (NAKATA) | UB0162 (URBA) | VKPC4602 (SKF)</t>
  </si>
  <si>
    <t xml:space="preserve">SWP277</t>
  </si>
  <si>
    <t xml:space="preserve">BOMBA AGUA SUZUKI</t>
  </si>
  <si>
    <t xml:space="preserve">804000 (INDISA)</t>
  </si>
  <si>
    <t xml:space="preserve">SWP195</t>
  </si>
  <si>
    <t xml:space="preserve">7000004000 (INDISA)</t>
  </si>
  <si>
    <t xml:space="preserve">SBC1236</t>
  </si>
  <si>
    <t xml:space="preserve">68038556AA (OEM) | 68100294AA (OEM) | 68100365AA (OEM)</t>
  </si>
  <si>
    <t xml:space="preserve">SWP290</t>
  </si>
  <si>
    <t xml:space="preserve">054504 (INDISA)</t>
  </si>
  <si>
    <t xml:space="preserve">SWP021</t>
  </si>
  <si>
    <t xml:space="preserve">7000904502 (INDISA)</t>
  </si>
  <si>
    <t xml:space="preserve">SVP6051</t>
  </si>
  <si>
    <t xml:space="preserve">703799050 (PIERBURG) | BK3Q2A451FA (OEM) | BK3Q2A451FB (OEM) | BK3Q2A451FC (OEM)</t>
  </si>
  <si>
    <t xml:space="preserve">SWP387</t>
  </si>
  <si>
    <t xml:space="preserve">LR039070 (OEM) | T4N8150 (OEM)</t>
  </si>
  <si>
    <t xml:space="preserve">SCA8046FR</t>
  </si>
  <si>
    <t xml:space="preserve">BDJ7166 (PERFECT) | BJC39018M (COFAP) | MT17038C (GRAZZIMETAL) | NBJ9001DP (NAKATA)</t>
  </si>
  <si>
    <t xml:space="preserve">SWP325</t>
  </si>
  <si>
    <t xml:space="preserve">114705 (INDISA) | 11517629916 (OEM) | 704077340 (PIERBURG)</t>
  </si>
  <si>
    <t xml:space="preserve">SWP328</t>
  </si>
  <si>
    <t xml:space="preserve">2118350364 (OEM)</t>
  </si>
  <si>
    <t xml:space="preserve">SWP115</t>
  </si>
  <si>
    <t xml:space="preserve">SWP121</t>
  </si>
  <si>
    <t xml:space="preserve">BDK25A (TAKAO) | VLBA0010554 (VILLA FRANCA)</t>
  </si>
  <si>
    <t xml:space="preserve">SWP112</t>
  </si>
  <si>
    <t xml:space="preserve">7000804500 (INDISA)</t>
  </si>
  <si>
    <t xml:space="preserve">SWP025</t>
  </si>
  <si>
    <t xml:space="preserve">7000854003 (INDISA)</t>
  </si>
  <si>
    <t xml:space="preserve">SFC7011</t>
  </si>
  <si>
    <t xml:space="preserve">VPV019 (VETOR)</t>
  </si>
  <si>
    <t xml:space="preserve">SWP184</t>
  </si>
  <si>
    <t xml:space="preserve">7000204505 (INDISA)</t>
  </si>
  <si>
    <t xml:space="preserve">SVP6048</t>
  </si>
  <si>
    <t xml:space="preserve">BOMOBA DE VÁCUO VOLVO</t>
  </si>
  <si>
    <t xml:space="preserve">31316143 (OEM) | 31480558 (OEM)</t>
  </si>
  <si>
    <t xml:space="preserve">SWP389</t>
  </si>
  <si>
    <t xml:space="preserve">11518651287 (OEM)</t>
  </si>
  <si>
    <t xml:space="preserve">SCA8046FL</t>
  </si>
  <si>
    <t xml:space="preserve">BDJ7167 (PERFECT) | BJC39019M (COFAP) | MT17037C (GRAZZIMETAL) | NBJ9001EP (NAKATA)</t>
  </si>
  <si>
    <t xml:space="preserve">SCA8005FL</t>
  </si>
  <si>
    <t xml:space="preserve">BDJ2128 (PERFECT) | HY9094C (GRAZZIMETAL) | SB8171DP (SAMPEL)</t>
  </si>
  <si>
    <t xml:space="preserve">SCA8077FR</t>
  </si>
  <si>
    <t xml:space="preserve">BDJ3100 (PERFECT) | MT17058C (GRAZZIMETAL) | NBJ9008DP (NAKATA) | SB8382DP (SAMPEL)</t>
  </si>
  <si>
    <t xml:space="preserve">SCA8109FR</t>
  </si>
  <si>
    <t xml:space="preserve">BDJ0786 (PERFECT)</t>
  </si>
  <si>
    <t xml:space="preserve">SWP236H</t>
  </si>
  <si>
    <t xml:space="preserve">SWP048</t>
  </si>
  <si>
    <t xml:space="preserve">SCS4024</t>
  </si>
  <si>
    <t xml:space="preserve">510007419 (LUK) | RCTB00080 (TRW) | ZA3105532 (FTE)</t>
  </si>
  <si>
    <t xml:space="preserve">SWP381</t>
  </si>
  <si>
    <t xml:space="preserve">LR125488 (OEM)</t>
  </si>
  <si>
    <t xml:space="preserve">SWC5100</t>
  </si>
  <si>
    <t xml:space="preserve">24322017213 (ATE) | 986475927 (BOSCH) | C3539 (CONTROIL)</t>
  </si>
  <si>
    <t xml:space="preserve">SWC5056R</t>
  </si>
  <si>
    <t xml:space="preserve">6272 (ATE) | 94606707 (OEM) | C3362 (CONTROIL) | CR7924 (BOSCH) | RCCR00856 (TRW)</t>
  </si>
  <si>
    <t xml:space="preserve">SWC5075</t>
  </si>
  <si>
    <t xml:space="preserve">0986475877 (BOSCH) | 47550-35210 (OEM) | BWL203 (TRW) | C3517 (CONTROIL)</t>
  </si>
  <si>
    <t xml:space="preserve">SBB13012</t>
  </si>
  <si>
    <t xml:space="preserve">AGRALE / GM</t>
  </si>
  <si>
    <t xml:space="preserve">6442 (ATE) | 94632228 (OEM) | C5621 (CONTROIL) | RCSF00060 (TRW) | SF3646 (BOSCH)</t>
  </si>
  <si>
    <t xml:space="preserve">SBB13030</t>
  </si>
  <si>
    <t xml:space="preserve">51934114 (OEM) | C5678 (CONTROIL)</t>
  </si>
  <si>
    <t xml:space="preserve">SCA8077FL</t>
  </si>
  <si>
    <t xml:space="preserve">BDJ3101 (PERFECT) | MT17059C (GRAZZIMETAL) | NBJ9008EP (NAKATA) | SB8382EP (SAMPEL)</t>
  </si>
  <si>
    <t xml:space="preserve">SSC3058</t>
  </si>
  <si>
    <t xml:space="preserve">31470-30221 (OEM) | 31470-30222 (OEM) | C2676 (CONTROIL)</t>
  </si>
  <si>
    <t xml:space="preserve">SBC1251</t>
  </si>
  <si>
    <t xml:space="preserve">204123373 (BOSCH) | 4601.H9 (OEM) | 6070 (ATE) | C2171 (CONTROIL)</t>
  </si>
  <si>
    <t xml:space="preserve">SBB13001</t>
  </si>
  <si>
    <t xml:space="preserve">52019450 (OEM) | C5677 (CONTROIL)</t>
  </si>
  <si>
    <t xml:space="preserve">SCA8016FR</t>
  </si>
  <si>
    <t xml:space="preserve">CY36014C (GRAZZIMETAL)</t>
  </si>
  <si>
    <t xml:space="preserve">SCA8039FL</t>
  </si>
  <si>
    <t xml:space="preserve">BDJ2121 (PERFECT) | GM2283C (GRAZZIMETAL)</t>
  </si>
  <si>
    <t xml:space="preserve">SWP173</t>
  </si>
  <si>
    <t xml:space="preserve">52000 (INDISA)</t>
  </si>
  <si>
    <t xml:space="preserve">SWP215</t>
  </si>
  <si>
    <t xml:space="preserve">7000904501 (INDISA)</t>
  </si>
  <si>
    <t xml:space="preserve">SWP235</t>
  </si>
  <si>
    <t xml:space="preserve">SBS8042PB</t>
  </si>
  <si>
    <t xml:space="preserve">SAPATA DE FREIO MERCEDES BENZ</t>
  </si>
  <si>
    <t xml:space="preserve">0442008620 (OEM) | A0044208620 (OEM) | BPSA0090120 (MAZZICAR)</t>
  </si>
  <si>
    <t xml:space="preserve">SWC5102</t>
  </si>
  <si>
    <t xml:space="preserve">311611067/1 (OEM) | C3583 (CONTROIL) | RCCR23457 (TRW)</t>
  </si>
  <si>
    <t xml:space="preserve">SBC1220</t>
  </si>
  <si>
    <t xml:space="preserve">CILINDRO MESTRE DE FREIO DODGE RAM</t>
  </si>
  <si>
    <t xml:space="preserve">5179892AA (OEM)</t>
  </si>
  <si>
    <t xml:space="preserve">SCA8008FR</t>
  </si>
  <si>
    <t xml:space="preserve">BANDEJA COMPLETA LD EFFA</t>
  </si>
  <si>
    <t xml:space="preserve">CH38000C (GRAZZIMETAL)</t>
  </si>
  <si>
    <t xml:space="preserve">SCA8056FLR</t>
  </si>
  <si>
    <t xml:space="preserve">BDJ7151 (PERFECT) | BJC01038M (COFAP) | NBJ1009 (NAKATA) | SB4893A (SAMPEL) | VW1146 (GRAZZIMETAL)</t>
  </si>
  <si>
    <t xml:space="preserve">SCA8098K</t>
  </si>
  <si>
    <t xml:space="preserve">KIT BRAÇO OSC DIANT INF COMPLETO LE/LD M BENZ</t>
  </si>
  <si>
    <t xml:space="preserve">SWP231H</t>
  </si>
  <si>
    <t xml:space="preserve">SWP084</t>
  </si>
  <si>
    <t xml:space="preserve">7000452004 (INDISA)</t>
  </si>
  <si>
    <t xml:space="preserve">SWP038</t>
  </si>
  <si>
    <t xml:space="preserve">CITROEN / PEUGEOT / RENAULT</t>
  </si>
  <si>
    <t xml:space="preserve">7000952502 (INDISA)</t>
  </si>
  <si>
    <t xml:space="preserve">SBS8124PB</t>
  </si>
  <si>
    <t xml:space="preserve">BPSA0090198 (MAZZICAR)</t>
  </si>
  <si>
    <t xml:space="preserve">SBB13000</t>
  </si>
  <si>
    <t xml:space="preserve">SERVO FREIO FORD</t>
  </si>
  <si>
    <t xml:space="preserve">1035528 (OEM) | 97KB2005AA (OEM) | 97KB2005AB (OEM) | 97KB2005AE (OEM) | 97KU2005AA (OEM) | 97KU2005AB (OEM) | C5638 (CONTROIL) | RCSF00970 (TRW)</t>
  </si>
  <si>
    <t xml:space="preserve">SCA8061FR</t>
  </si>
  <si>
    <t xml:space="preserve">BDJ0234 (PERFECT) | NBJ6005DP (NAKATA) | NS21020C (GRAZZIMETAL)</t>
  </si>
  <si>
    <t xml:space="preserve">SCA8004FL</t>
  </si>
  <si>
    <t xml:space="preserve">AK8065C (GRAZZIMETAL)</t>
  </si>
  <si>
    <t xml:space="preserve">SWP231</t>
  </si>
  <si>
    <t xml:space="preserve">SWP078</t>
  </si>
  <si>
    <t xml:space="preserve">20036 (SCHADEK) | 252003 (INDISA) | NKBA03152 (NAKATA) | UB0152 (URBA) | VKPC85409A (SKF)</t>
  </si>
  <si>
    <t xml:space="preserve">SWP127</t>
  </si>
  <si>
    <t xml:space="preserve">20075 (SCHADEK) | 7000654000 (INDISA) | UB0845 (URBA) | VKPC4587 (SKF)</t>
  </si>
  <si>
    <t xml:space="preserve">SWP369</t>
  </si>
  <si>
    <t xml:space="preserve">A0005001386 (OEM) | A0005002686 (OEM)</t>
  </si>
  <si>
    <t xml:space="preserve">SCC2113</t>
  </si>
  <si>
    <t xml:space="preserve">5110155190 (LUK) | 55196183 (OEM) | VKCH4917 (SKF)</t>
  </si>
  <si>
    <t xml:space="preserve">SWC5056L</t>
  </si>
  <si>
    <t xml:space="preserve">6273 (ATE) | 94606708 (OEM) | C3363 (CONTROIL) | CR7925 (BOSCH) | RCCR00864 (TRW)</t>
  </si>
  <si>
    <t xml:space="preserve">SWC5058R</t>
  </si>
  <si>
    <t xml:space="preserve">6266 (ATE) | 93215634 (OEM) | C3442 (CONTROIL) | CR2916 (BOSCH) | RCCR02090 (TRW)</t>
  </si>
  <si>
    <t xml:space="preserve">SCC2120</t>
  </si>
  <si>
    <t xml:space="preserve">CILINDRO MESTRE DE EMBREAGEM MERCEDES BENZ</t>
  </si>
  <si>
    <t xml:space="preserve">6932957006 (OEM) | 7613 (ATE) | C2655 (CONTROIL) | RCCE00710 (TRW)</t>
  </si>
  <si>
    <t xml:space="preserve">SBB13031</t>
  </si>
  <si>
    <t xml:space="preserve">SERVO FREIO RENAULT</t>
  </si>
  <si>
    <t xml:space="preserve">472103385R (OEM) | C5687 (CONTROIL)</t>
  </si>
  <si>
    <t xml:space="preserve">SWP050</t>
  </si>
  <si>
    <t xml:space="preserve">20109 (SCHADEK) | 7000952000 (INDISA) | VKPC83615A (SKF)</t>
  </si>
  <si>
    <t xml:space="preserve">SWP186</t>
  </si>
  <si>
    <t xml:space="preserve">7000752504 (INDISA) | VKPC93604 (SKF)</t>
  </si>
  <si>
    <t xml:space="preserve">SCS4008</t>
  </si>
  <si>
    <t xml:space="preserve">ZA3106631 (FTE)</t>
  </si>
  <si>
    <t xml:space="preserve">SWP046</t>
  </si>
  <si>
    <t xml:space="preserve">7000452505 (INDISA)</t>
  </si>
  <si>
    <t xml:space="preserve">SWP116</t>
  </si>
  <si>
    <t xml:space="preserve">VLBA0000835 (VILLA FRANCA)</t>
  </si>
  <si>
    <t xml:space="preserve">SBS8122PB</t>
  </si>
  <si>
    <t xml:space="preserve">SAPATA DE FREIO PORSCHE</t>
  </si>
  <si>
    <t xml:space="preserve">7P0698525 (OEM) | 95835292500 (OEM) | BPSA0091232 (MAZZICAR)</t>
  </si>
  <si>
    <t xml:space="preserve">SWP377</t>
  </si>
  <si>
    <t xml:space="preserve">A2642000100 (OEM) | A2642000301 (OEM)</t>
  </si>
  <si>
    <t xml:space="preserve">SWP380</t>
  </si>
  <si>
    <t xml:space="preserve">BOMBA ÁGUA BYD</t>
  </si>
  <si>
    <t xml:space="preserve">SA3HE1307100 (OEM)</t>
  </si>
  <si>
    <t xml:space="preserve">SBS8114</t>
  </si>
  <si>
    <t xml:space="preserve">BPSA0097360 (MAZZICAR) | BV612200AC (OEM) | BV612200BB (OEM) | FD433CPA (FRAS-LE)</t>
  </si>
  <si>
    <t xml:space="preserve">SCC2109</t>
  </si>
  <si>
    <t xml:space="preserve">0012959106 (OEM) | 2100220 (VALEO) | 6283600580 (SACHS) | A0012959106 (OEM) | KG2000108 (FTE) | RCCE01130 (TRW) | VKCH4924 (SKF)</t>
  </si>
  <si>
    <t xml:space="preserve">SBB13070</t>
  </si>
  <si>
    <t xml:space="preserve">6202 (ATE) | 7081966 (OEM) | C5649 (CONTROIL)</t>
  </si>
  <si>
    <t xml:space="preserve">SCA8004FR</t>
  </si>
  <si>
    <t xml:space="preserve">AK8064C (GRAZZIMETAL)</t>
  </si>
  <si>
    <t xml:space="preserve">SCA8016FL</t>
  </si>
  <si>
    <t xml:space="preserve">CY36013C (GRAZZIMETAL)</t>
  </si>
  <si>
    <t xml:space="preserve">SCA8039FR</t>
  </si>
  <si>
    <t xml:space="preserve">BDJ2120 (PERFECT) | GM2282C (GRAZZIMETAL)</t>
  </si>
  <si>
    <t xml:space="preserve">SCA8006FR</t>
  </si>
  <si>
    <t xml:space="preserve">BDJ2504 (PERFECT)</t>
  </si>
  <si>
    <t xml:space="preserve">SCA8032FL</t>
  </si>
  <si>
    <t xml:space="preserve">SCA8050FR</t>
  </si>
  <si>
    <t xml:space="preserve">BDJ7950 (PERFECT) | HD13016C (GRAZZIMETAL) | NBJ7005DP (NAKATA) | SB8231DP (SAMPEL)</t>
  </si>
  <si>
    <t xml:space="preserve">SCA8108FL</t>
  </si>
  <si>
    <t xml:space="preserve">BANDEJA COMPLETA LE VOLVO</t>
  </si>
  <si>
    <t xml:space="preserve">SWP159</t>
  </si>
  <si>
    <t xml:space="preserve">7000054502 (INDISA)</t>
  </si>
  <si>
    <t xml:space="preserve">SOC9084</t>
  </si>
  <si>
    <t xml:space="preserve">RESFRIADOR DE ÓLEO AUDI</t>
  </si>
  <si>
    <t xml:space="preserve">0BH317019 (OEM)</t>
  </si>
  <si>
    <t xml:space="preserve">SBC1250</t>
  </si>
  <si>
    <t xml:space="preserve">C2013 (CONTROIL) | RCCD00120 (TRW)</t>
  </si>
  <si>
    <t xml:space="preserve">SBB13018</t>
  </si>
  <si>
    <t xml:space="preserve">204032347 (BOSCH) | 5558 (ATE) | 5764 (ATE) | 7074724 (OEM) | 7075450 (OEM) | C5613 (CONTROIL)</t>
  </si>
  <si>
    <t xml:space="preserve">SBB13032</t>
  </si>
  <si>
    <t xml:space="preserve">472104244R (OEM)</t>
  </si>
  <si>
    <t xml:space="preserve">SBB13061</t>
  </si>
  <si>
    <t xml:space="preserve">6029 (ATE) | 6033 (ATE) | 6365 (ATE) | 7082044 (OEM) | C5657 (CONTROIL)</t>
  </si>
  <si>
    <t xml:space="preserve">SCA8109FL</t>
  </si>
  <si>
    <t xml:space="preserve">BDJ0785 (PERFECT)</t>
  </si>
  <si>
    <t xml:space="preserve">SWP118</t>
  </si>
  <si>
    <t xml:space="preserve">BOMBA ÁGUA CUMMINS</t>
  </si>
  <si>
    <t xml:space="preserve">20080 (SCHADEK) | 7000452002 (INDISA) | NKBA10731 (NAKATA) | UB0731 (URBA) | VKPC4697 (SKF)</t>
  </si>
  <si>
    <t xml:space="preserve">SCS4004</t>
  </si>
  <si>
    <t xml:space="preserve">SWP161</t>
  </si>
  <si>
    <t xml:space="preserve">SCS4022</t>
  </si>
  <si>
    <t xml:space="preserve">ZA3105531 (FTE)</t>
  </si>
  <si>
    <t xml:space="preserve">SFC7003</t>
  </si>
  <si>
    <t xml:space="preserve">POLIA VISCOSA GM/SUZUKI</t>
  </si>
  <si>
    <t xml:space="preserve">VPV042 (VETOR)</t>
  </si>
  <si>
    <t xml:space="preserve">STC12009</t>
  </si>
  <si>
    <t xml:space="preserve">A2762000015 (OEM) | A2762000115 (OEM) | A2762000515 (OEM)</t>
  </si>
  <si>
    <t xml:space="preserve">STC12037</t>
  </si>
  <si>
    <t xml:space="preserve">0P2121115 (OEM) | 0P2121115A (OEM) | 0P2121115B (OEM)</t>
  </si>
  <si>
    <t xml:space="preserve">SBC1234</t>
  </si>
  <si>
    <t xml:space="preserve">558102 (OEM)</t>
  </si>
  <si>
    <t xml:space="preserve">SWC5058L</t>
  </si>
  <si>
    <t xml:space="preserve">6267 (ATE) | 93215633 (OEM) | C3441 (CONTROIL) | CR2915 (BOSCH) | RCCR02080 (TRW)</t>
  </si>
  <si>
    <t xml:space="preserve">SBB13021</t>
  </si>
  <si>
    <t xml:space="preserve">6433 (ATE) | 89EU2055AA (OEM) | BE1M2005B (OEM) | BF0E2005A (OEM) | C5601 (CONTROIL) | RCSF00180 (TRW)</t>
  </si>
  <si>
    <t xml:space="preserve">SBB13049</t>
  </si>
  <si>
    <t xml:space="preserve">5Z1612105N (OEM) | 5Z1614105H (OEM) | C5675 (CONTROIL)</t>
  </si>
  <si>
    <t xml:space="preserve">SCA8094K</t>
  </si>
  <si>
    <t xml:space="preserve">KIT BRAÇO OSC DIANT SUP/INF COMPLETO LE/LD AUDI</t>
  </si>
  <si>
    <t xml:space="preserve">SCA8006FL</t>
  </si>
  <si>
    <t xml:space="preserve">BDJ2505 (PERFECT)</t>
  </si>
  <si>
    <t xml:space="preserve">SWP272</t>
  </si>
  <si>
    <t xml:space="preserve">SWP276</t>
  </si>
  <si>
    <t xml:space="preserve">804502 (INDISA)</t>
  </si>
  <si>
    <t xml:space="preserve">STC12017</t>
  </si>
  <si>
    <t xml:space="preserve">A2742000715 (OEM) | A2742003400 (OEM)</t>
  </si>
  <si>
    <t xml:space="preserve">SOC9088</t>
  </si>
  <si>
    <t xml:space="preserve">RESFRIADOR DE ÓLEO MITSUBISHI</t>
  </si>
  <si>
    <t xml:space="preserve">2920A141 (OEM) | 68025160AA (OEM)</t>
  </si>
  <si>
    <t xml:space="preserve">SHP11022</t>
  </si>
  <si>
    <t xml:space="preserve">12633115 (OEM) | 706032520 (PIERBURG) | GI1023 (GAUSS)</t>
  </si>
  <si>
    <t xml:space="preserve">SCA8015FR</t>
  </si>
  <si>
    <t xml:space="preserve">CHERY / LIFAN</t>
  </si>
  <si>
    <t xml:space="preserve">BDJ0634 (PERFECT)</t>
  </si>
  <si>
    <t xml:space="preserve">SCA8043FR</t>
  </si>
  <si>
    <t xml:space="preserve">BDJ2058 (PERFECT) | NBJ1007E (NAKATA) | VW1222B (GRAZZIMETAL)</t>
  </si>
  <si>
    <t xml:space="preserve">SCA8067FR</t>
  </si>
  <si>
    <t xml:space="preserve">BDJ1014 (PERFECT) | NBJ6004DP (NAKATA) | NS21014C (GRAZZIMETAL) | SB8329ADP (SAMPEL)</t>
  </si>
  <si>
    <t xml:space="preserve">SWP083</t>
  </si>
  <si>
    <t xml:space="preserve">SFC7002</t>
  </si>
  <si>
    <t xml:space="preserve">VPV054 (VETOR)</t>
  </si>
  <si>
    <t xml:space="preserve">SWP260A</t>
  </si>
  <si>
    <t xml:space="preserve">SCC2117</t>
  </si>
  <si>
    <t xml:space="preserve">CILINDRO MESTRE DE EMBREAGEM IVECO</t>
  </si>
  <si>
    <t xml:space="preserve">2100231 (VALEO) | KG310601 (FTE) | RCCE001180 (TRW)</t>
  </si>
  <si>
    <t xml:space="preserve">SBB13048</t>
  </si>
  <si>
    <t xml:space="preserve">377612103H (OEM) | 377612103K (OEM) | C5658 (CONTROIL) | SF2613 (BOSCH) | SF5399S (BOSCH)</t>
  </si>
  <si>
    <t xml:space="preserve">SWP072</t>
  </si>
  <si>
    <t xml:space="preserve">SCA8061FL</t>
  </si>
  <si>
    <t xml:space="preserve">BDJ0233 (PERFECT) | NBJ6005EP (NAKATA) | NS21019C (GRAZZIMETAL)</t>
  </si>
  <si>
    <t xml:space="preserve">SCA8003FR</t>
  </si>
  <si>
    <t xml:space="preserve">AK8062C (GRAZZIMETAL) | BDJ2500 (PERFECT)</t>
  </si>
  <si>
    <t xml:space="preserve">SCA8050FL</t>
  </si>
  <si>
    <t xml:space="preserve">BDJ7951 (PERFECT) | HD13017C (GRAZZIMETAL) | NBJ7005EP (NAKATA) | SB8231EP (SAMPEL)</t>
  </si>
  <si>
    <t xml:space="preserve">SCA8067FL</t>
  </si>
  <si>
    <t xml:space="preserve">BDJ1013 (PERFECT) | NBJ6004EP (NAKATA) | NS21013C (GRAZZIMETAL) | SB8329AEP (SAMPEL)</t>
  </si>
  <si>
    <t xml:space="preserve">SWP042</t>
  </si>
  <si>
    <t xml:space="preserve">7000454004 (INDISA) | VKPC8161 (SKF)</t>
  </si>
  <si>
    <t xml:space="preserve">SBC1015</t>
  </si>
  <si>
    <t xml:space="preserve">SWP376</t>
  </si>
  <si>
    <t xml:space="preserve">DS7E8C419CA (OEM) | DS7E8C419CB (OEM) | DS7Z8C419B (OEM) | DS7Z8C419D (OEM)</t>
  </si>
  <si>
    <t xml:space="preserve">SWP383</t>
  </si>
  <si>
    <t xml:space="preserve">0PB121005A (OEM) | 0PB121005C (OEM) | 0PB121005E (OEM) | 9A210604902 (OEM)</t>
  </si>
  <si>
    <t xml:space="preserve">SBC1239</t>
  </si>
  <si>
    <t xml:space="preserve">6M512140BB (OEM) | 6M512140BC (OEM) | C2185 (CONTROIL)</t>
  </si>
  <si>
    <t xml:space="preserve">SHP11020</t>
  </si>
  <si>
    <t xml:space="preserve">12641740 (OEM) | GI1022 (GAUSS)</t>
  </si>
  <si>
    <t xml:space="preserve">SBB13046</t>
  </si>
  <si>
    <t xml:space="preserve">93289378 (OEM) | C5641 (CONTROIL) | NKF10041 (NAKATA)</t>
  </si>
  <si>
    <t xml:space="preserve">SBB13060</t>
  </si>
  <si>
    <t xml:space="preserve">204125733 (BOSCH) | 7701205741 (OEM) | C5662 (CONTROIL) | SF2621 (BOSCH)</t>
  </si>
  <si>
    <t xml:space="preserve">SWP041</t>
  </si>
  <si>
    <t xml:space="preserve">RENAULT / SUZUKI / VOLVO</t>
  </si>
  <si>
    <t xml:space="preserve">20176 (SCHADEK) | 7000704001 (INDISA) | NKBA09813 (NAKATA) | UB0813 (URBA) | VKPC86413A (SKF)</t>
  </si>
  <si>
    <t xml:space="preserve">SCA8003FL</t>
  </si>
  <si>
    <t xml:space="preserve">AK8063C (GRAZZIMETAL) | BDJ2501 (PERFECT)</t>
  </si>
  <si>
    <t xml:space="preserve">SCA8015FL</t>
  </si>
  <si>
    <t xml:space="preserve">BDJ0635 (PERFECT)</t>
  </si>
  <si>
    <t xml:space="preserve">SCA8092FL</t>
  </si>
  <si>
    <t xml:space="preserve">BDJ3901 (PERFECT)</t>
  </si>
  <si>
    <t xml:space="preserve">SCA8096K</t>
  </si>
  <si>
    <t xml:space="preserve">SCA8009FL</t>
  </si>
  <si>
    <t xml:space="preserve">BDJ2019 (PERFECT)</t>
  </si>
  <si>
    <t xml:space="preserve">SWP009</t>
  </si>
  <si>
    <t xml:space="preserve">7000254011 (INDISA)</t>
  </si>
  <si>
    <t xml:space="preserve">SWP067</t>
  </si>
  <si>
    <t xml:space="preserve">20102 (SCHADEK) | 204009 (INDISA) | NKBA02947 (NAKATA) | UB0947 (URBA) | VKPC84419A (SKF)</t>
  </si>
  <si>
    <t xml:space="preserve">SWP330</t>
  </si>
  <si>
    <t xml:space="preserve">06H965561 (OEM) | 454703 (INDISA) | 702074900 (PIERBURG)</t>
  </si>
  <si>
    <t xml:space="preserve">SWP374</t>
  </si>
  <si>
    <t xml:space="preserve">11517566335 (OEM)</t>
  </si>
  <si>
    <t xml:space="preserve">SBS8097PB</t>
  </si>
  <si>
    <t xml:space="preserve">0054203620 (OEM) | 2124200120 (OEM) | A0054203620 (OEM) | A2124200120 (OEM) | BPSA0090125 (MAZZICAR)</t>
  </si>
  <si>
    <t xml:space="preserve">SBB13015</t>
  </si>
  <si>
    <t xml:space="preserve">93354199 (OEM) | C5668 (CONTROIL) | RCSF01550 (TRW)</t>
  </si>
  <si>
    <t xml:space="preserve">SBB13033</t>
  </si>
  <si>
    <t xml:space="preserve">SERVO FREIO PEUGEOT</t>
  </si>
  <si>
    <t xml:space="preserve">204125605 (BOSCH) | 4535J2 (OEM) | 6065 (ATE) | C5664 (CONTROIL)</t>
  </si>
  <si>
    <t xml:space="preserve">SBB13042</t>
  </si>
  <si>
    <t xml:space="preserve">93332849 (OEM) | C5666 (CONTROIL) | RCSF00260 (TRW)</t>
  </si>
  <si>
    <t xml:space="preserve">SBB13052</t>
  </si>
  <si>
    <t xml:space="preserve">2N152005DA (OEM) | 2S652005AA (OEM) | 6162 (ATE) | 6164 (ATE) | C5667 (CONTROIL)</t>
  </si>
  <si>
    <t xml:space="preserve">SBB13069</t>
  </si>
  <si>
    <t xml:space="preserve">3056120513 (OEM) | 5258 (ATE) | 5847 (ATE) | C5600 (CONTROIL) | NKF10000 (NAKATA) | RCSF00018 (TRW) | RCSF00170 (TRW) | SF9170 (BOSCH)</t>
  </si>
  <si>
    <t xml:space="preserve">SBB13146</t>
  </si>
  <si>
    <t xml:space="preserve">472100453R (OEM) | 472109102R (OEM)</t>
  </si>
  <si>
    <t xml:space="preserve">SCA8041FL</t>
  </si>
  <si>
    <t xml:space="preserve">BDJ2093 (PERFECT) | GM2093GG (GRAZZIMETAL) | NBJ3027EP (NAKATA)</t>
  </si>
  <si>
    <t xml:space="preserve">SCA8092FR</t>
  </si>
  <si>
    <t xml:space="preserve">BDJ3900 (PERFECT)</t>
  </si>
  <si>
    <t xml:space="preserve">SWP192</t>
  </si>
  <si>
    <t xml:space="preserve">SBC1062</t>
  </si>
  <si>
    <t xml:space="preserve">CILINDRO MESTRE DE FREIO CHRYSLER</t>
  </si>
  <si>
    <t xml:space="preserve">SWP191</t>
  </si>
  <si>
    <t xml:space="preserve">7000114503 (INDISA)</t>
  </si>
  <si>
    <t xml:space="preserve">SSC3015</t>
  </si>
  <si>
    <t xml:space="preserve">SWP348</t>
  </si>
  <si>
    <t xml:space="preserve">5269784 (OEM) | 5269897 (OEM) | 5333148 (OEM)</t>
  </si>
  <si>
    <t xml:space="preserve">SWP368</t>
  </si>
  <si>
    <t xml:space="preserve">0P2121014C (OEM) | 0P2121014D (OEM) | 0P2121014E (OEM) | 9A712101402 (OEM) | 9A7712101403 (OEM)</t>
  </si>
  <si>
    <t xml:space="preserve">STC12010</t>
  </si>
  <si>
    <t xml:space="preserve">A2762000315 (OEM)</t>
  </si>
  <si>
    <t xml:space="preserve">SOC9097</t>
  </si>
  <si>
    <t xml:space="preserve">RESFRIADOR DE ÓLEO FIAT</t>
  </si>
  <si>
    <t xml:space="preserve">9823532380 (OEM)</t>
  </si>
  <si>
    <t xml:space="preserve">SBB13008</t>
  </si>
  <si>
    <t xml:space="preserve">52256123 (OEM) | 52286809 (OEM) | 6436 (ATE) | C5614 (CONTROIL) | NKF10014 (NAKATA) | RCSF00611 (TRW) | SF3956 (BOSCH)</t>
  </si>
  <si>
    <t xml:space="preserve">SBB13045</t>
  </si>
  <si>
    <t xml:space="preserve">94766503 (OEM) | C5681 (CONTROIL)</t>
  </si>
  <si>
    <t xml:space="preserve">SCA8043FL</t>
  </si>
  <si>
    <t xml:space="preserve">BDJ2059 (PERFECT) | NBJ1007EP (NAKATA) | VW1223B (GRAZZIMETAL)</t>
  </si>
  <si>
    <t xml:space="preserve">SCA8000FR</t>
  </si>
  <si>
    <t xml:space="preserve">BANDEJA COMPLETA LD AUDI</t>
  </si>
  <si>
    <t xml:space="preserve">AD12014C (GRAZZIMETAL)</t>
  </si>
  <si>
    <t xml:space="preserve">SCA8057FL</t>
  </si>
  <si>
    <t xml:space="preserve">BDJ9869 (PERFECT) | RN4071C (GRAZZIMETAL)</t>
  </si>
  <si>
    <t xml:space="preserve">SWP322</t>
  </si>
  <si>
    <t xml:space="preserve">SVP6050</t>
  </si>
  <si>
    <t xml:space="preserve">11667625260 (OEM) | 704625030 (PIERBURG)</t>
  </si>
  <si>
    <t xml:space="preserve">SBS8127</t>
  </si>
  <si>
    <t xml:space="preserve">204605 (SYL) | 58305-44A60 (OEM) | 58305-4FA01 (OEM) | BPSA0096087 (MAZZICAR) | HY338CP (FRAS-LE)</t>
  </si>
  <si>
    <t xml:space="preserve">SOC9094</t>
  </si>
  <si>
    <t xml:space="preserve">11427508967 (OEM)</t>
  </si>
  <si>
    <t xml:space="preserve">SHP11028</t>
  </si>
  <si>
    <t xml:space="preserve">BOMBA DE ALTA PRESSÃO VW</t>
  </si>
  <si>
    <t xml:space="preserve">06A127026A (OEM) | 06A127026B (OEM) | 06A127026D (OEM) | 06K127028C (OEM) | 06K127028E (OEM) | 06K127028F (OEM) | GI1033 (GAUSS)</t>
  </si>
  <si>
    <t xml:space="preserve">SBB13013</t>
  </si>
  <si>
    <t xml:space="preserve">7893049567138 (OEM) | C5671 (CONTROIL)</t>
  </si>
  <si>
    <t xml:space="preserve">SWP064</t>
  </si>
  <si>
    <t xml:space="preserve">7000204006 (INDISA) | UB0951 (URBA) | VKPC84407 (SKF)</t>
  </si>
  <si>
    <t xml:space="preserve">SWP095</t>
  </si>
  <si>
    <t xml:space="preserve">7000758506 (INDISA)</t>
  </si>
  <si>
    <t xml:space="preserve">SCA8058FR</t>
  </si>
  <si>
    <t xml:space="preserve">BDJ7170 (PERFECT)</t>
  </si>
  <si>
    <t xml:space="preserve">SCA8000FL</t>
  </si>
  <si>
    <t xml:space="preserve">BANDEJA COMPLETA LE AUDI</t>
  </si>
  <si>
    <t xml:space="preserve">AD12015C (GRAZZIMETAL)</t>
  </si>
  <si>
    <t xml:space="preserve">SCA8057FR</t>
  </si>
  <si>
    <t xml:space="preserve">BDJ9870 (PERFECT) | RN4072C (GRAZZIMETAL)</t>
  </si>
  <si>
    <t xml:space="preserve">SWP175</t>
  </si>
  <si>
    <t xml:space="preserve">7000204504 (INDISA)</t>
  </si>
  <si>
    <t xml:space="preserve">SWP347</t>
  </si>
  <si>
    <t xml:space="preserve">BOMBA ÁGUA DAF</t>
  </si>
  <si>
    <t xml:space="preserve">DAF</t>
  </si>
  <si>
    <t xml:space="preserve">1912939 (OEM) | 1912939R (OEM)</t>
  </si>
  <si>
    <t xml:space="preserve">SWP390</t>
  </si>
  <si>
    <t xml:space="preserve">1603225010 (OEM) | 16032F0010 (OEM)</t>
  </si>
  <si>
    <t xml:space="preserve">STC12008</t>
  </si>
  <si>
    <t xml:space="preserve">11537601158 (OEM)</t>
  </si>
  <si>
    <t xml:space="preserve">SBC1228</t>
  </si>
  <si>
    <t xml:space="preserve">CILINDTO MESTRE DE FREIO AUDI</t>
  </si>
  <si>
    <t xml:space="preserve">6R6111019A (OEM)</t>
  </si>
  <si>
    <t xml:space="preserve">SWC5076</t>
  </si>
  <si>
    <t xml:space="preserve">47550-26110 (OEM) | 47550-35200 (OEM) | 6264 (ATE) | C3483 (CONTROIL) | CR3003 (BOSCH) | RCCR02000 (TRW)</t>
  </si>
  <si>
    <t xml:space="preserve">SSC3061</t>
  </si>
  <si>
    <t xml:space="preserve">6408 (ATE) | C2612 (CONTROIL) | RCCE00157 (TRW) | T11721261 (OEM)</t>
  </si>
  <si>
    <t xml:space="preserve">SFC7024</t>
  </si>
  <si>
    <t xml:space="preserve">52123271 (OEM) | VPV063 (VETOR)</t>
  </si>
  <si>
    <t xml:space="preserve">SBB13011</t>
  </si>
  <si>
    <t xml:space="preserve">2252624 (OEM) | 2253417 (OEM) | 94622158 (OEM) | C5602 (CONTROIL) | SF3417 (BOSCH)</t>
  </si>
  <si>
    <t xml:space="preserve">SBB13016</t>
  </si>
  <si>
    <t xml:space="preserve">5868 (ATE) | 7078632 (OEM) | C5651 (CONTROIL)</t>
  </si>
  <si>
    <t xml:space="preserve">SBB13050</t>
  </si>
  <si>
    <t xml:space="preserve">6440 (ATE) | 9300514 (OEM) | C5618 (CONTROIL) | NKF10018 (NAKATA) | SF3245 (BOSCH)</t>
  </si>
  <si>
    <t xml:space="preserve">SBB13082</t>
  </si>
  <si>
    <t xml:space="preserve">SERVO FREIO MITSUBISHI</t>
  </si>
  <si>
    <t xml:space="preserve">MR449474 (OEM)</t>
  </si>
  <si>
    <t xml:space="preserve">SBB13143</t>
  </si>
  <si>
    <t xml:space="preserve">SERVO FREIO MERCEDES BENZ</t>
  </si>
  <si>
    <t xml:space="preserve">9064301408 (OEM) | A9064301408 (OEM) | A9064301408Q9 (OEM)</t>
  </si>
  <si>
    <t xml:space="preserve">SCA8007RLR</t>
  </si>
  <si>
    <t xml:space="preserve">BANDEJA TRASEIRA LE/LD KIA</t>
  </si>
  <si>
    <t xml:space="preserve">BANDEJA TRASEIRA</t>
  </si>
  <si>
    <t xml:space="preserve">AK8087 (GRAZZIMETAL)</t>
  </si>
  <si>
    <t xml:space="preserve">SCA8037FR</t>
  </si>
  <si>
    <t xml:space="preserve">BDJ2118 (PERFECT) | GM2118CP (GRAZZIMETAL) | NBJ3015DP (NAKATA)</t>
  </si>
  <si>
    <t xml:space="preserve">SWP176</t>
  </si>
  <si>
    <t xml:space="preserve">RENAULT / VOLVO</t>
  </si>
  <si>
    <t xml:space="preserve">7000604002 (INDISA)</t>
  </si>
  <si>
    <t xml:space="preserve">SVP6053</t>
  </si>
  <si>
    <t xml:space="preserve">11667622380 (OEM) | 702551180 (PIERBURG)</t>
  </si>
  <si>
    <t xml:space="preserve">SVP6054</t>
  </si>
  <si>
    <t xml:space="preserve">BMW / BYD</t>
  </si>
  <si>
    <t xml:space="preserve">11667558344 (OEM) | 724807330 (PIERBURG)</t>
  </si>
  <si>
    <t xml:space="preserve">SSC3057</t>
  </si>
  <si>
    <t xml:space="preserve">RCCE00033 (TRW)</t>
  </si>
  <si>
    <t xml:space="preserve">SWC5057L</t>
  </si>
  <si>
    <t xml:space="preserve">6289 (ATE) | 94606705 (OEM) | C3444 (CONTROIL) | CR7798 (BOSCH) | RCCR01420 (TRW)</t>
  </si>
  <si>
    <t xml:space="preserve">SSC3051</t>
  </si>
  <si>
    <t xml:space="preserve">CILINDRO AUXILIA DE EMBREAGEM FORD</t>
  </si>
  <si>
    <t xml:space="preserve">2SL721261 (OEM) | 6401 (ATE) | C2613 (CONTROIL) | RCCE00470 (TRW)</t>
  </si>
  <si>
    <t xml:space="preserve">SCC2115</t>
  </si>
  <si>
    <t xml:space="preserve">2SL721261 (OEM) | 6423 (ATE) | C-2629 (CONTROIL) | RCCE00500 (TRW)</t>
  </si>
  <si>
    <t xml:space="preserve">SSC3066</t>
  </si>
  <si>
    <t xml:space="preserve">3082957006 (OEM) | 6405 (ATE) | C2600 (CONTROIL) | RCCE00041 (TRW)</t>
  </si>
  <si>
    <t xml:space="preserve">SHP11026</t>
  </si>
  <si>
    <t xml:space="preserve">0261520339 (BOSCH) | 04E127026N (OEM) | GI1016 (GAUSS)</t>
  </si>
  <si>
    <t xml:space="preserve">SBB13037</t>
  </si>
  <si>
    <t xml:space="preserve">6938 (ATE) | 6S652005AB (OEM) | C5680 (CONTROIL)</t>
  </si>
  <si>
    <t xml:space="preserve">SBB13039</t>
  </si>
  <si>
    <t xml:space="preserve">6443 (ATE) | 96FB2005EF (OEM) | 97FU2005AA (OEM) | 97FU2005AB (OEM) | 986485129 (BOSCH) | C5635 (CONTROIL) | RCSF00960 (TRW)</t>
  </si>
  <si>
    <t xml:space="preserve">SCA8058FL</t>
  </si>
  <si>
    <t xml:space="preserve">BDJ7171 (PERFECT)</t>
  </si>
  <si>
    <t xml:space="preserve">SCA8080FL</t>
  </si>
  <si>
    <t xml:space="preserve">BDJ2110 (PERFECT) | HY9049C (GRAZZIMETAL) | NBJ9006EP (NAKATA)</t>
  </si>
  <si>
    <t xml:space="preserve">SCA8080FR</t>
  </si>
  <si>
    <t xml:space="preserve">BDJ2109 (PERFECT) | HY9050C (GRAZZIMETAL) | NBJ9006DP (NAKATA)</t>
  </si>
  <si>
    <t xml:space="preserve">SWP327</t>
  </si>
  <si>
    <t xml:space="preserve">114701 (INDISA) | 64116951549 (OEM) | 702078390 (PIERBURG)</t>
  </si>
  <si>
    <t xml:space="preserve">SWP207</t>
  </si>
  <si>
    <t xml:space="preserve">7000354013 (INDISA) | UB0773 (URBA)</t>
  </si>
  <si>
    <t xml:space="preserve">SWC5067L</t>
  </si>
  <si>
    <t xml:space="preserve">2SH611049 (OEM) | C3337 (CONTROIL) | CR2387 (BOSCH)</t>
  </si>
  <si>
    <t xml:space="preserve">SWC5068L</t>
  </si>
  <si>
    <t xml:space="preserve">SHP11021</t>
  </si>
  <si>
    <t xml:space="preserve">0261520203 (BOSCH) | A1330700001 (OEM)</t>
  </si>
  <si>
    <t xml:space="preserve">SBB13020</t>
  </si>
  <si>
    <t xml:space="preserve">SERVO FREIO HONDA</t>
  </si>
  <si>
    <t xml:space="preserve">01469SAAG50 (OEM) | C5679 (CONTROIL)</t>
  </si>
  <si>
    <t xml:space="preserve">SBB13044</t>
  </si>
  <si>
    <t xml:space="preserve">4535T3 (OEM) | 4535T4 (OEM) | 6069 (ATE) | C5670 (CONTROIL)</t>
  </si>
  <si>
    <t xml:space="preserve">SBB13059</t>
  </si>
  <si>
    <t xml:space="preserve">5694 (ATE) | 7077141 (OEM) | 7077392 (OEM) | 7078822 (OEM) | C5629 (CONTROIL) | NKF10029 (NAKATA) | SF2608 (BOSCH) | SF5261 (BOSCH)</t>
  </si>
  <si>
    <t xml:space="preserve">SBB13139</t>
  </si>
  <si>
    <t xml:space="preserve">MR370642 (OEM)</t>
  </si>
  <si>
    <t xml:space="preserve">SBB13142</t>
  </si>
  <si>
    <t xml:space="preserve">SERVO FREIO HYUNDAI</t>
  </si>
  <si>
    <t xml:space="preserve">586104F010 (OEM)</t>
  </si>
  <si>
    <t xml:space="preserve">SCA8084FL</t>
  </si>
  <si>
    <t xml:space="preserve">BJC10013M (COFAP) | HD13077B (GRAZZIMETAL) | NBJ7010E (NAKATA) | SB8341E (SAMPEL)</t>
  </si>
  <si>
    <t xml:space="preserve">SWP250H</t>
  </si>
  <si>
    <t xml:space="preserve">SWP375</t>
  </si>
  <si>
    <t xml:space="preserve">4H0965567 (OEM) | 4H0965567A (OEM) | 4H0965569 (OEM) | 4H0965569A (OEM)</t>
  </si>
  <si>
    <t xml:space="preserve">SHP11027</t>
  </si>
  <si>
    <t xml:space="preserve">06F127025L (OEM) | GI1027 (GAUSS) | HFS853102 (HITACHI)</t>
  </si>
  <si>
    <t xml:space="preserve">SHP11029</t>
  </si>
  <si>
    <t xml:space="preserve">0261520257 (BOSCH) | 13517642466 (OEM)</t>
  </si>
  <si>
    <t xml:space="preserve">SBB13006</t>
  </si>
  <si>
    <t xml:space="preserve">C5665 (CONTROIL) | SF2623 (BOSCH)</t>
  </si>
  <si>
    <t xml:space="preserve">SBB13026</t>
  </si>
  <si>
    <t xml:space="preserve">C5663 (CONTROIL) | MB618976 (OEM)</t>
  </si>
  <si>
    <t xml:space="preserve">SBB13035</t>
  </si>
  <si>
    <t xml:space="preserve">3492871 (OEM) | C5642 (CONTROIL)</t>
  </si>
  <si>
    <t xml:space="preserve">SBB13040</t>
  </si>
  <si>
    <t xml:space="preserve">204125153 (BOSCH) | 7701204854 (OEM) | 7701204857 (OEM) | 7702217954 (OEM) | C5655 (CONTROIL)</t>
  </si>
  <si>
    <t xml:space="preserve">SBB13147</t>
  </si>
  <si>
    <t xml:space="preserve">7701208175 (OEM) | 8200883919 (OEM)</t>
  </si>
  <si>
    <t xml:space="preserve">SCA8084FR</t>
  </si>
  <si>
    <t xml:space="preserve">BJC10012M (COFAP) | HD13078B (GRAZZIMETAL) | NBJ7010D (NAKATA) | SB8341D (SAMPEL)</t>
  </si>
  <si>
    <t xml:space="preserve">SBS8121PB</t>
  </si>
  <si>
    <t xml:space="preserve">34411156962 (OEM) | 34411165962 (OEM) | 7L6698525 (OEM) | BPSA0091230 (MAZZICAR)</t>
  </si>
  <si>
    <t xml:space="preserve">SWP352</t>
  </si>
  <si>
    <t xml:space="preserve">20217 (SCHADEK) | 500350785T (OEM) | 758501 (INDISA) | 98479675 (OEM) | 99445447 (OEM) | UB0212 (URBA) | VBD703 (VETORE)</t>
  </si>
  <si>
    <t xml:space="preserve">SWC5068R</t>
  </si>
  <si>
    <t xml:space="preserve">85TU2261A (OEM) | C3306 (CONTROIL) | CR9792 (BOSCH) | RCCR01940 (TRW)</t>
  </si>
  <si>
    <t xml:space="preserve">SBB13041</t>
  </si>
  <si>
    <t xml:space="preserve">5957 (ATE) | 93289336 (OEM) | C5646 (CONTROIL)</t>
  </si>
  <si>
    <t xml:space="preserve">SBB13057</t>
  </si>
  <si>
    <t xml:space="preserve">93288930 (OEM) | 93364004 (OEM) | C5660 (CONTROIL) | RCSF00230 (TRW)</t>
  </si>
  <si>
    <t xml:space="preserve">SBB13068</t>
  </si>
  <si>
    <t xml:space="preserve">52256133 (OEM) | 52286810 (OEM) | 6437 (ATE) | C5610 (CONTROIL) | NKF10010 (NAKATA) | RCSF00621 (TRW) | SF3950 (BOSCH)</t>
  </si>
  <si>
    <t xml:space="preserve">SBB13125</t>
  </si>
  <si>
    <t xml:space="preserve">6949 (ATE) | 94757697 (OEM)</t>
  </si>
  <si>
    <t xml:space="preserve">SBB13145</t>
  </si>
  <si>
    <t xml:space="preserve">0004311827 (OEM) | A0004311827 (OEM) | A0014300008 (OEM) | A0014300308 (OEM)</t>
  </si>
  <si>
    <t xml:space="preserve">SCA8041FR</t>
  </si>
  <si>
    <t xml:space="preserve">BDJ2094 (PERFECT) | GM2094GG (GRAZZIMETAL)</t>
  </si>
  <si>
    <t xml:space="preserve">SWP096</t>
  </si>
  <si>
    <t xml:space="preserve">SWP272A</t>
  </si>
  <si>
    <t xml:space="preserve">BOMBA ÁGUA FORD MUSTANG</t>
  </si>
  <si>
    <t xml:space="preserve">SOC9091</t>
  </si>
  <si>
    <t xml:space="preserve">RESFRIADOR DE ÓLEO DODGE</t>
  </si>
  <si>
    <t xml:space="preserve">04892368AD (OEM) | 04892377AB (OEM)</t>
  </si>
  <si>
    <t xml:space="preserve">SWC5057R</t>
  </si>
  <si>
    <t xml:space="preserve">6288 (ATE) | 94606706 (OEM) | C3445 (CONTROIL) | CR7799 (BOSCH) | RCCR00880 (TRW)</t>
  </si>
  <si>
    <t xml:space="preserve">SWC5069R</t>
  </si>
  <si>
    <t xml:space="preserve">BD2Y2061A (OEM) | C3308 (CONTROIL) | CR6079 (BOSCH)</t>
  </si>
  <si>
    <t xml:space="preserve">SSC3062</t>
  </si>
  <si>
    <t xml:space="preserve">CILINDRO AUXILIAR DE EMBREAGEM AGRALE</t>
  </si>
  <si>
    <t xml:space="preserve">2SL721261 (OEM) | C2613 (CONTROIL) | RCCE00440 (TRW)</t>
  </si>
  <si>
    <t xml:space="preserve">SHP11023</t>
  </si>
  <si>
    <t xml:space="preserve">BOMBA DE ALTA PRESSÃO PORSCHE</t>
  </si>
  <si>
    <t xml:space="preserve">0261520303 (BOSCH) | 0261520304 (BOSCH) | 94611031560 (OEM) | 94611031561 (OEM)</t>
  </si>
  <si>
    <t xml:space="preserve">SBB13005</t>
  </si>
  <si>
    <t xml:space="preserve">5420 (ATE) | 5798 (ATE) | 94656135 (OEM) | C5616 (CONTROIL)</t>
  </si>
  <si>
    <t xml:space="preserve">SBB13010</t>
  </si>
  <si>
    <t xml:space="preserve">C5686 (CONTROIL) | NM230V74 (OEM)</t>
  </si>
  <si>
    <t xml:space="preserve">SBB13036</t>
  </si>
  <si>
    <t xml:space="preserve">5922 (ATE) | 5979 (ATE) | 7079575 (OEM) | 7081252 (OEM) | C5636 (CONTROIL) | SF9388 (BOSCH)</t>
  </si>
  <si>
    <t xml:space="preserve">SBB13058</t>
  </si>
  <si>
    <t xml:space="preserve">5644 (ATE) | 5824 (ATE) | 93235561 (OEM) | C5622 (CONTROIL) | NKF10022 (NAKATA)</t>
  </si>
  <si>
    <t xml:space="preserve">SBB13089</t>
  </si>
  <si>
    <t xml:space="preserve">SERVO FREIO NISSAN</t>
  </si>
  <si>
    <t xml:space="preserve">0204844200 (BOSCH) | 47210-JR80A (OEM)</t>
  </si>
  <si>
    <t xml:space="preserve">SBB13141</t>
  </si>
  <si>
    <t xml:space="preserve">01469TR8M00 (OEM)</t>
  </si>
  <si>
    <t xml:space="preserve">SWP030</t>
  </si>
  <si>
    <t xml:space="preserve">SFC7009</t>
  </si>
  <si>
    <t xml:space="preserve">VPV009 (VETOR)</t>
  </si>
  <si>
    <t xml:space="preserve">SVP6052</t>
  </si>
  <si>
    <t xml:space="preserve">BOMBA DE VÁCUO MINI</t>
  </si>
  <si>
    <t xml:space="preserve">MINI</t>
  </si>
  <si>
    <t xml:space="preserve">11667270813 (OEM) | 11667559463 (OEM) | 701490090 (PIERBURG)</t>
  </si>
  <si>
    <t xml:space="preserve">SWC5063R</t>
  </si>
  <si>
    <t xml:space="preserve">BC9A2061A (OEM) | C3310 (CONTROIL) | CR9984 (BOSCH) | RCCR24801 (TRW)</t>
  </si>
  <si>
    <t xml:space="preserve">SBB13047</t>
  </si>
  <si>
    <t xml:space="preserve">5Z1614105AN (OEM) | C5676 (CONTROIL)</t>
  </si>
  <si>
    <t xml:space="preserve">SBB13055</t>
  </si>
  <si>
    <t xml:space="preserve">52273077 (OEM) | C5619 (CONTROIL) | SF3842 (BOSCH)</t>
  </si>
  <si>
    <t xml:space="preserve">SBB13056</t>
  </si>
  <si>
    <t xml:space="preserve">SERVO FREIO FORD/VOLKSWAGEN</t>
  </si>
  <si>
    <t xml:space="preserve">0986485102 (BOSCH) | 3256121072 (OEM) | 3256121077 (OEM) | 3256121078 (OEM) | 3316121071 (OEM) | 6435 (ATE) | C5608 (CONTROIL) | NKF10008 (NAKATA) | RCSF00565 (TRW)</t>
  </si>
  <si>
    <t xml:space="preserve">SBB13063</t>
  </si>
  <si>
    <t xml:space="preserve">6001549118 (OEM) | C5673 (CONTROIL)</t>
  </si>
  <si>
    <t xml:space="preserve">SBB13064</t>
  </si>
  <si>
    <t xml:space="preserve">7087525 (OEM) | C5674 (CONTROIL)</t>
  </si>
  <si>
    <t xml:space="preserve">SBB13140</t>
  </si>
  <si>
    <t xml:space="preserve">BA1Z2005A (OEM)</t>
  </si>
  <si>
    <t xml:space="preserve">SWP019</t>
  </si>
  <si>
    <t xml:space="preserve">20070 (SCHADEK) | 7000204007 (INDISA) | UB0948 (URBA) | VKPC84215 (SKF)</t>
  </si>
  <si>
    <t xml:space="preserve">SWP221</t>
  </si>
  <si>
    <t xml:space="preserve">SWP007</t>
  </si>
  <si>
    <t xml:space="preserve">BOMBA ÁGUA FORD/MAZDA</t>
  </si>
  <si>
    <t xml:space="preserve">FORD / HYSTER / KIA / MAZDA / YALE</t>
  </si>
  <si>
    <t xml:space="preserve">7000004004 (INDISA) | BDMA022 (TAKAO) | UB9007 (URBA) | VLBA0010354 (VILLA FRANCA) | VLBA0010542 (VILLA FRANCA)</t>
  </si>
  <si>
    <t xml:space="preserve">SWP051</t>
  </si>
  <si>
    <t xml:space="preserve">CITROEN / LADA / PEUGEOT / SUZUKI</t>
  </si>
  <si>
    <t xml:space="preserve">20179 (SCHADEK) | 7000952001 (INDISA) | VKPC83420A (SKF)</t>
  </si>
  <si>
    <t xml:space="preserve">SWP353</t>
  </si>
  <si>
    <t xml:space="preserve">BOMBA ÁGUA MAN/VW</t>
  </si>
  <si>
    <t xml:space="preserve">MAN / VW</t>
  </si>
  <si>
    <t xml:space="preserve">51065006675 (OEM) | 51065006694 (OEM)</t>
  </si>
  <si>
    <t xml:space="preserve">SOC9085</t>
  </si>
  <si>
    <t xml:space="preserve">RESFRIADOR DE ÓLEO PORSCHE</t>
  </si>
  <si>
    <t xml:space="preserve">94810727103 (OEM)</t>
  </si>
  <si>
    <t xml:space="preserve">SOC9092</t>
  </si>
  <si>
    <t xml:space="preserve">RESFRIADOR DE ÓLEO MERCEDES-BENZ</t>
  </si>
  <si>
    <t xml:space="preserve">A2711801010 (OEM) | A2711880301 (OEM)</t>
  </si>
  <si>
    <t xml:space="preserve">SHP11024</t>
  </si>
  <si>
    <t xml:space="preserve">BOMBA DE ALTA PRESSÃO KIA</t>
  </si>
  <si>
    <t xml:space="preserve">0261520307 (BOSCH) | 35320-2G740 (OEM) | GI1019 (GAUSS)</t>
  </si>
  <si>
    <t xml:space="preserve">SBB13043</t>
  </si>
  <si>
    <t xml:space="preserve">377612103B (OEM) | 377612103G (OEM) | C5650 (CONTROIL) | SF5342S (BOSCH)</t>
  </si>
  <si>
    <t xml:space="preserve">SBB13083</t>
  </si>
  <si>
    <t xml:space="preserve">4630A173 (OEM)</t>
  </si>
  <si>
    <t xml:space="preserve">SWP085</t>
  </si>
  <si>
    <t xml:space="preserve">SWP139</t>
  </si>
  <si>
    <t xml:space="preserve">7000702009 (INDISA) | UB0824 (URBA) | VLBA0330514 (VILLA FRANCA)</t>
  </si>
  <si>
    <t xml:space="preserve">SCA8037FL</t>
  </si>
  <si>
    <t xml:space="preserve">BDJ2119 (PERFECT) | GM2119CP (GRAZZIMETAL) | NBJ3015EP (NAKATA)</t>
  </si>
  <si>
    <t xml:space="preserve">SCA8073FL</t>
  </si>
  <si>
    <t xml:space="preserve">BDJ2689 (PERFECT) | NBJ6001EP (NAKATA)</t>
  </si>
  <si>
    <t xml:space="preserve">SCA8073FR</t>
  </si>
  <si>
    <t xml:space="preserve">BDJ2690 (PERFECT) | NBJ6001DP (NAKATA)</t>
  </si>
  <si>
    <t xml:space="preserve">SCA8076FL</t>
  </si>
  <si>
    <t xml:space="preserve">BDJ0239 (PERFECT) | FO3251C (GRAZZIMETAL) | NBJ2015EP (NAKATA)</t>
  </si>
  <si>
    <t xml:space="preserve">SCA8076FR</t>
  </si>
  <si>
    <t xml:space="preserve">BDJ0240 (PERFECT) | FO3252C (GRAZZIMETAL) | NBJ2015DP (NAKATA)</t>
  </si>
  <si>
    <t xml:space="preserve">SWP090</t>
  </si>
  <si>
    <t xml:space="preserve">SWP242</t>
  </si>
  <si>
    <t xml:space="preserve">SWP346</t>
  </si>
  <si>
    <t xml:space="preserve">1639196 (OEM) | 1644762 (OEM) | 1778280 (OEM) | 1828141 (OEM)</t>
  </si>
  <si>
    <t xml:space="preserve">SWC5063L</t>
  </si>
  <si>
    <t xml:space="preserve">BC9A2062A (OEM) | C3309 (CONTROIL) | CR9983 (BOSCH) | RCCR24798 (TRW)</t>
  </si>
  <si>
    <t xml:space="preserve">SCC2107</t>
  </si>
  <si>
    <t xml:space="preserve">CILINDRO MESTRE EMBREAGEM M BENZ</t>
  </si>
  <si>
    <t xml:space="preserve">3842957006 (OEM) | 6402 (ATE) | C2607 (CONTROIL) | RCCE00335 (TRW)</t>
  </si>
  <si>
    <t xml:space="preserve">SSC3056</t>
  </si>
  <si>
    <t xml:space="preserve">3452957007 (OEM) | 6406 (ATE) | C2614 (CONTROIL) | RCCE00246 (TRW)</t>
  </si>
  <si>
    <t xml:space="preserve">SWC5097</t>
  </si>
  <si>
    <t xml:space="preserve">5465 (ATE) | 7074617 (OEM) | C3404 (CONTROIL) | RCCR00899 (TRW)</t>
  </si>
  <si>
    <t xml:space="preserve">SHP11025</t>
  </si>
  <si>
    <t xml:space="preserve">0261520143 (BOSCH) | 13517595339 (OEM) | 13517595350 (OEM) | 13537547603 (OEM) | GI1008 (GAUSS)</t>
  </si>
  <si>
    <t xml:space="preserve">SBB13029</t>
  </si>
  <si>
    <t xml:space="preserve">547612907A (OEM) | C5623 (CONTROIL) | RCSF00816 (TRW)</t>
  </si>
  <si>
    <t xml:space="preserve">SBB13054</t>
  </si>
  <si>
    <t xml:space="preserve">547612907 (OEM) | 6444 (ATE) | C5624 (CONTROIL) | NKF10024 (NAKATA) | RCSF00816 (TRW) | SF5099S (BOSCH) | SF5102 (BOSCH)</t>
  </si>
  <si>
    <t xml:space="preserve">SBB13067</t>
  </si>
  <si>
    <t xml:space="preserve">6221 (ATE) | 93281897 (OEM) | C5659 (CONTROIL) | RCSF00980 (TRW)</t>
  </si>
  <si>
    <t xml:space="preserve">SBB13113</t>
  </si>
  <si>
    <t xml:space="preserve">6475 (ATE) | 94736008 (OEM) | C5672 (CONTROIL)</t>
  </si>
  <si>
    <t xml:space="preserve">SWP012</t>
  </si>
  <si>
    <t xml:space="preserve">SFC7021</t>
  </si>
  <si>
    <t xml:space="preserve">21082-4JA0D                             21082-4JA0E</t>
  </si>
  <si>
    <t xml:space="preserve">SWP275</t>
  </si>
  <si>
    <t xml:space="preserve">BOMBA AGUA CHERY</t>
  </si>
  <si>
    <t xml:space="preserve">SWP230</t>
  </si>
  <si>
    <t xml:space="preserve">SWC5067R</t>
  </si>
  <si>
    <t xml:space="preserve">2SH611050 (OEM) | C3338 (CONTROIL) | CR2388 (BOSCH)</t>
  </si>
  <si>
    <t xml:space="preserve">SBC1248</t>
  </si>
  <si>
    <t xml:space="preserve">C2154 (CONTROIL) | RCCM00063 (TRW)</t>
  </si>
  <si>
    <t xml:space="preserve">SSC3060</t>
  </si>
  <si>
    <t xml:space="preserve">RCCE00640 (TRW)</t>
  </si>
  <si>
    <t xml:space="preserve">SFC7030</t>
  </si>
  <si>
    <t xml:space="preserve">252374A855 (OEM)</t>
  </si>
  <si>
    <t xml:space="preserve">SBB13007</t>
  </si>
  <si>
    <t xml:space="preserve">SEAT / VOLKSWAGEN</t>
  </si>
  <si>
    <t xml:space="preserve">204125262 (BOSCH) | 6K161207F (OEM) | 6K161207G (OEM) | 6K1612107G (OEM) | C5643 (CONTROIL)</t>
  </si>
  <si>
    <t xml:space="preserve">SBB13027</t>
  </si>
  <si>
    <t xml:space="preserve">5938 (ATE) | 93272823 (OEM) | C5647 (CONTROIL)</t>
  </si>
  <si>
    <t xml:space="preserve">SBB13028</t>
  </si>
  <si>
    <t xml:space="preserve">2265406S (OEM) | C5652 (CONTROIL) | SF5406S (BOSCH)</t>
  </si>
  <si>
    <t xml:space="preserve">SBB13053</t>
  </si>
  <si>
    <t xml:space="preserve">5702 (ATE) | 90297374 (OEM) | 90487038 (OEM) | 986485108 (BOSCH) | 986485125 (BOSCH) | C5632 (CONTROIL) | NKF10032 (NAKATA)</t>
  </si>
  <si>
    <t xml:space="preserve">SBB13088</t>
  </si>
  <si>
    <t xml:space="preserve">0204125857 (BOSCH) | 0204774973 (BOSCH) | 0204774975 (BOSCH) | 6C112005BE (OEM) | SF4975 (BOSCH)</t>
  </si>
  <si>
    <t xml:space="preserve">SWP049</t>
  </si>
  <si>
    <t xml:space="preserve">SWP098</t>
  </si>
  <si>
    <t xml:space="preserve">SWP289</t>
  </si>
  <si>
    <t xml:space="preserve">SWP213</t>
  </si>
  <si>
    <t xml:space="preserve">SSC3054</t>
  </si>
  <si>
    <t xml:space="preserve">3842957207 (OEM) | 6410 (ATE) | C2611 (CONTROIL) | KN28022D1 (FTE) | RCCE00114 (TRW)</t>
  </si>
  <si>
    <t xml:space="preserve">SCC2121</t>
  </si>
  <si>
    <t xml:space="preserve">6411 (ATE) | C2604 (CONTROIL) | E5HT7A543BA (OEM) | RCCE00680 (TRW)</t>
  </si>
  <si>
    <t xml:space="preserve">SCC2114</t>
  </si>
  <si>
    <t xml:space="preserve">AGRALE</t>
  </si>
  <si>
    <t xml:space="preserve">6013003011001 (OEM) | C2639 (CONTROIL)</t>
  </si>
  <si>
    <t xml:space="preserve">SCC2124</t>
  </si>
  <si>
    <t xml:space="preserve">3452957006 (OEM) | 6403 (ATE) | C2603 (CONTROIL) | RCCE00238 (TRW)</t>
  </si>
  <si>
    <t xml:space="preserve">SSC3065</t>
  </si>
  <si>
    <t xml:space="preserve">3862957007 (OEM) | 6414 (ATE) | C2615 (CONTROIL) | RCCE00319 (TRW)</t>
  </si>
  <si>
    <t xml:space="preserve">SBC1238</t>
  </si>
  <si>
    <t xml:space="preserve">CILINDRO MESTRE DE FREIO GMC</t>
  </si>
  <si>
    <t xml:space="preserve">GMC</t>
  </si>
  <si>
    <t xml:space="preserve">8-97108712-1 (OEM) | 97315166 (OEM)</t>
  </si>
  <si>
    <t xml:space="preserve">SBB13019</t>
  </si>
  <si>
    <t xml:space="preserve">44610-98001C (OEM) | C5633 (CONTROIL) | RCSF00719 (TRW)</t>
  </si>
  <si>
    <t xml:space="preserve">SBB13062</t>
  </si>
  <si>
    <t xml:space="preserve">94FB2005AA (OEM) | 986485120 (BOSCH) | C5644 (CONTROIL)</t>
  </si>
  <si>
    <t xml:space="preserve">SWP122</t>
  </si>
  <si>
    <t xml:space="preserve">ALFA ROMEO / FIAT</t>
  </si>
  <si>
    <t xml:space="preserve">20099 (SCHADEK) | 7000352007 (INDISA) | NKBA01770 (NAKATA) | UB0770 (URBA) | VKPC82646 (SKF)</t>
  </si>
  <si>
    <t xml:space="preserve">SWP264H</t>
  </si>
  <si>
    <t xml:space="preserve">SWP129</t>
  </si>
  <si>
    <t xml:space="preserve">20171 (SCHADEK) | 7000352008 (INDISA) | NKBA01771 (NAKATA) | UB0771 (URBA) | VKPC82645A (SKF)</t>
  </si>
  <si>
    <t xml:space="preserve">SWP358</t>
  </si>
  <si>
    <t xml:space="preserve">BOMBA ÁGUA SCANIA</t>
  </si>
  <si>
    <t xml:space="preserve">1380897 (OEM) | 1510490 (OEM) | 20155 (SCHADEK) | 552500 (INDISA) | UB0988 (URBA) | VBD990 (VETORE) | VKPC4909 (SKF)</t>
  </si>
  <si>
    <t xml:space="preserve">SWP360</t>
  </si>
  <si>
    <t xml:space="preserve">20212 (SCHADEK) | 20744939 (OEM) | 604003 (INDISA) | 80744939 (OEM) | UB0113 (URBA) | VKPC4926 (SKF)</t>
  </si>
  <si>
    <t xml:space="preserve">SCC2110</t>
  </si>
  <si>
    <t xml:space="preserve">22950206 (OEM) | 82703 (SACHS) | A0022950206 (OEM) | RCCE01050 (TRW)</t>
  </si>
  <si>
    <t xml:space="preserve">SCC2116</t>
  </si>
  <si>
    <t xml:space="preserve">CILINDRO MESTRE DE EMBREAGEM VOLVO</t>
  </si>
  <si>
    <t xml:space="preserve">205535588 (OEM) | 20557337 (OEM) | 20835246 (OEM) | 2100628 (VALEO) | KG2801942 (FTE)</t>
  </si>
  <si>
    <t xml:space="preserve">SWP355</t>
  </si>
  <si>
    <t xml:space="preserve">20246 (SCHADEK) | 401022 (INDISA) | 5412001101 (OEM) | 5412001201 (OEM) | 5412001401 (OEM) | VBD510 (VETORE)</t>
  </si>
  <si>
    <t xml:space="preserve">SWP356</t>
  </si>
  <si>
    <t xml:space="preserve">1353072 (OEM) | 1450153 (OEM) | 1508533 (OEM) | 1896752 (OEM) | 20144 (SCHADEK) | 552000 (INDISA) | UB0980 (URBA) | VBD0988 (VETORE) | VKPC4908 (SKF)</t>
  </si>
  <si>
    <t xml:space="preserve">SWP359</t>
  </si>
  <si>
    <t xml:space="preserve">154188 (OEM) | 20195 (SCHADEK) | 552001 (INDISA) | UB0981 (URBA) | VBD991 (VETORE)</t>
  </si>
  <si>
    <t xml:space="preserve">SCC2111</t>
  </si>
  <si>
    <t xml:space="preserve">0002950406 (OEM) | 0012959306 (OEM) | 0012959506 (OEM) | 0022950306 (OEM) | 0022950406 (OEM)</t>
  </si>
  <si>
    <t xml:space="preserve">SCC2119</t>
  </si>
  <si>
    <t xml:space="preserve">AGRALE / MERCEDES-BENZ</t>
  </si>
  <si>
    <t xml:space="preserve">3882957006 (OEM) | 6012003022000 (OEM) | 6419 (ATE) | C2621 (CONTROIL) | RCCE00361 (TRW)</t>
  </si>
  <si>
    <t xml:space="preserve">SSC3055</t>
  </si>
  <si>
    <t xml:space="preserve">AGRALE / FORD / VOLKSWAGEN</t>
  </si>
  <si>
    <t xml:space="preserve">2R721405 (OEM) | 2SP/721261 (OEM) | 6007003334009 (OEM) | C2613 (CONTROIL) | RCCE00790 (TRW)</t>
  </si>
  <si>
    <t xml:space="preserve">SFC7026</t>
  </si>
  <si>
    <t xml:space="preserve">XC358A616CB (OEM)</t>
  </si>
  <si>
    <t xml:space="preserve">SFC7027</t>
  </si>
  <si>
    <t xml:space="preserve">MD359040 (OEM)</t>
  </si>
  <si>
    <t xml:space="preserve">SFC7029</t>
  </si>
  <si>
    <t xml:space="preserve">POLIA VISCOSA FORD/VW</t>
  </si>
  <si>
    <t xml:space="preserve">AGRALE / FORD / IVECO / MAN / VW / MARCOPOLO</t>
  </si>
  <si>
    <t xml:space="preserve">2TC121431A (OEM) | 98HU8A616AA (OEM) | A2TC121431A (OEM) | TMG121431 (OEM)</t>
  </si>
  <si>
    <t xml:space="preserve">SFC7034</t>
  </si>
  <si>
    <t xml:space="preserve">POLIA VISCOSA CASE</t>
  </si>
  <si>
    <t xml:space="preserve">CASE / NEW HOLLAND</t>
  </si>
  <si>
    <t xml:space="preserve">87340008 (OEM)</t>
  </si>
  <si>
    <t xml:space="preserve">SWP010</t>
  </si>
  <si>
    <t xml:space="preserve">SWP280</t>
  </si>
  <si>
    <t xml:space="preserve">BOMBA AGUA GM</t>
  </si>
  <si>
    <t xml:space="preserve">ISUZU</t>
  </si>
  <si>
    <t xml:space="preserve">SWP354</t>
  </si>
  <si>
    <t xml:space="preserve">FORD / VALTRA / VOLKSWAGEN</t>
  </si>
  <si>
    <t xml:space="preserve">104001 (INDISA) | 20035 (SCHADEK) | 922907310015 (OEM) | 922987310036 (OEM) | UB0578 (URBA) | VBD578 (VETORE) | VKPC4935 (SKF)</t>
  </si>
  <si>
    <t xml:space="preserve">SWP357</t>
  </si>
  <si>
    <t xml:space="preserve">CASE / SCANIA</t>
  </si>
  <si>
    <t xml:space="preserve">1314406 (OEM) | 1672680 (OEM) | 292761 (OEM) | 524866 (OEM)</t>
  </si>
  <si>
    <t xml:space="preserve">SWC5070L</t>
  </si>
  <si>
    <t xml:space="preserve">BD9T2262A (OEM) | C3315 (CONTROIL) | CR7782 (BOSCH)</t>
  </si>
  <si>
    <t xml:space="preserve">SWC5070R</t>
  </si>
  <si>
    <t xml:space="preserve">BD9T/2261/A (OEM) | C3316 (CONTROIL) | CR7783 (BOSCH)</t>
  </si>
  <si>
    <t xml:space="preserve">SCC2108</t>
  </si>
  <si>
    <t xml:space="preserve">3882957106 (OEM) | C2602 (CONTROIL) | RCCE00122 (TRW)</t>
  </si>
  <si>
    <t xml:space="preserve">SSC3064</t>
  </si>
  <si>
    <t xml:space="preserve">SFC7031</t>
  </si>
  <si>
    <t xml:space="preserve">POLIA VISCOSA DAF</t>
  </si>
  <si>
    <t xml:space="preserve">1677080 (OEM) | 1916597 (OEM) | 2293637 (OEM)</t>
  </si>
  <si>
    <t xml:space="preserve">SWP147</t>
  </si>
  <si>
    <t xml:space="preserve">BOMBA ÁGUA</t>
  </si>
  <si>
    <t xml:space="preserve">SSC3059</t>
  </si>
  <si>
    <t xml:space="preserve">CILINDRO AUXILIAR DE EMBREAGEM VOLVO</t>
  </si>
  <si>
    <t xml:space="preserve">1581209 (OEM) | 1581209-2 (OEM) | 1614351 (OEM) | 1614351-3 (OEM) | 1620462 (OEM) | 1620462-0 (OEM) | 1669488 (OEM) | 1669488-7 (OEM) | 6428 (ATE) | 8126730 (OEM) | C2637 (CONTROIL) | KG2801411 (FTE) | KG2801611 (FTE) | RCCE00650 (TRW)</t>
  </si>
  <si>
    <t xml:space="preserve">SCC2122</t>
  </si>
  <si>
    <t xml:space="preserve">2SL721405 (OEM) | 6007003333001 (OEM) | 6409 (ATE) | C2605 (CONTROIL) | RCCE00297 (TRW) | TAR721405 (OEM) | TF3721405 (OEM)</t>
  </si>
  <si>
    <t xml:space="preserve">SFC7025</t>
  </si>
  <si>
    <t xml:space="preserve">VPV016 (VETOR) | XC358A616AB (OEM)</t>
  </si>
  <si>
    <t xml:space="preserve">SFC7028</t>
  </si>
  <si>
    <t xml:space="preserve">FORD / MAN / VW</t>
  </si>
  <si>
    <t xml:space="preserve">98HU8A616BA (OEM) | VPV015 (VETOR)</t>
  </si>
  <si>
    <t xml:space="preserve">SFC7032</t>
  </si>
  <si>
    <t xml:space="preserve">POLIA VISCOSA VW</t>
  </si>
  <si>
    <t xml:space="preserve">2U121302A (OEM)</t>
  </si>
  <si>
    <t xml:space="preserve">SFC7033</t>
  </si>
  <si>
    <t xml:space="preserve">POLIA VISCOSA VOLVO</t>
  </si>
  <si>
    <t xml:space="preserve">21666250 (OEM)</t>
  </si>
  <si>
    <t xml:space="preserve">Código (sem espaço)</t>
  </si>
  <si>
    <t xml:space="preserve">Código no pedido</t>
  </si>
  <si>
    <t xml:space="preserve">Quantidade</t>
  </si>
  <si>
    <t xml:space="preserve">Preço Liq</t>
  </si>
  <si>
    <t xml:space="preserve">Total</t>
  </si>
  <si>
    <t xml:space="preserve">SBC 1011</t>
  </si>
  <si>
    <t xml:space="preserve">SBC 1117</t>
  </si>
  <si>
    <t xml:space="preserve">SBC 1124</t>
  </si>
  <si>
    <t xml:space="preserve">SBC 1147</t>
  </si>
  <si>
    <t xml:space="preserve">SBC 1148</t>
  </si>
  <si>
    <t xml:space="preserve">SBC 1149</t>
  </si>
  <si>
    <t xml:space="preserve">SBC 1188</t>
  </si>
  <si>
    <t xml:space="preserve">SCA 8053 FL</t>
  </si>
  <si>
    <t xml:space="preserve">SCA 8053 FR</t>
  </si>
  <si>
    <t xml:space="preserve">SCA 8060 FL</t>
  </si>
  <si>
    <t xml:space="preserve">SCA 8060 FR</t>
  </si>
  <si>
    <t xml:space="preserve">SCC 2010</t>
  </si>
  <si>
    <t xml:space="preserve">SCC 2017</t>
  </si>
  <si>
    <t xml:space="preserve">SCC 2029</t>
  </si>
  <si>
    <t xml:space="preserve">SCC 2063</t>
  </si>
  <si>
    <t xml:space="preserve">SCC 2067</t>
  </si>
  <si>
    <t xml:space="preserve">SCC 2078</t>
  </si>
  <si>
    <t xml:space="preserve">SFC 7034</t>
  </si>
  <si>
    <t xml:space="preserve">SOC 9002</t>
  </si>
  <si>
    <t xml:space="preserve">SOC 9025</t>
  </si>
  <si>
    <t xml:space="preserve">SOC 9031</t>
  </si>
  <si>
    <t xml:space="preserve">SSC 3042</t>
  </si>
  <si>
    <t xml:space="preserve">SWC 5013</t>
  </si>
  <si>
    <t xml:space="preserve">SWC 5018</t>
  </si>
  <si>
    <t xml:space="preserve">SCC 2003</t>
  </si>
  <si>
    <t xml:space="preserve">AK</t>
  </si>
  <si>
    <t xml:space="preserve">Aplicação</t>
  </si>
  <si>
    <t xml:space="preserve">Conversões</t>
  </si>
  <si>
    <t xml:space="preserve">Observações</t>
  </si>
  <si>
    <t xml:space="preserve">FORD: Ka 1.0 8V Endura 97/99
FORD: Ka 1.0 8V Zetec Rocam 99/07
FORD: Ka 1.3 8V Endura 97/99</t>
  </si>
  <si>
    <t xml:space="preserve">1035528 (OEM)
97KB2005AA (OEM)
97KB2005AB (OEM)
97KB2005AE (OEM)
97KU2005AA (OEM)
97KU2005AB (OEM)
C5638 (CONTROIL)
RCSF00970 (TRW)</t>
  </si>
  <si>
    <t xml:space="preserve">Ø 200,00 mm
Sistema ATE</t>
  </si>
  <si>
    <t xml:space="preserve">GM: Cobalt 1.4 8V 17/...
GM: Cobalt 1.8 8V 15/...
GM: Onix 1.0 12V 3 cil. Aspirado 19/...
GM: Onix 1.0 12V 3 cil. Turbo 19/...
GM: Onix 1.0 8V 12/16
GM: Onix 1.4 8V 12/16
GM: Onix 1.4 8V 16/...
GM: Prisma 1.4 8V 13/16</t>
  </si>
  <si>
    <t xml:space="preserve">52019450 (OEM)
C5677 (CONTROIL)</t>
  </si>
  <si>
    <t xml:space="preserve">Ø 230,00 mm</t>
  </si>
  <si>
    <t xml:space="preserve">GM: Onix 1.0 12V 3 cil. Turbo 19/...
GM: Tracker 1.0 12V 3 cil. Turbo 20/...</t>
  </si>
  <si>
    <t xml:space="preserve">897001582 (OEM)
C5683 (CONTROIL)</t>
  </si>
  <si>
    <t xml:space="preserve">GM: Chevette 1.0 8V 92/93
GM: Chevette 1.6 8V 87/94
GM: Chevy 1.6 8V 87/92
GM: Marajo 1.6 8V 87/90</t>
  </si>
  <si>
    <t xml:space="preserve">5420 (ATE)
5798 (ATE)
94656135 (OEM)
C5616 (CONTROIL)</t>
  </si>
  <si>
    <t xml:space="preserve">Ø 200,00 mm
Sistem Varga</t>
  </si>
  <si>
    <t xml:space="preserve">VOLKSWAGEN: Gol 1.0 16V Turbo 00/01
VOLKSWAGEN: Parati 1.0 16V Turbo 00/01</t>
  </si>
  <si>
    <t xml:space="preserve">C5665 (CONTROIL)
SF2623 (BOSCH)</t>
  </si>
  <si>
    <t xml:space="preserve">Ø 230,00</t>
  </si>
  <si>
    <t xml:space="preserve">SEAT: Cordoba 1.6 8V 99/00
SEAT: Cordoba 1.8 8V 94/02
SEAT: Ibiza 1.0 16V 99/02
SEAT: Ibiza 1.6 8V 99/02
SEAT: Ibiza 1.8 8V 94/99
SEAT: Inca 1.6 8V 99/02
VOLKSWAGEN: Polo Classic 1.8 8V 96/03
VOLKSWAGEN: Van 1.6 8V 98/03</t>
  </si>
  <si>
    <t xml:space="preserve">204125262 (BOSCH)
6K161207F (OEM)
6K161207G (OEM)
6K1612107G (OEM)
C5643 (CONTROIL)</t>
  </si>
  <si>
    <t xml:space="preserve">GM: Ipanema 1.8 8V Sist. ATE 91/97
GM: Ipanema 2.0 8V Sist. ATE 91/97
GM: Ipanema 2.0 8V Sist. Bosch 91/97
GM: Kadett 1.8 8V Sist. Varga 89/97
GM: Kadett 2.0 8V Sist. Varga 91/97</t>
  </si>
  <si>
    <t xml:space="preserve">52256123 (OEM)
52286809 (OEM)
6436 (ATE)
C5614 (CONTROIL)
NKF10014 (NAKATA)
RCSF00611 (TRW)
SF3956 (BOSCH)</t>
  </si>
  <si>
    <t xml:space="preserve">Ø 200,00 mm</t>
  </si>
  <si>
    <t xml:space="preserve">HONDA: HRV 1.5 16V Turbo 19/...
HONDA: HRV 1.8 16V 15/22</t>
  </si>
  <si>
    <t xml:space="preserve">C5686 (CONTROIL)
NM230V74 (OEM)</t>
  </si>
  <si>
    <t xml:space="preserve">GM: Chevette 1.4 8V 77/86
GM: Chevette 1.6 8V 82/86
GM: Chevy 1.6 8V 83/86
GM: Marajo 1.6 8V 82/86</t>
  </si>
  <si>
    <t xml:space="preserve">2252624 (OEM)
2253417 (OEM)
94622158 (OEM)
C5602 (CONTROIL)
SF3417 (BOSCH)</t>
  </si>
  <si>
    <t xml:space="preserve">Ø 216,00 mm</t>
  </si>
  <si>
    <t xml:space="preserve">AGRALE: 1600 A 2.5 L 8V SOHC L4 Sist. Varga 86/89
AGRALE: 1600 D SERIE 229 3.0 L 6V SOHV L3 Sist. Varga 86/89
AGRALE: 1600 D SERIE 229 3.9 L 8V SOHV L4 Sist. ATE 86/89
AGRALE: 1800 D Q20B 3.9 L 8V SOHV L4 Sist. ATE 88/89
AGRALE: 1800 D SERIE 229 3.9 L 8V SOHV L4 Sist. ATE 88/89
GM: A10 4.1 12V 6 cil. Sist. ATE 85/88
GM: A20 4.1 12V 6 cil. Sist. ATE 85/88
GM: A20 4.1 12V 6 cil. Sist. Varga 85/88
GM: C20 4.1 12V 6 cil. Sist. Varga 85/89</t>
  </si>
  <si>
    <t xml:space="preserve">6442 (ATE)
94632228 (OEM)
C5621 (CONTROIL)
RCSF00060 (TRW)
SF3646 (BOSCH)</t>
  </si>
  <si>
    <t xml:space="preserve">FORD: Ka 1.0 8V Zetec Rocam 01/07
FORD: Ka 1.6 8V Zetec Rocam 01/07</t>
  </si>
  <si>
    <t xml:space="preserve">7893049567138 (OEM)
C5671 (CONTROIL)</t>
  </si>
  <si>
    <t xml:space="preserve">GM: Celta 1.0 8V 09/14
GM: Prisma 1.0 8V 09/11
GM: Prisma 1.4 8V 06/13</t>
  </si>
  <si>
    <t xml:space="preserve">93354199 (OEM)
C5668 (CONTROIL)
RCSF01550 (TRW)</t>
  </si>
  <si>
    <t xml:space="preserve">FIAT: Palio 1.0 8V FIASA 96/97</t>
  </si>
  <si>
    <t xml:space="preserve">5868 (ATE)
7078632 (OEM)
C5651 (CONTROIL)</t>
  </si>
  <si>
    <t xml:space="preserve">Ø 200,00 mm
Somente modelos com ABS</t>
  </si>
  <si>
    <t xml:space="preserve">VOLKSWAGEN: Gol 1.0 16V AT 02/05
VOLKSWAGEN: Gol 1.0 8V AT 02/05
VOLKSWAGEN: Gol 1.0 8V EA111 02/05
VOLKSWAGEN: Gol 1.0 8V EA111 13/14
VOLKSWAGEN: Gol 1.6 8V AP 06/08
VOLKSWAGEN: Parati 1.6 8V AP 03/12
VOLKSWAGEN: Parati 1.8 8V AP 05/08
VOLKSWAGEN: Saveiro 1.6 8V AP 03/05
VOLKSWAGEN: Saveiro 1.8 8V AP 05/09</t>
  </si>
  <si>
    <t xml:space="preserve">5X0612105 (OEM)
C5661 (CONTROIL)
RCSF01510 (TRW)
SF2833 (BOSCH)</t>
  </si>
  <si>
    <t xml:space="preserve">FIAT: Duna 1.6 8V SEVEL Sist. Varga/Bosch 94/95
FIAT: Elba 1.5 8V FIASA Sist. Varga/Bosch 92/96
FIAT: Fiorino 1.3 8V FIASA Sist. Varga/Bosch 92/93
FIAT: Fiorino 1.5 8V FIASA Sist. Varga/Bosch 92/93
FIAT: Fiorino 1.5 8V SEVEL Sist. Varga/Bosch 92/93
FIAT: Premio 1.5 8V FIASA Sist. Varga/Bosch 92/94
FIAT: Premio 1.6 8V SEVEL Sist. Varga/Bosch 93/94
FIAT: Uno 1.5 8V FIASA Sist. ATE 93/96
FIAT: Uno 1.5 8V FIASA Sist. Bosch 93/96
FIAT: Uno 1.6R MPI 8V SEVEL Sist. ATE 93/94
FIAT: Uno Turbo 1.4 8V Turbo Sist. Bosch 94/95</t>
  </si>
  <si>
    <t xml:space="preserve">204032347 (BOSCH)
5558 (ATE)
5764 (ATE)
7074724 (OEM)
7075450 (OEM)
C5613 (CONTROIL)</t>
  </si>
  <si>
    <t xml:space="preserve">TOYOTA: Bandeirante OJ 50L 3.8 L 8V SOHV L4 OM314 Sist. ATE/Bosch 83/86
TOYOTA: Bandeirante OJ 50LVB 3.8 L 8V SOHV L4 OM314 Sist. ATE/Bosch 83/86
TOYOTA: Bandeirante OJ 55LPB 3.8 L 8V SOHV L4 OM314 Sist. ATE/Bosch 83/86</t>
  </si>
  <si>
    <t xml:space="preserve">44610-98001C (OEM)
C5633 (CONTROIL)
RCSF00719 (TRW)</t>
  </si>
  <si>
    <t xml:space="preserve">HONDA: Fit 1.4 16V 03/08
HONDA: Fit 1.5 16V 03/08</t>
  </si>
  <si>
    <t xml:space="preserve">01469SAAG50 (OEM)
C5679 (CONTROIL)</t>
  </si>
  <si>
    <t xml:space="preserve">Ø 230,00 mm
Modelos com e sem ABS</t>
  </si>
  <si>
    <t xml:space="preserve">FORD: Belina II 1.6 8V CHT 83/89
FORD: Corcel II 1.6 8V CHT 80/83
FORD: Del Rey 1.6 8V CHT 81/89
FORD: Del Rey 1.8 8V AP 89/91
FORD: Pampa 1.6 8V AP 93/96
FORD: Pampa 1.6 8V CHT 83/89
FORD: Pampa 1.8 8V AP 93/97</t>
  </si>
  <si>
    <t xml:space="preserve">6433 (ATE)
89EU2055AA (OEM)
BE1M2005B (OEM)
BF0E2005A (OEM)
C5601 (CONTROIL)
RCSF00180 (TRW)</t>
  </si>
  <si>
    <t xml:space="preserve">MITSUBISHI: L200 2.5 8V 4D56 94/96
MITSUBISHI: L200 2.5 8V 4D56 97/03
MITSUBISHI: L200 Sport 2.5 8V 4D56 97/03</t>
  </si>
  <si>
    <t xml:space="preserve">C5663 (CONTROIL)
MB618976 (OEM)</t>
  </si>
  <si>
    <t xml:space="preserve">GM: Corsa Sedan / Wagon 1.6 16V 97/98</t>
  </si>
  <si>
    <t xml:space="preserve">5938 (ATE)
93272823 (OEM)
C5647 (CONTROIL)</t>
  </si>
  <si>
    <t xml:space="preserve">VOLKSWAGEN: Santana 2.0 8V AP 94/06</t>
  </si>
  <si>
    <t xml:space="preserve">2265406S (OEM)
C5652 (CONTROIL)
SF5406S (BOSCH)</t>
  </si>
  <si>
    <t xml:space="preserve">Ø 230,00 mm
Modelos com ABS</t>
  </si>
  <si>
    <t xml:space="preserve">FORD: Escort 1.6 8V AP Sist. Varga 94/96
FORD: Escort 1.8 8V AP Sist. Varga 94/96
FORD: Escort 2.0 8V AP Sist. ATE/Bosch 94/96
FORD: Escort XR/XR3 2.0 8V AP Sist. Varga 94/96
FORD: Verona 1.8 8V AP Sist. ATE/Bosch 94/96
FORD: Verona 2.0 8V AP Sist. ATE/Bosch 94/96
VOLKSWAGEN: Logus 1.6 8V AP Sist. ATE/Bosch 94/96
VOLKSWAGEN: Logus 1.8 8V AP Sist. ATE/Bosch 94/96
VOLKSWAGEN: Logus 2.0 8V AP Sist. ATE/Bosch 94/96
VOLKSWAGEN: Pointer 1.8 8V AP Sist. ATE/Bosch 94/96
VOLKSWAGEN: Pointer 2.0 8V AP Sist. ATE/Bosch 94/96
VOLKSWAGEN: Pointer GTI 2.0 8V AP Sist. ATE/Bosch 94/96</t>
  </si>
  <si>
    <t xml:space="preserve">547612907A (OEM)
C5623 (CONTROIL)
RCSF00816 (TRW)</t>
  </si>
  <si>
    <t xml:space="preserve">FIAT: Argo 1.0 6V 3 cil. Firefly 19/...
FIAT: Argo 1.3 8V Firefly 17/...
FIAT: Argo 1.8 16V Etorq 17/21
FIAT: Cronos 1.0 6V 3 cil. Firefly c/ ABS 22/...
FIAT: Cronos 1.3 8V Firefly 18/22
FIAT: Cronos 1.3 8V Firefly 22/...
FIAT: Cronos 1.8 16V Etorq 19/22
FIAT: Fiorino 1.4 8V Fire Evo 20/...
FIAT: Fiorino 1.4 8V Fire Evo c/ ABS 13/20
FIAT: Fiorino 1.4 8V Fire Evo c/ ABS 16/20
FIAT: Grand Siena 1.4 8V Fire Evo c/ ABS 13/20
FIAT: Grand Siena 1.6 16V Etorq c/ ABS 13/18
FIAT: Mobi 1.0 8V Fire Evo c/ ABS 17/...
FIAT: Palio 1.0 8V Fire 13/16
FIAT: Palio 1.4 8V Fire Evo 14/18
FIAT: Palio 1.6 16V Etorq 12/18
FIAT: Uno 1.0 6V 3 cil. Firefly c/ ABS 17/21
FIAT: Uno 1.0 8V Fire Evo c/ ABS 13/17
FIAT: Uno 1.3 8V Firefly 16/19
FIAT: Uno 1.4 8V Fire Evo c/ ABS 13/14
FIAT: Uno 1.4 8V Fire Evo c/ ABS 14/...
FIAT: Uno 1.4 8V Fire Evo c/ ABS 14/16
FIAT: Uno Mille 10. 8V Fire c/ ABS 13/13
FIAT: Uno Way 1.0 6V 3 cil. Firefly c/ ABS 16/20</t>
  </si>
  <si>
    <t xml:space="preserve">51934114 (OEM)
C5678 (CONTROIL)</t>
  </si>
  <si>
    <t xml:space="preserve">RENAULT: Logan 1.0 12V 3 cil. 19/...
RENAULT: Logan 1.6 16V H4M 17/...
RENAULT: Logan 1.6 8V K7M 15/...
RENAULT: Sandero 1.0 12V 3 cil. 17/...
RENAULT: Sandero 1.0 16V D4D 14/17
RENAULT: Sandero 1.6 16V H4M 17/19
RENAULT: Sandero 1.6 16V K7M 15/16
RENAULT: Sandero 1.6 8V K7M 16/17</t>
  </si>
  <si>
    <t xml:space="preserve">472103385R (OEM)
C5687 (CONTROIL)</t>
  </si>
  <si>
    <t xml:space="preserve">RENAULT: Captur 1.6 16V SCE H4M 16/21
RENAULT: Captur 2.0 16V F4R 16/21
RENAULT: Duster 1.6 16V SCE H4M 11/21
RENAULT: Duster 2.0 16V F4R 11/21
RENAULT: Oroch 1.6 16V SCE H4M 16/21
RENAULT: Oroch 2.0 16V F4R 16/21</t>
  </si>
  <si>
    <t xml:space="preserve">Sistema ATE</t>
  </si>
  <si>
    <t xml:space="preserve">PEUGEOT: 206 1.0 16V D4D 01/04
PEUGEOT: 206 1.4 8V TU3JP 05/09
PEUGEOT: 206 1.6 8V TU5JP4 99/01
PEUGEOT: 207 1.4 8V TU3JP 09/11</t>
  </si>
  <si>
    <t xml:space="preserve">204125605 (BOSCH)
4535J2 (OEM)
6065 (ATE)
C5664 (CONTROIL)</t>
  </si>
  <si>
    <t xml:space="preserve">FIAT: Palio 1.0 8V Fire 03/11
FIAT: Palio 1.0 8V Fire 05/10
FIAT: Palio 1.3 16V 00/03
FIAT: Palio 1.3 8V Fire 02/03
FIAT: Palio 1.4 8V Fire 07/08
FIAT: Palio 1.4 8V Fire Evo 11/17
FIAT: Palio 1.6 16V Etorq 10/17
FIAT: Palio 1.8 8V Powertrain 03/10
FIAT: Palio Weekend 1.3 8V Fire 02/04
FIAT: Palio Weekend 1.4 8V Fire 08/...
FIAT: Palio Weekend 1.6 16V Etorq 10/12
FIAT: Palio Weekend 1.8 8V Powertrain 03/04
FIAT: Palio Weekend Adventure Locker 1.8 16V Etorq 10/12
FIAT: Palio Weekend Adventure Locker 1.8 8V Powertrain 04/08
FIAT: Siena 1.0 16V Fire 00/03
FIAT: Siena 1.0 8V Fire 04/09
FIAT: Siena 1.0 8V Fire 06/10
FIAT: Siena 1.3 16V Fire 00/03
FIAT: Siena 1.4 8V Fire 07/12
FIAT: Siena 1.6 16V Etorq 10/12
FIAT: Siena 1.8 8V Powertrain 07/10
FIAT: Strada 1.3 8V Fire 02/05
FIAT: Strada 1.4 8V Fire 05/12
FIAT: Strada 1.8 16V Etorq 10/12
FIAT: Strada 1.8 8V Powertrain 05/10</t>
  </si>
  <si>
    <t xml:space="preserve">204032385 (BOSCH)
6027 (ATE)
6031 (ATE)
7081979 (OEM)
7082042 (OEM)
C5656 (CONTROIL)
SF2622 (BOSCH)</t>
  </si>
  <si>
    <t xml:space="preserve">GM: Astra 2.0 8V 95/96
GM: Vectra 2.0 8V 94/96
GM: Vectra GSI 2.0 16V 94/96</t>
  </si>
  <si>
    <t xml:space="preserve">3492871 (OEM)
C5642 (CONTROIL)</t>
  </si>
  <si>
    <t xml:space="preserve">FIAT: Palio 1.0 8V FIASA Sist. ATE/Bosch 98/99
FIAT: Palio 1.5 8V FIASA Sust. ATE/Bosch 98/99
FIAT: Palio 1.6 8V SEVEL Sist. ATE/Bosch 98/99
FIAT: Palio Economy 1.5 8V FIASA Sist. ATE/Bosch 99/99
FIAT: Palio Weekend 1.0 8V FIASA Sist. ATE/Bosch 99/99
FIAT: Palio Weekend 1.6 8V SEVEL Sist. ATE/Bosch 99/99
FIAT: Siena 1.6 8V SEVEL Sist. ATE/Bosch 98/99
FIAT: Strada 1.5 8V SEVEL Sist. ATE/Bosch 99/99
FIAT: Strada 1.6 8V FIASA Sist. ATE/Bosch 99/99</t>
  </si>
  <si>
    <t xml:space="preserve">5922 (ATE)
5979 (ATE)
7079575 (OEM)
7081252 (OEM)
C5636 (CONTROIL)
SF9388 (BOSCH)</t>
  </si>
  <si>
    <t xml:space="preserve">FORD: Ecosport 1.6 8V Zetec Rocam c/ ABS 10/12
FORD: Ecosport 2.0 16V 4x4 Duratec c/ ABS 10/12
FORD: Ecosport 2.0 16V Duratec c/ ABS 10/12
FORD: Fiesta 1.0 8V Zetec Rocam c/ ABS 10/14
FORD: Fiesta 1.6 8V Zetec Rocam c/ ABS 10/14</t>
  </si>
  <si>
    <t xml:space="preserve">6938 (ATE)
6S652005AB (OEM)
C5680 (CONTROIL)</t>
  </si>
  <si>
    <t xml:space="preserve">FORD: Courier 1.3 8V Endura Sist. ATE/Bosch 97/99
FORD: Courier 1.4 16V Zetec Sist. ATE/Bosch 97/99
FORD: Courier 1.6 8V Zetec Rocam Sist. ATE/Bosch 07/09
FORD: Courier 1.6 8V Zetec Rocam Sist. ATE/Bosch 99/07
FORD: Fiesta 1.0 8V Endura Sist. ATE/Bosch 96/99
FORD: Fiesta 1.0 8V Zetec Rocam Sist. ATE/Bosch 01/04
FORD: Fiesta 1.3 8V HCS Sist. ATE/Bosch 95/99
FORD: Fiesta 1.6 8V Zetec Rocam Sist. ATE/Bosch 99/05
FORD: Ka 1.6 8V Zetec Rocam Sist. ATE/Bosch 08/14</t>
  </si>
  <si>
    <t xml:space="preserve">6443 (ATE)
96FB2005EF (OEM)
97FU2005AA (OEM)
97FU2005AB (OEM)
986485129 (BOSCH)
C5635 (CONTROIL)
RCSF00960 (TRW)</t>
  </si>
  <si>
    <t xml:space="preserve">RENAULT: Clio 1.6 8V K7M 96/99</t>
  </si>
  <si>
    <t xml:space="preserve">204125153 (BOSCH)
7701204854 (OEM)
7701204857 (OEM)
7702217954 (OEM)
C5655 (CONTROIL)</t>
  </si>
  <si>
    <t xml:space="preserve">GM: Corsa 1.0 16V 99/02
GM: Corsa Sedan 1.0 16V 99/02
GM: Corsa Sedan / Wagon 1.6 16V 98/01</t>
  </si>
  <si>
    <t xml:space="preserve">5957 (ATE)
93289336 (OEM)
C5646 (CONTROIL)</t>
  </si>
  <si>
    <t xml:space="preserve">GM: Corsa 1.0 8V VHC 02/09
GM: Corsa 1.4 8V Econoflex 07/12
GM: Corsa 1.8 8V 02/09
GM: Montana 1.4 8V Econoflex 07/10
GM: Montana 1.8 8V 05/07</t>
  </si>
  <si>
    <t xml:space="preserve">93332849 (OEM)
C5666 (CONTROIL)
RCSF00260 (TRW)</t>
  </si>
  <si>
    <t xml:space="preserve">VOLKSWAGEN: Gol 1.6 8V AP c/ ABS 96/01
VOLKSWAGEN: Gol 1.8 8V AP c/ ABS 00/01
VOLKSWAGEN: Gol GTI 2.0 8V AP c/ ABS 95/99</t>
  </si>
  <si>
    <t xml:space="preserve">377612103B (OEM)
377612103G (OEM)
C5650 (CONTROIL)
SF5342S (BOSCH)</t>
  </si>
  <si>
    <t xml:space="preserve">PEUGEOT: 206 1.6 16V TU5JP4 01/08
PEUGEOT: 207 1.6 16V TU5JP4 08/13</t>
  </si>
  <si>
    <t xml:space="preserve">4535T3 (OEM)
4535T4 (OEM)
6069 (ATE)
C5670 (CONTROIL)</t>
  </si>
  <si>
    <t xml:space="preserve">GM: Montana 1.4 8V c/ ABS 10/23</t>
  </si>
  <si>
    <t xml:space="preserve">94766503 (OEM)
C5681 (CONTROIL)</t>
  </si>
  <si>
    <t xml:space="preserve">GM: Classic 1.0 8V VHC 02/08
GM: Corsa 1.0 8V 98/02
GM: Corsa 1.6 8V 98/02
GM: Corsa Sedan / Wagon 1.6 8V 98/02</t>
  </si>
  <si>
    <t xml:space="preserve">93289378 (OEM)
C5641 (CONTROIL)
NKF10041 (NAKATA)</t>
  </si>
  <si>
    <t xml:space="preserve">VOLKSWAGEN: Gol 1.0 8V EA111 12/16
VOLKSWAGEN: Gol 1.6 16V EA211 14/15
VOLKSWAGEN: Gol 1.6 8V EA111 08/16
VOLKSWAGEN: Gol 1.6 8V EA111 12/16
VOLKSWAGEN: Gol 1.6 8V EA111c/ ABS Sist. Bosch 15/15
VOLKSWAGEN: Voyage 1.0 12V 3 cil. EA211 16/18
VOLKSWAGEN: Voyage 1.0 12V 3 cil. EA211 19/...
VOLKSWAGEN: Voyage 1.6 16V MSI EA211 c/ ABS Sist. Bosch 18/21
VOLKSWAGEN: Voyage 1.6 8V EA111 14/18</t>
  </si>
  <si>
    <t xml:space="preserve">5Z1614105AN (OEM)
C5676 (CONTROIL)</t>
  </si>
  <si>
    <t xml:space="preserve">VOLKSWAGEN: Gol 1.0 16V EA111 AT 97/99
VOLKSWAGEN: Gol 1.0 16V EA111 AT 99/05
VOLKSWAGEN: Gol 1.0 16V Power EA111 AT 99/05
VOLKSWAGEN: Gol 1.0 16V Turbo EA111 AT 00/03
VOLKSWAGEN: Gol 1.0 8V EA111 99/01
VOLKSWAGEN: Gol 1.0 8V EA111 AT 99/05
VOLKSWAGEN: Gol 1.0 8V Power EA111 99/01
VOLKSWAGEN: Gol GTI 2.0 16V AP 96/99
VOLKSWAGEN: Gol GTI 2.0 16V AP 99/02
VOLKSWAGEN: Gol GTI 2.0 8V AP 94/96
VOLKSWAGEN: Parati 1.6 8V AP 96/99
VOLKSWAGEN: Parati 1.8 8V AP 96/99
VOLKSWAGEN: Parati 2.0 16V AP 96/99
VOLKSWAGEN: Parati 2.0 16V AP 99/00
VOLKSWAGEN: Saveiro 1.6 8V AP 97/00
VOLKSWAGEN: Saveiro 2.0 8V AP 97/00</t>
  </si>
  <si>
    <t xml:space="preserve">377612103H (OEM)
377612103K (OEM)
C5658 (CONTROIL)
SF2613 (BOSCH)
SF5399S (BOSCH)</t>
  </si>
  <si>
    <t xml:space="preserve">VOLKSWAGEN: Crossfox 1.6 8V EA111 05/14
VOLKSWAGEN: Fox 1.0 12V 3 cil. EA111 13/14
VOLKSWAGEN: Fox 1.0 8V EA111 03/13
VOLKSWAGEN: Fox 1.0 8V EA111 05/08
VOLKSWAGEN: Fox 1.0 8V EA111 13/14
VOLKSWAGEN: Fox 1.6 8V EA111 03/05
VOLKSWAGEN: Fox 1.6 8V EA111 05/08
VOLKSWAGEN: Fox 1.6 8V EA111 08/15
VOLKSWAGEN: Gol 1.0 8V EA111 08/13
VOLKSWAGEN: Gol 1.6 8V EA111 11/14
VOLKSWAGEN: Gol 1.6 8V Power EA111 08/12
VOLKSWAGEN: Saveiro 1.6 8V EA111 09/13
VOLKSWAGEN: Voyage 1.6 8V EA111 08/16</t>
  </si>
  <si>
    <t xml:space="preserve">5Z1612105N (OEM)
5Z1614105H (OEM)
C5675 (CONTROIL)</t>
  </si>
  <si>
    <t xml:space="preserve">GM: A10 2.5 8V Sist. Varga 80/94
GM: A10 4.1 12V 6 cil. Sist. Varga 80/84
GM: C10 4.1 12V 6 cil. Sist. Varga 79/84
GM: D10 3.9 8V 79/83
GM: D10 3.9 8V 84/94
GM: Veraneio 2.5 8V Sist. Varga 80/88
GM: Veraneio 4.1 12V 6 cil. Sist. Varga 80/88</t>
  </si>
  <si>
    <t xml:space="preserve">6440 (ATE)
9300514 (OEM)
C5618 (CONTROIL)
NKF10018 (NAKATA)
SF3245 (BOSCH)</t>
  </si>
  <si>
    <t xml:space="preserve">FORD: Ecosport 1.0 8V Zetec Rocam 03/06
FORD: Ecosport 1.6 8V Zetec Rocam 03/07
FORD: Ecosport 1.6 8V Zetec Rocam 05/12
FORD: Ecosport 2.0 16V Duratec 03/12
FORD: Fiesta 1.0 8V Zetec Rocam 04/14
FORD: Fiesta 1.6 8V Zetec Rocam 07/14
FORD: Fiesta Sedan 1.0 8V Zetec Rocam 06/10</t>
  </si>
  <si>
    <t xml:space="preserve">2N152005DA (OEM)
2S652005AA (OEM)
6162 (ATE)
6164 (ATE)
C5667 (CONTROIL)</t>
  </si>
  <si>
    <t xml:space="preserve">GM: Astra 2.0 8V Sist. ATE/Bosch 95/96
GM: Calibra 2.0 16V Sist. ATE/Bosch 93/95
GM: Vectra 2.0 8V Sist. ATE/Bosch 93/96
GM: Vectra GSI 2.0 16V Sist. ATE/Bosch 93/96</t>
  </si>
  <si>
    <t xml:space="preserve">5702 (ATE)
90297374 (OEM)
90487038 (OEM)
986485108 (BOSCH)
986485125 (BOSCH)
C5632 (CONTROIL)
NKF10032 (NAKATA)</t>
  </si>
  <si>
    <t xml:space="preserve">FORD: Escort 1.6 8V CHT Sist. ATE/Bosch 93/96
FORD: Escort 1.8 8V AP Sist. ATE/Bosch 94/95
FORD: Escort 2.0 8V AP Sist. ATE/Bosch 93/96
FORD: Escort Hobby 1.0 8V CHT Sist. ATE/Bosch 93/96
FORD: Escort XR/XR3 2.0 8V AP Sist. ATE/Bosch 94/96
FORD: Verona 1.8 8V AP Sist. ATE/Bosch 93/96
FORD: Verona 2.0 8V AP Sist. ATE/Bosch 94/96
VOLKSWAGEN: Logus 1.6 8V AP Sist. ATE/Bosch 93/94
VOLKSWAGEN: Logus 1.8 8V AP Sist. ATE/Bosch 92/94
VOLKSWAGEN: Logus 2.0 8V AP Sist. ATE/Bosch 94/96
VOLKSWAGEN: Pointer 1.8 8V AP Sist. ATE/Bosch 93/96
VOLKSWAGEN: Pointer 2.0 8V AP Sist. ATE/Bosch 94/96
VOLKSWAGEN: Pointer GTI 2.0 8V AP Sist. ATE/Bosch 94/96</t>
  </si>
  <si>
    <t xml:space="preserve">547612907 (OEM)
6444 (ATE)
C5624 (CONTROIL)
NKF10024 (NAKATA)
RCSF00816 (TRW)
SF5099S (BOSCH)
SF5102 (BOSCH)</t>
  </si>
  <si>
    <t xml:space="preserve">GM: Chevette 1.6 8V 88/94
GM: Chevette Junior 1.0 8V 92/93
GM: Chevy 1.6 8V 87/92
GM: Marajo 1.6 8V 87/90</t>
  </si>
  <si>
    <t xml:space="preserve">52273077 (OEM)
C5619 (CONTROIL)
SF3842 (BOSCH)</t>
  </si>
  <si>
    <t xml:space="preserve">FORD: Royale 1.8 8V AP Sist. Varga/Bosch 92/96
FORD: Royale 2.0 8V AP Sist. Varga/Bosch 92/96
FORD: Versailles 1.8 8V AP Sist. varga/Bosch 91/96
FORD: Versailles 2.0 8V AP Sist. Varga/Bosch 91/96
VOLKSWAGEN: Quantum 1.8 8V AP Sist. Varga/Bosch 98/01
VOLKSWAGEN: Quantum 1.8 8V AP Sist. Varga/Bosch 99/01
VOLKSWAGEN: Quantum 1.8 8V AP Sist. Varga/Bosh 85/94
VOLKSWAGEN: Quantum 2.0 8V AP Sis.t Varga/Bosch 85/93
VOLKSWAGEN: Quantum 2.0 8V AP Sist. Varga/Bosch 93/96
VOLKSWAGEN: Quantum 2.0 8V AP Sist. Varga/Bosch 98/00
VOLKSWAGEN: Santana 1.8 8V AP Sist. Varga/Bosch 98/06
VOLKSWAGEN: Santana 2.0 8V AP Sist. Bosch 97/98
VOLKSWAGEN: Santana 2.0 8V AP Sist. Varga/Bosch 93/96
VOLKSWAGEN: Santana 2.0 8V AP Sist. Varga/Bosch 98/06</t>
  </si>
  <si>
    <t xml:space="preserve">0986485102 (BOSCH)
3256121072 (OEM)
3256121077 (OEM)
3256121078 (OEM)
3316121071 (OEM)
6435 (ATE)
C5608 (CONTROIL)
NKF10008 (NAKATA)
RCSF00565 (TRW)</t>
  </si>
  <si>
    <t xml:space="preserve">GM: Astra 1.8 8V 99/01
GM: Astra 2.0 16V 99/05
GM: Astra 2.0 8V 04/09
GM: Astra 2.0 8V 98/04</t>
  </si>
  <si>
    <t xml:space="preserve">93288930 (OEM)
93364004 (OEM)
C5660 (CONTROIL)
RCSF00230 (TRW)</t>
  </si>
  <si>
    <t xml:space="preserve">Ø 230,00 mm
S/ ABS</t>
  </si>
  <si>
    <t xml:space="preserve">GM: Corsa 1.0 8V Sist. Varga 94/96
GM: Corsa 1.4 8V Sist. Varga 94/96
GM: Corsa 1.6 16V Sist. Varga 95/96
GM: Corsa 1.6 8V Sist. Varga 95/98</t>
  </si>
  <si>
    <t xml:space="preserve">5644 (ATE)
5824 (ATE)
93235561 (OEM)
C5622 (CONTROIL)
NKF10022 (NAKATA)</t>
  </si>
  <si>
    <t xml:space="preserve">FIAT: Fiorino 1.0 8V FIASA Sist. Delco convexo 94/95
FIAT: Fiorino 1.0 8V FIASA Sist. Varga/Teves 94/95
FIAT: Fiorino 1.3 8V Fire Sist. ATE 03/06
FIAT: Fiorino 1.3 8V Fire Sist. ATE 07/13
FIAT: Fiorino 1.4 8V Fire Evo Sist. ATE 13/...
FIAT: Fiorino 1.4 8V Fire Evo Sist. ATE 16/...
FIAT: Fiorino 1.5 8V FIASA Sist. ATE 94/96
FIAT: Fiorino 1.5 8V FIASA Sist. ATE 97/02
FIAT: Fiorino 1.6 8V SEVEL Sist. Varga/Teves 95/96
FIAT: Uno Turbo 1.4 8V Turbo Sist. Varga/Teves 94/95</t>
  </si>
  <si>
    <t xml:space="preserve">5694 (ATE)
7077141 (OEM)
7077392 (OEM)
7078822 (OEM)
C5629 (CONTROIL)
NKF10029 (NAKATA)
SF2608 (BOSCH)
SF5261 (BOSCH)</t>
  </si>
  <si>
    <t xml:space="preserve">RENAULT: Clio 1.0 16V D4D 00/05
RENAULT: Clio 1.0 16V D4D 01/05
RENAULT: Clio 1.0 16V D4D 05/13
RENAULT: Clio 1.6 16V K4M 00/04
RENAULT: Clio 1.6 16V K4M 00/06
RENAULT: Clio 1.6 16V K4M 04/09
RENAULT: Symbol 1.6 16V K4M 09/13</t>
  </si>
  <si>
    <t xml:space="preserve">204125733 (BOSCH)
7701205741 (OEM)
C5662 (CONTROIL)
SF2621 (BOSCH)</t>
  </si>
  <si>
    <t xml:space="preserve">FIAT: Grand Siena 1.0 8V Fire EVO 17/...
FIAT: Grand Siena 1.4 8V Fire EVO 17/...
FIAT: Grand Siena 1.6 16V Etorq 17/...
FIAT: Idea 1.4 8V Fire 05/16
FIAT: Palio 1.0 8V Fire 14/16
FIAT: Palio 1.6 16V Etorq 11/17
FIAT: Palio Weekend 1.6 16V Etorq 12/16
FIAT: Palio Weekend Adventure 1.8 16V Etorq 16/...
FIAT: Palio Weekend Adventure 1.8 16V Etorq 16/17
FIAT: Palio Weekend Adventure Locker 1.8 16V Etorq 12/16
FIAT: Siena 1.0 8V Fire 12/16
FIAT: Siena 1.4 8V Fire 12/16
FIAT: Siena 1.6 16V Etorq 17/18
FIAT: Strada 1.4 8V Fire 14/...
FIAT: Strada 1.6 16V Etorq 12/15
FIAT: Strada 1.8 16V Adventure Locker 14/15
FIAT: Strada 1.8 16V Etorq Adventure 16/...
FIAT: Strada 1.8 16V Etorq Adventure Dualogic 14/15</t>
  </si>
  <si>
    <t xml:space="preserve">6029 (ATE)
6033 (ATE)
6365 (ATE)
7082044 (OEM)
C5657 (CONTROIL)</t>
  </si>
  <si>
    <t xml:space="preserve">FORD: Fiesta 1.3 8V Endura 95</t>
  </si>
  <si>
    <t xml:space="preserve">94FB2005AA (OEM)
986485120 (BOSCH)
C5644 (CONTROIL)</t>
  </si>
  <si>
    <t xml:space="preserve">RENAULT: Logan 1.0 16V D4D 07/14
RENAULT: Logan 1.6 16V K4M 07/13
RENAULT: Logan 1.6 8V K7M 07/13
RENAULT: Sandero 1.0 16V D4D 07/14
RENAULT: Sandero 1.6 16V K4M 07/14
RENAULT: Sandero 1.6 8V K7M 07/14</t>
  </si>
  <si>
    <t xml:space="preserve">6001549118 (OEM)
C5673 (CONTROIL)</t>
  </si>
  <si>
    <t xml:space="preserve">FIAT: Uno Vivace 1.0 8V Fire EVO 10/14</t>
  </si>
  <si>
    <t xml:space="preserve">7087525 (OEM)
C5674 (CONTROIL)</t>
  </si>
  <si>
    <t xml:space="preserve">GM: Celta 1.0 8V 01/02
GM: Celta 1.0 8V VHC 02/08
GM: Celta 1.4 8V 03/06</t>
  </si>
  <si>
    <t xml:space="preserve">6221 (ATE)
93281897 (OEM)
C5659 (CONTROIL)
RCSF00980 (TRW)</t>
  </si>
  <si>
    <t xml:space="preserve">GM: Monza 1.8 8V Sist. Bosch 86/95
GM: Monza 2.0 8V Sist. Bosch 91/96</t>
  </si>
  <si>
    <t xml:space="preserve">52256133 (OEM)
52286810 (OEM)
6437 (ATE)
C5610 (CONTROIL)
NKF10010 (NAKATA)
RCSF00621 (TRW)
SF3950 (BOSCH)</t>
  </si>
  <si>
    <t xml:space="preserve">VOLKSWAGEN: Gol G1 1.0 8V CHT 92/96
VOLKSWAGEN: Gol G1 1.3 8V Motor refrig. ar 80/81
VOLKSWAGEN: Gol G1 1.6 8V AP 85/89
VOLKSWAGEN: Gol G1 1.6 8V AP 93/94
VOLKSWAGEN: Gol G1 1.6 8V CHT 89/94
VOLKSWAGEN: Gol G1 1.6 8V Motor refrig. ar 82/86
VOLKSWAGEN: Gol G1 1.8 8V AP 84/94
VOLKSWAGEN: Gol GT/GTS G1 1.8 8V AP 84/87
VOLKSWAGEN: Parati G1 1.6 8V AP 82/89
VOLKSWAGEN: Parati G1 1.6 8V AP 93/95
VOLKSWAGEN: Parati G1 1.6 8V CHT 89/93
VOLKSWAGEN: Parati G1 1.8 8V AP 88/95
VOLKSWAGEN: Saveiro G1 1.6 8V AP 85/89
VOLKSWAGEN: Saveiro G1 1.6 8V AP 93/97
VOLKSWAGEN: Saveiro G1 1.6 8V Motor refrig. ar 82/86</t>
  </si>
  <si>
    <t xml:space="preserve">3056120513 (OEM)
5258 (ATE)
5847 (ATE)
C5600 (CONTROIL)
NKF10000 (NAKATA)
RCSF00018 (TRW)
RCSF00170 (TRW)
SF9170 (BOSCH)</t>
  </si>
  <si>
    <t xml:space="preserve">FIAT: Uno 1.0 6V Firefly 16/17
FIAT: Uno 1.0 8V Fire 01/13
FIAT: Uno 1.0 8V Fire EVO 14/21
FIAT: Uno 1.3 8V Fire 07/15
FIAT: Uno 1.4 8V Fire EVO 10/14</t>
  </si>
  <si>
    <t xml:space="preserve">6202 (ATE)
7081966 (OEM)
C5649 (CONTROIL)</t>
  </si>
  <si>
    <t xml:space="preserve">TOYOTA: Hilux 2.5 Turbo Diesel 2KD 05/15
TOYOTA: Hilux 3.0 Turbo Diesel 1KD 05/15
TOYOTA: SW4 3.0 Turbo Diesel 1KD 05/15</t>
  </si>
  <si>
    <t xml:space="preserve">Apenas para modelos sem controle de estabilidade</t>
  </si>
  <si>
    <t xml:space="preserve">MITSUBISHI: L200 Outdoor 2.5 8V TD 08/11
MITSUBISHI: L200 Savana 2.5 8V TD 08/11
MITSUBISHI: L200 Sport 2.5 8V TD 03/07</t>
  </si>
  <si>
    <t xml:space="preserve">MITSUBISHI: Pajero Dakar 3.2 16V Diesel 4M41 DI-D 07/13
MITSUBISHI: Pajero Full 3.2 16V Diesel 4M41 DI-D 07/13
MITSUBISHI: Triton 3.2 16V Diesel 4M41 DI-D 07/13
MITSUBISHI: Triton 3.5 V6 24V Flex 6G74 10/13
MITSUBISHI: Triton 3.5 V6 24V Gasolina 6G74 07/13</t>
  </si>
  <si>
    <t xml:space="preserve">GM: Blazer 2.2 EFI 95/98
GM: Blazer 2.2 MPFI 97/00
GM: Blazer 2.4 MPFI 00/12
GM: Blazer 2.5 Diesel 4x4 97/00
GM: Blazer 2.8 Diesel 00/12
GM: Blazer 4.3 V6 MPFI 96/03
GM: S10 2.2 EFI 95/97
GM: S10 2.2 MPFI 97/00
GM: S10 2.4 MPFI 00/12
GM: S10 2.8 Diesel 4x4 00/12
GM: S10 4.3 V6 96/03
TROLLER: T4 2.8 Turbo Diesel NGD 01/05
TROLLER: T4 3.0 Turbo Diesel NGD 99/...
TROLLER: T4 3.2 20V Turbo Diesel 14/...</t>
  </si>
  <si>
    <t xml:space="preserve">0204032381 (BOSCH)
0204032382 (BOSCH)
02040C2062 (BOSCH)
7908449963821 (OEM)
SF2062 (BOSCH)
SF5610S (BOSCH)</t>
  </si>
  <si>
    <t xml:space="preserve">Ø 205,00 mm</t>
  </si>
  <si>
    <t xml:space="preserve">FORD: Transit 2.2 16V Duratorq 08/14
FORD: Transit 2.4 16V Duratorq Puma 08/14</t>
  </si>
  <si>
    <t xml:space="preserve">0204125857 (BOSCH)
0204774973 (BOSCH)
0204774975 (BOSCH)
6C112005BE (OEM)
SF4975 (BOSCH)</t>
  </si>
  <si>
    <t xml:space="preserve">Ø 431,00 MM</t>
  </si>
  <si>
    <t xml:space="preserve">NISSAN: Frontier 2.5 16V YD25DDTi 08/16</t>
  </si>
  <si>
    <t xml:space="preserve">0204844200 (BOSCH)
47210-JR80A (OEM)</t>
  </si>
  <si>
    <t xml:space="preserve">Ø 248,00 mm
Apenas para modelos:
144cv
163cv
172cv</t>
  </si>
  <si>
    <t xml:space="preserve">GM: Classic 1.0 8V VHCE 08/10</t>
  </si>
  <si>
    <t xml:space="preserve">6475 (ATE)
94736008 (OEM)
C5672 (CONTROIL)</t>
  </si>
  <si>
    <t xml:space="preserve">GM: Agile 1.4 8V 11/14</t>
  </si>
  <si>
    <t xml:space="preserve">6949 (ATE)
94757697 (OEM)</t>
  </si>
  <si>
    <t xml:space="preserve">Ø 225,00 MM
C/ ABS
Sistema ATE</t>
  </si>
  <si>
    <t xml:space="preserve">FORD: F250 4.2 16V Cummins 4BTAA 98/12
FORD: F250 4.2 16V MWM 6.07 TCA 98/12
FORD: F250 4.2 V6 Diesel 98/12
FORD: F250 Super Duty 3.9 16V Cummins 98/12
FORD: F250 Super Duty 4.2 V6 Diesel 98/12
FORD: F250 Tropical 4.2 18V MWM 6.07TCA 04/12
FORD: F250 Tropical 4.2 V6 Diesel 98/12
FORD: F350 3.9 16V Cummins 4BTAA 98/19
FORD: F350 3.9 8V Cummins 4bTAA 98/19
FORD: F4000 2.9 8V MWM 229/4 98/19
FORD: F4000 3.9 8V Cummins 4BTT 98/19</t>
  </si>
  <si>
    <t xml:space="preserve">1C3Z2005AA (OEM)
5C7Z2005B (OEM)
7C3Z2005A (OEM)</t>
  </si>
  <si>
    <t xml:space="preserve">MITSUBISHI: Pajero IO 1.8 16V 4G93 99/02
MITSUBISHI: Pajero TR4 2.0 16V 00/…
MITSUBISHI: Pajero TR4 2.0 20V 4G94 04/…</t>
  </si>
  <si>
    <t xml:space="preserve">FORD: Edge 3.5 V6 11/14</t>
  </si>
  <si>
    <t xml:space="preserve">HONDA: New Civic 1.8 16V 07/11
HONDA: New Civic 1.8 16V 12/16
HONDA: New Civic 2.0 16V 13/16</t>
  </si>
  <si>
    <t xml:space="preserve">Ø 240,00 mm</t>
  </si>
  <si>
    <t xml:space="preserve">HYUNDAI: HR 2.5 16V Diesel 13/22
KIA: Bongo K2500 2.5 16V Diesel 13/22</t>
  </si>
  <si>
    <t xml:space="preserve">MERCEDES-BENZ: Sprinter 311 2.2 CDI OM651 12/17
MERCEDES-BENZ: Sprinter 415 2.2 CDI OM651 12/19
MERCEDES-BENZ: Sprinter 515 2.2 CDI OM651 12/19</t>
  </si>
  <si>
    <t xml:space="preserve">9064301408 (OEM)
A9064301408 (OEM)
A9064301408Q9 (OEM)</t>
  </si>
  <si>
    <t xml:space="preserve">MERCEDES-BENZ: Sprinter 311 CDI 2.2 16V Diesel OM611 02/12
MERCEDES-BENZ: Sprinter 313 CDI 2.2 16V Diesel OM611 02/12
MERCEDES-BENZ: Sprinter 411 CDI 2.2 16V Diesel OM611 02/12
MERCEDES-BENZ: Sprinter 413 CDI 2.2 16V Diesel OM611 02/12</t>
  </si>
  <si>
    <t xml:space="preserve">0004311827 (OEM)
A0004311827 (OEM)
A0014300008 (OEM)
A0014300308 (OEM)</t>
  </si>
  <si>
    <t xml:space="preserve">RENAULT: Master 2.3 16V Turbo 13/24</t>
  </si>
  <si>
    <t xml:space="preserve">472100453R (OEM)
472109102R (OEM)</t>
  </si>
  <si>
    <t xml:space="preserve">Ø 260,00 mm</t>
  </si>
  <si>
    <t xml:space="preserve">RENAULT: Master 2.5 16V G9U 05/12
RENAULT: Master 2.8 8V 03/06</t>
  </si>
  <si>
    <t xml:space="preserve">7701208175 (OEM)
8200883919 (OEM)</t>
  </si>
  <si>
    <t xml:space="preserve">AUDI: A3 1.8 TFSI BZB/CABD Gasolina 07/08
VOLKSWAGEN: Eos 2.0 FSI CCTA 08/15
VOLKSWAGEN: Tiguan 2.0 TSI CAWB 09/12</t>
  </si>
  <si>
    <t xml:space="preserve">0261520055 (OEM)
0261520472 (BOSCH)
06h127025E (OEM)
06H127025G (OEM)
06H127025K (OEM)
06H127025M (OEM)
06H127025N (OEM)
06H127025Q (OEM)
06H127025R (OEM)</t>
  </si>
  <si>
    <t xml:space="preserve">Necessário verificar no veículo a tubulação de alta pressão para o rail, deve ser aplicado com adaptadores do fabricante do veículo caso necessário.</t>
  </si>
  <si>
    <t xml:space="preserve">BMW: 116i 1.6 16V N13B16A 09/12-02/14
BMW: 118i 1.6 16V N13B16A 11/12-02/14
BMW: 316i 1.6 16V N13B16A 07/12-02/14</t>
  </si>
  <si>
    <t xml:space="preserve">0261520149 (BOSCH)
0261520150 (BOSCH)
13517607159 (OEM)</t>
  </si>
  <si>
    <t xml:space="preserve">BMW: 125i (F20) 2.0 16V N20B20 12/16
BMW: 125i (F21) 2.0 16V N20B20 12/16
BMW: 320i 2.0 16V N20B20 12/16
BMW: 320i (F30/F80) 2.0 16V N20B20 11/...
BMW: 320i GT (F34) 2.0 16v N20B20 12/16
BMW: 328i 2.0 16V N20B20A 12/16
BMW: 420i (F32/F82) 2.0 16V N20B20 11/...
BMW: 428i (F32/F82) 2.0 16V N20B20A 13/...
BMW: 520i (F10/F18) 2.0 16V N20B20A 10/16
BMW: 528i (F10/F18) 2.0 16V N20B20A 10/16
BMW: X1 (E84) sDrive 16i 1.6 16V N20B20A 13/15
BMW: X1 (E84) sDrive 20i 2.0 16V N20B20A 11/15
BMW: X1 (E84) xDrive 20i 2.0 16V N20B20A 11/15
BMW: X1 (E84) xDrive 28i 2.0 16V N20B20A 11/15
BMW: X3 (F25) xDrive 20i 2.0 16V N20B20A 11/...
BMW: X3 (F25) xDrive 28i 2.0 16V N20B20A 11/...
BMW: Z4 (E89) sDrive 18i 2.0 16V N20B20A 13/...
BMW: Z4 (E89) sDrive 20i 2.0 16V N20B20 11/...</t>
  </si>
  <si>
    <t xml:space="preserve">0261520147 (BOSCH)
0261520148 (BOSCH)
13517584461 (OEM)</t>
  </si>
  <si>
    <t xml:space="preserve">Não se aplica em veículos flex</t>
  </si>
  <si>
    <t xml:space="preserve">BMW: 125i (F20/F21) 2.0 16V N20B20 11/18
BMW: 220i (F22) 2.0 16V N20B20 13/18
BMW: 220i (F23) 2.0 16V N20B20 14/18
BMW: 228i (F22) 2.0 16V N20B20 14/18
BMW: 228i (F23) 2.0 16V N20B20 14/18
BMW: 320i (F30/F80) 2.0 16V N20B20 11/18
BMW: 320i (F31) 2.0 16V N20B20 12/15
BMW: 320i GT (F34) 2.0 16v N20B20 12/16
BMW: 328i (F31) 2.0 16V N20B20 12/16
BMW: 420i (F32/F82) 2.0 16V N20B20 13/18
BMW: 420i (F36) 2.0 16V N20B20 14/18
BMW: 428i (F32/F82) 2.0 16V N20B20 13/18
BMW: 428i (F36) 2.0 16V N20B20 14/18
BMW: 520i (F10/F18) 2.0 16V N20B20 10/16
BMW: 520i (F11) 2.0 16V N20B20 10/...
BMW: 528i (F10/F18) 2.0 16V N20B20 10/16
BMW: 528i (F11) 2.0 16V N20B20 11/...
BMW: X1 (E84) sDrive 16i 1.6 16V N20B20 13/15
BMW: X1 (E84) sDrive 20i 2.0 16V N20B20 11/15
BMW: X1 (E84) xDrive 28i 2.0 16V N20B20 11/15
BMW: X3 (F25) sDrive 20i 2.0 16V N20B20 14/18
BMW: X3 (F25) xDrive 28i 2.0 6V N20B20 11/18
BMW: X4 (F26) xDrive 20i 2.0 16V N20B20 14/18
BMW: X4 (F26) xDrive 28i 2.0 16V N20B20 14/18
BMW: X5 (F15/F85) xDrive 40e 2.0 16V N20B20 15/18
BMW: Z4 (E89) sDrive 18i 2.0 16V N20B20 13/18
BMW: Z4 (E89) sDrive 20i 2.0 16V N20B20 11/18</t>
  </si>
  <si>
    <t xml:space="preserve">0261520281 (BOSCH)
0261520282 (BOSCH)
13518604229 (OEM)</t>
  </si>
  <si>
    <t xml:space="preserve">BMW: 116i (F20) 1.6 16V N13B16A 10/...
BMW: 116i (F21) 1.6 16V N13B16A 11/...
BMW: 118i (F20) 1.6 16V N13B16A 10/...
BMW: 118i (F21) 1.6 16V N13B16A 12/...
BMW: 120i (F20) 2.0 16V N13B16A 15/...
BMW: 120i (F21) 2.0 16V N13B16A 15/...
BMW: 316i (F30/F80) 1.6 16V N13B16A 12/16
BMW: 320i (F30/F80) 1.6 16V N13B16A 12/16</t>
  </si>
  <si>
    <t xml:space="preserve">0261520287 (BOSCH)
0261520288 (BOSCH)
13518605103 (OEM)</t>
  </si>
  <si>
    <t xml:space="preserve">FORD: Fusion 2.0 16V Turbo Ecoboost 13/...
JAGUAR: F-Pace 2.0 Turbo Gasolina 204PT 16/...
LAND ROVER: Discovery Sport 2.0 Turbo Gasolina 204PT 14/...
LAND ROVER: Evoque 2.0 Turbo Gasolina 204PT 11/19
LAND ROVER: Freelander 2 2.0 Turbo Gasolina 204PT 06/14
VOLVO: S60 2.0 T5 B4204T7 10/18
VOLVO: XC60 T5 2.0 20V Turbo 5 cil B4204T7 08/17</t>
  </si>
  <si>
    <t xml:space="preserve">1682260 (OEM)
31359675 (OEM)
5162174 (OEM)
AG9E9D376AA (OEM)
AG9E9D376AB (OEM)
AG9G9350BB (OEM)
LR025599 (OEM)</t>
  </si>
  <si>
    <t xml:space="preserve">CITROEN: C4 / C4 Picasso 1.6 16V / 1.6 16V THP EP6 / EP6DT 14/18
CITROEN: C4 Lounge 1.6 16V THP EP6DT / EP6DTS 14/21
CITROEN: DS3 1.6 16V THP EP6DT / EP6DTS 12/15
CITROEN: DS4 1.6 16V THP EP6DT / EP6DTS 11/15
CITROEN: DS5 1.6 16V THP EP6DT / EP6DTS 11/15
PEUGEOT: 2008 1.6 16V THP EP6DT / EPDDTS 15/…
PEUGEOT: 3008 1.6 16V THP EP6DT / EPDDTS 13/18
PEUGEOT: 308 1.6 16V THP EP6DT / EPDDTS 13/17
PEUGEOT: 5008 1.6 16V THP EP6DT / EPDDTS 17/21
PEUGEOT: RCZ 1.6 16V THP EP6DT / EPDDTS 11/15</t>
  </si>
  <si>
    <t xml:space="preserve">0261520433 (BOSCH)
9815930180 (OEM)</t>
  </si>
  <si>
    <t xml:space="preserve">MERCEDES-BENZ: C180 CGI (W204) 1.6 16V M274 08/14
MERCEDES-BENZ: C180 CGI (W205) 1.6 16V M274 15/19
MERCEDES-BENZ: C200 (W205) 2.0 16V M274 14/19
MERCEDES-BENZ: C250 (W205) 2.0 16V M274 14/19
MERCEDES-BENZ: C300 (W205) 2.0 16V M274 15/19
MERCEDES-BENZ: C350 (W205) 2.0 16V M274 15/19
MERCEDES-BENZ: E250 (W213) 2.0 16V M274 16/19
MERCEDES-BENZ: E300 (W213) 2.0 16V M274 16/19
MERCEDES-BENZ: E350 (W213) 2.0 16V M274 16/19
MERCEDES-BENZ: GLC250 (X253) 2.0 16V M274 15/19
MERCEDES-BENZ: GLC350 (X253) 2.0 16V M274 15/19
MERCEDES-BENZ: GLK250 (X204) 2.0 16V M274 13/15
MERCEDES-BENZ: SLC300 (R172) 2.0 16V M274 16/19
MERCEDES-BENZ: SLK300 (R172) 2.0 16M M274 15/19</t>
  </si>
  <si>
    <t xml:space="preserve">0261520215 (BOSCH)
A2740700401 (OEM)
A2740700501 (OEM)</t>
  </si>
  <si>
    <t xml:space="preserve">AUDI: A3 2.0 16V TFSI   CCZA / CAWB 05/13
AUDI: A3 2.0 16V TFSI   CCZA / CAWB 08/14
AUDI: A4 2.0 16V TFSI   CAEA / CDNB / CFKA 08/14
AUDI: A4 2.0 16V TFSI   CAEA / CDNB / CFKA 12/15
AUDI: A4 2.0 16V TFSI   CAED / CNCD 13/15
AUDI: A5 2.0 16V TFSI   CDNB / CDNC 08/16
AUDI: A5 2.0 16V TFSI   CNCD 12/16
AUDI: A6 2.0 16V TFSI   CAED 15/18
AUDI: A6 2.0 16V TFSI   CDNB 11/…
AUDI: Q3 2.0 16V TFSI   CCZC / CULB / CPSA 11/15
AUDI: Q3 2.0 16V TFSI   CCZC / CULB / CPSA 16/18
AUDI: Q5 2.0 16V TFSI   CDNB / CNCB / CAEB / CDNC 09/12
AUDI: Q5 2.0 16V TFSI   CDNB / CNCB / CAEB / CDNC 15/17
AUDI: TT 2.0 16V TFSI   BWA / CCZA / CESA / CCTA 09/14
VOLKSWAGEN: Beetle 2.0 16V TSI   CBFA / CCTA / CCZA 13/…
VOLKSWAGEN: Golf GTI 2.0 16V TSI   CBFA / CCTA / CCZA 13/…
VOLKSWAGEN: Jetta 2.0 16V TSI   CBFA / CCTA / CCZA / CPLA / CPPA 10/13
VOLKSWAGEN: Jetta 2.0 16V TSI 211cv 13/17
VOLKSWAGEN: New Beetle 2.0 16V TSI 211cv 12/16
VOLKSWAGEN: Passat / Variant 2.0 16V TSI   CCZB 10/15
VOLKSWAGEN: Passat CC 2.0 16V TSI   CBFA / CCTA / CCZA / CPLA / CPPA 11/…
VOLKSWAGEN: Tiguan 2.0 16V TFSI CAWB / CCTA / CCZA 07/16
VOLKSWAGEN: Tiguan 2.0 16V TSI 211cv 11/18</t>
  </si>
  <si>
    <t xml:space="preserve">06J127025C (OEM)
06J127025F (OEM)
06J127025G (OEM)
06J127025J (OEM)
706032100 (PIERBURG)
HFS0345131 (HITACHI)</t>
  </si>
  <si>
    <t xml:space="preserve">FORD: Ecosport 2.0 16V Duratec 17/21
FORD: Focus 2.0 16V Duratec 13/19</t>
  </si>
  <si>
    <t xml:space="preserve">CM5E9D376CB (OEM)
CM5Z9350CA (OEM)</t>
  </si>
  <si>
    <t xml:space="preserve">AUDI: A1 1.4 16V TFSI 14/18
AUDI: A3 1.4 16V TFSI 14/20
AUDI: Q3 1.4 16V TFSI 19/21
VOLKSWAGEN: Golf 1.4 16V TSI 14/17
VOLKSWAGEN: Golf Variant 1.4 16V TSI 15/18
VOLKSWAGEN: Jetta 1.4 16V TSI 16/18
VOLKSWAGEN: Jetta 1.4 16V TSI 18/20
VOLKSWAGEN: Polo GTS 1.4 16V TSI 20/...
VOLKSWAGEN: Tiguan 1.4 16V TSI 17/21</t>
  </si>
  <si>
    <t xml:space="preserve">0261520572 (BOSCH)
04E127025A (OEM)
04E127025B (OEM)
04E127025D (OEM)
04E127026F (OEM)
04E127026K (OEM)</t>
  </si>
  <si>
    <t xml:space="preserve">AUDI: A3 1.8 16V TFSI CJSA/CJSB 12/16
AUDI: A3 2.0 16V TFSI CZPB/DKZA 16/22
AUDI: A4 1.8 16V TFSI CJEB 15/...
AUDI: A4 2.0 16V TFSI CNCD 15/...
AUDI: A5 1.8 16V TFSI CABD/CJEB/CJEE 07/17
AUDI: A5 2.0 16V TFSI CNCD/CNCE 13/17
AUDI: Q3 2.0 16V TFSI CULB/CCTA 14/...
AUDI: Q5 2.0 16V TFSI CDNB/CNCB/CNCD/CNCE 17/...
AUDI: Q7 2.0 16V TFSI CYRB/CYMC/DMFB 15/...
VOLKSWAGEN: Golf 2.0 16V TSI CULC 13/...
VOLKSWAGEN: Golf GTI 2.0 16V TSI DLBA/DNPA/DRNA 13/...
VOLKSWAGEN: Jetta GLI 2.0 16V TSI 19/...
VOLKSWAGEN: Passat 2.0 16V TSI CZPB/DKZA/DRFA/DNNA/DUNA 18/...
VOLKSWAGEN: Tiguan 2.0 16V TSI CZPA/CHHB 16/...
VOLKSWAGEN: Tiguan R Line 2.0 16V 18/...</t>
  </si>
  <si>
    <t xml:space="preserve">06L127025K (OEM)
06L127025M (OEM)
06L127025N (OEM)
06L127025P (OEM)
06L127025Q (OEM)
06L127025R (OEM)
06L127025T (OEM)</t>
  </si>
  <si>
    <t xml:space="preserve">AUDI: A3 2.0 16V FSI 150CV 03/08
AUDI: A4 2.0 16V FSI 04/08
VOLKSWAGEN: Jetta 2.5 20V 5 cil 07/11
VOLKSWAGEN: Passat 2.0 16V B6 05/10</t>
  </si>
  <si>
    <t xml:space="preserve">06F127025A (OEM)
06F127025D (OEM)
06F127025N (OEM)</t>
  </si>
  <si>
    <t xml:space="preserve">AUDI: Q7 3.6 V6 FSI 07/15
PORSCHE: Cayenne 3.6 V6 08/18
VOLKSWAGEN: Passat CC 3.6 V6 07/17
VOLKSWAGEN: Touareg 3.6 V6 07/17</t>
  </si>
  <si>
    <t xml:space="preserve">03H127025C (OEM)
706032140 (PIERBURG)
95511031600 (OEM)
HFS85303B (HITACHI)</t>
  </si>
  <si>
    <t xml:space="preserve">AUDI: A1 1.4 TSI 11/14
AUDI: A3 1.4 TFSI 16/21
AUDI: Q3 1.4 TFSI 12/14
VOLKSWAGEN: Golf 1.4 TSI 13/...
VOLKSWAGEN: Jetta 1.4 TSI 11/18
VOLKSWAGEN: Passat 1.4 TSI 10/14
VOLKSWAGEN: Polo GTS 1.4 TSI 20/...
VOLKSWAGEN: T-Cross 1.4 TSI 20/22
VOLKSWAGEN: Taos 1.4 TSI 21/...
VOLKSWAGEN: Tiguan 1.4 TSI 17/21
VOLKSWAGEN: Virtus GTS 1.4 TSI 20/...</t>
  </si>
  <si>
    <t xml:space="preserve">04E127026AA (OEM)
04E127026AG (OEM)
04E127026BC (OEM)
04E127026BD (OEM)
04E127026BJ (OEM)</t>
  </si>
  <si>
    <t xml:space="preserve">GM: S10 2.5 Flex 15/...</t>
  </si>
  <si>
    <t xml:space="preserve">HONDA: New Civic 1.5 16V Turbo 15B7 15/...</t>
  </si>
  <si>
    <t xml:space="preserve">SHP11017</t>
  </si>
  <si>
    <t xml:space="preserve">FIAT: Fastback 1.3 16V Turbo 23/...
FIAT: Pulse 1.3 16V Turbo 22/...
FIAT: Toro 1.3 16V Turbo 21/...
JEEP: Commander 1.3 16V Turbo 22/...
JEEP: Compass 1.3 16V Turbo 21/...
JEEP: Renegade 1.3 16V Turbo 21/...</t>
  </si>
  <si>
    <t xml:space="preserve">46351138 (OEM)</t>
  </si>
  <si>
    <t xml:space="preserve">SHP11019</t>
  </si>
  <si>
    <t xml:space="preserve">JAGUAR: F-Pace 2.0 Ti4 MHEV PT204(AJ20P4) Híbrido 18/...
LAND ROVER: Defender 2.0 P300 MHEV 4x4 PT204 23/...
LAND ROVER: Defender 2.0 P300 Si4 4x4 PT204 19/...
LAND ROVER: Defender 2.0 P400e Hybrid 4x4 PT204 20/...
LAND ROVER: Discovery Sport 2.0 P200 MHEV PT204(AJ20P4) 19/...
LAND ROVER: Evoque 2.0 P200 Flex MHEV PT204(AJ20P4) Híbrido 20/...
LAND ROVER: Evoque 2.0 P200 MHEV PT204(AJ20P4) Híbrido 18/...
LAND ROVER: Evoque 2.0 P200 PT204(AJ20P4) Gasolina 18/...
LAND ROVER: Evoque 2.0 P250 MHEV PT204(AJ20P4) Híbrido 18/...
LAND ROVER: Evoque 2.0 P250 PT204(AJ20P4) Gasolina 15/...
LAND ROVER: Evoque 2.0 P300 MHEV PT204(AJ20P4) Híbrido 18/...
LAND ROVER: Evoque 2.0 P300 PT204(AJ20P4) Gasolina 20/...
LAND ROVER: Velar 2.0 P250 MHEV P204(AJ20P4) Híbrido 18/...
LAND ROVER: Velar 2.0 P300 MHEV PT204(AJ20P4) 18/...</t>
  </si>
  <si>
    <t xml:space="preserve">JDE38662 (OEM)
LR091586 (OEM)</t>
  </si>
  <si>
    <t xml:space="preserve">GM: Camaro 6.2 V8 SS 10/14
GM: Camaro 6.2 V8 SS 14/16
GM: Captiva 2.4 16V Ecotec 15/17
GM: Captiva 3.0 24V V6 11/13
GM: Trailblazer 2.8 CTDI 14/25</t>
  </si>
  <si>
    <t xml:space="preserve">12641740 (OEM)
GI1022 (GAUSS)</t>
  </si>
  <si>
    <t xml:space="preserve">MERCEDES-BENZ: A200 (W176) 1.6 M270.910 15/18
MERCEDES-BENZ: A220 (W176) 2.0 M270.920 14/18
MERCEDES-BENZ: A250 (W176) 2.0 M270.920 12/18
MERCEDES-BENZ: A45 AMG (W176) 2.0 M133.980 13/18
MERCEDES-BENZ: B180 (W242/W246) 1.6 M270.910 11/18
MERCEDES-BENZ: B200 (W242/W246) 1.6 M270.910 11/18
MERCEDES-BENZ: B220 (W242/W246) 2.0 M270.920 13/18
MERCEDES-BENZ: B250 (W242/W246) 2.0 M270.920 12/18
MERCEDES-BENZ: CLA200 (X117) 1.6 M270.910 15/19
MERCEDES-BENZ: CLA220 (X117) 2.0 M270.920 16/19
MERCEDES-BENZ: CLA250 (X117) 2.0 M270.920 15/19
MERCEDES-BENZ: CLA45 AMG (C117) 2.0 M133.980 15/19
MERCEDES-BENZ: GLA180 (X156) 1.6 M270.910 15/19
MERCEDES-BENZ: GLA200 (X156) 1.6 M270.910 13/19
MERCEDES-BENZ: GLA220 (X156) 2.0 M270.920 13/19
MERCEDES-BENZ: GLA250 (X156) 2.0 M270.920 13/19
MERCEDES-BENZ: GLA45 AMG (X156) 2.0 M133.980 14/19</t>
  </si>
  <si>
    <t xml:space="preserve">0261520203 (BOSCH)
A1330700001 (OEM)</t>
  </si>
  <si>
    <t xml:space="preserve">GM: Captiva 2.4 16V Ecotec 11/17</t>
  </si>
  <si>
    <t xml:space="preserve">12633115 (OEM)
706032520 (PIERBURG)
GI1023 (GAUSS)</t>
  </si>
  <si>
    <t xml:space="preserve">PORSCHE: Cayenne GTS 3.6 6 cil. 14/18
PORSCHE: Cayenne S 3.6 6 cil. 14/18
PORSCHE: Macan GTS 3.0 6 cil. 15/18
PORSCHE: Macan S 3.0 6 cil. 15/18
PORSCHE: Macan Turbo 3.6 6 cil. 14/23</t>
  </si>
  <si>
    <t xml:space="preserve">0261520303 (BOSCH)
0261520304 (BOSCH)
94611031560 (OEM)
94611031561 (OEM)</t>
  </si>
  <si>
    <t xml:space="preserve">HYUNDAI: Santa Fe 2.4 16V 11/12
KIA: Optima 2.4 16V 12/15
KIA: Sorento 2.4 16V 12/15
KIA: Sorento 2.4 16V 15/18
KIA: Sorento 2.4 16V 18/21
KIA: Sportage 2.0 16V 10/10
KIA: Sportage 2.0 16V 10/15
KIA: Sportage 2.0 16V Flex 12/15
KIA: Sportage 2.7 24V V6 10/10</t>
  </si>
  <si>
    <t xml:space="preserve">0261520307 (BOSCH)
35320-2G740 (OEM)
GI1019 (GAUSS)</t>
  </si>
  <si>
    <t xml:space="preserve">BMW: 550i (F07) 4.4 8 cil. 09/12
BMW: 550i (F07) 4.4 V8 10/12
BMW: 550i (F07) 4.4 V8 12/17
BMW: 550i (F10) 4.4 8 cil. 09/13
BMW: 550i (F10) 4.4 V8 12/...
BMW: 550i (F11) 4.4 V8 10/13
BMW: 650i (F12/F13) 4.4 V8 10/...
BMW: 750i (F01/F02/F03/F04) 4.4 V8 08/15
BMW: X5 (E70) 4.4 V8 09/13
BMW: X6 (E71/E72) 4.4 V8 07/14</t>
  </si>
  <si>
    <t xml:space="preserve">0261520143 (BOSCH)
13517595339 (OEM)
13517595350 (OEM)
13537547603 (OEM)
GI1008 (GAUSS)</t>
  </si>
  <si>
    <t xml:space="preserve">AUDI: A1 1.4 16V TFSI 10/18
AUDI: A3 1.4 16V TFSI 14/21
AUDI: A3 1.8 16V TFSI 14/19
AUDI: A3 2.0 16V TFSI 13/21
AUDI: A4 2.0 16V TFSI 16/...
AUDI: Q3 1.4 16V TFSI 17/19
AUDI: Q3 2.0 16V TFSI 16/19
AUDI: RSQ3 2.5 20V TFSI 15/19
AUDI: S3 2.0 16V TFSI 14/19
VOLKSWAGEN: Golf 1.0 12V 3 cil. EA211 Flex 16/19
VOLKSWAGEN: Golf 1.4 16V TSI EA211 13/19
VOLKSWAGEN: Golf 1.6 16V EA211 Flex 16/21
VOLKSWAGEN: Golf 1.6 8V EA111 Flex 08/14
VOLKSWAGEN: Golf 2.0 8V EA113 Flex 08/14
VOLKSWAGEN: Golf GTI 2.0 16V TSI 13/18
VOLKSWAGEN: Golf Variant 1.4 16V TSI EA211 15/18
VOLKSWAGEN: Jetta 1.4 16V TSI 16/19
VOLKSWAGEN: Jetta 2.0 16V 10/13
VOLKSWAGEN: Jetta 2.0 16V TSI 13/20
VOLKSWAGEN: Jetta 2.0 8V CKJA Flex 10/15
VOLKSWAGEN: Jetta 2.0 8V CKJA Flex 10/16
VOLKSWAGEN: Passat 2.0 16V TSI CCZB 10/14
VOLKSWAGEN: Passat 2.0 16V TSI EA888 15/21
VOLKSWAGEN: Passat CC 2.0 16V TSI EA888 14/18
VOLKSWAGEN: Tiguan 1.0 16V TSI EA211 16/19
VOLKSWAGEN: Tiguan 2.0 16V TSI D2L 07/16
VOLKSWAGEN: Tiguan 2.0 16V TSI EA888 09/11</t>
  </si>
  <si>
    <t xml:space="preserve">0261520339 (BOSCH)
04E127026N (OEM)
GI1016 (GAUSS)</t>
  </si>
  <si>
    <t xml:space="preserve">AUDI: A1 2.0 16V EA888 12/13
AUDI: A3 2.0 16V D2L 13/14
AUDI: A3 2.0 16V TFSI EA113 06/07
AUDI: A3 2.0 16V TFSI EA888 08/13
AUDI: A4 2.0 16V TFSI EA113 06/09
AUDI: A4 2.0 16V TFSI EA888 08/15
AUDI: S3 2.0 16V TFSI D81 0913
AUDI: TT 2.0 16V TFSI D14 10/14
VOLKSWAGEN: Golf 1.4 16V TSI EA211 13/13
VOLKSWAGEN: Golf 2.0 8V EA113 Flex 09/13
VOLKSWAGEN: Golf GTI 2.0 16V TSI EA888 13/13
VOLKSWAGEN: Jetta 2.0 8V CKJA Flex 10/10
VOLKSWAGEN: Jetta 2.5 20V FSI 06/10</t>
  </si>
  <si>
    <t xml:space="preserve">06F127025L (OEM)
GI1027 (GAUSS)
HFS853102 (HITACHI)</t>
  </si>
  <si>
    <t xml:space="preserve">VOLKSWAGEN: Jetta 2.0 16V TSI 211cv 13/18
VOLKSWAGEN: New Beetle 2.0 16V TSI 211cv 12/16</t>
  </si>
  <si>
    <t xml:space="preserve">06A127026A (OEM)
06A127026B (OEM)
06A127026D (OEM)
06K127028C (OEM)
06K127028E (OEM)
06K127028F (OEM)
GI1033 (GAUSS)</t>
  </si>
  <si>
    <t xml:space="preserve">BMW: 120i (F20) 2.0 16V B48B20A 15/19
BMW: 125i (F20) 2.0 16V B48B20A 15/19
BMW: 220i (F23) 2.0 16V N20B20 15/19
BMW: 320i (F30/F80) 2.0 16V N20B20A / N20B20B 14/19
BMW: 330i (F30/F80) 2.0 16V N20B20A / N20B20B 14/19
BMW: 430i (F32/F82) 2.0 16V B48B20 / B46B20B 16/20
BMW: 530i (G30/F90) 2.0 16V B48B20A / B46B20B 15/20
BMW: 540i (G30/F90) 3.0 6 cil. 16/20
BMW: M140i (F20) 3.0 6 cil.  B58B30A 16/19
BMW: M240i (F20) 3.0 6 cil B48B30 16/21
BMW: X3 (G01/F97) 1.6 16V B48B20A 17/...
BMW: X3 (G01/F97) 3.0 6 cil. B46A20 18/...
BMW: X3 M (G01) 3.0 6 cil. B58B30A 17/...
BMW: X4 M (G02/F98) 3.0 6 cil. B58B30A 18/23</t>
  </si>
  <si>
    <t xml:space="preserve">0261520257 (BOSCH)
13517642466 (OEM)</t>
  </si>
  <si>
    <t xml:space="preserve">SHP11030</t>
  </si>
  <si>
    <t xml:space="preserve">FORD: Territory 1.5 Ecoboost 20/...</t>
  </si>
  <si>
    <t xml:space="preserve">FS19D376AB (OEM)</t>
  </si>
  <si>
    <t xml:space="preserve">SHP11031</t>
  </si>
  <si>
    <t xml:space="preserve">GM: Cruze 1.4 16V Turbo LE2 16/...
GM: Tracker 1.4 16V Turbo LE2 16/...</t>
  </si>
  <si>
    <t xml:space="preserve">12682079 (OEM)</t>
  </si>
  <si>
    <t xml:space="preserve">SHP11034</t>
  </si>
  <si>
    <t xml:space="preserve">HYUNDAI: New Tucson 1.6 16V GDI Turbo 17/22
HYUNDAI: Veloster 1.6 16V GDI 12/17</t>
  </si>
  <si>
    <t xml:space="preserve">353202B220 (OEM)</t>
  </si>
  <si>
    <t xml:space="preserve">BANDEJA INFERIOR COMPLETA LE</t>
  </si>
  <si>
    <t xml:space="preserve">AUDI: Q3  19/...
AUDI: Q3 Sportback  19/...</t>
  </si>
  <si>
    <t xml:space="preserve">C/ Bucha
C/ Pivô</t>
  </si>
  <si>
    <t xml:space="preserve">BANDEJA INFERIOR COMPLETA LD</t>
  </si>
  <si>
    <t xml:space="preserve">HYUNDAI: Santa Fe  11/...
KIA: Sorento  09/12</t>
  </si>
  <si>
    <t xml:space="preserve">AK8037C (GRAZZIMETAL)
BDJ2509 (PERFECT)</t>
  </si>
  <si>
    <t xml:space="preserve">AK8037C (GRAZZIMETAL)
BDJ2510 (PERFECT)</t>
  </si>
  <si>
    <t xml:space="preserve">KIA: Picanto 1.0 12V 11/17</t>
  </si>
  <si>
    <t xml:space="preserve">AK8055C (GRAZZIMETAL)
BDJ2507 (PERFECT)</t>
  </si>
  <si>
    <t xml:space="preserve">AK8056C (GRAZZIMETAL)
BDJ2508 (PERFECT)</t>
  </si>
  <si>
    <t xml:space="preserve">BANDEJA SUPERIOR COMPLETA LE</t>
  </si>
  <si>
    <t xml:space="preserve">KIA: Bongo K2500  13/21</t>
  </si>
  <si>
    <t xml:space="preserve">AK8063C (GRAZZIMETAL)
BDJ2501 (PERFECT)</t>
  </si>
  <si>
    <t xml:space="preserve">C/ Bucha
C/ Eixo
C/ Pivô</t>
  </si>
  <si>
    <t xml:space="preserve">BANDEJA SUPERIOR COMPLETA LD</t>
  </si>
  <si>
    <t xml:space="preserve">AK8062C (GRAZZIMETAL)
BDJ2500 (PERFECT)</t>
  </si>
  <si>
    <t xml:space="preserve">HYUNDAI: iX35  10/...
HYUNDAI: Tucson  09/14
KIA: Sportage  11/...</t>
  </si>
  <si>
    <t xml:space="preserve">BDJ2128 (PERFECT)
HY9094C (GRAZZIMETAL)
SB8171DP (SAMPEL)</t>
  </si>
  <si>
    <t xml:space="preserve">BDJ2129 (PERFECT)
HY9095C (GRAZZIMETAL)
SB8171EP (SAMPEL)</t>
  </si>
  <si>
    <t xml:space="preserve">HYUNDAI: New Tucson  17/21
KIA: Sportage  16/21</t>
  </si>
  <si>
    <t xml:space="preserve">BANDEJA TRASEIRA LE/LD</t>
  </si>
  <si>
    <t xml:space="preserve">KIA: Sportage  10/15</t>
  </si>
  <si>
    <t xml:space="preserve">CHANA: Cargo 1.0 8V 06/…
CHANA: Family 1.0 8V 06/…
CHANA: Utility 1.0 8V 06/…
EFFA MOTORS: K01 Pick Up Simples 1.0 8V 08/…
EFFA MOTORS: K02 Pick Up Dupla 1.0 8V 08/…
EFFA MOTORS: Start 1.0 8V 06/...
HAFEI: Towner Jr Pick Up 1.0 8V 07/…
HAFEI: Towner Jr Van 1.0 8V 07/…</t>
  </si>
  <si>
    <t xml:space="preserve">TOYOTA: Corolla 1.8 16V 03/08
TOYOTA: Filder 1.8 16V 03/08</t>
  </si>
  <si>
    <t xml:space="preserve">CITROEN: Aircross  10/20
CITROEN: C3  03/20
CITROEN: C3 Picasso  11/15
CITROEN: C4 Cactus  14/...
CITROEN: DS3  12/16
PEUGEOT: 2008  15/21
PEUGEOT: 208  13/20</t>
  </si>
  <si>
    <t xml:space="preserve">BDJ0207 (PERFECT)
CT6003MAC (GRAZZIMETAL)
SB8063EP (SAMPEL)</t>
  </si>
  <si>
    <t xml:space="preserve">C/ Bucha
C/ Pivô 55mm</t>
  </si>
  <si>
    <t xml:space="preserve">BDJ0208 (PERFECT)
CT6002MAC (GRAZZIMETAL)
SB8063DP (SAMPEL)</t>
  </si>
  <si>
    <t xml:space="preserve">BANDEJA INFERIOR LE</t>
  </si>
  <si>
    <t xml:space="preserve">CITROEN: Aircross  10/20
CITROEN: C3  03/20
CITROEN: C3 Picasso  11/15
CITROEN: DS3  12/16
PEUGEOT: 2008  15/20
PEUGEOT: 208  13/20</t>
  </si>
  <si>
    <t xml:space="preserve">BDJ0207SP (PERFECT)
BJC55001M (COFAP)
CT6003AB (GRAZZIMETAL)
NKBJ5004E (NAKATA)</t>
  </si>
  <si>
    <t xml:space="preserve">C/ Bucha</t>
  </si>
  <si>
    <t xml:space="preserve">BANDEJA INFERIOR LD</t>
  </si>
  <si>
    <t xml:space="preserve">BDJ0208SP (PERFECT)
BJC55000M (COFAP)
NBJ5004D (NAKATA)</t>
  </si>
  <si>
    <t xml:space="preserve">CITROEN: C3  12/18
CITROEN: C3 Picasso  12/...
PEUGEOT: 2008  13/18
PEUGEOT: 208  13/16</t>
  </si>
  <si>
    <t xml:space="preserve">BDJ0903 (PERFECT)
CT6002MC (GRAZZIMETAL)</t>
  </si>
  <si>
    <t xml:space="preserve">C/ Bucha
C/ Pivô 50mm</t>
  </si>
  <si>
    <t xml:space="preserve">BDJ0904 (PERFECT)
CT6003MC (GRAZZIMETAL)</t>
  </si>
  <si>
    <t xml:space="preserve">CITROEN: C4 Lounge  13/18
CITROEN: DS3  12/14
CITROEN: DS4  13/14
CITROEN: DS5  13/14
PEUGEOT: 408  12/...</t>
  </si>
  <si>
    <t xml:space="preserve">CHERY: Face 1.3 16V   SQR473F 10/…
CHERY: S18 1.3 16V   SQR473F 12/…
RELY: Link 1.3 16V    SQR473F 13/..</t>
  </si>
  <si>
    <t xml:space="preserve">CHERY: Tiggo 2  09/16
LIFAN: X60  12/16</t>
  </si>
  <si>
    <t xml:space="preserve">CHERY: Celer 1.5 16V   SQR477F 13/…</t>
  </si>
  <si>
    <t xml:space="preserve">CHERY: Cielo  08/...</t>
  </si>
  <si>
    <t xml:space="preserve">BRAÇO OSCILANTE DIANT COMPLETO LE/LD</t>
  </si>
  <si>
    <t xml:space="preserve">FIAT: Elba  86/96
FIAT: Elba Weekend  86/96
FIAT: Fiorino Exceto Treking e Working 88/10
FIAT: Prêmio  86/95
FIAT: Uno Exceto Turbo 86/10</t>
  </si>
  <si>
    <t xml:space="preserve">54001 (VIEMAR)
BJC03029M (COFAP)
BRA3029 (PERFECT)
FI217B (GRAZZIMETAL)
NBJ4001P (NAKATA)</t>
  </si>
  <si>
    <t xml:space="preserve">BANDEJA INFERIOR LE/LD</t>
  </si>
  <si>
    <t xml:space="preserve">VOLKSWAGEN: Gol  93/08
VOLKSWAGEN: Parati  93/08
VOLKSWAGEN: Saveiro  93/08
VOLKSWAGEN: Voyage  93/95</t>
  </si>
  <si>
    <t xml:space="preserve">BDJ1027 (PERFECT)
BJC01027M (COFAP)
NBJ1003 (NAKATA)
VW1005B (GRAZZIMETAL)</t>
  </si>
  <si>
    <t xml:space="preserve">SUPORTE DIANTEIRO LE</t>
  </si>
  <si>
    <t xml:space="preserve">GM: Celta  00/16
GM: Classic  04/15
GM: Corsa Exceto Novo Corsa 98/03
GM: Prisma  07/12
GM: Tigra  98/01</t>
  </si>
  <si>
    <t xml:space="preserve">BRA2153 (PERFECT)
GM2153A (GRAZZIMETAL)
NBJ3010E (NAKATA)
STC04127M (COFAP)</t>
  </si>
  <si>
    <t xml:space="preserve">SUPORTE DIANTEIRO LD</t>
  </si>
  <si>
    <t xml:space="preserve">BRA2152 (PERFECT)
GM2152A (GRAZZIMETAL)
NBJ3010D (NAKATA)
STC04126M (COFAP)</t>
  </si>
  <si>
    <t xml:space="preserve">PEUGEOT: 206  00/10
PEUGEOT: 206 SW / Escapade 05/08
PEUGEOT: 207  09/15
PEUGEOT: Hoggar  10/14</t>
  </si>
  <si>
    <t xml:space="preserve">540008V (VIEMAR)
BJC17014M (COFAP)
BRA2060 (PERFECT)
NBJ5002DP (NAKATA)
PG5002C (GRAZZIMETAL)</t>
  </si>
  <si>
    <t xml:space="preserve">540009V (VIEMAR)
BJC17013M (COFAP)
BRA2061 (PERFECT)
NBJ5002EP (NAKATA)
PG5003C (GRAZZIMETAL)</t>
  </si>
  <si>
    <t xml:space="preserve">RENAULT: Logan  07/13
RENAULT: Sandero  07/13</t>
  </si>
  <si>
    <t xml:space="preserve">5442365 (MONROE)
BDJ5225N (PERFECT)
NBJ6010EP (NAKATA)
RN4053CGG (GRAZZIMETAL)
SB8148EP (SAMPEL)</t>
  </si>
  <si>
    <t xml:space="preserve">5442364 (MONROE)
BDJ5226 (PERFECT)
NBJ6010DP (NAKATA)
RN4054CGG (GRAZZIMETAL)
SB8148DP (SAMPEL)</t>
  </si>
  <si>
    <t xml:space="preserve">SCA8023RLR</t>
  </si>
  <si>
    <t xml:space="preserve">FIAT: 147  83/88
FIAT: Elba  86/88
FIAT: Fiorino  83/98
FIAT: Spazio  83/86
FIAT: Uno  84/06</t>
  </si>
  <si>
    <t xml:space="preserve">BDJ3017 (PERFECT)
BJC03017M (COFAP)
FI124C (GRAZZIMETAL)
NBJ4003 (NAKATA)</t>
  </si>
  <si>
    <t xml:space="preserve">C/ Bucha
C/ Eixo</t>
  </si>
  <si>
    <t xml:space="preserve">VOLKSWAGEN: Crossfox  14/...
VOLKSWAGEN: Fox  14/...
VOLKSWAGEN: Gol G5  08/...
VOLKSWAGEN: Gol G6  12/...
VOLKSWAGEN: Saveiro G5  08/...
VOLKSWAGEN: Saveiro G6  12/...
VOLKSWAGEN: Spacefox  14/...
VOLKSWAGEN: Voyage G5  08/...
VOLKSWAGEN: Voyage G6  12/...</t>
  </si>
  <si>
    <t xml:space="preserve">BDJ1029 (PERFECT)
BJC01045M (COFAP)
NBJ1011E (NAKATA)
VW1205B (GRAZZIMETAL)</t>
  </si>
  <si>
    <t xml:space="preserve">BDJ1028 (PERFECT)
BJC01044M (COFAP)
NBJ1011D (NAKATA)
VW1204B (GRAZZIMETAL)</t>
  </si>
  <si>
    <t xml:space="preserve">FIAT: Doblo  01/06
FIAT: Palio  01/16
FIAT: Palio Weekend  01/16
FIAT: Siena  01/16
FIAT: Strada  01/16</t>
  </si>
  <si>
    <t xml:space="preserve">BDJ9001 (PERFECT)
FI195M (GRAZZIMETAL)</t>
  </si>
  <si>
    <t xml:space="preserve">C/ Bucha
C/ Mancal
C/ Pivô</t>
  </si>
  <si>
    <t xml:space="preserve">BDJ9000 (PERFECT)
FI194M (GRAZZIMETAL)</t>
  </si>
  <si>
    <t xml:space="preserve">NISSAN: March  11/20
NISSAN: Versa  11/21</t>
  </si>
  <si>
    <t xml:space="preserve">BDJ2045 (PERFECT)
BJC29017M (COFAP)
NBJ6003EP (NAKATA)
SB8291EP (SAMPEL)</t>
  </si>
  <si>
    <t xml:space="preserve">BDJ2046 (PERFECT)
BJC29016M (COFAP)
NBJ6003DP (NAKATA)
SB8291DP (SAMPEL)</t>
  </si>
  <si>
    <t xml:space="preserve">RENAULT: Logan  14/19
RENAULT: Sandero  14/19</t>
  </si>
  <si>
    <t xml:space="preserve">BDJ0639 (PERFECT)
NBJ6011EP (NAKATA)
RN4091C (GRAZZIMETAL)</t>
  </si>
  <si>
    <t xml:space="preserve">BDJ0638 (PERFECT)
NBJ6011DP (NAKATA)
RN4090C (GRAZZIMETAL)</t>
  </si>
  <si>
    <t xml:space="preserve">HYUNDAI: HB20  12/19
HYUNDAI: HB20S  12/19
HYUNDAI: HB20X  12/19</t>
  </si>
  <si>
    <t xml:space="preserve">BDJ2108 (PERFECT)
HY9079C (GRAZZIMETAL)
NBJ9004EP (NAKATA)</t>
  </si>
  <si>
    <t xml:space="preserve">BDJ2107 (PERFECT)
HY9078C (GRAZZIMETAL)
NBJ9004DP (NAKATA)</t>
  </si>
  <si>
    <t xml:space="preserve">RENAULT: Duster 1.6 / 2.0 11/20
RENAULT: Oroch 1.6 / 2.0 16/21</t>
  </si>
  <si>
    <t xml:space="preserve">BDJ9867 (PERFECT)
NBJ6009EP (NAKATA)
SB8185EP (SAMPEL)</t>
  </si>
  <si>
    <t xml:space="preserve">BDJ9868 (PERFECT)
NBJ6009DP (NAKATA)
SB8185DP (SAMPEL)</t>
  </si>
  <si>
    <t xml:space="preserve">FORD: Explorer  91/01
FORD: Ranger  98/11</t>
  </si>
  <si>
    <t xml:space="preserve">540012 (VIEMAR)
BJC08111M (COFAP)
BRA3803 (PERFECT)
FO3137 (GRAZZIMETAL)
NBJ2004EP (NAKATA)</t>
  </si>
  <si>
    <t xml:space="preserve">540013 (VIEMAR)
BJC08110M (COFAP)
BRA2803 (PERFECT)
NBJ2004DP (NAKATA)</t>
  </si>
  <si>
    <t xml:space="preserve">FIAT: Grand Siena C/ Dir. Hidráulica 12/18
FIAT: Mobi C/ Dir. Hidráulica 16/18
FIAT: Novo Uno C/ Dir. Hidráulica 10/17
FIAT: Palio C/ Dir. Hidraulica 12/17</t>
  </si>
  <si>
    <t xml:space="preserve">BDJ9015 (PERFECT)
FI315C (GRAZZIMETAL)
NBJ4010EP (NAKATA)</t>
  </si>
  <si>
    <t xml:space="preserve">BDJ9016 (PERFECT)
FI314C (GRAZZIMETAL)
NBJ4010DP (NAKATA)</t>
  </si>
  <si>
    <t xml:space="preserve">FORD: Ranger  12/22</t>
  </si>
  <si>
    <t xml:space="preserve">BDJ0241 (PERFECT)
FO3249C (GRAZZIMETAL)
NBJ2023EP (NAKATA)</t>
  </si>
  <si>
    <t xml:space="preserve">GM: Agile  09/16
GM: Celta  00/15
GM: Classic  04/15
GM: Corsa  98/03
GM: Montana  10/15
GM: Prisma  06/12</t>
  </si>
  <si>
    <t xml:space="preserve">BJC04119M (COFAP)
BRA4119 (PERFECT)
GM2151M (GRAZZIMETAL)
NBJ3001E (NAKATA)</t>
  </si>
  <si>
    <t xml:space="preserve">BJC04118M (COFAP)
BRA4118 (PERFECT)
GM2150M (GRAZZIMETAL)
NBJ3001D (NAKATA)</t>
  </si>
  <si>
    <t xml:space="preserve">FIAT: Idea Adventure 06/16
FIAT: Palio Weekend Adventure 05/08
FIAT: Palio Weekend Adventure Locker 07/15
FIAT: Strada Adventure 05/08
FIAT: Strada Adventure Locker 08/15</t>
  </si>
  <si>
    <t xml:space="preserve">BDJ0735 (PERFECT)
BJC03061M (COFAP)
FI301C (GRAZZIMETAL)</t>
  </si>
  <si>
    <t xml:space="preserve">BDJ0734 (PERFECT)
BJC03062M (COFAP)
FI302C (GRAZZIMETAL)</t>
  </si>
  <si>
    <t xml:space="preserve">RENAULT: Kwid  17/23</t>
  </si>
  <si>
    <t xml:space="preserve">BDJ0641 (PERFECT)
NBJ6014EP (NAKATA)
RN4101C (GRAZZIMETAL)
SB8198EP (SAMPEL)</t>
  </si>
  <si>
    <t xml:space="preserve">BDJ0640 (PERFECT)
NBJ6014DP (NAKATA)
RN4100C (GRAZZIMETAL)
SB8198DP (SAMPEL)</t>
  </si>
  <si>
    <t xml:space="preserve">FORD: Ka / Ka+  14/20
FORD: New Fiesta  14/18</t>
  </si>
  <si>
    <t xml:space="preserve">BDJ9873 (PERFECT)
FO3211C (GRAZZIMETAL)
NBJ2011EP (NAKATA)</t>
  </si>
  <si>
    <t xml:space="preserve">C/ Bucha 
C/ Pivô</t>
  </si>
  <si>
    <t xml:space="preserve">BDJ9872 (PERFECT)
FO3210C (GRAZZIMETAL)
NBJ2011DP (NAKATA)</t>
  </si>
  <si>
    <t xml:space="preserve">GM: Blazer 4x2 / 4x4 95/11
GM: S10 4x2 / 4x4 95/11</t>
  </si>
  <si>
    <t xml:space="preserve">BDJ2119 (PERFECT)
GM2119CP (GRAZZIMETAL)
NBJ3015EP (NAKATA)</t>
  </si>
  <si>
    <t xml:space="preserve">BANDEJA SUPERIOR COMPELTA LD</t>
  </si>
  <si>
    <t xml:space="preserve">BDJ2118 (PERFECT)
GM2118CP (GRAZZIMETAL)
NBJ3015DP (NAKATA)</t>
  </si>
  <si>
    <t xml:space="preserve">TOYOTA: Hilux  05/20
TOYOTA: SW4  05/20</t>
  </si>
  <si>
    <t xml:space="preserve">BDJ2055 (PERFECT)
NBJ7003EP (NAKATA)
TT14033C (GRAZZIMETAL)</t>
  </si>
  <si>
    <t xml:space="preserve">BDJ2054 (PERFECT)
NBJ7003DP (NAKATA)
TT14032C (GRAZZIMETAL)</t>
  </si>
  <si>
    <t xml:space="preserve">GM: S10 4x2 / 4x4 12/17
GM: Trailblazer  13/17</t>
  </si>
  <si>
    <t xml:space="preserve">BDJ2121 (PERFECT)
GM2283C (GRAZZIMETAL)</t>
  </si>
  <si>
    <t xml:space="preserve">BDJ2120 (PERFECT)
GM2282C (GRAZZIMETAL)</t>
  </si>
  <si>
    <t xml:space="preserve">GM: Cobalt  12/20
GM: Joy  19/...
GM: Joy Plus  19/...
GM: Onix  12/19
GM: Prisma  13/19
GM: Sonic  12/15
GM: Spin  12/22</t>
  </si>
  <si>
    <t xml:space="preserve">BDJ9855 (PERFECT)
BJC04157M (COFAP)
GM2277CGG (GRAZZIMETAL)
NBJ3016EP (NAKATA)</t>
  </si>
  <si>
    <t xml:space="preserve">BDJ9854 (PERFECT)
BJC04156M (COFAP)
GM2276CGG (GRAZZIMETAL)
NBJ3016DP (NAKATA)</t>
  </si>
  <si>
    <t xml:space="preserve">GM: Blazer 4x2 95/11
GM: S10 4x2 95/11</t>
  </si>
  <si>
    <t xml:space="preserve">BDJ2093 (PERFECT)
GM2093GG (GRAZZIMETAL)
NBJ3027EP (NAKATA)</t>
  </si>
  <si>
    <t xml:space="preserve">BDJ2094 (PERFECT)
GM2094GG (GRAZZIMETAL)</t>
  </si>
  <si>
    <t xml:space="preserve">TOYOTA: Etios 1.3 16V 12/18
TOYOTA: Etios 1.5 16V 12/18</t>
  </si>
  <si>
    <t xml:space="preserve">BDJ0703 (PERFECT)
NBJ7011EP (NAKATA)
TT14041C (GRAZZIMETAL)</t>
  </si>
  <si>
    <t xml:space="preserve">BDJ0702 (PERFECT)
NBJ7011DP (NAKATA)
TT14040C (GRAZZIMETAL)</t>
  </si>
  <si>
    <t xml:space="preserve">VOLKSWAGEN: Amarok 2.0 16V TDI 10/…
VOLKSWAGEN: Amarok 3.0 V6 17/...</t>
  </si>
  <si>
    <t xml:space="preserve">BDJ2059 (PERFECT)
NBJ1007EP (NAKATA)
VW1223B (GRAZZIMETAL)</t>
  </si>
  <si>
    <t xml:space="preserve">BDJ2058 (PERFECT)
NBJ1007E (NAKATA)
VW1222B (GRAZZIMETAL)</t>
  </si>
  <si>
    <t xml:space="preserve">RENAULT: Clio  05/16
RENAULT: Symbol  09/13</t>
  </si>
  <si>
    <t xml:space="preserve">BDJ5227 (PERFECT)
BJC18159M (COFAP)
NBJ6007EP (NAKATA)
RN4001C (GRAZZIMETAL)</t>
  </si>
  <si>
    <t xml:space="preserve">BDJ5228 (PERFECT)
BJC18158M (COFAP)
NBJ6007DP (NAKATA)
RN4000C (GRAZZIMETAL)</t>
  </si>
  <si>
    <t xml:space="preserve">HONDA: City 1.5 16V 09/13
HONDA: Fit 1.4 16V / 1.5 16V 09/14</t>
  </si>
  <si>
    <t xml:space="preserve">BDJ2033 (PERFECT)
HD13027C (GRAZZIMETAL)
NBJ7006EP (NAKATA)
SB8317EP (SAMPEL)</t>
  </si>
  <si>
    <t xml:space="preserve">BDJ2032 (PERFECT)
HD13026C (GRAZZIMETAL)
NBJ7006DP (NAKATA)</t>
  </si>
  <si>
    <t xml:space="preserve">MITSUBISHI: L200 Sport / HPE / Outdoor / Savana 07/12
MITSUBISHI: L200 Sport 06/...
MITSUBISHI: Pajero Sport  96/08</t>
  </si>
  <si>
    <t xml:space="preserve">BDJ7167 (PERFECT)
BJC39019M (COFAP)
MT17037C (GRAZZIMETAL)
NBJ9001EP (NAKATA)</t>
  </si>
  <si>
    <t xml:space="preserve">C/ Bucha
C/ Eixo C/ Pivô</t>
  </si>
  <si>
    <t xml:space="preserve">BDJ7166 (PERFECT)
BJC39018M (COFAP)
MT17038C (GRAZZIMETAL)
NBJ9001DP (NAKATA)</t>
  </si>
  <si>
    <t xml:space="preserve">NISSAN: Kicks  17/...
NISSAN: Versa  21/...</t>
  </si>
  <si>
    <t xml:space="preserve">BDJ3301 (PERFECT)
NBJ0613EP (NAKATA)
NS21039C (GRAZZIMETAL)</t>
  </si>
  <si>
    <t xml:space="preserve">BDJ3300 (PERFECT)
NBJ6013DP (NAKATA)
NS21038C (GRAZZIMETAL)</t>
  </si>
  <si>
    <t xml:space="preserve">FIAT: Argo 1.8 17/23
FIAT: Cronos  17/23
FIAT: Strada  20/...</t>
  </si>
  <si>
    <t xml:space="preserve">BDJ0138 (PERFECT)
FI356BC (GRAZZIMETAL)
NBJ4018D (NAKATA)</t>
  </si>
  <si>
    <t xml:space="preserve">BDJ0139 (PERFECT)
FI357BC (GRAZZIMETAL)
NBJ4018EP (NAKATA)</t>
  </si>
  <si>
    <t xml:space="preserve">BRAÇO OSCILANTE DIANT INFERIOR COMPLETO LE/LD</t>
  </si>
  <si>
    <t xml:space="preserve">FORD: Fusion 2.3 16V 06/09
FORD: Fusion 2.5 16V 09/12
FORD: Fusion 3.0 V6 09/12</t>
  </si>
  <si>
    <t xml:space="preserve">BRA0230 (PERFECT)
NBJ2026P (NAKATA)</t>
  </si>
  <si>
    <t xml:space="preserve">C/ Bucha
C/ Pivo</t>
  </si>
  <si>
    <t xml:space="preserve">HONDA: Fit 1.4 8V / 1.5 16V 03/08</t>
  </si>
  <si>
    <t xml:space="preserve">BDJ7951 (PERFECT)
HD13017C (GRAZZIMETAL)
NBJ7005EP (NAKATA)
SB8231EP (SAMPEL)</t>
  </si>
  <si>
    <t xml:space="preserve">BDJ7950 (PERFECT)
HD13016C (GRAZZIMETAL)
NBJ7005DP (NAKATA)
SB8231DP (SAMPEL)</t>
  </si>
  <si>
    <t xml:space="preserve">CITROEN: C4  016/13
CITROEN: C4 Pallas  06/13
CITROEN: C4 Picasso  06/19
PEUGEOT: 307  02/12</t>
  </si>
  <si>
    <t xml:space="preserve">BDJ0841 (PERFECT)
BJC17017M (COFAP)
NBJ5008E (NAKATA)
PG5011 (GRAZZIMETAL)</t>
  </si>
  <si>
    <t xml:space="preserve">BDJ0842 (PERFECT)
BJC17018M (COFAP)
NBJ5008D (NAKATA)
PG5012 (GRAZZIMETAL)</t>
  </si>
  <si>
    <t xml:space="preserve">FIAT: Toro 4x2 16/...
JEEP: Compass 4x2 16/...
JEEP: Renegade  16/...</t>
  </si>
  <si>
    <t xml:space="preserve">BDJ2402 (PERFECT)
JP23016C (GRAZZIMETAL)</t>
  </si>
  <si>
    <t xml:space="preserve">BDJ2403 (PERFECT)
JP23017C (GRAZZIMETAL)</t>
  </si>
  <si>
    <t xml:space="preserve">FORD: Ecosport  13/18</t>
  </si>
  <si>
    <t xml:space="preserve">BDJ0238 (PERFECT)
FO3247C (GRAZZIMETAL)
NBJ2016EP (NAKATA)</t>
  </si>
  <si>
    <t xml:space="preserve">BDJ0237 (PERFECT)
FO3248C (GRAZZIMETAL)
NBJ2016DP (NAKATA)</t>
  </si>
  <si>
    <t xml:space="preserve">LIFAN: 620  10/17
TOYOTA: Corolla  02/19
TOYOTA: Fielder  04/08</t>
  </si>
  <si>
    <t xml:space="preserve">BDJ2035 (PERFECT)
BJC22009M (COFAP)
NBJ7002E (NAKATA)
SB8229AE (SAMPEL)
TT14028B (GRAZZIMETAL)</t>
  </si>
  <si>
    <t xml:space="preserve">BDJ2034 (PERFECT)
BJC22008M (COFAP)
NBJ7002D (NAKATA)
SB8229AD (SAMPEL)
TT14027B (GRAZZIMETAL)</t>
  </si>
  <si>
    <t xml:space="preserve">AUDI: A3  13/18
VOLKSWAGEN: Golf  12/...
VOLKSWAGEN: Jetta 1.4 TSI 19/...</t>
  </si>
  <si>
    <t xml:space="preserve">BDJ0869 (PERFECT)
VW1253C (GRAZZIMETAL)</t>
  </si>
  <si>
    <t xml:space="preserve">BDJ0868 (PERFECT)
VW1252C (GRAZZIMETAL)</t>
  </si>
  <si>
    <t xml:space="preserve">AUDI: A3  99/07
VOLKSWAGEN: Bora  00/11
VOLKSWAGEN: Golf  99/14
VOLKSWAGEN: New Beetle  99/10</t>
  </si>
  <si>
    <t xml:space="preserve">BDJ7151 (PERFECT)
BJC01038M (COFAP)
NBJ1009 (NAKATA)
SB4893A (SAMPEL)
VW1146 (GRAZZIMETAL)</t>
  </si>
  <si>
    <t xml:space="preserve">RENAULT: Fluence  11/18</t>
  </si>
  <si>
    <t xml:space="preserve">BDJ9869 (PERFECT)
RN4071C (GRAZZIMETAL)</t>
  </si>
  <si>
    <t xml:space="preserve">BDJ9870 (PERFECT)
RN4072C (GRAZZIMETAL)</t>
  </si>
  <si>
    <t xml:space="preserve">MITSUBISHI: Triton 3.2 16V Diesel 4M41 DI-D 08/16
MITSUBISHI: Triton 3.5 V6 24V Gasolina 6G74 08/16</t>
  </si>
  <si>
    <t xml:space="preserve">FORD: Fusion 2.3 06/08
FORD: Fusion 2.5 09/12
FORD: Fusion 3.0 V6 09/12</t>
  </si>
  <si>
    <t xml:space="preserve">BDJ3195 (PERFECT)
BJC08145M (COFAP)
FO3195C (GRAZZIMETAL)
NBJ2027EP (NAKATA)</t>
  </si>
  <si>
    <t xml:space="preserve">BDJ3194 (PERFECT)
BJC01844M (COFAP)
FO3194C (GRAZZIMETAL)
NBJ2027DP (NAKATA)</t>
  </si>
  <si>
    <t xml:space="preserve">FIAT: Toro 4x4 16/20
JEEP: Compass 4x4 15/20
JEEP: Renegade 4x4 16/20</t>
  </si>
  <si>
    <t xml:space="preserve">BDJ2401 (PERFECT)
FI347C (GRAZZIMETAL)</t>
  </si>
  <si>
    <t xml:space="preserve">BDJ2400 (PERFECT)
FI346C (GRAZZIMETAL)</t>
  </si>
  <si>
    <t xml:space="preserve">NISSAN: Frontier SEL 08/16</t>
  </si>
  <si>
    <t xml:space="preserve">BDJ0233 (PERFECT)
NBJ6005EP (NAKATA)
NS21019C (GRAZZIMETAL)</t>
  </si>
  <si>
    <t xml:space="preserve">BDJ0234 (PERFECT)
NBJ6005DP (NAKATA)
NS21020C (GRAZZIMETAL)</t>
  </si>
  <si>
    <t xml:space="preserve">MITSUBISHI: Pajero TR4  02/14</t>
  </si>
  <si>
    <t xml:space="preserve">BDJ2039 (PERFECT)
MT17029C (GRAZZIMETAL)
NBJ9002EP (NAKATA)</t>
  </si>
  <si>
    <t xml:space="preserve">BDJ2038 (PERFECT)
MT17030C (GRAZZIMETAL)
NBJ9002DP (NAKATA)</t>
  </si>
  <si>
    <t xml:space="preserve">FIAT: Linea  08/16
FIAT: Punto  08/17</t>
  </si>
  <si>
    <t xml:space="preserve">BDJ9011 (PERFECT)
FI297C (GRAZZIMETAL)
SB1083EP (SAMPEL)</t>
  </si>
  <si>
    <t xml:space="preserve">BDJ9012 (PERFECT)
FI296C (GRAZZIMETAL)</t>
  </si>
  <si>
    <t xml:space="preserve">BRAÇO OSCILANTE DIANT COMPLETO LE</t>
  </si>
  <si>
    <t xml:space="preserve">FORD: Fusion  06/16</t>
  </si>
  <si>
    <t xml:space="preserve">BRA0231 (PERFECT)
FO3197 (GRAZZIMETAL)
NBJ2025EP (NAKATA)</t>
  </si>
  <si>
    <t xml:space="preserve">BRAÇO OSCILANTE DIANT COMPLETO LD</t>
  </si>
  <si>
    <t xml:space="preserve">BRA0232 (PERFECT)
FO3198 (GRAZZIMETAL)
NBJ2025DP (NAKATA)</t>
  </si>
  <si>
    <t xml:space="preserve">FIAT: Argo 1.0 / 1.3 17/22
FIAT: Cronos  17/22
FIAT: Strada 1.3 / 1.4 20/...</t>
  </si>
  <si>
    <t xml:space="preserve">BDJ0137 (PERFECT)
FI357C (GRAZZIMETAL)</t>
  </si>
  <si>
    <t xml:space="preserve">C/ Bcuha
C/ Mancal
C/ Pivô</t>
  </si>
  <si>
    <t xml:space="preserve">BDJ0136 (PERFECT)
FI356C (GRAZZIMETAL)</t>
  </si>
  <si>
    <t xml:space="preserve">NISSAN: Grand Livina 1.8 16V 09/14
NISSAN: Livina 1.8 16V 09/14
NISSAN: Tiida 1.8 16V 07/13</t>
  </si>
  <si>
    <t xml:space="preserve">BDJ1057 (PERFECT)
NBJ6012EP (NAKATA)
NS21007C (GRAZZIMETAL)
SB8329EP (SAMPEL)</t>
  </si>
  <si>
    <t xml:space="preserve">BDJ1056 (PERFECT)
NBJ6012DP (NAKATA)
NS21006C (GRAZZIMETAL)
SB8329DP (SAMPEL)</t>
  </si>
  <si>
    <t xml:space="preserve">NISSAN: Sentra  07/12</t>
  </si>
  <si>
    <t xml:space="preserve">BDJ1013 (PERFECT)
NBJ6004EP (NAKATA)
NS21013C (GRAZZIMETAL)
SB8329AEP (SAMPEL)</t>
  </si>
  <si>
    <t xml:space="preserve">BDJ1014 (PERFECT)
NBJ6004DP (NAKATA)
NS21014C (GRAZZIMETAL)
SB8329ADP (SAMPEL)</t>
  </si>
  <si>
    <t xml:space="preserve">HYUNDAI: HR  05/20</t>
  </si>
  <si>
    <t xml:space="preserve">BDJ2029 (PERFECT)
HY9035C (GRAZZIMETAL)
NBJ8003EP (NAKATA)</t>
  </si>
  <si>
    <t xml:space="preserve">BDJ2028 (PERFECT)
HY9036C (GRAZZIMETAL)
NBJ8003DP (NAKATA)</t>
  </si>
  <si>
    <t xml:space="preserve">GM: Cruze 1.4 16V Turbo 16/...</t>
  </si>
  <si>
    <t xml:space="preserve">BDJ0381 (PERFECT)
BJC04161M (COFAP)
GM2341C (GRAZZIMETAL)
NBJ3026EP (NAKATA)</t>
  </si>
  <si>
    <t xml:space="preserve">BDJ0382 (PERFECT)
BJC04160M (COFAP)
GM2342C (GRAZZIMETAL)
NBJ3026DP (NAKATA)</t>
  </si>
  <si>
    <t xml:space="preserve">BANDEJA INFERIOR COMPLETA LE/LD</t>
  </si>
  <si>
    <t xml:space="preserve">CHERY: QQ  11/18</t>
  </si>
  <si>
    <t xml:space="preserve">BRA9871 (PERFECT)
CY36006 (GRAZZIMETAL)
NBJ9007P (NAKATA)</t>
  </si>
  <si>
    <t xml:space="preserve">GM: Cruze  11/16</t>
  </si>
  <si>
    <t xml:space="preserve">BDJ9857 (PERFECT)
BJC04123M (COFAP)
GM2275C (GRAZZIMETAL)
NBJ3022EP (NAKATA)</t>
  </si>
  <si>
    <t xml:space="preserve">BDJ9856 (PERFECT)
BJC04122M (COFAP)
GM2274C (GRAZZIMETAL)
NBJ3022DP (NAKATA)</t>
  </si>
  <si>
    <t xml:space="preserve">VOLKSWAGEN: Nivus  20/...
VOLKSWAGEN: Polo  17/...
VOLKSWAGEN: T-Cross  19/...
VOLKSWAGEN: Virtus  18/...</t>
  </si>
  <si>
    <t xml:space="preserve">BDJ0801 (PERFECT)
VW1293C (GRAZZIMETAL)</t>
  </si>
  <si>
    <t xml:space="preserve">BDJ0800 (PERFECT)
VW1292C (GRAZZIMETAL)</t>
  </si>
  <si>
    <t xml:space="preserve">NISSAN: Frontier  98/07
NISSAN: X Terra  98/07</t>
  </si>
  <si>
    <t xml:space="preserve">BDJ2689 (PERFECT)
NBJ6001EP (NAKATA)</t>
  </si>
  <si>
    <t xml:space="preserve">BDJ2690 (PERFECT)
NBJ6001DP (NAKATA)</t>
  </si>
  <si>
    <t xml:space="preserve">VOLKSWAGEN: Up  14/21</t>
  </si>
  <si>
    <t xml:space="preserve">BDJ0815 (PERFECT)
BJC01071M (COFAP)
NBJ1012EP (NAKATA)
VW1251C (GRAZZIMETAL)</t>
  </si>
  <si>
    <t xml:space="preserve">BDJ0816 (PERFECT)
BJC01070M (COFAP)
NBJ1012DP (NAKATA)
VW1250C (GRAZZIMETAL)</t>
  </si>
  <si>
    <t xml:space="preserve">HONDA: HRV  15/21</t>
  </si>
  <si>
    <t xml:space="preserve">BDJ0425 (PERFECT)
HD13063C (GRAZZIMETAL)</t>
  </si>
  <si>
    <t xml:space="preserve">BDJ0426 (PERFECT)
HD13062C (GRAZZIMETAL)</t>
  </si>
  <si>
    <t xml:space="preserve">FORD: Ranger  12/20</t>
  </si>
  <si>
    <t xml:space="preserve">BDJ0239 (PERFECT)
FO3251C (GRAZZIMETAL)
NBJ2015EP (NAKATA)</t>
  </si>
  <si>
    <t xml:space="preserve">BDJ0240 (PERFECT)
FO3252C (GRAZZIMETAL)
NBJ2015DP (NAKATA)</t>
  </si>
  <si>
    <t xml:space="preserve">MITSUBISHI: ASX  11/19
MITSUBISHI: Lancer  11/19
MITSUBISHI: Outlander  07/13</t>
  </si>
  <si>
    <t xml:space="preserve">BDJ3101 (PERFECT)
MT17059C (GRAZZIMETAL)
NBJ9008EP (NAKATA)
SB8382EP (SAMPEL)</t>
  </si>
  <si>
    <t xml:space="preserve">BDJ3100 (PERFECT)
MT17058C (GRAZZIMETAL)
NBJ9008DP (NAKATA)
SB8382DP (SAMPEL)</t>
  </si>
  <si>
    <t xml:space="preserve">FORD: Focus  13/18</t>
  </si>
  <si>
    <t xml:space="preserve">C/ Bucha 
C/ Mancal
C/ Pivô</t>
  </si>
  <si>
    <t xml:space="preserve">FORD: Ecosport  04/12
FORD: Fiesta  03/09</t>
  </si>
  <si>
    <t xml:space="preserve">BDJ9853 (PERFECT)
FO3024AH (GRAZZIMETAL)
NBJ2001EP (NAKATA)</t>
  </si>
  <si>
    <t xml:space="preserve">C/ Bucha
C/ Mancal 
C/ Pivô</t>
  </si>
  <si>
    <t xml:space="preserve">BJC8072 (COFAP)
FO3023AH (GRAZZIMETAL)
NBJ2001DP (NAKATA)</t>
  </si>
  <si>
    <t xml:space="preserve">HYUNDAI: Azera  08/11</t>
  </si>
  <si>
    <t xml:space="preserve">BDJ2110 (PERFECT)
HY9049C (GRAZZIMETAL)
NBJ9006EP (NAKATA)</t>
  </si>
  <si>
    <t xml:space="preserve">BDJ2109 (PERFECT)
HY9050C (GRAZZIMETAL)
NBJ9006DP (NAKATA)</t>
  </si>
  <si>
    <t xml:space="preserve">VOLKSWAGEN: Jetta  10/18</t>
  </si>
  <si>
    <t xml:space="preserve">BDJ9863 (PERFECT)
BJC01058M (COFAP)
NBJ1015E (NAKATA)
VW1239B (GRAZZIMETAL)</t>
  </si>
  <si>
    <t xml:space="preserve">BCJ01059M (COFAP)
BDJ9864 (PERFECT)
NBJ1015D (NAKATA)
VW1238B (GRAZZIMETAL)</t>
  </si>
  <si>
    <t xml:space="preserve">GM: Tracker 1.4 Turbo 17/19
GM: Tracker 1.8 16V 14/16</t>
  </si>
  <si>
    <t xml:space="preserve">BDJ0375 (PERFECT)
BJC04149M (COFAP)
GM2302C (GRAZZIMETAL)</t>
  </si>
  <si>
    <t xml:space="preserve">BDJ0374 (PERFECT)
BJC04150M (COFAP)
GM2303C (GRAZZIMETAL)</t>
  </si>
  <si>
    <t xml:space="preserve">GM: S10 4x2 / 4x4 17/21
GM: Trailblazer 4x2 / 4x4 17/21</t>
  </si>
  <si>
    <t xml:space="preserve">HONDA: New Civic 1.8 16V 12/16</t>
  </si>
  <si>
    <t xml:space="preserve">BDJ0429C (PERFECT)
BJC10013M (COFAP)
HD13077B (GRAZZIMETAL)
NBJ7010E (NAKATA)
SB8341E (SAMPEL)</t>
  </si>
  <si>
    <t xml:space="preserve">BDJ0430C (PERFECT)
BJC10012M (COFAP)
HD13078B (GRAZZIMETAL)
NBJ7010D (NAKATA)
SB8341D (SAMPEL)</t>
  </si>
  <si>
    <t xml:space="preserve">JAC MOTORS: J3  11/15</t>
  </si>
  <si>
    <t xml:space="preserve">FORD: Fusion  12/19</t>
  </si>
  <si>
    <t xml:space="preserve">BDJ0267 (PERFECT)
NBJ2029EP (NAKATA)</t>
  </si>
  <si>
    <t xml:space="preserve">BDJ0266 (PERFECT)
NBJ2029DP (NAKATA)</t>
  </si>
  <si>
    <t xml:space="preserve">RENAULT: Captur  17/21
RENAULT: Captur  21/...
RENAULT: Duster  22/...</t>
  </si>
  <si>
    <t xml:space="preserve">BDJ0643 (PERFECT)
RN4097C (GRAZZIMETAL)</t>
  </si>
  <si>
    <t xml:space="preserve">BDJ0642 (PERFECT)
RN4098C (GRAZZIMETAL)</t>
  </si>
  <si>
    <t xml:space="preserve">LAND ROVER: Evoque  11/19</t>
  </si>
  <si>
    <t xml:space="preserve">BDJ2701 (PERFECT)
BJC36005M (COFAP)
NBJ9012EP (NAKATA)</t>
  </si>
  <si>
    <t xml:space="preserve">BDJ2700 (PERFECT)
BJC36004M (COFAP)
NBJ9012DP (NAKATA)</t>
  </si>
  <si>
    <t xml:space="preserve">BRAÇO OSCILANTE DIANT INFERIOR COMPLETO LE</t>
  </si>
  <si>
    <t xml:space="preserve">MERCEDES-BENZ: C180 (W205)  14/21
MERCEDES-BENZ: C200 (W205)  14/21
MERCEDES-BENZ: C300 (W205)  14/21</t>
  </si>
  <si>
    <t xml:space="preserve">BRA3007 (PERFECT)
NBJ9018EP (NAKATA)</t>
  </si>
  <si>
    <t xml:space="preserve">Braço reto
C/ Bucha
C/ Pivô</t>
  </si>
  <si>
    <t xml:space="preserve">BRAÇO OSCILANTE DIANT INFERIOR COMPLETO LD</t>
  </si>
  <si>
    <t xml:space="preserve">BRA3006 (PERFECT)
NBJ9018DP (NAKATA)</t>
  </si>
  <si>
    <t xml:space="preserve">BRA3008 (PERFECT)
NBJ9019EP (NAKATA)</t>
  </si>
  <si>
    <t xml:space="preserve">Braço curvo
C/ Bucha
C/ Pivô</t>
  </si>
  <si>
    <t xml:space="preserve">BRA3008 (PERFECT)
NBJ9019DP (NAKATA)</t>
  </si>
  <si>
    <t xml:space="preserve">MERCEDES-BENZ: A160 (W176) 1.6 4cil M270.910 15/...
MERCEDES-BENZ: A180 (W176) 1.8 4cil M.270.910 12/...
MERCEDES-BENZ: A200 (W176) 1.6 4cil M270.910 14/...
MERCEDES-BENZ: A220 (W176) 2.0 4cil M270.920 14/...
MERCEDES-BENZ: A250 (W176) 2.0 4cil M270.920 12/...
MERCEDES-BENZ: GLA180 (X156) 1.6 4cil M270.910 15/...
MERCEDES-BENZ: GLA200 (X156) 1.6 4cil M270.910 13/...
MERCEDES-BENZ: GLA220 (X156) 2.0 4cil M270.920 17/...
MERCEDES-BENZ: GLA250 (X156) 2.0 4cil M270.920 13/...</t>
  </si>
  <si>
    <t xml:space="preserve">BDJ3001 (PERFECT)
NBJ9013EP (NAKATA)</t>
  </si>
  <si>
    <t xml:space="preserve">BDJ3000 (PERFECT)
NBJ9013DP (NAKATA)</t>
  </si>
  <si>
    <t xml:space="preserve">VOLVO: XC60  09/17</t>
  </si>
  <si>
    <t xml:space="preserve">KIT BRAÇO OSCILANTE DIANT SUP/INF COMPLETO LE/LD</t>
  </si>
  <si>
    <t xml:space="preserve">MERCEDES-BENZ: C180 (W204)  07/14
MERCEDES-BENZ: C200 (W204)  07/14
MERCEDES-BENZ: C300 (W204)  07/14</t>
  </si>
  <si>
    <t xml:space="preserve">Kit braço oscilante contendo 4 peças, sendo:
1 Braço sup completo LE
1 Braço sup completo LD
1 Braço inf completo LE
1 Braço inf completo LD</t>
  </si>
  <si>
    <t xml:space="preserve">AUDI: A4 2.0 TFSI 16/21
AUDI: A4 Avant 2.0 TFSI 16/21
AUDI: A5 2.0 TFSI 17/21</t>
  </si>
  <si>
    <t xml:space="preserve">BMW: 118i (E87)  05/12
BMW: 120i (E87)  05/12
BMW: 318i (E90)  05/12
BMW: 320i (E90)  05/12
BMW: 325i (E90)  05/12
BMW: 328i (E90)  05/12
BMW: 330i (E90)  05/12
BMW: X1 (E84) sDrive 16i  10/15
BMW: X1 (E84) sDrive 18i  10/15
BMW: X1 (E84) sDrive 20i  10/15
BMW: X1 (E84) xDrive 25i  10/15
BMW: X1 (E84) xDrive 28i  10/15</t>
  </si>
  <si>
    <t xml:space="preserve">KIT BRAÇO OSCILANTE DIANT INFERIOR COMPLETO LE/LD</t>
  </si>
  <si>
    <t xml:space="preserve">BMW: X5  13/19
BMW: X6  14/20</t>
  </si>
  <si>
    <t xml:space="preserve">Kit braço oscilante contendo 2 peças, sendo:
1 Braço inf completo LE
1 Braço inf completo LD</t>
  </si>
  <si>
    <t xml:space="preserve">BMW: 320i (G20)  18/...
BMW: 330e (G20)  18/...
BMW: 330i (G20)  18/...
BMW: 340i (G20)  18/...
BMW: 420i (G22)  20/...
BMW: 430i (G23)  20/...
BMW: 440i (G26)  20/...</t>
  </si>
  <si>
    <t xml:space="preserve">KIT BRAÇO OSCILANTE DIANT INF COMPLETO LE/LD</t>
  </si>
  <si>
    <t xml:space="preserve">MERCEDES-BENZ: C180 (W205) 1.6 16V Turbo M274.910 14/21
MERCEDES-BENZ: C200 (W205) 2.0 16V Turbo M274.920 14/21
MERCEDES-BENZ: C250 (W205) 2.0 16V Turbo M274.920 14/21
MERCEDES-BENZ: C300 (W205) 2.0 16V Turbo M274.920 14/21
MERCEDES-BENZ: C350 (W205) 2.0 16V Turbo M274.920 14/21
MERCEDES-BENZ: GLC250 (X253) 2.0 16V Turbo M274.920 15/19
MERCEDES-BENZ: GLC300 (X253) 2.0 16V Turbo M274.920 15/22</t>
  </si>
  <si>
    <t xml:space="preserve">Kit braço oscilante contendo 6 peças, sendo:
1 Braço inf reto completo LE
1 Braço inf reto completo LD
1 Braço inf curvo completo LE
1 Braço inf curvo completo LD
1 Bandeja inf completa LE
1 Bandeja inf completa LD</t>
  </si>
  <si>
    <t xml:space="preserve">HONDA: New Civic 2.0 16V 16/...</t>
  </si>
  <si>
    <t xml:space="preserve">FIAT: Fastback 1.0 Turbo 23/...
FIAT: Fastback 1.3 Turbo 23/...
FIAT: Pulse 1.0 Turbo 22/...
FIAT: Pulse 1.3 Turbo 22/...</t>
  </si>
  <si>
    <t xml:space="preserve">CHERY: Tiggo 5X 1.5 16V Turbo 19/...
CHERY: Tiggo 5x Pro 1.5 16V Turbo 21/...
CHERY: Tiggo 7 1.6 16V Turbo 19/...</t>
  </si>
  <si>
    <t xml:space="preserve">C/ Bucha
C/ Pivô
Não se aplica no Tiggo 7 Pro</t>
  </si>
  <si>
    <t xml:space="preserve">C/ Bucha
C/ Pivô
Não se aplicano Tiggo 7 Pro</t>
  </si>
  <si>
    <t xml:space="preserve">HONDA: City 1.5 16V 22/...</t>
  </si>
  <si>
    <t xml:space="preserve">BYD: Song Plus 1.5 16V 23/...</t>
  </si>
  <si>
    <t xml:space="preserve">BYD: Dolphin EV 23/...</t>
  </si>
  <si>
    <t xml:space="preserve">NISSAN: Frontier 2.3 16V 17/...</t>
  </si>
  <si>
    <t xml:space="preserve">BDJ3312 (PERFECT)
NBJ6018EP (NAKATA)</t>
  </si>
  <si>
    <t xml:space="preserve">BDJ3313 (PERFECT)
NBJ6018DP (NAKATA)</t>
  </si>
  <si>
    <t xml:space="preserve">C/ Buscha
C/ Pivô</t>
  </si>
  <si>
    <t xml:space="preserve">VOLVO: XC40 T4 2.0 18/...
VOLVO: XC40 T5 2.0 17/...</t>
  </si>
  <si>
    <t xml:space="preserve">TOYOTA: RAV 4 2.0 16V 19/...
TOYOTA: RAV 4 2.5 16V 19/...</t>
  </si>
  <si>
    <t xml:space="preserve">HB20 1.0 12V Turbo 
HYUNDAI: HB20 1.0 12V 20/...</t>
  </si>
  <si>
    <t xml:space="preserve">GM: Montana 1.2 12V Turbo 23/...
GM: Tracker 1.0 12V Turbo 20/...
GM: Tracker 1.2 12V Turbo 20/...</t>
  </si>
  <si>
    <t xml:space="preserve">BDJ0307 (PERFECT)
NBJ3031EP (NAKATA)</t>
  </si>
  <si>
    <t xml:space="preserve">BDJ0306 (PERFECT)
NBJ3031DP (NAKATA)</t>
  </si>
  <si>
    <t xml:space="preserve">HYUNDAI: Creta 1.6 16V 21/...</t>
  </si>
  <si>
    <t xml:space="preserve">HYUNDAI: New Tucson 1.6 16v Turbo 21/...</t>
  </si>
  <si>
    <t xml:space="preserve">VOLKSWAGEN: Fusca 1.3 67/76</t>
  </si>
  <si>
    <t xml:space="preserve">5109 (ATE)
C2003 (CONTROIL)
RCCM23314 (TRW)</t>
  </si>
  <si>
    <t xml:space="preserve">Cilindro mestre simples
Ferro fundido
Ø 17,46mm
4 furos M10x1</t>
  </si>
  <si>
    <t xml:space="preserve">RENAULT: Clio 1.0 / 1.6 00/...
RENAULT: Kangoo 1.0 / 1.6 00/...
RENAULT: Symbol 1.0 / 1.6 09/...</t>
  </si>
  <si>
    <t xml:space="preserve">0986AB8673 (BOSCH)
7701205740 (OEM)
7701205815 (OEM)
C2096 (CONTROIL)</t>
  </si>
  <si>
    <t xml:space="preserve">Cilindro mestre duplo
Alumínio
Ø 20,6mm
2 furos M12x1
2 furos M10x1
S/ ABS</t>
  </si>
  <si>
    <t xml:space="preserve">FIAT: Tipo 1.6 8V 93/97
VOLKSWAGEN: Golf 1.8 8V / 2.0 8V 94/98</t>
  </si>
  <si>
    <t xml:space="preserve">6342 (ATE)
C2067 (CONTROIL)</t>
  </si>
  <si>
    <t xml:space="preserve">Cilindro mestre duplo
Ferro fundido
Ø 20,6mm
4 furos M10x1
S/ ABS</t>
  </si>
  <si>
    <t xml:space="preserve">TOYOTA: Corolla 1.6 16V / 1.8 16V 93/02</t>
  </si>
  <si>
    <t xml:space="preserve">Cilindro mestre duplo
Alumínio
Ø 20,64mm
2 furos M10x1
C/ Reservatório
C/ ABS</t>
  </si>
  <si>
    <t xml:space="preserve">VOLKSWAGEN: Brasilia  77/96
VOLKSWAGEN: Fusca  77/96</t>
  </si>
  <si>
    <t xml:space="preserve">0986AB8611 (BOSCH)
1136110156 (OEM)
5111 (ATE)
C2007 (CONTROIL)
RCCD24061 (TRW)</t>
  </si>
  <si>
    <t xml:space="preserve">Cilindro mestre duplo
Ferro fundido
Ø 19,05mm
5 furos M10x1</t>
  </si>
  <si>
    <t xml:space="preserve">VOLKSWAGEN: Gol G1  85/96
VOLKSWAGEN: Gol G2 1.0 / 1.6 / 1.8 95/01
VOLKSWAGEN: Gol G2 1.0 02/05
VOLKSWAGEN: Gol G3 1.0 / 1.6 / 1.8 00
VOLKSWAGEN: Parati G1  85/96
VOLKSWAGEN: Saveiro G1  85/97
VOLKSWAGEN: Voyage G1  85/96</t>
  </si>
  <si>
    <t xml:space="preserve">0986AB8602 (BOSCH)
30561101513 (OEM)
5849 (ATE)
C2000 (CONTROIL)
RCCD00680 (TRW)</t>
  </si>
  <si>
    <t xml:space="preserve">Cilindro mestre duplo
Ferro fundido
Ø 20,64mm
4 furos M10x1
S/ ABS</t>
  </si>
  <si>
    <t xml:space="preserve">Cilindro mestre duplo
Ferro fundido
Ø 20,64mm
4 saídas M10x1
C/ Reservatório</t>
  </si>
  <si>
    <t xml:space="preserve">CHERY: Face 1.3 16v 10/...</t>
  </si>
  <si>
    <t xml:space="preserve">Cilindro mestre duplo
Ferro fundido
Ø 22,2mm
2 furos M12x1
C/ ABS</t>
  </si>
  <si>
    <t xml:space="preserve">GM: Agile  10/11
GM: Classic  03/09
GM: Corsa  98/02
GM: Montana  11/13</t>
  </si>
  <si>
    <t xml:space="preserve">0986AB8644 (BOSCH)
5991 (ATE)
93289332 (OEM)
C2082 (CONTROIL)
RCCD01620 (TRW)</t>
  </si>
  <si>
    <t xml:space="preserve">Cilindro mestre duplo
Ferro fundido
Ø 20,64mm
2 furos M10x1
2 furos M12x1
S/ ABS
Sistema ATE</t>
  </si>
  <si>
    <t xml:space="preserve">GM: Caravan  75/76
GM: Opala  75/76</t>
  </si>
  <si>
    <t xml:space="preserve">Cilindro mestre duplo
Ferro fundido
Ø 22,22mm
2 furos M10x1
Sistema Varga</t>
  </si>
  <si>
    <t xml:space="preserve">RENAULT: Duster 1.6 16V 12/14</t>
  </si>
  <si>
    <t xml:space="preserve">Cilindro mestre duplo
Alumínio
Ø 20,64mm
2 furos M10x1
2 furos M12x1
S/ ABS</t>
  </si>
  <si>
    <t xml:space="preserve">JINBEI: Topic 2.0 8V / 2.0 16V 08/...</t>
  </si>
  <si>
    <t xml:space="preserve">Cilindro mestre duplo
Alumínio</t>
  </si>
  <si>
    <t xml:space="preserve">PEUGEOT: 206 1.0 16V 01/04
PEUGEOT: 206 1.4 8V 05/10
PEUGEOT: 206 1.6 8V 99/01
PEUGEOT: 206 / 206 SW 1.4 8V 05/08
PEUGEOT: 207 1.4 8V 09/...
PEUGEOT: 207 / SW 1.4 8V 09/...
PEUGEOT: 306 1.6 94/97</t>
  </si>
  <si>
    <t xml:space="preserve">0986AB8648 (BOSCH)
4601F8 (OEM)
6071 (ATE)
C2130 (CONTROIL)
PMF494 (TRW)</t>
  </si>
  <si>
    <t xml:space="preserve">HYUNDAI: Galloper 2.5 / 2.5 Turbo Diesel 98/99
MITSUBISHI: L200 2.5 / 2.5 Turbo Diesel 03/12
MITSUBISHI: L200 2.5 / 2.5 Turbo Diesel 92/06
MITSUBISHI: Pajero 2.5 / 2.5 Turbo Diesel 92/05</t>
  </si>
  <si>
    <t xml:space="preserve">C2131 (CONTROIL)
MB534480 (OEM)
MB699830 (OEM)
MR307964 (OEM)
MR449476 (OEM)</t>
  </si>
  <si>
    <t xml:space="preserve">Cilindro mestre duplo
Alumínio
Ø 23,81mm
2 saídas M10x1
C/ Reservatório</t>
  </si>
  <si>
    <t xml:space="preserve">GM: Cruze 1.8 16V Ecotec 11/...</t>
  </si>
  <si>
    <t xml:space="preserve">13286445 (OEM)
7637 (ATE)
C2210 (CONTROIL)</t>
  </si>
  <si>
    <t xml:space="preserve">Cilindro mestre duplo
Alumínio
Ø 25,40mm
2 furos M12x1
C/ ABS
Sistema ATE</t>
  </si>
  <si>
    <t xml:space="preserve">FIAT: Fiorino  94/...
FIAT: Palio  98/...
FIAT: Palio Weekend  98/...
FIAT: Siena  98/...
FIAT: Strada  98/...</t>
  </si>
  <si>
    <t xml:space="preserve">5785 (ATE)
7079433 (OEM)
C2075 (CONTROIL)
RCCD01530 (TRW)</t>
  </si>
  <si>
    <t xml:space="preserve">Cilindro mestre duplo
Ferro fundido
Ø 22,22mm
4 furos M10x1
S/ ABS
Sistema ATE</t>
  </si>
  <si>
    <t xml:space="preserve">HONDA: Civic 1.5 16V / 1.6 16V 92/95</t>
  </si>
  <si>
    <t xml:space="preserve">Cilindro mestre duplo
Alumínio
Ø 23,81mm
1 furo M14x1,5
1 furo M12x1
C/ Reservatório
C/ ABS</t>
  </si>
  <si>
    <t xml:space="preserve">TOYOTA: Hilux 2.5 / 2.7 / 3.0 05/15
TOYOTA: SW4 2.5 / 2.7 / 3.0 05/15</t>
  </si>
  <si>
    <t xml:space="preserve">UNIFICADO AO SBC1040</t>
  </si>
  <si>
    <t xml:space="preserve">RENAULT: Clio 1.0 / 1.6 12/...
RENAULT: Kangoo 1.0 / 1.6 11/...
RENAULT: Symbol 1.0 / 1.6 10/...</t>
  </si>
  <si>
    <t xml:space="preserve">Cilindro mestre duplo
Alumínio
Ø 20,60mm
2 furos M12x1
C/ ABS
Sistema ATE</t>
  </si>
  <si>
    <t xml:space="preserve">HONDA: Civic 1.6 16V / 1.7 16V 01/05</t>
  </si>
  <si>
    <t xml:space="preserve">Cilindro mestre duplo
Alumínio
C/ Reservatório
C/ ABS</t>
  </si>
  <si>
    <t xml:space="preserve">FIAT: Doblo 1.3 16V / 1.6 16V 02/...
FIAT: Doblo 1.8 16V 14/...</t>
  </si>
  <si>
    <t xml:space="preserve">6153 (ATE)
7089438 (OEM)
C2205 (CONTROIL)
PMH6003 (TRW)</t>
  </si>
  <si>
    <t xml:space="preserve">Cilindro mestre duplo
Ferro fundido
Ø 22,22mm
2 furos M10x1
C/ ABS
Sistema ATE</t>
  </si>
  <si>
    <t xml:space="preserve">FORD: Fusion 2.3 16V Duratec 06/08
FORD: Fusion 2.5 16V Duratec 09/12
FORD: Fusion 3.0 V6 Duratec 09/12</t>
  </si>
  <si>
    <t xml:space="preserve">Cilindro mestre duplo
Alumínio
2 saídas M10x1
C/ ABS
C/ Reservatório</t>
  </si>
  <si>
    <t xml:space="preserve">FIAT: Elba  91/96
FIAT: Fiorino  91/93
FIAT: Prêmio  91/96
FIAT: Uno  11/...
FIAT: Uno  87/91
FIAT: Uno  91/10</t>
  </si>
  <si>
    <t xml:space="preserve">5766 (ATE)
7074619 (OEM)
C2033 (CONTROIL)
RCCD00890 (TRW)</t>
  </si>
  <si>
    <t xml:space="preserve">Cilindro mestre duplo
Ferro fundido
Ø 20,60mm
3 furos M10x1
Sistema ATE</t>
  </si>
  <si>
    <t xml:space="preserve">Cilindro mestre duplo
Alumínio 
Ø 20,64mm
2 furos M10x1
C/ Reservatório
C/ ABS</t>
  </si>
  <si>
    <t xml:space="preserve">AUDI: A3  97/06
VOLKSWAGEN: Bora  01/07
VOLKSWAGEN: Golf  99/...
VOLKSWAGEN: New Beetle  00/05
VOLKSWAGEN: TT  99/06</t>
  </si>
  <si>
    <t xml:space="preserve">0986AB8595 (BOSCH)
1J1614019 (OEM)
6350 (ATE)
C2095 (CONTROIL)
PMK491 (TRW)</t>
  </si>
  <si>
    <t xml:space="preserve">Cilindro mestre duplo
Alumínio
Ø 23,80mm
2 furos M12x1</t>
  </si>
  <si>
    <t xml:space="preserve">HYUNDAI: Tucson 2.0 16V 04/11
HYUNDAI: Tucson 2.0 16V Flex 12/...
HYUNDAI: Tucson 2.7 V6 04/11
KIA: Sportage 2.0 16V 05/10
KIA: Sportage 2.0 16V Diesel 05/10</t>
  </si>
  <si>
    <t xml:space="preserve">58510-2E100 (OEM)
7670 (ATE)</t>
  </si>
  <si>
    <t xml:space="preserve">Cilindro mestre duplo
Alumínio
Ø 25,40mm
2 furos M10x1
C/ ABS
S/ ESP
C/ Reservatório</t>
  </si>
  <si>
    <t xml:space="preserve">HYUNDAI: Tucson 2.0 16V 04/11
HYUNDAI: Tucson 2.7 V6 04/11
KIA: Sportage 2.0 16V 05/10
KIA: Sportage 2.0 16V Diesel 05/10</t>
  </si>
  <si>
    <t xml:space="preserve">Cilindro mestre duplo
Alumínio
Ø 23,81mm
4 saídas M10x1
Sem ABS
C/ Reservatório</t>
  </si>
  <si>
    <t xml:space="preserve">RENAULT: Master 2.5 até 12
RENAULT: Master 2.8 até 2012</t>
  </si>
  <si>
    <t xml:space="preserve">Cilindro mestre duplo
Alumínio
Ø 24,40mm
3 furos M10x1
2 furos M12x1
S/ ABS</t>
  </si>
  <si>
    <t xml:space="preserve">GM: Corsa  02/12
GM: Montana  04/10</t>
  </si>
  <si>
    <t xml:space="preserve">0986AB8589 (BOSCH)
93332850 (OEM)
C2143 (CONTROIL)
RCCD01460 (TRW)</t>
  </si>
  <si>
    <t xml:space="preserve">Cilindro mestre duplo
Alumínio
Ø 22,22mm
1 furo M10x1
1 furo M12x1
S/ ABS</t>
  </si>
  <si>
    <t xml:space="preserve">FORD: Fiesta 1.0 / 1.3 96/02
FORD: Fiesta 1.0 01/07
FORD: Ka 1.0 08/13</t>
  </si>
  <si>
    <t xml:space="preserve">C2061 (CONTROIL)
RCCD00910 (TRW)</t>
  </si>
  <si>
    <t xml:space="preserve">Cilindro mestre duplo
Ferro fundido
Ø 22,22mm
4 furos M10x1
Sistema Varga</t>
  </si>
  <si>
    <t xml:space="preserve">FORD: Escort  93/96
FORD: Verona  94/96
VOLKSWAGEN: Logus  93/96
VOLKSWAGEN: Pointer  94/96</t>
  </si>
  <si>
    <t xml:space="preserve">6335 (ATE)
C2038 (CONTROIL)
RCCD28170 (TRW)</t>
  </si>
  <si>
    <t xml:space="preserve">Cilindro mestre duplo
Ferro fundido
Ø 23,81mm
4 furos M10x1
Sistema Varga</t>
  </si>
  <si>
    <t xml:space="preserve">GM: Astra  02/11
GM: Astra  99/01</t>
  </si>
  <si>
    <t xml:space="preserve">C2094 (CONTROIL)
RCCD00950 (TRW)</t>
  </si>
  <si>
    <t xml:space="preserve">Cilindro mestre duplo
Ferro fundido
Ø 22,22mm
2 furos M10x1
2 furos M12x1
S/ ABS</t>
  </si>
  <si>
    <t xml:space="preserve">MITSUBISHI: ASX  11/15
MITSUBISHI: L300  95/99
MITSUBISHI: Outlander  08/15
MITSUBISHI: Pajero Dakar  09/15
MITSUBISHI: Pajero Full  04/05</t>
  </si>
  <si>
    <t xml:space="preserve">Cilindro mestre duplo
Ferro fundido
Ø 23,80mm
2 furos M10x1</t>
  </si>
  <si>
    <t xml:space="preserve">CHERY: QQ 1.1 16V 10/...</t>
  </si>
  <si>
    <t xml:space="preserve">Cilindro mestre duplo
Alumínio
Ø 20,60mm
2 furos M10x1</t>
  </si>
  <si>
    <t xml:space="preserve">GM: Celta  01/05</t>
  </si>
  <si>
    <t xml:space="preserve">6220 (ATE)
93385740 (OEM)
C2092 (CONTROIL)
RCCD00970 (TRW)</t>
  </si>
  <si>
    <t xml:space="preserve">Cilindro mestre duplo
Ferro fundido
Ø 20,63mm
4 furos M10x1</t>
  </si>
  <si>
    <t xml:space="preserve">IVECO: Daily 35 S 14 3.0 16V Diesel F1C Euro III 08/12
IVECO: Daily 35 S 14 3.0 16V Diesel F1C EURO V 13/...
IVECO: Daily 35.10 2.8 8V Diesel SOFIN 97/07
IVECO: Daily 40 S 14 3.0 16V Deisel F1C Euro III 08/...</t>
  </si>
  <si>
    <t xml:space="preserve">0204122140 (BOSCH)
C2167 (CONTROIL)
H2593401 (FTE)
PML424 (TRW)</t>
  </si>
  <si>
    <t xml:space="preserve">Cilindro mestre duplo
Ferro fundido
Ø 25,40mm
2 furos M10x1</t>
  </si>
  <si>
    <t xml:space="preserve">GM: Astra  02/11
GM: Astra  99/01
GM: Meriva  03/12
GM: Vectra  06/11
GM: Zafira  02/12</t>
  </si>
  <si>
    <t xml:space="preserve">C2097 (CONTROIL)
RCCD00960 (TRW)</t>
  </si>
  <si>
    <t xml:space="preserve">Cilindro mestre duplo
Ferro fundido
Ø 23,81mm
1 furo M10x1
1 furo M12x1
C/ ABS</t>
  </si>
  <si>
    <t xml:space="preserve">FIAT: Doblo  02/...</t>
  </si>
  <si>
    <t xml:space="preserve">0986AB8645 (BOSCH)
6152 (ATE)
7082215 (OEM)
C2139 (CONTROIL)
RCCD01810 (TRW)</t>
  </si>
  <si>
    <t xml:space="preserve">Cilindro mestre duplo
Ferro fundido
Ø 22,22mm
2 furos M10x1
S/ ABS</t>
  </si>
  <si>
    <t xml:space="preserve">GM: Corsa / Pick Up Corsa  94/98</t>
  </si>
  <si>
    <t xml:space="preserve">0986AB8646 (BOSCH)
5825 (ATE)
93235560 (OEM)
C2041 (CONTROIL)
RCCD01610 (TRW)</t>
  </si>
  <si>
    <t xml:space="preserve">AUDI: A3 1.6 03/12
AUDI: A3 1.8 TFSI 07/13
AUDI: A3 2.0 TFSI 04/13
VOLKSWAGEN: Jetta 2.0 16V 12/...
VOLKSWAGEN: Jetta 2.5 20V 5 cil 05/09
VOLKSWAGEN: Jetta Variant 2.5 20V 5 cil 08/...
VOLKSWAGEN: New Beetle 2.0 TSI 13/...</t>
  </si>
  <si>
    <t xml:space="preserve">Cilindro mestre duplo
Alumínio
Ø 22,22mm
2 furos M12x1
C/ ABS
Sistema Bosch</t>
  </si>
  <si>
    <t xml:space="preserve">GM: Captiva 2.4 16V Ecotec 10/...
GM: Captiva 3.0 24V V6 11/...
GM: Captiva 3.6 24V V6 08/12</t>
  </si>
  <si>
    <t xml:space="preserve">93743542 (OEM)
C2234 (CONTROIL)</t>
  </si>
  <si>
    <t xml:space="preserve">Cilindro mestre duplo
Alumínio
Ø 25,40mm
C/ ABS</t>
  </si>
  <si>
    <t xml:space="preserve">MERCEDES-BENZ: Sprinter 311 CDI 2.2 16V Diesel OM611 02/11
MERCEDES-BENZ: Sprinter 313 CDI 2.2 16V Diesel OM611 02/11
MERCEDES-BENZ: Sprinter 411 CDI 2.2 16V Diesel OM611 02/11
MERCEDES-BENZ: Sprinter 413 CDI 2.2 16V Diesel OM611 02/11</t>
  </si>
  <si>
    <t xml:space="preserve">0986480998 (BOSCH)
PMK593 (TRW)</t>
  </si>
  <si>
    <t xml:space="preserve">Cilindro mestre duplo
Alumínio
Ø 23,81mm
2 furos M12x1
Sistema Lucas
S/ ABS</t>
  </si>
  <si>
    <t xml:space="preserve">Cilindro mestre duplo
Alumínio
Ø 20,64 mm
2 furos M10x1
C/ Reservatório
C/ ABS
Versões com câmbio automático e manual</t>
  </si>
  <si>
    <t xml:space="preserve">FORD: Royale  95/96
FORD: Versailles  95/96
TROLLER: T4  97/01
VOLKSWAGEN: Quantum  95/02
VOLKSWAGEN: Santana  95/06</t>
  </si>
  <si>
    <t xml:space="preserve">C2060 (CONTROIL)
RCCD00140 (TRW)</t>
  </si>
  <si>
    <t xml:space="preserve">Cilindro mestre duplo
Ferro fundido
Ø 22,22mm
4 furos M10x1
S/ ABS
Sistemas Varga e Bosch</t>
  </si>
  <si>
    <t xml:space="preserve">GM: Cobalt 1.8 8V 13/...
GM: Cobalt 1.8 8V 17/...
GM: Onix 1.0 8V / 1.4 8V 13/...
GM: Onix 1.0 8V / 1.4 8V 17/...
GM: Prisma 1.0 8V / 1.4 8V 13/...
GM: Prisma 1.0 8V / 1.4 8V 17/...</t>
  </si>
  <si>
    <t xml:space="preserve">52075430 (OEM)
7665 (ATE)
C2201 (CONTROIL)</t>
  </si>
  <si>
    <t xml:space="preserve">Cilindro mestre de freio duplo
Alumínio
Ø 20,64mm
2 saídas M10x1
C/ ABS</t>
  </si>
  <si>
    <t xml:space="preserve">FORD: Ka 1.0 / 1.3 97/99</t>
  </si>
  <si>
    <t xml:space="preserve">6338 (ATE)
C-2081 (CONTROIL)
RCCD00940 (TRW)</t>
  </si>
  <si>
    <t xml:space="preserve">Cilindro mestre duplo
Ferro fundido
Ø 20,64mm
3 furos M10x1
Sistema Varga</t>
  </si>
  <si>
    <t xml:space="preserve">HONDA: New Civic 1.8 16V 07/..</t>
  </si>
  <si>
    <t xml:space="preserve">C2183 (CONTROIL)
PMD731 (TRW)</t>
  </si>
  <si>
    <t xml:space="preserve">Cilindro mestre duplo
Alumínio
Ø 19,05mm
2 furos M10x1
C/ Reservatório
C/ ABS</t>
  </si>
  <si>
    <t xml:space="preserve">MERCEDES-BENZ: Sprinter 310  97/00</t>
  </si>
  <si>
    <t xml:space="preserve">C2090 (CONTROIL)
RCCD01010 (TRW)</t>
  </si>
  <si>
    <t xml:space="preserve">Cilindro mestre duplo
Ferro fundido
Ø 23,81mm
2 furos M10x1</t>
  </si>
  <si>
    <t xml:space="preserve">VOLKSWAGEN: Gol G2 1.6 02/05
VOLKSWAGEN: Gol G2 2.0 8V/16V 95/00
VOLKSWAGEN: Gol G3 1.0 / 1.6 / 1.8 / 2.0 01/05
VOLKSWAGEN: Gol G3 2.0 8V/16V 00
VOLKSWAGEN: Gol G4  06/...
VOLKSWAGEN: Parati 1.0 / 1.6 / 1.8 / 2.0 96/12
VOLKSWAGEN: Saveiro  98/09</t>
  </si>
  <si>
    <t xml:space="preserve">0986AB8616 (BOSCH)
377611015A (OEM)
6041 (ATE)
C2058 (CONTROIL)
RCCD00180 (TRW)</t>
  </si>
  <si>
    <t xml:space="preserve">Cilindro mestre duplo
Ferro fundido
Ø 22,22mm
4 furos M10x1
S/ ABS</t>
  </si>
  <si>
    <t xml:space="preserve">SUZUKI: Grand Vitara 2.0 / 2.5 99/05</t>
  </si>
  <si>
    <t xml:space="preserve">Cilindro mestre duplo
Alumínio
Ø 25,40mm
C/ Reservatório
C/ ABS</t>
  </si>
  <si>
    <t xml:space="preserve">FORD: Courier  98/...
FORD: Fiesta  02/04
FORD: Fiesta 1.4 / 1.6 96/02
FORD: Fiesta 1.6 02/07
FORD: Ka 1.6 08/...</t>
  </si>
  <si>
    <t xml:space="preserve">6345 (ATE)
96FB2140DE (OEM)
C2091 (CONTROIL)
RCCD00920 (TRW)</t>
  </si>
  <si>
    <t xml:space="preserve">Cilindro mestre duplo
Ferro fundido
Ø 23,81mm 
4 furos M10x1
Sistema Varga</t>
  </si>
  <si>
    <t xml:space="preserve">FORD: Ka 1.6 01/07</t>
  </si>
  <si>
    <t xml:space="preserve">Cilindro mestre duplo
Ferro fundido
Ø 22,22mm
3 furos M10x1</t>
  </si>
  <si>
    <t xml:space="preserve">SBC1050</t>
  </si>
  <si>
    <t xml:space="preserve">GM: Omega Australiano 3.8 V6 FSI 99/04</t>
  </si>
  <si>
    <t xml:space="preserve">MERCEDES-BENZ: Sprinter 312D  00/...</t>
  </si>
  <si>
    <t xml:space="preserve">Cilindro mestre duplo
Alumínio
Ø 25,40mm
2 furos M10x1</t>
  </si>
  <si>
    <t xml:space="preserve">NISSAN: Grand Livina 1.8 16V 09/...
NISSAN: Livina 1.8 16V 09/...
NISSAN: Tiida 1.8 16V 07/...</t>
  </si>
  <si>
    <t xml:space="preserve">Cilindro mestre duplo
Alumínio
Ø 22,22mm
2 furos M10x1
C/ Reservatório
C/ ABS
Somente com transmissão manual</t>
  </si>
  <si>
    <t xml:space="preserve">GM: Omega Australiano 3.6 24V V6 05/...</t>
  </si>
  <si>
    <t xml:space="preserve">Cilindro mestre duplo
Alumínio
Ø 25,40mm
2 furos M12x1</t>
  </si>
  <si>
    <t xml:space="preserve">CITROEN: Xsara 1.6 16V 98/00
PEUGEOT: 206 / 206 SW 1.6 16V 01/08
PEUGEOT: 207 / SW 1.6 16V 09/...
PEUGEOT: 306 1.6 16V 98/02</t>
  </si>
  <si>
    <t xml:space="preserve">4601F9 (OEM)
4601J3 (OEM)
6072 (ATE)
C2138 (CONTROIL)</t>
  </si>
  <si>
    <t xml:space="preserve">Cilindro mestre duplo
Alumínio
Ø 22,22mm
2 furos M10x1
C/ ABS
Sistema ATE</t>
  </si>
  <si>
    <t xml:space="preserve">FORD: Focus 1.6 16V Sigma Automático 14/...
FORD: Focus 2.0 16V Duratec Automático 08/...</t>
  </si>
  <si>
    <t xml:space="preserve">Cilindro mestre duplo
Alumínio
Ø 25,40mm
2 furos M14x1
Sistema ATE</t>
  </si>
  <si>
    <t xml:space="preserve">FORD: Focus 1.6 16V Sigma Manual 14/...</t>
  </si>
  <si>
    <t xml:space="preserve">Cilindro mestre duplo
Alumínio 
Ø 25,40mm
2 furos M14x1
Sistema ATE</t>
  </si>
  <si>
    <t xml:space="preserve">AUDI: A3 1.4 TFSI 13/...
AUDI: A3 1.6 08/13
AUDI: A3 1.8 TFSI 04/13
VOLKSWAGEN: Jetta 2.0 16V 10/...
VOLKSWAGEN: Jetta 2.5 20V 5 cil 05/09</t>
  </si>
  <si>
    <t xml:space="preserve">Cilindro mestre duplo
Alumínio
Ø 22,22mm
2 furos M12x1
C/ ABC
Sistema ATE</t>
  </si>
  <si>
    <t xml:space="preserve">CITROEN: Picasso 1.8 16V / 2.0 16V 97/...
CITROEN: Xsara 1.8 16V / 2.0 16V 97/...
PEUGEOT: 306  97/09
PEUGEOT: Partner  96/08</t>
  </si>
  <si>
    <t xml:space="preserve">Cilindro mestre duplo
Ferro fundido
Ø 23,81mm
2 furos M10x1
2 furos M12x1
S/ ABS</t>
  </si>
  <si>
    <t xml:space="preserve">FORD: Focus 2.0 16V Duratec 08/...</t>
  </si>
  <si>
    <t xml:space="preserve">Cilindro mestre duplo
Alumínio
Ø 25,40mm
2 furos M12x1
C/ ABS
C/ Reservatório</t>
  </si>
  <si>
    <t xml:space="preserve">FORD: Transit 2.4 16V 06/...</t>
  </si>
  <si>
    <t xml:space="preserve">Cilindro mestre duplo
Alumínio
Ø 25,40 mm
4 M12x1
C/ Reservatório
S/ ABS</t>
  </si>
  <si>
    <t xml:space="preserve">Cilindro mestre duplo
Alumínio
Ø 25,40mm
2 furos M12x1
C/ Reservatório
C/ ABS</t>
  </si>
  <si>
    <t xml:space="preserve">CHRYSLER: PT Cruiser 2.4 16V 06/10</t>
  </si>
  <si>
    <t xml:space="preserve">Cilindro mestre duplo
Alumínio
C/ ABS
C/ Reservatório</t>
  </si>
  <si>
    <t xml:space="preserve">FORD: Focus 1.8 16V Zetec 00/04
FORD: Focus 2.0 16V Zetec 00/05</t>
  </si>
  <si>
    <t xml:space="preserve">6S4Z2140AA (OEM)
C2146 (CONTROIL)
PMK602 (TRW)
YS4Z2004AA (OEM)</t>
  </si>
  <si>
    <t xml:space="preserve">Cilindro mestre duplo
Alumínio
Ø 23,81mm
2 furos M10x1
2 furos M12x1
S/ ABS
Sistema Bosch</t>
  </si>
  <si>
    <t xml:space="preserve">FORD: Belina II  78/91
FORD: Corcel II  78/86
FORD: Del Rey  81/91
FORD: Pampa  82/97</t>
  </si>
  <si>
    <t xml:space="preserve">6331 (ATE)
C2002 (CONTROIL)
RCCD00700 (TRW)</t>
  </si>
  <si>
    <t xml:space="preserve">Cilindro mestre duplo
Ferro fundido
Ø 22,22mm</t>
  </si>
  <si>
    <t xml:space="preserve">GM: Ipanema  90/98
GM: Kadett  89/98
GM: Monza  88/96</t>
  </si>
  <si>
    <t xml:space="preserve">6024 (ATE)
C2014 (CONTROIL)
RCCD27891 (TRW)</t>
  </si>
  <si>
    <t xml:space="preserve">GM: Chevette  87/94
GM: Chevy  87/95
GM: Marajo  87/89</t>
  </si>
  <si>
    <t xml:space="preserve">5799 (ATE)
C2032 (CONTROIL)</t>
  </si>
  <si>
    <t xml:space="preserve">Cilindro mestre duplo
Ferro fundido
Ø 20,64mm
3 furos M10x1
Sistema ATE</t>
  </si>
  <si>
    <t xml:space="preserve">Cilindro mestre duplo
Ferro fundido
Ø 22,22mm
4 furos M10x1
Sistema Bosch</t>
  </si>
  <si>
    <t xml:space="preserve">FORD: Ecosport  03/12
FORD: Fiesta  03/...</t>
  </si>
  <si>
    <t xml:space="preserve">2S652140CA (OEM)
6168 (ATE)
C2155 (CONTROIL)</t>
  </si>
  <si>
    <t xml:space="preserve">Cilindro mestre duplo
Ferro fundido
Ø 23,81mm
4 furos M10x1
S/ ABS
Sistema ATE</t>
  </si>
  <si>
    <t xml:space="preserve">VOLKSWAGEN: Crossfox  05/...
VOLKSWAGEN: Fox  04/...
VOLKSWAGEN: Polo  02/...
VOLKSWAGEN: Space Cross  12/...
VOLKSWAGEN: Spacefox  06/...</t>
  </si>
  <si>
    <t xml:space="preserve">0986AB8569 (BOSCH)
5Z0611019P (OEM)
5Z1614105G (OEM)
5Z1614105P (OEM)
5Z2614105J (OEM)</t>
  </si>
  <si>
    <t xml:space="preserve">Cilindro mestre duplo
Alumínio
Ø 20,64mm
2 furos M12x1
C/ ABS</t>
  </si>
  <si>
    <t xml:space="preserve">EFFA MOTORS: Start 1.0 8V 06/...</t>
  </si>
  <si>
    <t xml:space="preserve">Cilindro mestre duplo
Alumínio
Ø 20,64mm
2 furos M10x1</t>
  </si>
  <si>
    <t xml:space="preserve">KIA: Picanto 1.0 12V 05/11</t>
  </si>
  <si>
    <t xml:space="preserve">Cilindro mestre duplo
Alumínio
Ø 20,64mm
4 saídas M10x1
Sem ABS</t>
  </si>
  <si>
    <t xml:space="preserve">HYUNDAI: H100 2.5 8V Diesel 95/04</t>
  </si>
  <si>
    <t xml:space="preserve">Cilindro mestre duplo
Alumínio
Ø 23,81mm
2 furos M10x1</t>
  </si>
  <si>
    <t xml:space="preserve">CITROEN: Jumper  03/...
FIAT: Ducato  03/...
FIAT: Ducato 2.3 16V 13/...
PEUGEOT: Boxer  03/...</t>
  </si>
  <si>
    <t xml:space="preserve">Cilindro mestre duplo
Alumínio
Ø 25,40mm
5 furos M10x1
S/ ABS</t>
  </si>
  <si>
    <t xml:space="preserve">FORD: Edge 3.5 V6 07/14</t>
  </si>
  <si>
    <t xml:space="preserve">Cilindro mestre duplo
Alumínio
Ø 22,22mm
C/ ABS</t>
  </si>
  <si>
    <t xml:space="preserve">VOLKSWAGEN: Bora 2.0 8V 01/11
VOLKSWAGEN: Jetta 2.0 8V 10/16
VOLKSWAGEN: New Beetle 1.8 20V Turbo 01/...
VOLKSWAGEN: New Beetle 2.0 8V 01/...</t>
  </si>
  <si>
    <t xml:space="preserve">Cilindro mestre duplo
Alumínio
Ø 23,81mm
2 furos M12x1
C/ ABS
Sistema FTE</t>
  </si>
  <si>
    <t xml:space="preserve">FIAT: Palio 1.0 8V 96/98
FIAT: Palio 1.5 8V 96/98
FIAT: Palio 1.6 8V / 1.6 16V 92/98
FIAT: Palio Weekend 1.5 8V 97/98
FIAT: Siena 1.5 8V 97/98</t>
  </si>
  <si>
    <t xml:space="preserve">5723 (ATE)
7078627 (OEM)
C2046 (CONTROIL)
RCCD0100 (TRW)</t>
  </si>
  <si>
    <t xml:space="preserve">HYUNDAI: i30 2.0 16V 08/12
KIA: Cerato 1.6 16V 10/13
KIA: Cerato 2.0 16V 10/13</t>
  </si>
  <si>
    <t xml:space="preserve">HYUNDAI: Azera 3.0 V6 08/12
HYUNDAI: Azera 3.3 V6 08/12</t>
  </si>
  <si>
    <t xml:space="preserve">Cilindro mestre duplo
Alumínio
Ø 25,40mm
2 furos M12x1
C/ ABS</t>
  </si>
  <si>
    <t xml:space="preserve">AUDI: Q3 1.4 16V TFSI 17/...
AUDI: Q3 2.0 16V TFSI 17/...
VOLKSWAGEN: Passat 2.0 16V Turbo 07/...
VOLKSWAGEN: Passat 3.6 VR6 07/...
VOLKSWAGEN: Passat CC 2.0 16V Turbo 07/...
VOLKSWAGEN: Passat CC 3.6 V6 FSI 07/...
VOLKSWAGEN: Tiguan 1.4 16V TSI 13/...
VOLKSWAGEN: Tiguan 2.0 16V TSI 09/...</t>
  </si>
  <si>
    <t xml:space="preserve">Cilindro mestre duplo
Alumínio
Ø 23,81mm
2 furos M12*1
C/ ABS</t>
  </si>
  <si>
    <t xml:space="preserve">FORD: New Fiesta 1.5 16V / 1.6 16V Sigma 10/18</t>
  </si>
  <si>
    <t xml:space="preserve">C2273 (CONTROIL)
D3BC2004BB (OEM)</t>
  </si>
  <si>
    <t xml:space="preserve">Cilindro mestre duplo
Alumínio
Ø 20,64mm
2 saídas M10x1
C/ ABS
C/ Reservatório
S/ ESP
Com tramsmissão manual</t>
  </si>
  <si>
    <t xml:space="preserve">6S652140AA (OEM)
C2274 (CONTROIL)</t>
  </si>
  <si>
    <t xml:space="preserve">Cilindro mestre duplo
Aumínio
Ø 20,64 mm
2 saídas M12x1
C/ ABS
C/ Reservatório
C/ ESP
Transmissão Automática ou Manual</t>
  </si>
  <si>
    <t xml:space="preserve">0986AB8572 (BOSCH)
5Z0611019N (OEM)
C2160 (CONTROIL)</t>
  </si>
  <si>
    <t xml:space="preserve">Cilindro mestre duplo
Almínuo
Ø 20,64mm
4 furos M10x1
S/ ABS</t>
  </si>
  <si>
    <t xml:space="preserve">HYUNDAI: HR 2.5 8V Diesel 05/12
KIA: Bongo K2500 2.5 8V Diesel 05/12</t>
  </si>
  <si>
    <t xml:space="preserve">Cilindro mestre duplo
Alumínio
Ø 26,99mm
2 furos M10x1
C/ ABS</t>
  </si>
  <si>
    <t xml:space="preserve">HYUNDAI: HB20 1.0 12V 3 cil 12/...
HYUNDAI: HB20 1.6 16V 12/...</t>
  </si>
  <si>
    <t xml:space="preserve">585101S300 (OEM)
7661 (ATE)
C2244 (CONTROIL)</t>
  </si>
  <si>
    <t xml:space="preserve">Cilindro mestre duplo
Alumínio
Ø 20,64mm
2 furos M10x1
C/ ABS</t>
  </si>
  <si>
    <t xml:space="preserve">HYUNDAI: HR 2.5 16V Diesel 13/...
KIA: Bongo K2500 2.5 16V Diesel 13/...</t>
  </si>
  <si>
    <t xml:space="preserve">FIAT: Argo 1.0 6V 3 cil. 17/...
FIAT: Argo 1.3 8V 17/...
FIAT: Argo 1.8 16V 17/...
FIAT: Cronos 1.3 8V 18/...
FIAT: Cronos 1.8 16V 18/...
FIAT: Fiorino 1.4 8V 13/...
FIAT: Grand Siena 1.4 8V 12/...
FIAT: Grand Siena 1.6 16V 12/...
FIAT: Mobi 1.0 8V 16/...
FIAT: Palio 1.0 / 1.4 12/...
FIAT: Palio 1.6 Etorq 12/...
FIAT: Uno 1.0 8V 13/...
FIAT: Uno 1.4 8V 13/...</t>
  </si>
  <si>
    <t xml:space="preserve">7087530 (OEM)
7402 (ATE)
C2225 (CONTROIL)</t>
  </si>
  <si>
    <t xml:space="preserve">Cilindro mestre duplo
Alumínio
Ø 22,20mm
2 furos M10x1
C/ ABS
Sistema ATE</t>
  </si>
  <si>
    <t xml:space="preserve">RENAULT: Duster 1.6 / 2.0 12/...</t>
  </si>
  <si>
    <t xml:space="preserve">6001551314 (OEM)
7671 (ATE)
C2209 (CONTROIL)</t>
  </si>
  <si>
    <t xml:space="preserve">Cilindro mestre duplo
Alumínio
Ø 22,22mm
1 furo M12x1
1 furo M10x1
C/ ABS</t>
  </si>
  <si>
    <t xml:space="preserve">RENAULT: Logan 1.0 / 1.6 07/13
RENAULT: Sandero 1.0 / 1.6 07/14</t>
  </si>
  <si>
    <t xml:space="preserve">460118760R (OEM)
6001551613 (OEM)
6967 (ATE)
C-2178 (CONTROIL)</t>
  </si>
  <si>
    <t xml:space="preserve">Cilindro mestre duplo
Ferro fundido
Ø 20,64mm
2 furos M12x1
2 furos M10x1
S/ ABS</t>
  </si>
  <si>
    <t xml:space="preserve">CITROEN: C3 1.0 / 1.4 / 1.6 02/...</t>
  </si>
  <si>
    <t xml:space="preserve">VOLKSWAGEN: Crossfox 1.6 Geração 2 13/...
VOLKSWAGEN: Fox 1.6 Geração 2 13/...</t>
  </si>
  <si>
    <t xml:space="preserve">Cilindro mestre duplo
Alumínio
Ø 22,20mm
2 furos M12x1
C/ ABS
C/ Sensor
Sistema ATE</t>
  </si>
  <si>
    <t xml:space="preserve">VOLKSWAGEN: Gol G6 1.0 / 1.6 13/...
VOLKSWAGEN: Saveiro G6 1.6 13/...
VOLKSWAGEN: Voyage G6 1.0 / 1.6 13/...</t>
  </si>
  <si>
    <t xml:space="preserve">Cilindro mestre duplo
Alumínio
Ø 22,22mm
2 furos M12x1
2 furos M10x1
C/ Reservatório
S/ ABS
Sistema TRW</t>
  </si>
  <si>
    <t xml:space="preserve">VOLKSWAGEN: Gol G6 1.0 / 1.6 13/...
VOLKSWAGEN: Gol G7 1.0 / 1.6 17/...
VOLKSWAGEN: Nivus 1.0 TSI 20/...
VOLKSWAGEN: Polo 1.0 TSI / 1.6 MSI 17/...
VOLKSWAGEN: Saveiro G6 1.6 MSI 13/...
VOLKSWAGEN: T-Cross 1.0 TSI 19/...
VOLKSWAGEN: Up 1.0 12V / 1.0 TSI 14/...
VOLKSWAGEN: Virtus 1.0 TSI / 1.6 MSI 18/...
VOLKSWAGEN: Voyage G6 1.0 / 1.6 13/...</t>
  </si>
  <si>
    <t xml:space="preserve">Cilindro mestre duplo
Alumínio
Ø 22,20mm
C/ Reservatório
C/ Sensor
2 furos M12x1
C/ ABS
Sistema TRW</t>
  </si>
  <si>
    <t xml:space="preserve">VOLKSWAGEN: Amarok 2.0 16V Diesel 10/...
VOLKSWAGEN: Amarok 3.0 V6 TDI DDXB/DDXE 17/...</t>
  </si>
  <si>
    <t xml:space="preserve">Cilindro mestre duplo
Alumínio
Ø 26,99mm
2 furos M10x1
C/ Reservatório
C/ Sensor
C/ ABS</t>
  </si>
  <si>
    <t xml:space="preserve">FORD: Ranger 2.2 16V TDCi 13/...
FORD: Ranger 2.3 16V Gasolina 13/...
FORD: Ranger 2.5 16V Gasolina 13/...
FORD: Ranger 3.0 Diesel 12/...
FORD: Ranger 3.2 20V TDCi 13/...</t>
  </si>
  <si>
    <t xml:space="preserve">Cilindro mestre duplo
Alumínio
Ø 22,22mm
2 furos M12x1
Transmissão manual e controle de estabilidade
C/ Reservatório
C/ ABS</t>
  </si>
  <si>
    <t xml:space="preserve">Cilindro mestre duplo
Alumínio
Ø 22,22mm
2 saídas M10x1
C/ ABS
Sem Reservatório</t>
  </si>
  <si>
    <t xml:space="preserve">Cilindro mestre duplo
Alumínio
Ø 22,22mm
1 saída M12x1
1 saída M10x1
C/ ABS
Sem Reservatório</t>
  </si>
  <si>
    <t xml:space="preserve">Cilindro mestre duplo
Alumínio
Ø 22,22mm
1 saída M14x1
1 saída M10x1
C/ ABS
Sem Reservatório</t>
  </si>
  <si>
    <t xml:space="preserve">FORD: Ecosport 1.6 16V Sigma 4x2 12/...
FORD: Ecosport 2.0 16V 4x4 12/...</t>
  </si>
  <si>
    <t xml:space="preserve">C2199 (CONTROIL)
CN152140BA (OEM)</t>
  </si>
  <si>
    <t xml:space="preserve">Cilindro mestre duplo
Ferro fundido
Ø 22,22mm
2 furos M12x1
Transmissão automática e manual
C/ ABS</t>
  </si>
  <si>
    <t xml:space="preserve">FORD: Ecosport 1.6 16V 4x2 06/10
FORD: Ecosport 2.0 16V 4x4 06/10</t>
  </si>
  <si>
    <t xml:space="preserve">6360 (ATE)
7N152140AA (OEM)</t>
  </si>
  <si>
    <t xml:space="preserve">Cilindro mestre duplo
Ferro fundido
Ø 23,81mm
2 furos M12x1
C/ ABS</t>
  </si>
  <si>
    <t xml:space="preserve">TOYOTA: Corolla 1.8 16V 08/15
TOYOTA: Corolla 2.0 16V 10/14</t>
  </si>
  <si>
    <t xml:space="preserve">0204051923 (BOSCH)
CM1923 (BOSCH)</t>
  </si>
  <si>
    <t xml:space="preserve">Cilindro mestre duplo
Alumínio
ø 22,22mm
C/ Reservatório
C/ ABS
Sistema Bosch</t>
  </si>
  <si>
    <t xml:space="preserve">4601.L7 (OEM)
C-2172 (CONTROIL)</t>
  </si>
  <si>
    <t xml:space="preserve">Cilindro mestre duplo
Alumínio
Ø 20,63mm
4 furos M12x1
S/ ABS
Sistema Bosch</t>
  </si>
  <si>
    <t xml:space="preserve">RENAULT: Logan 1.0 / 1.6 07/11
RENAULT: Logan 1.0 / 1.6 12/...
RENAULT: Sandero 1.0 / 1.6 07/11
RENAULT: Sandero 1.0 / 1.6 12/...</t>
  </si>
  <si>
    <t xml:space="preserve">460114036R (OEM)
6371 (ATE)
6966 (ATE)
C2204 (CONTROIL)</t>
  </si>
  <si>
    <t xml:space="preserve">Cilindro mestre duplo
Ferro fundido
Ø 20,64mm
C/ ABS
Código ATE 6371 e 6966 unificados</t>
  </si>
  <si>
    <t xml:space="preserve">FIAT: Idea 1.4 06/10
FIAT: Idea 1.6 11/16
FIAT: Idea Dualogic 10/16
FIAT: Palio Weekend 1.4 08/12
FIAT: Palio Weekend Adventure 1.8 Dualogic 09/17
FIAT: Strada 1.4 09/13
FIAT: Strada 1.4 14/...</t>
  </si>
  <si>
    <t xml:space="preserve">6920 (ATE)
7087904 (OEM)
PMH6006 (TRW)</t>
  </si>
  <si>
    <t xml:space="preserve">Cilindro mestre duplo
Ferro fundido
Ø 22,00mm
C/ ABS</t>
  </si>
  <si>
    <t xml:space="preserve">GM: Agile 1.4 11/...
GM: Corsa Classic 1.0 08/...
GM: Montana 1.4 11/13</t>
  </si>
  <si>
    <t xml:space="preserve">0986AB8570 (BOSCH)
6476 (ATE)
94735981 (OEM)
C-2174 (CONTROIL)
PMF6000 (TRW)</t>
  </si>
  <si>
    <t xml:space="preserve">Cilindro mestre duplo
Ferro fundido
Ø 20,63mm
2 furos M12x1
2 furos M10x1
S/ ABS</t>
  </si>
  <si>
    <t xml:space="preserve">GM: Corsa 1.8 8V / 1.8 16V 02/12
GM: Montana 1.8 8V 02/10</t>
  </si>
  <si>
    <t xml:space="preserve">Cilindro mestre duplo
Alumínio
Ø 22,22mm
1 furo M12x1
1 furo M10x1              
C/ ABS        
Sistema TRW</t>
  </si>
  <si>
    <t xml:space="preserve">Cilindro mestre duplo
Alumínio                                        
Ø 20,63mm
C/ Reservatório
2 furos M10x1
C/ ABS</t>
  </si>
  <si>
    <t xml:space="preserve">TOYOTA: Hilux 2.8 3L 92/04
TOYOTA: SW4 2.8 3L 92/04</t>
  </si>
  <si>
    <t xml:space="preserve">Cilindro mestre duplo
Alumínio                                        
Ø 23,81mm
C/ Reservatório
2 furos M10x1
C/ ABS</t>
  </si>
  <si>
    <t xml:space="preserve">KIA: Soul 1.6 16V 09/14</t>
  </si>
  <si>
    <t xml:space="preserve">Cilindro mestre duplo
Alumínio
Ø 22,22mm
2 saídas M12x1
C/ ABS
C/ Transmissão automática
C/ Reservatório</t>
  </si>
  <si>
    <t xml:space="preserve">SUZUKI: Grand Vitara 2.0 16V 05/15
SUZUKI: Grand Vitara 3.2 V6 05/15</t>
  </si>
  <si>
    <t xml:space="preserve">Cilindro mestre duplo
Alumínio
Ø 23,81mm
2 saídas M12x1
C/ ABS
C/ Reservatório</t>
  </si>
  <si>
    <t xml:space="preserve">KIA: Picanto 1.0 12V 12/15</t>
  </si>
  <si>
    <t xml:space="preserve">Cilindro mestre duplo
Ø 23,81mm
2 saídas M12x1
C/ ABS
C/ Reservatório</t>
  </si>
  <si>
    <t xml:space="preserve">Cilindro mestre duplo
Alumínio
Ø 20,64mm
4 saídas M10x1
Sem ABS
C/ Reservatório</t>
  </si>
  <si>
    <t xml:space="preserve">NISSAN: Frontier 2.8 Diesel 03/07
NISSAN: X Terra 2.8 Diesel 03/07</t>
  </si>
  <si>
    <t xml:space="preserve">Cilindro mestre duplo
Alumínio                                        
Ø 25,40mm
C/ Reservatório
2 furos
C/ ABS rodas traseira</t>
  </si>
  <si>
    <t xml:space="preserve">FORD: Ecosport 1.5 12V Dragon 18/...
FORD: Ecosport 2.0 16V Duratec 17/...</t>
  </si>
  <si>
    <t xml:space="preserve">7739 (ATE)
C2240 (CONTROIL)
GN152004AA (OEM)</t>
  </si>
  <si>
    <t xml:space="preserve">Cilindro mestre duplo
Alumínio                                        
Ø 22,22mm
2 furos M12X1
C/ ABS</t>
  </si>
  <si>
    <t xml:space="preserve">GM: Blazer 2.2 8V 95/00
GM: Blazer 2.4 8V 00/12
GM: Blazer 2.5 Turbo Diesel 97/00
GM: Blazer 2.8 Turbo Diesel 00/09
GM: Blazer 4.3 V6 96/03
GM: S10 2.2 8V 97/00
GM: S10 2.4 8V 00/12
GM: S10 2.4 8V Flex 12/16
GM: S10 2.5 16V Flex 14/...
GM: S10 2.5 Turbo Diesel 95/00
GM: S10 2.8 16V Turbo Diesel 12/13
GM: S10 2.8 Turbo Diesel 01/12
GM: S10 4.3 V6 96/03
TROLLER: T4 2.8 Turbo Diesel 01/05
TROLLER: T4 3.0 Turbo Diesel 99/...
TROLLER: T4 3.2 20V Turbo Diesel 14/...</t>
  </si>
  <si>
    <t xml:space="preserve">0986AB8684 (BOSCH)
6330 (ATE)
93217723 (OEM)
C2073 (CONTROIL)
PML6000 (TRW)
RCCD00990 (TRW)</t>
  </si>
  <si>
    <t xml:space="preserve">Cilindro mestre duplo
Ferro fundido                                        
Ø 25,40mm
2 furos M10x1
C/ ABS rodas traseiras
Sistema Varga</t>
  </si>
  <si>
    <t xml:space="preserve">FORD: Ranger 2.5 / 4.0 98/01
FORD: Ranger 2.8 WG B60 01/06
FORD: Ranger 3.0 NGD 05/12</t>
  </si>
  <si>
    <t xml:space="preserve">0986ab8679 (BOSCH)
C2129 (CONTROIL)
CM2824 (BOSCH)
F87A2A032CC (OEM)
F87Z2140CA (OEM)</t>
  </si>
  <si>
    <t xml:space="preserve">Cilindro mestre duplo
Alumínio                                        
Ø 26,99mm
C/ Reservatório
1 furo M10x1
1 furo M18x1
C/ ABS</t>
  </si>
  <si>
    <t xml:space="preserve">FORD: Explorer 4.0 12V V6 95/97
FORD: Ranger 2.3 8V Duratec 94/97
FORD: Ranger 4.0 12V V6 94/97</t>
  </si>
  <si>
    <t xml:space="preserve">C2132 (CONTROIL)
F57Z2140B (OEM)
F67Z2140JA (OEM)
ZZM543990 (OEM)
ZZM843990 (OEM)</t>
  </si>
  <si>
    <t xml:space="preserve">Cilindro mestre duplo
Alumínio                                        
Ø 26,98mm
2 saídas M10x1
1 saída M12x1
C/ Reservatório</t>
  </si>
  <si>
    <t xml:space="preserve">FORD: Ecosport 1.0 8V Zetec Rocam 07/12
FORD: Ecosport 1.6 8V Zetec Rocam 07/12
FORD: Fiesta 1.0 8V Zetec Rocam 07/12
FORD: Fiesta 1.6 8V Zetec Rocam 07/12</t>
  </si>
  <si>
    <t xml:space="preserve">6366 (ATE)
6S652140AA (OEM)
C2198 (CONTROIL)</t>
  </si>
  <si>
    <t xml:space="preserve">Cilindro mestre duplo
Ferro fundido
Ø 23,81mm
2 furos
C/ ABS
Sistema ATE</t>
  </si>
  <si>
    <t xml:space="preserve">VOLKSWAGEN: Gol G5 1.0 / 1.6 08/...
VOLKSWAGEN: Gol G6 1.0 / 1.6 13/13
VOLKSWAGEN: Saveiro G5 1.6 09/...
VOLKSWAGEN: Voyage G5 1.0 / 1.6 09/...</t>
  </si>
  <si>
    <t xml:space="preserve">6459 (ATE)
C2173 (CONTROIL)
RCCD01800 (TRW)</t>
  </si>
  <si>
    <t xml:space="preserve">Cilindro mestre duplo
Ferro fundido
ø 20,00mm
4 furos M12x1
S/ ABS 
Sistema ATE</t>
  </si>
  <si>
    <t xml:space="preserve">IVECO: Daily 70 C 15 3.0 16V EURO III 08/12
IVECO: Daily 70 C 16 3.0 16V EURO III 08/12
IVECO: Daily 70 C 16 HD 3.0 16V EURO III 08/12
IVECO: Daily 70 C 17 3.0 16V EURO 5 12/...
IVECO: Daily 70 C 17 HD 3.0 16V EURO 5 12/...</t>
  </si>
  <si>
    <t xml:space="preserve">42556837 (OEM)
C2261 (CONTROIL)</t>
  </si>
  <si>
    <t xml:space="preserve">Cilindro mestre duplo
Alumínio
Ø 31,75mm
2 furos M10x1
C/ ABS</t>
  </si>
  <si>
    <t xml:space="preserve">Cilindro mestre duplo
Alumínio
Ø 23,81mm
3 furos M10x1
C/ Reservatório</t>
  </si>
  <si>
    <t xml:space="preserve">Cilindro mestre duplo
Alumínio
Ø 23,81mm
2 saídas M10x1
C/ ABS
C/ Reservatório</t>
  </si>
  <si>
    <t xml:space="preserve">NISSAN: Frontier 2.5 16V 08/...</t>
  </si>
  <si>
    <t xml:space="preserve">Cilindro mestre duplo
Alumínio
Ø 25,40mm
2 furos
C/ Reservatório
C/ ABS</t>
  </si>
  <si>
    <t xml:space="preserve">GM: Montana 1.4 8V 12/...</t>
  </si>
  <si>
    <t xml:space="preserve">6953 (ATE)
94766501 (OEM)
C2221 (CONTROIL)</t>
  </si>
  <si>
    <t xml:space="preserve">Cilindro mestre duplo
Ø 22,22 mm
Ferro fundido
2 furos
C/ ABS
Siiiistema ATE</t>
  </si>
  <si>
    <t xml:space="preserve">FIAT: Linea 1.8 16V Etorq 10/16
FIAT: Linea 1.9 16V 08/10
FIAT: Punto 1.4 8V 07/10
FIAT: Punto 1.6 16V Etorq 10/12
FIAT: Punto 1.8 16V Etorq 10/12
FIAT: Punto 1.8 8V Powertrain 07/10</t>
  </si>
  <si>
    <t xml:space="preserve">6380 (ATE)
70866769 (OEM)
C2187 (CONTROIL)
PMH6014 (TRW)</t>
  </si>
  <si>
    <t xml:space="preserve">Cilindro mestre duplo
Ferro fundido
Ø 22,22mm
4 furos
S/ ABS
Sistema ATE</t>
  </si>
  <si>
    <t xml:space="preserve">FIAT: Linea 1.8 16V Etorq 10/16
FIAT: Linea 1.9 16V 08/10
FIAT: Linea T-Jet 1.4 16V Turbo 08/12
FIAT: Punto 1.4 8V 07/17
FIAT: Punto 1.6 16V Etorq 14/17
FIAT: Punto 1.8 6V Etorq 10/16
FIAT: Punto T-Jet 1.4 16V Turbo 09/16</t>
  </si>
  <si>
    <t xml:space="preserve">6377 (ATE)
7086770 (OEM)
C2188 (CONTROIL)</t>
  </si>
  <si>
    <t xml:space="preserve">Cilindro mestre duplo
Ferro fundido
Ø 22,22mm
2 furos
C/ ABS
Sistema ATE</t>
  </si>
  <si>
    <t xml:space="preserve">MITSUBISHI: Pajero 2.4 16V Diesel 4N15 19/...
MITSUBISHI: Triton 2.4 16V Diesel 4N15 17/...
MITSUBISHI: Triton 2.4 16V Flex 4G64 13/…</t>
  </si>
  <si>
    <t xml:space="preserve">Cilindro mestre duplo
Alumínio
Ø 23,81mm
2 furos M10x1
C/ Reservatório
C/ ABS
C/ ESP (controle de estabilidade)</t>
  </si>
  <si>
    <t xml:space="preserve">FIAT: Idea 1.4 8V 06/12
FIAT: Idea 1.6 16V Etorq 11/16
FIAT: Idea 1.8 16V Etorq 11/16
FIAT: Idea 1.8 8V Powertrain 09/10
FIAT: Palio Weekend 1.4 8V 08/12
FIAT: Palio Weekend 1.6 16V Etorq 11/12
FIAT: Palio Weekend 1.8 8V Powertrain 09/10
FIAT: Strada 1.4 8V 09/12</t>
  </si>
  <si>
    <t xml:space="preserve">6248 (ATE)
7085011 (OEM)
C2189 (CONTROIL)
PMH6005 (TRW)</t>
  </si>
  <si>
    <t xml:space="preserve">Cilindro mestre duplo
Ferro fundido
Ø 22,22mm
2 furos 
C/ ABS
Sistema ATE</t>
  </si>
  <si>
    <t xml:space="preserve">RENAULT: Master 2.3 16V Turbo 13/…</t>
  </si>
  <si>
    <t xml:space="preserve">460110032R (OEM)
C2242 (CONTROIL)</t>
  </si>
  <si>
    <t xml:space="preserve">Cilindro mestre duplo
Alumínio
Ø 26,99mm
2 furos M12x1 
C/ ABS
Sistema ATE</t>
  </si>
  <si>
    <t xml:space="preserve">GM: S10 2.5 Flex 15/...
GM: S10 2.8 Turbodiedel 13/...
GM: Trailblazer 2.8 Turbodiesel 13/...</t>
  </si>
  <si>
    <t xml:space="preserve">Cilindro mestre duplo
Aumínio
2 saídas M10x1
C/ ABS
C/ Reservatório
S/ ESP
Com transmissão automática
C/ ABS</t>
  </si>
  <si>
    <t xml:space="preserve">Cilindro mestre duplo
Alumínio
Ø 22,22mm
2 saídas M12x1
C/ ABS
C/ Reservatório
C/ ESP
Transmissão automática ou manual</t>
  </si>
  <si>
    <t xml:space="preserve">Cilindro mestre duplo
Aumínio
2 saídas M10x1
C/ ABS
C/ Reservatório
S/ ESP
Com transmissão manual</t>
  </si>
  <si>
    <t xml:space="preserve">GM: Celta 1.0 8V 14/16
GM: Corsa Classic 1.0 V 12/...
GM: Corsa Classic 1.4 8V 12/...</t>
  </si>
  <si>
    <t xml:space="preserve">6989 (ATE)
94756709 (OEM)
C2220 (CONTROIL)</t>
  </si>
  <si>
    <t xml:space="preserve">Cilindro mestre duplo
Ferro fundido
Ø 20,64mm
2 furos
C/ ABS
Sistema ATE</t>
  </si>
  <si>
    <t xml:space="preserve">FIAT: Toro 1.8 16V Etorq 16/...
FIAT: Toro 1.8 16V Flex Etorq 21/...
FIAT: Toro 2.4 16V Tigershark 16/20</t>
  </si>
  <si>
    <t xml:space="preserve">68263298AA (OEM)
C2245 (CONTROIL)</t>
  </si>
  <si>
    <t xml:space="preserve">Cilindro mestre duplo
Alumínio
Ø 23,81mm
2 saídas M10x1
C/ ABS
S/ Reservatório
Sistema Bosch</t>
  </si>
  <si>
    <t xml:space="preserve">FIAT: Toro 2.0 16V Turbo Diesel 16/...
JEEP: Compass 2.0 16V Flex 16/...
JEEP: Renegade 1.8 16V Flex 15/...
JEEP: Renegade 2.0 16V Turbo Diesel 15/...</t>
  </si>
  <si>
    <t xml:space="preserve">0204819119 (BOSCH)
7660 (ATE)
CM9119 (BOSCH)</t>
  </si>
  <si>
    <t xml:space="preserve">Cilindro mestre duplo
Almunínio
Ø 23,81mm
2 furos M10x1
C/ ABS
C/ Reservatório
Transmissão automática
Sistema Bosch</t>
  </si>
  <si>
    <t xml:space="preserve">FIAT: Uno 1.4 8V 10/14
FIAT: Uno Way 1.0 8V 05/13</t>
  </si>
  <si>
    <t xml:space="preserve">0986AB8599 (BOSCH)
6908 (ATE)
7087529 (OEM)
C2181 (CONTROIL)
PMH6004 (TRW)</t>
  </si>
  <si>
    <t xml:space="preserve">Cilindro mestre duplo
Ferro fundido
Ø 22,22mm
4 furos
S/ ABS</t>
  </si>
  <si>
    <t xml:space="preserve">TOYOTA: Hilux 2.7 16V Flex 16/...
TOYOTA: Hilux 2.8 16V Turbo Diesel 16/...
TOYOTA: SW4 2.8 16V Turbo Diesel 16/...</t>
  </si>
  <si>
    <t xml:space="preserve">Cilindro mestre duplo
Alumínio
ø 22,22mm
2 furos M12x1
C/ ABS
C/ Reservatório
C/ Transmissão automática
Para veísculos sem ESP - Programa de estabilidade</t>
  </si>
  <si>
    <t xml:space="preserve">TOYOTA: Hilux 2.7 16V Flex 16/...
TOYOTA: Hilux 2.8 16V Turbo Diesel 16/...</t>
  </si>
  <si>
    <t xml:space="preserve">Cilindro mestre duplo
Alumínio
ø 22,22mm
2 furos M12x1
C/ ABS
C/ Reservatório
C/ Transmissão manual
Para veísculos sem ESP - Programa de estabilidade</t>
  </si>
  <si>
    <t xml:space="preserve">Cilindro mestre duplo
Alumínio
Ø 22,22mm
2 saídas M10x1
C/ ABS
C/ Reservatório
C/ Transmissão automática
C/ ESP Controle de estabilidade</t>
  </si>
  <si>
    <t xml:space="preserve">Cilindro mestre duplo
Alumínio
Ø 22,22mm
2 saídas M10x1
C/ ABS
C/ Reservatório
C/ Transmissão manual
C/ ESP Controle de estabilidade</t>
  </si>
  <si>
    <t xml:space="preserve">FORD: Ka 1.0 12V 3 cil 14/...
FORD: Ka 1.5 12V 3 cil 19/...
FORD: Ka 1.5 16V 4 cil 14/18</t>
  </si>
  <si>
    <t xml:space="preserve">7420 (ATE)
C2262 (CONTROIL)
E3B12004AA (OEM)</t>
  </si>
  <si>
    <t xml:space="preserve">Cilindro mestre duplo
Alumínio
ø 20,64mm
2 furos M10x1,5
C/ ABS
S/ ESP 
S/ Assistente de partida em rampa
Sistema ATE</t>
  </si>
  <si>
    <t xml:space="preserve">JAC MOTORS: J2 1.4 16V 11/...
JAC MOTORS: J3 1.4 16V 11/...
JAC MOTORS: J5 1.4 16V 11/...</t>
  </si>
  <si>
    <t xml:space="preserve">Cilindro mestre duplo
Alumínio
ø 22,22mm
2 furos M10x1
C/ ABS
C/ Reservatório</t>
  </si>
  <si>
    <t xml:space="preserve">NISSAN: March 1.0 16V 11/...
NISSAN: March 1.6 16V 11/...
NISSAN: Versa 1.6 16V 11/...</t>
  </si>
  <si>
    <t xml:space="preserve">Cilindro mestre duplo
Alumínio
Ø 22,22mm
2 furos M10x1
C/ Reservatório
C/ ABS
Sistema ATE</t>
  </si>
  <si>
    <t xml:space="preserve">PEUGEOT: 206 1.6 16V 06/...
PEUGEOT: 207 1.6 16V 08/...</t>
  </si>
  <si>
    <t xml:space="preserve">Cilindro mestre freio duplo
Alumínio
Ø 22,22mm
7/8"
2 furos M10x1
C/ ABS
Sistema ATE</t>
  </si>
  <si>
    <t xml:space="preserve">RENAULT: Grand Scenic 2.0 16V 09/...
RENAULT: Megane 1.6 16V Hi Flex 10/...
RENAULT: Megane 2.0 16V 10/...
RENAULT: Megane Grand Tour 1.6 16V 09/...</t>
  </si>
  <si>
    <t xml:space="preserve">Cilindro mestre duplo
Alimínio
Ø 23,81mm
2 furos M12x1
C/ ABS
Sistema ATE</t>
  </si>
  <si>
    <t xml:space="preserve">RENAULT: Logan 1.0 16V 13/16
RENAULT: Logan 1.0 3 cil 16/...
RENAULT: Logan 1.6 16V 13/16
RENAULT: Logan 1.6 16V 16/...
RENAULT: Sandero 1.0 16V 14/16
RENAULT: Sandero 1.0 3 cil 16/...
RENAULT: Sandero 1.6 16V 14/16
RENAULT: Sandero 1.6 16V 16/...</t>
  </si>
  <si>
    <t xml:space="preserve">0204798374 (BOSCH)
460119216R (OEM)
C2263 (CONTROIL)</t>
  </si>
  <si>
    <t xml:space="preserve">Cilindro mestre duplo
Alumínio
Ø 20,64mm
2 furos
C/ ABS
Sistema Bosch
Usar somente fluído DOT 4 LV</t>
  </si>
  <si>
    <t xml:space="preserve">CITROEN: 208 1.6 16V EC5 12/19
CITROEN: Aircross 1.5 8V TU5 12/19
CITROEN: Aircross 1.6 16V EC5 12/19
CITROEN: C3 1.5 8V TU5 12/18
CITROEN: C3 1.6 16V EC5 12/19
CITROEN: C3 Picasso 1.6 16V EC5 16/19
PEUGEOT: 2008 1.6 16V EC5 13/19
PEUGEOT: 208 1.5 8V TU5 12/19</t>
  </si>
  <si>
    <t xml:space="preserve">1613317680 (OEM)
C2260 (CONTROIL)</t>
  </si>
  <si>
    <t xml:space="preserve">CITROEN: C4 1.6 16V TU5JP4 08/11
CITROEN: C4 2.0 16V EW10A 09/11
CITROEN: C4 Cactus 16 16V Flex TU5JP4 09/13
CITROEN: C4 Pallas 2.0 16V EW10A 07/13
PEUGEOT: 307 2.0 16V EW10A 05/11
PEUGEOT: 308 1.6 16V Flex EC5 08/13
PEUGEOT: 308 1.6 16V THP 12/16
PEUGEOT: 308 2.0 16V EW10A 16/19</t>
  </si>
  <si>
    <t xml:space="preserve">4601V0 (OEM)
4601Y3 (OEM)
7678 (ATE)
C2194 (CONTROIL)
PMK902 (TRW)</t>
  </si>
  <si>
    <t xml:space="preserve">Cilindro mestre duplo
Alumínio
Ø 23,81mm
1 saída M10x1
1 saída M12x1
C/ ABS
Sem ESP
Sistema Bosch</t>
  </si>
  <si>
    <t xml:space="preserve">CILNDRO MESTRE DE FREIO</t>
  </si>
  <si>
    <t xml:space="preserve">FIAT: Grand Siena 1.4 8V Fire EVO 12/...
FIAT: Grand Siena 1.6 16V Etorq 12/...
FIAT: Grand Siena 1.6 16V Etorq Dualogic 12/...
FIAT: Palio 1.0 8V Fire EVO 12/...
FIAT: Palio 1.4 8V Fire EVO 12/...
FIAT: Palio 1.6 16V Etorq 12/...
FIAT: Palio 1.6 16V Etorq Dualogic 12/...
FIAT: Uno 1.0 8V Fire EVO 12/...
FIAT: Uno 1.4 8V Fire EVO 12/...</t>
  </si>
  <si>
    <t xml:space="preserve">Cilindro mestre duplo
Alumínio
Ø
2 furos
C/ ABS
C/ Reservatório
Sistema Bosch</t>
  </si>
  <si>
    <t xml:space="preserve">CITROEN: Jumper 2.0 16V Blue HDI Euro V 18/...
FIAT: Ducato 2.3 16V Multijet Euro V 18/...
PEUGEOT: Boxer 2.0 16V Blue HDI Euro V 18/...</t>
  </si>
  <si>
    <t xml:space="preserve">Cilindro mestre duplo
Alumínio
Ø 25,40mm
2 furos M12x1
C/ ABS
Sistema Bosch
Flange com encaixe na diagonal</t>
  </si>
  <si>
    <t xml:space="preserve">TOYOTA: Corolla 1.8 16V 14/...
TOYOTA: Corolla 2.0 16V 14/...</t>
  </si>
  <si>
    <t xml:space="preserve">Cilindro mestre duplo
Alumínio
Ø 22,22mm
C/ ABS
C/ Reservatório
Para veísculos sem ESP
Sistema Bosch</t>
  </si>
  <si>
    <t xml:space="preserve">FIAT: Toro 1.8 16V Etorq 16/...
FIAT: Toro 2.4 16V Tigershark 16/20</t>
  </si>
  <si>
    <t xml:space="preserve">Cilindro mestre duplo
Alumínio
Ø 22,22mm
2 furos M10X1
C/ Reservatório
C/ ABS
Transmissão automática
Sistema Bosch</t>
  </si>
  <si>
    <t xml:space="preserve">Cilindro mestre duplo
Alumínio
Ø 22,22mm
2 furos
C/ Reservatório
C/ ABS</t>
  </si>
  <si>
    <t xml:space="preserve">Cilindro mestre duplo
Alumínio
Ø 22,22mm
4 saídas M10x1
C/ Reservatório
S/ ABS</t>
  </si>
  <si>
    <t xml:space="preserve">TOYOTA: Etios 1.3 16V 12/16
TOYOTA: Etios 1.5 16V 12/16
TOYOTA: Etios 1.5 16V Platinum 16/...</t>
  </si>
  <si>
    <t xml:space="preserve">0204054841 (BOSCH)
CM4841CR (BOSCH)</t>
  </si>
  <si>
    <t xml:space="preserve">Cilindro mestre duplo
Alumínio
Ø 22,22mm
2 furos M10x1
C/ Reservatório
C/ ABS
Sistema Bosch</t>
  </si>
  <si>
    <t xml:space="preserve">TOYOTA: Etios 1.3 16V 16/21
TOYOTA: Etios 1.5 16V 16/21</t>
  </si>
  <si>
    <t xml:space="preserve">Cilindro mestre duplo
Alumínio
Ø 22,22mm
2 saídas
C/ Reservatório
C/ ABS
C/ ESP Controle de estabilidade</t>
  </si>
  <si>
    <t xml:space="preserve">0986AB8647 (BOSCH)
6954 (ATE)
94766502 (OEM)
C2203 (CONTROIL)</t>
  </si>
  <si>
    <t xml:space="preserve">Cilindro mestre duplo
Ferro fundido
Ø 22,00mm
2 saídas M10x1
2 saídas M12x1
S/ ABS
Sistema ATE</t>
  </si>
  <si>
    <t xml:space="preserve">GM: Agile 1.4 8V 09/...</t>
  </si>
  <si>
    <t xml:space="preserve">6490 (ATE)
94741181 (OEM)
C2207 (CONTROIL)
PMF6011 (TRW)</t>
  </si>
  <si>
    <t xml:space="preserve">Cilindro mestre duplo
Ferro fundido
Ø 20,60mm
2 furos
C/ ABS
Sistema ATE</t>
  </si>
  <si>
    <t xml:space="preserve">FIAT: Uno Vivace 1.0 8V 10/...</t>
  </si>
  <si>
    <t xml:space="preserve">0986AB8585 (BOSCH)
6901 (ATE)
7087526 (OEM)
C2182 (CONTROIL)</t>
  </si>
  <si>
    <t xml:space="preserve">Cilindro mestre duplo
Ferro fundido
Ø 20,64mm
4 furos
S/ ABS
Sistema ATE</t>
  </si>
  <si>
    <t xml:space="preserve">MERCEDES-BENZ: Sprinter 515 2.2 CDI Eletrônico OM651 13/...</t>
  </si>
  <si>
    <t xml:space="preserve">Cilindro mestre duplo
Alumínio
Ø
2 furos
C/ ABS
Sistema TRW</t>
  </si>
  <si>
    <t xml:space="preserve">MERCEDES-BENZ: Sprinter 415 2.2 CDI Eletrônico OM651 12/...</t>
  </si>
  <si>
    <t xml:space="preserve">Cilindro mestre duplo
Ferro fundido
Ø 24,40mm
2 furos M10x1
C/ ABS</t>
  </si>
  <si>
    <t xml:space="preserve">GM: Caravan 2.5 8V 81/92
GM: Caravan 4.1 12V 6cc 84/92
GM: Diplomata 2.5 8V 81/92
GM: Diplomata 4.1 12V 6cc 84/92
GM: Opala 2.5 8V 81/92</t>
  </si>
  <si>
    <t xml:space="preserve">C2010 (CONTROIL)
RCCD00284 (TRW)</t>
  </si>
  <si>
    <t xml:space="preserve">Cilindro mestre duplo
Ferro fundido
Ø 22,22mm
2 furos M10x1
C/ Reservatório
Sistema Varga
Conversões do cilindro sem reservatório</t>
  </si>
  <si>
    <t xml:space="preserve">GM: Omega 2.0 16V 92/98
GM: Omega 2.2 16V 92/98
GM: Suprema 2.0 16V 92/98
GM: Suprema 2.2 16V 92/98</t>
  </si>
  <si>
    <t xml:space="preserve">Cilindro mestre duplo
Ferro fundido
Ø 22,22MM
Sistema Varga</t>
  </si>
  <si>
    <t xml:space="preserve">HONDA: City 1.5 16V 09/14
HONDA: New Fit 1.4 16V 09/14
HONDA: New Fit 1.5 16V 09/14</t>
  </si>
  <si>
    <t xml:space="preserve">Cilindro mestre duplo
Alumínio
Ø 19,05mm
2 furos M10x1
C/ ABS
Sistema Nissin</t>
  </si>
  <si>
    <t xml:space="preserve">RENAULT: Kwid 1.0 12V 3 cil 17/20</t>
  </si>
  <si>
    <t xml:space="preserve">Cilindro mestre duplo
Alumínio
Ø 19,05mm
2 furos M10x1
C/ ABS
C/ Reservatório
Flange de fixação reta</t>
  </si>
  <si>
    <t xml:space="preserve">Cilindro mestre duplo
Alumínio
Ø 26,99mm
2 furos M12x1
C/ Reservatório
C/ ABS
Sistema Bosch
Flange com encaixe reto</t>
  </si>
  <si>
    <t xml:space="preserve">RENAULT: Clio 1.0 16V D4D 98/16
RENAULT: Clio 1.6 16V K4M 98/06
RENAULT: Clio 1.6 8V K7M 98/02
RENAULT: Symbol 1.6 16V K4M 09/13
RENAULT: Symbol 1.6 8V K7M 09/13</t>
  </si>
  <si>
    <t xml:space="preserve">0986AB8598 (BOSCH)
7657 (ATE)
7701205742 (OEM)
C2202 (CONTROIL)</t>
  </si>
  <si>
    <t xml:space="preserve">Cilindro mestre duplo
Alumínio
Ø 20,64mm
1 furo M12x1
1 furo M10x1
2 furos
C/ ABS
Sistema Bosch</t>
  </si>
  <si>
    <t xml:space="preserve">RENAULT: Captur 1.6 16V SCE H4M 16/...
RENAULT: Captur 2.0 16V F4R 16/...
RENAULT: Duster 1.6 16V SCE H4M 16/...
RENAULT: Duster 2.0 16V F4R 16/...
RENAULT: Oroch 1.6 16V SCE H4M 16/...
RENAULT: Oroch 2.0 16V F4R 16/...</t>
  </si>
  <si>
    <t xml:space="preserve">Cilindro mestre duplo
Alumínio
Ø 22,22mm
2 saídas M12x1
C/ ABS
C/ Reservatório
Para veículos com ESP
Sistema ATE</t>
  </si>
  <si>
    <t xml:space="preserve">TOYOTA: Bandeirante 3.8 OM314 82/96
TOYOTA: Bandeirante 4.0 OM364 82/96</t>
  </si>
  <si>
    <t xml:space="preserve">6340 (ATE)
C2068 (CONTROIL)
RCCD00292 (TRW)</t>
  </si>
  <si>
    <t xml:space="preserve">TOYOTA: Yaris 1.3 16V 18/...
TOYOTA: Yaris 1.5 16V 18/...</t>
  </si>
  <si>
    <t xml:space="preserve">0204838259 (BOSCH)
4720109870 (OEM)</t>
  </si>
  <si>
    <t xml:space="preserve">Cilindro mestre duplo
Alumínio
Ø 20,64mm
2 furos M12x1
C/ Reservatório
C/ ABS
Aplicação em veículos com câmbio automático
Sistema Bosch</t>
  </si>
  <si>
    <t xml:space="preserve">VOLKSWAGEN: Kombi 1.4 8V Flex 06/12
VOLKSWAGEN: Kombi 1600 Ar 82/05</t>
  </si>
  <si>
    <t xml:space="preserve">0986AB8601 (BOSCH)
2116110152 (OEM)
6091 (ATE)
C2018 (CONTROIL)
CM9220 (BOSCH)
RCCD00500 (TRW)</t>
  </si>
  <si>
    <t xml:space="preserve">Cilindro mestre duplo
Ferro fundido
Ø 23,81mm
5 furos M10x1</t>
  </si>
  <si>
    <t xml:space="preserve">GM: Blazer 2.2 EFI 95/98
GM: Blazer 2.2 MPFI 97/00
GM: Blazer 2.4 MPFI 00/12
GM: Blazer 2.5 Diesel 4x4 97/00
GM: Blazer 2.8 Diesel 97/09
GM: Blazer 4.3 V6 MPFI 96/03
GM: S10 2.2 EFI 95/97
GM: S10 2.2 MPFI 97/00
GM: S10 2.4 MPFI 00/12
GM: S10 2.8 Diesel 4x4 00/12
GM: S10 4.3 V6 96/03</t>
  </si>
  <si>
    <t xml:space="preserve">0986AB8672 (BOSCH)
93249824 (OEM)
C2214 (CONTROIL)
CM2593 (BOSCH)</t>
  </si>
  <si>
    <t xml:space="preserve">Cilindro mestre duplo
Ferro fundido
Ø 25,40mm
2 furos M10x1
C/ ABS nas 4 rodas</t>
  </si>
  <si>
    <t xml:space="preserve">Cilindro mestre duplo
Alumínio
Ø 22,22mm
2 saídas M10x1
C/ ABS
C/ Reservatório
Para veículos sem ESP 
Sistema ATE</t>
  </si>
  <si>
    <t xml:space="preserve">HYUNDAI: iX35 2.0 16V 09/21
KIA: Sportage 2.0 16V 11/13</t>
  </si>
  <si>
    <t xml:space="preserve">Cilindro mestre duplo
Alumínio
Ø 22,22mm
2 saídas M12x1
C/ ABS
C/ Reservatório
Para veículos com ESP</t>
  </si>
  <si>
    <t xml:space="preserve">HYUNDAI: Creta 1.6 16V 17/...
HYUNDAI: Creta 2.0 16V 17/...</t>
  </si>
  <si>
    <t xml:space="preserve">CITROEN: Jumpy 1.6 8V Diesel DV6 16/...
PEUGEOT: Expert 1.6 8V Diesel DV6 16/...</t>
  </si>
  <si>
    <t xml:space="preserve">Cilindro mestre duplo
Alumínio
Ø
2 saídas M10x1
C/ ABS
C/ Reservatório
Sistema ATE</t>
  </si>
  <si>
    <t xml:space="preserve">NISSAN: Frontier 2.5 16V QR25DR 190HP 13/...</t>
  </si>
  <si>
    <t xml:space="preserve">Cilindro mestre duplo
Alumínio
Ø 
2 furos
C/ Reservatório
C/ ABS</t>
  </si>
  <si>
    <t xml:space="preserve">Cilindro mestre duplo
Alumínio
Ø 23,81mm
2 furos M12x1
C/ Reservatório
C/ ABS
S/ ESP (sem controle de estabilidade)</t>
  </si>
  <si>
    <t xml:space="preserve">IVECO: Daily 4910/4912/5912/6012/7012 2.8 8V 97/05
IVECO: Daily 9013/7012/7013 2.8 8V 06/07</t>
  </si>
  <si>
    <t xml:space="preserve">Cilindro mestre duplo
Ferro fundido
Ø 28,50mm
2 furos M10x1</t>
  </si>
  <si>
    <t xml:space="preserve">CHERY: Cielo 1.6 16V 10/...</t>
  </si>
  <si>
    <t xml:space="preserve">Cilindro mestre duplo
Alumínio
Ø 23,81mm
2 furos M12x1
C/ ABS</t>
  </si>
  <si>
    <t xml:space="preserve">BMW: X3 (F25) sDrive 28i 2.0 16V N20B20A 11/17
BMW: X3 (F25) xDrive 20i 2.0 16V N20B20A 11/17
BMW: X3 (F25) xDrive 35i 3.0 6cil N54B30A / N55B30A 10/17
BMW: X4 (F26) xDrive 20i 2.8 16V N20B20A 14/18
BMW: X4 (F26) xDrive 35i 3.0 6 cil N54B30A / N55B30A 14/18</t>
  </si>
  <si>
    <t xml:space="preserve">CITROEN: C4 1.6 16V 05/11
CITROEN: C4 2.0 16V 05/11
PEUGEOT: 307 1.6 16V 05/11
PEUGEOT: 307 2.0 16V 05/11</t>
  </si>
  <si>
    <t xml:space="preserve">Cilindro mestre duplo
Alumínio
Ø
2 saídas M11x1
C/ ABS
Sistema Bosch</t>
  </si>
  <si>
    <t xml:space="preserve">LAND ROVER: Evoque 2.0 Si4       204PT 11/…
LAND ROVER: Freelander 2 3.2 6 cil. B6324S 06/14
VOLVO: S60 2.0 20V Turbo 5 cil 05/…
VOLVO: S60 T5 2.0 20V Turbo 5 cil 05/…
VOLVO: V60 2.0 20V Turbo 5 cil 06/…
VOLVO: V60 T5 2.0 20V Turbo 5 cil 10/…
VOLVO: V70 2.0 16V 07/…
VOLVO: V70 2.0 20V Turbo 5 cil 10/…
VOLVO: V70 T5 2.0 20V Turbo 5 cil 10/…
VOLVO: XC60 2.0 20V Turbo 5 cil 10/…
VOLVO: XC60 2.5 5 Turbo 5 cil. 15/16
VOLVO: XC60 AWD 3.2 6 cil. B6324S 09/10
VOLVO: XC60 AWD 3.2 6 cil. B6324S5 10/15
VOLVO: XC60 T5 2.0 20V Turbo 5 cil 10/…
VOLVO: XC60 T6 AWD 3.0 6 cil B6304T2 08/10
VOLVO: XC60 T6 AWD 3.0 6 cil B6304T4 / B6304T3 14/15
VOLVO: XC60 T6 AWD 3.0 6 cil. B6304T4 10/15
VOLVO: XC70 AWD 3.2 6 cil. B6324S 07/...
VOLVO: XC70 AWD 3.2 6 cil. B6324S5 10/...
VOLVO: XC70 T6 AWD 3.0 6 cil. B6304T2 08/...
VOLVO: XC70 T6 AWD 3.0 6 cil. B6304T4 10/...</t>
  </si>
  <si>
    <t xml:space="preserve">Cilindro mestre duplo
Alumínio
Ø
2 saídas M12x1
C/ ABS
Para veículos com ESP
Sistema ATE</t>
  </si>
  <si>
    <t xml:space="preserve">FORD: Fusion 2.0 16V Ecoboost 13/...
FORD: Fusion 2.5 16V Duratec 13/...</t>
  </si>
  <si>
    <t xml:space="preserve">Cilindro mestre duplo
Alumínio
Ø 22,22MM
2 saídas M12x1
C/ ABS
C/ Reservatório
Para veículos com ESP
Sistema ATE</t>
  </si>
  <si>
    <t xml:space="preserve">FORD: Focus 1.6 8V Zetec Rocam 07/08
FORD: Focus 2.0 16V Duratec 05/08
FORD: Focus 2.0 16V Zetec 00/05</t>
  </si>
  <si>
    <t xml:space="preserve">94S4Z2140B (OEM)
C2218 (CONTROIL)</t>
  </si>
  <si>
    <t xml:space="preserve">Cilindro mestre duplo
Alumínio
Ø 23,81mm
2 furos M12x1
C/ Reservatório
C/ ABS</t>
  </si>
  <si>
    <t xml:space="preserve">VOLKSWAGEN: Jetta 2.0 8V CKJA 10/16
VOLKSWAGEN: Jetta 2.5 20V 5 cil   BTK 05/11
VOLKSWAGEN: Jetta Variant 2.5 20V 5 cil   BTK 07/14
VOLKSWAGEN: New Beetle 2.0 16V TSI 211cv 12/16</t>
  </si>
  <si>
    <t xml:space="preserve">1K1614019M (OEM)
C2238 (CONTROIL)</t>
  </si>
  <si>
    <t xml:space="preserve">Cilindro mestre duplo
Alimínio
Ø 22,22mm
2 saídas M12x1
C/ ABS
C/ Sensor
Para veículos com controle de estabilidade
Sistema FTE</t>
  </si>
  <si>
    <t xml:space="preserve">AUDI: A3 Sportback 1.4 16V TFSI 13/...
AUDI: A3 Sportback 2.0 16V TFSI 16/...
AUDI: S3 2.0 16V TFSI 13/...
VOLKSWAGEN: Golf 1.0 12V TSI 16/...
VOLKSWAGEN: Golf 1.4 16V TSI 13/...
VOLKSWAGEN: Golf 1.6 16V MSI 14/...
VOLKSWAGEN: Golf GTI 2.0 16V TSI 13/...
VOLKSWAGEN: Golf Variant 1.4 16V TSI 13/...</t>
  </si>
  <si>
    <t xml:space="preserve">Cilindro mestre duplo
Alumínio
Ø 23,81mm
2 furos M12x1
C/ ABS
Sistema ATE</t>
  </si>
  <si>
    <t xml:space="preserve">AUDI: A3 1.4 TFSI CZCC 16/20
AUDI: A3 1.8 TSFI QUATTRO CJSB 12/16
AUDI: A3 2.0 TFSI CZPB 16/17
VOLKSWAGEN: Polo 1.0 12V TSI EA211 17/...
VOLKSWAGEN: T-Cross 1.0 12V TSI 19/...
VOLKSWAGEN: T-Cross 1.4 16V TSI 19/...
VOLKSWAGEN: Virtus 1.0 12V TSI EA211 17/...
VOLKSWAGEN: Virtus 1.4 16V TSI EA211 23/...
VOLKSWAGEN: Virtus GTS 1.4 16V TSI EA211 20/22</t>
  </si>
  <si>
    <t xml:space="preserve">Cilindro mestre duplo
Alumínio
Ø 23,81mm
2 saídas M12x1
C/ ABS
C/ Reservatório
Sistema ATE</t>
  </si>
  <si>
    <t xml:space="preserve">Cilindro mestre duplo
Alumínio
Ø
2 saídas M12x1
C/ ABS</t>
  </si>
  <si>
    <t xml:space="preserve">VOLKSWAGEN: VW 7-110S 3.9 8V D229 87/94</t>
  </si>
  <si>
    <t xml:space="preserve">C2076 (CONTROIL)
RCCM00209 (TRW)
RCCM00240 (TRW)</t>
  </si>
  <si>
    <t xml:space="preserve">Cilindro mestre simples
Ferro fundido
Ø 31,75mm
2 saídas M12x1</t>
  </si>
  <si>
    <t xml:space="preserve">FORD: F250 4.2 16V Cummins 4BTAA 98/08
FORD: F250 4.2 18V MWM 6.07 TCA 98/08
FORD: F250 4.2 V6 Diesel 98/09
FORD: F250 Super Duty 3.9 16V Cummins 98/02
FORD: F250 Super Duty 4.2 V6 Diesel 98/03
FORD: F250 Tropical 4.2 18V MWM 6.07TCA 04/08
FORD: F250 Tropical 4.2 V6 Diesel 98/03
FORD: F350 3.9 16V Cummins 4BTAA 98/12
FORD: F350 3.9 8V Cummins 4bTAA 05/12
FORD: F4000 2.9 8V MWM 229/4 05/07
FORD: F4000 3.9 8V Cummins 4BTT 05/06</t>
  </si>
  <si>
    <t xml:space="preserve">0986AB8674 (BOSCH)
YC352A032AA (OEM)</t>
  </si>
  <si>
    <t xml:space="preserve">Cilindro mestre duplo
Alumínio
Ø 31,75mm
2 Saídas 
Sistema Bosch</t>
  </si>
  <si>
    <t xml:space="preserve">GM: Montana 1.2 12V 3 cil Turbo 23/...
GM: Tracker 1.0 12V 3 cil Turbo 20/...
GM: Tracker 1.2 12V 3 cil Turbo 20/...</t>
  </si>
  <si>
    <t xml:space="preserve">26318090 (OEM)
C2275 (CONTROIL)</t>
  </si>
  <si>
    <t xml:space="preserve">Cilindro mestre duplo
Alumínio
Ø 22,22mm
2 saídas M12x1
C/ ABS</t>
  </si>
  <si>
    <t xml:space="preserve">VOLKSWAGEN: Delivery 4.150 Express Euro V 18/...
VOLKSWAGEN: Delivery 4.170 Express Euro VI 18/...
VOLKSWAGEN: Delivery 6.160 Express Euro V / Euro VI 18/...
VOLKSWAGEN: Delivery 6.170 Express Euro VI 18/...</t>
  </si>
  <si>
    <t xml:space="preserve">Cilindro mestre duplo
Alumínio
2 Saídas</t>
  </si>
  <si>
    <t xml:space="preserve">GM: Onix 1.0 12V 3 cil Aspirado 20/...
GM: Onix 1.0 12V 3 cil Turbo 20/...
GM: Onix Plus 1.0 12V 3 cil Aspirado 20/...
GM: Onix Plus 1.0.12V 3 cil Turbo 20/...</t>
  </si>
  <si>
    <t xml:space="preserve">26315212 (OEM)
C2227 (CONTROIL)</t>
  </si>
  <si>
    <t xml:space="preserve">Cilindro mestre duplo
Alumínio
Ø 19,05mm
2 saídas M12x1
C/ ABS</t>
  </si>
  <si>
    <t xml:space="preserve">DODGE: Ram 2500 5.7 8 cil Diesel 12/18
DODGE: Ram 2500 6.7 6 cil Diesel 12/18</t>
  </si>
  <si>
    <t xml:space="preserve">NISSAN: Sentra 2.0 16V 06/10</t>
  </si>
  <si>
    <t xml:space="preserve">46010ET010 (OEM)
7638 (ATE)</t>
  </si>
  <si>
    <t xml:space="preserve">Cilindro mestre duplo
Alumínio
Ø 23,81mm
2 saídas M10x1
C/ ABS
C/ Reservatório
Para veículos com transmissão automática e sem controle de estabilidade</t>
  </si>
  <si>
    <t xml:space="preserve">NISSAN: Sentra 2.0 16V 11/13</t>
  </si>
  <si>
    <t xml:space="preserve">Cilindro mestre duplo
Alumínio
Ø 23,81mm
2 saídas M12x1
C/ ABS
C/ Reservatório
Para veículos com transmissão automática e com controle de estabilidade</t>
  </si>
  <si>
    <t xml:space="preserve">TOYOTA: Hilux 2.7 16V Flex 11/15
TOYOTA: Hilux 3.0 16V Turbo Diesel 12/15
TOYOTA: SW4 2.7 16V Flex 12/15
TOYOTA: SW4 3.0 16V Turbo Diesel 11/15</t>
  </si>
  <si>
    <t xml:space="preserve">Cilindro mestre duplo
Alumínio
Ø
2 saídas M12x1
C/ ABS
C/ Reservatório
Para veículos com transmissão automátiva e com controle de estabilidade</t>
  </si>
  <si>
    <t xml:space="preserve">TOYOTA: RAV4 2.0 16V 01/05</t>
  </si>
  <si>
    <t xml:space="preserve">Cilindro mestre duplo
Alumínio
Ø
2 saídas M
C/ ABS
C/ Reservatório
Para veículos com transmissão automática</t>
  </si>
  <si>
    <t xml:space="preserve">Cilindro mestre duplo
Alumínio
Ø 22,22mm
2 saídas M10x1
C/ ABS
C/ Reservatório
Sistema TRW</t>
  </si>
  <si>
    <t xml:space="preserve">NISSAN: Kicks 1.6 16V 16/...</t>
  </si>
  <si>
    <t xml:space="preserve">Cilindro mestre duplo
Alumínio
Ø
2 saídas
C/ ABS
C/ Reservatório
Para veículos com transmissão automática</t>
  </si>
  <si>
    <t xml:space="preserve">NISSAN: Sentra 2.0 16V 13/...</t>
  </si>
  <si>
    <t xml:space="preserve">Cilindro mestre duplo
Alumínio
Ø
2 saídas M12x1
C/ ABS
C/ Reservatórios
Para veículos com transmissão automática e com controle de estabilidade</t>
  </si>
  <si>
    <t xml:space="preserve">ASIA: Topic 2.7 8V Diesel 93/98
KIA: Besta 2.2 8V Diesel 93/98
KIA: Besta 2.7 8V Diesel 93/98
KIA: Bongo K2400 2.4 8V Diesel 93/97</t>
  </si>
  <si>
    <t xml:space="preserve">Cilindro mestre duplo
Ferro fundido</t>
  </si>
  <si>
    <t xml:space="preserve">HONDA: City 1.5 16V 15/20
HONDA: Fit 1.5 16V 15/...
HONDA: WRV 1.5 16V 18/19</t>
  </si>
  <si>
    <t xml:space="preserve">46100-T5R-A11 (OEM)</t>
  </si>
  <si>
    <t xml:space="preserve">Cilindro mestre duplo
Alumínio
Ø 19,05mm
2 saídas M12x1
C/ ABS
C/ Reservatório
Para veículos com transmissão automática</t>
  </si>
  <si>
    <t xml:space="preserve">Cilindro mestre duplo
Alumínio
Ø 19,05
2 saídas M10x1
C/ ABS
C/ Reservatório</t>
  </si>
  <si>
    <t xml:space="preserve">46100-T5R-A01 (OEM)</t>
  </si>
  <si>
    <t xml:space="preserve">Cilindro mestre duplo
Alumínio
Ø 19,05
2 saídas M12x1
C/ ABS
C/ Reservatório
Para veículos com transmissão manual</t>
  </si>
  <si>
    <t xml:space="preserve">HONDA: HRV 1.8 16V 15/...</t>
  </si>
  <si>
    <t xml:space="preserve">Cilindro mestre duplo
Alumínio
Ø
2 saídas M12x1
C/ ABS
C/ Reservatório
Para veículos com transmissão automática e com controle de estabilidade</t>
  </si>
  <si>
    <t xml:space="preserve">KIA: Sorento 3.3 V6 16/18
KIA: Sorento 3.5 V6 19/20</t>
  </si>
  <si>
    <t xml:space="preserve">Cilindro mestre duplo
Alumínio
Ø
2 saídas 
C/ ABS</t>
  </si>
  <si>
    <t xml:space="preserve">KIA: Sorento 2.5 CRDi Diesel 06/08</t>
  </si>
  <si>
    <t xml:space="preserve">Cilindro mestre duplo
Alumínio
Ø
2 saídas 
C/ ABS
C/ Reservatório</t>
  </si>
  <si>
    <t xml:space="preserve">HYUNDAI: Santa Fe 3.5 V6 10/15
KIA: Sorento 3.5 V6 10/15</t>
  </si>
  <si>
    <t xml:space="preserve">Cilindro mestre duplo
Alumínio
Ø
2 saídas
C/ ABS 
C/ Reservatório</t>
  </si>
  <si>
    <t xml:space="preserve">HYUNDAI: Santa Fe 2.7 V6 G6BA / G6EA 06/…
KIA: Carnival / Grand Carnival 2.7 V6    G6BA / G6EA 06/…
KIA: Magentis 2.7 V6    G6BA / G6EA 05/…</t>
  </si>
  <si>
    <t xml:space="preserve">HYUNDAI: Santa Fe 3.3 V6 13/19</t>
  </si>
  <si>
    <t xml:space="preserve">Cilindro mestre duplo
Alumínio
Ø
2 saídas
C/ ABS
C/ Reservatório</t>
  </si>
  <si>
    <t xml:space="preserve">HYUNDAI: Azera 3.0 24V V6 12/...</t>
  </si>
  <si>
    <t xml:space="preserve">HYUNDAI: Elantra 1.8 16V 16/...</t>
  </si>
  <si>
    <t xml:space="preserve">13486143 (OEM)
7666 (ATE)
C2228 (CONTROIL)</t>
  </si>
  <si>
    <t xml:space="preserve">Cilindro mestre duplo
Alumínio
Ø
2 saídas
C/ ABS
C/ Reservatório
Para veículos com transmissão automática e com controle de estabilidade</t>
  </si>
  <si>
    <t xml:space="preserve">HYUNDAI: HD78 3.0 16V 11/...</t>
  </si>
  <si>
    <t xml:space="preserve">NISSAN: Frontier 2.3 16V Turbo 17/...</t>
  </si>
  <si>
    <t xml:space="preserve">Cilindro mestre duplo
Alumínio
Ø
2 saídas M12x1
C/ ABS
C/ Reservatório
Transmissão automática</t>
  </si>
  <si>
    <t xml:space="preserve">Cilindro mestre duplo
Alumínio
Ø
2 saídas M12x1
C/ ABS
C/ Reservatório
Transmissão manual</t>
  </si>
  <si>
    <t xml:space="preserve">Cilindro mestre duplo
Alumínio
Ø
2 saídas M10x1
C/ ABS
C/ Reservatório
C/ ESP Controle de estabilidade
Transmissão automática</t>
  </si>
  <si>
    <t xml:space="preserve">Cilindro mestre duplo
Alumínio
Ø
2 saídas M10x1
C/ ABS
C/ Reservatório
C/ ESP Controle de estabilidade
Transmissão manual</t>
  </si>
  <si>
    <t xml:space="preserve">7669 (ATE)
935390407 (OEM)</t>
  </si>
  <si>
    <t xml:space="preserve">Cilindro mestre duplo
Alumínio
Ø 23,81mm
2 Saídas M10x1
C/ ABS</t>
  </si>
  <si>
    <t xml:space="preserve">Cilindro mestre duplo
Alumínio
Ø 20,64mm
Sistema TRW</t>
  </si>
  <si>
    <t xml:space="preserve">Cilindro mestre duplo
Alumínio
Ø 22,22mm
2 saídas M10x1
C/ ABS
C/ Reservatório
Para veículos sem ESP</t>
  </si>
  <si>
    <t xml:space="preserve">TOYOTA: RAV4 2.0 16V 1AZFE 06/13
TOYOTA: RAV4 2.0 16V 3ZRFAE 08/18
TOYOTA: RAV4 2.0 16V 3ZRFE 12/19
TOYOTA: RAV4 2.5 16V 2ARFE 12/18</t>
  </si>
  <si>
    <t xml:space="preserve">Cilindro mestre duplo
Alumínio
Ø 22,22mm
2 saídas M10x1
C/ ABS e ESP (controle de estabilidade)
C/ Rerservatório</t>
  </si>
  <si>
    <t xml:space="preserve">KIA: Besta GS 3.0 8V J2 Diesel 98/05</t>
  </si>
  <si>
    <t xml:space="preserve">0K72A43400A (OEM)
0K72B43400 (OEM)
C2162 (CONTROIL)
PMZ718 (TRW)</t>
  </si>
  <si>
    <t xml:space="preserve">Cilindro mestre duplo
Ferro fundido
Ø 23,81mm
4 saídas M10x1</t>
  </si>
  <si>
    <t xml:space="preserve">HONDA: CRV 2.0 16V 07/11</t>
  </si>
  <si>
    <t xml:space="preserve">HONDA: CRV 2.0 16V 12/...</t>
  </si>
  <si>
    <t xml:space="preserve">Cilindro mestre duplo
Alumínio
Ø 22,22mm
2 saídas M10x1
C/ ABS
C/ Reservatório</t>
  </si>
  <si>
    <t xml:space="preserve">VOLKSWAGEN: Jetta 1.4 16V TSI 16/...</t>
  </si>
  <si>
    <t xml:space="preserve">Cilindro mestre duplo
Alumínio
Ø 23,81mm
2 saídas M12x1
C/ ABS
Sistema TRW</t>
  </si>
  <si>
    <t xml:space="preserve">PEUGEOT: 208 Active 1.0 3 cil. 21/...
PEUGEOT: 208 Active Pack 1.2 3 cil. 19/...
PEUGEOT: 208 Active Pack 1.6 16V 19/...
PEUGEOT: 208 Active1.2 3 cil. 19/...
PEUGEOT: 208 Allure 1.2 3 cil. 19/...
PEUGEOT: 208 Allure 1.6 16V 19/...
PEUGEOT: 208 Griffe 1.6 16V 19/...</t>
  </si>
  <si>
    <t xml:space="preserve">32672071 (OEM)</t>
  </si>
  <si>
    <t xml:space="preserve">Cilindro mestre duplo
Alumínio
Ø 22,22mm
2 saídas M12x1
C/ ABS
Somente para modelos equipados com tambor no freio traseiro
Sistema TRW</t>
  </si>
  <si>
    <t xml:space="preserve">CHERY: Tiggo 5X 1.5 16V Turbo E4T15B / E4G16 19/...
CHERY: Tiggo 5x Pro 1.5 16V Turbo Hybrid 22/...
CHERY: Tiggo 7 Pro 1.5 16V Turbo Hybrid 22/...
CHERY: Tiggo 7 Pro 1.6 16V Turbo 22/...
CHERY: Tiggo 7 Pro Max 1.6 16V Turbo 23/...
CHERY: Tiggo 8 1.5 16V Turbo Hybrid 22/...
CHERY: Tiggo 8 1.6 16V Turbo 20/...
CHERY: Tiggo 8 Pro 1.6 16V Turbo 22/...</t>
  </si>
  <si>
    <t xml:space="preserve">Cilindro mestre duplo
Alumínio
Ø 23,81mm
2 saídas M11x1
C/ ABS
Sistema Mando</t>
  </si>
  <si>
    <t xml:space="preserve">VOLKSWAGEN: Up 1.0 12V 3cil 14/21
VOLKSWAGEN: Up 1.0 12V TSI 14/21</t>
  </si>
  <si>
    <t xml:space="preserve">Cilindro mestre duplo
Alumínio
Ø 22,20mm
2 saídas M12x1
C/ Reservatório
C/ ABS
Sistema ATE</t>
  </si>
  <si>
    <t xml:space="preserve">FORD: F350  62/84
FORD: F400  62/84
FORD: F4000  62/84</t>
  </si>
  <si>
    <t xml:space="preserve">7616 (ATE)
RCCM22377 (TRW)</t>
  </si>
  <si>
    <t xml:space="preserve">Cilindro mestre simples
Ferro fundido
Ø 1 1/4"</t>
  </si>
  <si>
    <t xml:space="preserve">DODGE: Ram 2500 5.7 8 cil Diesel 05/11
DODGE: Ram 2500 5.9 6 cil Diesel 05/11
DODGE: Ram 2500 6.7 6 cil Diesel 05/11</t>
  </si>
  <si>
    <t xml:space="preserve">Cilindro mestre duplo
Alumínio
Ø 33,34mm
C/ ABS
C/ Reservatório</t>
  </si>
  <si>
    <t xml:space="preserve">GM: A10 2.5 8V 4 cil. 80/84
GM: C10 4.1 12V 6 cil. 78/84</t>
  </si>
  <si>
    <t xml:space="preserve">Cilindro mestre duplo
Ferro fundido
Ø 25,40mm
3 saídas</t>
  </si>
  <si>
    <t xml:space="preserve">FORD: F1000 3.6 12V 6 cil. 85/92
FORD: F1000 3.9 8V 4 cil. 85/92
FORD: F2000 3.9 8V 4 cil. 80/83</t>
  </si>
  <si>
    <t xml:space="preserve">6341 (ATE)
85TU2140B (OEM)
C2039 (CONTROIL)
RCCD00160 (TRW)</t>
  </si>
  <si>
    <t xml:space="preserve">Cilindro mestre duplo
Ferro fundido
Ø 25,40mm
2 saídas</t>
  </si>
  <si>
    <t xml:space="preserve">KIA: Sportage 2.0 16V 11/15</t>
  </si>
  <si>
    <t xml:space="preserve">58510-2S201 (OEM)
7642 (ATE)</t>
  </si>
  <si>
    <t xml:space="preserve">Cilindro mestre duplo
Alumínio
Ø 22,23mm
2 saídas M12x1
C/ ABS
C/ Reservatório</t>
  </si>
  <si>
    <t xml:space="preserve">TOYOTA: Hilux 2.5 16V 2KD 05/11
TOYOTA: Hilux 3.0 16V 1KD 05/11
TOYOTA: Hilux 3.0 Diesel 5L / 5LE 02/05
TOYOTA: SW4 3.0 16V 1KD 05/11</t>
  </si>
  <si>
    <t xml:space="preserve">0204032603 (BOSCH)
0986AB8677 (BOSCH)
472010W030 (OEM)</t>
  </si>
  <si>
    <t xml:space="preserve">Cilindro mestre duplo
Ferro fundido
Ø 23,81mm
3 saídas M10x1</t>
  </si>
  <si>
    <t xml:space="preserve">CITROEN: C4 1.6 16V TU5JP4 04/11
CITROEN: C4 Pallas 1.6 16V TU5JP4 06/11
PEUGEOT: 307 / SW 1.6 16V TU5JP4 00/09
PEUGEOT: 307 / SW 2.0 16V EW10A 05/07</t>
  </si>
  <si>
    <t xml:space="preserve">Cilindro mestre duplo
Alumínio
Ø 23,81mm
2 saídas M12x1
C/ ABS
S/ ESP
Sistema Bosch</t>
  </si>
  <si>
    <t xml:space="preserve">RENAULT: Megane 1.6 16V K4M 06/12
RENAULT: Megane 2.0 16V F4R 01/10
RENAULT: Megane Grand Tour 1.6 16V K4M 06/12
RENAULT: Megane Grand Tour 2.0 16V F4R 06/11</t>
  </si>
  <si>
    <t xml:space="preserve">7701207697 (OEM)
C2184 (CONTROIL)</t>
  </si>
  <si>
    <t xml:space="preserve">Cilindro mestre duplo
Alumínio
Ø 23,81mm
2 saídas M12x1
C/ ABS
Sistema ATE</t>
  </si>
  <si>
    <t xml:space="preserve">RENAULT: Kwid 1.0 12V 3 cil 17/23</t>
  </si>
  <si>
    <t xml:space="preserve">Cilindro mestre duplo
Alumínio
Ø 19,05mm
2 saídas
C/ ABS
Flange fixação diagonal</t>
  </si>
  <si>
    <t xml:space="preserve">AUDI: A1 1.4 16V TFSI 10/15</t>
  </si>
  <si>
    <t xml:space="preserve">Cilindro mestre duplo
Alumínio
Ø 22,20mm
2 saídas M12x1
C/ ABS
Sistema FTE</t>
  </si>
  <si>
    <t xml:space="preserve">RENAULT: Duster 1.3 3 cil Turbo 22/...
RENAULT: Duster 1.6 16V 10/21
RENAULT: Duster 1.6 16V 22/...
RENAULT: Duster 2.0 16V 10/21
RENAULT: Oroch 1.3 3 cil Turbo 22/...
RENAULT: Oroch 1.6 16V 10/21
RENAULT: Oroch 1.6 16V 22/...
RENAULT: Oroch 2.0 16V 10/21</t>
  </si>
  <si>
    <t xml:space="preserve">Cilindro mestre de freio
Alumínio
Ø 22,22mm
2 saídas M10x1
C/ ABS
Sistema TRW</t>
  </si>
  <si>
    <t xml:space="preserve">CITROEN: C3 Picasso 1.6 16V VTi 09/15
CITROEN: C4 Cactus 1.6 16V 19/...
CITROEN: C4 Cactus 1.6 16V THP 19/...
CITROEN: DS3 1.6 16V THP 10/15</t>
  </si>
  <si>
    <t xml:space="preserve">4601R9 (OEM)
7677 (ATE)</t>
  </si>
  <si>
    <t xml:space="preserve">NISSAN: Frontier 2.3 16V 18/...</t>
  </si>
  <si>
    <t xml:space="preserve">Cilindro mestre duplo
Alumínio
Ø 26,99mm
2 saídas M12x1
C/ ABS
S/ Reservatório
Sistema Bosch</t>
  </si>
  <si>
    <t xml:space="preserve">JEEP: Compass 2.0 16V Diesel 16/20
JEEP: Compass 2.0 16V Diesel 21/...</t>
  </si>
  <si>
    <t xml:space="preserve">68347156AC (OEM)
C2270 (CONTROIL)</t>
  </si>
  <si>
    <t xml:space="preserve">Cilindro mestre duplo
Alumínio
Ø 25,40mm
2 saídas M12x1
C/ ABS
Sistema Bosch</t>
  </si>
  <si>
    <t xml:space="preserve">GM: Corsa 1.0 8V 94/98
GM: Corsa 1.4 8V 94/98
GM: Corsa 1.6 16V 94/98
GM: Corsa 1.6 8V 94/98</t>
  </si>
  <si>
    <t xml:space="preserve">Cilindro mestre duplo
Ferro fundido
Ø 20,60mm
2 saídas M12x1
2 saídas M10x1
Sistema de freio Delco Remy</t>
  </si>
  <si>
    <t xml:space="preserve">CLINDRO MESTRE DE FREIO</t>
  </si>
  <si>
    <t xml:space="preserve">Cilindro mestre de freio duplo
Alumínio
Ø
2 saídas
C/ ABS
Sistema Bosch
Mesmo cilindro SBC1137
Sem Reservatório</t>
  </si>
  <si>
    <t xml:space="preserve">DODGE: Journey 2.7 V6 08/10
DODGE: Journey 3.6 V6 11/12</t>
  </si>
  <si>
    <t xml:space="preserve">68038556AA (OEM)
68100294AA (OEM)
68100365AA (OEM)</t>
  </si>
  <si>
    <t xml:space="preserve">Cilindro mestre duplo
Alumínio
Ø 23,83mm
2 saídas
C/ ABS</t>
  </si>
  <si>
    <t xml:space="preserve">MITSUBISHI: ASX 2.0 16V 13/15
MITSUBISHI: Outlander 2.0 16V 13/19</t>
  </si>
  <si>
    <t xml:space="preserve">Cilindro mestre duplo
Alumínio
Ø
2 saídas
C/ ABS</t>
  </si>
  <si>
    <t xml:space="preserve">GMC: GMC 7110 4.3 8V 4HF1 96/03</t>
  </si>
  <si>
    <t xml:space="preserve">8-97108712-1 (OEM)
97315166 (OEM)</t>
  </si>
  <si>
    <t xml:space="preserve">Cilindro mestre duplo
Alumínio
Ø 31,80 mm
2 saídas M10x1</t>
  </si>
  <si>
    <t xml:space="preserve">FORD: Focus 2.0 16V Duratec 08/10</t>
  </si>
  <si>
    <t xml:space="preserve">6M512140BB (OEM)
6M512140BC (OEM)
C2185 (CONTROIL)</t>
  </si>
  <si>
    <t xml:space="preserve">Cilindro mestre duplo
Alumínio
Ø 25,40mm
2 saídas M14x1
C/ ABS
Sistema ATE</t>
  </si>
  <si>
    <t xml:space="preserve">C2212 (CONTROIL)
D3BC2004AA (OEM)</t>
  </si>
  <si>
    <t xml:space="preserve">Ciliindro mestre duplo
Alumínio
Ø 20,64mm
2 saídas M10x1
C/ABS
C/ Reservatório
Com transmissão automática
S/ ESP</t>
  </si>
  <si>
    <t xml:space="preserve">Cilindro mestre duplo
Alumínio
Ø 20,64mm
2 saídas M10x1
C/ ABS
Mesmo cilindro SBC1080
Sem Reservatório</t>
  </si>
  <si>
    <t xml:space="preserve">Cilindro mestre duplo
Alumínio
Ø 20,64mm
2 saídas M12x1
C/ ABS
Mesmo cilindro SBC1080B
Sem Reservatório</t>
  </si>
  <si>
    <t xml:space="preserve">MITSUBISHI: L200 Sport 2.5 8V 4D56 2003
MITSUBISHI: Pajero Sport 3.5 24V V6 06/11</t>
  </si>
  <si>
    <t xml:space="preserve">C-2179 (CONTROIL)
MB618717 (OEM)</t>
  </si>
  <si>
    <t xml:space="preserve">94769766 (OEM)
C2230 (CONTROIL)</t>
  </si>
  <si>
    <t xml:space="preserve">Cilindro mestre duplo
Alumínio
Ø 22,22mm
2 saídas M12x1
C/ ABS
S/ Reservatório
C/ ESP
Transmissão automática ou manual</t>
  </si>
  <si>
    <t xml:space="preserve">VOLKSWAGEN: Gol G2/G3 1.0 16V 97/05
VOLKSWAGEN: Gol G2/G3 1.0 8V 94/05
VOLKSWAGEN: Gol G2/G3 1.6 8V 94/05
VOLKSWAGEN: Gol G2/G3 1.8 8V 94/03
VOLKSWAGEN: Gol G2/G3 2.0 16V 95/02
VOLKSWAGEN: Gol G2/G3 2.0 8V 94/96
VOLKSWAGEN: Gol G3/G4 1.0 8V 05/10
VOLKSWAGEN: Gol G3/G4 1.6 8V 03/07
VOLKSWAGEN: Parati 1.0 16V 97/03
VOLKSWAGEN: Parati 1.6 8V 95/05
VOLKSWAGEN: Parati 1.6 8V Flex 03/10
VOLKSWAGEN: Parati 1.8 8V 95/05
VOLKSWAGEN: Parati 2.0 16V 96/02
VOLKSWAGEN: Parati 2.0 8V 95/05
VOLKSWAGEN: Quantum 1.8 8V 93/01
VOLKSWAGEN: Quantum 2.0 8V 92/01
VOLKSWAGEN: Santana 1.8 8V 93/99</t>
  </si>
  <si>
    <t xml:space="preserve">3256110156 (OEM)
7679 (ATE)</t>
  </si>
  <si>
    <t xml:space="preserve">MERCEDES-BENZ: L 608 D  73/87
MERCEDES-BENZ: L 708 E  87/90</t>
  </si>
  <si>
    <t xml:space="preserve">0204032412 (BOSCH)
0986AB8613 (BOSCH)
3084307001 (OEM)
C2069 (CONTROIL)
RCCM00047 (TRW)</t>
  </si>
  <si>
    <t xml:space="preserve">Cilindro mestre simples
Ferro fundido
Ø 22,22mm
2 saídas M12x1</t>
  </si>
  <si>
    <t xml:space="preserve">VOLKSWAGEN: Kombi 1200 Ar 60/66
VOLKSWAGEN: Kombi 1500 Ar 67/75</t>
  </si>
  <si>
    <t xml:space="preserve">211611011J (OEM)
C2084 (CONTROIL)
RCCM22946 (TRW)</t>
  </si>
  <si>
    <t xml:space="preserve">Cilindro mestre simples
Ferro fundido
Ø 22,22mm
4 saídas M10x1</t>
  </si>
  <si>
    <t xml:space="preserve">MERCEDES-BENZ: L 608 D  72/75
MERCEDES-BENZ: LO 608  72/75</t>
  </si>
  <si>
    <t xml:space="preserve">C2154 (CONTROIL)
RCCM00063 (TRW)</t>
  </si>
  <si>
    <t xml:space="preserve">VOLKSWAGEN: Kombi 1.6 AP Diesel 81/86
VOLKSWAGEN: Kombi 1300 Ar 80/81</t>
  </si>
  <si>
    <t xml:space="preserve">2116110112 (OEM)
6344 (ATE)
C2017 (CONTROIL)
RCCM27778 (TRW)</t>
  </si>
  <si>
    <t xml:space="preserve">Cilindro mestre simples
Ferro fundido
Ø 23,81mm
3 saídas M10x1</t>
  </si>
  <si>
    <t xml:space="preserve">TOYOTA: Bandeirante OJ 50 3.7 8V 94/01
TOYOTA: Bandeirante OJ 55 3.7 8V 94/01</t>
  </si>
  <si>
    <t xml:space="preserve">C2013 (CONTROIL)
RCCD00120 (TRW)</t>
  </si>
  <si>
    <t xml:space="preserve">Cilindro mestre duplo
Ferro fundido
Ø 23,81mm
2 saídas M10x1
Sistema Varga</t>
  </si>
  <si>
    <t xml:space="preserve">CITROEN: Berlingo 1.6 16V TU5JP4 05/07
CITROEN: Berlingo 1.6 16V TU5JP4 c/ abs 18/20
CITROEN: Berlingo 1.8 8V XU7JB 98/03
CITROEN: Xsara Picasso 1.6 16V TU5JP4 s/abs 06/13
PEUGEOT: 306 1.8 16V XU7JP4 97/04
PEUGEOT: Partner 1.6 16V TU5JP4 04/18
PEUGEOT: Partner 1.8 8V XU7JB 99/03</t>
  </si>
  <si>
    <t xml:space="preserve">204123373 (BOSCH)
4601.H9 (OEM)
6070 (ATE)
C2171 (CONTROIL)</t>
  </si>
  <si>
    <t xml:space="preserve">Cilindro mestre duplo
Ferro fundido
Ø 23,81mm
2 saídas M10x1
2 saídas M12x1</t>
  </si>
  <si>
    <t xml:space="preserve">MERCEDES-BENZ: 912 OM364A 4.0 L 8V SOHV L4 88/03
MERCEDES-BENZ: 914 OM364LA 4.0 L 8V SOHV L4 88/03
MERCEDES-BENZ: L1114 OM352 5.7 L 12V SOHV L6 96/97
MERCEDES-BENZ: LB/LO 814 OM364 4.0 L 8V SOHV L4 97/05</t>
  </si>
  <si>
    <t xml:space="preserve">6884307801 (OEM)
C2169 (CONTROIL)
RCCM00030 (TRW)</t>
  </si>
  <si>
    <t xml:space="preserve">Cilindro mestre simples
Ferro fundido
Ø 31,75mm
2 saídas M10x1</t>
  </si>
  <si>
    <t xml:space="preserve">Cilindro mestre duplo
Alumínio
Ø 22,22mm
2 saídas M10x1
S/ Reservatório
C/ ABS
Sistema Bosch</t>
  </si>
  <si>
    <t xml:space="preserve">2BV1010G7E5 (OEM)
7680 (ATE)
C2226 (CONTROIL)</t>
  </si>
  <si>
    <t xml:space="preserve">Cilindro mestre duplo
Alumínio
Ø 22,22mm
2 saídas M12x1
S/ Sensor
S/ Reservatório
C/ ABS
Sistema TRW</t>
  </si>
  <si>
    <t xml:space="preserve">5Q1611021A (OEM)
C2237 (CONTROIL)</t>
  </si>
  <si>
    <t xml:space="preserve">Cilindro mestre duplo
Alumínio
Ø 23,81mm
2 saídas M12x1
C/ Sensor
C/ ABS
S/ Reservatório</t>
  </si>
  <si>
    <t xml:space="preserve">FIAT: Elba 1.5 8V FIASA 92/96
FIAT: Elba 1.6 8V Sevel 89/94
FIAT: Prêmio 1.5 8V FIASA 92/94
FIAT: Prêmio 1.6 8V Sevel 93/94
FIAT: Uno 1.0 8V Fire 05/13</t>
  </si>
  <si>
    <t xml:space="preserve">7075444 (OEM)
7077696 (OEM)
71739127 (OEM)
C2035 (CONTROIL)
CM2594S (BOSCH)</t>
  </si>
  <si>
    <t xml:space="preserve">Cilindro mestre duplo
Ferro fundido
Ø 20,63mm
3 saídas M10x1
Sistema Bosch</t>
  </si>
  <si>
    <t xml:space="preserve">GM: Celta 1.0 8V VHC 06/14
GM: Prisma 1.0 8V 09/13
GM: Prisma 1.4 8V 07/12</t>
  </si>
  <si>
    <t xml:space="preserve">93354203 (OEM)
C2168 (CONTROIL)
RCCD01670 (TRW)</t>
  </si>
  <si>
    <t xml:space="preserve">Cilindro mestre duplo
Ferro fundido
Ø 20,63mm
2 saídas M10x1
2 saídas M12x1</t>
  </si>
  <si>
    <t xml:space="preserve">TOYOTA: Corolla 1.8 16V Flex 19/...
TOYOTA: Corolla 2.0 16V 19/...</t>
  </si>
  <si>
    <t xml:space="preserve">47201-02860 (OEM)
47201-12C30 (OEM)</t>
  </si>
  <si>
    <t xml:space="preserve">Cilindro mestre duplo
Alumínio
Ø 22,22mm
2 saídas M10x1
Transmissão automática
C/ ABS
C/ Reservatório
Sistema Bosch</t>
  </si>
  <si>
    <t xml:space="preserve">NISSAN: Versa 1.6 16V 20/...</t>
  </si>
  <si>
    <t xml:space="preserve">Cilindro mestre duplo
Alumínio
Ø 22,22mm
2 saídas M10x1
Transmissão automática
C/ ABS
C/ Reservatório
Sistema ATE</t>
  </si>
  <si>
    <t xml:space="preserve">Cilindro mestre duplo
Alumínio
Ø 22,22mm
2 saídas M10x1
Transmissão manual
C/ ABS
C/ Reservatório
Sistema ATE</t>
  </si>
  <si>
    <t xml:space="preserve">FORD: Royale 1.8/2.0 AP 91/94
FORD: Versailles 2.0 8V AP 95/96
VOLKSWAGEN: Fox 1.0/1.6 03/14
VOLKSWAGEN: Gol 2.0 8V 95/...
VOLKSWAGEN: Golf 1.8 8V 96/...
VOLKSWAGEN: Parati 1.6 8V / 1.8 8V 82/95
VOLKSWAGEN: Parati 1.6 8V AP 82/97
VOLKSWAGEN: Parati 1.8 8V AP 87/97
VOLKSWAGEN: Polo 1.6 8V 02/14
VOLKSWAGEN: Quantum 1.8 8V AP / 2.0 8V AP 85/94
VOLKSWAGEN: Santana 1.8 8V AP 85/06
VOLKSWAGEN: Saveiro 1.6 8V AP 82/97
VOLKSWAGEN: Saveiro 1.8 8V AP 87/98
VOLKSWAGEN: Spacefox 1.6 8V 03/14</t>
  </si>
  <si>
    <t xml:space="preserve">0986AB8659 (BOSCH)
3096110531 (OEM)
5346 (ATE)
5841 (ATE)
6N0611053 (OEM)
6QE611053 (OEM)
C3356 (CONTROIL)
CCR9213 (FORTEC)
CR9167 (BOSCH)
RCCR02930 (TRW)</t>
  </si>
  <si>
    <t xml:space="preserve">Ferro fundido
Ø 17,40mm
LE/LD</t>
  </si>
  <si>
    <t xml:space="preserve">NISSAN: March 1.0 12V 3cil 15/...
NISSAN: March 1.0 16V 11/...
NISSAN: March 1.6 16V 11/...
NISSAN: Versa 1.0 12V 3cil c/ ABS 15/18
NISSAN: Versa 1.6 16V c/ ABS 11/...</t>
  </si>
  <si>
    <t xml:space="preserve">441003HA0A (OEM)
7641 (ATE)
C3558 (CONTROIL)
CCR92287 (FORTEC)</t>
  </si>
  <si>
    <t xml:space="preserve">Alumínio
Ø 19,05mm
LE/LD</t>
  </si>
  <si>
    <t xml:space="preserve">FORD: Ka / Ka+ 1.0 12V 3cil 14/...
FORD: Ka / Ka+ 1.5 16V Sigma 14/...
FORD: Ka / Ka+ 1.6 16V Sigma 15/18
FORD: New Fiesta 1.5 16V Sigma 10/...
FORD: New Fiesta 1.6 16V Sigma 13/...</t>
  </si>
  <si>
    <t xml:space="preserve">0986AB8497 (BOSCH)
7684 (ATE)
8V5Z2261A (OEM)
C3430 (CONTROIL)
E3B12261AA (OEM)</t>
  </si>
  <si>
    <t xml:space="preserve">Alumínio
Ø 19,00mm
LE/LD</t>
  </si>
  <si>
    <t xml:space="preserve">CILINDRO DE RODA LE</t>
  </si>
  <si>
    <t xml:space="preserve">PEUGEOT: 206 1.0 8V / 16V 01/...
PEUGEOT: 206 1.4 8V 04/...
PEUGEOT: 206 1.6 8V / 1.6 16V 99/...
PEUGEOT: 207 1.4 8V 08/...
PEUGEOT: 207 1.6 16V 08/...</t>
  </si>
  <si>
    <t xml:space="preserve">0986AB8040 (BOSCH)
440297 (OEM)
7612 (ATE)
95668067 (OEM)
C3511 (CONTROIL)
CCR92237 (FORTEC)
CR2727 (BOSCH)
RCCR02950 (TRW)</t>
  </si>
  <si>
    <t xml:space="preserve">Ferro fundido
Ø 20,60mm
LE</t>
  </si>
  <si>
    <t xml:space="preserve">CILINDRO DE RODA LD</t>
  </si>
  <si>
    <t xml:space="preserve">0986AB8039 (BOSCH)
440298 (OEM)
7602 (ATE)
95668068 (OEM)
C3512 (CONTROIL)
CCR92236 (FORTEC)
CR2728 (BOSCH)
RCCR02960 (TRW)</t>
  </si>
  <si>
    <t xml:space="preserve">Ferro fundido
Ø 20,60mm
LD</t>
  </si>
  <si>
    <t xml:space="preserve">CHERY: QQ 0.8 12V   SQR372 07/…
CHERY: QQ 1.1 16V   SQR472 / SQR472F 07/…</t>
  </si>
  <si>
    <t xml:space="preserve">CITROEN: C3 1.6 16V 06/12
PEUGEOT: 207 1.4 8V 08/14
PEUGEOT: 207 1.6 16V 08/14</t>
  </si>
  <si>
    <t xml:space="preserve">0986AB8654 (BOSCH)
4402C8 (OEM)
7712 (ATE)
C3535 (CONTROIL)
CCR92271 (FORTEC)</t>
  </si>
  <si>
    <t xml:space="preserve">Alumínio
Ø 20,63mm
LE/LD
Sistema TRW</t>
  </si>
  <si>
    <t xml:space="preserve">RENAULT: Clio 1.0 16V 12/...
RENAULT: Logan 1.6 8V / 1.6 16V 07/13
RENAULT: Sandero 1.6 8V / 1.6 16V 07/13
RENAULT: Symbol 1.6 8V 09/13
VOLKSWAGEN: Gol 1.0 12V 3cil 16/...
VOLKSWAGEN: Gol 1.0 8V / 1.6 8V 15/...
VOLKSWAGEN: Up 1.0 12V 14/...
VOLKSWAGEN: Up 1.0 12V 3cil TSI 14/...
VOLKSWAGEN: Voyage 1.6 8V 16/...</t>
  </si>
  <si>
    <t xml:space="preserve">0986AB8653 (BOSCH)
6001551410 (OEM)
C3537 (CONTROIL)
CCR92250 (FORTEC)
RCCR03580 (TRW)</t>
  </si>
  <si>
    <t xml:space="preserve">Alumínio
Ø 17,40mm
LE/LD</t>
  </si>
  <si>
    <t xml:space="preserve">CITROEN: C3 1.4 8V 10/12</t>
  </si>
  <si>
    <t xml:space="preserve">0986AB8655 (BOSCH)
4402F9 (OEM)
7718 (ATE)
C3538 (CONTROIL)
CCR92279 (FORTEC)</t>
  </si>
  <si>
    <t xml:space="preserve">HONDA: Civic 1.7 16V 01/06</t>
  </si>
  <si>
    <t xml:space="preserve">BWD6002 (TRW)
C3513 (CONTROIL)
CCR92233 (FORTEC)</t>
  </si>
  <si>
    <t xml:space="preserve">Alumínio
Ø 19,05mm
LE</t>
  </si>
  <si>
    <t xml:space="preserve">BWD6001 (TRW)
C3514 (CONTROIL)
CCR92234 (FORTEC)</t>
  </si>
  <si>
    <t xml:space="preserve">Alumínio
Ø 19,05mm
LD</t>
  </si>
  <si>
    <t xml:space="preserve">CITROEN: Xsara 1.6 16V / 1.8 16V / 2.0 16V 98/03
FIAT: Grand Siena 1.4 8V / 1.6 16V 12/...
FIAT: Idea 1.4 8V / 1.6 16V / 1.8 16V 06/16
FIAT: Palio 1.0 8V / 1.4 8V / 1.6 16V 12/...
FIAT: Palio Weekend 1.0 8V / 1.4 8V / 1.6 16V 08/...
FIAT: Punto 1.0 8V / 1.4 8V / 1.6 16V 08/...
FIAT: Uno 1.0 8V / 1.4 8V 11/...
PEUGEOT: 106 1.0 8V 97/...
PEUGEOT: 306 1.8 16V / 2.0 16V 94/02
RENAULT: Laguna 2.0 16V / 3.0 24V 95/01
RENAULT: Scenic 1.6 16V / 2.0 16V 99/11</t>
  </si>
  <si>
    <t xml:space="preserve">0986AB8461 (BOSCH)
6274 (ATE)
7086715 (OEM)
7701041021 (OEM)
C3478 (CONTROIL)
CCR92115 (FORTEC)
CR3016 (BOSCH)
RCCR02860 (TRW)</t>
  </si>
  <si>
    <t xml:space="preserve">Ferro fundido
Ø 20,60mm
LE/LD</t>
  </si>
  <si>
    <t xml:space="preserve">HONDA: City 1.5 16V 15/...
HONDA: Fit 1.5 16V 15/...
HONDA: WRV 1.5 16V 18/...</t>
  </si>
  <si>
    <t xml:space="preserve">43300T5RA01 (OEM)
7651 (ATE)
C3579 (CONTROIL)
CCR92293 (FORTEC)</t>
  </si>
  <si>
    <t xml:space="preserve">Alumínio
Ø 19,05mm
LE/LD
Sistema Nissin</t>
  </si>
  <si>
    <t xml:space="preserve">GM: Cobalt 1.8 8V 13/...
GM: Cobalt 1.8 8V 17/...
GM: Onix 1.0 8V / 1.4 8V 13/...
GM: Onix 1.0 8V / 1.4 8V 17/...
GM: Prisma 1.0 8V / 1.4 8V 13/...
GM: Prisma 1.0 8V / 1.4 8V 17/...
GM: Sonic 1.6 16V 12/14</t>
  </si>
  <si>
    <t xml:space="preserve">0986AB8656 (BOSCH)
95018639 (OEM)
95231320 (OEM)
BWD6000 (TRW)
C3426 (CONTROIL)
CCR92267 (FORTEC)</t>
  </si>
  <si>
    <t xml:space="preserve">Ferro fundido
Ø 19,00mm
LE/LD</t>
  </si>
  <si>
    <t xml:space="preserve">FIAT: Mobi 1.0 6V 3cil 16/...
FIAT: Mobi 1.0 8V Fire 16/...
FIAT: Palio 1.6 16V Etorq 10/17
FIAT: Palio Economy 1.0 8V Fire 14/16
FIAT: Palio Weekend 1.6 16V Etorq 12/17
FIAT: Uno 1.4 8V Fire 12/14</t>
  </si>
  <si>
    <t xml:space="preserve">6996 (ATE)
7088679 (OEM)
C3427 (CONTROIL)</t>
  </si>
  <si>
    <t xml:space="preserve">Alumínio
Ø 19,05mm
1 furo M10x1
LE/LD</t>
  </si>
  <si>
    <t xml:space="preserve">FIAT: Argo 1.0 6V 3cil / 1.3 8V / 1.8 16V 17/...
FIAT: Grand Siena 1.4 8V / 1.6 16V 12/...
FIAT: Palio 1.0 8V / 1.4 8V / 1.6 16V 12/...
FIAT: Uno 1.0 8V 11/...</t>
  </si>
  <si>
    <t xml:space="preserve">6987 (ATE)
7088827 (OEM)
C3429 (CONTROIL)
CCR92283 (FORTEC)</t>
  </si>
  <si>
    <t xml:space="preserve">Ferro fundido
Ø 22,22mm
LE/LD
C/ ABS</t>
  </si>
  <si>
    <t xml:space="preserve">HYUNDAI: Galloper 2.5 8V Turbo 98/...
MITSUBISHI: L200 2.5 8V Turbo HPE 4D56 04/07
MITSUBISHI: Pajero 2.8 16V Diesel 4M40 93/00
MITSUBISHI: Pajero Sport 2.8 16V Diesel 4M40 96/05
MITSUBISHI: Triton 3.2 16V Diesel 4M41 07/13
MITSUBISHI: Triton 3.5 V6 24V Flex 6G74 10/13</t>
  </si>
  <si>
    <t xml:space="preserve">0986475920 (BOSCH)
BWK160 (TRW)
C3528 (CONTROIL)
MB500738 (OEM)</t>
  </si>
  <si>
    <t xml:space="preserve">Ferro fundido
Ø 23,80mm
2 furos M10x1
LE</t>
  </si>
  <si>
    <t xml:space="preserve">0986475919 (BOSCH)
BWK161 (TRW)
C3529 (CONTROIL)
MB500739 (OEM)</t>
  </si>
  <si>
    <t xml:space="preserve">Ferro fundido
Ø 23,80mm
1 furo M10x1
LD</t>
  </si>
  <si>
    <t xml:space="preserve">GM: Astra 2.0 8V 05/11
GM: Montana 1.4 8V / 1.8 8V 04/...
GM: Montana 1.4 8V / 1.8 8V 08/...
GM: Vectra 2.0 8V / 2.4 16V 06/11
GM: Zafira 2.0 8V 05/12</t>
  </si>
  <si>
    <t xml:space="preserve">0986AB8667 (BOSCH)
7630 (ATE)
93313891 (OEM)
C3521 (CONTROIL)
CCR92241 (FORTEC)
CR2202 (BOSCH)</t>
  </si>
  <si>
    <t xml:space="preserve">Ferro fundido
Ø 22,22mm
LE/LD
Sistema Bosch</t>
  </si>
  <si>
    <t xml:space="preserve">NISSAN: Grand Livina 1.8 16V 10/...
NISSAN: Sentra 2.0 16V 07/...
NISSAN: Tiida 1.8 16V 08/...</t>
  </si>
  <si>
    <t xml:space="preserve">44100ET000 (OEM)
7635 (ATE)
C3423 (CONTROIL)
CCR92282 (FORTEC)</t>
  </si>
  <si>
    <t xml:space="preserve">RENAULT: Clio 1.0 8V / 1.0 16V / 1.6 8V / 1.6 16V 99/...</t>
  </si>
  <si>
    <t xml:space="preserve">0986AB8643 (BOSCH)
6446 (ATE)
7701044681 (OEM)
C3490 (CONTROIL)
CCR92118 (FORTEC)
CR3013 (BOSCH)
RCCR02910 (TRW)</t>
  </si>
  <si>
    <t xml:space="preserve">FORD: Ranger 2.2 16V TDCi 13/...
FORD: Ranger 2.5 Flex Duratec 12/19
FORD: Ranger 3.2 20V TDCi 13/...
TROLLER: T4 3.2 20V TDCi 14/...</t>
  </si>
  <si>
    <t xml:space="preserve">0986AB8584 (BOSCH)
6M342261AB (OEM)
7685 (ATE)
BWK6001 (TRW)
C3555 (CONTROIL)
CCR92275 (FORTEC)</t>
  </si>
  <si>
    <t xml:space="preserve">Ferro fundido
Ø 23,81mm
LE/LD</t>
  </si>
  <si>
    <t xml:space="preserve">RENAULT: Duster 1.6 16V 4X2 11/17
RENAULT: Duster 2.0 16V 4X2 11/20</t>
  </si>
  <si>
    <t xml:space="preserve">0986AB8579 (BOSCH)
6001549707 (OEM)
7687 (ATE)
C3431 (CONTROIL)
CCR92268 (FORTEC)</t>
  </si>
  <si>
    <t xml:space="preserve">RENAULT: Captur 1.3 Turbo 4X2 20/...
RENAULT: Captur 1.6 16V 4X2 16/...
RENAULT: Captur 2.0 16V 4X2 16/...
RENAULT: Duster 1.3 Turbo 4X2 22/...
RENAULT: Duster 1.6 16V 4X2 16/...
RENAULT: Duster 2.0 16V 4X2 16/...</t>
  </si>
  <si>
    <t xml:space="preserve">C3567 (CONTROIL)
CCR92300 (FORTEC)</t>
  </si>
  <si>
    <t xml:space="preserve">Alumínio
Ø 22,20mm
LE/LD</t>
  </si>
  <si>
    <t xml:space="preserve">MITSUBISHI: L200 2.5 Turbo 04/12
MITSUBISHI: Triton 2.4 16V Diesel 4N15 17/...
MITSUBISHI: Triton 3.2 16V Diesel 4M41 DI-D 07/...
MITSUBISHI: Triton 3.5 V6 24V Flex 6G74 10/...
MITSUBISHI: Triton 3.5 V6 24V Gasolina 6G74 07/...</t>
  </si>
  <si>
    <t xml:space="preserve">0986AB8135 (BOSCH)
4610A009 (OEM)
BWH818 (TRW)
C3455 (CONTROIL)
CCR92262 (FORTEC)</t>
  </si>
  <si>
    <t xml:space="preserve">TOYOTA: Hilux 2.5 Turbo Diesel 2KD 06/…
TOYOTA: Hilux 2.7 16V Flex   3RZ FE 12/…
TOYOTA: Hilux 2.8 Turbo Diesel 16/...
TOYOTA: Hilux 3.0 Turbo Diesel 1KD 06/…</t>
  </si>
  <si>
    <t xml:space="preserve">4755009070 (OEM)
4755009090 (OEM)
7362 (ATE)
BWH906 (TRW)
C3531 (CONTROIL)
CCR92249 (FORTEC)
F026A06012 (BOSCH)</t>
  </si>
  <si>
    <t xml:space="preserve">GM: Spin 1.8 8V 12/...</t>
  </si>
  <si>
    <t xml:space="preserve">7636 (ATE)
95018640 (OEM)
BWF6000 (TRW)
C3432 (CONTROIL)
CCR92285 (FORTEC)</t>
  </si>
  <si>
    <t xml:space="preserve">Alumínio
Ø 20,64mm
LE/LD</t>
  </si>
  <si>
    <t xml:space="preserve">FORD: Ecosport 1.5 12V Dragon 18/...
FORD: Ecosport 1.6 16V Sigma 4x2 12/...
FORD: Ecosport 2.0 16V 4x4 12/...
FORD: Ecosport 2.0 16V Duratec 18/...</t>
  </si>
  <si>
    <t xml:space="preserve">0986AB8578 (BOSCH)
6995 (ATE)
C3546 (CONTROIL)
CN152261AA (OEM)</t>
  </si>
  <si>
    <t xml:space="preserve">HYUNDAI: HR 2.5 16V Diesel 13/...
HYUNDAI: HR 2.5 8V Diesel 05/12
KIA: Bongo K2500 2.5 16V Diesel 13/...
KIA: Bongo K2500 2.5 8V Diesel 05/12</t>
  </si>
  <si>
    <t xml:space="preserve">583304F100 (OEM)
C3424 (CONTROIL)
CCR92253 (FORTEC)
CR1459 (BOSCH)
NKF12435 (NAKATA)</t>
  </si>
  <si>
    <t xml:space="preserve">Ferro fundido
Ø 17,40mm
LE</t>
  </si>
  <si>
    <t xml:space="preserve">583804F100 (OEM)
C3425 (CONTROIL)
CCR92254 (FORTEC)</t>
  </si>
  <si>
    <t xml:space="preserve">Ferro fundido
Ø 17,40mm
LD</t>
  </si>
  <si>
    <t xml:space="preserve">583301G000 (OEM)
C3545 (CONTROIL)
CCR92264 (FORTEC)</t>
  </si>
  <si>
    <t xml:space="preserve">Alumínio
Ø 17,46mm
LE/LD</t>
  </si>
  <si>
    <t xml:space="preserve">MITSUBISHI: L200 2.5 / 2.5 Turbo Diesel 03/12
MITSUBISHI: L200 2.5 / 2.5 Turbo Diesel 92/06</t>
  </si>
  <si>
    <t xml:space="preserve">6270 (ATE)
C3498 (CONTROIL)
CCR92230 (FORTEC)
MB238828 (OEM)
RCCR03020 (TRW)</t>
  </si>
  <si>
    <t xml:space="preserve">Ferro fundido
Ø 22,22mm
LE</t>
  </si>
  <si>
    <t xml:space="preserve">6271 (ATE)
C3499 (CONTROIL)
CCR92231 (FORTEC)
MB238829 (OEM)
RCCR03030 (TRW)</t>
  </si>
  <si>
    <t xml:space="preserve">Ferro fundido
Ø 22,22mm
LD</t>
  </si>
  <si>
    <t xml:space="preserve">NISSAN: Frontier 2.3 16V 16/...
NISSAN: Frontier 2.5 16V Turbo Diesel YD25 08/…</t>
  </si>
  <si>
    <t xml:space="preserve">44100EB30A (OEM)
44100EB360 (OEM)
C3536 (CONTROIL)
CCR92246 (FORTEC)</t>
  </si>
  <si>
    <t xml:space="preserve">Alumínio
Ø 22,22mm
LE/LD</t>
  </si>
  <si>
    <t xml:space="preserve">HONDA: City 1.5 16V 09/14
HONDA: Fit 1.4 16V / 1.5 16V 09/14</t>
  </si>
  <si>
    <t xml:space="preserve">C3413 (CONTROIL)
CCR92248 (FORTEC)
RCCR03700 (TRW)</t>
  </si>
  <si>
    <t xml:space="preserve">MERCEDES-BENZ: Classe A 160 1.6 97/…
MERCEDES-BENZ: Classe A 190 1.9 98/…</t>
  </si>
  <si>
    <t xml:space="preserve">FIAT: Brava 1.8 16V 99/07
FIAT: Doblo 1.3 16V / 1.6 16V 02/...
FIAT: Doblo 1.8 16V 14/...
FIAT: Doblo 1.8 8V 08/...
FIAT: Fiorino 1.0 8V FIASA 94/95
FIAT: Fiorino 1.5 8V Sevel 88/93
FIAT: Idea 1.4 8V 06/12
FIAT: Idea 1.6 16V Etorq 11/16
FIAT: Idea 1.8 16V Etorq 11/16
FIAT: Idea 1.8 8V Powertrain 09/10
FIAT: Marea / Marea Weekend 2.0 20V / 2.4 20V 99/07
FIAT: Palio Weekend 1.4 8V 08/...
FIAT: Palio Weekend 1.4 8V 08/12
FIAT: Palio Weekend 1.6 16V Etorq 11/...
FIAT: Palio Weekend 1.8 8V Powertrain 04/...
FIAT: Stilo 1.8 16V 02/05
FIAT: Stilo 1.8 8V 02/...
FIAT: Strada 1.3 8V 03/...
FIAT: Strada 1.4 8V 08/...
FIAT: Strada 1.4 8V 09/12
FIAT: Strada 1.6 16V 98/...
FIAT: Strada 1.8 8V 08/...
FIAT: Tempra 2.0 8V / 2.0 16V 94/98</t>
  </si>
  <si>
    <t xml:space="preserve">0986AB8658 (BOSCH)
5684 (ATE)
71737949 (OEM)
71737950 (OEM)
7729634 (OEM)
7757604 (OEM)
C3411 (CONTROIL)
CCR9230 (FORTEC)
CR1687 (BOSCH)
RCCR02120 (TRW)</t>
  </si>
  <si>
    <t xml:space="preserve">Ferro fundido
Ø 20,64mm
LE/LD</t>
  </si>
  <si>
    <t xml:space="preserve">TOYOTA: Hilux 2.7 16V 3RZFE 98/05</t>
  </si>
  <si>
    <t xml:space="preserve">4755029265 (OEM)
BWH266 (TRW)
C3534 (CONTROIL)</t>
  </si>
  <si>
    <t xml:space="preserve">Ferro fundido
Ø 22,22mm
LE/LD</t>
  </si>
  <si>
    <t xml:space="preserve">VOLKSWAGEN: Gol G5 1.0 /1.6 09/...
VOLKSWAGEN: Gol G6 1.0 Flex 12/16
VOLKSWAGEN: Gol G6 1.6 16V 12/16
VOLKSWAGEN: Gol G6 1.6 8V 14/21
VOLKSWAGEN: Voyage 1.0 / 1.6 08/...</t>
  </si>
  <si>
    <t xml:space="preserve">0986AB8498 (BOSCH)
5U0611053A (OEM)
5U0611053C (OEM)
7600 (ATE)
C3527 (CONTROIL)
CCR92261 (FORTEC)
RCCR03510 (TRW)</t>
  </si>
  <si>
    <t xml:space="preserve">Ferro fundido
Ø 15,80mm
LE/LD</t>
  </si>
  <si>
    <t xml:space="preserve">VOLKSWAGEN: Fusca 1300 67/86
VOLKSWAGEN: Fusca 1600 74/96</t>
  </si>
  <si>
    <t xml:space="preserve">0986AB8665 (BOSCH)
1136110551 (OEM)
5102 (ATE)
C3352 (CONTROIL)
CCR9222 (FORTEC)
CR9874 (BOSCH)
RCCR23805 (TRW)</t>
  </si>
  <si>
    <t xml:space="preserve">Ferro fundido
Ø 19,05mm
LE/LD</t>
  </si>
  <si>
    <t xml:space="preserve">GM: S10 2.5 Flex 15/...
GM: S10 2.8 Turbodiedel Duramax 13/...</t>
  </si>
  <si>
    <t xml:space="preserve">94770079 (OEM)
BWK6000 (TRW)
C3554 (CONTROIL)</t>
  </si>
  <si>
    <t xml:space="preserve">Alumínio
Ø 23,80mm
LE/LD</t>
  </si>
  <si>
    <t xml:space="preserve">VOLKSWAGEN: Kombi 1.4 8V Flex 06/12
VOLKSWAGEN: Kombi 1600 Ar 76/05</t>
  </si>
  <si>
    <t xml:space="preserve">2116110473 (OEM)
5269 (ATE)
C3366 (CONTROIL)
CCR9210 (FORTEC)
CR9294 (BOSCH)
RCCR00767 (TRW)</t>
  </si>
  <si>
    <t xml:space="preserve">Ferro fundido
Ø 23,80mm
LE/LD</t>
  </si>
  <si>
    <t xml:space="preserve">FORD: Courier 1.3 8V Endura 97/99
FORD: Courier 1.4 16V Zetec 97/99
FORD: Courier 1.6 8V Zetec Rocam 99/13
FORD: Ecosport 2.0 16V Duratec 4x4 04/08
FORD: Ecosport 2.0 16V Duratec 4x4 12/17
FORD: Mondeo 1.0 16V Zetec 96/00</t>
  </si>
  <si>
    <t xml:space="preserve">0986475751 (BOSCH)
6263 (ATE)
93BB2261DC (OEM)
93BB2261DD (OEM)
97FB2261BB (OEM)
C3470 (CONTROIL)
CR3014 (BOSCH)
NKF12470 (NAKATA)
RCCR02010 (TRW)</t>
  </si>
  <si>
    <t xml:space="preserve">Ferro fundido
Ø 22,22mm
1 furo M10x1
LE/LD</t>
  </si>
  <si>
    <t xml:space="preserve">GM: Tracker 2.0 8V Turbo 02/04
SUZUKI: Grand Vitara 2.0 16V 98/03</t>
  </si>
  <si>
    <t xml:space="preserve">5340265D00 (OEM)
C3532 (CONTROIL)</t>
  </si>
  <si>
    <t xml:space="preserve">Ferro fundido
Ø 22,22mm
1 furo M10x1
LE</t>
  </si>
  <si>
    <t xml:space="preserve">5340165D00 (OEM)
C3533 (CONTROIL)</t>
  </si>
  <si>
    <t xml:space="preserve">Ferro fundido
Ø 22,22mm
1 furo M10x1
LD</t>
  </si>
  <si>
    <t xml:space="preserve">441005RB0B (OEM)
441015RB0A (OEM)
C3560 (CONTROIL)</t>
  </si>
  <si>
    <t xml:space="preserve">Alumínio
Ø 19,05mm</t>
  </si>
  <si>
    <t xml:space="preserve">441005RB0A (OEM)
441015RB0B (OEM)
C3561 (CONTROIL)</t>
  </si>
  <si>
    <t xml:space="preserve">GM: Blazer 2.2 8V 96/07
GM: Blazer 2.4 8V 04/12
GM: Blazer 2.5 8V Maxion 97/02
GM: Blazer 4.3 V6 96/04
GM: S10 2.2 8V 96/07
GM: S10 2.4 8V 00/12
GM: S10 2.5 8V Maxion 97/02
GM: S10 2.8 16V Duramax 12/12
GM: S10 4.3 V6 96/04</t>
  </si>
  <si>
    <t xml:space="preserve">0986AB8495 (BOSCH)
6262 (ATE)
93233867 (OEM)
93233869 (OEM)
C3417 (CONTROIL)
CR2408 (BOSCH)
RCCR01970 (TRW)</t>
  </si>
  <si>
    <t xml:space="preserve">Ferro fundido
Ø 23,81mm
LE</t>
  </si>
  <si>
    <t xml:space="preserve">0986AB8496 (BOSCH)
6261 (ATE)
9233868 (OEM)
93233870 (OEM)
C3418 (CONTROIL)
CR2409 (BOSCH)
RCCR01980 (TRW)</t>
  </si>
  <si>
    <t xml:space="preserve">Ferro fundido
Ø 23,81mm
LD</t>
  </si>
  <si>
    <t xml:space="preserve">HAFEI: Towner Jr Pick Up 1.0 8V 07/…
HAFEI: Towner Jr Van 1.0 8V 07/…</t>
  </si>
  <si>
    <t xml:space="preserve">Ferro fundido
Ø 19,05mm
LE</t>
  </si>
  <si>
    <t xml:space="preserve">Ferro fundido
Ø 19,05mm
LD</t>
  </si>
  <si>
    <t xml:space="preserve">VOLKSWAGEN: Amarok 2.0 16V TDI   CDBA / CNFA 10/…
VOLKSWAGEN: Amarok 3.0 V6 TDI DDXB/DDXE 17/...</t>
  </si>
  <si>
    <t xml:space="preserve">0986AB8583 (BOSCH)
2H0611053 (OEM)
7964 (ATE)
C3543 (CONTROIL)
RCCR03590 (TRW)</t>
  </si>
  <si>
    <t xml:space="preserve">Alumínio anodizado
Ø 26,98mm
LE/LD</t>
  </si>
  <si>
    <t xml:space="preserve">RENAULT: Duster 2.0 16V 4x4 F4R 12/...</t>
  </si>
  <si>
    <t xml:space="preserve">441004731R (OEM)
C3565 (CONTROIL)</t>
  </si>
  <si>
    <t xml:space="preserve">441006176R (OEM)
C3566 (CONTROIL)</t>
  </si>
  <si>
    <t xml:space="preserve">TOYOTA: Etios 1.3 16V 16/...
TOYOTA: Etios 1.5 16V 14/...
TOYOTA: Yaris 1.3 16V 18/...
TOYOTA: Yaris 1.5 16V 18/...</t>
  </si>
  <si>
    <t xml:space="preserve">0986AB8577 (BOSCH)
475500D070 (OEM)
C3544 (CONTROIL)
CCR92284 (FORTEC)
RCCR03610 (TRW)</t>
  </si>
  <si>
    <t xml:space="preserve">FIAT: Toro 1.3 16V Turbo 21/...
FIAT: Toro 1.8 16V 16/...
FIAT: Toro 2.0 16V Diesel 16/...</t>
  </si>
  <si>
    <t xml:space="preserve">7090575 (OEM)
C3571 (CONTROIL)</t>
  </si>
  <si>
    <t xml:space="preserve">Alumínio
Ø 23,81mm
LE/LD</t>
  </si>
  <si>
    <t xml:space="preserve">441004843R (OEM)
BWB1012 (TRW)
C3434 (CONTROIL)
CCR92292 (FORTEC)</t>
  </si>
  <si>
    <t xml:space="preserve">Alumínio
Ø 15,87mm
LE/LD</t>
  </si>
  <si>
    <t xml:space="preserve">GM: D20 Q20B 3.9 L 8V SOHC L4 85/92
GM: D20 CS Q20B 3.9 L 8V SOHC L4 84/94
GM: D20 CUSTOM LUXE Q20B 3.9 L 8V SOHC L4 85/92
GM: D20 CUSTOM S Q20B 3.9 L 8V SOHC L4 85/92
GM: Veraneio Custom Luxe 250 4.1 L 12V SOHC L6 80/92
GM: Veraneio Custom S 250 4.1 L 12V SOHC L6 80/92
GM: Veraneio L 151 2.5 L 8V SOHC L4 80/92</t>
  </si>
  <si>
    <t xml:space="preserve">6273 (ATE)
94606708 (OEM)
C3363 (CONTROIL)
CR7925 (BOSCH)
RCCR00864 (TRW)</t>
  </si>
  <si>
    <t xml:space="preserve">Ferro fundido
Ø 25,40mm
LE</t>
  </si>
  <si>
    <t xml:space="preserve">6272 (ATE)
94606707 (OEM)
C3362 (CONTROIL)
CR7924 (BOSCH)
RCCR00856 (TRW)</t>
  </si>
  <si>
    <t xml:space="preserve">Ferro fundido
Ø 25,40mm
LD</t>
  </si>
  <si>
    <t xml:space="preserve">GM: A10 4.1 12V 6 cil. 79/84
GM: A20 4.1 12V 6 cil. 85/92
GM: Bonanza 4.0 8V 4 cil. 92/94
GM: Bonanza 4.1 12V 6 cil. 90/92
GM: C10 4.1 12V 6 cil. 79/84
GM: C20 4.1 12V 6 cil. 85/92</t>
  </si>
  <si>
    <t xml:space="preserve">6289 (ATE)
94606705 (OEM)
C3444 (CONTROIL)
CR7798 (BOSCH)
RCCR01420 (TRW)</t>
  </si>
  <si>
    <t xml:space="preserve">6288 (ATE)
94606706 (OEM)
C3445 (CONTROIL)
CR7799 (BOSCH)
RCCR00880 (TRW)</t>
  </si>
  <si>
    <t xml:space="preserve">GM: 3500 HD 4.2 18V 6 cil. 97/99
GM: A20 4.0 8V 4 cil. 92/96
GM: Bonanza 4.0 8V 4 cil. 92/96
GM: C20 4.1 12V 6 cil. 92/96
GM: D20 4.0 8V 4 cil. 92/96
GM: Grand Blazer 4.1 12V 6 cil 98/99
GM: Silverado 4.1 12V 6 cil. 96/01
GM: Veraneio 4.0 8V 4 cil. 92/96</t>
  </si>
  <si>
    <t xml:space="preserve">6267 (ATE)
93215633 (OEM)
C3441 (CONTROIL)
CR2915 (BOSCH)
RCCR02080 (TRW)</t>
  </si>
  <si>
    <t xml:space="preserve">6266 (ATE)
93215634 (OEM)
C3442 (CONTROIL)
CR2916 (BOSCH)
RCCR02090 (TRW)</t>
  </si>
  <si>
    <t xml:space="preserve">GM: Tracker 1.0 12V 3 cil Turbo 20/...
GM: Tracker 1.2 12V 3 cil Turbo 20/...
GM: Tracker 1.4 Turbo 17/19
GM: Tracker 1.8 16V 14/16
GM: Tracker 2.0 16V Diesel 01</t>
  </si>
  <si>
    <t xml:space="preserve">95910900 (OEM)
C3573 (CONTROIL)</t>
  </si>
  <si>
    <t xml:space="preserve">CILINDRO DE RODA LE/LD - IGUAL SWC5084</t>
  </si>
  <si>
    <t xml:space="preserve">26276611 (OEM)
C3572 (CONTROIL)</t>
  </si>
  <si>
    <t xml:space="preserve">Alumínio
Ø 19,05mm
LE/LD
Mesmo cilindro SWC5084</t>
  </si>
  <si>
    <t xml:space="preserve">GM: Blazer 2.2 8V 95/00
GM: Blazer 4.3 V6 95/11
GM: S10 2.2 8V 97/00
GM: S10 2.4 8V 97/12
GM: S10 2.5 8V 97/00
GM: S10 2.8 12V 01/12
GM: S10 4.3 V6 97/03</t>
  </si>
  <si>
    <t xml:space="preserve">6260 (ATE)
93260019 (OEM)
BWH6001 (TRW)
C3456 (CONTROIL)
CR2955 (BOSCH)</t>
  </si>
  <si>
    <t xml:space="preserve">6259 (ATE)
93260020 (OEM)
BWH6000 (TRW)
C3457 (CONTROIL)
CR2956 (BOSCH)</t>
  </si>
  <si>
    <t xml:space="preserve">VOLKSWAGEN: Polo 1.0 12V 3 cil. 22/...
VOLKSWAGEN: Polo 1.0 12V TSI 22/...
VOLKSWAGEN: Polo 1.6 16V 17/22
VOLKSWAGEN: Virtus 1.0 12V 3 cil. 23/...
VOLKSWAGEN: Virtus 1.0 12V TSI 23/...
VOLKSWAGEN: Virtus 1.6 16V 18/21</t>
  </si>
  <si>
    <t xml:space="preserve">2QB611053B (OEM)
C3576 (CONTROIL)</t>
  </si>
  <si>
    <t xml:space="preserve">Alumínio
Ø 20,63mm
LE/LD</t>
  </si>
  <si>
    <t xml:space="preserve">FORD: F12000 SERIE 229 5.9 L 12V SOHV L6 78/80
FORD: F7000 SERIE 229 5.9 L 12V SOHV L6 80/82</t>
  </si>
  <si>
    <t xml:space="preserve">BC9A2062A (OEM)
C3309 (CONTROIL)
CR9983 (BOSCH)
RCCR24798 (TRW)</t>
  </si>
  <si>
    <t xml:space="preserve">Ferro fundido
Ø28,57mm
LE</t>
  </si>
  <si>
    <t xml:space="preserve">BC9A2061A (OEM)
C3310 (CONTROIL)
CR9984 (BOSCH)
RCCR24801 (TRW)</t>
  </si>
  <si>
    <t xml:space="preserve">Ferro fundido
Ø28,57mm
LD</t>
  </si>
  <si>
    <t xml:space="preserve">FORD: F250 4BTAA 3.9 8V 4 cil. 98/06
FORD: F250 6.07TCA 99/06
FORD: F250 Cummins ISBe4 Interact 3.9 16V 4 cil. 06/12
FORD: F250 Sprint 4.2 18V 6 cil. 98/06
FORD: F350 4BTAA 3.9 8V 4 cil. 98/05
FORD: F350 Cummins ISBe Interact 3.9 16V 4 cil. 05/11</t>
  </si>
  <si>
    <t xml:space="preserve">0204072272 (BOSCH)
0986AB8454 (BOSCH)
7229 (ATE)
BF8T2261A (OEM)
C3494 (CONTROIL)
RCCR03340 (TRW)</t>
  </si>
  <si>
    <t xml:space="preserve">Ferro fundido
Ø 28,57mm
LE</t>
  </si>
  <si>
    <t xml:space="preserve">0204072273 (BOSCH)
0986AB8426 (BOSCH)
7230 (ATE)
BF8T2261B (OEM)
C3495 (CONTROIL)
RCCR03360 (TRW)</t>
  </si>
  <si>
    <t xml:space="preserve">Ferro fundido
Ø 28,57mm
LD</t>
  </si>
  <si>
    <t xml:space="preserve">FORD: F1000 SÉRIE 229 3.9L 8V L4 79/92</t>
  </si>
  <si>
    <t xml:space="preserve">2S4611049 (OEM)
85TU2262D (OEM)
C3376 (CONTROIL)
CR2057 (BOSCH)
RCCR01240 (TRW)</t>
  </si>
  <si>
    <t xml:space="preserve">2S4611050 (OEM)
85TU/2261/D (OEM)
C3377 (CONTROIL)
CR2058 (BOSCH)
RCCR01259 (TRW)</t>
  </si>
  <si>
    <t xml:space="preserve">FORD: Ranger 2.3 16V Duratec 01/12
FORD: Ranger 3.0 16V Power Stroke 05/12
MERCEDES-BENZ: Sprinter 310 / 312 / 412 2.5 8V Maxion HS 97/00</t>
  </si>
  <si>
    <t xml:space="preserve">5L552262AA (OEM)
6281 (ATE)
C3466 (CONTROIL)
CR2587 (BOSCH)
RCCR00980 (TRW)</t>
  </si>
  <si>
    <t xml:space="preserve">Ferro fundido
Ø 20,63mm
LE</t>
  </si>
  <si>
    <t xml:space="preserve">5L552261AA (OEM)
6280 (ATE)
C3467 (CONTROIL)
CR2588 (BOSCH)
RCCR00990 (TRW)</t>
  </si>
  <si>
    <t xml:space="preserve">Ferro fundido
Ø 20,63mm
LD</t>
  </si>
  <si>
    <t xml:space="preserve">FORD: F4000 SÉRIE 229 3.6 8V 4 cil. 95/98</t>
  </si>
  <si>
    <t xml:space="preserve">2SH611049 (OEM)
C3337 (CONTROIL)
CR2387 (BOSCH)</t>
  </si>
  <si>
    <t xml:space="preserve">2SH611050 (OEM)
C3338 (CONTROIL)
CR2388 (BOSCH)</t>
  </si>
  <si>
    <t xml:space="preserve">AGRALE: 1600 A 2.5 L 8V SOHC L4 90/95
AGRALE: 1600 D SERIE 229 3.0 L 6V SOHV L3 90/95
AGRALE: 1600 D SERIE 229 3.9 L 8V SOHV L4 90/95
AGRALE: 1800 D SERIE 229 3.9 L 8V SOHV L4 90/96
FORD: 1800 D Q20B 3.9 L 8V SOHV L4 90/96
FORD: F4000 SERIE 229 3.9 L 8V SOHV L4 84/94</t>
  </si>
  <si>
    <t xml:space="preserve">85TU2261A (OEM)
C3306 (CONTROIL)
CR9792 (BOSCH)
RCCR01940 (TRW)</t>
  </si>
  <si>
    <t xml:space="preserve">AGRALE: 1600 A 2.5 L 8V SOHC L4 85/89
AGRALE: 1600 D SERIE 229 3.0 L 6V SOHV L3 85/89
AGRALE: 1600 D SERIE 229 3.9 L 8V SOHV L4 85/89
AGRALE: 1800 D SERIE 229 3.9 L 8V SOHV L4 88/89
FORD: 1800 D Q20B 3.9 L 8V SOHV L4 88/89
FORD: F400 272 4.5 L 16V SOHC V8 75/77
FORD: F4000 D 226-4 4.2 L 8V SOHV L4 79/83</t>
  </si>
  <si>
    <t xml:space="preserve">BD2Y2062A (OEM)
C3307 (CONTROIL)
CR6078 (BOSCH)</t>
  </si>
  <si>
    <t xml:space="preserve">BD2Y2061A (OEM)
C3308 (CONTROIL)
CR6079 (BOSCH)</t>
  </si>
  <si>
    <t xml:space="preserve">FORD: F11000 SERIE 229 5.9 L 12V SOHV L6 80/92
FORD: F600 6.357 5.8 L 12V SOHV L6 74/80
FORD: F600 SERIE 229 5.9 L 12V SOHV L6 74/80
FORD: F7000 SERIE 229 5.9 L 12V SOHV L6 76/80</t>
  </si>
  <si>
    <t xml:space="preserve">BD9T2262A (OEM)
C3315 (CONTROIL)
CR7782 (BOSCH)</t>
  </si>
  <si>
    <t xml:space="preserve">Ferro fundido
Ø4 41,27mm
LE Superior</t>
  </si>
  <si>
    <t xml:space="preserve">BD9T/2261/A (OEM)
C3316 (CONTROIL)
CR7783 (BOSCH)</t>
  </si>
  <si>
    <t xml:space="preserve">Ferro fundido
Ø4 41,27mm
LD Superior</t>
  </si>
  <si>
    <t xml:space="preserve">FIAT: Palio 1.0 8V 96/98
FIAT: Palio 1.5 8V 95/98
FIAT: Palio 1.6 16V 96/98
FIAT: Palio 1.6 8V 96/98
FIAT: Siena 1.0 8V 97/98
FIAT: Siena 1.5 8V 97/98
FIAT: Siena 1.6 16V 97/98
FIAT: Siena 1.6 8V 97/98</t>
  </si>
  <si>
    <t xml:space="preserve">5727 (ATE)
7078624 (OEM)
C3437 (CONTROIL)
CR9291 (BOSCH)
RCCR01990 (TRW)</t>
  </si>
  <si>
    <t xml:space="preserve">43300SAAG01 (OEM)
7256 (ATE)
C3520 (CONTROIL)
CR3012 (BOSCH)
RCCR03380 (TRW)</t>
  </si>
  <si>
    <t xml:space="preserve">Ferro fundido
Ø 17,46mm
LE/LD</t>
  </si>
  <si>
    <t xml:space="preserve">KIA: Picanto 1.0 12V 3 cil. 19
KIA: Picanto 1.0 12V 4 cil. 08/11
KIA: Picanto 1.1 12V 4 cil. 04/08</t>
  </si>
  <si>
    <t xml:space="preserve">58330-0700 (OEM)
C3540 (CONTROIL)</t>
  </si>
  <si>
    <t xml:space="preserve">Ferro fundido
Ø 15,87mm
LE/LD</t>
  </si>
  <si>
    <t xml:space="preserve">KIA: Picanto 1.0 12V 3 cil. 12/20</t>
  </si>
  <si>
    <t xml:space="preserve">583301Y000 (OEM)
C3601 (CONTROIL)</t>
  </si>
  <si>
    <t xml:space="preserve">Alumínio
Ø 17,46mm
LE</t>
  </si>
  <si>
    <t xml:space="preserve">583801Y000 (OEM)
C3602 (CONTROIL)</t>
  </si>
  <si>
    <t xml:space="preserve">Alumínio
Ø 17,46mm
LD</t>
  </si>
  <si>
    <t xml:space="preserve">TOYOTA: Hilux 2.8 8V LN6TR 00/01
TOYOTA: Hilux 3.0 16V D4D 05/10
TOYOTA: Hilux 3.0 8V 1KZTE 02/05
TOYOTA: Hilux 3.0 8V 5LE 00/02
TOYOTA: Hilux 3.0 8V 5LE 02/06
TOYOTA: Hilux 3.4 24V V6 5VZFE 00</t>
  </si>
  <si>
    <t xml:space="preserve">0986475877 (BOSCH)
47550-35210 (OEM)
BWL203 (TRW)
C3517 (CONTROIL)</t>
  </si>
  <si>
    <t xml:space="preserve">Ferro fundido
Ø 25,40mm
LE/LD</t>
  </si>
  <si>
    <t xml:space="preserve">TOYOTA: SW4 3.0 12V V6 3VZE 89/95
TOYOTA: SW4 3.4 24V V6 5VZFE 95/02</t>
  </si>
  <si>
    <t xml:space="preserve">47550-26110 (OEM)
47550-35200 (OEM)
6264 (ATE)
C3483 (CONTROIL)
CR3003 (BOSCH)
RCCR02000 (TRW)</t>
  </si>
  <si>
    <t xml:space="preserve">VOLKSWAGEN: Golf 1.8 8V EA827 95/01
VOLKSWAGEN: Parati 1.0 16V 97/04
VOLKSWAGEN: Parati 1.0 16V Turbo 00/04
VOLKSWAGEN: Parati 1.6 8V AP 96/05
VOLKSWAGEN: Parati 1.8 8V AP 05
VOLKSWAGEN: Parati 2.0 8V AP 96/05
VOLKSWAGEN: Saveiro 1.6 8V AP 00/09
VOLKSWAGEN: Saveiro 1.6 8V EA111 09/14
VOLKSWAGEN: Saveiro 1.8 8V AP 00/09
VOLKSWAGEN: Saveiro 1600 Ar 82/6
VOLKSWAGEN: Saveiro 2.0 8V AP 98/05
VOLKSWAGEN: Spacefox 1.6 8V EA111 c/ abs 08/10</t>
  </si>
  <si>
    <t xml:space="preserve">0986475433 (BOSCH)
1H0611053 (OEM)
3086110531 (OEM)
6279 (ATE)
C3440 (CONTROIL)
RCCR27860 (TRW)</t>
  </si>
  <si>
    <t xml:space="preserve">CITROEN: C3 1.4 8V TU3JP 05/09
CITROEN: C3 1.6 16V TU5JP4 05/09</t>
  </si>
  <si>
    <t xml:space="preserve">0986475907 (BOSCH)
4402.E1 (OEM)
4402.E9 (OEM)
C3524 (CONTROIL)</t>
  </si>
  <si>
    <t xml:space="preserve">Ferro fundido
Ø19,05mm
LE</t>
  </si>
  <si>
    <t xml:space="preserve">0986475908 (BOSCH)
4402.E2 (OEM)
4402.E9 (OEM)
C3525 (CONTROIL)</t>
  </si>
  <si>
    <t xml:space="preserve">Ferro fundido
Ø19,05mm
LD</t>
  </si>
  <si>
    <t xml:space="preserve">CITROEN: Aircross 1.5 8V 15/...
CITROEN: Aircross 1.6 16V 11/...
CITROEN: C3 Picasso 1.5 8V 14/16
CITROEN: C3 Picasso 1.6 16V 11/16</t>
  </si>
  <si>
    <t xml:space="preserve">4402G0 (OEM)
7735 (ATE)
C3547 (CONTROIL)</t>
  </si>
  <si>
    <t xml:space="preserve">PEUGEOT: 208 Active 1.6 16V EC5 21/...
PEUGEOT: 208 Griffe 1.6 16V EC5 21/...
PEUGEOT: 208 Like 1.6 16V EC5 21/...</t>
  </si>
  <si>
    <t xml:space="preserve">1607138880 (OEM)
C3575 (CONTROIL)</t>
  </si>
  <si>
    <t xml:space="preserve">JAC MOTORS: J3 1.4 16V 11/...</t>
  </si>
  <si>
    <t xml:space="preserve">S3500L22042-00003 (OEM)</t>
  </si>
  <si>
    <t xml:space="preserve">CITROEN: C3 1.5 8V c/ ABS 12/16
CITROEN: C3 1.6 16V 12/...
FIAT: Palio 1.0 8V Fire c/ ABS 09/11
FIAT: Palio 1.6 16V Etorq c/ ABS 11/11
FIAT: Palio 1.8 8V c/ ABS 03/10
FIAT: Siena 1.0 8V Fire c/ ABS 12/16
FIAT: Siena 1.0 8V Fire c/ABS 05/10
FIAT: Siena 1.4 8V 07/12
FIAT: Siena 1.6 16V Etorq 01/04
FIAT: Siena 1.6 16V Etorq 17/18
FIAT: Siena 1.8 8V c/ ABS 04/10
FORD: Ecosport 1.0 8V Zetec Rocam 03/06
FORD: Ecosport 1.6 8V Zetec Rocam 03/12
FORD: Ecosport 2.0 16V Duratec 03/08
FORD: Fiesta 1.0 8V Zetec Rocam 04/06
FORD: Fiesta 1.6 8V Zetec Rocam 04/06
PEUGEOT: 208 Active 1.6 16V EC5 21/...
PEUGEOT: 208 Active Pack 1.2 12V 16/19
PEUGEOT: 208 Allure 1.2 12V 16/20
PEUGEOT: 208 Allure 1.6 16V EC5 16/18
PEUGEOT: 208 Griffe 1.6 16V EC5 13/16
PEUGEOT: 208 Griffe 1.6 16V EC5 16/20
PEUGEOT: 208 Griffe 1.6 16V EC5 21/...
PEUGEOT: 208 GT Turbo 1.6 16V 17/20</t>
  </si>
  <si>
    <t xml:space="preserve">0986BB3011 (BOSCH)
1608512780 (OEM)
2S652261BA (OEM)
6098 (ATE)
7081424 (OEM)
7084405 (OEM)
C3496 (CONTROIL)
CR3011 (BOSCH)
RCCR03440 (TRW)</t>
  </si>
  <si>
    <t xml:space="preserve">CILINDRO DE RODA LE/LD - IGUAL SWC5101</t>
  </si>
  <si>
    <t xml:space="preserve">FORD: Versailles 1.8 8V AP 91/94
FORD: Versailles 2.0 8V AP 91/94
VOLKSWAGEN: Gol 1.0 8V CHT 92/96
VOLKSWAGEN: Gol 1.0 8V EA111 05/12
VOLKSWAGEN: Gol 1.0 8V MI 99/05
VOLKSWAGEN: Gol 1.3 8V 80/...
VOLKSWAGEN: Gol 1.6 8V 83/...
VOLKSWAGEN: Gol 1.6 8V AP 99/05
VOLKSWAGEN: Gol 1.8 8V 85/...
VOLKSWAGEN: Gol 1.8 8V AP 96/02
VOLKSWAGEN: Gol Power 1.6 8V AP c/ abs 03/05
VOLKSWAGEN: Passat 1.5 8V 74/89
VOLKSWAGEN: Passat 1.6 8V AP 82/89
VOLKSWAGEN: Passat 1.8 8V AP 86/89
VOLKSWAGEN: Santana 1.8 8V AP 84/...
VOLKSWAGEN: Santana 1.8 8V AP 99/06
VOLKSWAGEN: Santana 2.0 8V AP 84/...
VOLKSWAGEN: Santana 2.0 8V AP 98/06
VOLKSWAGEN: Voyage 1.6 8V AP 80/96
VOLKSWAGEN: Voyage 1.8 8V AP 80/96</t>
  </si>
  <si>
    <t xml:space="preserve">171611053 (OEM)
1H0611053B (OEM)
3056110514 (OEM)
5345 (ATE)
C3350 (CONTROIL)
CR2002 (BOSCH)
RCCR00384 (TRW)</t>
  </si>
  <si>
    <t xml:space="preserve">Ferro fundido
Ø 14,28mm
LE/LD
Mesmo cilindro SWC5101</t>
  </si>
  <si>
    <t xml:space="preserve">CILINDRO DE RODA LE/LD - IGUAL SWC5060</t>
  </si>
  <si>
    <t xml:space="preserve">Alumínio
Ø 19,05mm
LE/LD
Mesmo cilindro SWC5060</t>
  </si>
  <si>
    <t xml:space="preserve">VOLKSWAGEN: Parati 1.6 8V AP 01/...
VOLKSWAGEN: Parati 1.8 8V AP 01/...
VOLKSWAGEN: Saveiro 1.6 8V AP 96/...
VOLKSWAGEN: Saveiro 1.8 8V AP 96/...
VOLKSWAGEN: Saveiro 2.0 8V AP c/ abs 97/...</t>
  </si>
  <si>
    <t xml:space="preserve">0986475039 (OEM)
357611053B (OEM)
376611051 (OEM)
6215 (ATE)
6U0611053 (OEM)
C3471 (CONTROIL)
CR2905 (BOSCH)
RCCR03300 (TRW)</t>
  </si>
  <si>
    <t xml:space="preserve">Ferro fundido
Ø 20,63mm
LE/LD</t>
  </si>
  <si>
    <t xml:space="preserve">CILINDRO DE RODA LE/LD - IGUAL SWC5098</t>
  </si>
  <si>
    <t xml:space="preserve">RENAULT: Kangoo 1.0 8V 02/07
RENAULT: Kangoo 1.6 16V 00/07
RENAULT: Kangoo 1.6 16V 02/11</t>
  </si>
  <si>
    <t xml:space="preserve">7701043913 (OEM)
C3526 (CONTROIL)
CR1272 (BOSCH)
RCCR03570 (TRW)</t>
  </si>
  <si>
    <t xml:space="preserve">Ferro fundido
Ø 22,00mm
LE/LD
Mesmo cilindro SWC5098</t>
  </si>
  <si>
    <t xml:space="preserve">FORD: Escort 1.6 8V Zetec Rocam 00/02
FORD: Escort 1.8 16V Zetec 97/03
FORD: Escort SW 1.8 16V Zetec 97/03
FORD: Focus 1.8 16V Zetec 01/04
FORD: Focus 2.0 8V 01/...</t>
  </si>
  <si>
    <t xml:space="preserve">204116504 (BOSCH)
6296 (ATE)
72GB2261CA (OEM)
91AB2261AA (OEM)
C3462 (CONTROIL)
RCCR01920 (TRW)
YS4Z2261AA (OEM)</t>
  </si>
  <si>
    <t xml:space="preserve">CITROEN: Berlingo 1.6 16V 05/07
CITROEN: Berlingo 1.8 8V 98/03
CITROEN: Xsara Picasso 1.6 16V 06/13
PEUGEOT: Hoggar 1.4 8V 10/15
PEUGEOT: Hoggar 1.6 16V 10/14
PEUGEOT: Partner 1.6 16V 04/18</t>
  </si>
  <si>
    <t xml:space="preserve">4402.C6 (OEM)
4402.E8 (OEM)
7215 (ATE)
C3505 (CONTROIL)
CR3015 (BOSCH)
RCCR02920 (TRW)</t>
  </si>
  <si>
    <t xml:space="preserve">FIAT: Fiorino 1.3 8V 88/93
FIAT: Fiorino 1.5 8V 88/93
FIAT: Fiorino 1.6 8V 91/93
FIAT: Uno 1.0 8V 98/03
FIAT: Uno 1.3 8V 84/91
FIAT: Uno 1.5 8V 87/96
FIAT: Uno 1.6 8V 94/95</t>
  </si>
  <si>
    <t xml:space="preserve">5760 (ATE)
5987896 (OEM)
7077174 (OEM)
790833 (OEM)
C3353 (CONTROIL)
RCCR01400 (TRW)</t>
  </si>
  <si>
    <t xml:space="preserve">FIAT: Argo 1.0 3 cil 17/...
FIAT: Argo 1.3 8V 17/...
FIAT: Argo 1.8 16V 17/...
FIAT: Cronos 1.3 8V Firefly 17/...
FIAT: Cronos 1.8 16V 18/23
FIAT: Pulse 1.0 12V 3 cil. 21/...
FIAT: Pulse 1.3 8V Firefly 21/...
FIAT: Uno 1.0 3 cil. Firefly 16/17
FIAT: Uno 1.0 8V 14/21
FIAT: Uno 1.3 8V Firefly 16/19
FIAT: Uno 1.4 8V EVO 13/16
FIAT: Uno Way 1.0 8V Fire 05/13
FIAT: Uno Way 1.4 8V Fire 14/16</t>
  </si>
  <si>
    <t xml:space="preserve">7088134 (OEM)
C3562 (CONTROIL)</t>
  </si>
  <si>
    <t xml:space="preserve">Ferro fundido
Ø 22,22mm
LE/LD
Sistema TRW</t>
  </si>
  <si>
    <t xml:space="preserve">CILINDRO DE RODA LE/LD - SUBSTITUI SWC5001</t>
  </si>
  <si>
    <t xml:space="preserve">FORD: Escort 1.6 8V CHT 93/96
FORD: Escort 1.8 8V AP 92/96
FORD: Escort Hobby 1.0 8V CHT 93/96
FORD: Fiesta 1.4 16V Zetec 96/99
FORD: Fiesta 1.6 8V Zetec Rocam 99/04
FORD: Focus 1.6 8V Zetec Rocam 03/09
FORD: Ka 1.6 8V Zetec Rocam 01/14</t>
  </si>
  <si>
    <t xml:space="preserve">1006016 (OEM)
1104132 (OEM)
1484750 (OEM)
547611051A (OEM)
6014 (ATE)
72GB2261AA (OEM)
C3412 (CONTROIL)
RCCR01283 (TRW)</t>
  </si>
  <si>
    <t xml:space="preserve">GM: Celta 1.0 8V 02/13
GM: Celta 1.4 8V 03/06
GM: Prisma 1.0 8V 09/...
GM: Prisma 1.4 8V 09/...</t>
  </si>
  <si>
    <t xml:space="preserve">6447 (ATE)
93306552 (OEM)
93306553 (OEM)
C3500 (CONTROIL)
CR3010 (BOSCH)
RCCR02890 (TRW)</t>
  </si>
  <si>
    <t xml:space="preserve">Ferro fundido
Ø 14,28mm
LE/LD</t>
  </si>
  <si>
    <t xml:space="preserve">RENAULT: Logan 1.0 16V 07/13
RENAULT: Sandero 1.0 16V 07/13</t>
  </si>
  <si>
    <t xml:space="preserve">204011571 (OEM)
C3542 (CONTROIL)
RCCR03600 (TRW)</t>
  </si>
  <si>
    <t xml:space="preserve">FIAT: Palio 1.0 8V 98/11
FIAT: Palio 1.0 8V EVO 11/17
FIAT: Palio 1.3 16V Fire 00/11
FIAT: Palio 1.3 8V Fire 00/11
FIAT: Palio 1.4 8V EVO 11/17
FIAT: Palio 1.4 8V Fire 05/08
FIAT: Palio 1.5 8V 98/11
FIAT: Palio 1.6 16V 98/11
FIAT: Palio 1.6 16V Etorq 11/17
FIAT: Palio 1.6 8V 98/11
FIAT: Palio 1.8 8V 03/10
FIAT: Palio Economy 1.0 8V Fire 10/15
FIAT: Palio Weekend Adventure Locker 1.8 8V 04/09
FIAT: Siena 1.0 8V 98/00
FIAT: Siena 1.0 8V Fire 05/09
FIAT: Siena 1.3 8V Fire 02/04
FIAT: Siena 1.5 8V 98/00
FIAT: Siena 1.6 16V 98/00
FIAT: Siena 1.6 8V 98/00
FIAT: Uno 1.4 8V EVO 13/14
FORD: Fiesta 1.0 8V Zetec Rocam 02/14
FORD: Fiesta 1.6 8V Zetec Rocam 07/14
FORD: Fiesta Sedan 1.0 8V Zetec Rocam 06/10
FORD: Fiesta Sedan 1.6 8V Zetec Rocam 10/14</t>
  </si>
  <si>
    <t xml:space="preserve">2S652261AA (OEM)
5958 (ATE)
7081423 (OEM)
7081575 (OEM)
7084406 (OEM)
C3472 (CONTROIL)
CR3009 (BOSCH)
RCCR02880 (TRW)</t>
  </si>
  <si>
    <t xml:space="preserve">HYUNDAI: Tucson 2.0 16V 04/10
KIA: Sportage 2.0 16V 04/10
KIA: Sportage 2.0 16V 94/98
KIA: Sportage 2.2 8V Diesel 93/98
KIA: Sportage 2.7 24V V6 04/10</t>
  </si>
  <si>
    <t xml:space="preserve">58380-2E500 (OEM)
58380-2E510 (OEM)
C3559 (CONTROIL)</t>
  </si>
  <si>
    <t xml:space="preserve">Ferro fundido
Ø 20,63mm
LE/LD
O parafuso sangrador está montado para evitar o risco de perda, basta desmontar e montar no lado desejado para torná-lo esquerdo ou direito</t>
  </si>
  <si>
    <t xml:space="preserve">FIAT: Uno 1.5R 1.5 8V 87/96
FIAT: Uno 1.6R 1.6 8V 87/96</t>
  </si>
  <si>
    <t xml:space="preserve">5465 (ATE)
7074617 (OEM)
C3404 (CONTROIL)
RCCR00899 (TRW)</t>
  </si>
  <si>
    <t xml:space="preserve">Ferro fundido
Ø 17,00mm
LE/LD</t>
  </si>
  <si>
    <t xml:space="preserve">CILINDRO DE RODA LE/LD - IGUAL SWC5086</t>
  </si>
  <si>
    <t xml:space="preserve">Ferro fundido
Ø 22,00mm
LE/LD
Mesmo cilindro SWC5086</t>
  </si>
  <si>
    <t xml:space="preserve">FORD: Fiesta 1.0 8V Endura 96/99
FORD: Fiesta 1.0 8V Zetec Rocam 99/06
FORD: Fiesta 1.3 8V Endura 96/99
FORD: Ka 1.0 8V Endura 97/99
FORD: Ka 1.0 8V Zetec Rocam 99/14
FORD: Ka 1.3 8V Endura 97/99
GM: Celta 1.0 8V 01/02</t>
  </si>
  <si>
    <t xml:space="preserve">1517558 (OEM)
5516 (ATE)
5517 (ATE)
5727 (ATE)
93305403 (OEM)
93336460 (OEM)
C3439 (CONTROIL)
CR3001 (BOSCH)
CR9858 (BOSCH)
CR9859 (BOSCH)
RCCCR00945 (TRW)
RCCR00953 (TRW)
RCCR01910 (TRW)
XS512261AA (OEM)</t>
  </si>
  <si>
    <t xml:space="preserve">Ferro fundido
Ø 17,78mm
LE/LD</t>
  </si>
  <si>
    <t xml:space="preserve">FORD: Focus 1.6 16V Sigma 10/19
FORD: Focus 2.0 16V Duratec 10/19</t>
  </si>
  <si>
    <t xml:space="preserve">24322017213 (ATE)
986475927 (BOSCH)
C3539 (CONTROIL)</t>
  </si>
  <si>
    <t xml:space="preserve">CILINDRO DE RODA LE/LD - IGUAL SWC5083</t>
  </si>
  <si>
    <t xml:space="preserve">Ferro fundido
Ø 14,28mm
LE/LD
Mesmo cilindro SWC5083</t>
  </si>
  <si>
    <t xml:space="preserve">VOLKSWAGEN: Brasilia 1300 Ar 80/82
VOLKSWAGEN: Brasilia 1600 Ar 73/82
VOLKSWAGEN: Variant I 1600 Ar 69/77
VOLKSWAGEN: Variant II 1600 Ar 78/81</t>
  </si>
  <si>
    <t xml:space="preserve">311611067/1 (OEM)
C3583 (CONTROIL)
RCCR23457 (TRW)</t>
  </si>
  <si>
    <t xml:space="preserve">GM: Agile 1.4 8V 09/15
GM: Astra 1.8 8V 98/04
GM: Astra 2.0 16V 99/04
GM: Astra 2.0 16V c/ abs 99/06
GM: Astra 2.0 8V 98/04
GM: Calibra 2.0 16V 93/95
GM: Celta 1.0 8V 14/16
GM: Classic 1.0 8V 05/17
GM: Corsa 1.0 16V 94/02
GM: Corsa 1.0 8V 94/09
GM: Corsa 1.4 8V 07/12
GM: Corsa 1.6 16V 94/02
GM: Corsa 1.6 8V 94/02
GM: Corsa 1.8 8V 05/09
GM: Corsa Sedan 1.8 8V 02/03
GM: Corsa Sedan / Wagon 1.0 16V 95/02
GM: Corsa Sedan / Wagon 1.0 8V 95/02
GM: Corsa Sedan / Wagon 1.6 16V 95/02
GM: Corsa Sedan / Wagon 1.6 8V 95/02
GM: Meriva 1.4 8V 07/12
GM: Meriva 1.8 8V 03/12
GM: Vectra 2.0 8V 98/05
GM: Vectra 2.2 8V 98/05
GM: Zafira 2.0 8V 01/05</t>
  </si>
  <si>
    <t xml:space="preserve">6013 (ATE)
90443261 (OEM)
90498300 (OEM)
93284550 (OEM)
93330205 (OEM)
C3410 (CONTROIL)
CR2754 (BOSCH)
RCCR01305 (TRW)</t>
  </si>
  <si>
    <t xml:space="preserve">CITROEN: Jumper 2.8 Diesel 96/02
FIAT: Ducato 2.5 Diesel 94/02
FIAT: Ducato 2.8 Diesel 94/02
PEUGEOT: Boxer 2.5 Diesel / 2.8 Diesel 94/02</t>
  </si>
  <si>
    <t xml:space="preserve">4402A3 (OEM)
9945891 (OEM)
CCR9228 (FORTEC)</t>
  </si>
  <si>
    <t xml:space="preserve">Ferro fundido
Ø 26,99mm
LE/LD
Veículos equipados com rodas aro 15"</t>
  </si>
  <si>
    <t xml:space="preserve">FORD: Ecosport 1.0 8V Supercharger 03/...
FORD: Ecosport 1.6 8V Zetec Rocam 03/...
FORD: Ecosport 2.0 16V Duratec 03/...
FORD: Fiesta 1.0 8V Supercharger 02/...
FORD: Fiesta 1.6 8V Zetec Rocam 02/...</t>
  </si>
  <si>
    <t xml:space="preserve">C2661 (CONTROIL)
KG19013471 (FTE)
RCCE01120 (TRW)
VKCH4729 (SKF)</t>
  </si>
  <si>
    <t xml:space="preserve">Ø 19,05mm</t>
  </si>
  <si>
    <t xml:space="preserve">F350  99/...
FORD: F250  99/...
FORD: F4000  99/...</t>
  </si>
  <si>
    <t xml:space="preserve">D101126 (FTE)
RCCE00850 (TRW)
VKCH101126 (SKF)</t>
  </si>
  <si>
    <t xml:space="preserve">GM: Corsa 1.0 / 1.4 / 1.8 02/...
GM: Montana 1.4 08/...
GM: Montana 1.8 02/...</t>
  </si>
  <si>
    <t xml:space="preserve">C2662 (CONTROIL)
KG1503901 (FTE)
RCCE00940 (TRW)
VKCH1503901 (SKF)</t>
  </si>
  <si>
    <t xml:space="preserve">Ø 15,80mm
Todos com câmbio F14</t>
  </si>
  <si>
    <t xml:space="preserve">VOLKSWAGEN: Crossfox 1.6 05/...
VOLKSWAGEN: Fox 1.6 05/...
VOLKSWAGEN: Gol G5  09/...
VOLKSWAGEN: Polo 1.6 02/...
VOLKSWAGEN: Saveiro G5  10/...
VOLKSWAGEN: Space Cross 1.6 12/...
VOLKSWAGEN: Spacefox 1.6 06/...
VOLKSWAGEN: Voyage G5  09/...</t>
  </si>
  <si>
    <t xml:space="preserve">6Q0721388 (OEM)
6Q0721388A (OEM)
6Q0721388C (OEM)
6Q0721388D (OEM)
C2657 (CONTROIL)
KG15010941 (FTE)
RCCE00930 (TRW)
VKCH4747 (SKF)</t>
  </si>
  <si>
    <t xml:space="preserve">Ø 15,87mm</t>
  </si>
  <si>
    <t xml:space="preserve">FIAT: Doblo 1.8 06/21
FIAT: Idea 1.4 / 1.3 06/...
FIAT: Palio 1.0 / 1.3 / 1.4 / 1.6 01/...
FIAT: Palio 1.8 06/...
FIAT: Palio Weekend 1.0 / 1.3 / 1.4 / 1.6 01/...
FIAT: Palio Weekend 1.8 05/...
FIAT: Siena 1.0 / 1.3 / 1.4 / 1.6 01/...
FIAT: Siena 1.8 06/...
FIAT: Strada 1.3 / 1.4 / 1.6 01/...
FIAT: Strada 1.8 05/...</t>
  </si>
  <si>
    <t xml:space="preserve">511015510 (LUK)
C2647 (CONTROIL)
KG1509471 (FTE)
RCCE01420 (TRW)
VKCH4726 (SKF)</t>
  </si>
  <si>
    <t xml:space="preserve">Ø 15,87mm
Sistema Luk</t>
  </si>
  <si>
    <t xml:space="preserve">FORD: Courier 1.3 8V Endura / 1.4 16V Zetec / 1.6 8V Zetec Rocam 99/...
FORD: Escort 1.6 8V Zetec Rocam 01/03
FORD: Escort SW 1.6 8V Zetec Rocam 01/03
FORD: Fiesta  01/07
FORD: Fiesta  99/02
FORD: Ka  99/...</t>
  </si>
  <si>
    <t xml:space="preserve">C2643 (CONTROIL)
KG19009601 (FTE)
RCCE01090 (TRW)
VKCH4728 (SKF)</t>
  </si>
  <si>
    <t xml:space="preserve">GM: Astra  99/11
GM: Vectra  06/11</t>
  </si>
  <si>
    <t xml:space="preserve">C2644 (CONTROIL)
KG1504401 (FTE)
RCCE00990 (TRW)
VKCH4739 (SKF)</t>
  </si>
  <si>
    <t xml:space="preserve">GM: Cobalt 1.4 / 1.8 11/...
GM: Onix 1.0 / 1.4 13/...
GM: Prisma 1.0 / 1.4 13/...
GM: Spin 1.8 12/...</t>
  </si>
  <si>
    <t xml:space="preserve">KG1508547 (FTE)
VKCH1508547 (SKF)</t>
  </si>
  <si>
    <t xml:space="preserve">Ø 15,80mm</t>
  </si>
  <si>
    <t xml:space="preserve">GM: Blazer 2.2 8V 96/00
GM: Blazer 2.4 8V 01/11
GM: Blazer 2.5 Maxion 96/00
GM: S10 2.2 8V 96/00
GM: S10 2.4 8V 01/11
GM: S10 2.5 Maxion 96/00</t>
  </si>
  <si>
    <t xml:space="preserve">C2624 (CONTROIL)
D101008 (FTE)
RCCE00800 (TRW)
VKCH101008 (SKF)</t>
  </si>
  <si>
    <t xml:space="preserve">Ø 18,00mm</t>
  </si>
  <si>
    <t xml:space="preserve">GM: Blazer 2.8 Turbo Diesel 01/...
GM: Blazer 4.3 V6 96/02
GM: S10 2.8 Turbo Diesel 01/...
GM: S10 4.3 V6 96/02</t>
  </si>
  <si>
    <t xml:space="preserve">C2646 (CONTROIL)
D101153 (FTE)
RCCE00880 (TRW)
VKCH101153 (SKF)</t>
  </si>
  <si>
    <t xml:space="preserve">TOYOTA: Hilux 2.5 / 3.0 05/13
TOYOTA: Hilux 2.7 16V Flex 12/...
TOYOTA: Hilux 2.8 Diesel 16/...</t>
  </si>
  <si>
    <t xml:space="preserve">C2673 (CONTROIL)
KG15007471 (FTE)</t>
  </si>
  <si>
    <t xml:space="preserve">Ø 16,50mm</t>
  </si>
  <si>
    <t xml:space="preserve">MERCEDES-BENZ: Sprinter  97/12</t>
  </si>
  <si>
    <t xml:space="preserve">C2630 (CONTROIL)
KG19005401 (FTE)
RCCE01040 (TRW)
VKCH190054 (SKF)</t>
  </si>
  <si>
    <t xml:space="preserve">Ø 19,00mm</t>
  </si>
  <si>
    <t xml:space="preserve">CITROEN: Aircross  10/...
CITROEN: C3 1.4 / 1.6 03/...
CITROEN: C3 1.5 / 1.6 12/...
CITROEN: C3 Picasso  11/...
PEUGEOT: 208 1.5 / 1.6 / 1.6 THP 12/...</t>
  </si>
  <si>
    <t xml:space="preserve">C2681 (CONTROIL)
KG1504044 (FTE)
RCCE00970 (TRW)
VKCH4889 (SKF)</t>
  </si>
  <si>
    <t xml:space="preserve">SCC2013</t>
  </si>
  <si>
    <t xml:space="preserve">GM: A / C /D 20  90/...
GM: Bonanza  93/...
GM: Veraneio  93/...</t>
  </si>
  <si>
    <t xml:space="preserve">C2626 (CONTROIL)
D101080 (FTE)
RCCE00810 (TRW)
VKCH101080 (SKF)</t>
  </si>
  <si>
    <t xml:space="preserve">GM: S10 2.4 8V 12/16
GM: S10 2.5 16V 15/...
GM: S10 2.8 16V TDI 12/...</t>
  </si>
  <si>
    <t xml:space="preserve">KG19013544 (FTE)
RCCE01480 (TRW)
VKCH1903544 (SKF)</t>
  </si>
  <si>
    <t xml:space="preserve">GM: Zafira  01/...</t>
  </si>
  <si>
    <t xml:space="preserve">C2668 (CONTROIL)
KG1504402 (FTE)
RCCE01000 (TRW)
VKCH4740 (SKF)</t>
  </si>
  <si>
    <t xml:space="preserve">GM: Tracker 2.0 16V J20A gasolina 99/…
SUZUKI: Grand Vitara 2.0 16V    J20A gasolina 06/…
SUZUKI: Grand Vitara 2.0 16V    J20A gasolina 98/…
SUZUKI: Vitara 2.0 16V    J20A gasolina 97/…</t>
  </si>
  <si>
    <t xml:space="preserve">HONDA: City 1.5 16V 09/...
HONDA: Fit 1.4 16V / 1.5 16V 09/...</t>
  </si>
  <si>
    <t xml:space="preserve">Ø 15,00mm</t>
  </si>
  <si>
    <t xml:space="preserve">GM: Grand Blazer 4.1 6 cil 97/20
GM: Grand Blazer 4.2 TD 97/20
GM: Silverado 4.1 6 cil 97/01</t>
  </si>
  <si>
    <t xml:space="preserve">C2638 (CONTROIL)
D101097 (FTE)
RCCE00820 (TRW)
VKCH101097 (SKF)</t>
  </si>
  <si>
    <t xml:space="preserve">Ø 17,80mm</t>
  </si>
  <si>
    <t xml:space="preserve">HONDA: Civic 1.7 16V VTEC 01/05</t>
  </si>
  <si>
    <t xml:space="preserve">HONDA: New Civic Si 2.0 16V K20Z4 09/11</t>
  </si>
  <si>
    <t xml:space="preserve">VOLKSWAGEN: Amarok 2.0 16V Diesel 10/...</t>
  </si>
  <si>
    <t xml:space="preserve">C2690 (CONTROIL)
KG19013741 (FTE)
RCCE01450 (TRW)
VKCH19013741 (SKF)</t>
  </si>
  <si>
    <t xml:space="preserve">AUDI: A3 1.6 / 1.8 / 1.8T 96/...
VOLKSWAGEN: Golf 1.6 8V / 1.8 20V Turbo 98/...</t>
  </si>
  <si>
    <t xml:space="preserve">C2650 (CONTROIL)
KG1503201 (FTE)
RCCE00920 (TRW)
VKCH15032 (SKF)</t>
  </si>
  <si>
    <t xml:space="preserve">MERCEDES-BENZ: Sprinter 311 / 415 / 515  12/...</t>
  </si>
  <si>
    <t xml:space="preserve">AUDI: A4 / A6  98/05
VOLKSWAGEN: Passat  98/05</t>
  </si>
  <si>
    <t xml:space="preserve">NISSAN: Frontier 2.8 4 cil Turbo Diesel MWM 4.07T / 4.07TCA 02/07
NISSAN: X Terra 2.8 4 cil Turbo Diesel MWM 4.07T / 4.07TCA 02/07</t>
  </si>
  <si>
    <t xml:space="preserve">Ø 15,00mm
Saída para flexível com rosca</t>
  </si>
  <si>
    <t xml:space="preserve">Ø 15mm
Saída para flexível com engate rápido</t>
  </si>
  <si>
    <t xml:space="preserve">FORD: Mondeo  94/01</t>
  </si>
  <si>
    <t xml:space="preserve">CITROEN: Jumper 2.3 16V Diesel   F1 06/
FIAT: Ducato 2.3 16V Multijet Diesel   F1 10/…
FIAT: Ducato 2.8 Turbo Diesel 06/...
PEUGEOT: Boxer 2.3 16V Diesel   F1 06/…</t>
  </si>
  <si>
    <t xml:space="preserve">RENAULT: Duster 1.6 16V 12/...
RENAULT: Duster 2.0 16V F4R830 12/...</t>
  </si>
  <si>
    <t xml:space="preserve">Saída curva</t>
  </si>
  <si>
    <t xml:space="preserve">CHERY: Tiggo 2.0 16V   SQR484F 10/…</t>
  </si>
  <si>
    <t xml:space="preserve">NISSAN: Grand Livina 1.8 16V 09/...
NISSAN: Livina 1.8 16V 09/...
NISSAN: Sentra 2.0 16V 14/...
NISSAN: Tiida 1.8 16V 07/...</t>
  </si>
  <si>
    <t xml:space="preserve">306101HB0A (OEM)
C2733 (CONTROIL)</t>
  </si>
  <si>
    <t xml:space="preserve">Ø 16,20mm</t>
  </si>
  <si>
    <t xml:space="preserve">FORD: Ecosport 1.6 16V Sigma 13/...
FORD: New Fiesta 1.5 16V / 1.6 16V Sigma 13/...</t>
  </si>
  <si>
    <t xml:space="preserve">FORD: Ecosport  16/17
FORD: Ka / Ka Sedan 1.0 12V 3 cil 14/...
FORD: Ka / Ka Sedan 1.5 16V Sigma 14/...
FORD: New Fiesta  11/12</t>
  </si>
  <si>
    <t xml:space="preserve">CITROEN: Xsara Picasso 1.6 16V 03/...
CITROEN: Xsara Picasso 2.0 16V 03/...</t>
  </si>
  <si>
    <t xml:space="preserve">KG1504801 (FTE)
RCCE01010 (TRW)
VKCH4890 (SKF)</t>
  </si>
  <si>
    <t xml:space="preserve">Ø 16,00mm</t>
  </si>
  <si>
    <t xml:space="preserve">FIAT: Doblo 1.8 8V 04/05</t>
  </si>
  <si>
    <t xml:space="preserve">KG15098.2.1 (FTE)
RCCE01430 (TRW)</t>
  </si>
  <si>
    <t xml:space="preserve">Ø 15,88mm</t>
  </si>
  <si>
    <t xml:space="preserve">FIAT: Stilo 1.8 8V 03/05</t>
  </si>
  <si>
    <t xml:space="preserve">FORD: Courier 1.3 8V Endura 96/99
FORD: Courier 1.4 16V Zetec 96/99
FORD: Courier 1.6 8V Zetec Rocam 96/99
FORD: Fiesta 1.0 8V / 1.3 8V Endura 96/99
FORD: Fiesta 1.0 8V / 1.6 8V Zetec Rocam 96/99
FORD: Fiesta 1.4 16V 96/99</t>
  </si>
  <si>
    <t xml:space="preserve">C2641 (CONTROIL)
KG19009401 (FTE)
RCCE01070 (TRW)
VKCH4727 (SKF)</t>
  </si>
  <si>
    <t xml:space="preserve">FORD: Focus 1.6 8V Zetec Rocam 03/07
FORD: Focus 1.8 16V Zetec 00/07
FORD: Focus 2.0 16V Zetec 00/07</t>
  </si>
  <si>
    <t xml:space="preserve">C2684 (CONTROIL)
KG19009501 (FTE)
RCCE01080 (TRW)
VKCH4745 (SKF)</t>
  </si>
  <si>
    <t xml:space="preserve">FORD: Ka 1.0 8V Endura 97/99
FORD: Ka 1.3 8V Endura 97/00</t>
  </si>
  <si>
    <t xml:space="preserve">C2645 (CONTROIL)
KG19009301 (FTE)
RCCE01060 (TRW)
VKCH4744 (SKF)</t>
  </si>
  <si>
    <t xml:space="preserve">FORD: Ranger 2.2 16V Duratorq 13/...
FORD: Ranger 2.5 16V Duratorq 13/...
FORD: Ranger 3.2 20V Duratorq 13/...</t>
  </si>
  <si>
    <t xml:space="preserve">AB397A543AD (OEM)
C2727 (CONTROIL)
KG19020271 (FTE)</t>
  </si>
  <si>
    <t xml:space="preserve">CILINDRO MESTRE DE EMBREAGEM - DESCONTINUADO - USAR SCC2079</t>
  </si>
  <si>
    <t xml:space="preserve">FORD: Explorer 4.0 V6 95/05
FORD: Ranger 2.3 95/...
FORD: Ranger 2.5 95/...
FORD: Ranger 2.8 01/...
FORD: Ranger 3.0 05/...
FORD: Ranger 4.0 V6 95/...</t>
  </si>
  <si>
    <t xml:space="preserve">C2649 (CONTROIL)
D101128 (FTE)
RCCE00860 (TRW)
VKCH101128 (SKF)</t>
  </si>
  <si>
    <t xml:space="preserve">C/ Reservatório</t>
  </si>
  <si>
    <t xml:space="preserve">FORD: Transit 2.4 16V TDCi Duratorq .../14</t>
  </si>
  <si>
    <t xml:space="preserve">GM: Cruze 1.8 16V 12/17</t>
  </si>
  <si>
    <t xml:space="preserve">KG1504141 (FTE)
RCCE01460 (TRW)
VKCH1504141 (SKF)</t>
  </si>
  <si>
    <t xml:space="preserve">HONDA: Civic 1.6 16V 96/00</t>
  </si>
  <si>
    <t xml:space="preserve">C2674 (CONTROIL)
D111001 (FTE)</t>
  </si>
  <si>
    <t xml:space="preserve">Ø 15,90mm</t>
  </si>
  <si>
    <t xml:space="preserve">HYUNDAI: Elantra 2.0 16V 00/06
HYUNDAI: i30 2.0 16V 09/13</t>
  </si>
  <si>
    <t xml:space="preserve">SUZUKI: Grand Vitara 2.0 16V 06/15</t>
  </si>
  <si>
    <t xml:space="preserve">Ø 22,22mm</t>
  </si>
  <si>
    <t xml:space="preserve">TOYOTA: Corolla 1.6 16V   4AFE / 4AFEL 92/02</t>
  </si>
  <si>
    <t xml:space="preserve">C2671 (CONTROIL)
KG15001171 (FTE)</t>
  </si>
  <si>
    <t xml:space="preserve">VOLKSWAGEN: Golf 2.0 16V 06/08
VOLKSWAGEN: Jetta 1.4 TSI 14/...
VOLKSWAGEN: Jetta 2.0 TSI 11/...
VOLKSWAGEN: Jetta 2.5 20V 5 cil 07/11
VOLKSWAGEN: Novo Fusca 2.0 TSI 11/...</t>
  </si>
  <si>
    <t xml:space="preserve">Ø 16,20mm
C/ Sensor</t>
  </si>
  <si>
    <t xml:space="preserve">CITROEN: C4 1.6 16V 04/...
CITROEN: C4 P 1.6 16V 04/...
PEUGEOT: 307 1.6 16V 00/...
PEUGEOT: 308 1.6 16V 07/...</t>
  </si>
  <si>
    <t xml:space="preserve">KG1504047 (FTE)
RCCE00980 (TRW)
VKCH4891 (SKF)</t>
  </si>
  <si>
    <t xml:space="preserve">CITROEN: 307 2.0 16V 00/...
CITROEN: C4 2.0 16V 00/...</t>
  </si>
  <si>
    <t xml:space="preserve">KG1504004 (FTE)
RCCE00960 (TRW)
VKCH4893 (SKF)</t>
  </si>
  <si>
    <t xml:space="preserve">RENAULT: Master 2.5 / 2.8 .../12</t>
  </si>
  <si>
    <t xml:space="preserve">RENAULT: Master 2.3 16V 13/...</t>
  </si>
  <si>
    <t xml:space="preserve">8200673232 (OEM)
C2718 (CONTROIL)
KG15007971 (FTE)</t>
  </si>
  <si>
    <t xml:space="preserve">AUDI: Q3 1.4 16V TFSI 17/...
AUDI: Q3 2.0 16V TFSI 12//...
VOLKSWAGEN: Passat 2.0 16V Turbo 07/...
VOLKSWAGEN: Passat 3.6 VR6 07/...
VOLKSWAGEN: Passat CC 2.0 16V Turbo 07/...
VOLKSWAGEN: Passat CC 3.6 V6 FSI 07/...
VOLKSWAGEN: Tiguan 1.4 16V TSI 13/...
VOLKSWAGEN: Tiguan 2.0 16V TSI 09/...</t>
  </si>
  <si>
    <t xml:space="preserve">HYUNDAI: Tucson 2.0 16V 06/14
HYUNDAI: Tucson 2.7 V6 06/14
KIA: Sportage 2.0 16V 05/14
KIA: Sportage 2.7 V6 05/14</t>
  </si>
  <si>
    <t xml:space="preserve">FORD: Focus 1.6 16V Duratec 08/09
FORD: Focus 2.0 16V Duratec 08/09</t>
  </si>
  <si>
    <t xml:space="preserve">LAND ROVER: Defender 90/110/130 2.5 90/07
LAND ROVER: Discovery I 3.0 TDI Todas</t>
  </si>
  <si>
    <t xml:space="preserve">TOYOTA: Etios 1.3 16V 12/...
TOYOTA: Etios 1.5 16V 12/...
TOYOTA: Yaris 1.3 16V 18/...
TOYOTA: Yaris 1.5 16V 18/...</t>
  </si>
  <si>
    <t xml:space="preserve">511029910 (LUK)
5110299100 (LUK)</t>
  </si>
  <si>
    <t xml:space="preserve">RENAULT: Duster 1.6 16V 13/15
RENAULT: Duster 2.0 16V 13/15</t>
  </si>
  <si>
    <t xml:space="preserve">6001548446 (RENAULT)
8200424004 (RENAULT)
8200424007 (RENAULT)</t>
  </si>
  <si>
    <t xml:space="preserve">Saída reta</t>
  </si>
  <si>
    <t xml:space="preserve">MITSUBISHI: Pajero 2.8 Turbo 4M40 97/...</t>
  </si>
  <si>
    <t xml:space="preserve">5/8"</t>
  </si>
  <si>
    <t xml:space="preserve">NISSAN: March 1.0 16V 11/...
NISSAN: March 1.6 16V 11/...
NISSAN: Versa 1.6 16V 11/...
RENAULT: Captur 1.6 16V 17/...
RENAULT: Duster 1.6 / 2.0 16/...
RENAULT: Logan 1.6 16V 13/16
RENAULT: Logan 1.6 16V 17/...
RENAULT: Oroch 1.6 16V 16/...
RENAULT: Sandero 1.6 16V 13/16
RENAULT: Sandero 1.6 16V 17/...</t>
  </si>
  <si>
    <t xml:space="preserve">NISSAN: Frontier 2.5 8V 08/12
NISSAN: Frontier 2.8 12V MWM 05/08</t>
  </si>
  <si>
    <t xml:space="preserve">30610EA000 (OEM)
C2725 (CONTROIL)</t>
  </si>
  <si>
    <t xml:space="preserve">Alumínio
Ø 15,87 mm</t>
  </si>
  <si>
    <t xml:space="preserve">HYUNDAI: HR 2.5 16V 13/...
HYUNDAI: HR 2.5 8V Diesel 05/12
KIA: Bongo K2500 2.5 16V 13/...
KIA: Bongo K2500 2.5 8V Diesel 05/12</t>
  </si>
  <si>
    <t xml:space="preserve">41600-4F000 (HYUNDAI)
C2730 (CONTROIL)</t>
  </si>
  <si>
    <t xml:space="preserve">MITSUBISHI: L200 2.5 8V Turbo 92/07</t>
  </si>
  <si>
    <t xml:space="preserve">MR132298 (MITSUBISHI)
PNB459 (TRW)</t>
  </si>
  <si>
    <t xml:space="preserve">Importante, antes de fazer a troca do cilindro, revisar o guia do rolamento de embreagem na caixa de câmbio, pois poderá haver calço, impedindo rolamento de girar livremente, acarretando no endurecimento do pedal e quebra da haste do cilindro.</t>
  </si>
  <si>
    <t xml:space="preserve">HONDA: New Civic 1.8 16V 06/11</t>
  </si>
  <si>
    <t xml:space="preserve">46920SNAA02 (OEM)
C2679 (CONTROIL)</t>
  </si>
  <si>
    <t xml:space="preserve">TOYOTA: Corolla 1.8 16V   2ZZFE 03/08
TOYOTA: Fielder 1.8 16V   2ZZFE 04/08</t>
  </si>
  <si>
    <t xml:space="preserve">D111006 (FTE)
RCCE01660 (TRW)</t>
  </si>
  <si>
    <t xml:space="preserve">TOYOTA: Corolla 1.8 16V   2ZZFE 08/14
TOYOTA: Corolla 2.0 16V   3ZR FAE 09/17</t>
  </si>
  <si>
    <t xml:space="preserve">FIAT: Toro 1.8 16V / 2.0 16V / 2.4 16V 16/...
JEEP: Renegade 1.8 16V / 2.0 16V 15/...</t>
  </si>
  <si>
    <t xml:space="preserve">55257322 (OEM)
55272342 (OEM)
C2735 (CONTROIL)
KG15013842 (FTE)
VKCH4919 (SKF)</t>
  </si>
  <si>
    <t xml:space="preserve">HYUNDAI: Creta 1.6 16V Flex G4FC 17/...
HYUNDAI: iX35 2.0 16V 10/…
HYUNDAI: Tucson 2.0 16V 04/…
KIA: Sportage 2.0 16V 07/…</t>
  </si>
  <si>
    <t xml:space="preserve">HYUNDAI: Elantra 1.6 16V 90/…
HYUNDAI: i30 1.6 16V Flex G4FC 13/…
HYUNDAI: Veloster 1.6 16V Flex G4FC 12/…
KIA: Cerato 1.6 16V 08/...
KIA: Soul 1.6 16V 09/...</t>
  </si>
  <si>
    <t xml:space="preserve">CITROEN: Jumper 2.0 16V Blue HDI Euro V 18/...
FIAT: Ducato 2.3 16V 13/18
FIAT: Ducato 2.3 16V Multijet Euro V 18/...
PEUGEOT: Boxer 2.0 16V Blue HDI Euro V 18/...</t>
  </si>
  <si>
    <t xml:space="preserve">55270043 (OEM)
C2734 (CONTROIL)</t>
  </si>
  <si>
    <t xml:space="preserve">RENAULT: Logan 1.0 12V B4D 17/...
RENAULT: Logan 1.6 8V K7M 14/...
RENAULT: Sandero 1.0 12V B4D 17/...
RENAULT: Sandero 1.6 8V K7M 14/...</t>
  </si>
  <si>
    <t xml:space="preserve">TOYOTA: Hilux 2.5 16V 2KD 06/12
TOYOTA: Hilux 3.0 16V 1KD 06/11
TOYOTA: SW4 3.0 16V 1KD 06/11</t>
  </si>
  <si>
    <t xml:space="preserve">RENAULT: Fluence 2.0 16V 11/...</t>
  </si>
  <si>
    <t xml:space="preserve">RENAULT: Megane 1.6 16V 06/...
RENAULT: Megane Grand Tour 1.6 16V 06/...</t>
  </si>
  <si>
    <t xml:space="preserve">MERCEDES-BENZ: 1218  09/...
MERCEDES-BENZ: 1418  09/...
MERCEDES-BENZ: 1722  09/...
MERCEDES-BENZ: 1725  
MERCEDES-BENZ: 1826  
MERCEDES-BENZ: 1830  
MERCEDES-BENZ: 1941  
MERCEDES-BENZ: 2422  
MERCEDES-BENZ: 2443  
MERCEDES-BENZ: 2736  
MERCEDES-BENZ: L1418  
MERCEDES-BENZ: O500 M1725 6.4 18V 01/12
MERCEDES-BENZ: O500 M1728 6.4 18V 01/05
MERCEDES-BENZ: OF1417 4.3 12V 99/04
MERCEDES-BENZ: OH1519 4.8 12V 12/...</t>
  </si>
  <si>
    <t xml:space="preserve">NISSAN: Frontier 2.5 16V QR25DR 13/...</t>
  </si>
  <si>
    <t xml:space="preserve">FORD: Ranger 2.3 16V 97/12
FORD: Ranger 2.5 16V 97/12
FORD: Ranger 2.5 Turbo Diesel 97/12
FORD: Ranger 2.8 Turbo Diesel 97/12
FORD: Ranger 3.0 Turbo Diesel  NGD 05/…
TROLLER: T4 3.0 Turbo Diesel  NGD 07/…</t>
  </si>
  <si>
    <t xml:space="preserve">Com reservatório
Com flexível 5/8"</t>
  </si>
  <si>
    <t xml:space="preserve">NISSAN: Sentra 2.0 16V 07/13</t>
  </si>
  <si>
    <t xml:space="preserve">VOLKSWAGEN: Up 1.0 12V 14/...
VOLKSWAGEN: Up 1.0 12V 3cil TSI 14/...</t>
  </si>
  <si>
    <t xml:space="preserve">Aplicar somente em veículos com com transmissão manual</t>
  </si>
  <si>
    <t xml:space="preserve">GM: Onix 1.0 12V 3 cil Aspirado 20/...
GM: Onix 1.0 12V 3 cil Turbo 20/...
GM: Tracker 1.0 12V 3 cil Turbo 20/...
GM: Tracker 1.2 12V 3 cil Turbo 20/...</t>
  </si>
  <si>
    <t xml:space="preserve">Ø 15,80mm
1 furo M10x1
5/8</t>
  </si>
  <si>
    <t xml:space="preserve">MITSUBISHI: Triton 2.4 16V Diesel 4N15 17/...
MITSUBISHI: Triton 2.4 16V Flex 4G64 13/...</t>
  </si>
  <si>
    <t xml:space="preserve">FIAT: Argo 1.0 6V 3 cil. 17/...
FIAT: Argo 1.3 8V 17/...
FIAT: Argo 1.8 16V 17/...
FIAT: Cronos 1.3 8V 18/...
FIAT: Cronos 1.8 16V 18/...
FIAT: Fiorino 1.4 8V 13/...
FIAT: Grand Siena 1.4 8V EVO 12/...
FIAT: Grand Siena 1.6 16V 12/...
FIAT: Idea 1.4 05/...
FIAT: Idea 1.8 16V Etorq 11/...
FIAT: Mobi 1.0 8V 16/...
FIAT: Palio 1.0 / 1.3 / 1.4 / 1.6 00/06
FIAT: Palio 1.0 / 1.4 12/...
FIAT: Palio 1.0 8V / 16V Fire 01/20
FIAT: Palio 1.4 8V Fire 05/20
FIAT: Palio 1.6 01/20
FIAT: Palio 1.6 Etorq 12/...
FIAT: Palio Weekend 1.0 / 1.3 / 1.4 / 1.6 00/06
FIAT: Palio Weekend 1.6 16V / 1.8 16V Etorq 11/...
FIAT: Punto 1.4 8V Fire 07/20
FIAT: Punto 1.5 08/...
FIAT: Siena 1.0 / 1.3 / 1.4 / 1.6 00/06
FIAT: Siena 1.0 8V / 16V Fire 01/20
FIAT: Siena 1.4 8V Fire 05/20
FIAT: Siena 1.6 01/20
FIAT: Strada 1.3 / 1.4 / 1.6 00/06
FIAT: Strada 1.4 8V EVO 17/...
FIAT: Strada 1.6 16V Etorq 13/...
FIAT: Strada 1.8 16V Etorq 11/...
FIAT: Uno 1.0 8V 13/...
FIAT: Uno 1.4 8V 13/...</t>
  </si>
  <si>
    <t xml:space="preserve">FORD: Transit 2.2 16V Duratorq 12/...</t>
  </si>
  <si>
    <t xml:space="preserve">TOYOTA: Hilux 3.0 16V 1KZT 97/05
TOYOTA: Hilux 3.0 16V 1KZTE 97/05
TOYOTA: SW4 3.0 16V 1KZT 97/05
TOYOTA: SW4 3.0 16V 1KZTE 97/05</t>
  </si>
  <si>
    <t xml:space="preserve">CILINDRO MESTRE EMBREAGEM</t>
  </si>
  <si>
    <t xml:space="preserve">RENAULT: Duster 1.6 / 2.0 16/...
RENAULT: Sandero 2.0 16V RS 16/...</t>
  </si>
  <si>
    <t xml:space="preserve">MITSUBISHI: Triton 3.2 16V Diesel 4M41 DI-D 07/13
MITSUBISHI: Triton 3.5 V6 24V Flex 6G74 10/13
MITSUBISHI: Triton 3.5 V6 24V Gasolina 6G74 07/13</t>
  </si>
  <si>
    <t xml:space="preserve">C2675 (CONTROIL)
MR995034 (OEM)</t>
  </si>
  <si>
    <t xml:space="preserve">VOLKSWAGEN: Golf 1.0 12V 3 cil TSI 14/...
VOLKSWAGEN: Golf 1.4 16V TSI 14/...
VOLKSWAGEN: Golf GTI 2.0 16V 13/...</t>
  </si>
  <si>
    <t xml:space="preserve">2106015 (VALEO)
KG15010547 (FTE)</t>
  </si>
  <si>
    <t xml:space="preserve">MITSUBISHI: L200 2.5 4D56 / 4D56T 91/98
MITSUBISHI: L200 2.5 4D56 / 4D56T 99/12</t>
  </si>
  <si>
    <t xml:space="preserve">CHERY: Cielo 1.6 16V 10/12</t>
  </si>
  <si>
    <t xml:space="preserve">Ferro fundido</t>
  </si>
  <si>
    <t xml:space="preserve">MITSUBISHI: L200 2.5 8V 4D56 97/03
MITSUBISHI: L200 Sport 2.5 HPE 03/12
MITSUBISHI: Pajero Sport 2.5 HPE 03/12</t>
  </si>
  <si>
    <t xml:space="preserve">C2652 (CONTROIL)
MR267829 (OEM)</t>
  </si>
  <si>
    <t xml:space="preserve">TOYOTA: Hilux 2.8 3L 92/01
TOYOTA: Hilux 3.0 5L 02/05</t>
  </si>
  <si>
    <t xml:space="preserve">TOYOTA: Hilux 2.5 16V Turbo Diesel 12/15
TOYOTA: Hilux 3.0 16V Turbo Diesel 12/15</t>
  </si>
  <si>
    <t xml:space="preserve">ASIA: Hi Topic 2.7 Diesel 93/98
ASIA: Topic 2.7 Diesel 97/99
KIA: Besta 2.2 8V Diesel 93/98
KIA: Besta 2.7 8V Diesel 93/98
KIA: Besta GS 2.7 8V Diesel 98/05
KIA: Besta GS 3.0 8V Diesel 98/05
KIA: Bongo K2400 2.4 8V Diesel 93/97
KIA: Bongo K2700 2.7 8V Diesel 97/12</t>
  </si>
  <si>
    <t xml:space="preserve">0S08941400 (OEM)
0S08941990 (OEM)
C2634 (CONTROIL)
PNB171 (TRW)
RCCE00740 (TRW)</t>
  </si>
  <si>
    <t xml:space="preserve">Ferro fundido
Ø 15,87mm</t>
  </si>
  <si>
    <t xml:space="preserve">CIILNDRO MESTRE DE EMBREAGEM</t>
  </si>
  <si>
    <t xml:space="preserve">KIA: Bongo K2500 2.5 16V Diesel 13/...
KIA: Bongo K2500 2.5 8V Diesel 08/12
KIA: Bongo K2700 2.7 8V Diesel 06/12</t>
  </si>
  <si>
    <t xml:space="preserve">416004E000 (OEM)
C2731 (CONTROIL)</t>
  </si>
  <si>
    <t xml:space="preserve">MITSUBISHI: Pajero Dakar 3.2 16V 4M41 10/19
MITSUBISHI: Pajero Full 3.2 16V 4M41 01/19
MITSUBISHI: Pajero Full 3.8 V6 6G75 01/19</t>
  </si>
  <si>
    <t xml:space="preserve">C2721 (CONTROIL)
MR374499 (OEM)</t>
  </si>
  <si>
    <t xml:space="preserve">VOLKSWAGEN: Nivus 1.0 TSI 21/...
VOLKSWAGEN: Polo 1.0 TSI 18/...
VOLKSWAGEN: T-Cross 1.0 TSI 20/...
VOLKSWAGEN: T-Cross 1.4 TSI 18/21
VOLKSWAGEN: Virtus 1.0 TSI 18/...</t>
  </si>
  <si>
    <t xml:space="preserve">RENAULT: Captur 1.3 3 cil Turbo 20/...
RENAULT: Captur 1.6 16V 17/...
RENAULT: Duster 1.3 3 cil Turbo 22/...
RENAULT: Duster 1.6 16V 17/...</t>
  </si>
  <si>
    <t xml:space="preserve">C/ Sensor retangular, 4 pinos</t>
  </si>
  <si>
    <t xml:space="preserve">MERCEDES-BENZ: 1614  89/...
MERCEDES-BENZ: 1618  89/...
MERCEDES-BENZ: O 371  87/...
MERCEDES-BENZ: OH 1419  80/...
MERCEDES-BENZ: OH 1420  80/...</t>
  </si>
  <si>
    <t xml:space="preserve">3842957006 (OEM)
6402 (ATE)
C2607 (CONTROIL)
RCCE00335 (TRW)</t>
  </si>
  <si>
    <t xml:space="preserve">Ferro fundido
Ø 23,81mm</t>
  </si>
  <si>
    <t xml:space="preserve">MERCEDES-BENZ: 1630  91/...
MERCEDES-BENZ: 1635  91/...
MERCEDES-BENZ: LO 812  89/...
MERCEDES-BENZ: LO 912  89/...
MERCEDES-BENZ: LS 1929  91/...
MERCEDES-BENZ: LS 1935  91/...
MERCEDES-BENZ: LS 1938  91/...</t>
  </si>
  <si>
    <t xml:space="preserve">3882957106 (OEM)
C2602 (CONTROIL)
RCCE00122 (TRW)</t>
  </si>
  <si>
    <t xml:space="preserve">Ferro fundido
Ø 19,05mm</t>
  </si>
  <si>
    <t xml:space="preserve">MERCEDES-BENZ: 1218  03/...
MERCEDES-BENZ: 1318  03/...
MERCEDES-BENZ: 1418  03/...
MERCEDES-BENZ: 1620  03/...
MERCEDES-BENZ: 1622  03/...
MERCEDES-BENZ: 1938  03/...
MERCEDES-BENZ: ATEGO 1718  03/...
MERCEDES-BENZ: ATEGO 1725  03/...
MERCEDES-BENZ: ATEGO 2425  03/...
MERCEDES-BENZ: ATEGO 2429  03/...
MERCEDES-BENZ: OF 1519  03/...</t>
  </si>
  <si>
    <t xml:space="preserve">0012959106 (OEM)
2100220 (VALEO)
6283600580 (SACHS)
A0012959106 (OEM)
KG2000108 (FTE)
RCCE01130 (TRW)
VKCH4924 (SKF)</t>
  </si>
  <si>
    <t xml:space="preserve">MERCEDES-BENZ: Axor 1933 OM926LA 7.2 18V 05/11
MERCEDES-BENZ: Axor 1936 OM926LA 7.2 18V Bluetec 5 12/...
MERCEDES-BENZ: Axor 2533 OM926LA 7.2 18V 05/11
MERCEDES-BENZ: Axor 2548 OM926LA 7.2 18V 05/11
MERCEDES-BENZ: Axor 2640 S OM457LA 12.0 24V 05/11
MERCEDES-BENZ: Axor 3333 OM457LA 12.0 24V 05/11
MERCEDES-BENZ: Axor 3344 OM457LA 12.0 24V 05/11</t>
  </si>
  <si>
    <t xml:space="preserve">22950206 (OEM)
82703 (SACHS)
A0022950206 (OEM)
RCCE01050 (TRW)</t>
  </si>
  <si>
    <t xml:space="preserve">MERCEDES-BENZ: Actros  Todos
MERCEDES-BENZ: Atego  Todos
MERCEDES-BENZ: Axor  Todos</t>
  </si>
  <si>
    <t xml:space="preserve">0002950406 (OEM)
0012959306 (OEM)
0012959506 (OEM)
0022950306 (OEM)
0022950406 (OEM)</t>
  </si>
  <si>
    <t xml:space="preserve">Haste curta e bucha do reservatório pequena.</t>
  </si>
  <si>
    <t xml:space="preserve">VOLKSWAGEN: 13.150 SERIE 10 / X10 4.3 L 8V SOHV L4 00/05
VOLKSWAGEN: 13.170 6 BTAA 5.9 L 12V SOHV L6 00/01
VOLKSWAGEN: 13.180 SERIE 10 / X10 6.5 L 12V SOHV L6 00/05
VOLKSWAGEN: 15.170 6 BTAA 5.9 L 12V SOHV L6 00/01
VOLKSWAGEN: 17.210 6 BTAA 5.9 L 12V SOHV L6 00/05
VOLKSWAGEN: 17.210 SERIE 10 / X10 6.5 L 12V SOHV L6 00/05
VOLKSWAGEN: 17.220 6 CTAA 8.3 L 12V SOHV L6 00/06
VOLKSWAGEN: 17.300 6 CTAA 8.3 L 12V SOHV L6 00/01
VOLKSWAGEN: 17.310 6 CTAA 8.3 L 12V SOHV L6 01/05
VOLKSWAGEN: 24.220 6 CT 8.3 L 12V SOHV L6 91/06
VOLKSWAGEN: 24.250 6 CTAA 8.3 L 12V SOHV L6 91/02
VOLKSWAGEN: 26.300 6 CTAA 8.3 L 12V SOHV L6 00/01
VOLKSWAGEN: 26.310 6 CTAA 8.3 L 12V SOHV L6 01/05
VOLKSWAGEN: 40.300 6 CTAA 8.3 L 12V SOHV L6 99/01
VOLKSWAGEN: 8.120 SÉRIE 10 / X10 4.3 L 8V SOHV L4 00/07
VOLKSWAGEN: 8.140 SÉRIE 10 / X10 4.3 L 8V SOHV L4 94/00
VOLKSWAGEN: 8.140 CO SÉRIE 10 / X10 4.3 L 8V SOHV L4 94/00
VOLKSWAGEN: 8.150 SÉRIE 10 / X10 4.3 L 8V SOHV L4 00/05
VOLKSWAGEN: 8.150 OD SÉRIE 10 / X10 4.3 L 8V SOHV L4 01/05
VOLKSWAGEN: 9.150 OD SÉRIE 10 / X10 4.3 L 8V SOHV L4 01/05
VOLKSWAGEN: Constellation 24.250 Interact 6 5.9 24V 05/11
VOLKSWAGEN: Worker 13.170 E Interact 4 3.9 16V 04
VOLKSWAGEN: Worker 13.180 CN SÉRIE 10 / X10 6.5 12V 06/11
VOLKSWAGEN: Worker 15.170 E Interact 4 3.9 16V 04/06
VOLKSWAGEN: Worker 15.180 SÉRIE 10 / X10 6.5 12V 06/11
VOLKSWAGEN: Worker 17.220 6 CTAA 8.3 12V 06/11
VOLKSWAGEN: Worker 24.220 6 CTAA 8.3 12V 06/11
VOLKSWAGEN: Worker 24.250 E Interact 6 5.9 24V 03/11</t>
  </si>
  <si>
    <t xml:space="preserve">2T721405 (OEM)
2TO721405 (OEM)
2VB721405 (OEM)
C2720 (CONTROIL)
RCCE00700 (TRW)</t>
  </si>
  <si>
    <t xml:space="preserve">FIAT: Palio 1.8 8V 03/06
FIAT: Siena 1.8 8V 03/06
FIAT: Strada 1.8 8V 03/06</t>
  </si>
  <si>
    <t xml:space="preserve">5110155190 (LUK)
55196183 (OEM)
VKCH4917 (SKF)</t>
  </si>
  <si>
    <t xml:space="preserve">Câmbio C510 e tubulação Valeo</t>
  </si>
  <si>
    <t xml:space="preserve">AGRALE: FURGOVAN 6000 SPRINT EURO 3 2.8 L 12V SOHC L4 05/11
AGRALE: MA 7.5E SERIE 12 / X12 4.8 L 8V SOHV L4 05
AGRALE: MA 8.0 4 BT 3.9 L 8V SOHV L4 05/11
AGRALE: MA 8.0T SERIE 10 / X10 4.3 L 8V SOHV L4 05/11
AGRALE: MA 8.5 SERIE 12 / X12 4.8 L 8V SOHV L4 05/11
AGRALE: MA 8.5E SERIE 12 / X12 4.8 L 8V SOHV L4 05/11
AGRALE: MA 9.2 Cummins ISF 3.8 L 16V SOHV L4 12/...
AGRALE: MA 9.2 SERIE 10 / X10 4.3 L 8V SOHV L4	 04/07
AGRALE: MA 9.2 E Cummins ISF 3.8 L 16V SOHV L4 04/11
AGRALE: MA 9.2 E-TRONIC EV Cummins ISF 3.8 L 16V SOHV L4 12/...
AGRALE: MA 9.2 E-TRONIC EV MAXXFORCE 4.8H 4.8 L 16V SOHV L4 12/...
AGRALE: MA 9.2E SERIE 12 / X12 4.8 L 8V SOHV L4 04/11</t>
  </si>
  <si>
    <t xml:space="preserve">6013003011001 (OEM)
C2639 (CONTROIL)</t>
  </si>
  <si>
    <t xml:space="preserve">FORD: F1000 2.5 8V Maxion HS 96/98</t>
  </si>
  <si>
    <t xml:space="preserve">2SL721261 (OEM)
6423 (ATE)
C-2629 (CONTROIL)
RCCE00500 (TRW)</t>
  </si>
  <si>
    <t xml:space="preserve">VOLVO: FH 12 380 D12A Câmbio ZT1816 94/99
VOLVO: FH 12 380 D12C Câmbio ZT1816 98/08
VOLVO: FH 12 380 D12D Câmbio SR1900 98/08
VOLVO: FH 12 420 D12D Câmbio VT2014 99/06
VOLVO: FH 13 400 D13A Câmbio I-Shift 06/17
VOLVO: FH 13 420 D13C420 Câmbio I-Shift AT2612D 12/...
VOLVO: FH 13 420 D13C420 Câmbio VT2214B 12/...
VOLVO: FH 13 420 D13C420 I-Shift AT2612F 12/...
VOLVO: FH 13 440 D13A Câmbio I-Shift 06/15
VOLVO: FH 13 460 D13C460 Câmbio I-Shift AT2612D 12/...
VOLVO: FH 13 460 D13C460 Câmbio I-Shift AT2612F 12/...
VOLVO: FH 13 460 D13C460 Câmbio VT2214B 12/...
VOLVO: FH 13 480 D13A Câmbio I-Shift 06/15
VOLVO: FH 13 500 D13C500 Câmbio I-Shift AT2612F 12/...
VOLVO: FH 13 500 D13C500 Câmbio I-Shit AT2612D 12/...
VOLVO: FH 13 500 D13C500 Câmbio VT2214B 12/...
VOLVO: FH 13 520 D13A Câmbio I-Shift AT2512 06/18
VOLVO: FH 13 540 D13C540 Câmbio VT2514B 08/...
VOLVO: FH 13 540 D13C540 Câmbio VT2814B 08/...
VOLVO: FM 11 370 D11A Câmbio I-Shift AT2612D 14/18
VOLVO: FM 11 370 D11C370 Câmbio VT2214B 14/18
VOLVO: FM 11 370 D11C370 Câmbo I-Shift 08/15
VOLVO: FM 12 340 D12C Câmbio ZT1816 01/06
VOLVO: FM 12 380 D12C Câmbio VT2014 00/06
VOLVO: FM 12 420 D11C370 Câmbio VT2014B 05/20
VOLVO: FM 12 420 D12D Câmbio VT2014 00/06
VOLVO: FM 12 FMX540 D12C Câmbio I-Shift AT2612D 16/...
VOLVO: FM 13 380 D13C380 Câmbio I-Shift AT2612F 15/...
VOLVO: FM 13 380 D13C380 Câmbio VT2214B 15/...
VOLVO: FM 13 FMX380 D13C380 Câmbio I-Shift AT2612D 17
VOLVO: FM 13 FMX380 D13C380 Câmbio VT2214B 17
VOLVO: FM 13 FMX380 D13C420 Câmbio AT2612F 17
VOLVO: FM 13 FMX420 D13A Câmbio I-Shift AT2612F 12/17
VOLVO: FM 13 FMX420 D13C420 Câmbio I-Shift AT2612D 12/17
VOLVO: FM 13 FMX420 D13C420 Câmbio VT2214B 12/17
VOLVO: FM 13 FMX440 D13C460 Câmbio I-Shift 11
VOLVO: FM 13 FMX460 D13A Câmbio I-Shift AT2612F 12/16
VOLVO: FM 13 FMX460 D13C460 Câmbio I-Shift AT2612D 12/17
VOLVO: FM 13 FMX460 D13C460 Câmbio VT2214B 12/17
VOLVO: FM 13 FMX480 D13C500 Câmbio I-Shift 11
VOLVO: FM 13 FMX500 D13C500 Câmbio I-Shift AT2612D 12/...
VOLVO: FM 13 FMX500 D13C500 Câmbio VT2214B 12/...
VOLVO: FM 13 FMX500 D13C500 Câmbio VT2514B 14/17
VOLVO: FM 13 FMX500 D13C540 Câmbio I-Shift AT2612F 12/17
VOLVO: FM 13 FMX540 D13C540 Câmbio I-Shift AT2612D 16/...
VOLVO: FM 13 FMX540 D13C540 Câmbio I-Shift AT2612F 16/...
VOLVO: FM 13 FMX540 D13C540 Câmbio VT2214B 16/...
VOLVO: FM 13 FMX540 D13C540 Câmbio VT2814B 16/17
VOLVO: NH 12 340 D12C Câmbio ZT1816 05/06
VOLVO: NH 12 380 D12C Câmbio ZT1816 99/06
VOLVO: NH 12 420 D12D Câmbio VT2014 99/06
VOLVO: NH 12 460 D12D Câmbio VT2014B 04/06
VOLVO: NH 12 FMX370 D12D Câmbio I-Shift 11/16</t>
  </si>
  <si>
    <t xml:space="preserve">205535588 (OEM)
20557337 (OEM)
20835246 (OEM)
2100628 (VALEO)
KG2801942 (FTE)</t>
  </si>
  <si>
    <t xml:space="preserve">IVECO: Eurocargo 170E15 / 150E18  / 170E22 / 170E24 05/...
IVECO: Eurocargo 8060.45A  5.9 01/...
IVECO: Eurocargo SERIE 10 / X10 6.4 01/...
IVECO: Eurotech 440E42T 4.1 01/...
IVECO: Eurotech 440E42TZ/P 4.1 01/...
IVECO: Eurotech 450E37HR 4.1 01/...
IVECO: Eurotech 450E37TP 4.1 01/...
IVECO: Eurotech 720E42 4.1 01/...
IVECO: Eurotech 740E42TZ 4.1 01/...</t>
  </si>
  <si>
    <t xml:space="preserve">2100231 (VALEO)
KG310601 (FTE)
RCCE001180 (TRW)</t>
  </si>
  <si>
    <t xml:space="preserve">Ferro fundido
Ø 31,75mm</t>
  </si>
  <si>
    <t xml:space="preserve">VOLKSWAGEN: 11.130 MWM SERIE 229 5.9 L 12V SOHV L6 81/86
VOLKSWAGEN: 11.140 MWM SERIE 229 5.9 L 12V SOHV L6 87/90
VOLKSWAGEN: 12.140 H MWM SERIE 229 5.9 L 12V SOHV L6 87/91
VOLKSWAGEN: 12.140 T SÉRIE 10 / X10 4.3 L SOHV L4 92/00
VOLKSWAGEN: 13.130 MWM SERIE 229 5.9 L 12V SOHV L6 81/86
VOLKSWAGEN: 14.140 MWM SERIE 229 5.9 L 12V SOHV L6 87/89
VOLKSWAGEN: 680 Q20B 3.9 L 8V SOHV L4 82/86
VOLKSWAGEN: 690 MWM SERIE 229 3.9 L 12V SOHV L6 
VOLKSWAGEN: 690 P MWM SERIE 229 3.9 L 12V SOHV L6 83/86
VOLKSWAGEN: 7.110 SÉRIE 10 / X10 4.3 L 8V SOHV L4 02/05
VOLKSWAGEN: 7.90 S CO MWM SERIE 229 3.9 L 12V SOHV L6 87/92
VOLKSWAGEN: 790 S MWM SERIE 229 3.9 L 12V SOHV L6 87/94
VOLKSWAGEN: VW 7-110S MWM SERIE 229 3.9 L 8V SOHV L4 87/94</t>
  </si>
  <si>
    <t xml:space="preserve">6412 (ATE)
C2608 (CONTROIL)
RCCE00149 (TRW)
T00721405 (OEM)</t>
  </si>
  <si>
    <t xml:space="preserve">AGRALE: MA 12.0 MAXXFORCE 4.8H 4.8 L 16V SOHV L4 12/18
AGRALE: MA 12.0 E Interact 4 3.9 L 16V SOHV L4 05/09
MERCEDES-BENZ: LS 1929 OM355/6 LA 11.6 L 12V SOHV L6 83/98
MERCEDES-BENZ: LS 1935 OM477LA 12.0 L 12V SOHC L6 90/00
MERCEDES-BENZ: LS 1941 OM477LA 12.0 L 12V SOHV L6 90/00</t>
  </si>
  <si>
    <t xml:space="preserve">3882957006 (OEM)
6012003022000 (OEM)
6419 (ATE)
C2621 (CONTROIL)
RCCE00361 (TRW)</t>
  </si>
  <si>
    <t xml:space="preserve">MERCEDES-BENZ: 1215 C OM 904 LA 4.3 12V SOHV L4 99/05
MERCEDES-BENZ: 2423 K OM 906 LA 6.4 L 18V SOHV L6 99/06
MERCEDES-BENZ: 712 C OM 904 LA 4.3 L 12V SOHV L4 98/05
MERCEDES-BENZ: ACCELO 915 C OM 904 LA 4.3 L 12V SOHV L4 03/05
MERCEDES-BENZ: O500 OM 457 LA 12 L 24V SOHV L6 06/...
MERCEDES-BENZ: OF 1721 EV OM 924 LA BLUETEC 5 4.8 L 12V SOHV L4 12/...
MERCEDES-BENZ: OF 1721 L OM 924 LA BLUETEC 5 4.8 L 12V SOHV L4	 16/...</t>
  </si>
  <si>
    <t xml:space="preserve">6932957006 (OEM)
7613 (ATE)
C2655 (CONTROIL)
RCCE00710 (TRW)</t>
  </si>
  <si>
    <t xml:space="preserve">Ferro fundido
Ø 20,64mm</t>
  </si>
  <si>
    <t xml:space="preserve">FORD: Cargo C 1419 S Cummins ISB 4.5 L 16V SOHV L4 16/...
FORD: Cargo C 1519 S Cummins ISB 4.5 L 16V SOHV L4 16/...
FORD: Cargo C 1719 S Cummins ISB 4.5 L 16V SOHV L4 16/...
FORD: Cargo C 1723 B TORQSHIFT Cummins ISB 6.7 L 24V SOHV L6 16/...
FORD: Cargo C 1723 BL TORQSHIFT Cummins ISB 6.7 L 24V SOHV L6 16/...
FORD: Cargo C 1723 K TORQSHIFT Cummins ISB 6.7 L 24V SOHV L6 16/...
FORD: Cargo C 1729 B TORQSHIFT Cummins ISB 6.7 L 24V SOHV L6 16/...
FORD: Cargo C 1729 BL TORQSHIFT Cummins ISB 6.7 L 24V SOHV L6 16/...
FORD: Cargo C 1729 BTL TORQSHIFT Cummins ISB 6.7 L 24V SOHV L6 16/...
FORD: Cargo C 1731 R Cummins ISB 6.7 L 24V SOHV L6 18/...
FORD: Cargo C 1731 R TORQSHIFT Cummins ISB 6.7 L 24V SOHV L6 18/...
FORD: Cargo C 1933 BTL TORQSHIFT Cummins ISL 8.9 L 24V SOHV L6 16/...
FORD: Cargo C 2423 B TORQSHIFT Cummins ISB 6.7 L 24V SOHV L6 16/...
FORD: Cargo C 2423 BL TORQSHIFT Cummins ISB 6.7 L 24V SOHV L6 16/...
FORD: Cargo C 2429 B TORQSHIFT Cummins ISB 6.7 L 24V SOHV L6 16/18
FORD: Cargo C 2429 BL TORQSHIFT Cummins ISB 6.7 L 24V SOHV L6 16/18
FORD: Cargo C 2431 Cummins ISB 6.7 L 24V SOHV L6 18/...
FORD: Cargo C 2431 TORQSHIFT Cummins ISB 6.7 L 24V SOHV L6 18/...
FORD: Cargo C 2631 Cummins ISB 6.7 L 24V SOHV L6 18/...
FORD: Cargo C 3031 Cummins ISB 6.7 L 24V SOHV L6 18/...
FORD: Cargo C 3031 TORQSHIFT Cummins ISB 6.7 L 24V SOHV L6 18/...
FORD: Cargo C 3129 6X4 Cummins ISB 6.7 L 24V SOHV L6 16/...
FORD: Cargo C 3129 6X4 M Cummins ISB 6.7 L 24V SOHV L6 16/...
FORD: Cargo C 3131 Cummins ISB 6.7 L 24V SOHV L6 18/...</t>
  </si>
  <si>
    <t xml:space="preserve">6411 (ATE)
C2604 (CONTROIL)
E5HT7A543BA (OEM)
RCCE00680 (TRW)</t>
  </si>
  <si>
    <t xml:space="preserve">AGRALE: 6000 SPRINT EURO 2.8 L 12V SOHC L4 00/05
AGRALE: 6000 E-MEC SERIE 10 / X10 4.3 L 8V SOHV L4 05/11
AGRALE: 7000 D MWM SERIE 229 3.9 L 8V SOHV L4 93/03
AGRALE: 7000 DX SERIE 10 / X10 4.3 L 8V SOHV L4 96/05
AGRALE: 7000 TDX SERIE 10 / X10 4.3 L 8V SOHV L4 96/05
AGRALE: 7500 TDX SERIE 10 / X10 4.3 L 8V SOHV L4 94/05
AGRALE: 8500 CE (4.08) SPRINT EURO 3.0 L 12V SOHC L4 05/11
AGRALE: 8500 CE (4.12) SERIE 12 / X12 4.8 L 8V SOHV L4 05/11
AGRALE: 8500 E-MEC SERIE 10 / X10 4.3 L 8V SOHV L4 05/11
AGRALE: 8500 E-MEC CD SERIE 10 / X10 4.3 L 8V SOHV L4 05/11
AGRALE: 8500 TDX SERIE 10 / X10 4.3 L 8V SOHV L4 97/05
AGRALE: 9200 SERIE 10 / X10 4.3 L 8V SOHV L4 03/05
AGRALE: 9200 CE (4.12) SERIE 12 / X12 4.8 L 8V SOHV L4 05/11
AGRALE: A8 VOLARE D SERIE 10 / X10 4.3 L 8V SOHV L4 00/06
AGRALE: FURGOVAN 6000 SPRINT EURO 2 2.8 L 12V SOHC L4 02/05
AGRALE: FURGOVAN 6000 SPRINT EURO 3 2.8 L 12V SOHC L4 05/11
AGRALE: MA 5.0 SPRINT EURO 2 2.8 L 12V SOHC L4 02/05
AGRALE: MA 6.0 SPRINT EURO 2 2.8 L 12V SOHC L4 98/06
AGRALE: MA 7.5E SERIE 12 / X12 4.8 L 8V SOHV L4 05
AGRALE: MA 7.5T SERIE 10 / X10 4.3 L 8V SOHV L4 96/05
AGRALE: MA 8.0 4 BT 3.9 L 8V SOHV L4 05/11
AGRALE: MA 8.0T SERIE 10 / X10 4.3 L 8V SOHV L4 05/11
AGRALE: MA 8.5 SERIE 12 / X12 4.8 L 8V SOHV L4 05/11
AGRALE: MA 8.5 SUPER 6 BT5.9 L 12V SOHV L6 96/05
AGRALE: MA 8.5E SERIE 12 / X12 4.8 L 8V SOHV L4 05/11
AGRALE: MA 8.5T SERIE 10 / X10 4.3 L 8V SOHV L4	 96/05
AGRALE: MA 9.2 Cummins ISF 3.8 L 16V SOHV L4 12/...
AGRALE: MA 9.2 SERIE 10 / X10 4.3 L 8V SOHV L4	 04/07
AGRALE: MA 9.2 E Cummins ISF 3.8 L 16V SOHV L4 04/11
AGRALE: MA 9.2 E-TRONIC EV Cummins ISF 3.8 L 16V SOHV L4 12/...
AGRALE: MA 9.2 E-TRONIC EV MAXXFORCE 4.8H 4.8 L 16V SOHV L4 12/...
AGRALE: MA 9.2E SERIE 12 / X12 4.8 L 8V SOHV L4 04/11
AGRALE: W8 SERIE 10 / X10 4.3 L 8V SOHV L4 03/04
FORD: B 1618 SÉRIE 10 / X10 6.5 L 12V SOHV L6 93/98
FORD: B 1621 SÉRIE 10 / X10 6.5 L 12V SOHV L6 96/99
FORD: F-12000 SERIE 10 / X10 6.5 L 12V SOHV L6 95/98
FORD: F-14000 SERIE 10 / X10 6.5 L 12V SOHV L6 95/98
VOLKSWAGEN: 14.200 SERIE 10 / X10 6.5 L 12V SOHV L6 91/94
VOLKSWAGEN: 14.220 6 CTAA 8.3 L 12V SOHV L6 91/00
VOLKSWAGEN: 16.220 6 CT 8.3 L 12V SOHV L6 91/00
VOLKSWAGEN: 16.220 6 CTAA 8.3 L 12V SOHV L6 91/00
VOLKSWAGEN: 24.250 6 CTAA 8.3 L 12V SOHV L6 92/02
VOLKSWAGEN: 35.300 6 CTAA 8.3 L 12V SOHV L6 91/00
VOLKSWAGEN: 8.100 SERIE 10 / X10 4.3 L 8V SOHV L4 97/00
VOLKSWAGEN: 8.140 SERIE 10 / X10 4.3 L 8V SOHV L4	 94/00</t>
  </si>
  <si>
    <t xml:space="preserve">2SL721405 (OEM)
6007003333001 (OEM)
6409 (ATE)
C2605 (CONTROIL)
RCCE00297 (TRW)
TAR721405 (OEM)
TF3721405 (OEM)</t>
  </si>
  <si>
    <t xml:space="preserve">TOYOTA: Bandeirante OJ 50L OM314 3.8 L 8V SOHV L4 74/90
TOYOTA: Bandeirante OJ 50LVB 14B 3.7 L 8V SOHV L4 94/01
TOYOTA: Bandeirante OJ 50LVB OM314 3.8 L 8V SOHV L4 74/90
TOYOTA: Bandeirante OJ 50LVB OM364 4.0 L 8V SOHV L4 74/90
TOYOTA: Bandeirante OJ 55LPB 14B 3.7 L 8V SOHV L4 94/01
TOYOTA: Bandeirante OJ 55LPB OM314 3.8 L 8V SOHV L4 74/90
TROLLER: T4 DURATORQ 3.2 L 20V DOHC L5 14/...
TROLLER: T4 MAXXFORCE 3.2 L 8V SOHC L4 13/14
TROLLER: T4 POWER STROKE 3.0 L 16V SOHC L4	 12</t>
  </si>
  <si>
    <t xml:space="preserve">6418 (ATE)
C2606 (CONTROIL)
RCCE00690 (TRW)</t>
  </si>
  <si>
    <t xml:space="preserve">MERCEDES-BENZ: O 370  84/...
MERCEDES-BENZ: O 371  84/...
MERCEDES-BENZ: OF 1318  87/...</t>
  </si>
  <si>
    <t xml:space="preserve">3452957006 (OEM)
6403 (ATE)
C2603 (CONTROIL)
RCCE00238 (TRW)</t>
  </si>
  <si>
    <t xml:space="preserve">PEUGEOT: 208 1.0 3 cil. Firefly 23/...</t>
  </si>
  <si>
    <t xml:space="preserve">VOLKSWAGEN: Amarok 2.0 16V TDI 10/…</t>
  </si>
  <si>
    <t xml:space="preserve">MITSUBISHI: ASX 2.0 16V 10/…
MITSUBISHI: Lancer 1.8 16V 08/…
MITSUBISHI: Lancer EVO 2.0 16V 08/…
MITSUBISHI: Outlander 2.0 16V 21/...
MITSUBISHI: Triton 2.4 16V Diesel 17/...
MITSUBISHI: Triton 2.4 16V Flex 13/...</t>
  </si>
  <si>
    <t xml:space="preserve">IVECO: Daily 35 S 14 3.0 16V EURO 5 12/...
IVECO: Daily 35 S 14 3.0 16V EURO III 08/12
IVECO: Daily 35 S 14 HD 3.0 16V EURO 5 12/...
IVECO: Daily 35 S 14 HD 3.0 16V EURO III 08/12
IVECO: Daily 40 S 14 3.0 16V EURO 5 12/...
IVECO: Daily 40 S 16 3.0 16V EURO III 08/12
IVECO: Daily 45 S 14 3.0 16V EURO III 08/12
IVECO: Daily 45 S 16 3.0 16V EURO III 08/12
IVECO: Daily 45 S 17 3.0 16V EURO 5 12/...
IVECO: Daily 50 C 17 3.0 16V EURO 5 12/...
IVECO: Daily 55 C 16 3.0 16V EURO III 08/12
IVECO: Daily 55 C 17 3.0 16V EURO 5 12/...
IVECO: Daily 70 C 15 3.0 16V EURO III 08/12
IVECO: Daily 70 C 16 3.0 16V EURO III 08/12
IVECO: Daily 70 C 16 HD 3.0 16V EURO III 08/12
IVECO: Daily 70 C 17 3.0 16V EURO 5 12/...
IVECO: Daily 70 C 17 HD 3.0 16V EURO 5 12/...</t>
  </si>
  <si>
    <t xml:space="preserve">Kit composto por:
1 cilindro mestre de embreagem
1 cilindro aux. de embreagem
1 suporte</t>
  </si>
  <si>
    <t xml:space="preserve">FORD: F250  99/...
FORD: F350  98/...
FORD: F4000  98/...</t>
  </si>
  <si>
    <t xml:space="preserve">Kit composto por:
1 cilindro mestre de embreagem
1 cilindro auxiliar de embreagem
Reservatório e haste
Conjunto já com fluído, pronto para uso, caso haja necessidade de completar nível de fluído, sempre utilizar Dot 3</t>
  </si>
  <si>
    <t xml:space="preserve">F250  99/...
FORD: F350  99/...
FORD: F4000  99/...</t>
  </si>
  <si>
    <t xml:space="preserve">D151065 (FTE)
RCCE01270 (TRW)
VKCH151065 (SKF)</t>
  </si>
  <si>
    <t xml:space="preserve">AUDI: A3 1.6 03/06
AUDI: A3 1.6 07/10
VOLKSWAGEN: Crossfox 1.6 05/...
VOLKSWAGEN: Fox 1.6 04/...
VOLKSWAGEN: Gol G5 1.6 09/...
VOLKSWAGEN: Golf 1.6 01/...
VOLKSWAGEN: Polo 1.6 02/...
VOLKSWAGEN: Saveiro G5 1.6 10/...
VOLKSWAGEN: Space Cross 1.6 12/...
VOLKSWAGEN: Spacefox 1.6 06/...
VOLKSWAGEN: Voyage G5 1.6 09/...</t>
  </si>
  <si>
    <t xml:space="preserve">C2651 (CONTROIL)
KN1901749 (FTE)
RCCE01280 (TRW)
VKCH4748 (SKF)</t>
  </si>
  <si>
    <t xml:space="preserve">CITROEN: Aircross 1.5 8V 12/...
CITROEN: Aircross 1.6 16V 11/...
CITROEN: C3 1.4 8V 04/...
CITROEN: C3 1.5 8V 12/...
CITROEN: C3 1.6 16V 04/...
CITROEN: C4 1.6 16V 07/...
PEUGEOT: 208 1.5 8V 12/...
PEUGEOT: 208 1.6 16V 13/...
PEUGEOT: 307 1.6 16V 00/...</t>
  </si>
  <si>
    <t xml:space="preserve">C2682 (CONTROIL)
KN19021A1 (FTE)
RCCE01300 (TRW)
VKCH4892 (SKF)</t>
  </si>
  <si>
    <t xml:space="preserve">SSC3003</t>
  </si>
  <si>
    <t xml:space="preserve">GM: A / C /D 20  93/...
GM: Bonanza  93/...
GM: Veraneio  93/...</t>
  </si>
  <si>
    <t xml:space="preserve">C2627 (CONTROIL)
D151013 (FTE)
RCCE01220 (TRW)</t>
  </si>
  <si>
    <t xml:space="preserve">C2625 (CONTROIL)
D151017 (FTE)
RCCE01230 (TRW)
VKCH151017 (SKF)</t>
  </si>
  <si>
    <t xml:space="preserve">Ø 20,64mm</t>
  </si>
  <si>
    <t xml:space="preserve">HONDA: Civic 1.7 16V 00
HONDA: Civic 1.7 16V 92/97
HONDA: Civic 2.0 16V 00/01</t>
  </si>
  <si>
    <t xml:space="preserve">HYUNDAI: Creta 1.6 16V Flex G4FC 17/...
HYUNDAI: Elantra 1.6 16V 90/…
HYUNDAI: Elantra 1.8 16V 96/99
HYUNDAI: Elantra 2.0 16V 00/…
HYUNDAI: HB20 1.6 16V Flex G4FC 12/…
HYUNDAI: i30 1.6 16V Flex G4FC 13/…
HYUNDAI: i30 2.0 16V 07/…
HYUNDAI: i30 CW 2.0 16V 10
HYUNDAI: iX35 2.0 16V 10/…
HYUNDAI: Tucson 2.0 16V 04/…
HYUNDAI: Veloster 1.6 16V Flex G4FC 12/…
KIA: Carens 2.0 16V 04/06
KIA: Cerato 1.6 16V G4FC 10/...
KIA: Cerato 2.0 16V 06
KIA: Soul 1.6 16V 09/...
KIA: Sportage 2.0 16V 07/…</t>
  </si>
  <si>
    <t xml:space="preserve">C2732 (CONTROIL)
KN2005471 (FTE)
RCCE01630 (TRW)</t>
  </si>
  <si>
    <t xml:space="preserve">MERCEDES-BENZ: Sprinter 310  97/00
MERCEDES-BENZ: Sprinter 311  01/04
MERCEDES-BENZ: Sprinter 311  02/04
MERCEDES-BENZ: Sprinter 311  09/16
MERCEDES-BENZ: Sprinter 312  00/02
MERCEDES-BENZ: Sprinter 313  05/12
MERCEDES-BENZ: Sprinter 313  17/18
MERCEDES-BENZ: Sprinter 412  00/02
MERCEDES-BENZ: Sprinter 413  03/12
MERCEDES-BENZ: Sprinter 415  12/18
MERCEDES-BENZ: Sprinter 416  05/16
MERCEDES-BENZ: Sprinter 515  12/18</t>
  </si>
  <si>
    <t xml:space="preserve">C2631 (CONTROIL)
KN22056D1 (FTE)
RCCE01330 (TRW)
VKCH22056 (SKF)</t>
  </si>
  <si>
    <t xml:space="preserve">AUDI: A3 1.6 96/...
VOLKSWAGEN: Golf 1.6 98/02</t>
  </si>
  <si>
    <t xml:space="preserve">KN23027C1 (FTE)
RCCE01314 (TRW)
VKCH23027 (SKF)</t>
  </si>
  <si>
    <t xml:space="preserve">Ø 23,80mm
Veículos c/ haste de mudança</t>
  </si>
  <si>
    <t xml:space="preserve">AUDI: A3 1.6 / 1.8 / 1.8T 96/02
VOLKSWAGEN: Bora  01/11
VOLKSWAGEN: Caravelle  98/99
VOLKSWAGEN: Eurovan  98/99
VOLKSWAGEN: Golf 1.6 8V / 1.8 20V Turbo 98/00
VOLKSWAGEN: Golf 1.8 / 2.0 01/...
VOLKSWAGEN: New Beetle  00/10</t>
  </si>
  <si>
    <t xml:space="preserve">C2656 (CONTROIL)
KN1903042 (FTE)
RCCE01310 (TRW)
VKCH19030 (SKF)</t>
  </si>
  <si>
    <t xml:space="preserve">CITROEN: C4 2.0 16V 03/...
CITROEN: Xsara Picasso 1.6 16V 03/...
CITROEN: Xsara Picasso 2.0 16V 03/...
PEUGEOT: 307 2.0 16V 00/...
PEUGEOT: 308 1.6 16V 07/...</t>
  </si>
  <si>
    <t xml:space="preserve">KN19020B1 (FTE)
RCCE01290 (TRW)
VKCH4894 (SKF)</t>
  </si>
  <si>
    <t xml:space="preserve">FIAT: Argo 1.0 6V 3 cil. 17/...
FIAT: Argo 1.3 8V 17/...
FIAT: Argo 1.8 16V 17/...
FIAT: Cronos 1.3 8V 18/...
FIAT: Cronos 1.8 16V 18/...
FIAT: Fiorino 1.4 8V 13/...
FIAT: Grand Siena 1.4 8V 12/...
FIAT: Grand Siena 1.6 16V 12/...
FIAT: Idea 1.4 05/...
FIAT: Mobi 1.0 8V 16/...
FIAT: Palio 1.0 / 1.3 / 1.4 / 1.6 00/06
FIAT: Palio 1.0 / 1.4 12/...
FIAT: Palio 1.0 8V / 16V Fire 01/20
FIAT: Palio 1.4 8V Fire 05/20
FIAT: Palio 1.6 01/20
FIAT: Palio 1.6 Etorq 12/...
FIAT: Palio Weekend 1.0 / 1.3 / 1.4 / 1.6 00/06
FIAT: Punto 1.4 8V Fire 07/20
FIAT: Punto 1.5 08/...
FIAT: Siena 1.0 / 1.3 / 1.4 / 1.6 00/06
FIAT: Siena 1.0 8V / 16V Fire 01/20
FIAT: Siena 1.4 8V Fire 05/20
FIAT: Siena 1.6 01/20
FIAT: Strada 1.3 / 1.4 / 1.6 00/06
FIAT: Uno 1.0 8V 13/...
FIAT: Uno 1.4 8V 13/...</t>
  </si>
  <si>
    <t xml:space="preserve">512017410 (LUK)
C2648 (CONTROIL)
KN2209171 (FTE)
KN2209172 (FTE)
RCCE01430 (TRW)
VKCH4723 (SKF)</t>
  </si>
  <si>
    <t xml:space="preserve">HYUNDAI: Cerato  06/...
HYUNDAI: Elantra 2.0 16V .../96
HYUNDAI: iX35 2.0 16V   GKD 11/…
HYUNDAI: Santa Fe  02/10
HYUNDAI: Tucson 2.0 16V G4GC 04/16
HYUNDAI: Tucson 2.7 24V V6 06/11
KIA: Sportage 2.0 16V   GKD 11/…
KIA: Sportage 2.0 16V 04/16
KIA: Sportage 2.7 24V V6 04/11</t>
  </si>
  <si>
    <t xml:space="preserve">4171039A00 (OEM)
C2754 (CONTROIL)
D161007 (FTE)
PJA114 (TRW)</t>
  </si>
  <si>
    <t xml:space="preserve">TOYOTA: Corolla 1.6 16V / 1.8 16V 92/02</t>
  </si>
  <si>
    <t xml:space="preserve">C2678 (CONTROIL)
D161011 (FTE)</t>
  </si>
  <si>
    <t xml:space="preserve">AUDI: A3  07/...
AUDI: A3 2.0 TFSI 11/...
VOLKSWAGEN: Golf 1.4 TSI 13/...
VOLKSWAGEN: Golf 2.0 06/08
VOLKSWAGEN: Jetta 1.4 TSI 14/...
VOLKSWAGEN: Jetta 2.0 16V 11/...
VOLKSWAGEN: Jetta 2.0 TSI 11/...</t>
  </si>
  <si>
    <t xml:space="preserve">Ø 19,20mm</t>
  </si>
  <si>
    <t xml:space="preserve">46930SAA013 (OEM)
6283600146 (SACHS)
C2698 (CONTROIL)
PJH700 (TRW)</t>
  </si>
  <si>
    <t xml:space="preserve">Alumínio
Ø 19,05 mm</t>
  </si>
  <si>
    <t xml:space="preserve">KIA: Besta  93/05
KIA: Bongo K2400  93/04
KIA: Bongo K2700  93/04</t>
  </si>
  <si>
    <t xml:space="preserve">C2635 (CONTROIL)
PJD138 (TRW)</t>
  </si>
  <si>
    <t xml:space="preserve">FIAT: Ducato 2.3 16V Multijet 10/...
FIAT: Ducato 2.8 TD 02/...</t>
  </si>
  <si>
    <t xml:space="preserve">HYUNDAI: HB20 1.0 12V 12/...</t>
  </si>
  <si>
    <t xml:space="preserve">HONDA: City 1.5 16V 09/13
HONDA: Civic 1.7 16V VTEC 01/05
HONDA: Fit 1.4 16V / 1.5 16V 09/13
HONDA: New City 1.5 16V 14/17
HONDA: New City 1.5 16V 18/21
HONDA: New Civic 1.8 16V 06/11
HONDA: New Fit 1.5 16V 14/17
HONDA: New Fit 1.5 16V 18/21</t>
  </si>
  <si>
    <t xml:space="preserve">46930SNAA41 (OEM)
C2699 (CONTROIL)
D161023 (FTE)</t>
  </si>
  <si>
    <t xml:space="preserve">NISSAN: Frontier 2.5 16V Turbo 08/12</t>
  </si>
  <si>
    <t xml:space="preserve">30620U7000 (NISSAN)
PJD165 (TRW)</t>
  </si>
  <si>
    <t xml:space="preserve">Cilindro em alumínio
Ø 19,05mm
Rosca M10x1
Niple fêmea</t>
  </si>
  <si>
    <t xml:space="preserve">MITSUBISHI: L200 2.5 8V 4D56 04/20
MITSUBISHI: L200 2.5 8V Turbo 03/07</t>
  </si>
  <si>
    <t xml:space="preserve">C2697 (CONTROIL)
MR165177 (OEM)
PJD260 (TRW)</t>
  </si>
  <si>
    <t xml:space="preserve">Cilindro em ferro fundido
Ø 19,05mm
Rosca M10*1
C/ Haste</t>
  </si>
  <si>
    <t xml:space="preserve">SCANIA: 114  03/06
SCANIA: 124  03/06
SCANIA: K114  03/05
SCANIA: K124  03/06
SCANIA: P94  03/06
SCANIA: S114  </t>
  </si>
  <si>
    <t xml:space="preserve">1355979 (SCANIA)
1754943 (SCANIA)
1756460 (SCANIA)
KN3801735 (FTE)</t>
  </si>
  <si>
    <t xml:space="preserve">HYUNDAI: Bongo K2500 2.5 16V 13/...
HYUNDAI: HR 2.5 16V 13/...
HYUNDAI: HR 2.5 8V Diesel 05/12
KIA: Bongo K2500 2.5 16V 13/...
KIA: Bongo K2500 2.5 8V Diesel 05/12
KIA: Bongo K2700 2.7 8V Diesel 06/12</t>
  </si>
  <si>
    <t xml:space="preserve">Cilindro em ferro fundido
Ø 19,05mm
Rosca M10x1</t>
  </si>
  <si>
    <t xml:space="preserve">CITROEN: Jumpy 1.5 16V HDI 22/...
CITROEN: Jumpy 1.6 8V Diesel DV6 16/...
FIAT: Scudo 1.5 16V Diesel 22/...
PEUGEOT: Expert 1.5 16V HDI 22/...
PEUGEOT: Expert 1.6 8V Diesel DV6 16/...</t>
  </si>
  <si>
    <t xml:space="preserve">9809468580 (OEM)</t>
  </si>
  <si>
    <t xml:space="preserve">3C117A508AB (OEM)
C2728 (CONTROIL)</t>
  </si>
  <si>
    <t xml:space="preserve">Ø 20,00mm</t>
  </si>
  <si>
    <t xml:space="preserve">46930TR0L41 (OEM)
C2680 (CONTROIL)</t>
  </si>
  <si>
    <t xml:space="preserve">FIAT: Doblo 1.4 8V EVO 07/20
FIAT: Palio 1.4 8V EVO 12/20
FIAT: Punto 1.4 8V EVO 07/18</t>
  </si>
  <si>
    <t xml:space="preserve">3103420 (VALEO)
KN2006041 (FTE)
VKCH2002241 (SKF)</t>
  </si>
  <si>
    <t xml:space="preserve">Ø 20,6mm</t>
  </si>
  <si>
    <t xml:space="preserve">Ferro fundido
Ø 22,22mm
1 furo M10x1</t>
  </si>
  <si>
    <t xml:space="preserve">TOYOTA: Hilux 2.7 16V Flex 12/...
TOYOTA: Hilux 2.8 Diesel 16/...</t>
  </si>
  <si>
    <t xml:space="preserve">IVECO: 170E  
IVECO: 230E  
IVECO: Cursor  
IVECO: Eurocargo  
IVECO: Ônibus  
IVECO: Tector  </t>
  </si>
  <si>
    <t xml:space="preserve">Ø 38,00mm
1 furo M14x1,5</t>
  </si>
  <si>
    <t xml:space="preserve">3103919 (VALEO)
46930S5A013 (OEM)
C2693 (CONTROIL)
D161004 (FTE)</t>
  </si>
  <si>
    <t xml:space="preserve">CILILNDRO AUXILIAR DE EMBREAGEM</t>
  </si>
  <si>
    <t xml:space="preserve">ASIA: Hi Topic 2.7 Diesel 93/98
ASIA: Topic 2.7 Diesel 97/99
KIA: Besta 2.2 8V Diesel 93/98
KIA: Besta 2.7 8V Diesel 93/98
KIA: Besta GS 2.7 8V Diesel 98/05
KIA: Besta GS 3.0 8V Diesel 98/05
KIA: Bongo K2400 2.4 8V Diesel 93/97
KIA: Bongo K2700 2.7 8V Diesel 97/12
KIA: Sportage 2.0 / 2.2 93/04</t>
  </si>
  <si>
    <t xml:space="preserve">C2722 (CONTROIL)
MR410188 (OEM)</t>
  </si>
  <si>
    <t xml:space="preserve">Ferro fundido
Ø 19,05 mm
Sem conector</t>
  </si>
  <si>
    <t xml:space="preserve">FIAT: Grand Siena 1.4 8V EVO 12/...
FIAT: Palio 1.4 8V EVO 12/...
FIAT: Siena 1.4 8V EVO 12/...
FIAT: Strada 1.4 8V EVO 12/...</t>
  </si>
  <si>
    <t xml:space="preserve">FORD: F1000  96/98
FORD: F12000  96/98
FORD: F14000  96/98</t>
  </si>
  <si>
    <t xml:space="preserve">2SL721261 (OEM)
6401 (ATE)
C2613 (CONTROIL)
RCCE00470 (TRW)</t>
  </si>
  <si>
    <t xml:space="preserve">Ferro fundido
Ø 22,22mm</t>
  </si>
  <si>
    <t xml:space="preserve">HYUNDAI: Creta 1.6 16V 17/23
HYUNDAI: HB20 1.0 12V Turbo 17/...
HYUNDAI: HB20 1.6 16V 12/19</t>
  </si>
  <si>
    <t xml:space="preserve">MERCEDES-BENZ: 712  Todos
MERCEDES-BENZ: Accelo 715C  Todos</t>
  </si>
  <si>
    <t xml:space="preserve">0022951407 (OEM)
0022951607 (OEM)
3101428 (VALEO)
KN28031B1 (FTE)
VKCH4923 (SKF)</t>
  </si>
  <si>
    <t xml:space="preserve">MERCEDES-BENZ: 1938 S OM457LA 12.0 L 24V SOHV L6 00/05
MERCEDES-BENZ: 912 OM364A 4.0 L 8V SOHV L4 88/03
MERCEDES-BENZ: L 709 OM 364 4.0 L 8V SOHV L4 89/93
MERCEDES-BENZ: L 709 37/42 OM364 4.0 L 8V SOHV L4 89/96
MERCEDES-BENZ: LO 812 OM 364 4.0 L 8V SOHV L4 88/98
MERCEDES-BENZ: LO 812 OM 364 LA 4.0 L 8V SOHV L4 03/05
MERCEDES-BENZ: LS 1630 OM449LA 10.0 L 10V SOHV L5 90/00
MERCEDES-BENZ: LS 1938 OM 457LA 12.0 L 24V SOHV L6	 98/05
MERCEDES-BENZ: LS 1941 OM447LA 12.0 L 12V SOHV L6 91
MERCEDES-BENZ: OF 1620 OM366 6.0 L 12V SOHV L6 93/03
MERCEDES-BENZ: OF 809 OM364 4.0 L 8V SOHV L4 96</t>
  </si>
  <si>
    <t xml:space="preserve">3842957207 (OEM)
6410 (ATE)
C2611 (CONTROIL)
KN28022D1 (FTE)
RCCE00114 (TRW)</t>
  </si>
  <si>
    <t xml:space="preserve">AGRALE: 6000 SPRINT EURO 2.8 L 12V SOHC L4 00/05
AGRALE: 6000 E-MEC SERIE 10 / X10 4.3 L 8V SOHV L4 05/11
AGRALE: 7000 D MWM SERIE 229 3.9 L 8V SOHV L4 93/03
AGRALE: 7000 DX SERIE 10 / X10 4.3 L 8V SOHV L4 96/05
AGRALE: 7000 TDX SERIE 10 / X10 4.3 L 8V SOHV L4 96/05
AGRALE: 7500 TDX SERIE 10 / X10 4.3 L 8V SOHV L4 94/05
AGRALE: 8500 CE (4.08) SPRINT EURO 3.0 L 12V SOHC L4 05/11
AGRALE: 8500 CE (4.12) SERIE 12 / X12 4.8 L 8V SOHV L4 05/11
AGRALE: 8500 E-MEC SERIE 10 / X10 4.3 L 8V SOHV L4 05/11
AGRALE: 8500 E-MEC CD SERIE 10 / X10 4.3 L 8V SOHV L4 05/11
AGRALE: 8500 TDX SERIE 10 / X10 4.3 L 8V SOHV L4 97/05
AGRALE: 9200 SERIE 10 / X10 4.3 L 8V SOHV L4 03/05
AGRALE: 9200 CE (4.12) SERIE 12 / X12 4.8 L 8V SOHV L4 05/11
AGRALE: A8 VOLARE D SERIE 10 / X10 4.3 L 8V SOHV L4 00/06
AGRALE: FURGOVAN 6000 SPRINT EURO 2 2.8 L 12V SOHC L4 02/05
AGRALE: FURGOVAN 6000 SPRINT EURO 3 2.8 L 12V SOHC L4 05/11
AGRALE: MA 5.0 SPRINT EURO 2 2.8 L 12V SOHC L4 02/05
AGRALE: MA 6.0 SPRINT EURO 2 2.8 L 12V SOHC L4 98/06
AGRALE: MA 7.5E SERIE 12 / X12 4.8 L 8V SOHV L4 05
AGRALE: MA 7.5T SERIE 10 / X10 4.3 L 8V SOHV L4 96/05
AGRALE: MA 8.0 4 BT 3.9 L 8V SOHV L4 05/11
AGRALE: MA 8.0T SERIE 10 / X10 4.3 L 8V SOHV L4 05/11
AGRALE: MA 8.5 SERIE 12 / X12 4.8 L 8V SOHV L4 05/11
AGRALE: MA 8.5 SUPER 6 BT5.9 L 12V SOHV L6 96/05
AGRALE: MA 8.5E SERIE 12 / X12 4.8 L 8V SOHV L4 05/11
AGRALE: MA 8.5T SERIE 10 / X10 4.3 L 8V SOHV L4	 96/05
AGRALE: MA 9.2 Cummins ISF 3.8 L 16V SOHV L4 12/...
AGRALE: MA 9.2 SERIE 10 / X10 4.3 L 8V SOHV L4	 04/07
AGRALE: MA 9.2 E Cummins ISF 3.8 L 16V SOHV L4 04/11
AGRALE: MA 9.2 E-TRONIC EV Cummins ISF 3.8 L 16V SOHV L4 12/...
AGRALE: MA 9.2 E-TRONIC EV MAXXFORCE 4.8H 4.8 L 16V SOHV L4 12/...
AGRALE: MA 9.2E SERIE 12 / X12 4.8 L 8V SOHV L4 04/11
AGRALE: W8 SERIE 10 / X10 4.3 L 8V SOHV L4 03/04
FORD: 7.110 SERIE 10 / X10 4.3 L 8V SOHV L4 02/05
FORD: B 1618 SÉRIE 10 / X10 6.5 L 12V SOHV L6 93/98
FORD: B 1621 SÉRIE 10 / X10 6.5 L 12V SOHV L6 96/99
FORD: F-12000 SERIE 10 / X10 6.5 L 12V SOHV L6 95/98
FORD: F-14000 SERIE 10 / X10 6.5 L 12V SOHV L6 95/98
FORD: F1000 SERIE 10 / X10 4.3 L 8V SOHV L4 96/98
FORD: F4000 SERIE 10 / X10 4.3 L 8V SOHV L4 96/98
VOLKSWAGEN: 14.150 SERIE 10 / X10 6.5 L 12V SOHV L6 91/95
VOLKSWAGEN: 14.200 SERIE 10 / X10 6.5 L 12V SOHV L6 91/94
VOLKSWAGEN: 14.220 6 CTAA 8.3 L 12V SOHV L6 91/00
VOLKSWAGEN: 16.220 6 CT 8.3 L 12V SOHV L6 91/00
VOLKSWAGEN: 16.220 6 CTAA 8.3 L 12V SOHV L6 91/00
VOLKSWAGEN: 24.220 6 CT 8.3 L 12V SOHV L6 91/06
VOLKSWAGEN: 24.250 6 CTAA 8.3 L 12V SOHV L6 92/02
VOLKSWAGEN: 35.300 6 CTAA 8.3 L 12V SOHV L6 91/00
VOLKSWAGEN: 40.300 6 CTAA 8.3 L 12V SOHV L6 99/01
VOLKSWAGEN: 8.100 SERIE 10 / X10 4.3 L 8V SOHV L4 97/00
VOLKSWAGEN: 8.120 SERIE 10 / X10 4.3 L 8V SOHV L4 00/05
VOLKSWAGEN: 8.140 SERIE 10 / X10 4.3 L 8V SOHV L4	 94/00
VOLKSWAGEN: 8.140 SERIE 10 / X10 4.3 L 8V SOHV L4 94/00
VOLKSWAGEN: 8.150 SERIE 10 / X10 4.3 L 8V SOHV L4 00/05
VOLKSWAGEN: 8.150 E INTERACT 4 3.9 L 16V SOHV L4 03/11
VOLKSWAGEN: 8.150 ODC INTERACT 4 3.9 L 16V SOHV L4 04/05
VOLKSWAGEN: 9.150 OD SERIE 10 / X10 4.3 L 8V SOHV L4	 01/04</t>
  </si>
  <si>
    <t xml:space="preserve">2R721405 (OEM)
2SP/721261 (OEM)
6007003334009 (OEM)
C2613 (CONTROIL)
RCCE00790 (TRW)</t>
  </si>
  <si>
    <t xml:space="preserve">MERCEDES-BENZ: 1214  89/...
MERCEDES-BENZ: 1316  70/89
MERCEDES-BENZ: 1317  70/89
MERCEDES-BENZ: 1318  87/...
MERCEDES-BENZ: 1419  80/...
MERCEDES-BENZ: 1420  80/...
MERCEDES-BENZ: 1614  89/..
MERCEDES-BENZ: 1618  89/...
MERCEDES-BENZ: 1625  91/...
MERCEDES-BENZ: 1714  91/...
MERCEDES-BENZ: O 370  84/...
MERCEDES-BENZ: O 371  84/...</t>
  </si>
  <si>
    <t xml:space="preserve">3452957007 (OEM)
6406 (ATE)
C2614 (CONTROIL)
RCCE00246 (TRW)</t>
  </si>
  <si>
    <t xml:space="preserve">Ferro fundido
Ø 38,10mm</t>
  </si>
  <si>
    <t xml:space="preserve">MERCEDES-BENZ: L 608 D OM314 3.8 L 8V SOHV L4 70/88
MERCEDES-BENZ: L 708 E OM314 3.8 L 8V SOHV L4 87/90
MERCEDES-BENZ: LO 608 OM314 3.8 L 8V SOHV L4 73/87
MERCEDES-BENZ: LO 708 OM314 3.8 L 8V SOHV L4 87/89</t>
  </si>
  <si>
    <t xml:space="preserve">TOYOTA: Hilux 1KZTE 3.0 L 8V SOHC L4 02/05
TOYOTA: Hilux 5LE 3.0 L 8V SOHC L4 02/05</t>
  </si>
  <si>
    <t xml:space="preserve">31470-30221 (OEM)
31470-30222 (OEM)
C2676 (CONTROIL)</t>
  </si>
  <si>
    <t xml:space="preserve">VOLVO: B 10 M ARTICULADO THD 102 KF 9.6 L 24V DOHC L6 88/96
VOLVO: B 10 M ROD DH 10A 245 9.6 L 12V SOHV L6 97/01
VOLVO: B 10 M ROD THD 101KC 9.6 L 12V SOHV L6 89/99
VOLVO: B 12 R D 12 D 12 L 24V DOHC L6 00/08
VOLVO: B 12 R D 12 D 12 L 24V SOHV L6 00/08
VOLVO: B 58 THD 102 KU 9.6 L 12V SOHV L6 79/82
VOLVO: B 58 ARTICULADO THD 101 9.6 L 12V SOHV L6 79/82
VOLVO: B 58 BIARTICULADO THD 101	9.6 L 12V SOHV L6 83/98
VOLVO: B 58 RODOVIÁRIO THD 101	9.6 L 12V SOHV L6 79/82
VOLVO: B 58 TROLLEY THD 101	9.6 L 12V SOHV L6 83/98
VOLVO: N 10 INTERCOOLER II TD 101 F	9.6 L 12V SOHV L6 81/92
VOLVO: N 10 XH INTERCOOLER TD 101 F	9.6 L 12V SOHV L6 80/86
VOLVO: N 10 XHT INTERCOOLER TD 101 F	9.6 L 12V SOHV L6 84/88
VOLVO: N 12 TD 121 FD 12 L 12V SOHV L6 84/91
VOLVO: N 12 INTERCOOLER II TD 120 GA	12 L 12V SOHV L6 81/83
VOLVO: N 12 INTERCOOLER II TD 121 F	12 L 12V SOHV L6 85/88
VOLVO: N 12 XH INTERCOOLER TD 121 F	12 L 12V SOHV L6 85/88
VOLVO: NL 10 280 TD 101 G	9.6 L 12V SOHV L6 89/92
VOLVO: NL 10 310 TD 102 FT 9.6 L 12V SOHV L6 92/95
VOLVO: NL 10 320 EDC D 10 A 9.6 L 12V SOHV L6 96/99
VOLVO: NL 10 320 EDC TD 102 FL 9.6 L 12V SOHV L6 91/01
VOLVO: NL 10 320 EDC GOLD D 10 A 9.6 L 12V SOHV L6 96/99
VOLVO: NL 10 340 TD 102 FS 9.6 L 12V SOHV L6 89/94
VOLVO: NL 12 360 TD 122 FS 12 L 12V SOHV L6 92/94
VOLVO: NL 12 360 EDC TD 123 E	12 L 12V SOHV L6 95/99
VOLVO: NL 12 360 EDC GOLD TD 123 E	12 L 12V SOHV L6 95/99
VOLVO: NL 12 410 EDC TD 122 FS 12 L 12V SOHV L6 92/94
VOLVO: NL 12 410 EDC TD 123 ES 12 L 12V SOHV L6 95/99</t>
  </si>
  <si>
    <t xml:space="preserve">1581209 (OEM)
1581209-2 (OEM)
1614351 (OEM)
1614351-3 (OEM)
1620462 (OEM)
1620462-0 (OEM)
1669488 (OEM)
1669488-7 (OEM)
6428 (ATE)
8126730 (OEM)
C2637 (CONTROIL)
KG2801411 (FTE)
KG2801611 (FTE)
RCCE00650 (TRW)</t>
  </si>
  <si>
    <t xml:space="preserve">AGRALE: A5 VOLARE  03/09
AGRALE: A6 VOLARE  03/09
AGRALE: A8 VOLARE  03/09
AGRALE: W8  03/09
FORD: Cargo C 1419  16/...</t>
  </si>
  <si>
    <t xml:space="preserve">VOLKSWAGEN: 11.130  82/85
VOLKSWAGEN: 11.140  82/...
VOLKSWAGEN: 12.140  82/...
VOLKSWAGEN: 13.130  81/86
VOLKSWAGEN: 14.140  82/...
VOLKSWAGEN: 22.160  86/...
VOLKSWAGEN: 6.90  82/86
VOLKSWAGEN: 7.110  88/94
VOLKSWAGEN: 7.80  82/86
VOLKSWAGEN: 7.90  87/94</t>
  </si>
  <si>
    <t xml:space="preserve">6408 (ATE)
C2612 (CONTROIL)
RCCE00157 (TRW)
T11721261 (OEM)</t>
  </si>
  <si>
    <t xml:space="preserve">Ferro fundido]
Ø 22,22mm</t>
  </si>
  <si>
    <t xml:space="preserve">2SL721261 (OEM)
C2613 (CONTROIL)
RCCE00440 (TRW)</t>
  </si>
  <si>
    <t xml:space="preserve">31470-98001C (OEM)
6413 (ATE)
C2617 (CONTROIL)
RCCE21731 (TRW)</t>
  </si>
  <si>
    <t xml:space="preserve">VOLKSWAGEN: 11.130 SERIE 229 5.9 L 12V SOHV L6 81/86
VOLKSWAGEN: 13.130 SERIE 229 5.9 L 12V SOHV L6 81/86
VOLKSWAGEN: 22.160 318-3E 5.2 L 16V SOHC V8 85/88
VOLKSWAGEN: 7-110 S SERIE 229 3.9 L 8V SOHV L4 87/94</t>
  </si>
  <si>
    <t xml:space="preserve">MERCEDES-BENZ: 1720  84/05
MERCEDES-BENZ: 2423 K  99/09
MERCEDES-BENZ: L 1620  00/11
MERCEDES-BENZ: L 1621  89/99
MERCEDES-BENZ: LK 1621  89/99</t>
  </si>
  <si>
    <t xml:space="preserve">3862957007 (OEM)
6414 (ATE)
C2615 (CONTROIL)
RCCE00319 (TRW)</t>
  </si>
  <si>
    <t xml:space="preserve">MERCEDES-BENZ: LO 608 OM 314 3.8 L 8V SOHV L4 73/87
MERCEDES-BENZ: LO 708 OM 314 3.8 L 8V SOHV L4 87/89
MERCEDES-BENZ: LO 708 E OM 314 3.8 L 8V SOHV L4 87/90</t>
  </si>
  <si>
    <t xml:space="preserve">3082957006 (OEM)
6405 (ATE)
C2600 (CONTROIL)
RCCE00041 (TRW)</t>
  </si>
  <si>
    <t xml:space="preserve">MERCEDES-BENZ: Accelo 715C OM612LA 01/...
MERCEDES-BENZ: Sprinter 311 CDI 2.2 16V Diesel OM611LA 01/...
MERCEDES-BENZ: Sprinter 313 CDI 2.2 16V Diesel OM611LA 01/...
MERCEDES-BENZ: Sprinter 411 CDI 2.2 16V Diesel OM611LA 01/...
MERCEDES-BENZ: Sprinter 413 CDI 2.2 16V Diesel OM611LA 01/...
MERCEDES-BENZ: Sprinter 415 CDI 2.1 EURO 5 12/...
MERCEDES-BENZ: Sprinter 515 CDI 2.1 EURO 5 12/...</t>
  </si>
  <si>
    <t xml:space="preserve">3342 (ZF)
510003510 (LUK)
RCAC00090 (TRW)
VKCH4844 (SKF)
ZA360832P (FTE)</t>
  </si>
  <si>
    <t xml:space="preserve">Câmbio G33-5/5.05</t>
  </si>
  <si>
    <t xml:space="preserve">SCS4002</t>
  </si>
  <si>
    <t xml:space="preserve">GM: Astra 2.0 16V 00/03
GM: Vectra 2.2 16V 00/03
GM: Vectra 2.2 8V 00/03
GM: Zafira 2.0 16V 00/03</t>
  </si>
  <si>
    <t xml:space="preserve">510003810 (LUK)
VKCH4897 (SKF)
ZA34002B1 (FTE)</t>
  </si>
  <si>
    <t xml:space="preserve">Todos com câmbio F23</t>
  </si>
  <si>
    <t xml:space="preserve">NISSAN: Livina 1.6 16V 10/…
NISSAN: March 1.0 16V 11/...
NISSAN: March 1.6 16V 11/…
NISSAN: Versa 1.6 16V 12/…
RENAULT: Duster 1.6 16V Hi Flex 12/…
RENAULT: Kwid 1.0 12V 3 cil 17/...
RENAULT: Logan 1.0 12V 3 cil 16/...
RENAULT: Logan 1.6 16V Hi Flex 08/…
RENAULT: Megane 1.6 16V Hi Flex 06/…
RENAULT: Megane Grand Tour 1.6 16V Hi Flex 06/…
RENAULT: Oroch 1.6 16V 15/...
RENAULT: Sandero 1.0 12V 3 cil 16/...
RENAULT: Sandero 1.6 16V Hi Flex 08/…
RENAULT: Symbol 1.6 16V Hi Flex K4M 09/…</t>
  </si>
  <si>
    <t xml:space="preserve">FORD: F150 4.9 V6 99/...
FORD: F250 4.9 V6 99/...
FORD: F350 4.9 V6 99/...</t>
  </si>
  <si>
    <t xml:space="preserve">FORD: Mondeo 1.8 16V Zetec 94/96
FORD: Mondeo 2.0 16V Zetec 02/...
FORD: Mondeo 2.0 16V Zetec 96/01</t>
  </si>
  <si>
    <t xml:space="preserve">510000110 (LUK)
ZA320631 (FTE)</t>
  </si>
  <si>
    <t xml:space="preserve">FORD: Ranger 2.2 16V TDCi 13/...
FORD: Ranger 3.2 20V TDCi 13/...
FORD: Transit 2.4 16V TDCi / TDE  Duratorq 09/…
TROLLER: T4 3.2 20V TDCi 14/...</t>
  </si>
  <si>
    <t xml:space="preserve">510009210 (LUK)
ZA34011831 (FTE)</t>
  </si>
  <si>
    <t xml:space="preserve">FORD: Courier 1.3 8V Endura 97/13
FORD: Courier 1.4 16V Zetec 97/99
FORD: Courier 1.6 8V Zetec Rocam 97/13
FORD: Ecosport 1.0 8V Supercharger 03/...
FORD: Ecosport 1.6 8V Zetec Rocam 03/...
FORD: Ecosport 2.0 16V 4X2 Duratec 03/...
FORD: Escort 1.6 16V Zetec 00/03
FORD: Fiesta 1.0 8V Endura 96/99
FORD: Fiesta 1.0 8V Zetec Rocam 99/...
FORD: Fiesta 1.3 8V Endura 96/99
FORD: Fiesta 1.4 16V Zetec 96/00
FORD: Fiesta 1.6 8V 02/14
FORD: Fiesta 1.6 8V Zetec Rocam 99/...
FORD: Focus 1.6 8V Zetec Rocam Câmbio IB5 03/...
FORD: Focus 1.8 16V Zetec 00/...
FORD: Ka 1.0 8V Endura 97/99
FORD: Ka 1.0 8V Zetec Rocam 99/...
FORD: Ka 1.3 8V Endura 97/99
FORD: Ka 1.6 8V Zetec Rocam 99/...</t>
  </si>
  <si>
    <t xml:space="preserve">1021237 (OEM)
1026539 (OEM)
510006511 (LUK)
C2711 (CONTROIL)
RCAC00110 (TRW)
VKCH4750 (SKF)
ZA2802415 (FTE)</t>
  </si>
  <si>
    <t xml:space="preserve">VOLKSWAGEN: Golf GTI 1.8 20V Turbo 01/05
VOLKSWAGEN: Jetta 2.0 16V TSI 11/...
VOLKSWAGEN: Novo Fusca 2.0 TSI 11/...
VOLKSWAGEN: Tiguan 2.0 16V TSI 09/...</t>
  </si>
  <si>
    <t xml:space="preserve">FORD: Focus 2.0 16V Zetec 00/...</t>
  </si>
  <si>
    <t xml:space="preserve">510002310 (LUK)
RCAC00070 (TRW)
VKCH4746 (SKF)
ZA3209A1 (FTE)</t>
  </si>
  <si>
    <t xml:space="preserve">Câmbio MTX75</t>
  </si>
  <si>
    <t xml:space="preserve">SCS4011</t>
  </si>
  <si>
    <t xml:space="preserve">GM: Vectra 2.0 8V / 2.0 16V 96/00
GM: Vectra 2.2 8V / 2.2 16V 00/...</t>
  </si>
  <si>
    <t xml:space="preserve">510000210 (LUK)
RCAC00080 (TRW)
VKCH4749 (SKF)
ZA3403A1 (FTE)</t>
  </si>
  <si>
    <t xml:space="preserve">Câmbio F18</t>
  </si>
  <si>
    <t xml:space="preserve">GM: Cobalt 1.8 8V 11/...
GM: Spin 1.8 8V 11/...</t>
  </si>
  <si>
    <t xml:space="preserve">510007310 (LUK)
RCAC00060 (TRW)
VKCH3102 (SKF)
ZA3103B2 (FTE)</t>
  </si>
  <si>
    <t xml:space="preserve">Corpo em alumínio</t>
  </si>
  <si>
    <t xml:space="preserve">GM: Astra 1.8 8V / 2.0 8V 99/11
GM: Astra 2.0 8V / 2.0 16V 04/...
GM: Cobalt 1.4 8V 12/19
GM: Cobalt 1.8 8V 12/19
GM: Corsa 1.0 8V 02/12
GM: Corsa 1.4 8V 02/12
GM: Corsa 1.8 8V 02/12
GM: Meriva 1.4 8V 08/12
GM: Meriva 1.8 8V 03/12
GM: Montana 1.4 8V 08/19
GM: Montana 1.8 8V 04/10
GM: Onix 1.0 8V 12/...
GM: Onix 1.4 8V 12/...
GM: Prisma 1.0 8V 13/...
GM: Prisma 1.4 8V 13/...
GM: Spin 1.8 8V 12/...
GM: Vectra 2.0 8V 05/12
GM: Vectra 2.2 8V 04/06
GM: Zafira 2.0 8V / 2.0 16V 01/12</t>
  </si>
  <si>
    <t xml:space="preserve">510007310 (LUK)
RCAC00050 (TRW)
VKCH3102 (SKF)
ZA310241 (FTE)</t>
  </si>
  <si>
    <t xml:space="preserve">Câmbio F17</t>
  </si>
  <si>
    <t xml:space="preserve">GM: Cruze 1.8 16V 13/...</t>
  </si>
  <si>
    <t xml:space="preserve">510018010 (LUK)
VKCH3404831 (SKF)
ZA3404831 (FTE)</t>
  </si>
  <si>
    <t xml:space="preserve">SUZUKI: Grand Vitara 2.0 16V 06/...</t>
  </si>
  <si>
    <t xml:space="preserve">GM: Sonic 1.6 16V Ecotec 12/...
GM: Tracker 1.8 16V Ecotec 13/...</t>
  </si>
  <si>
    <t xml:space="preserve">GM: Blazer 2.8 Diesel MWM 01/...
GM: Blazer 4.3 V6 96/12
GM: S10 2.8 Diesel MWM 01/...
GM: S10 4.3 V6 96/12</t>
  </si>
  <si>
    <t xml:space="preserve">510003710 (LUK)
D751112 (FTE)
RCAC00020 (TRW)
VKCH151112 (SKF)</t>
  </si>
  <si>
    <t xml:space="preserve">GM: S10 2.4 8V Flex 12/...
GM: S10 2.8  8V Diesel 12/...</t>
  </si>
  <si>
    <t xml:space="preserve">D151187 (FTE)
VKCH151187 (SKF)</t>
  </si>
  <si>
    <t xml:space="preserve">FORD: Explorer 4.0 V6 91/97
FORD: F1000 4.9 V6 …/98
FORD: F1000 XL / XLT 2.5 Turbo Diesel Maxion HS …/98
FORD: F350 4.9 V6 …/98
FORD: Ranger 2.3 16V 93/...
FORD: Ranger 2.5 16V Duratec 07/…
FORD: Ranger 2.5 Turbo Diesel Maxion HS 96/06
FORD: Ranger 2.8 Turbo Diesel Maxion HS 98/06
FORD: Ranger 3.0 Turbo Diesel  NGD 05/…
FORD: Ranger 4.0 V6 90/98</t>
  </si>
  <si>
    <t xml:space="preserve">510002610 (LUK)
D751103 (FTE)
RCAC00010 (TRW)
VKCH151103 (SKF)</t>
  </si>
  <si>
    <t xml:space="preserve">FIAT: Doblo 1.8 16V E Torq 11/…
FIAT: Doblo 1.8 8V Powertrain 04/10
FIAT: Idea 1.8 16V E Torq 11/…
FIAT: Idea 1.8 8V Powertrain 06/10
FIAT: Palio 1.8 16V E Torq 11/…
FIAT: Palio 1.8 8V Powertrain 03/10
FIAT: Palio Weekend 1.8 16V E Torq 11/…
FIAT: Palio Weekend 1.8 8V Powertrain 03/10
FIAT: Punto 1.6 16V E Torq 11/…
FIAT: Punto 1.8 16V E Torq 11/…
FIAT: Punto 1.8 8V Powertrain 08/10
FIAT: Siena 1.8 16V E Torq 11/…
FIAT: Siena 1.8 8V Powertrain 03/10
FIAT: Strada 1.8 16V E Torq 11/…
GM: Stilo 1.8 8V Powertrain 03/11
GM: Strada 1.8 8V Powertrain 03/10</t>
  </si>
  <si>
    <t xml:space="preserve">Sem adptador
Sistemas Valeo e Luk</t>
  </si>
  <si>
    <t xml:space="preserve">NISSAN: Grand Livina 1.8 16V 10/...
NISSAN: Livina 1.8 16V 10/…
NISSAN: Sentra 2.0 16V 07/…
NISSAN: Tiida 1.6 16V 07/…
NISSAN: Tiida 1.8 16V 07/…
NISSAN: Versa 1.8 16V 11/…
RENAULT: Duster 2.0 16V 12/...
RENAULT: Fluence 2.0 16V 11/…
RENAULT: Megane 2.0 16V 07/...
RENAULT: Scenic 2.0 16V 07/...</t>
  </si>
  <si>
    <t xml:space="preserve">VKCH4906 (SKF)
ZA300841 (FTE)</t>
  </si>
  <si>
    <t xml:space="preserve">510007419 (LUK)
RCTB00080 (TRW)
ZA3105532 (FTE)</t>
  </si>
  <si>
    <t xml:space="preserve">Com adptador
Sistemas Valeo e Luk</t>
  </si>
  <si>
    <t xml:space="preserve">CITROEN: Aircross 1.2 12V 17/...
CITROEN: Aircross 1.6 16V 11/...
CITROEN: Berlingo 1.6 16V 14/...
CITROEN: C3 1.2 12V 17/...
CITROEN: C3 1.6 16V 09/...
CITROEN: C3 / C3 Picasso 1.6 16V 09/…
CITROEN: C4 / C4 Picasso 1.6 16V / 1.6 16V THP 09/…
CITROEN: C4 Cactus 1.2 12V THP 17/...
CITROEN: C4 Lounge 1.6 16V THP 13/…
CITROEN: DS3 1.6 16V THP 12/…
CITROEN: DS4 1.6 16V THP 12/…
CITROEN: DS5 1.6 16V THP 12/…
MINI: Cooper 1.6 16V 10/…
MINI: Cooper S 1.6 16V 07/09
MINI: Cooper S 1.6 16V Turbo 09/…
MINI: One 1.6 16V 09/…
PEUGEOT: 2008 1.6 16V 15/…
PEUGEOT: 2008 1.6 16V THP 15/…
PEUGEOT: 207 1.6 16V 07/…
PEUGEOT: 207 1.6 16V THP 07/…
PEUGEOT: 208 1.6 16V 13/…
PEUGEOT: 3008 1.6 16V THP 11/…
PEUGEOT: 308 1.6 16V 07/…
PEUGEOT: 308 1.6 16V THP 07/…
PEUGEOT: 408 1.6 16V THP 11/…
PEUGEOT: 508 1.6 16V THP 11/…
PEUGEOT: RCZ 1.6 16V THP 11/…</t>
  </si>
  <si>
    <t xml:space="preserve">TOYOTA: Etios 1.3 16V 12/...
TOYOTA: Etios 1.5 16V 12/...</t>
  </si>
  <si>
    <t xml:space="preserve">NISSAN: Frontier 2.8 Turbo Diesel MWM 4.07TCA 03/…
NISSAN: X Terra 2.8 Turbo Diesel MWM 4.07TCA 03/…</t>
  </si>
  <si>
    <t xml:space="preserve">510015610 (LUK)
D151127 (FTE)
RCAC00030 (TRW)
VKCH151127 (SKF)</t>
  </si>
  <si>
    <t xml:space="preserve">RENAULT: Master 2.3 16V Turbo 13/…
RENAULT: Master 2.5 16V Diesel G9U 05/…</t>
  </si>
  <si>
    <t xml:space="preserve">FIAT: Toro 2.0 16V JTD Diesel 16/…
JEEP: Compass 2.0 16V JTD Diesel 16/…
JEEP: Renegade 2.0 16V JTD Diesel 16/…</t>
  </si>
  <si>
    <t xml:space="preserve">FORD: Ecosport 1.5 12V 3 cil 18/21
FORD: Ka 1.0 12V 3 cil 18/21
FORD: Ka 1.5 12V 3 cil 18/21</t>
  </si>
  <si>
    <t xml:space="preserve">NISSAN: Kicks 1.6 16V 16/...
NISSAN: Livina 1.6 16V K4M 11/...
NISSAN: March 1.0 12V 3cil HR10DE 14/...
NISSAN: March 1.0 16V 11/13
NISSAN: March 1.6 16V HR16DE 11/...
NISSAN: Versa 1.0 12V 3cil HR10DE 14/...
NISSAN: Versa 1.6 16V HR16DE 11/...
RENAULT: Captur 1.3 3cil Turbo H5H470 20/...
RENAULT: Captur 1.6 16V H4M 17/...
RENAULT: Duster 1.6 16V H4M 17/...
RENAULT: Duster 1.6 16V K4M 11/16
RENAULT: Logan 1.0 12V 3 cil B4D 17/...
RENAULT: Logan 1.6 16V H4M 17/...
RENAULT: Oroch 1.6 16V JH3 15/...
RENAULT: Sandero 1.0 12V 3cil B4D 17/...
RENAULT: Sandero 1.6 16V H4M 17/...</t>
  </si>
  <si>
    <t xml:space="preserve">1100930 (VALEO)
510009710 (LUK)
ZA300741 (FTE)</t>
  </si>
  <si>
    <t xml:space="preserve">VOLKSWAGEN: Amarok 2.0 16V TDI   CDBA / CNFA 10/…</t>
  </si>
  <si>
    <t xml:space="preserve">1100724 (VALEO)
510020710 (LUK)
VKCH4912 (SKF)
ZA2401571 (FTE)</t>
  </si>
  <si>
    <t xml:space="preserve">GM: Onix 1.0 12V 3 cil Aspirado 20/...
GM: Onix 1.0 12V 3 cil Turbo 20/...
GM: Tracker 1.0 12V 3 cil Turbo 20/...</t>
  </si>
  <si>
    <t xml:space="preserve">Transmissão manual de 6 marchas
Câmbio F1X</t>
  </si>
  <si>
    <t xml:space="preserve">RENAULT: Duster 2.0 16V 4X2 15/...
RENAULT: Duster 2.0 16V 4X4 F4R 11/...</t>
  </si>
  <si>
    <t xml:space="preserve">30151 (ELPER)
306202899R (OEM)
306204287R (OEM)
306205626R (OEM)
8200987124 (OEM)</t>
  </si>
  <si>
    <t xml:space="preserve">RENAULT: Duster 1.6 16V SCE H4M 20/...
RENAULT: Oroch 1.6 16V SCE H4M 20/...</t>
  </si>
  <si>
    <t xml:space="preserve">100230 (VALEO)
306206620R (OEM)</t>
  </si>
  <si>
    <t xml:space="preserve">FIAT: Mobi 1.0 12V 16/18
FIAT: Palio 1.0 / 1.3 / 1.5 / 1.6 96/03
FIAT: Palio 1.0 / 1.6 12/...
FIAT: Palio 1.4 09/10
FIAT: Palio 1.8 8V 03/04
FIAT: Palio 1.8 8V 09/10
FIAT: Siena 1.0 / 1.4 13/...
FIAT: Siena 1.0 / 1.6 96/03
FIAT: Uno 1.0 10/...
FIAT: Uno 1.0 Economy 09/...
FIAT: Uno 1.0 Fire 08/...</t>
  </si>
  <si>
    <t xml:space="preserve">0504CPA (COBREQ)
203001 (SYL)
BPSA0090138 (MAZZICAR)
FI97CP (FRAS-LE)
HQJ502 (JURID)</t>
  </si>
  <si>
    <t xml:space="preserve">Lonas semi metálicas
185x30mm
Sistema TEVES
C/ Haste</t>
  </si>
  <si>
    <t xml:space="preserve">FORD: Fiesta 1.0 / 1.3 / 1.4 / 1.6 96/...
FORD: Ka 1.0 08/14
FORD: Ka 1.0 96/07
FORD: Ka 1.6 01/07
GM: Celta 1.0 / 1.4 01/...
GM: Prisma 1.0 / 1.4 07/13
GM: Prisma 1.4 16/19</t>
  </si>
  <si>
    <t xml:space="preserve">201705 (SYL)
2615CPA (COBREQ)
BPSA0097175 (MAZZICAR)
FD61CPA (FRAS-LE)
HQJ508A (JURID)
RRSA00710 (TRW)</t>
  </si>
  <si>
    <t xml:space="preserve">Lonas semi metálicas
180x31,80mm
Sistema Girling
C/ Haste</t>
  </si>
  <si>
    <t xml:space="preserve">FORD: Ecosport 1.0 8V Zetec Rocam 03/12
FORD: Ecosport 1.6 16V Sigma 12/17
FORD: Ecosport 1.6 8V Zetec Rocam 03/12
FORD: Ecosport 2.0 16V Duratec 03/16
FORD: Fiesta 1.0 12V Ecobost 16/18
FORD: Fiesta 1.0 8V Zetec Rocam 02/14
FORD: Fiesta 1.6 8V Zetec Rocam 02/14</t>
  </si>
  <si>
    <t xml:space="preserve">203102 (SYL)
2621CPA (COBREQ)
BPSA0090151 (MAZZICAR)
FD98CP (FRAS-LE)
HQJ501A (JURID)</t>
  </si>
  <si>
    <t xml:space="preserve">Lonas semi metálicas
200x37,80mm
Sistema Bosch
C/ Haste</t>
  </si>
  <si>
    <t xml:space="preserve">PEUGEOT: 206 1.0 / 1.4 / 1.6 98/...
PEUGEOT: 207 1.4 / 1.6 09/...</t>
  </si>
  <si>
    <t xml:space="preserve">207000 (SYL)
2625CPA (COBREQ)
BPSA0091337 (MAZZICAR)
HQJ506A (JURID)
PG202CP (FRAS-LE)</t>
  </si>
  <si>
    <t xml:space="preserve">Lonas semi metálicas
179,20x32mm
Sistema Bosch
C/ Haste</t>
  </si>
  <si>
    <t xml:space="preserve">FORD: Courier 1.3 8V Endura 96/99
FORD: Courier 1.4 16V Zetec 97/02
FORD: Courier 1.6 8V Zetec Rocam 97/...
FORD: Ecosport 2.0 16V 4x4 Duratec 04/12</t>
  </si>
  <si>
    <t xml:space="preserve">203103 (SYL)
2628CPA (COBREQ)
BPSA0090152 (MAZZICAR)
FD130CPA (FRAS-LE)
HQJ513A (JURID)
RRSA00770 (TRW)</t>
  </si>
  <si>
    <t xml:space="preserve">Lonas semi metálicas
228x45mm
Sistema TRW
C/ Haste</t>
  </si>
  <si>
    <t xml:space="preserve">GM: Blazer 2.2 8V 95/00
GM: Blazer 2.4 8V 95/12
GM: Blazer 2.5 8V Diesel 96/05
GM: Blazer 2.8 12V Diesel 95/09
GM: S10 2.2 8V 95/00
GM: S10 2.4 8V 95/12
GM: S10 2.5 8V Diesel 96/05
GM: S10 2.8 12V Diesel 95/09</t>
  </si>
  <si>
    <t xml:space="preserve">201700 (SYL)
2640CP (COBREQ)
BPSA0090168 (MAZZICAR)
CB132CP (FRAS-LE)
HQJ517A (JURID)</t>
  </si>
  <si>
    <t xml:space="preserve">Lonas semi metálicas
280x52mm
11 polegadas
Sistema Bosch</t>
  </si>
  <si>
    <t xml:space="preserve">FORD: Ranger 2.2 16V Duratorq 13/16
FORD: Ranger 2.3 16V Duratec 09/12
FORD: Ranger 3.0 16V Power Stroke 05/12
FORD: Ranger 3.2 20V Duratorq 13/16
GM: Blazer 4.3 V6 95/11
GM: S10 4.3 V6 95/11</t>
  </si>
  <si>
    <t xml:space="preserve">201702 (SYL)
2643CPA (COBREQ)
BPSA0090179 (MAZZICAR)
CB51CP (FRAS-LE)
HQJ518A (JURID)</t>
  </si>
  <si>
    <t xml:space="preserve">Lonas semi metálicas
280x65mm
11 polegadas
Sistema Bosch
C/ Haste</t>
  </si>
  <si>
    <t xml:space="preserve">GM: Agile 1.4 8V 09/16
GM: Classic 1.0 8V 08/17
GM: Corsa 1.0 / 1.4 / 1.6 94/17
GM: Tigra 1.6 8V 98/00</t>
  </si>
  <si>
    <t xml:space="preserve">201703 (SYL)
2649CPA (COBREQ)
BPSA0094660 (MAZZICAR)
CB49CPA (FRAS-LE)
HQJ509A (JURID)
RRSA00694 (TRW)</t>
  </si>
  <si>
    <t xml:space="preserve">Lonas semi metálcas
200x29mm
Sistema Varga
C/ Haste</t>
  </si>
  <si>
    <t xml:space="preserve">FIAT: Doblo 1.3 8V Fire 01/06
FIAT: Doblo 1.4 8V Fire 09/...
FIAT: Doblo 1.6 16V 01/03
FIAT: Doblo 1.8 16V Etorq 10/...
FIAT: Doblo 1.8 8V Adventure Locker 09/10
FIAT: Strada 1.4 8V Fire 09/...
FIAT: Strada 1.8 16V Adventure Locker 08/15
FIAT: Strada 1.8 16V Etorq 10/...
FIAT: Strada 1.8 8V Powertrain 08/...
GM: Doblo 1.8 8V Powertrain 03/10</t>
  </si>
  <si>
    <t xml:space="preserve">203013 (SYL)
2652CPA (COBREQ)
BPSA0090145 (MAZZICAR)
FI136CPA (FRAS-LE)
HQJ511A (JURID)</t>
  </si>
  <si>
    <t xml:space="preserve">Lonas semi metálicas
228x42mm
Sistema Bosch
C/ Haste</t>
  </si>
  <si>
    <t xml:space="preserve">RENAULT: Clio 1.2 98/...
RENAULT: Clio 1.4 16V 00/08
RENAULT: Logan 1.0 / 1.6 08/...
RENAULT: Sandero 1.0 / 1.6 08/13</t>
  </si>
  <si>
    <t xml:space="preserve">207604 (SYL)
2660CPA (COBREQ)
BPSA0097490 (MAZZICAR)
LS3549 (BOSCH)
RN324CPA (FRAS-LE)</t>
  </si>
  <si>
    <t xml:space="preserve">Lonas semi metálicas
180x41,20mm
7 polegadas
Sistema Bosch/Bendix
C/ Haste</t>
  </si>
  <si>
    <t xml:space="preserve">RENAULT: Clio 1.0 / 1.6 99/...
RENAULT: Clio 1.2 16V 01/...
RENAULT: Laguna 1.8 / 2.0 93/...
RENAULT: Symbol 1.6 12/...
RENAULT: Twingo 1.0 01/03</t>
  </si>
  <si>
    <t xml:space="preserve">207602 (SYL)
2663CPA (COBREQ)
BPSA0091319 (MAZZICAR)
LS3536 (BOSCH)
RN131CPA (FRAS-LE)</t>
  </si>
  <si>
    <t xml:space="preserve">Lonas semi metálicas
202x38mm
Sistema Girling/Lucas
C/ Haste</t>
  </si>
  <si>
    <t xml:space="preserve">HYUNDAI: Vera Cruz 3.8 V6 08/12</t>
  </si>
  <si>
    <t xml:space="preserve">58350-3JA00 (OEM)
58350-4HA00 (OEM)
BPSA0096060 (MAZZICAR)</t>
  </si>
  <si>
    <t xml:space="preserve">Lonas semi metálicas
212x40mm</t>
  </si>
  <si>
    <t xml:space="preserve">MAHINDRA: Scorpio 2.2 / 2.6 08/...
TOYOTA: Hilux 2.5 16V 08/...
TOYOTA: Hilux 2.7 16V 16/...
TOYOTA: Hilux 2.8 16V 16/...
TOYOTA: Hilux 3.0 05/...
TOYOTA: SW4 3.0 05/...</t>
  </si>
  <si>
    <t xml:space="preserve">208802 (SYL)
2673CP (COBREQ)
BPSA0096740 (MAZZICAR)
HQJ524 (JURID)
TY327CP (FRAS-LE)</t>
  </si>
  <si>
    <t xml:space="preserve">Lonas semi metálicas
295x61,40mm
Sistema Akebono</t>
  </si>
  <si>
    <t xml:space="preserve">ASIA: Topic 2.2 / 2.7 93/97
HYUNDAI: HR 2.5 8V (Rodagem Simples) 05/...
KIA: Besta 2.2 / 2.7 93/98
KIA: Bongo K2400 2.5 8V (Rodagem Simples) 97/...
KIA: Bongo K2500 2.5 8V (Rodagem Simples) 03/...
KIA: Bongo K2700 2.7 8V (Rodagem Simples) 03/...</t>
  </si>
  <si>
    <t xml:space="preserve">204603 (SYL)
2676CP (COBREQ)
BPSA0096085 (MAZZICAR)
KI144CP (FRAS-LE)</t>
  </si>
  <si>
    <t xml:space="preserve">Lonas semi metálicas
260x51mm
Sistema Sumitomo</t>
  </si>
  <si>
    <t xml:space="preserve">VOLKSWAGEN: Crossfox 1.6 04/...
VOLKSWAGEN: Fox 1.0 / 1.6 04/14
VOLKSWAGEN: Gol 1.0 / 1.6 / 1.8 / 2.0 88/09
VOLKSWAGEN: Golf 1.8 / 2.0 95/98
VOLKSWAGEN: Parati 1.0 / 1.6 / 1.8 / 2.0 86/09
VOLKSWAGEN: Polo Classic 1.0 / 1.6 97/...
VOLKSWAGEN: Saveiro 1.6 / 1.8 95/98
VOLKSWAGEN: Space Cross 1.6 11/...
VOLKSWAGEN: Spacefox 1.6 04/...
VOLKSWAGEN: Up 1.0 / 1.0 TSI 14/...</t>
  </si>
  <si>
    <t xml:space="preserve">208000 (SYL)
2677CPA (COBREQ)
BPSA0096830 (MAZZICAR)
VW276CPA (FRAS-LE)</t>
  </si>
  <si>
    <t xml:space="preserve">Lonas semi metálicas
200x40mm
Sistema Varga
C/ Haste</t>
  </si>
  <si>
    <t xml:space="preserve">NISSAN: Frontier 2.8 02/...
NISSAN: Pathfinder 3.0 V6 96/04
NISSAN: X Terra 2.8 00/04
TOYOTA: Hilux 3.0 02/05
TOYOTA: Hilux 4x4 4WD 93/...</t>
  </si>
  <si>
    <t xml:space="preserve">208800 (SYL)
2691CP (COBREQ)
BPSA0090169 (MAZZICAR)
BPSA0096710 (MAZZICAR)
HQJ525 (JURID)
TY326CP (FRAS-LE)</t>
  </si>
  <si>
    <t xml:space="preserve">Lonas semi metálicas
295x50mm
Sistema Akebono</t>
  </si>
  <si>
    <t xml:space="preserve">GM: S10 2.4 / 2.8 12/...
MITSUBISHI: Pajero Sport 3.2 16V Diesel 08/...
MITSUBISHI: Pajero Sport 3.5 V6 24V 08/...
MITSUBISHI: Triton 3.2 16V Diesel 4M41 DI-D 07/...
MITSUBISHI: Triton 3.5 V6 24V Flex 6G74 10/...
MITSUBISHI: Triton 3.5 V6 24V Gasolina 6G74 07/...</t>
  </si>
  <si>
    <t xml:space="preserve">206503 (SYL)
2700CP (COBREQ)
BPSA95280 (MAZZICAR)
MI370CP (FRAS-LE)</t>
  </si>
  <si>
    <t xml:space="preserve">Lonas semi metálicas
290x50mm
Sistema Akebono</t>
  </si>
  <si>
    <t xml:space="preserve">PEUGEOT: 206 / SW / Sedan 1.4 / 1.6 05/09
PEUGEOT: 207 / SW / Sedan 1.4 09/...</t>
  </si>
  <si>
    <t xml:space="preserve">207602 (SYL)
2709CPA (COBREQ)
BPSA0091338 (MAZZICAR)
PG209CPA (FRAS-LE)</t>
  </si>
  <si>
    <t xml:space="preserve">Lonas semi metálicas
202x38,40mm
Sistema Lucas/Bosch
C/ Haste</t>
  </si>
  <si>
    <t xml:space="preserve">GM: Joy 1.0 20/21
GM: Joy Plus 1.0 20/21
GM: Onix 1.0 / 1.4 13/19
GM: Prisma 1.0 / 1.4 14/...</t>
  </si>
  <si>
    <t xml:space="preserve">201711 (SYL)
2715CPA (COBREQ)
BPSA0094680 (MAZZICAR)
CB416CPA (FRAS-LE)</t>
  </si>
  <si>
    <t xml:space="preserve">Lonas semi metálicas
200x29mm
Sistema Lucas
C/Haste</t>
  </si>
  <si>
    <t xml:space="preserve">FIAT: Argo 1.0 6V 3 cil. 17/...
FIAT: Argo 1.3 8V 17/...
FIAT: Argo 1.8 16V 17/...
FIAT: Cronos 1.3 8V 18/...
FIAT: Cronos 1.8 16V 18/...
FIAT: Grand Siena 1.4 8V 12/...
FIAT: Grand Siena 1.6 16V 12/...
FIAT: Palio 1.0 / 1.4 12/...
FIAT: Palio 1.6 Etorq 12/...
FIAT: Pulse 1.3 16V Turbo 22/...
FIAT: Punto 1.4 8V 08/...
FIAT: Punto 1.6 16V Etorq 11/...
FIAT: Uno 1.0 8V c/ ABS 10/...
FIAT: Uno 1.4 8V 10/...</t>
  </si>
  <si>
    <t xml:space="preserve">203020 (SYL)
2717CPA (COBREQ)
BPSA0090146 (MAZZICAR)
FI219CPA (FRAS-LE)</t>
  </si>
  <si>
    <t xml:space="preserve">Lonas semi metálicas
202x38,40mm
Sistema TRW
C/ Haste</t>
  </si>
  <si>
    <t xml:space="preserve">FIAT: Linea 1.9 16V 08/...
FIAT: Palio Weekend 1.3 / 1.6 / 1.8 10/...
FIAT: Punto 1.8 8V 08/...</t>
  </si>
  <si>
    <t xml:space="preserve">207605 (SYL)
2720CPA (COBREQ)
BPSA0090148 (MAZZICAR)
FI220CPA (FRAS-LE)</t>
  </si>
  <si>
    <t xml:space="preserve">Lonas semi metálicas
226,6x42mm
Sistema TRW
C/ Haste</t>
  </si>
  <si>
    <t xml:space="preserve">209001 (SYL)
2723CPA (COBREQ)
BPSA0096860 (MAZZICAR)
VW282CPA (FRAS-LE)</t>
  </si>
  <si>
    <t xml:space="preserve">Lonas semi metálicas
294x57mm
C/ Haste</t>
  </si>
  <si>
    <t xml:space="preserve">GM: Cobalt 1.4 / 1.8 12/...
GM: Sonic 1.6 12/14
GM: Spin 1.8 8V 12/16</t>
  </si>
  <si>
    <t xml:space="preserve">201708 (SYL)
2727CPA (COBREQ)
BPSA0094670 (MAZZICAR)
CB153CPA (FRAS-LE)</t>
  </si>
  <si>
    <t xml:space="preserve">Lonas semi metálicas
200x36mm
C/ Haste</t>
  </si>
  <si>
    <t xml:space="preserve">FORD: Ranger 2.2 16V TDCi 12/...
FORD: Ranger 3.2 20V TDCi 12/...
NISSAN: Frontier 2.5 16V 08/...</t>
  </si>
  <si>
    <t xml:space="preserve">203113 (SYL)
2730CP (COBREQ)
BPSA0090163 (MAZZICAR)
NI443CP (FRAS-LE)</t>
  </si>
  <si>
    <t xml:space="preserve">Lonas semi metálicas
294x56mm</t>
  </si>
  <si>
    <t xml:space="preserve">GM: Cobalt 1.4 8V 17/...
GM: Cobalt 1.8 8V 17/...
GM: Spin 1.4 8V 12/...
GM: Spin 1.8 8V 12/...
GM: Tracker 1.4 Turbo 16/...
GM: Tracker 1.8 16V 14/20</t>
  </si>
  <si>
    <t xml:space="preserve">201709 (SYL)
2733CPA (COBREQ)
BPSA0094690 (MAZZICAR)
CB417CPA (FRAS-LE)</t>
  </si>
  <si>
    <t xml:space="preserve">Lonas semi metálicas
228,6x41mm
C/ Haste</t>
  </si>
  <si>
    <t xml:space="preserve">HONDA: City 1.5 16V 10/...
HONDA: Civic 1.7 16V 01/05
HONDA: Fit 1.5 16V 09/14</t>
  </si>
  <si>
    <t xml:space="preserve">203806 (SYL)
2737CPA (COBREQ)
BPSA0091270 (MAZZICAR)
HO334CPA (FRAS-LE)</t>
  </si>
  <si>
    <t xml:space="preserve">Lonas semi metálicas
200x35mm
C/ Haste</t>
  </si>
  <si>
    <t xml:space="preserve">204003 (SYL)
2741CPA (COBREQ)
BPSA0096065 (MAZZICAR)
HY418CPA (FRAS-LE)</t>
  </si>
  <si>
    <t xml:space="preserve">Lonas semi metálicas
202,8x32mm
C/ Haste</t>
  </si>
  <si>
    <t xml:space="preserve">FORD: Ka 1.0 12V 3 cil 14/...
FORD: Ka 1.5 12V 3 cil 19/...
FORD: Ka 1.5 16V 4 cil 14/18
FORD: New Fiesta 1.5 16V / 1.6 16V Sigma 10/18</t>
  </si>
  <si>
    <t xml:space="preserve">203112 (SYL)
2751CPA (COBREQ)
BPSA0097180 (MAZZICAR)
FD152CPA (FRAS-LE)</t>
  </si>
  <si>
    <t xml:space="preserve">Lonas semi metálicas
200x32mm
C/ Haste</t>
  </si>
  <si>
    <t xml:space="preserve">MITSUBISHI: L200 2.5 Diesel / 2.5 Turbo Diesel 97/…
MITSUBISHI: L200 Sport 2.5 Diesel Frente Quadrada 06/…
MITSUBISHI: L300 2.5 Diesel / 2.5 Turbo Diesel 91/…
MITSUBISHI: Pajero 2.5 Diesel / 2.5 Turbo Diesel 91/…</t>
  </si>
  <si>
    <t xml:space="preserve">206500 (SYL)
2757CP (COBREQ)
BPSA0095240 (MAZZICAR)
LS3532 (BOSCH)
MI139CP (FRAS-LE)</t>
  </si>
  <si>
    <t xml:space="preserve">Lonas semi metálicas
254x51mm</t>
  </si>
  <si>
    <t xml:space="preserve">MITSUBISHI: L200 2.5 Diesel / 2.5 Turbo Diesel 98/…
MITSUBISHI: L200 2.5 Turbo Diesel HPE 07/…
MITSUBISHI: L200 Savana 2.5 4x4 Frente Redonda 06/...
MITSUBISHI: Pajero Sport 2.5 Turbo Diesel 98/…</t>
  </si>
  <si>
    <t xml:space="preserve">206501 (SYL)
2760CP (COBREQ)
BPSA0095250 (MAZZICAR)
LS3533 (BOSCH)
MI198CP (FRAS-LE)</t>
  </si>
  <si>
    <t xml:space="preserve">Lonas semi metálicas
270x52mm</t>
  </si>
  <si>
    <t xml:space="preserve">RENAULT: Logan 1.6 8V / 1.6 16V 08/...
RENAULT: Sandero 1.6 8V / 1.6 16V 08/...
RENAULT: Symbol 1.6 8V / 1.6 16V 09/13</t>
  </si>
  <si>
    <t xml:space="preserve">207609 (SYL)
2763CPA (COBREQ)
BPSA0097480 (MAZZICAR)
RN325CPA (FRAS-LE)</t>
  </si>
  <si>
    <t xml:space="preserve">Lonas semi metálicas
203x38,6mm
8 Polegadas
C/ Haste</t>
  </si>
  <si>
    <t xml:space="preserve">RENAULT: Captur 1.6 16V SCE H4M 16/...
RENAULT: Captur 2.0 16V F4R 16/...
RENAULT: Duster 1.6 / 2.0 12/...
RENAULT: Oroch 1.6 16V 15/...
RENAULT: Oroch 2.0 16V 15/...
RENAULT: Zoe E-Tech 19/...</t>
  </si>
  <si>
    <t xml:space="preserve">207613 (SYL)
2766CPA (COBREQ)
BPSA0090105 (MAZZICAR)
RN329CPA (FRAS-LE)</t>
  </si>
  <si>
    <t xml:space="preserve">Lonas semi metálicas
228x42mm
C/ Haste</t>
  </si>
  <si>
    <t xml:space="preserve">MAHINDRA: Scorpio 2.2 / 2.6 08/...
TOYOTA: Hilux 3.0 Turbo Diesel 1KD 05/…
TOYOTA: SW4 3.0 Turbo Diesel 1KD 05/…</t>
  </si>
  <si>
    <t xml:space="preserve">2772CPA (COBREQ)
BPSA0096741 (MAZZICAR)
TY327CPA (FRAS-LE)</t>
  </si>
  <si>
    <t xml:space="preserve">Lonas semi metálicas
295x61,40mm
C/ Haste</t>
  </si>
  <si>
    <t xml:space="preserve">VOLKSWAGEN: Fox 1.0 / 1.6 15/...
VOLKSWAGEN: Gol 1.0 / 1.6 13/17
VOLKSWAGEN: Spacefox 1.6 15/17
VOLKSWAGEN: Up 1.0 / 1.0 TSI 14/18
VOLKSWAGEN: Voyage 1.0 / 1.6 13/17</t>
  </si>
  <si>
    <t xml:space="preserve">209002 (SYL)
2776CPA (COBREQ)
BPSA0096850 (MAZZICAR)
VW486CPA (FRAS-LE)</t>
  </si>
  <si>
    <t xml:space="preserve">Lonas semi metálicas
198x40mm
C/ Haste</t>
  </si>
  <si>
    <t xml:space="preserve">FIAT: Grand Siena 1.4 8V 12/...
FIAT: Grand Siena 1.6 16V 12/...
FIAT: Mobi 1.0 8V c/ ABS 16/...
FIAT: Novo Uno 1.0 / 1.4 11/...
FIAT: Novo Uno Furgão  13/...
FIAT: Palio 1.0 / 1.4 12/...
FIAT: Palio 1.6 Etorq 12/...</t>
  </si>
  <si>
    <t xml:space="preserve">203012 (SYL)
2782CPA (COBREQ)
BPSA0090137 (MAZZICAR)
FI330CPA (FRAS-LE)</t>
  </si>
  <si>
    <t xml:space="preserve">Lonas semi metálicas
202x38mm
C/ Haste</t>
  </si>
  <si>
    <t xml:space="preserve">CHERY: Celer 1.5 16V 11/...
VOLKSWAGEN: Gol G5 1.0 / 1.6 08/...
VOLKSWAGEN: Parati G5 1.0 / 1.6 08/...
VOLKSWAGEN: Quantum 1.8 / 2.0 Todos
VOLKSWAGEN: Santana 1.8 / 2.0 Todos
VOLKSWAGEN: Voyage G5 1.0 / 1.6 08/...</t>
  </si>
  <si>
    <t xml:space="preserve">208000 (SYL)
2795CPA (COBREQ)
BPSA0096840 (MAZZICAR)
VW281CPA (FRAS-LE)</t>
  </si>
  <si>
    <t xml:space="preserve">Lonas semi metálicas
200x40mm
C/ Haste</t>
  </si>
  <si>
    <t xml:space="preserve">201600 (SYL)
BPSA0097460 (MAZZICAR)
CH524CP (FRAS-LE)</t>
  </si>
  <si>
    <t xml:space="preserve">Lonas semi metálicas
204x31,50mm
C/ Haste</t>
  </si>
  <si>
    <t xml:space="preserve">CHERY: QQ 1.0 16V / 1.1 16V 10/...</t>
  </si>
  <si>
    <t xml:space="preserve">BPSA0097461 (MAZZICAR)
CB506CPA (FRAS-LE)</t>
  </si>
  <si>
    <t xml:space="preserve">Lonas semi metálicas
181x30mm
C/ Haste</t>
  </si>
  <si>
    <t xml:space="preserve">VOLKSWAGEN: Polo 1.0 12V MPI 17/22
VOLKSWAGEN: Polo 1.0 12V MPI 22/...
VOLKSWAGEN: Polo 1.6 16V MSI 17/22
VOLKSWAGEN: Virtus 1.6 16V MSI 18/...</t>
  </si>
  <si>
    <t xml:space="preserve">209003 (SYL)
2821CPA (COBREQ)
BPSA0096845 (MAZZICAR)
VW523CPA (FRAS-LE)</t>
  </si>
  <si>
    <t xml:space="preserve">VOLKSWAGEN: Polo 1.0 12V MPI 18/23
VOLKSWAGEN: Polo Track 1.0 12V MPI 23/...</t>
  </si>
  <si>
    <t xml:space="preserve">2818CPA (COBREQ)
BPSA0096846 (MAZZICAR)</t>
  </si>
  <si>
    <t xml:space="preserve">Lonas semi metálicas
203x38,2mm
C/ Haste</t>
  </si>
  <si>
    <t xml:space="preserve">HONDA: City 1.5 16V 15/19
HONDA: Fit 1.5 16V 15/20
HONDA: WRV 1.5 16V 18/19</t>
  </si>
  <si>
    <t xml:space="preserve">2824CP (COBREQ)
BPSA0091260 (MAZZICAR)</t>
  </si>
  <si>
    <t xml:space="preserve">Lonas semi metálicas
200x30,8mm</t>
  </si>
  <si>
    <t xml:space="preserve">CITROEN: C3 1.4 8V 03/12
CITROEN: C3 1.6 16V 05/15
CITROEN: C3 Picasso 1.6 16V 11/12</t>
  </si>
  <si>
    <t xml:space="preserve">201908 (SYL)
BPSA0090230 (MAZZICAR)
CI321CPA (FRAS-LE)
LS3543 (BOSCH)</t>
  </si>
  <si>
    <t xml:space="preserve">Lonas semi metálicas
203x38mm
Sistema Lucas
C/ Haste</t>
  </si>
  <si>
    <t xml:space="preserve">MERCEDES-BENZ: C180 CGI (W204) 1.8 M271.820 07/14
MERCEDES-BENZ: C180 Kompressor 1.8 M271.952 07/14
MERCEDES-BENZ: C180 Kompressor (W204) 1.6 M271.910 08/14
MERCEDES-BENZ: C200 CGI (W204) 1.8 M271.860 / 271.820 07/14
MERCEDES-BENZ: C200 Kompressor (W204) 1.8 M271.950 07/14
MERCEDES-BENZ: C250 CGI (W204) 1.8 M271.860 09/14
MERCEDES-BENZ: C63 AMG (C204) 6.2 M156.985 11/...
MERCEDES-BENZ: C63 AMG (W204) 6.2 M156.985 08/14
MERCEDES-BENZ: E200 (A207)  10/16
MERCEDES-BENZ: E200 (C207)  09/...
MERCEDES-BENZ: E250 (A207)  10/16
MERCEDES-BENZ: E350 (A207)  10/14
MERCEDES-BENZ: E400 (A207)  13/16</t>
  </si>
  <si>
    <t xml:space="preserve">0442008620 (OEM)
A0044208620 (OEM)
BPSA0090120 (MAZZICAR)</t>
  </si>
  <si>
    <t xml:space="preserve">Lonas semi metálicas
164x25mm</t>
  </si>
  <si>
    <t xml:space="preserve">CITROEN: Aircross 1.5 8V 15/17
CITROEN: Aircross 1.6 16V 10/20
CITROEN: C3 Picasso 1.5 8V 14/16
CITROEN: C3 Picasso 1.6 16V 11/16</t>
  </si>
  <si>
    <t xml:space="preserve">BPSA0090240 (MAZZICAR)
CI430CPA (FRAS-LE)</t>
  </si>
  <si>
    <t xml:space="preserve">Lonas semi metálicas
228x41,5mm
C/ Haste</t>
  </si>
  <si>
    <t xml:space="preserve">CITROEN: C3 1.5 8V 12/16
CITROEN: C3 1.6 16V 12/17
PEUGEOT: 208 1.5 8V 13/16
PEUGEOT: 208 1.6 16V 13/18</t>
  </si>
  <si>
    <t xml:space="preserve">207002 (SYL)
BPSA0090245 (MAZZICAR)
CI344CPA (FRAS-LE)</t>
  </si>
  <si>
    <t xml:space="preserve">Lonas semi metálicas
203x38,6mm
Sistema Bosch
C/ Haste</t>
  </si>
  <si>
    <t xml:space="preserve">FIAT: Toro 1.3 16V Turbo 21/...
FIAT: Toro 1.8 16V 16/...
FIAT: Toro 2.4 16V 16/20</t>
  </si>
  <si>
    <t xml:space="preserve">203014 (SYL)
2829CPA (COBREQ)
BPSA0097157 (MAZZICAR)
FI484CPA (FRAS-LE)</t>
  </si>
  <si>
    <t xml:space="preserve">Lonas semi metálicas
254x58mm
C/ Haste</t>
  </si>
  <si>
    <t xml:space="preserve">FIAT: Toro 2.0 16V Diesel 4x2 16/...
FIAT: Toro 2.0 16V Diesel 4x4 16/...</t>
  </si>
  <si>
    <t xml:space="preserve">203015 (SYL)
2832CPA (COBREQ)
BPSA0097158 (MAZZICAR)
FI485CPA (FRAS-LE)</t>
  </si>
  <si>
    <t xml:space="preserve">Lonas semi metálicas
295x57mm
C/ Haste</t>
  </si>
  <si>
    <t xml:space="preserve">203801 (SYL)
BPSA0091250 (MAZZICAR)
HO197CPA (FRAS-LE)
LS3526 (BOSCH)</t>
  </si>
  <si>
    <t xml:space="preserve">Lonas semi metálicas
180x30mm
C/ Haste</t>
  </si>
  <si>
    <t xml:space="preserve">HYUNDAI: Creta 1.6 16V 17/...
HYUNDAI: Creta 2.0 16V 16/...</t>
  </si>
  <si>
    <t xml:space="preserve">2815CPA (COBREQ)
BPSA0096067 (MAZZICAR)
HY487CPA (FRAS-LE)</t>
  </si>
  <si>
    <t xml:space="preserve">Lonas semi metálicas
228x43mm
C/ Haste</t>
  </si>
  <si>
    <t xml:space="preserve">Lonas semi metálicas
203x38mm
C/ Haste</t>
  </si>
  <si>
    <t xml:space="preserve">JAC MOTORS: J2 1.4 16V 11/...
TOYOTA: Etios 1.3 16V 12/...
TOYOTA: Etios 1.5 16V 12/...
TOYOTA: Yaris 1.3 16V 18/...
TOYOTA: Yaris 1.5 16V 18/...</t>
  </si>
  <si>
    <t xml:space="preserve">208807 (SYL)
2744CPA (COBREQ)
BPSA0094585 (MAZZICAR)
TY481CPA (FRAS-LE)</t>
  </si>
  <si>
    <t xml:space="preserve">NISSAN: Frontier 2.3 16V 4x2 19/22
NISSAN: Frontier 2.3 16V 4x4 17/22</t>
  </si>
  <si>
    <t xml:space="preserve">206806 (SYL)
2825CP (COBREQ)
BPSA0095710 (MAZZICAR)
NI528CP (FRAS-LE)</t>
  </si>
  <si>
    <t xml:space="preserve">Lonas semi metálicas
270x57mm</t>
  </si>
  <si>
    <t xml:space="preserve">SUZUKI: Jimny 1.3 16V 14/...
SUZUKI: Jimny 1.3 16V 4WD 00/13
SUZUKI: Jimny 1.3 16V 98/08
SUZUKI: Jimny 1.5 16V 19/...</t>
  </si>
  <si>
    <t xml:space="preserve">203803 (SYL)
BPSA0096870 (MAZZICAR)
HO507CP (FRAS-LE)</t>
  </si>
  <si>
    <t xml:space="preserve">Lonas semi metálicas
220x35,6mm</t>
  </si>
  <si>
    <t xml:space="preserve">CITROEN: Jumper 2.3 16V 09/17
CITROEN: Jumper 2.8 8V 05/09
FIAT: Ducato 2.3 16V 09/17
FIAT: Ducato 2.8 8V 05/09
PEUGEOT: Boxer 2.3 16V 09/17
PEUGEOT: Boxer 2.8 8V 05/09</t>
  </si>
  <si>
    <t xml:space="preserve">203018 (SYL)
2800CP (COBREQ)
BPSA0097140 (MAZZICAR)
FI322CP (FRAS-LE)
LS3544 (BOSCH)</t>
  </si>
  <si>
    <t xml:space="preserve">Lonas semi metálicas
170x42mm</t>
  </si>
  <si>
    <t xml:space="preserve">FORD: Focus 1.6 8V 03/09
FORD: Focus 1.8 16V 00/04</t>
  </si>
  <si>
    <t xml:space="preserve">203108 (SYL)
2754CPA (COBREQ)
BPSA0097380 (MAZZICAR)
FD138CPA (FRAS-LE)
LS3512 (BOSCH)</t>
  </si>
  <si>
    <t xml:space="preserve">Lonas semi metálicas
203x38,5mm
C/ Haste</t>
  </si>
  <si>
    <t xml:space="preserve">GM: Tracker 2.0 16V 06/09
GM: Tracker 2.0 8V 02/04
GM: Tracker 2.0 8V Diesel 01
SUZUKI: Grand Vitara 2.0 16V 98/05
SUZUKI: Grand Vitara 2.5 V6 24V 98/05</t>
  </si>
  <si>
    <t xml:space="preserve">BPSA0096890 (MAZZICAR)
CB176CP (FRAS-LE)</t>
  </si>
  <si>
    <t xml:space="preserve">Lonas semi metálicas
220x41,5mm</t>
  </si>
  <si>
    <t xml:space="preserve">GM: Astra 2.0 16V 99/05
GM: Astra 2.0 8V 98/04
GM: Omega 3.0 12V V6 92/94
GM: Omega 4.1 12V 6 cil 94/98
GM: Vectra 2.0 8V / 2.0 16V 97/...
GM: Vectra 2.0 8V 94/97
GM: Zafira 2.0 8V / 2.0 16V 99/...</t>
  </si>
  <si>
    <t xml:space="preserve">201701 (SYL)
2785CP (COBREQ)
BPSA0090199 (MAZZICAR)
CB175CP (FRAS-LE)
LS3542 (BOSCH)</t>
  </si>
  <si>
    <t xml:space="preserve">Lonas semi metálicas
160x25mm</t>
  </si>
  <si>
    <t xml:space="preserve">200702 (SYL)
BPSA0097450 (MAZZICAR)
HA380CPA (FRAS-LE)</t>
  </si>
  <si>
    <t xml:space="preserve">Lonas semi metálicas
228x41mm</t>
  </si>
  <si>
    <t xml:space="preserve">MITSUBISHI: Pajero Full 3.2 16V Diesel 4M41 DI-D 07/18</t>
  </si>
  <si>
    <t xml:space="preserve">Lonas semi metálicas
209,2x40</t>
  </si>
  <si>
    <t xml:space="preserve">MERCEDES-BENZ: Sprinter 311 CDI  11/18
MERCEDES-BENZ: Sprinter 313 CDI  06/16
MERCEDES-BENZ: Sprinter 314 CDI  18/...
MERCEDES-BENZ: Sprinter 315 CDI  20/...
MERCEDES-BENZ: Sprinter 415 CDI  06/20
MERCEDES-BENZ: Sprinter 417 CDI  20/...
MERCEDES-BENZ: Sprinter 515 CDI  06/20
MERCEDES-BENZ: Sprinter 516 CDI  18/...
MERCEDES-BENZ: Sprinter 517 CDI  23/...</t>
  </si>
  <si>
    <t xml:space="preserve">206006 (SYL)
BPSA0090117 (MAZZICAR)
MB516CP (FRAS-LE)</t>
  </si>
  <si>
    <t xml:space="preserve">Lonas semi metálicas
180x25mm</t>
  </si>
  <si>
    <t xml:space="preserve">206002 (SYL)
BPSA0090115 (MAZZICAR)
LS3531 (BOSCH)
MB169CPA (FRAS-LE)</t>
  </si>
  <si>
    <t xml:space="preserve">Lonas semi metálicas
180x41,50mm
C/ Haste</t>
  </si>
  <si>
    <t xml:space="preserve">HYUNDAI: Santa Fe 3.5 V6 10/12
KIA: Sorento 3.5 V6 09/15
KIA: Sportage 2.0 16V 15/19</t>
  </si>
  <si>
    <t xml:space="preserve">Lonas semi metálicas
190x26mm</t>
  </si>
  <si>
    <t xml:space="preserve">BPSA0095530 (MAZZICAR)
JI437CP (FRAS-LE)</t>
  </si>
  <si>
    <t xml:space="preserve">Lonas semi metálicas
279x56mm</t>
  </si>
  <si>
    <t xml:space="preserve">BMW: 130i (E81)  06/11
BMW: 130i (E87)  05/11
BMW: 320i (E90)  05/08
BMW: 320i (F30/F80)  12/18
BMW: 320i (F31)  12/19
BMW: 328i (F30/F80)  11/18
BMW: 328i (F31)  12/15
BMW: 330e (F30/F80)  15/18
BMW: 330i (E46)  00/05
BMW: 330i (E90)  04/11
BMW: 330i (F30/F80)  11/18
BMW: 330i (F31)  13/15
BMW: 335i (E90)  06/11
BMW: 335i (F31)  13/15
BMW: 340i (F30/F80)  15/18
BMW: 340i (F31)  15/19
BMW: X1 (E84) sDrive 16i  13/15
BMW: X1 (E84) sDrive 18i  10/15
BMW: X1 (E84) sDrive 20i  11/15
BMW: X1 (E84) sDrive 28i  12/15
BMW: X1 (E84) xDrive 20i  11/15
BMW: X1 (E84) xDrive 25i  10/11
BMW: X1 (E84) xDrive 28i  09/15</t>
  </si>
  <si>
    <t xml:space="preserve">201300 (SYL)
34212213313 (OEM)
34411163988 (OEM)
BPSA0091229 (MAZZICAR)</t>
  </si>
  <si>
    <t xml:space="preserve">Lonas semi metálicas
183,2x20mm</t>
  </si>
  <si>
    <t xml:space="preserve">JEEP: Compass 2.0 16V 11/15
MITSUBISHI: ASX 2.0 16V 10/20
MITSUBISHI: Lancer 2.0 16V 11/19
MITSUBISHI: Outlander 2.0 16V 09/12
MITSUBISHI: Outlander 2.4 16V 08/09
MITSUBISHI: Outlander 3.0 V6 24V 07/12</t>
  </si>
  <si>
    <t xml:space="preserve">BPSA0095230 (MAZZICAR)
CI525CP (FRAS-LE)</t>
  </si>
  <si>
    <t xml:space="preserve">Lonas semi metálicas
170x32mm</t>
  </si>
  <si>
    <t xml:space="preserve">FORD: Ecosport 1.6 16V 12/...
FORD: Ecosport 2.0 16V 12/...</t>
  </si>
  <si>
    <t xml:space="preserve">203114 (SYL)
2848CPA (COBREQ)
BPSA0090153 (MAZZICAR)
FD480CPA (FRAS-LE)</t>
  </si>
  <si>
    <t xml:space="preserve">FORD: F250 3.9 16V 98/12
FORD: F250 4.2 8V 6 cil 99/06
FORD: F350  98/12</t>
  </si>
  <si>
    <t xml:space="preserve">203111 (SYL)
2696CP (COBREQ)
BPSA0090200 (MAZZICAR)
FD101CP (FRAS-LE)
HQJ520 (JURID)</t>
  </si>
  <si>
    <t xml:space="preserve">Lonas semi metálicas
305x76,7mm</t>
  </si>
  <si>
    <t xml:space="preserve">FORD: Ranger 2.2 16V TDCi 13/...
FORD: Ranger 3.0 Turbo Diesel  NGD 05/…
FORD: Ranger 3.2 20V TDCi 13/...
GM: Blazer 4.3 V6 95/11
GM: S10 4.3 V6 95/11</t>
  </si>
  <si>
    <t xml:space="preserve">201714 (SYL)
BPSA0090180 (MAZZICAR)
CB51CPA (FRAS-LE)</t>
  </si>
  <si>
    <t xml:space="preserve">Lonas semi metálicas
280x65mm
C/ Haste</t>
  </si>
  <si>
    <t xml:space="preserve">HYUNDAI: Azera 3.0 24V V6 12/15
HYUNDAI: Azera 3.3 24V V6   G6DB 07/11
KIA: Optima 2.0 16V G4NC 12/16</t>
  </si>
  <si>
    <t xml:space="preserve">Lonas semi metálicas
167x26mm</t>
  </si>
  <si>
    <t xml:space="preserve">HYUNDAI: Azera 3.0 24V V6 16/...
KIA: Cadenza 3.5 24V V6   G6CU 11/…
KIA: Optima 2.0 16V G4NC 16/20
KIA: Sportage 2.0 16V 10/16</t>
  </si>
  <si>
    <t xml:space="preserve">Lonas semi metálicas
166x24,4mm</t>
  </si>
  <si>
    <t xml:space="preserve">HYUNDAI: i30 2.0 16V 07/…
HYUNDAI: i30 CW 2.0 16V 10
HYUNDAI: iX35 2.0 16V 10/…
KIA: Cerato 1.6 16V G4FC 10/...</t>
  </si>
  <si>
    <t xml:space="preserve">BPSA0096068 (MAZZICAR)
HY340CP (FRAS-LE)</t>
  </si>
  <si>
    <t xml:space="preserve">Lonas semi metálicas
166x26,5mm</t>
  </si>
  <si>
    <t xml:space="preserve">HYUNDAI: Santa Fe 3.3 24V V6   G6DB 13/…
HYUNDAI: Santa Fe 3.5 24V V6   G6CU 10/…
KIA: Sorento 3.3 24V V6   G6DG 07/…
KIA: Sorento 3.5 24V V6   G6CU 07/…</t>
  </si>
  <si>
    <t xml:space="preserve">HYUNDAI: Tucson 2.0 16V 04/11
KIA: Sportage 2.0 16V 05/10
KIA: Tucson 2.7 V6 04/11</t>
  </si>
  <si>
    <t xml:space="preserve">Lonas semi metálicas
170x27mm</t>
  </si>
  <si>
    <t xml:space="preserve">IVECO: Daily 35 S 14 3.0 Turbo Diesel   F1C 08/…
IVECO: Daily 45 S 14 3.0 Turbo Diesel   F1C 08/…
IVECO: Daily 55 C 16 3.0 Turbo Diesel   F1C 08/…</t>
  </si>
  <si>
    <t xml:space="preserve">BSPA0097118 (MAZZICAR)
IV435CP (FRAS-LE)</t>
  </si>
  <si>
    <t xml:space="preserve">IVECO: Daily 70 C 3.0 Turbo Diesel   F1C 08/…</t>
  </si>
  <si>
    <t xml:space="preserve">204302 (SYL)
BPSA0097119 (MAZZICAR)
IV436CP (FRAS-LE)</t>
  </si>
  <si>
    <t xml:space="preserve">Lonas semi metálicas
190x42mm</t>
  </si>
  <si>
    <t xml:space="preserve">KIA: Picanto 1.0 12V 11/...</t>
  </si>
  <si>
    <t xml:space="preserve">Lonas semi metálicas
180x26,5mm</t>
  </si>
  <si>
    <t xml:space="preserve">MITSUBISHI: Airtrek 2.0 16V 4G63 02/…
MITSUBISHI: Airtrek 2.4 16V 4G64 / 4G69 02/…
MITSUBISHI: Outlander  08/...
MITSUBISHI: Pajero IO 1.8 16V 4G93 99/05
MITSUBISHI: Pajero TR4 2.0 16V 00/…
MITSUBISHI: Pajero TR4 2.0 20V 4G94 04/…</t>
  </si>
  <si>
    <t xml:space="preserve">BPSA0095200 (MAZZICAR)
MI439CP (FRAS-LE)</t>
  </si>
  <si>
    <t xml:space="preserve">Lonas semi metálicas
167x32mm</t>
  </si>
  <si>
    <t xml:space="preserve">MITSUBISHI: Airtrek 2.0 16V 4G63 02/…
MITSUBISHI: Airtrek 2.4 16V 4G64 / 4G69 02/…
MITSUBISHI: Outlander 2.0 16V 4G63 02/…
MITSUBISHI: Outlander 2.4 16V 4G64 / 4G69 02/…
MITSUBISHI: Pajero IO 1.8 16V 4G93 99/02/5
MITSUBISHI: Pajero TR4 2.0 16V 00/…
MITSUBISHI: Pajero TR4 2.0 20V 4G94 04/…</t>
  </si>
  <si>
    <t xml:space="preserve">Lonas semi metálicas
228x30,5mm</t>
  </si>
  <si>
    <t xml:space="preserve">MITSUBISHI: ASX 2.0 16V 11/...
MITSUBISHI: Lancer 2.0 16V 12/...
MITSUBISHI: Outlander  06/...
SUBARU: Impreza 2.0 / 2.5 06/...
SUBARU: Legacy 2.0 / 2.5 10/...</t>
  </si>
  <si>
    <t xml:space="preserve">Lonas semi metálicas
190x31,5mm</t>
  </si>
  <si>
    <t xml:space="preserve">BPSA0090160 (MAZZICAR)
NI441CPA (FRAS-LE)</t>
  </si>
  <si>
    <t xml:space="preserve">206803 (SYL)
BPSA0090162 (MAZZICAR)
NI442CP (FRAS-LE)</t>
  </si>
  <si>
    <t xml:space="preserve">Lonas semi metálicas
204x31,5mm
Sistema Akebono</t>
  </si>
  <si>
    <t xml:space="preserve">NISSAN: Grand Livina 1.8 16V 09/...
NISSAN: Livina 1.8 16V 09/...
NISSAN: Sentra 2.0 16V 07/...
NISSAN: Tiida 1.8 16V 07/...</t>
  </si>
  <si>
    <t xml:space="preserve">206804 (SYL)
BPSA0090164 (MAZZICAR)
NI176CP (FRAS-LE)</t>
  </si>
  <si>
    <t xml:space="preserve">Lonas semi metálicas
228x36,5mm</t>
  </si>
  <si>
    <t xml:space="preserve">NISSAN: Kicks 1.6 16V 16/...
NISSAN: Versa 1.0 12V 3 cil 19/...
NISSAN: Versa 1.6 16V 19/...</t>
  </si>
  <si>
    <t xml:space="preserve">BPSA0090166 (MAZZICAR)
NI488CP (FRAS-LE)</t>
  </si>
  <si>
    <t xml:space="preserve">Lonas semi metálicas
203x35mm
Largura lona 31mm</t>
  </si>
  <si>
    <t xml:space="preserve">NISSAN: Sentra 2.0 16V 12/...
TOYOTA: Camry 3.5 V6 17/...
TOYOTA: Corolla 1.8 16V Hybrid 20/...
TOYOTA: Corolla Cross 1.8 16V Hybrid 21/...
TOYOTA: RAV4 2.0 / 2.2 / 2. / 3.5 06/...
TOYOTA: RAV4 2.5 Hybrid 19/...</t>
  </si>
  <si>
    <t xml:space="preserve">Lonas semi matálicas
172x32mm
Largura lona 20mm</t>
  </si>
  <si>
    <t xml:space="preserve">RENAULT: Duster 2.0 16V 4x2 11/15
RENAULT: Duster 2.0 16V 4x4 13/19
RENAULT: Oroch 2.0 16V 4x2 13/...</t>
  </si>
  <si>
    <t xml:space="preserve">207612 (SYL)
BPSA0090107 (MAZZICAR)
RN445CPA (FRAS-LE)</t>
  </si>
  <si>
    <t xml:space="preserve">RENAULT: Logan 1.0 12V 3 cil 17/...
RENAULT: Logan 1.0 16V 07/13
RENAULT: Logan 1.0 16V 14/...
RENAULT: Logan 1.6 8V / 1.6 16V 14/...
RENAULT: Sandero 1.0 12V 3 cil 17/...
RENAULT: Sandero 1.0 16V 15/...
RENAULT: Sandero 1.6 8V / 1.6 16V 14/...</t>
  </si>
  <si>
    <t xml:space="preserve">207610 (SYL)
2851CPA (COBREQ)
BPSA0097470 (MAZZICAR)
RN446CPA (FRAS-LE)</t>
  </si>
  <si>
    <t xml:space="preserve">RENAULT: Kwid 1.0 12V 3 cil 17/...</t>
  </si>
  <si>
    <t xml:space="preserve">207611 (SYL)
2808CP (COBREQ)
BPSA0097477 (MAZZICAR)
RN489CP (FRAS-LE)</t>
  </si>
  <si>
    <t xml:space="preserve">Lonas semi metálicas
177,8x26mm
C/ Haste</t>
  </si>
  <si>
    <t xml:space="preserve">TOYOTA: Corolla 1.8 16V 03/08
TOYOTA: Fielder 1.8 16V 03/08</t>
  </si>
  <si>
    <t xml:space="preserve">208805 (SYL)
BPSA0094550 (MAZZICAR)
TY328CPA (FRAS-LE)</t>
  </si>
  <si>
    <t xml:space="preserve">Lonas semi metálicas
172x22mm
C/ Haste</t>
  </si>
  <si>
    <t xml:space="preserve">FIAT: Mobi 1.0 12V 3 cil 20/...</t>
  </si>
  <si>
    <t xml:space="preserve">2628CPA (COBREQ)
BPSA0090135 (MAZZICAR)</t>
  </si>
  <si>
    <t xml:space="preserve">Lonas semi metálicas
185x30mm
C/ Haste</t>
  </si>
  <si>
    <t xml:space="preserve">RENAULT: Duster 1.3 3 cil Turbo 22/...
RENAULT: Duster 1.6 16V SCE 22/...</t>
  </si>
  <si>
    <t xml:space="preserve">GM: Tracker 1.0 12V 3 cil Turbo 20/...
GM: Tracker 1.2 12V 3 cil Turbo 20/...</t>
  </si>
  <si>
    <t xml:space="preserve">2812CPA (COBREQ)
BPSA0094693 (MAZZICAR)
CB419CPA (FRAS-LE)</t>
  </si>
  <si>
    <t xml:space="preserve">Lonas semi metálicas
228,6x36mm
C/ Haster</t>
  </si>
  <si>
    <t xml:space="preserve">NISSAN: Frontier 2.3 16V 16/...
NISSAN: Frontier 2.5 16V 08/15
NISSAN: Pathfinder 2.5 / 3.0 / 4.0 09/24</t>
  </si>
  <si>
    <t xml:space="preserve">Lonas semi metálicas
190x33mm</t>
  </si>
  <si>
    <t xml:space="preserve">CITROEN: Jumper 2.3 16V Blue HDI Euro V 18/...
FIAT: Ducato 2.3 16V Multijet Euro V 18/...
PEUGEOT: Boxer 2.3 16V Blue HDI Euro V 18/...</t>
  </si>
  <si>
    <t xml:space="preserve">203021 (SYL)
BPSA0097150 (MAZZICAR)</t>
  </si>
  <si>
    <t xml:space="preserve">Lonas semi metálicas
172x42mm</t>
  </si>
  <si>
    <t xml:space="preserve">201713 (SYL)
2809CPA (COBREQ)
BPSA0094685 (MAZZICAR)
CB508CPA (FRAS-LE)</t>
  </si>
  <si>
    <t xml:space="preserve">HYUNDAI: HB20 1.0 Turbo 20/...
HYUNDAI: HB20 1.616V 20/...</t>
  </si>
  <si>
    <t xml:space="preserve">204610 (SYL)
BPSA0096071 (MAZZICAR)</t>
  </si>
  <si>
    <t xml:space="preserve">Lonas semi metálicas
203,2x32mm
C/ Haste</t>
  </si>
  <si>
    <t xml:space="preserve">MERCEDES-BENZ: Classe C (C204)  11/...
MERCEDES-BENZ: Classe CLS (C218)  11/...
MERCEDES-BENZ: Classe CLS (X218)  12/...
MERCEDES-BENZ: Classe E (W212)  09/...
MERCEDES-BENZ: Classe E (W213)  14/...
MERCEDES-BENZ: Classe GLK (X204)  08/...</t>
  </si>
  <si>
    <t xml:space="preserve">0054203620 (OEM)
2124200120 (OEM)
A0054203620 (OEM)
A2124200120 (OEM)
BPSA0090125 (MAZZICAR)</t>
  </si>
  <si>
    <t xml:space="preserve">GM: Astra 1.8 99/...
GM: Astra 2.0 16V 99/...
GM: Astra 2.0 8V 99/...
GM: Corsa 1.0 8V 01/NOV 09
GM: Meriva 1.4 8V 09/...
GM: Meriva 1.8 8V 03/...
GM: Montana 1.4 8V 04/...
GM: Montana 1.8 8V 04/...
GM: Vectra 2.0 16V 97/...
GM: Vectra 2.0 8V 97/...
GM: Vectra 2.2 16V 99/04
GM: Vectra 2.2 8V 97/...
GM: Zafira 2.0 16V 01/...
GM: Zafira 2.0 8V 01/...</t>
  </si>
  <si>
    <t xml:space="preserve">201706 (SYL)
2618CPA (COBREQ)
BPSA0097200 (MAZZICAR)
CB46CPA (FRAS-LE)
HQ512A (JURID)
LS3500 (BOSCH)</t>
  </si>
  <si>
    <t xml:space="preserve">Lonas semi metálicas
230x42mm
9 polegadas
Sistema Bosch</t>
  </si>
  <si>
    <t xml:space="preserve">FORD: Edge 3.5 V6 08/10
FORD: Edge 3.5 V6 11/...
SSANGYONG: Actyon 2.0 16V   D20DT 05/…
SSANGYONG: Actyon Sports 2.0 16V   D20DT 07/…
SSANGYONG: Actyon Sports 2.0 16V   D20DTR 11/…
SSANGYONG: Korando 2.0 16V   D20DTR 11/…
SSANGYONG: Kyron 2.0 16V   D20DT 05/…
SSANGYONG: Kyron 2.0 16V   D20DT 10/…
SSANGYONG: Kyron 2.7 20V   D27DT 06/…
SSANGYONG: Rexton 2.7 20V   D27DT 04/…
SSANGYONG: Rexton 2.7 20V Turbo   D27DTP 11/…</t>
  </si>
  <si>
    <t xml:space="preserve">Lonas semi metálicas
190x25mm</t>
  </si>
  <si>
    <t xml:space="preserve">Lonas semi metálicas
206x46mm
Largura da lona 30mm</t>
  </si>
  <si>
    <t xml:space="preserve">FIAT: Grand Siena 1.4 8V 12/...
FIAT: Grand Siena 1.6 16V 12/...
FIAT: Mobi 1.0 8V 16/...
FIAT: Palio 1.0 / 1.4 12/...
FIAT: Palio 1.6 Etorq 12/...</t>
  </si>
  <si>
    <t xml:space="preserve">203017 (SYL)
BPSA0090136 (MAZZICAR)
FI431CPA (FRAS-LE)</t>
  </si>
  <si>
    <t xml:space="preserve">Lonas semi metálicas
203x38mm
C/ Haste
Para veículos sem abs</t>
  </si>
  <si>
    <t xml:space="preserve">FIAT: Fiorino 1.6 02/04
FIAT: Fiorino Todas 04/...
FIAT: Fiorino Todas 94
FIAT: Idea Todas 06/...
FIAT: Marea / Marea Weekend 1.6 / 1.8 06/...
FIAT: Palio Weekend Todas 97/00
FIAT: Palio Weekend Todas 99/...
FIAT: Stilo 1.8 16V 03/...
FIAT: Stilo 1.8 8V 03/...
FIAT: Strada Todas 99/...
FIAT: Tempra Todos 92/...</t>
  </si>
  <si>
    <t xml:space="preserve">203004 (SYL)
2637CPA (COBREQ)
BPSA0090143 (MAZZICAR)
FI91CPA (FRAS-LE)
HQ505A (JURID)</t>
  </si>
  <si>
    <t xml:space="preserve">Lonas semi metálicas
228x42mm
C/ Haste
Sistemas Bendix e Bosch</t>
  </si>
  <si>
    <t xml:space="preserve">VOLKSWAGEN: Saveiro G5 Todas 10/...
VOLKSWAGEN: Saveiro Van Todas 99/...</t>
  </si>
  <si>
    <t xml:space="preserve">209000 (SYL)
2769CPA (COBREQ)
BPSA0096825 (MAZZICAR)
VW280CPA (FRAS-LE)</t>
  </si>
  <si>
    <t xml:space="preserve">Lonas semi metálicas
230x32mm
C/ Haste</t>
  </si>
  <si>
    <t xml:space="preserve">PEUGEOT: 208 1.0 12V Turbo 3 cil 23/...
PEUGEOT: 208 1.0 3 cil Firefly 22/22
PEUGEOT: 208 1.2 12V 3 cil 20/20
PEUGEOT: 208 1.6 16V EC5 20/...</t>
  </si>
  <si>
    <t xml:space="preserve">Lonas semi metálicas
203x39mm
C/ Haste</t>
  </si>
  <si>
    <t xml:space="preserve">DODGE: Durango 3.6 / 5.7 / 6.2 / 6.4 11/...
DODGE: Durango Limited / Citadel / Crew 3.6 4x4 11/...
JEEP: Grand Cherokee 3.0 / 3.6 / 5.7 / 6.2 / 6.4 11/...
JEEP: Grand Cherokee 4XE 2.0 Híbrido 22/...
JEEP: Grand Cherokee Laredo / Limited 3.6 11/...
JEEP: Grand Cherokee Overland 5.7 11/...
JEEP: Grand Cherokee SRT 6.4 12/...
JEEP: Grand Cherokee Trackhawk 6.2 18/...</t>
  </si>
  <si>
    <t xml:space="preserve">4560176AA (OEM)
BPSA0090223 (MAZZICAR)</t>
  </si>
  <si>
    <t xml:space="preserve">Lonas semi metálicas
205x32mm</t>
  </si>
  <si>
    <t xml:space="preserve">DODGE: Ram 1500 3.0 / 3.6 / 5.7 21/...
DODGE: Ram 1500 3.7 / 4.7 / 5.7 / 5.9 01/08
DODGE: Ram 2500 5.7 / 5.9 / 6.7 02/11
DODGE: Ram 2500 5.7 / 6.4 / 6.7 10/...
DODGE: Ram 3500 5.7 / 5.9 / 6.7 02/11
DODGE: Ram 3500 5.7 / 6.4 / 6.7 10/...</t>
  </si>
  <si>
    <t xml:space="preserve">5179334AA (OEM)
5179334AB (OEM)
5C3Z2648AA (OEM)
68049116AA (OEM)
8C3Z2648A (OEM)
BPSA0090182 (MAZZICAR)</t>
  </si>
  <si>
    <t xml:space="preserve">Lonas semi metálicas
205x44mm</t>
  </si>
  <si>
    <t xml:space="preserve">HYUNDAI: Accent 1.4/ 1.5 / 1.6 05/12
KIA: Cerato 1.6 16V / 2.0 16V 09/...
KIA: Rio 1.6 16V 05/...</t>
  </si>
  <si>
    <t xml:space="preserve">583051MA00 (OEM)
583501GA00 (OEM)
BPSA0096074 (MAZZICAR)</t>
  </si>
  <si>
    <t xml:space="preserve">Lonas semi metálicas
168x32mm
C/ Haste</t>
  </si>
  <si>
    <t xml:space="preserve">GM: Montana 1.2 12V 3 cil. Turbo 23/...</t>
  </si>
  <si>
    <t xml:space="preserve">201716 (SYL)
2863CPA (COBREQ)</t>
  </si>
  <si>
    <t xml:space="preserve">Lonas semi metálicas
253x40mm
C/ Haste</t>
  </si>
  <si>
    <t xml:space="preserve">FIAT: Mobi 1.0 6V 3 cil. 16/21
FIAT: Mobi 1.0 8V 16/23
FIAT: Mobi Drive GSR 1.0 6V 3 cil. 16/20
FIAT: Palio 1.0 8V 00/11
FIAT: Palio 1.0 8V 12/17
FIAT: Palio 1.0 8V 14/18
FIAT: Palio 1.0 8V 96/01
FIAT: Palio 1.3 8V 00/05
FIAT: Palio 1.4 8V 05/11
FIAT: Palio 1.5 8V 96/00
FIAT: Palio 1.6 16V 96/03
FIAT: Palio 1.6 16V Etorq 12/19
FIAT: Palio 1.6 8V 97/01
FIAT: Palio 1.8 8V 07/10
FIAT: Siena 1.0 16V 00/03
FIAT: Siena 1.0 8V 02/16
FIAT: Siena 1.0 8V 98/00
FIAT: Siena 1.3 16V 00/03
FIAT: Siena 1.3 8V 03/05
FIAT: Siena 1.4 8V 05/12
FIAT: Siena 1.5 8V 02/04
FIAT: Siena 1.6 16V 10/12
FIAT: Siena 1.6 16V 97/04
FIAT: Siena 1.6 8V 99/00
FIAT: Siena 1.8 8V 03/04
FIAT: Uno 1.0 8V 09/13
FIAT: Uno Way 1.0 6V 3 cil. 16/21
FIAT: Uno Way 1.0 8V 09/16</t>
  </si>
  <si>
    <t xml:space="preserve">0504CPA (COBREQ)
203011 (SYL)
7078585 (OEM)
7081572 (OEM)
7087516 (OEM)
BPSA0090139 (MAZZICAR)
FI97CPA (FRAS-LE)
GS9016 (TRW)
LS3516 (BOSCH)</t>
  </si>
  <si>
    <t xml:space="preserve">Lonas semi metálicas
185x30mm
C/ Haste
Sistema ATE</t>
  </si>
  <si>
    <t xml:space="preserve">FORD: F4000 4X2  02/19</t>
  </si>
  <si>
    <t xml:space="preserve">BG2T2200AA (OEM)
BPSA0090210 (MAZZICAR)</t>
  </si>
  <si>
    <t xml:space="preserve">Lonas semi metálicas
Ø 330x90mm</t>
  </si>
  <si>
    <t xml:space="preserve">FIAT: Doblo 1.8 16V 13/21
FIAT: Strada 1.3 8V 20/...
FIAT: Strada 1.4 8V 13/19
FIAT: Strada 1.4 8V 20/...
FIAT: Strada 1.8 16V Adventure Locker 13/15</t>
  </si>
  <si>
    <t xml:space="preserve">203016 (SYL)
7089579 (OEM)
BPSA0090147 (MAZZICAR)
FI432CPA (FRAS-LE)</t>
  </si>
  <si>
    <t xml:space="preserve">Lonas semi metálicas
228x40mm
C/ Haste
Sistema ATE</t>
  </si>
  <si>
    <t xml:space="preserve">FIAT: Doblo 1.3 16V 01/06
FIAT: Doblo 1.4 8V 09/16
FIAT: Doblo 1.4 8V 14/16
FIAT: Doblo 1.6 16V 01/06
FIAT: Doblo 1.8 16V 10/12
FIAT: Doblo 1.8 16V 11/15
FIAT: Doblo 1.8 16V 16/19
FIAT: Doblo 1.8 16V 16/21
FIAT: Doblo 1.8 16V Powertrain 06/10
FIAT: Doblo 1.8 8V 03/06
FIAT: Doblo 1.8 8V 09/10
FIAT: Doblo 1.8 8V Adventure 03/06
FIAT: Strada 1.4 8V 14/15
FIAT: Strada 1.4 8V Fire 11/19
FIAT: Strada 1.4 8V Fire 18/20
FIAT: Strada 1.8 16V Adventure Locker 10/13
FIAT: Strada 1.8 16V Adventure Locker 13/15
FIAT: Strada 1.8 8V Adventure Locker 08/12</t>
  </si>
  <si>
    <t xml:space="preserve">203005 (SYL)
2601CP (COBREQ)
7083041 (OEM)
BPSA0090144 (MAZZICAR)
FI136CP (FRAS-LE)
LS3521 (BOSCH)</t>
  </si>
  <si>
    <t xml:space="preserve">Lonas semi metálicas
228,6x42mm
C/ Haste
Sistema Bosch</t>
  </si>
  <si>
    <t xml:space="preserve">FORD: Focus 1.6 16V Sigma 13/15
FORD: Focus 2.0 16V Duratec 13/15</t>
  </si>
  <si>
    <t xml:space="preserve">BPSA0097360 (MAZZICAR)
BV612200AC (OEM)
BV612200BB (OEM)
FD433CPA (FRAS-LE)</t>
  </si>
  <si>
    <t xml:space="preserve">Lonas semi metálicas
230x40mm
C/ Haste</t>
  </si>
  <si>
    <t xml:space="preserve">MERCEDES-BENZ: eSprinter  23/...
MERCEDES-BENZ: Sprinter 311  11/18
MERCEDES-BENZ: Sprinter 313 CDI  06/19
MERCEDES-BENZ: Sprinter 314 CDI  15/...
MERCEDES-BENZ: Sprinter 314 CDI  18/...
MERCEDES-BENZ: Sprinter 315 CDI  20/...
MERCEDES-BENZ: Sprinter 415 CDI 2.1 CDI Eletrônico OM651.955 / OM651.956 13/20
MERCEDES-BENZ: Sprinter 416 CDI/RWD  18/...
MERCEDES-BENZ: Sprinter 417 CDI  20/...
MERCEDES-BENZ: Sprinter 515 CDI 2.2 16V 13/20
MERCEDES-BENZ: Sprinter 516 CDI  18/...
MERCEDES-BENZ: Sprinter 517 CDI  23/...</t>
  </si>
  <si>
    <t xml:space="preserve">206006 (SYL)
A9064200320 (OEM)
A9104202600 (OEM)
BPSA0090117 (MAZZICAR)
MB516CP (FRAS-LE)</t>
  </si>
  <si>
    <t xml:space="preserve">MERCEDES-BENZ: Sprinter 415 CDI  06/20
MERCEDES-BENZ: Sprinter 515 CDI  06/20
MERCEDES-BENZ: Sprinter 516 CDI  18/...
MERCEDES-BENZ: Sprinter 517 CDI  20/...</t>
  </si>
  <si>
    <t xml:space="preserve">9064200220 (OEM)
9064200420 (OEM)
A9064200220 (OEM)
A9064200420 (OEM)
BPSA0090118 (MAZZICAR)</t>
  </si>
  <si>
    <t xml:space="preserve">Lonas semi metálicas
174x42mm</t>
  </si>
  <si>
    <t xml:space="preserve">KIA: Cerato 1.6 16V 04/16
KIA: Cerato Koup 2.0 16V 11/13
KIA: Soul 1.6 16V 11/20</t>
  </si>
  <si>
    <t xml:space="preserve">583502FA00 (OEM)
583502KA00 (OEM)
BPSA0090191 (MAZZICAR)
KI362CPA (FRAS-LE)</t>
  </si>
  <si>
    <t xml:space="preserve">Lonas semi metálicas
203x36mm
C/ Haste
Sistema Mando</t>
  </si>
  <si>
    <t xml:space="preserve">FORD: Ecosport 1.6 16V Sigma 13/...
FORD: Ecosport 2.0 16V Duratec 13/...
FORD: Focus 1.6 16V Sigma 10/13</t>
  </si>
  <si>
    <t xml:space="preserve">3M512200BB (OEM)
BPSA0097370 (MAZZICAR)
FD102CPA (FRAS-LE)</t>
  </si>
  <si>
    <t xml:space="preserve">Lonas semi metálicas
228,6x43mm
C/ Haste
Sistema Lockheed</t>
  </si>
  <si>
    <t xml:space="preserve">LAND ROVER: Discovery IV  09/16
LAND ROVER: Discovey III  04/09
LAND ROVER: Range Rover Sport  05/13</t>
  </si>
  <si>
    <t xml:space="preserve">BPSA0090827 (MAZZICAR)
LR021877 (OEM)
LR025151 (OEM)</t>
  </si>
  <si>
    <t xml:space="preserve">Lonas semi metálicas
210x30mm
Jogo com 2 peças
Aplicar 2 jogos para modelos equipados com 4 sapatas</t>
  </si>
  <si>
    <t xml:space="preserve">BMW: 520i (E60)  06/10
BMW: 523i (E60)  04/09
BMW: 525i (E60)  03/10
BMW: 528i (F07)  13/17
BMW: 530i (E60)  01/10
BMW: 535i (E60)  04/10
BMW: 535i (F07)  09/17
BMW: 540i (E60)  03/09
BMW: 550i (F07)  09/17
BMW: 730i (F01/F02/F03/F04)  09/15
BMW: 740i (F01/F02/F03/F04)  08/15
BMW: 750i (F01/F02/F03/F04)  08/15
BMW: X3 (E83)  03/11
BMW: X5 (E53)  05/07
BMW: X5 (E70)  06/13
BMW: X5 (F15/F85)  12/18
BMW: X6 (E71/E72)  07/14
BMW: X6 (F16/F86)  14/...
BMW: Z4 (E85)  03/09
BMW: Z4 (E86)  06/09</t>
  </si>
  <si>
    <t xml:space="preserve">34411156962 (OEM)
34411165962 (OEM)
7L6698525 (OEM)
BPSA0091230 (MAZZICAR)</t>
  </si>
  <si>
    <t xml:space="preserve">Lonas semi metálicas
186x30mm</t>
  </si>
  <si>
    <t xml:space="preserve">AUDI: Q7  06/15
PORSCHE: Cayenne  10/...
PORSCHE: Cayenne GTS  10/...
PORSCHE: Cayenne S  10/...
PORSCHE: Cayenne Turbo  10/...
PORSCHE: Cayenne Turbo S  10/...
VOLKSWAGEN: Touareg  10/18</t>
  </si>
  <si>
    <t xml:space="preserve">7P0698525 (OEM)
95835292500 (OEM)
BPSA0091232 (MAZZICAR)</t>
  </si>
  <si>
    <t xml:space="preserve">Lonas semi metálicas
210x31mm</t>
  </si>
  <si>
    <t xml:space="preserve">GM: Blazer 2.2 8V 95/00
GM: Blazer 2.4 8V 04/12
GM: Blazer 2.5 8V 97/05
GM: Blazer 2.8 12V 00/09
GM: Blazer 4.3 V6 96/04
GM: S10 2.2 8V 95/00
GM: S10 2.4 8V 00/12
GM: S10 2.5 8V 95/05
GM: S10 2.8 12V 00/12</t>
  </si>
  <si>
    <t xml:space="preserve">201700 (SYL)
2640CPA (COBREQ)
93260021 (OEM)
BPSA0090167 (MAZZICAR)
CB132CPA (FRAS-LE)
HQJ517A (JURID)</t>
  </si>
  <si>
    <t xml:space="preserve">Lonas semi metálicas
280x52mm
11 Polegadas
C/ Haste</t>
  </si>
  <si>
    <t xml:space="preserve">Lonas semi metálicas
190x23mm</t>
  </si>
  <si>
    <t xml:space="preserve">HYUNDAI: Santa Fe 2.2 11/12
HYUNDAI: Santa Fe 2.4 09/12
HYUNDAI: Santa Fe 3.3 24V V6   G6DB 13/…
HYUNDAI: Santa Fe 3.5 24V V6   G6CU 10/…
KIA: Sorento 3.3 24V V6   G6DG 07/…
KIA: Sorento 3.5 24V V6   G6CU 07/…</t>
  </si>
  <si>
    <t xml:space="preserve">4833A-34010 (OEM)
583052PA00 (OEM)
BPSA0096061 (MAZZICAR)</t>
  </si>
  <si>
    <t xml:space="preserve">HYUNDAI: Azera 3.3 24V V6   G6DB 07/11
HYUNDAI: Santa Fe 2.7 V6 G6BA / G6EA 06/…
HYUNDAI: Santa Fe 3.3 24V V6   G6DB 13/…
KIA: Sorento 3.3 24V V6   G6DG 07/…</t>
  </si>
  <si>
    <t xml:space="preserve">58305-2BA00 (OEM)
58305-3LA00 (OEM)
BPSA0096075 (MAZZICAR)</t>
  </si>
  <si>
    <t xml:space="preserve">Lonas semi metálicas
190x32mm</t>
  </si>
  <si>
    <t xml:space="preserve">HYUNDAI: H100 2.5 8V Diesel 95/04
HYUNDAI: HR 2.5 16V Diesel 13/...
HYUNDAI: HR 2.5 8V Diesel 05/12
KIA: Bongo K2500 2.5 16V Diesel 13/...
KIA: Bongo K2500 2.5 8V Diesel 05/12</t>
  </si>
  <si>
    <t xml:space="preserve">204605 (SYL)
58305-44A60 (OEM)
58305-4FA01 (OEM)
BPSA0096087 (MAZZICAR)
HY338CP (FRAS-LE)</t>
  </si>
  <si>
    <t xml:space="preserve">Lonas semi metálicas
220x54mm
Traseira com rodagem dupla</t>
  </si>
  <si>
    <t xml:space="preserve">HONDA: CRV 2.0 16V 07/...</t>
  </si>
  <si>
    <t xml:space="preserve">43154SFEJ02 (OEM)
BPSA0091248 (MAZZICAR)
HO503CP (FRAS-LE)</t>
  </si>
  <si>
    <t xml:space="preserve">Lonas semi metálicas
198x35mm</t>
  </si>
  <si>
    <t xml:space="preserve">CHERY: Tiggo 2.0 16V   SQR484F 10/…
MITSUBISHI: Pajero Sport 2.4 16V 19/...
MITSUBISHI: Pajero Sport 3.0 V6 08/19
TOYOTA: RAV4 2.0 16V 01/05</t>
  </si>
  <si>
    <t xml:space="preserve">201601 (SYL)
44060W020P (OEM)
4800A082 (OEM)
BPSA0097462 (MAZZICAR)
T11-3502170 (OEM)</t>
  </si>
  <si>
    <t xml:space="preserve">Lonas semi metálicas
190x45mm
Largura da lona 25,40mm</t>
  </si>
  <si>
    <t xml:space="preserve">VOLKSWAGEN: Gol 1.0 8V 08/14
VOLKSWAGEN: Gol 1.0 8V 13/14
VOLKSWAGEN: Gol 1300 Ar 80/81
VOLKSWAGEN: Gol 1600 Ar 82/86
VOLKSWAGEN: Gol GT 1.8 8V 84/87
VOLKSWAGEN: Gol GTI 2.0 16V 94/02
VOLKSWAGEN: Gol GTI 2.0 8V 94/96
VOLKSWAGEN: Parati 1.6 8V 08/12
VOLKSWAGEN: Saveiro 1.6 8V 08/09
VOLKSWAGEN: Saveiro 1.6 8V 86/93
VOLKSWAGEN: Saveiro 1.8 8V 08/09
VOLKSWAGEN: Voyage 1.5 8V 81/82
VOLKSWAGEN: Voyage 1.6 8V 83/95
VOLKSWAGEN: Voyage 1.8 8V 86/95</t>
  </si>
  <si>
    <t xml:space="preserve">2835CPA (COBREQ)
5U0698525C (OEM)
BPSA0096820 (MAZZICAR)
HQJ587A (JURID)</t>
  </si>
  <si>
    <t xml:space="preserve">Lonas semi metálicas
177x31mm
C/ Haste</t>
  </si>
  <si>
    <t xml:space="preserve">CITROEN: C3 1.2 12V 3 cil. 16/21
CITROEN: C3 1.5 8V 12/16
CITROEN: C3 1.6 16V 12/20
CITROEN: C3 1.6 16V 17/21
PEUGEOT: 208 1.0 12V 3 cil. 22/...
PEUGEOT: 208 1.2 12V 3 cil. 17/22
PEUGEOT: 208 1.5 8V 13/16
PEUGEOT: 208 1.6 16V 13/16
PEUGEOT: 208 1.6 16V 18/20
PEUGEOT: 208 1.6 16V 19/23
PEUGEOT: 208 1.6 16V 22/...</t>
  </si>
  <si>
    <t xml:space="preserve">1608512680 (OEM)
201910 (SYL)
2872CPA (COBREQ)
BPSA0090235 (MAZZICAR)
PG444CPA (FRAS-LE)</t>
  </si>
  <si>
    <t xml:space="preserve">Lonas semi metálicas
203x38mm
C/ Haste
C/ ABS</t>
  </si>
  <si>
    <t xml:space="preserve">CITROEN: C4 Cactus 1.6 16V 19/...
CITROEN: C4 Cactus 1.6 16V 21/...
CITROEN: C4 Cactus 1.6 16V 23/...
CITROEN: C4 Cactus 1.6 16V THP 19/...</t>
  </si>
  <si>
    <t xml:space="preserve">CITROEN: C3 1.0 12V 3 cil. 21/...
CITROEN: C3 1.6 16V 21/...</t>
  </si>
  <si>
    <t xml:space="preserve">Lonas semi metálicas
203x38mm</t>
  </si>
  <si>
    <t xml:space="preserve">GM: Trailblazer 2.8 Turbodiesel 12/20
GM: Trailblazer 3.6 V6 12/20</t>
  </si>
  <si>
    <t xml:space="preserve">52125707 (OEM)
BPSA0096900 (MAZZICAR)</t>
  </si>
  <si>
    <t xml:space="preserve">Lonas semi metálicas
208,8x37mm
C/ Haste</t>
  </si>
  <si>
    <t xml:space="preserve">VOLKSWAGEN: Crossfox 1.0 8V AT EA111 03/...
VOLKSWAGEN: Crossfox 1.6 8V AT EA111 03/...
VOLKSWAGEN: Fox 1.0 8V AT EA111 03/...
VOLKSWAGEN: Fox 1.6 8V AT EA111 03/...
VOLKSWAGEN: Gol 1.0 8V AT EA111 09/...
VOLKSWAGEN: Gol 1.0 8V AT EA111 97/...
VOLKSWAGEN: Gol 1.6 8V EA111 09/...
VOLKSWAGEN: Golf 1.6 8V AEX / AEA / AEE / BAH 95/98
VOLKSWAGEN: Golf 1.6 8V AT EA111 01/...
VOLKSWAGEN: Kombi 1.4 8V AT EA111 06/...
VOLKSWAGEN: Kombi 1.6 8V AT EA111 06/...
VOLKSWAGEN: Parati 1.0 8V AT EA111 97/...
VOLKSWAGEN: Parati 1.6 8V AT EA111 00/...
VOLKSWAGEN: Polo 1.0 8V AT EA111 03/...
VOLKSWAGEN: Polo 1.6 8V AT EA111 03/...
VOLKSWAGEN: Saveiro 1.6 8V AT EA111 03/...
VOLKSWAGEN: Spacefox 1.0 8V AT EA111 03/...
VOLKSWAGEN: Spacefox 1.6 8V AT EA111 03/...
VOLKSWAGEN: Voyage 1.0 8V AT EA111 08/...
VOLKSWAGEN: Voyage 1.6 8V AT EA111 08/...</t>
  </si>
  <si>
    <t xml:space="preserve">20089 (SCHADEK)
452001 (INDISA)
NKBA07630 (NAKATA)
UB0630 (URBA)
VKPC81210A (SKF)</t>
  </si>
  <si>
    <t xml:space="preserve">Polia 27 dentes x 21mm
Rotor em metal</t>
  </si>
  <si>
    <t xml:space="preserve">CHRYSLER: Town &amp; Country 3.6 V6 11/16
DODGE: Avenger 3.6 V6 11/14
DODGE: Challenger 3.6 V6 11/18
DODGE: Charger 3.6 V6 11/18
DODGE: Durango 3.6 v6 11/15
DODGE: Grand Caravan 3.6 V6 11/17
DODGE: Journey 3.6 V6 11/17
DODGE: Ram 3.6 V6 13/17
JEEP: Grand Cherokee 3.6 V6 11/17</t>
  </si>
  <si>
    <t xml:space="preserve">GM: Omega 3.0 V6 C30NE-CIH/ C30LE-CIH 92/95
GM: Suprema 3.0 V6 C30NE-CIH/ C30LE-CIH 92/95</t>
  </si>
  <si>
    <t xml:space="preserve">FORD: Probe 2.2 FE 89/92
HYSTER: Empilhadeira Hyster 2.0 8V SOHC FE Todos
HYSTER: Empilhadeira Hyster 2.2 8V SOHC F2 Todos
KIA: Sportage 2.0 16V SOHC FE 95/99
MAZDA: 626 1.8 F8 87/97
MAZDA: 626 2.0 12V FE 87/92
MAZDA: 929 2.0 12V FE 91/97
MAZDA: 929 2.2 12V F2E / F21 / F2 88/…
MAZDA: B2200 2.2 FL28 87/93
YALE: Empilhadeira Yale 2.0 8V SOHC FE Todos
YALE: Empilhadeira Yale 2.2 8V SOHC F2 Todos</t>
  </si>
  <si>
    <t xml:space="preserve">7000004004 (INDISA)
BDMA022 (TAKAO)
UB9007 (URBA)
VLBA0010354 (VILLA FRANCA)
VLBA0010542 (VILLA FRANCA)</t>
  </si>
  <si>
    <t xml:space="preserve">Polia 20 dentes</t>
  </si>
  <si>
    <t xml:space="preserve">GM: Blazer 2.2 94/95
GM: Lumina 2.2 93
GM: S10 2.2 94/95</t>
  </si>
  <si>
    <t xml:space="preserve">GM: Blazer 4.3 V6 96/06
GM: S10 4.3 V6 96/06</t>
  </si>
  <si>
    <t xml:space="preserve">20198 (SCHADEK)
7000254008 (INDISA)
NKBA03341 (NAKATA)
UB0341 (URBA)
VKPC4899 (SKF)</t>
  </si>
  <si>
    <t xml:space="preserve">CHRYSLER: Caravan 3.3 V6 90/00
CHRYSLER: Caravan 3.8 V6 94/00
CHRYSLER: Grand Caravan 3.3 V6 90/00
CHRYSLER: Grand Caravan 3.8 V6 94/00
CHRYSLER: Grand Voyager 3.3 V6 90/00
CHRYSLER: Grand Voyager 3.8 V6 94/00
CHRYSLER: Voyager 3.3 V6 90/00
CHRYSLER: Voyager 3.8 V6 94/00</t>
  </si>
  <si>
    <t xml:space="preserve">DODGE: Dakota 2.5 4 cil 153 gasolina 96/02
JEEP: Cherokee 2.5 4 cil 153 gasolina 91/00
JEEP: Grand Cherokee 4.0 V6 242 gasolina 92/98
JEEP: Wrangler 2.5 4 cil 153 gasolina 91/01
JEEP: Wrangler 4.0 V6 242 gasolina 91/99</t>
  </si>
  <si>
    <t xml:space="preserve">MITSUBISHI: Eclipse 2.0 Turbo 95/99
MITSUBISHI: Eclipse 2.4 96/99
MITSUBISHI: Galant 2.0 93
MITSUBISHI: Galant 2.4 94/98</t>
  </si>
  <si>
    <t xml:space="preserve">DODGE: Dakota 3.9 V6 318 93/02
DODGE: Dakota 5.2 V8 360 93/98
DODGE: Dakota 5.9 V8 360 98/02
DODGE: Ram 1500 / 2500 / 3500 3.9 V6 318 94/97
DODGE: Ram 1500 / 2500 / 3500 5.2 V8 360 94/01
DODGE: Ram 1500 / 2500 / 3500 5.9 V8 360 94/02
JEEP: Grand Cherokee 5.2 V8 360 93/98
JEEP: Grand Cherokee 5.9 V8 360 98</t>
  </si>
  <si>
    <t xml:space="preserve">7000052001 (INDISA)
NKBA139003 (NAKATA)
VKPC4896 (SKF)</t>
  </si>
  <si>
    <t xml:space="preserve">FORD: Courier 1.4 16V Zetec 97/99
FORD: Fiesta 1.4 16V Zetec 96/99</t>
  </si>
  <si>
    <t xml:space="preserve">20070 (SCHADEK)
7000204007 (INDISA)
UB0948 (URBA)
VKPC84215 (SKF)</t>
  </si>
  <si>
    <t xml:space="preserve">AUDI: A3 1.8 20V Turbo 180 cv AJL 00/03
AUDI: A3 1.8 ADR 94/…
AUDI: A4 1.6 ADP 94/00
AUDI: A4 1.8 20V Turbo 180 cv AJL 94/00
AUDI: A4 1.8 ADR / AFY 94/00
AUDI: A6 1.8 ADR / AFY 94/00
AUDI: S4 1.8 20V Turbo 180 cv AJL 97/06
VOLKSWAGEN: Golf 2.0 93/98
VOLKSWAGEN: Golf GTI 2.0 93/98
VOLKSWAGEN: Passat 1.8 20V ADR / AFY 99/04</t>
  </si>
  <si>
    <t xml:space="preserve">7000454005 (INDISA)
UB0632 (URBA)</t>
  </si>
  <si>
    <t xml:space="preserve">Junta metálica</t>
  </si>
  <si>
    <t xml:space="preserve">TOYOTA: Camry 2.0 16V   3S-FE 86/91
TOYOTA: Camry 2.2 16V   5S-FE 91/01
TOYOTA: RAV 4 2.0 16V   3S-FE / 3S-FEC 94/00</t>
  </si>
  <si>
    <t xml:space="preserve">HONDA: Civic 1.6 D15B2 / D15B7 88/95
HONDA: Civic CX / DX / LX 1.5 D15B2 / D15B7 92/95</t>
  </si>
  <si>
    <t xml:space="preserve">7000752507 (INDISA)
UB0616 (URBA)</t>
  </si>
  <si>
    <t xml:space="preserve">HONDA: Accord 1.8 16V F18A 96/98
HONDA: Accord 1.8 F18A2KB 90/91
HONDA: Accord 2.0 16V F20A4KG / KS 90/92
HONDA: Accord 2.0 16V F20A7 / A8 / B3 90/97
HONDA: Accord 2.0 16V F20Z1 / F20Z2 92/95
HONDA: Accord 2.2 16V SOHC 90/97
HONDA: Accord 2.2 16V VTEC 94/98
HONDA: Prelude 2.0 16V F20A4 92/…
HONDA: Prelude 2.2 16V SOHC 94/…</t>
  </si>
  <si>
    <t xml:space="preserve">7000752000 (INDISA)
VKPC93601 (SKF)</t>
  </si>
  <si>
    <t xml:space="preserve">HYUNDAI: Accent 1.5 G4EK 94/…
HYUNDAI: Elantra 1.8 16V DOHC G4CN 92/95
HYUNDAI: Sonata 2.0 G4CP / 2.0 16V DOHC G4CPD 88/98
MITSUBISHI: Colt 1.8 16V C58A / 4G67 88/93
MITSUBISHI: Eclipse 2.0 16V D20 / 4G63 92/96
MITSUBISHI: Eclipse 2.0 16V D30 / 4G63 96/…
MITSUBISHI: Galant 2.0 16V 4G63 87/93</t>
  </si>
  <si>
    <t xml:space="preserve">HONDA: Civic 1.5 16V 92/95
HONDA: Civic 1.6 16V D16Z6 92/95</t>
  </si>
  <si>
    <t xml:space="preserve">FIAT: Toro 2.0 16V JTD Diesel 16/…
JEEP: Commander 2.0 16V Turbo Diesel 21/...
JEEP: Compass 2.0 16V JTD Diesel 16/…
JEEP: Renegade 2.0 16V JTD Diesel 16/…</t>
  </si>
  <si>
    <t xml:space="preserve">TOYOTA: Hilux 2.8 Diesel 2L 93/…
TOYOTA: SW 2.8 Diesel 2L 93/96</t>
  </si>
  <si>
    <t xml:space="preserve">20185 (SCHADEK)
7000904001 (INDISA)
NKBA169014 (NAKATA)
VKPC91607A (SKF)</t>
  </si>
  <si>
    <t xml:space="preserve">LIFAN: 320 1.3 16V LF481Q3 13/...
LIFAN: 320 1.6 16V LF481Q3 13/...
LIFAN: 530 1.5 16V LF481Q3 13/...
LIFAN: 620 1.6 16V LF481Q3 13/...
LIFAN: X60 1.6 16V LF481Q3 13/...
TOYOTA: Corolla 1.6 16V   4AFE / 4AFEL 92/02</t>
  </si>
  <si>
    <t xml:space="preserve">VOLKSWAGEN: Jetta 2.0 16V TSI 211cv 13/17
VOLKSWAGEN: New Beetle 2.0 16V TSI 211cv 12/16</t>
  </si>
  <si>
    <t xml:space="preserve">Polia 29 dentes</t>
  </si>
  <si>
    <t xml:space="preserve">Bomba carcaça + válvula termostática
Carcaça s/ sensor
Polia 29 dentes</t>
  </si>
  <si>
    <t xml:space="preserve">AUDI: A3 1.8 16V TFSI CJSA/CJSB 12/16
AUDI: A3 2.0 16V TFSI CZPB/DKZA 16/22
AUDI: A4 1.8 16V TFSI CJEB 15/...
AUDI: A4 2.0 16V TFSI CNCD 15/...
AUDI: A5 1.8 16V TFSI CABD/CJEB/CJEE 07/17
AUDI: A5 2.0 16V TFSI CNCD/CNCE 13/17
AUDI: Q3 2.0 16V TFSI CULB/CCTA 14/...
AUDI: Q5 2.0 16V TFSI CDNB/CNCB/CNCD/CNCE 17/...
AUDI: Q7 2.0 16V TFSI CYRB/CYMC/DMFB 15/...
PORSCHE: Macan 2.0 16V Turbo DKNA 18/...
PORSCHE: Macan 2.0 16V Turbo MCNCC / MCYNA / CNCC / CYNA 14/18
VOLKSWAGEN: Golf 2.0 16V TSI CULC 13/...
VOLKSWAGEN: Golf GTI 2.0 16V TSI DLBA/DNPA/DRNA 13/...
VOLKSWAGEN: Jetta GLI 2.0 16V TSI 19/...
VOLKSWAGEN: Passat 2.0 16V TSI CZPB/DKZA/DRFA/DNNA/DUNA 18/...
VOLKSWAGEN: Tiguan 2.0 16V TSI CZPA/CHHB 16/...
VOLKSWAGEN: Tiguan R Line 2.0 16V 18/...</t>
  </si>
  <si>
    <t xml:space="preserve">Bomba c/ carcaça + válvula termostática eletrônica + correia + parafuso
Carcaça c/ sensor
Polia 29 dentes</t>
  </si>
  <si>
    <t xml:space="preserve">HONDA: Civic 1.6 16V D16Y7 96/00
HONDA: Civic 1.7 16V D16Y8 96/00</t>
  </si>
  <si>
    <t xml:space="preserve">7000752001 (INDISA)
VKPC93000 (SKF)</t>
  </si>
  <si>
    <t xml:space="preserve">FIAT: Brava 1.6 16V MPI + Ar Cond + Dir Hdr 00/06
FIAT: Doblo 1.6 16V MPI + Ar Cond + Dir Hdr 00/08
FIAT: Linea 1.9 16V MPI + Ar Cond + Dir Hdr 08/10
FIAT: Marea 1.6 16V MPI + Ar Cond + Dir Hdr 06/...
FIAT: Marea Weekend 1.6 16V MPI + Ar Cond + Dir Hdr 06/07
FIAT: Palio 1.6 16V MPI + Ar Cond + Dir Hdr 96/08
FIAT: Palio Weekend 1.6 16V MPI + Ar Cond + Dir Hdr 97/08
FIAT: Siena 1.6 16V MPI + Ar Cond + Dir Hdr 98/08
FIAT: Strada 1.6 16V MPI + Ar Cond + Dir Hdr 99/02</t>
  </si>
  <si>
    <t xml:space="preserve">20108 (SCHADEK)
352004 (INDISA)
NKBA01756 (NAKATA)
UB0756 (URBA)
VKPC82441A (SKF)</t>
  </si>
  <si>
    <t xml:space="preserve">Polia duplar poly V 5 canais
Rotor em metal</t>
  </si>
  <si>
    <t xml:space="preserve">HYUNDAI: Sonata 2.0 16V G4JPEG 01/04
HYUNDAI: Sonata 2.0 16V G4JPG 98/01
HYUNDAI: Sonata 2.4 16V G4BS 98/01
HYUNDAI: Trajet 2.0 16V G4JPG 00/08
JAC MOTORS: J6 2.0 16V HFC4EA 11/16
KIA: Magentis 2.0 16V G4JPG 01/05</t>
  </si>
  <si>
    <t xml:space="preserve">RENAULT: Clio 1.0 - ar condicionado 94/97
RENAULT: Clio 1.6 - ar condicionado 90/…
RENAULT: R19 1.6 - ar condicionado 94/97
RENAULT: R21 1.4 - ar condicionado 90/…
RENAULT: Twingo 1.6 - ar condicionado 90/…</t>
  </si>
  <si>
    <t xml:space="preserve">20175 (SCHADEK)
7000702006 (INDISA)
VKPC86206A (SKF)</t>
  </si>
  <si>
    <t xml:space="preserve">NISSAN: Livina 1.6 16V 10/…
NISSAN: March 1.6 16V 11/…
NISSAN: Versa 1.6 16V 12/…
RENAULT: Clio 1.6 16V Hi Flex K4M 05/…
RENAULT: Clio 1.6 16V K4M 98/01
RENAULT: Duster 1.6 16V Hi Flex K4M 12/…
RENAULT: Kangoo 1.6 16V Hi Flex K4M 07/…
RENAULT: Laguna 1.6 16V K4M 98/…
RENAULT: Laguna 1.8 16V K4M 01/…
RENAULT: Logan 1.6 16V Hi Flex K4M 08/…
RENAULT: Megane 1.6 16V Hi Flex K4M 06/…
RENAULT: Megane 1.6 16V K4M 98/05
RENAULT: Megane Grand Tour 1.6 16V Hi Flex K4M 06/…
RENAULT: Oroch 1.6 16V K4M 15/...
RENAULT: Sandero 1.6 16V Hi Flex K4M 08/…
RENAULT: Scenic 1.6 16V Hi Flex K4M 05/…
RENAULT: Scenic 1.6 16V K4M 98/…
RENAULT: Symbol 1.6 16V Hi Flex K4M 09/…</t>
  </si>
  <si>
    <t xml:space="preserve">20160 (SCHADEK)
7000702003 (INDISA)
NKBA09820 (NAKATA)
UB0820 (URBA)
VKPC86416 (SKF)</t>
  </si>
  <si>
    <t xml:space="preserve">CITROEN: Xantia 3.0i 245V V6 ES9J4 96/…
CITROEN: XM 3.0i 24V V6 ZPJ / J4 97/…
PEUGEOT: 406 3.0 24V V6   ES9J4 99/…
PEUGEOT: 605 3.0 24V V6   ES9J4 97/99
RENAULT: Laguna 3.0i 24V V6 L7X7.00/01 01/…</t>
  </si>
  <si>
    <t xml:space="preserve">Polia 28 dentes x 69,5 mm</t>
  </si>
  <si>
    <t xml:space="preserve">PEUGEOT: 406 3.0 24V V6   ES9J4S/L4 00/04
PEUGEOT: 407 3.0 24V V6   ES9A 04/…
PEUGEOT: 607 3.0 24V V6   ES94/L4 00/…
PEUGEOT: 807 3.0 24V V6   ES9J4S/L4 02/07
RENAULT: Laguna 3.0 24V V6 L7X731 01/07
RENAULT: Laguna 3.0 24V V6 L7X733 05/07</t>
  </si>
  <si>
    <t xml:space="preserve">Polia 28 dentes x 59 mm</t>
  </si>
  <si>
    <t xml:space="preserve">BMW: 316i (E36) 1.6 93/…
BMW: 316i (E36) 1.8 92/…
BMW: 318i 1.8 92/…
BMW: 320i 1.8 92/…
BMW: 323i 1.8 92/…
BMW: 518i 1.8 93/95
BMW: Z3 1.8 95/…</t>
  </si>
  <si>
    <t xml:space="preserve">Flange 10,00 mm</t>
  </si>
  <si>
    <t xml:space="preserve">RENAULT: Laguna 1.8 16V F3P / F4P 94/01
RENAULT: Laguna 2.0 16V F3P / F4P 94/01
RENAULT: Megane 1.8 16V F4P720 / F4P722 94/…
RENAULT: Megane 2.0 16V F4P720 / F4P722 94/…
RENAULT: R19 1.8 16V F3P / F7P 92/96
RENAULT: Scenic 1.8 16V F4P720 / F4P722 99/03
RENAULT: Scenic 2.0 16V F4P720 / F4P722 99/03
SUZUKI: Vitara 1.6 16V 96/98
VOLVO: 440 1.7 Turbo / 1.8 / 2.0 92/…
VOLVO: 460 1.7 Turbo / 1.8 / 2.0 92/…</t>
  </si>
  <si>
    <t xml:space="preserve">20176 (SCHADEK)
7000704001 (INDISA)
NKBA09813 (NAKATA)
UB0813 (URBA)
VKPC86413A (SKF)</t>
  </si>
  <si>
    <t xml:space="preserve">VOLKSWAGEN: Passat 2.8 VR6 91/…
VOLKSWAGEN: Variant 2.8 VR6 91/…</t>
  </si>
  <si>
    <t xml:space="preserve">7000454004 (INDISA)
VKPC8161 (SKF)</t>
  </si>
  <si>
    <t xml:space="preserve">AUDI: A3 1.8 20V 150 cv 99/06
AUDI: A3 1.8 20V Turbo 180 cv 99/06
AUDI: A4 1.8 20V Turbo 180 cv AWT / AEB / AJL 95/01
AUDI: A4 1.8 20V Turbo 8E2 / B6 / 8H7 02/…
AUDI: A4 1.8 20V Turbo AVJ / BFB 00/04
AUDI: A4 Avant 1.8 20V Turbo 180 cv AJL / AEB 94/00
AUDI: A6 1.8 20V Turbo 180 cv AFY / AJL 97/04
AUDI: A6 1.8 20V Turbo AWT 95/01
AUDI: A6 Avant 1.8 20V Turbo 180 cv AEB / AJL 94/00
AUDI: TT 1.8 20V Turbo 98/…
VOLKSWAGEN: Bora 1.8 20V Turbo Higline 99/05
VOLKSWAGEN: Bora 2.0 8V APK / AZG / AZH / AQYAZJ / BER / CBPA 00/02
VOLKSWAGEN: Golf 1.6 8V 99/01
VOLKSWAGEN: Golf 1.8 20V Turbo AUM / AGU / AGN / AUQ 98/…
VOLKSWAGEN: Golf 1.8 8V Flex / 2.0 20V Flex Black Edition 10/…
VOLKSWAGEN: Golf 2.0 8V APK AQY AZG AZJ 99/…
VOLKSWAGEN: New Beetle 1.8 20V Turbo 98/…
VOLKSWAGEN: New Beetle 2.0 8V AWV / AWU / AQY 99/…
VOLKSWAGEN: Passat 1.8 01/05
VOLKSWAGEN: Passat 2.0 AZM 01/05
VOLKSWAGEN: Polo 2.0 8V 02/…
VOLKSWAGEN: Polo GTI 1.8 20V Turbo 06/08
VOLKSWAGEN: Variant 1.8 01/05
VOLKSWAGEN: Variant 2.0 AZM 01/05</t>
  </si>
  <si>
    <t xml:space="preserve">20134 (SCHADEK)
7000452006 (INDISA)
NKBA07633 (NAKATA)
UB0633 (URBA)
VKPC81620 (SKF)</t>
  </si>
  <si>
    <t xml:space="preserve">Polia 23 dentes x 27 mm</t>
  </si>
  <si>
    <t xml:space="preserve">AUDI: A3 1.6 8V AEH 96/…
AUDI: A3 1.6 8V AKL 96/…
AUDI: A3 Sportback 1.6 8V 03/…
AUDI: A4 1.6 00/04
AUDI: A4 2.0 00/04
AUDI: A6 2.0 01/05
VOLKSWAGEN: Golf 1.6 8V AEH 96/01
VOLKSWAGEN: Golf 1.6 8V AKL 96/01
VOLKSWAGEN: New Beetle 1.6 8V AEH / AKL 98/…
VOLKSWAGEN: Passat 2.0 20V 01/…
VOLKSWAGEN: Varaint 2.0 20V 01/…</t>
  </si>
  <si>
    <t xml:space="preserve">20161 (SCHADEK)
7000452005 (INDISA)
VKPC81408 (SKF)</t>
  </si>
  <si>
    <t xml:space="preserve">AUDI: A6 2.6 94/…
AUDI: A6 2.8 VR6 95/97
VOLKSWAGEN: Golf GTI 2.8 VR6 92/…
VOLKSWAGEN: Passat 2.8 VR6 92/…
VOLKSWAGEN: Variant 2.8 VR6 92/…</t>
  </si>
  <si>
    <t xml:space="preserve">CITROEN: Berlingo 1.8 XU7JB 96/…
CITROEN: BX 1.6 XU51C / XU52C 92/94
CITROEN: Picasso 1.8 XU7JB 97/…
CITROEN: Xantia 1.6 XU5 / XU7JB 93/…
CITROEN: Xantia 1.8 XU5 / XU7JB 93/…
CITROEN: Xsara 1.8 XU7JB 97/…
CITROEN: ZX 1.6 XU51C / XU52C 92/…
CITROEN: ZX 1.8 XU7JB 92/…
PEUGEOT: 306 1.6 XU7JP 93/…
PEUGEOT: 306 1.8 XU7JP 93/…
PEUGEOT: 405 1.6 XU7JP 93/…
PEUGEOT: 405 1.8 XU7JP 93/…
PEUGEOT: 406 1.8 16V XU5JP 97/…
PEUGEOT: 806 1.8 XU7JP 96/…
PEUGEOT: Partner 1.8 97/…</t>
  </si>
  <si>
    <t xml:space="preserve">20109 (SCHADEK)
7000952000 (INDISA)
VKPC83615A (SKF)</t>
  </si>
  <si>
    <t xml:space="preserve">Polia 20 dentes x 60 mm</t>
  </si>
  <si>
    <t xml:space="preserve">CITROEN: Berlingo 1.8 96/…
CITROEN: Xantia 2.0 16V 97/…
CITROEN: Xantia 2.0 16V Turbo 93/…
CITROEN: Xantia 2.0 93/…
CITROEN: ZX 2.0 16V 93/…
LADA: Niva 1.9 Diesel XUD7 / XUD9 94/…
PEUGEOT: 306 2.0 16V XUD9 94/…
PEUGEOT: 405 2.0 16V XU10J2 / XU10J4 94/…
PEUGEOT: 605 2.0 16V XU10J2 / XU10J4 94/…
PEUGEOT: 806 2.0 16V Turbo 94/…
PEUGEOT: Boxer Diesel / Turbo Diesel 94/…
SUZUKI: Vitara 1.6 16V 96/98</t>
  </si>
  <si>
    <t xml:space="preserve">20179 (SCHADEK)
7000952001 (INDISA)
VKPC83420A (SKF)</t>
  </si>
  <si>
    <t xml:space="preserve">Polia 20 dentes x 69 mm</t>
  </si>
  <si>
    <t xml:space="preserve">CITROEN: Xantia 1.8 16V XU7JP 95/…
CITROEN: Xsara 1.8 16V XU7JP4 97/…
CITROEN: ZX 1.8 16V XU7JP4 96/97
PEUGEOT: 306 1.8 16V XU7JP 97/02
PEUGEOT: 406 1.8 16V XU7JP4 97/02</t>
  </si>
  <si>
    <t xml:space="preserve">7000952005 (INDISA)
VKPC83635 (SKF)</t>
  </si>
  <si>
    <t xml:space="preserve">CITROEN: Xantia 2.0 16V XU10J4R 94/…
CITROEN: Xsara 2.0 16V XU10J4R 94/…
CITROEN: Xsara Picasso 2.0 16V XU10J4R 01/…
PEUGEOT: 306 2.0 16V XU10J4R 96/…
PEUGEOT: 406 2.0 16V XU10J4R 99/…
PEUGEOT: 605 2.0 16V XU10J4R 94/99
PEUGEOT: 806 2.0 16V XU10J4R 94/…</t>
  </si>
  <si>
    <t xml:space="preserve">7000952004 (INDISA)
VKPC83636 (SKF)</t>
  </si>
  <si>
    <t xml:space="preserve">Polia 20 dentes x 68mm</t>
  </si>
  <si>
    <t xml:space="preserve">FORD: F250 4.2 V6 Turbo MWM 4.07T / 4.07 TCA 99/12
GM: Blazer 2.8 4 cil Turbo Diesel MWM 4.07T / 4.07TCA 00/12
GM: Grand Blazer 4.2 V6 Turbo MWM 4.07T / 4.07TCA 97/01
GM: S10 2.8 4 cil Turbo Diesel MWM 4.07T / 4.07TCA 00/12
GM: Silverado 4.2 V6 Turbo MWM 4.07T / 4.07TCA 97/01
NISSAN: Frontier 2.8 4 cil Turbo Diesel MWM 4.07T / 4.07TCA 02/…
NISSAN: X Terra 2.8 4 cil Turbo Diesel MWM 4.07T / 4.07TCA 02/…
TROLLER: T4 2.8 4 cil Diesel MWM 4.07T / 4.07TCA 98/…</t>
  </si>
  <si>
    <t xml:space="preserve">20093 (SCHADEK)
7000105002 (INDISA)
NKBA06577 (NAKATA)
UB0577 (URBA)</t>
  </si>
  <si>
    <t xml:space="preserve">Engrenagem 15°</t>
  </si>
  <si>
    <t xml:space="preserve">CITROEN: AX 1.0 / 1.1 / 1.3 / 1.4 TU1 / TU2 …/93
CITROEN: Berlingo 1.4 96/…
CITROEN: C3 1.4 8V Todos
CITROEN: Xsara 1.4 97/…
PEUGEOT: 106 1.0 8V TU9M 92/…
PEUGEOT: 106 1.4 8V TU3M 92/…
PEUGEOT: 206 1.4 8V TU3JP 98/…
PEUGEOT: 207 1.4 8V TU3JP 08/...
PEUGEOT: Hoggar 1.4 8V TU3JP 10/...</t>
  </si>
  <si>
    <t xml:space="preserve">20110 (SCHADEK)
7000952002 (INDISA)
NKBA089018 (NAKATA)
VKPC83205 (SKF)</t>
  </si>
  <si>
    <t xml:space="preserve">Polia 20 dentes x 53 mm</t>
  </si>
  <si>
    <t xml:space="preserve">7000404002 (INDISA)
NKBA059021 (NAKATA)</t>
  </si>
  <si>
    <t xml:space="preserve">SUBARU: Forester 2.0 16V EJ20E 97/…
SUBARU: Impreza 1.6 / 1.8 / 2.0 / 2.2 EJ16E / EJ18E / EJ20E 93/…
SUBARU: Legacy 1.6 / 1.8 / 2.0 / 2.2 EJ16E / EJ18E / EJ20E 90/…</t>
  </si>
  <si>
    <t xml:space="preserve">RENAULT: Clio 1.6 8V + ar condicionado + DH K7M 96/…
RENAULT: Kangoo 1.6 8V K7M 96/…
RENAULT: Logan 1.6 8V Hi Torque K7M 08/…
RENAULT: Megane 1.6 8V + ar condicionado + DH K7M 98/04
RENAULT: Megane 1.6 8V K7M 05/…
RENAULT: Sandero 1.6 8V Hi Torque K7M 08/…
RENAULT: Scenic 1.6 8V K7M 96/…
RENAULT: Symbol 1.6 8V K7M 09/…</t>
  </si>
  <si>
    <t xml:space="preserve">20177 (SCHADEK)
7000702002 (INDISA)
NKBA09815 (NAKATA)
UB0815 (URBA)
VKPC86415 (SKF)</t>
  </si>
  <si>
    <t xml:space="preserve">RENAULT: Clio 1.0 8V + ar condicionado 01/…
RENAULT: Kangoo 1.0 8V + ar condicionado 01/…
RENAULT: Twingo 1.2 8V + ar condicionado 96/…</t>
  </si>
  <si>
    <t xml:space="preserve">20206 (SCHADEK)
7000702001 (INDISA)
NKBA09805 (NAKATA)
UB0805 (URBA)
VKPC86215 (SKF)</t>
  </si>
  <si>
    <t xml:space="preserve">GM: S10 2.8 16V Turbodiesel Duramax 180cv 13/13
GM: S10 2.8 16V Turbodiesel Duramax 200cv 14/...
GM: Trailblazer 2.8 16V Turbodiesel Duramax 180cv 13/13
GM: Trailblazer 2.8 16V Turbodiesel Duramax 200cv 14/...</t>
  </si>
  <si>
    <t xml:space="preserve">12645126 (OEM)
20249 (SCHADEK)
254012 (INDISA)
UB0172 (URBA)
VKPC88500 (SKF)</t>
  </si>
  <si>
    <t xml:space="preserve">1920051BH01 (OEM)
752008 (INDISA)
UB0606 (URBA)</t>
  </si>
  <si>
    <t xml:space="preserve">FORD: Mondeo 1.8 16V / 2.0 16V Zetec 94/06</t>
  </si>
  <si>
    <t xml:space="preserve">7000204006 (INDISA)
UB0951 (URBA)
VKPC84407 (SKF)</t>
  </si>
  <si>
    <t xml:space="preserve">BMW: 320i 2.0 24V 91/00
BMW: 320i 2.2 24V 00/…
BMW: 323i 2.3 24V 95/98
BMW: 325i 2.5 24V 00/…
BMW: 325i 2.5 24V 91/98
BMW: 328i 2.8 24V 95/98
BMW: 330i 3.0 24V 00/…
BMW: 528i 2.8 24V 95/00
BMW: 530i 3.0 24V / 3.5 24V 00/…</t>
  </si>
  <si>
    <t xml:space="preserve">Flange 9,5 mm</t>
  </si>
  <si>
    <t xml:space="preserve">HYUNDAI: H100 2.5 / 2.5 Turbo Diesel 4D55 / 4D55T / 4D56T 88/97
MITSUBISHI: L200 2.5 / 2.5 Turbo Diesel 4D55 / 4D55T / 4D56T 88/97
MITSUBISHI: L300 2.5 / 2.5 Turbo Diesel 4D55 / 4D55T / 4D56T 88/97</t>
  </si>
  <si>
    <t xml:space="preserve">20232 (SCHADEK)
7000854000 (INDISA)
NKBA179004 (NAKATA)
VKPC95404 (SKF)</t>
  </si>
  <si>
    <t xml:space="preserve">FORD: Courier 1.6 Zetec Rocam 00/06
FORD: Ecosport 1.0 Zetec Rocam 03/...
FORD: Ecosport 1.0 Zetec Rocam Supercharger 03/08
FORD: Ecosport 1.6 Zetec Rocam 03/...
FORD: Fiesta 1.0 Zetec Rocam 00/...
FORD: Fiesta 1.0 Zetec Rocam Supercharger 00/08
FORD: Fiesta 1.6 Zetec Rocam 99/06
FORD: Focus 1.6 Zetec Rocam 03/...
FORD: Ka 1.0 Zetec Rocam 99/...
FORD: Ka 1.6 Zetec Rocam 99/...</t>
  </si>
  <si>
    <t xml:space="preserve">20102 (SCHADEK)
204009 (INDISA)
NKBA02947 (NAKATA)
UB0947 (URBA)
VKPC84419A (SKF)</t>
  </si>
  <si>
    <t xml:space="preserve">Rotor em metal</t>
  </si>
  <si>
    <t xml:space="preserve">FORD: Royale 1.8 / 2.0 MI AP 91/96
FORD: Versailles 1.8 / 2.0 MI AP 91/96
VOLKSWAGEN: Gol 1.6 / 1.8 / 2.0 MI AP 94/02
VOLKSWAGEN: Gol 1.6 / 1.8 / 2.0 MI AP Flex 05/09
VOLKSWAGEN: Gol GTI 2.0 MI AP 94/97
VOLKSWAGEN: Parati 1.6 / 1.8 / 2.0 MI AP 03/...
VOLKSWAGEN: Parati 1.6 / 1.8 / 2.0 MI AP 88/99
VOLKSWAGEN: Parati 1.6 / 1.8 / 2.0 MI AP Flex 00/...
VOLKSWAGEN: Pointer 1.6 / 1.8 / 2.0 MI AP 94/96
VOLKSWAGEN: Quantum 1.6 / 1.8 / 2.0 MI AP 94/03
VOLKSWAGEN: Santana 1.6 / 1.8 / 2.0 MI AP 94/06
VOLKSWAGEN: Saveiro 1.6 / 1.8 / 2.0 MI AP 94/02
VOLKSWAGEN: Saveiro 1.6 / 1.8 / 2.0 MI AP Flex 03/...</t>
  </si>
  <si>
    <t xml:space="preserve">Bomba d'água com carcaça</t>
  </si>
  <si>
    <t xml:space="preserve">MITSUBISHI: Pajero 2.8 Turbo 4M40 Diesel 94/99
MITSUBISHI: Pajero 3.2 4M41 Diesel 99/…
MITSUBISHI: Pajero Full 3.2 Turbo 4M41 Diesel …/00
MITSUBISHI: Pajero Sport 2.8 Turbo 4M40 Diesel 93/…
MITSUBISHI: Pajero Sport 3.2 Turbo 4M41 Diesel 99/…</t>
  </si>
  <si>
    <t xml:space="preserve">Eixo de 18 mm</t>
  </si>
  <si>
    <t xml:space="preserve">GM: Astra 1.8 8V MPFI 99/05
GM: Astra 2.0 8V MPFI 99/11
GM: Blazer 2.2 8V EFI/MPFI 96/00
GM: Blazer 2.4 8V MPFI 01/12
GM: Ipanema 1.8 8V / 2.0 8V EFI/MPFI 96/98
GM: Kadett 1.8 8V / 2.0 8V EFI/MPFI 95/98
GM: Monza 2.0 8V EFI/MPFI 94/96
GM: Omega 2.0 8V / 2.2 8V EFI/MPFI 92/98
GM: S10 2 2 8V EFI/MPFI 96/00
GM: S10 2.4 8V LT/LTZ 13/...
GM: S10 2.4 8V MPFI 01/12
GM: Suprema 2.0 8V / 2.2 8V EFI/MPFI 92/98
GM: Vectra 2.0 8V EFI/MPFI 94/12
GM: Vectra GT / GTX 2.0 8V MPFI 08/11
GM: Zafira 2.0 8V 01/12</t>
  </si>
  <si>
    <t xml:space="preserve">20036 (SCHADEK)
252003 (INDISA)
NKBA03152 (NAKATA)
UB0152 (URBA)
VKPC85409A (SKF)</t>
  </si>
  <si>
    <t xml:space="preserve">Polia 25 dentes x 21mm
Rotor em metal</t>
  </si>
  <si>
    <t xml:space="preserve">AUDI: A4 / Avant / Quattro 2.4 V6 AGA / ALF 97/99
AUDI: A4 / Avant / Quattro 2.6 V6 ABC / ACZ 94/97
AUDI: A4 / S4 / Avant / Quattro 2.4 V6 AFM 95
AUDI: A4 / S4 / Avant / Quattro 2.4 V6 APZ / ARJ / APS 99/…
AUDI: A4 / S4 / Avant / Quattro 2.8 VR6 AAH 94/97
AUDI: A4 / S4 / Avant / Quattro 2.8 VR6 ACK / ALG 97/99
AUDI: A6 / Avant / Quattro 2.6 V6 ABC / ACZ 95/97
AUDI: A6 / Avant / Quattro 2.8 VR6 AAH / AFC 95/97
AUDI: A8 / Quattro 2.8 VR6 AAH / ACK / AEJ 95/…
VOLKSWAGEN: Passat  / Variant 2.8 VR6 ACK / AGE / AHA 96/97
VOLKSWAGEN: Passat / Variant 2.8 VR6 ALG 97/…</t>
  </si>
  <si>
    <t xml:space="preserve">JEEP: Cherokee 4.0 6 cil. 91/00
JEEP: Cherokee Sport 4.0 6 cil. 92/…</t>
  </si>
  <si>
    <t xml:space="preserve">Altura flange 60mm - Diâmetro flange 83,8 mm</t>
  </si>
  <si>
    <t xml:space="preserve">FORD: Ecosport 1.8 16V / 2.0 16V ZH18 / ZH20 03/…
FORD: Focus / Focus Sedan 1.8 16V / 2.0 16V ZH18 / ZH20 01/…
FORD: Mondeo 2.0 16V ZH20 98/02</t>
  </si>
  <si>
    <t xml:space="preserve">20202 (SCHADEK)
7000204008 (INDISA)
NKBA02950 (NAKATA)
UB0950 (URBA)
VKPC84415A (SKF)</t>
  </si>
  <si>
    <t xml:space="preserve">CHRYSLER: Grand voyager 2.5 Turbo Diesel VM425 94/…
CHRYSLER: Voyager 2.5 Turbo Diesel VM425 94/…
DODGE: Dakota 2.5 Turbo Diesel VM425 96/…
JEEP: Cherokee / Grand Cherokee 2.5 Turbo Diesel VM425 95/…</t>
  </si>
  <si>
    <t xml:space="preserve">RENAULT: Clio RL / RN / RT 1.2 7EF 90/96
RENAULT: Clio RN / RT 1.4 E6J 90/96
RENAULT: Megane 1.6 96/…
RENAULT: Twingo 1.0 99/01</t>
  </si>
  <si>
    <t xml:space="preserve">HYUNDAI: Galloper 2.5 Turbo Diesel 98/…
HYUNDAI: H100 2.5 Diesel 98/…
HYUNDAI: H100 2.5 Turbo Diesel 93/00
HYUNDAI: HR 2.5 Turbo Diesel 06/…
HYUNDAI: Starex 2.5 Turbo Diesel 97/…
HYUNDAI: Terracan 2.5 Diesel 01/…
KIA: Bongo K2500 2.5 Turbo Diesel 08/…
MITSUBISHI: L200 2.5 Diesel / 2.5 Turbo Diesel 98/…
MITSUBISHI: L200 Sport 2.5 Diesel / 2.5 Turbo Diesel HPE 03/…
MITSUBISHI: L300 2.5 Diesel / 2.5 Turbo Diesel 91/…
MITSUBISHI: Pajero 2.5 Diesel / 2.5 Turbo Diesel 91/…
MITSUBISHI: Pajero Sport 2.5 Turbo Diesel 98/…</t>
  </si>
  <si>
    <t xml:space="preserve">20233 (SCHADEK)
7000854008 (INDISA)
NKBA179011 (NAKATA)
VKPC95800 (SKF)</t>
  </si>
  <si>
    <t xml:space="preserve">LAND ROVER: Freelander 2 3.2 6 cil. B6324S 06/14
VOLVO: S8 AWD 3.2 6 cil B6324S 07/10
VOLVO: S8 AWD 3.2 6 cil. B6324S5 10/...
VOLVO: S8 AWD 3.2 6 cil. B6324S5 10/12
VOLVO: S8 T6 AWD 3.0 6 cil. B6304T2 07/10
VOLVO: S8 T6 AWD 3.0 6 cil. B6304T4 10/16
VOLVO: XC60 AWD 3.2 6 cil. B6324S 09/10
VOLVO: XC60 AWD 3.2 6 cil. B6324S5 10/15
VOLVO: XC60 T6 AWD 3.0 6 cil B6304T2 08/10
VOLVO: XC60 T6 AWD 3.0 6 cil B6304T4 / B6304T3 14/15
VOLVO: XC60 T6 AWD 3.0 6 cil. B6304T4 10/15
VOLVO: XC70 AWD 3.2 6 cil. B6324S 07/...
VOLVO: XC70 AWD 3.2 6 cil. B6324S5 10/...
VOLVO: XC70 T6 AWD 3.0 6 cil. B6304T2 08/...
VOLVO: XC70 T6 AWD 3.0 6 cil. B6304T4 10/...
VOLVO: XC90 AWD 3.2 6 cil. B6324S 06/10
VOLVO: XC90 AWD 3.2 6 cil. B6324S5 10/12</t>
  </si>
  <si>
    <t xml:space="preserve">CITROEN: Jumper 2.8 HDI 00/09
FIAT: Ducato 2.5 Diesel / 2.5 Turbo Diesel 94/…
FIAT: Ducato 2.8 Diesel / 2.8 Turbo Diesel 94/…
PEUGEOT: Boxer 2.5 Diesel / 2.8 Diesel / 2.8 Turbo Diesel 99/…</t>
  </si>
  <si>
    <t xml:space="preserve">20100 (SCHADEK)
7000354007 (INDISA)
NKBA01780 (NAKATA)
UB0780 (URBA)
VKPC82652 (SKF)</t>
  </si>
  <si>
    <t xml:space="preserve">Diâmetro flange 90 mm</t>
  </si>
  <si>
    <t xml:space="preserve">IVECO: Daily 35.10 2.5 Turbo Diesel 96/…</t>
  </si>
  <si>
    <t xml:space="preserve">CITROEN: Aircross 1.5 8V TU5 12/...
CITROEN: C3 1.5 8V TU5 12/...
PEUGEOT: 208 1.5 8V TU5 12/...</t>
  </si>
  <si>
    <t xml:space="preserve">Polia 18 dentes</t>
  </si>
  <si>
    <t xml:space="preserve">HYUNDAI: Atos 1.0 12V G4AC / G4HG / G4HE 97/03
HYUNDAI: Atos 1.1 12V G4AC / G4HG / G4HE 97/03
HYUNDAI: Atos Prime 1.0 12V G4AC / G4HG / G4HE 97/03
HYUNDAI: Atos Prime 1.1 12V G4AC / G4HG G4HE 97/03
KIA: Picanto 1.0 12V G4AC / G4HG / G4HE 05/11
KIA: Picanto 1.1 12V G4AC / G4HG / G4HE 04/11</t>
  </si>
  <si>
    <t xml:space="preserve">JINBEI: Topic 2.0 16V 08/...
JINBEI: Topic 2.0 8V 08/...</t>
  </si>
  <si>
    <t xml:space="preserve">PORSCHE: Cayenne 3.6 V6 M55.02 / MCE.YA 10/...
VOLKSWAGEN: Touareg 3.6 V6 FSI CGRA 10/...</t>
  </si>
  <si>
    <t xml:space="preserve">454540 (INDISA)
VLBA0330552 (VILLA FRANCA)</t>
  </si>
  <si>
    <t xml:space="preserve">PORSCHE: Cayenne 3.6 6 cil M5502 / MCEYA 10/...</t>
  </si>
  <si>
    <t xml:space="preserve">Polia estriada poli V</t>
  </si>
  <si>
    <t xml:space="preserve">TOYOTA: Etios 1.3 16V 17/21
TOYOTA: Yaris 1.5 16V 18/...</t>
  </si>
  <si>
    <t xml:space="preserve">1610080010 (OEM)
904523 (INDISA)</t>
  </si>
  <si>
    <t xml:space="preserve">Para veículos com transmissão automática</t>
  </si>
  <si>
    <t xml:space="preserve">TOYOTA: Etios 1.3 16V 16/...
TOYOTA: Etios 1.5 16V 16/...
TOYOTA: Yaris 1.3 16V 17/...
TOYOTA: Yaris 1.5 16V 17/...</t>
  </si>
  <si>
    <t xml:space="preserve">1610009730 (OEM)
1610009750 (OEM)
161000Y100 (OEM)
1610080013 (OEM)
16100B9490 (OEM)</t>
  </si>
  <si>
    <t xml:space="preserve">CHRYSLER: Stratus LX 2.5 V6 96/01
MITSUBISHI: Diamante Sigma 3.5 V6 97/…
MITSUBISHI: Galant 2.5 V6 95/96
MITSUBISHI: Pajero 3.5 V6 95/00
MITSUBISHI: Pajero Sport 4x4 3.0 24V V6 98/01</t>
  </si>
  <si>
    <t xml:space="preserve">TOYOTA: Hilux 2.8 TURBODIESEL 16/...
TOYOTA: NOVA SW4 TURBODIESEL 16/...</t>
  </si>
  <si>
    <t xml:space="preserve">MITSUBISHI: Colt 2.0 16V / 2.4 16V 02/08
MITSUBISHI: Pajero IO 1.8 16V 4G93 99/02
MITSUBISHI: Pajero TR4 2.0 16V 00/…
MITSUBISHI: Pajero TR4 2.0 20V 4G94 04/…
VOLVO: S40 SW 1.8 98/04
VOLVO: V40 SW 1.8 98/04</t>
  </si>
  <si>
    <t xml:space="preserve">FIAT: Bravo 1.8 16V E Torq 11/…
FIAT: Doblo 1.8 16V E Torq 11/…
FIAT: Grand Siena 1.6 16V E Torq 13/…
FIAT: Idea 1.6 16V E Torq 11/…
FIAT: Idea 1.8 16V E Torq 11/…
FIAT: Linea 1.8 16V E Torq 11/…
FIAT: Palio 1.6 16V E Torq 11/…
FIAT: Palio Weekend 1.6 16V E Torq 11/…
FIAT: Palio Weekend 1.8 16V E Torq 11/…
FIAT: Punto 1.6 16V E Torq 11/…
FIAT: Punto 1.8 16V E Torq 11/…
FIAT: Siena 1.6 16V E Torq 11/…
FIAT: Strada 1.8 16V E Torq 11/…
FIAT: Toro 1.8 16V E Torq 16/…</t>
  </si>
  <si>
    <t xml:space="preserve">20248 (SCHADEK)
354504 (INDISA)</t>
  </si>
  <si>
    <t xml:space="preserve">Sistema Vetore
Sem tampa</t>
  </si>
  <si>
    <t xml:space="preserve">FIAT: Bravo 1.8 16V E Torq 11/…
FIAT: Doblo 1.8 16V E Torq 11/…
FIAT: Grand Siena 1.6 16V E Torq 13/…
FIAT: Idea 1.6 16V E Torq 11/…
FIAT: Idea 1.8 16V E Torq 11/…
FIAT: Linea 1.8 16V E Torq 11/…
FIAT: Palio 1.6 16V E Torq 11/…
FIAT: Palio Weekend 1.6 16V E Torq 11/…
FIAT: Palio Weekend 1.8 16V E Torq 11/…
FIAT: Punto 1.6 16V E Torq 11/…
FIAT: Punto 1.8 16V E Torq 11/…
FIAT: Siena 1.6 16V E Torq 11/…
FIAT: Strada 1.8 16V E Torq 11/…
FIAT: Toro 1.8 16V E Torq 16/…
JEEP: Renegade 1.8 16V Fiat E Torq 16/…</t>
  </si>
  <si>
    <t xml:space="preserve">7000354501 (INDISA)
UB0775 (URBA)</t>
  </si>
  <si>
    <t xml:space="preserve">Sistema Melling
Sem tampa</t>
  </si>
  <si>
    <t xml:space="preserve">PEUGEOT: 504 1.9 / 2.1 / 2.3 XD2 80/94
PEUGEOT: 505 1.9 / 2.1 / 2.3 XD2 80/94</t>
  </si>
  <si>
    <t xml:space="preserve">20111 (SCHADEK)
7000953000 (INDISA)</t>
  </si>
  <si>
    <t xml:space="preserve">SUZUKI: Baleno 1.3i    G13B 95/…
SUZUKI: Swift 1.0 / 1.3    G10 / G13B 86/…</t>
  </si>
  <si>
    <t xml:space="preserve">SUZUKI: Baleno 1.6 16V G16B 95/…
SUZUKI: Samurai 1.3 G13A 86/…
SUZUKI: Sidekick 1.6 16V    G16B 89/98
SUZUKI: Swift 1.0 / 1.3 1.5 / 1.6    G13A 84/…
SUZUKI: Vitara 1.6 16V    G16B 94/99</t>
  </si>
  <si>
    <t xml:space="preserve">7000804001 (INDISA)
VKPC9602 (SKF)</t>
  </si>
  <si>
    <t xml:space="preserve">TOYOTA: Celica 1.8 16V 94/97
TOYOTA: Corolla 1.8 16V 96/02</t>
  </si>
  <si>
    <t xml:space="preserve">FORD: F100 4.9 V6 …/98
FORD: F1000 4.9 V6 …/98
FORD: F350 4.9 V6 …/98</t>
  </si>
  <si>
    <t xml:space="preserve">SUBARU: Legacy 3.6 6cil EZ36D 09/...
SUBARU: Outback 3.6 6cil EZ36D 09/...
SUBARU: Tribeca 3.6 6cil EZ36D 07/...</t>
  </si>
  <si>
    <t xml:space="preserve">GM: Blazer 2.8 4 cil Turbo Diesel MWM 4.07T / 4.07TCA 03/…
GM: S10 2.8 4 cil Turbo Diesel MWM 4.07T / 4.07TCA 03/…
NISSAN: Frontier 2.8 Turbo Diesel MWM 4.07TCA 03/…
NISSAN: X Terra 2.8 Turbo Diesel MWM 4.07TCA 03/…
TROLLER: T4 2.8 4 cil Diesel MWM 4.07T / 4.07TCA 98/…</t>
  </si>
  <si>
    <t xml:space="preserve">C/ carcaça + anéis - Eng. 15°</t>
  </si>
  <si>
    <t xml:space="preserve">DODGE: Ram 2500 5.9 24V 6 cil Cummins B 04/…</t>
  </si>
  <si>
    <t xml:space="preserve">20080 (SCHADEK)
7000452002 (INDISA)
NKBA10731 (NAKATA)
UB0731 (URBA)
VKPC4697 (SKF)</t>
  </si>
  <si>
    <t xml:space="preserve">MITSUBISHI: Outlander 3.0 V6 24V 06/17</t>
  </si>
  <si>
    <t xml:space="preserve">BDMI30A (TAKAO)
VLBA0010402 (VILLA FRANCA)</t>
  </si>
  <si>
    <t xml:space="preserve">FORD: F1000 XL / XLT 2.5 Turbo Diesel Maxion HS …/98
FORD: Ranger 2.5 Turbo Diesel Maxion HS 96/06
FORD: Ranger 2.8 Turbo Diesel Maxion HS 98/06
GM: Blazer 2.5 Turbo Diesel Maxion HS 96/05
GM: Blazer 2.8 Turbo Diesel Maxion HS 96/05
GM: S10 2.5 Turbo Diesel Maxion HS 96/05
GM: S10 2.8 Turbo Diesel Maxion HS 96/05
LAND ROVER: Defender 2.5 Turbo Diesel Maxion HS 90/98
LAND ROVER: Discovery II 2.5 Turbo Diesel Maxion HS 90/98
MERCEDES-BENZ: Sprinter 310 / 312 / 412 2.5 Turbo Diesel Maxion HS 97/02
MERCEDES-BENZ: Sprinter 310 / 312 / 412 2.8 Turbo Diesel Maxion HS 97/02</t>
  </si>
  <si>
    <t xml:space="preserve">20069 (SCHADEK)
7000404000 (INDISA)
NKBA04340 (NAKATA)
UB0340 (URBA)
VKPC84425A (SKF)</t>
  </si>
  <si>
    <t xml:space="preserve">LAND ROVER: Freelander 2.5 V6 4x4 25K4F 00/06</t>
  </si>
  <si>
    <t xml:space="preserve">BDK25A (TAKAO)
VLBA0010554 (VILLA FRANCA)</t>
  </si>
  <si>
    <t xml:space="preserve">ALFA ROMEO: 145 1.8 16V 95/99
ALFA ROMEO: 145 QV 2.0 16V 95/99
ALFA ROMEO: 147 1.6 16V / 2.0 16V 01/…
ALFA ROMEO: 155 1.6 16V / 2.0 16V 97/…
ALFA ROMEO: 156 1.6 16V / 2.0 16V 97/…
FIAT: Marea / Marea Weekend 2.0 20V MPI 99/00
FIAT: Marea / Marea Weekend 2.4 20V Turbo 01/07
FIAT: Marea Turbo / Marea Weekend Turbo 2.0 20V Turbo MPI 99/07
FIAT: Stilo Abarth 2.4 20V MPI 03/09</t>
  </si>
  <si>
    <t xml:space="preserve">20099 (SCHADEK)
7000352007 (INDISA)
NKBA01770 (NAKATA)
UB0770 (URBA)
VKPC82646 (SKF)</t>
  </si>
  <si>
    <t xml:space="preserve">Diâmetro polia 60,5 mm Diâmetro rotor 76,2 mm</t>
  </si>
  <si>
    <t xml:space="preserve">NISSAN: March 1.0 16V 11/...
PEUGEOT: 206 1.0 16V D4F 01/...
RENAULT: Clio 1.0 16V D4D/F 01/...
RENAULT: Kangoo 1.0 16V D4D/F 00/05
RENAULT: Logan 1.0 16V D4D/F 08/...
RENAULT: Sandero 1.0 16V D4D/F 08/...</t>
  </si>
  <si>
    <t xml:space="preserve">20207 (SCHADEK)
7000702007 (INDISA)
NKBA09800 (NAKATA)
UB0800 (URBA)</t>
  </si>
  <si>
    <t xml:space="preserve">NISSAN: March 1.0 16V 11/...
RENAULT: Clio 1.0 16V D4D 00/00
RENAULT: Kangoo 1.0 16V D4D 02/05
RENAULT: Logan 1.0 16V D4D 07/...
RENAULT: Sandero 1.0 16V D4D 07/...</t>
  </si>
  <si>
    <t xml:space="preserve">20349 (SCHADEK)
702522 (INDISA)
VKPC86810 (SKF)</t>
  </si>
  <si>
    <t xml:space="preserve">FIAT: Doblo 1.8 8V Powertrain 04/10
FIAT: Idea 1.8 8V Powertrain 06/10
FIAT: Palio 1.8 8V Powertrain 03/10
FIAT: Palio Weekend 1.8 8V Powertrain 03/10
FIAT: Punto 1.8 8V Powertrain 08/10
FIAT: Siena 1.8 8V Powertrain 03/10
GM: Cobalt 1.8 8V Econoflex 12/...
GM: Corsa 1.8 8V Powertrain 02/12
GM: Meriva 1.8 8V Powertrain 02/12
GM: Montana 1.8 8V Powertrain 02/10
GM: Spin 1.8 8V Powertrain 13/...
GM: Stilo 1.8 8V Powertrain 03/11
GM: Strada 1.8 8V Powertrain 03/10</t>
  </si>
  <si>
    <t xml:space="preserve">20145 (SCHADEK)
252008 (INDISA)
NKBA03162 (NAKATA)
UB0162 (URBA)
VKPC4602 (SKF)</t>
  </si>
  <si>
    <t xml:space="preserve">Polia 19 dentes x 18,6mm</t>
  </si>
  <si>
    <t xml:space="preserve">PORSCHE: Cayenne 3.6 6cil MCU.RA 14/...
PORSCHE: Cayenne 4.8 8cil M48.02 10/...
PORSCHE: Cayenne GTS 3.6 6cil MCX.ZA 15/...
PORSCHE: Cayenne GTS 4.8 8cil M48.01 07/10
PORSCHE: Cayenne GTS 4.8 8cil M48.02 12/...
PORSCHE: Cayenne S 4.8 8cil M48.01 07/10
PORSCHE: Cayenne Turbo 4.8 8cil M48.52 / MCF.TB 10/...
PORSCHE: Cayenne Turbo S 4.8 8cil M48.51 07/10
PORSCHE: Cayenne Turbo S 4.8 8cil M48.52 / MCY.XA 12/...
PORSCHE: Macan 3.0 6cil MCT.MA 14/...
PORSCHE: Macan 3.6 6cil Turbo MCT.LA 14/...
PORSCHE: Panamera 3.0 6cil MCW.DA 13/16
PORSCHE: Panamera 4.8 8cil M48.40 / MCX.PA / MCX.RA 09/16
PORSCHE: Panamera 4.8 8cil Turbo M48.70 / MCW.BA 09/16</t>
  </si>
  <si>
    <t xml:space="preserve">MERCEDES-BENZ: Sprinter 311 / 313 / 411 2.1 / 2.7 CDI Eletrônico OM611.981 / OM612.981 02/…</t>
  </si>
  <si>
    <t xml:space="preserve">7000404001 (INDISA)
UB0376 (URBA)
VKPC88850 (SKF)</t>
  </si>
  <si>
    <t xml:space="preserve">ASIA: Hi Topic 2.7 Diesel 93/98
ASIA: Topic 2.7 Diesel 97/99</t>
  </si>
  <si>
    <t xml:space="preserve">20075 (SCHADEK)
7000654000 (INDISA)
UB0845 (URBA)
VKPC4587 (SKF)</t>
  </si>
  <si>
    <t xml:space="preserve">KIA: Besta GS 2.7 Diesel / 2.8 Diesel 98/…
KIA: Bongo K2700 2.7 Diesel 99/…</t>
  </si>
  <si>
    <t xml:space="preserve">7000004002 (INDISA)
NKBA189017 (NAKATA)</t>
  </si>
  <si>
    <t xml:space="preserve">ALFA ROMEO: 145 1.8 16V Twin Spark 98/99
ALFA ROMEO: 145 2.0 16V MPI Twin Spark 96/97
ALFA ROMEO: 145 QV 2.0 16V MPI Twin Spark 96/99
ALFA ROMEO: 147 2.0 16V MPI Twin Spark 03/07
ALFA ROMEO: 155 2.0 16V MPI Twin Spark 95/98
ALFA ROMEO: 156 2.0 16V MPI Twin Spark 99/02
FIAT: Brava 1.8 16V MPI 00/03
FIAT: Marea / Marea Weekend 1.8 16V MPI 00/07</t>
  </si>
  <si>
    <t xml:space="preserve">20171 (SCHADEK)
7000352008 (INDISA)
NKBA01771 (NAKATA)
UB0771 (URBA)
VKPC82645A (SKF)</t>
  </si>
  <si>
    <t xml:space="preserve">Diâmetro polia 71,00 mm Diâmetro rotor 76,2 mm</t>
  </si>
  <si>
    <t xml:space="preserve">HONDA: Fit 1.4 8V SOHC L13A1 03/08
HONDA: Fit 1.5 16V SOHC L14A1 03/08</t>
  </si>
  <si>
    <t xml:space="preserve">7000752004 (INDISA)
UB0604 (URBA)
VKPC93603 (SKF)</t>
  </si>
  <si>
    <t xml:space="preserve">HONDA: Civic 1.6 16V SOHC 01/05
HONDA: Civic 1.7 16V VTEC 01/05
HONDA: Civic 1.8 16V 00/…</t>
  </si>
  <si>
    <t xml:space="preserve">7000752502 (INDISA)
UB0616 (URBA)</t>
  </si>
  <si>
    <t xml:space="preserve">VOLKSWAGEN: Gol 1.0 16V Power 01/06
VOLKSWAGEN: Parati 1.0 16V Power 01/06
VOLKSWAGEN: Polo 1.0 16V Power 02/06</t>
  </si>
  <si>
    <t xml:space="preserve">20187 (SCHADEK)
452007 (INDISA)
NKBA07636 (NAKATA)
UB0636 (URBA)
VKPC4604 (SKF)</t>
  </si>
  <si>
    <t xml:space="preserve">Polia 27 dentes
Rotor em metal</t>
  </si>
  <si>
    <t xml:space="preserve">GM: C20 4.1 6 cil 96
GM: Grand Blazer 4.1 6 cil 97/99
GM: Omega / Suprema 4.1 6 cil 94/98
GM: Silverado 4.1 6 cil 97/01</t>
  </si>
  <si>
    <t xml:space="preserve">20094 (SCHADEK)
7000254006 (INDISA)
NKBA03160 (NAKATA)
UB0160 (URBA)</t>
  </si>
  <si>
    <t xml:space="preserve">RENAULT: Master 2.5 Diesel 00/…
RENAULT: Master 2.8 Diesel 00/…</t>
  </si>
  <si>
    <t xml:space="preserve">7000702009 (INDISA)
UB0824 (URBA)
VLBA0330514 (VILLA FRANCA)</t>
  </si>
  <si>
    <t xml:space="preserve">HYUNDAI: Creta 1.6 16V Flex G4FC 17/...
HYUNDAI: HB20 1.6 16V Flex G4FC 12/…
HYUNDAI: i30 1.6 16V Flex G4FC 13/…
HYUNDAI: Veloster 1.6 16V Flex G4FC 12/…
KIA: Cerato 1.6 16V G4FC 10/...
KIA: Soul 1.6 16V 09/...</t>
  </si>
  <si>
    <t xml:space="preserve">BMW: 116i (F20) 1.6 N13B16A 11/...
BMW: 116i (F21) 1.6 N13B16A 11/...
BMW: 118i (F20) 1.6 N13B16A 10/...
BMW: 118i (F20) 1.6 N13B16A 15/...
BMW: 118i (F21) 1.6 N13B16A 12/...
BMW: 118i (F21) 1.6 N13B16A 15/...
BMW: 120i (F20) 1.6 N13B16A 15/...
BMW: 120i (F21) 1.6 N13B16A 15/...
BMW: 316i (F30/F80) 1.6 N13B16A 12/16
BMW: 320i (F30/F80) 1.6 N13B16A 12/16
CITROEN: C3 / C3 Picasso 1.4 16V / 1.6 16V EP EP3 / EP6 09/…
CITROEN: C4 / C4 Picasso 1.6 16V / 1.6 16V THP EP6 / EP6DT 09/…
CITROEN: C4 Lounge 1.6 16V THP EP6DT / EP6DTS 13/…
CITROEN: DS3 1.6 16V THP EP6DT / EP6DTS 12/…
CITROEN: DS4 1.6 16V THP EP6DT / EP6DTS 12/…
CITROEN: DS5 1.6 16V THP EP6DT / EP6DTS 12/…
MINI: Cooper 1.6 16V N12B16A / N16B16AM 06/09
MINI: Cooper 1.6 16V N16B16AU 10/…
MINI: Cooper S 1.6 16V Turbo N12B16A / N14B16C 06/…
MINI: Cooper S 1.6 16V Turbo N16B16AM 10/…
MINI: Cooper S 1.6 16V Turbo N18B16AMO 09/…
MINI: Cooper S 1.6 16V W11B16A-163 07/09
MINI: One 1.4 16V N12B14A 07/09
MINI: One 1.6 16V N16B16K / N16B16AU 09/…
MINI: One 1.6 16V N16BAU 10/…
PEUGEOT: 2008 1.6 16V EP6 15/…
PEUGEOT: 2008 1.6 16V THP EP6DT / EPDDTS 15/…
PEUGEOT: 207 1.4 16V / 1.6 16V EP3 / EP6 07/…
PEUGEOT: 207 1.6 16V THP EP6DT / EPDDTS 07/…
PEUGEOT: 208 1.4 16V / 1.6 16V EP3 / EP6 13/…
PEUGEOT: 3008 1.6 16V THP EP6DT / EPDDTS 11/…
PEUGEOT: 308 1.6 16V EP6 07/…
PEUGEOT: 308 1.6 16V THP EP6DT / EPDDTS 07/…
PEUGEOT: 408 1.6 16V THP EP6DT / EPDDTS 11/…
PEUGEOT: 508 1.6 16V THP EP6DT / EPDDTS 11/…
PEUGEOT: RCZ 1.6 16V THP EP6DT / EPDDTS 11/…</t>
  </si>
  <si>
    <t xml:space="preserve">Bomba em alumínio</t>
  </si>
  <si>
    <t xml:space="preserve">Bomba c/ polia e eixo 16 mm</t>
  </si>
  <si>
    <t xml:space="preserve">HYUNDAI: Creta 2.0 16V G4NC 17/...
HYUNDAI: Elantra 1.8 16V G4NC 12/…
HYUNDAI: iX35 2.0 16V G4NC 12/...
HYUNDAI: Tucson 2.0 16V G4NC 11/...
KIA: Carens 2.0 16V G4NC 13/…
KIA: Optima 2.0 16V G4NC 15/…
KIA: Sportage 2.0 16V G4NC 15/...</t>
  </si>
  <si>
    <t xml:space="preserve">HONDA: City 1.5 16V 10/…
HONDA: Fit 1.4 16V / 1.5 16V 08/…</t>
  </si>
  <si>
    <t xml:space="preserve">20252 (SCHADEK)
UB0605 (URBA)</t>
  </si>
  <si>
    <t xml:space="preserve">RENAULT: Duster 2.0 16V F4R830 12/…
RENAULT: Grand Scenic 2.0 16V F4R830 04/08
RENAULT: Laguna 2.0 16V F4R830 99/07
RENAULT: Megane Grand Tour 2.0 16V F4R830 07/…
RENAULT: Oroch 2.0 16V F4R830 15/...</t>
  </si>
  <si>
    <t xml:space="preserve">7000702500 (INDISA)
UB0816 (URBA)</t>
  </si>
  <si>
    <t xml:space="preserve">FORD: Ecosport 2.0 16V Duratec 03/…
FORD: Focus 2.0 16V Duratec 08/…
FORD: Fusion 2.0 16V Turbo Ecoboost 13/…
FORD: Fusion 2.3 16V Duratec 06/09
FORD: Fusion 2.5 16V Duratec 10/…
FORD: Mondeo 2.0 16V Duratec / 2.5 16V Duratec 01/05
FORD: Ranger 2.3 16V Duratec 01/10
FORD: Ranger 2.5 16V Duratec 07/…
FORD: Ranger 2.5 16V Duratec 12/…</t>
  </si>
  <si>
    <t xml:space="preserve">20211 (SCHADEK)
7000204501 (INDISA)
UB0955 (URBA)</t>
  </si>
  <si>
    <t xml:space="preserve">AUDI: A4 3.2 V6 24V FSI AUK 06/09
AUDI: A5 3.0 V6 24V TFSI CMUA / CRED / CHMB 11/17
AUDI: A6 2.4 V6 24V BDW 04/08
AUDI: A6 3.0 V6 24V TFSI CAJA 08/11
AUDI: A6 3.0 V6 24V TFSI CREC 14/...
AUDI: A6 3.2 V6 24V FSI AUK / BKH 04/11
AUDI: A8 3.0 V6 24V TFSI CGWD / CREA 11/...
AUDI: A8 3.2 V6 24V FSI BPK 05/10
AUDI: Q7 3.0 V6 24V TFSI CJTC / CJWC / CNAA / CTWA 10/15
AUDI: Q7 3.0 V6 24V TFSI CJWE / CTWB 11/15
AUDI: Q7 3.0 V6 24V TFSI CREC 15/...
AUDI: S4 3.0 V6 24V CAKA / CCBA / CGXC / CTUB / CGWC / CREC 08/15
AUDI: S5 3.0 V6 24V CAKA / CGXC / CTUB / CGWC / CREC / CTDA 09/17
PORSCHE: Panamera 3.0 V6 24V MCG.FA / MCG.EA 11/13</t>
  </si>
  <si>
    <t xml:space="preserve">MERCEDES-BENZ: C230 (W203) 2.5 6cil M272.920 05/07
MERCEDES-BENZ: C230 (W204) 2.5 6cil M.272.921 07/14
MERCEDES-BENZ: C280 (W203) 3.0 6cil M272.940 / M272.941 05/07
MERCEDES-BENZ: C280 (W204) 3.0 6cil M272.947 07/14
MERCEDES-BENZ: C350 (W203) 3.5 6cil M272.960 / M272.970 05/07
MERCEDES-BENZ: C350 (W204) 3.5 6cil M272.961 07/14
MERCEDES-BENZ: CLK280 (C209) 3.0 6cil M.272.940 05/09
MERCEDES-BENZ: CLK350 (C209) 3.5 6cil M.272.960 05/09
MERCEDES-BENZ: CLS280 (C219) 3.0 6cil M272.943 08/10
MERCEDES-BENZ: CLS300 (C219) 3.0 6cil M272.943 09/10
MERCEDES-BENZ: CLS350 (C219) 3.5 6cil M272.964 04/10
MERCEDES-BENZ: E230 (W211) 2.5 6cil M272.922 07/08
MERCEDES-BENZ: E280 (W211) 3.0 6cil M272.943 / M272.944 05/08
MERCEDES-BENZ: E300 (W212) 3.0 6cil M.272.952 09/...
MERCEDES-BENZ: E350 (W211) 3.5 6cil M272.964 / M272.972 05/08
MERCEDES-BENZ: E350 (W212) 3.5 6cil M272.980 / M.272.977 09/...
MERCEDES-BENZ: GLK 350 (X204) 3.5 6cil M272.971 / M272.991 08/15
MERCEDES-BENZ: GLK280 (X204) 3.0 6cil M272.948 08/09
MERCEDES-BENZ: GLK300 (X204) 3.0 6cil M272.948 09/11
MERCEDES-BENZ: ML350 (W164) 3.5 6cil M272.967 05/11
MERCEDES-BENZ: S280 (W221) 3.0 6cil M272.946 06/13
MERCEDES-BENZ: S300 (W221) 3.0 6cil M272.965 / M272.975 05/13
MERCEDES-BENZ: SLK280 (R171) 3.0 6cil M272.942 05/11
MERCEDES-BENZ: SLK300 (R171) 3.0 6cil M272.942 09/11
MERCEDES-BENZ: SLK350 (R171) 3.5 6cil M.272.962 / M272.963 04/11</t>
  </si>
  <si>
    <t xml:space="preserve">CITROEN: Aircross 1.6 16V TU5JP4 11/…
CITROEN: Berlingo 1.6 16V TU5JP4 96/…
CITROEN: C3 1.6 16V TU5JP4 02/…
CITROEN: C4 1.6 16V TU5JP4 07/…
CITROEN: Xsara 1.6 16V TU5JP4 00/…
CITROEN: Xsara Picasso 1.6 16V TU5JP4 01/…
PEUGEOT: 206 / 206 SW 1.6 16V TU5JP4 01/08
PEUGEOT: 207 1.6 16V TU5JP4 09/…
PEUGEOT: 307 / SW 1.6 16V TU5JP4 01/…
PEUGEOT: Partner 1.6 16V TU5JP4 01/…</t>
  </si>
  <si>
    <t xml:space="preserve">20219 (SCHADEK)
7000952500 (INDISA)
UB0808 (URBA)
VKPC83430 (SKF)</t>
  </si>
  <si>
    <t xml:space="preserve">Polia 19 dentes</t>
  </si>
  <si>
    <t xml:space="preserve">Bomba d'água completa c/ carcaça</t>
  </si>
  <si>
    <t xml:space="preserve">LIFAN: X60 1.8 16V 13/...
TOYOTA: Corolla 1.8 16V   2ZZFE 03/…
TOYOTA: Corolla 1.8 16V   2ZZFE 08/10
TOYOTA: Etios 1.3 16V / 1.5 16V 12/…
TOYOTA: Fielder 1.8 16V   2ZZFE 05/08
TOYOTA: RAV 4 1.8 16V   1ZZFE 00/05</t>
  </si>
  <si>
    <t xml:space="preserve">7000904507 (INDISA)
NKBA16703 (NAKATA)
UB0703 (URBA)</t>
  </si>
  <si>
    <t xml:space="preserve">FORD: Ranger 3.0 Turbo Diesel  NGD 05/…
TROLLER: T4 3.0 Turbo Diesel  NGD 07/…</t>
  </si>
  <si>
    <t xml:space="preserve">20186 (SCHADEK)
7000204014 (INDISA)
UB0342 (URBA)</t>
  </si>
  <si>
    <t xml:space="preserve">TOYOTA: Hilux 2.5 Turbo Diesel 2KD 06/…
TOYOTA: Hilux 3.0 Turbo Diesel 1KD 06/…
TOYOTA: Land Cruiser Prado 3.0 Turbo Diesel 1KD 03/09
TOYOTA: SW4 3.0 Turbo Diesel 1KD 06/…</t>
  </si>
  <si>
    <t xml:space="preserve">20214 (SCHADEK)
7000904508 (INDISA)</t>
  </si>
  <si>
    <t xml:space="preserve">DODGE: Dakota 3.7 V6 04/…
DODGE: Dakota 4.7 V8 00/…
DODGE: Ram 1500 3.7 V6 02/10
DODGE: Ram 1500 4.7 V8 02/10
JEEP: Durango 3.7 V6 04/09
JEEP: Durango 4.7 V8 00/09
JEEP: Grand Cherokee 3.7 V6 05/10
JEEP: Grand Cherokee 4.7 V8 05/10</t>
  </si>
  <si>
    <t xml:space="preserve">CHRYSLER: 300C 5.7 V8 05/10
CHRYSLER: 300C 6.1 V8 05/10
DODGE: Charger 5.7 V8 06/10
DODGE: Charger 6.1 V8 06/10
JEEP: Grand Cherokee 5.7 V8 05/10
JEEP: Grand Cherokee 6.1 V8 05/10</t>
  </si>
  <si>
    <t xml:space="preserve">CHRYSLER: 300C 5.7 V8 11/20
CHRYSLER: 300C 6.4 V8 12/14
DODGE: Challenger 5.7 V8 11/20
DODGE: Challenger 6.4 V8 11/20
DODGE: Charger 5.7 V8 11/20
DODGE: Charger 6.4 V8 11/20
DODGE: Durango 5.7 V8 11/20
DODGE: Durango 6.4 V8 11/20
JEEP: Grand Cherokee 5.7 V8 11/20
JEEP: Grand Cherokee 6.4 V8 12/20</t>
  </si>
  <si>
    <t xml:space="preserve">MITSUBISHI: Triton 2.4 16V Flex 4G64 13/…</t>
  </si>
  <si>
    <t xml:space="preserve">MERCEDES-BENZ: Sprinter 311/313/415/515 2.1 CDI Eletrônico OM651.955 / OM651.956 13/…</t>
  </si>
  <si>
    <t xml:space="preserve">NISSAN: Kicks 1.6 16V 16/...
NISSAN: March 1.0 12V 3 cil HR10DE 15/...
NISSAN: March 1.6 16V HR16DE 11/…
NISSAN: Versa 1.0 12V 3 cil 19/...
NISSAN: Versa 1.6 16V HR16DE 11/…
RENAULT: Captur 1.6 16V SCE 16/...
RENAULT: Duster 1.6 16V SCE 16/...
RENAULT: Logan 1.6 16V SCE 16/...
RENAULT: Oroch 1.6 16V SCE 16/...
RENAULT: Sandero 1.6 16V SCE 16/...</t>
  </si>
  <si>
    <t xml:space="preserve">UB0821 (URBA)
VKPC92939 (SKF)</t>
  </si>
  <si>
    <t xml:space="preserve">CITROEN: C4 1.816V EWJ4 99/05
CITROEN: C4 2.0 16V EW10J4 / EW10A 00/…
CITROEN: C4 Grand Picasso 2.0 16V EW10J4 / EW10A 08/…
CITROEN: C4 Pallas 2.0 16V EW10J4 / EW10A 05/…
CITROEN: C4 Picasso 2.0 16V EW10J4 / EW10A 08/…
CITROEN: C5 2.0 16V EW10J4 / EW10A 02/…
CITROEN: Xsara 2.0 16V EW10J4 / EW10A 02/…
CITROEN: Xsara Picasso 2.0 16V EW10J4 / EW10A 02/…
PEUGEOT: 307 / SW 2.0 16V EW10J4 / EW10A 02/…
PEUGEOT: 407 2.0 16V EW10J4 / EW10A 04/…
PEUGEOT: 607 2.2 16V EW10J4 / EW10A 00/…
PEUGEOT: 807 2.2 16V EW10J4 / EW10A 02/…</t>
  </si>
  <si>
    <t xml:space="preserve">Polia 20 dentes -  4 furos de fixação</t>
  </si>
  <si>
    <t xml:space="preserve">Polia 20 dentes Bomba c/ carcaça</t>
  </si>
  <si>
    <t xml:space="preserve">MERCEDES-BENZ: E280 (W211) 3.0 6cil CDI OM642.920 05/08
MERCEDES-BENZ: E320 (W211) 3.0 6cil CDI OM642.920 05/08
MERCEDES-BENZ: G320 (W463) 3.0 6cil CDI OM642.970 06/...
MERCEDES-BENZ: ML280 (W164) 3.0 6cil CDI OM642.940 05/12
MERCEDES-BENZ: ML300 (W164) 3.0 6cil CDI OM642.940 05/12
MERCEDES-BENZ: ML320 (W164) 3.0 6cil CDI OM642.940 05/12
MERCEDES-BENZ: ML350 (W164) 3.0 6cil CDI OM642.940 05/12
MERCEDES-BENZ: R320 (W251) 3.0 6cil CDI OM642.950 06/...
MERCEDES-BENZ: R350 (W251) 3.0 6cil CDI OM642.950 / OM642.870 06/...</t>
  </si>
  <si>
    <t xml:space="preserve">TOYOTA: Etios 1.3 16V 12/15
TOYOTA: Etios 1.5 16V 12/...</t>
  </si>
  <si>
    <t xml:space="preserve">1610049A05 (OEM)
20237 (SCHADEK)
904515 (INDISA)
UB0707 (URBA)
VKPC4930 (SKF)</t>
  </si>
  <si>
    <t xml:space="preserve">GM: Tracker 2.0 16V J20A gasolina 99/…
SUZUKI: Baleno 1.8 16V    J18A gasolina 96/…
SUZUKI: Grand Vitara 2.0 16V    J20A gasolina 06/…
SUZUKI: Grand Vitara 2.0 16V    J20A gasolina 98/…
SUZUKI: Vitara 2.0 16V    J20A gasolina 97/…</t>
  </si>
  <si>
    <t xml:space="preserve">CHRYSLER: Neon 2.0 16V 95/05
CHRYSLER: PT Cruiser 2.0 16V 00/…
CHRYSLER: Stratus 2.0 16V 95/00
MITSUBISHI: Eclipse GS / GT 2.0 16V 93/99</t>
  </si>
  <si>
    <t xml:space="preserve">FORD: Aerostar 3.0 V6 90/94
FORD: Ranger 3.0 V6 …/98</t>
  </si>
  <si>
    <t xml:space="preserve">FORD: Taurus 3.0 24V V6 96/00</t>
  </si>
  <si>
    <t xml:space="preserve">RENAULT: Laguna RXT 2.0 16V B56MLE 95/…
RENAULT: Megane 2.0 16V B56MLE 95/…
VOLVO: 800 2.0 / 2.3 20V B5204S / FS / FT 91/…
VOLVO: 850 2.0 / 2.3 20V B5204S / FS / FT 91/…
VOLVO: 850 2.5 B5252FS 91/…
VOLVO: 940 2.5 / 3.0 6254F/S 90/…
VOLVO: 960 2.5 / 3.0 6254F/S 90/…
VOLVO: C30 2.4 16V 07/10
VOLVO: C30 T5 2.0 20V Turbo 5 cil 07/…
VOLVO: C70 2.0 / 2.3 / 2.4 20V B5204T / B5234T / B5244T 96/…
VOLVO: S40 1.6 / 1.8 / 2.0 16V B4164S / B4184S / B4194T 96/…
VOLVO: S70 2.0 / 2.3 / 2.4 B5202S / B52044T 96/…
VOLVO: V40 1.6 / 1.8 / 2.0 16V B4164S / B4184S / B4194T 96/…
VOLVO: V70 2.0 / 2.3 / 2.4 B5202S / B52044T 96/…
VOLVO: XC70 2.5 03/06
VOLVO: XC90 2.5 03/06</t>
  </si>
  <si>
    <t xml:space="preserve">Polia 19 dentes x 27 mm</t>
  </si>
  <si>
    <t xml:space="preserve">VOLVO: S60 3.0 6cil Turbo AWD B6304 T5 14/...
VOLVO: S60 T6 AWD 3.0 6cil B6304 T4 10/15
VOLVO: S80 3.2 6cil AWD B6324 S / B6324 S5 06/12
VOLVO: S80 T6 AWD 3.0 6cil B6304 T2 07/10
VOLVO: S80 T6 AWD 3.0 6cil B6304 T4 10/16
VOLVO: XC60 AWD 3.2 6 cil B6324S/B6324S5 09/15
VOLVO: XC60 T6 AWD 3.0 6 cil B6304T2/B6304T3/B6304T4 08/15
VOLVO: XC60 T6 AWD 3.0 6 cil B6304T4 10/17
VOLVO: XC70 T6 AWD 3.0 6cil B6304 T2 / B6304 T4 08/...</t>
  </si>
  <si>
    <t xml:space="preserve">HONDA: HRV 1.8 16V Flex 15/…
HONDA: New Civic 1.8 16V 06/…</t>
  </si>
  <si>
    <t xml:space="preserve">7000752005 (INDISA)
NKBA12605 (NAKATA)</t>
  </si>
  <si>
    <t xml:space="preserve">TOYOTA: Camry 2.4 16V 02/11
TOYOTA: RAV 4 2.0 16V   1AZFSE / 2AZFSE 01/03
TOYOTA: RAV 4 2.4 16V 04/08
TOYOTA: RAV 4 2.4 16V 2AZ FE 06/12</t>
  </si>
  <si>
    <t xml:space="preserve">7000904514 (INDISA)
BDTO21 (TAKAO)</t>
  </si>
  <si>
    <t xml:space="preserve">AUDI: A1 1.4 TFSI CAVG / CTHG / CTJA 11/...
VOLKSWAGEN: Beetle 1.4 TSI CAVD / CNWA / CTHD / CTKA 11/...
VOLKSWAGEN: Golf 1.4 TSI CAVD / CNWA / CTHD / CTKA 16/...
VOLKSWAGEN: Jetta 1.4 TSI CAVD / CTHA / CTHD 16/...
VOLKSWAGEN: Tiguan 1.4 TSI CAVD / CTHD 16/...</t>
  </si>
  <si>
    <t xml:space="preserve">RENAULT: Clio 1.0 8V + ar condicionado 98/00
RENAULT: Clio 1.6 8V + ar condicionado 98/00
RENAULT: Twingo 1.2 8V 95/01</t>
  </si>
  <si>
    <t xml:space="preserve">20178 (SCHADEK)
7000702005 (INDISA)
UB0825 (URBA)
VKPC86209A (SKF)</t>
  </si>
  <si>
    <t xml:space="preserve">Polia poly V 6 canais</t>
  </si>
  <si>
    <t xml:space="preserve">BMW: 116i (E81) 1.6   N43 B16A / N45 B16A 07/12
BMW: 116i (E81) 2.0   N43 B20A 08/12
BMW: 116i (E87) 1.6   N43 B16A / N45 B16A 03/12
BMW: 116i (E87) 2.0   N43 B20A 03/12
BMW: 118i (E81) 2.0   N43 B20A 06/12
BMW: 118i (E87) 2.0   N43 B20A / N46 B20B 04/12
BMW: 120i (E81) 2.0   N43 B20A / N46 B20B / N46 B20C 06/12
BMW: 120i (E81) 2.0   N46 B20B / N46 B20C 06/12
BMW: 120i (E87) 2.0   N43 B20A 07/12
BMW: 120i (E87) 2.0   N46 B20B / N46 B20BD / N46 B20C / N46 B20CC 03/12
BMW: 130i (E81) 3.0   N52 B30A / N52 B30B / N52 B30BF 06/12
BMW: 130i (E87) 3.0   N52 B30A / N52 B30AF / N52 B30B / N52 B30BF 05/12
BMW: 316i (E46) 1.6   M43 B16 00/05
BMW: 316i (E46) 1.6   N40 B16A / N45 B16A 02/05
BMW: 316i (E46) 1.8   M43 B19 98/05
BMW: 316i (E46) 1.8   N42 B18A / N46 B18A 02/05
BMW: 316i (E90) 1.6   N43 B16A 07/11
BMW: 316i (E90) 1.6   N45 B16A 06/11
BMW: 316i (E92) 1.6   N43 B16A 07/…
BMW: 318i (E46) 1.8   M43 B19 98/01
BMW: 318i (E46) 2.0   N42 B20A/ N46 B20A 01/05
BMW: 318i (E90) 2.0   N43 B20A 07/11
BMW: 318i (E90) 2.0   N46 B20B 05/07
BMW: 318i (E91) 2.0   N43 B20A / N46 B20B 06/…
BMW: 318i (E92) 2.0   N43 B20A 10/…
BMW: 320i (E46) 2.0   M52 B20 98/00
BMW: 320i (E46) 2.0   M54 B22 00/05
BMW: 320i (E90) 2.0   N43 B20A 07/11
BMW: 320i (E90) 2.0   N46 B20A / N46 B20B / N46 B20C 05/07
BMW: 320i (E91) 2.0   N43 B20A / N46 B20A / N46 B20C 05/…
BMW: 320i (E92) 2.0   N46 B20A / N46N B20B / N43 B20A 06/…
BMW: 323i (E46) 2.5   M52 B25 98/00
BMW: 323i (E91) 2.5   N52 B25A 06/08
BMW: 325i (E46) 2.5   M54 B25 00/05
BMW: 325i (E90) 2.5   N52 B25A 05/11
BMW: 325i (E90) 3.0   N53 B30A 07/11
BMW: 325i (E91) 2.5   N52 B25A 05/…
BMW: 325i (E91) 3.0   N53 B30A 07/…
BMW: 325i (E92) 2.5   N52 B25A 06/…
BMW: 325i (E92) 3.0   N53 B30A 07/…
BMW: 328i (E46) 2.8   M52 B28 98/00
BMW: 328i (E90) 3.0   N52N B30A 05/07
BMW: 330i (E46) 3.0   M54 B30 00/05
BMW: 330i (E90) 3.0   N52 B30A / N53 B30A 07/11
BMW: 330i (E90) 3.0   N52 B30A 05/11
BMW: 330i (E91) 3.0   N52 B30A / N53 B30A 05/…
BMW: 330i (E92) 3.0   N52 B30A / N53 B30A 06/07
BMW: 335i (E90) 3.0   N54 B30A / N55 B30A 06/11
BMW: 335i (E92) 3.0   N54 B30A / N55 B30A 06/…
BMW: M3 (E90) 4.0   S65 B40A 07/11
BMW: X1 (E84) sDrive 16i 1.6   N20 B16A 13/…
BMW: X1 (E84) sDrive 18i 2.0   N46 B20B 10/…
BMW: X1 (E84) sDrive 20i 2.0   N20 B20A 11/…
BMW: X1 (E84) xDrive 25i 3.0   N52 B30A 10/…
BMW: X1 (E84) xDrive 28i 2.0   N20 B20A 11/…
BMW: X1 (E84) xDrive 28i 3.0   N52 B30A 09/…
BMW: X3 (E83) 2.0   N46 B20B 05/…
BMW: X3 (E83) 25i 2.5   M54 B25 04/…
BMW: X3 (E83) xDrive 20i 2.0   N46 B20B 08/…
BMW: X3 (E83) xDrive 25i 2.5   N52 B25A 08/…
BMW: X3 (E83) xDrive 30i 3.0   M54 B30 / N52 B30A 04/…
BMW: Z4 (E85) 2.0   N46 B20A / N46 B20B 05/…
BMW: Z4 (E85) 2.2   M54 B22 / 2.5 M54 B25 / 3.0 M54 B30 03/…</t>
  </si>
  <si>
    <t xml:space="preserve">FORD: F150 4.2 V6 97/06
FORD: F250 4.2 V6 97/06</t>
  </si>
  <si>
    <t xml:space="preserve">HYUNDAI: Elantra 1.6 16V 90/…
HYUNDAI: Elantra 1.8 16V 96/99
HYUNDAI: Elantra 2.0 16V 00/…
HYUNDAI: i30 2.0 16V 07/…
HYUNDAI: i30 CW 2.0 16V 10
HYUNDAI: iX35 2.0 16V 10/…
HYUNDAI: Tucson 2.0 16V 04/…
KIA: Carens 2.0 16V 04/06
KIA: Cerato 2.0 16V 06
KIA: Sportage 2.0 16V 07/…</t>
  </si>
  <si>
    <t xml:space="preserve">7000854010 (INDISA)
UB0420 (URBA)</t>
  </si>
  <si>
    <t xml:space="preserve">HONDA: Accord 2.0 16V K20A6 03/…
HONDA: Accord 2.2 16V N22A1 04/…</t>
  </si>
  <si>
    <t xml:space="preserve">7000752504 (INDISA)
VKPC93604 (SKF)</t>
  </si>
  <si>
    <t xml:space="preserve">MERCEDES-BENZ: C180 (C204) 1.6   M274.910 13/…
MERCEDES-BENZ: C180 (C204) 1.8   M271.820 11/…
MERCEDES-BENZ: C180 (W203) 2.0   M111.951 00/02
MERCEDES-BENZ: C180 CGI (W204) 1.6   M274.910 08/…
MERCEDES-BENZ: C180 CGI (W204) 1.8   M271.820 07/…
MERCEDES-BENZ: C180 Kompressor (W203) 1.8   M271.976 02/07
MERCEDES-BENZ: C180 Kompressor (W204) 1.6   M271.910 08/…
MERCEDES-BENZ: C180 Kompressor (W204) 1.8   M271.952 07/08
MERCEDES-BENZ: C200 (W204) 1.8   M271.820 11/…
MERCEDES-BENZ: C200 CGI (C204) 1.8   M271.820 11/…
MERCEDES-BENZ: C200 CGI (W204) 1.8   M271.820 07/…
MERCEDES-BENZ: C200 CGI Kompressor (W203) 1.8   M271.942 03/07
MERCEDES-BENZ: C200 Kompressor (W203) 1.8   M271.940 02/07
MERCEDES-BENZ: C200 Kompressor (W203) 2.0   M111.955 00/02
MERCEDES-BENZ: C200 Kompressor (W204) 1.8   M271.950 07/08
MERCEDES-BENZ: C230 (W203) 2.5   M272.920 05/07
MERCEDES-BENZ: C230 (W204) 2.5   M272.921 07/08
MERCEDES-BENZ: C230 4 Matic (W204) 2.5   M272.911 07/…
MERCEDES-BENZ: C230 Kompressor (W203) 1.8   M271.948 04/07
MERCEDES-BENZ: C240 (W203) 2.5   M112.912 00/07
MERCEDES-BENZ: C240 4 Matic (W203) 2.5   M112.916 02/07
MERCEDES-BENZ: C250 (C204) 1.8   M271.860 11/…
MERCEDES-BENZ: C250 CGI (W204) 1.8   M272.820 09/…
MERCEDES-BENZ: C280 (W203) 3.0   M272.940 05/07
MERCEDES-BENZ: C280 (W204) 3.0   M272.947 07/08
MERCEDES-BENZ: C280 4 Matic (W203) 3.0   M272.941 05/07
MERCEDES-BENZ: C280 4 Matic (W204) 3.0   M272.948 07/…
MERCEDES-BENZ: C300 (W204) 3.0   M272.947 09/…
MERCEDES-BENZ: C300 (W204) 3.0   M276.957 11/…
MERCEDES-BENZ: C300 4 Matic (W204) 3.0   M272.948 07/…
MERCEDES-BENZ: C300 4 Matic (W204) 3.0   M276.957 11/…
MERCEDES-BENZ: C32 AMG 3.2   M112.961 01/07
MERCEDES-BENZ: C320 (W203) 3.2   M112.946 00/07
MERCEDES-BENZ: C320 4 Matic (W203) 3.2   M112.953 02/07
MERCEDES-BENZ: C350 (W203) 3.5   M272.960 05/07
MERCEDES-BENZ: C350 (W204) 3.5   M272.961 07/08
MERCEDES-BENZ: C350 (W204) 3.5   M276.957 11/…
MERCEDES-BENZ: C350 4 Matic (W203) 3.5   M272.960 / M272.970 05/07
MERCEDES-BENZ: C350 4 Matic (W204) 3.5   M272.972 / M276.957 07/…
MERCEDES-BENZ: C350 CGI (W204) 3.5   M272.982 08/…
MERCEDES-BENZ: C55 AMG (W203) 5.4   M113.988 04/07
MERCEDES-BENZ: C63 AMG (W204) 6.2   M156.985 08/…
MERCEDES-BENZ: CLK200 CGI (C209) 1.8   M271.942 03/09
MERCEDES-BENZ: CLK200 Kompressor (C209) 1.8   M271.940 02/09
MERCEDES-BENZ: CLK200 Kompressor (C209) 1.8   M271.955 06/…
MERCEDES-BENZ: CLK240 (C209) 2.5   M112.912 02/09
MERCEDES-BENZ: CLK280 (C209) 3.0   M272.940 05/09
MERCEDES-BENZ: CLK320 (C209) 3.2   M112.955 02/09
MERCEDES-BENZ: CLK350 (C209) 3.5   M272.960 05/09
MERCEDES-BENZ: E200 Kompressor (W211) 1.8   M271.941 02/08
MERCEDES-BENZ: E200 Kompressor (W211) 1.8   M271.956 06/…
MERCEDES-BENZ: E230 (W211) 2.5   M272.922 07/08
MERCEDES-BENZ: E240 (W211) 2.5   M112.913 / M112.917 02/08
MERCEDES-BENZ: E240 4 Matic (W211) 2.5   M112.917 03/08
MERCEDES-BENZ: E280 (W211) 3.0   M272.943 05/08
MERCEDES-BENZ: E280 4 Matic (W211) 3.0   M272.943 06/08
MERCEDES-BENZ: E320 (W211) 3.2   M112.949 02/08
MERCEDES-BENZ: E320 4 Matic (W211) 3.2   M112.954 03/08
MERCEDES-BENZ: E350 (W211) 3.5   M272.964 05/08
MERCEDES-BENZ: E350 4 matic (W211) 3.5   M272.972 05/08
MERCEDES-BENZ: E350 CGI (W211) 3.5   M272.985 08/…
MERCEDES-BENZ: SLK200 Kompressor (R171) 1.8   M271.944 / M271.954 04/11
MERCEDES-BENZ: SLK280 (R171) 3.0   M272.942 05/11
MERCEDES-BENZ: SLK300 (R171) 3.0   M272.942 09/11
MERCEDES-BENZ: SLK350 (R171) 3.5   M272.963 / M272.965 02/11</t>
  </si>
  <si>
    <t xml:space="preserve">7000404504 (INDISA)
VLBA0010472 (VILLA FRANCA)</t>
  </si>
  <si>
    <t xml:space="preserve">MERCEDES-BENZ: C180 1.8 M271.820 11/...
MERCEDES-BENZ: C180 CGI 1.8 M271.820 07/14
MERCEDES-BENZ: C180 Kompressor 1.6 M271.910 08/14
MERCEDES-BENZ: C180 Kompressor 1.8 M271.952 07/14
MERCEDES-BENZ: C200 CGI 1.8 M271.820 11/...
MERCEDES-BENZ: C200 CGI 1.8 M271.860 / 271.820 07/14
MERCEDES-BENZ: C200 Kompressor 1.8 M271.950 07/14
MERCEDES-BENZ: C250 1.8 M271.860 11/...
MERCEDES-BENZ: C250 CGI 1.8 M271.860 09/14</t>
  </si>
  <si>
    <t xml:space="preserve">MITSUBISHI: Airtrek 2.0 16V 4G63 02/…
MITSUBISHI: Airtrek 2.4 16V 4G64 / 4G69 02/…
MITSUBISHI: Lancer 2.0 16V 4G63 03/…
MITSUBISHI: Outlander 2.0 16V 4G63 02/…
MITSUBISHI: Outlander 2.4 16V 4G64 / 4G69 02/…</t>
  </si>
  <si>
    <t xml:space="preserve">NISSAN: Xtrail 2.0 16V DCi 07/...
RENAULT: Master 2.5 16V Diesel G9U 05/…</t>
  </si>
  <si>
    <t xml:space="preserve">7000702008 (INDISA)
UB0814 (URBA)
VLBA0330140 (VILLA FRANCA)</t>
  </si>
  <si>
    <t xml:space="preserve">BMW: 520i (E39) 2.0    M52 B20 / M54 B22 96/03
BMW: 523i (E39) 2.5    M52 B25 95/00
BMW: 525i (E39) 2.5    M54 B25 00/03
BMW: 528i (E39) 2.8    M52 B28 95/00
BMW: 530i (E39) 3.0    M54 B30 00/03
BMW: 535i (E39) 3.5    M62 B35 96/03
BMW: 540i (E39) 4.4    M62 B44 96/03
BMW: X5 (E53) 3.0    M54 B30 00/…
BMW: X5 (E53) 4.4    M62 B44 00/…
BMW: X5 (E53) 4.4    N62 B44 / N62 B44A 03/…
BMW: X5 (E53) 4.6    M62 B46 02/…
BMW: X5 (E53) 4.8    N62 B48A 04/…</t>
  </si>
  <si>
    <t xml:space="preserve">CITROEN: C3 1.4 8V / 1.6 8V 02/…
PEUGEOT: 206 1.4 8V / 1.6 8V 02/…</t>
  </si>
  <si>
    <t xml:space="preserve">Polia 21 dentes</t>
  </si>
  <si>
    <t xml:space="preserve">Fiesta 1.0 / 1.1 / 1.3 HCS …/96</t>
  </si>
  <si>
    <t xml:space="preserve">Motor espanhol</t>
  </si>
  <si>
    <t xml:space="preserve">KIA: Besta 2.7 Diesel 93/98</t>
  </si>
  <si>
    <t xml:space="preserve">MERCEDES-BENZ: 320CE 3.2   M104.992 92/93
MERCEDES-BENZ: C280 2.8   M112.920 93/01
MERCEDES-BENZ: E280 2.8   M104.942 93/95
MERCEDES-BENZ: E280 2.8   M104.992 95/99
MERCEDES-BENZ: E320 3.2   M104.992 93/98
MERCEDES-BENZ: E320 3.2   M104.995 95/99
SSANGYONG: Rexton 3.2   G32D 02/…
SSANGYONG: Rexton 4x4 2.7   D27DT / D27DTP 02/…</t>
  </si>
  <si>
    <t xml:space="preserve">MERCEDES-BENZ: C180 (W202) 1.8   M111.920 / M111.921 94/00
MERCEDES-BENZ: C200 Kompressor (W202) 2.0   M111.944 95/00
MERCEDES-BENZ: C220 (W202) 2.2   M111.961 93/00
MERCEDES-BENZ: C230 (W202) 2.3   M111.974 96/97
MERCEDES-BENZ: C230 Kompressor (W202) 2.3   M111.975 95/00
MERCEDES-BENZ: C240 (W202) 2.4   M112.910 97/00
MERCEDES-BENZ: C280 (W202) 2.8   M104.941 / M112.920 93/00
MERCEDES-BENZ: E280 (S124) 2.8   M104.942 93/96
MERCEDES-BENZ: E300 (S124) 3.0   M103.985 93/96
MERCEDES-BENZ: E320 (S124) 3.2   M104.992 93/96
SSANGYONG: Musso 2.3   M111.970 03/…</t>
  </si>
  <si>
    <t xml:space="preserve">MERCEDES-BENZ: C240 (W202) 2.4   M112.910 97/00
MERCEDES-BENZ: C240 (W203) 2.5   M112.912 00/07
MERCEDES-BENZ: C240 4 Matic (W203) 2.5   M112.916 02/07
MERCEDES-BENZ: C280 (W202) 2.8   M104.941 93/00
MERCEDES-BENZ: C280 (W202) 2.8   M112.920 97/00
MERCEDES-BENZ: C280 (W203) 3.0   M272.940 05/07
MERCEDES-BENZ: C280 4 Matic (W203) 3.0   M272.941 05/07
MERCEDES-BENZ: C320 (W203) 3.2   M112.946 00/07
MERCEDES-BENZ: C320 4 Matic (W203) 3.2   M112.953 02/07
MERCEDES-BENZ: CLK200 (C208) 2.0   M111.945 97/02
MERCEDES-BENZ: CLK200 CGI (C209) 1.8   M271.942 03/09
MERCEDES-BENZ: CLK200 Kompressor (C208) 2.0   M111.944 97/00
MERCEDES-BENZ: CLK200 Kompressor (C208) 2.0   M111.956 00/02
MERCEDES-BENZ: CLK200 Kompressor (C209) 1.8   M271.940 02/09
MERCEDES-BENZ: CLK200 Kompressor (C209) 1.8   M271.955 06/…
MERCEDES-BENZ: CLK230 Kompressor (C208) 2.2   M111973 / M111.975 / M111.982 97/02
MERCEDES-BENZ: CLK240 (C209) 2.5   M112.912 02/09
MERCEDES-BENZ: CLK280 (C209) 3.0   M272.940 05/09
MERCEDES-BENZ: CLK320 (C208) 3.2   M112.940 97/02
MERCEDES-BENZ: CLK320 (C209) 3.2   M112.955 02/09
MERCEDES-BENZ: CLK430 (C208) 4.2   M113.943 68/02
MERCEDES-BENZ: E200 (W210) 2.0   M111.942 95/00
MERCEDES-BENZ: E200 Kompressor (W210) 2.0   M111.957 / M111.947 97/02
MERCEDES-BENZ: E200 Kompressor (W211) 1.8   M271.941 02/08
MERCEDES-BENZ: E200 Kompressor (W211) 1.8   M271.956 06/…
MERCEDES-BENZ: E230 (W210) 2.3   M111.970 95/97
MERCEDES-BENZ: E230 (W211) 2.5   M272.922 07/08
MERCEDES-BENZ: E240 (W210) 2.4   M112.911 / M112.914 97/02
MERCEDES-BENZ: E240 (W211) 2.5   M112.913 / M112.917 02/08
MERCEDES-BENZ: E240 4 Matic (W211) 2.5   M112.917 03/08
MERCEDES-BENZ: E280 (W210) 3.0   M104.945 / M112.921 96/02
MERCEDES-BENZ: E280 (W211) 3.0   M272.943 05/08
MERCEDES-BENZ: E280 4 Matic (W210) 2.8   M112.921 96/02
MERCEDES-BENZ: E280 4 Matic (W211) 3.0   M272.943 06/08
MERCEDES-BENZ: E320 (W210) 3.2   M104.955 / M112.941 95/02
MERCEDES-BENZ: E320 (W211) 3.2   M112.949 02/08
MERCEDES-BENZ: E320 4 Matic (W210) 3.2   M112.941 97/02
MERCEDES-BENZ: E320 4 Matic (W211) 3.2   M112.954 03/08
MERCEDES-BENZ: E420 (W210) 4.2   M119.985 96/07
MERCEDES-BENZ: E430 (W210) 4.2   M113.940 96/02
MERCEDES-BENZ: ML320 (W163) 3.2   M112.942 98/02
MERCEDES-BENZ: ML350 4 Matic (W163) 3.7   M112.970 03/05
MERCEDES-BENZ: ML430 (W163) 4.3   M113.942 98/05</t>
  </si>
  <si>
    <t xml:space="preserve">20292 (SCHADEK)
210103098R (OEM)
702502 (INDISA)
8200332040 (OEM)
UB0802 (URBA)
VKCH86811 (SKF)</t>
  </si>
  <si>
    <t xml:space="preserve">HONDA: Accord 2.4 16V K24A / K24A3 03/…
HONDA: New Civic Si 2.0 16V K20Z4 06/…</t>
  </si>
  <si>
    <t xml:space="preserve">7000752500 (INDISA)
VKPC93614 (SKF)</t>
  </si>
  <si>
    <t xml:space="preserve">CITROEN: C3 1.4 8V TU1JP / TU3JP 03/…
PEUGEOT: 206 / SW 1.4 8V TU1JP / TU3JP 04/08
PEUGEOT: 207 / SW 1.4 8V TU1JP / TU3JP 04/08
PEUGEOT: Hoggar 1.4 8V TU3JP 10/...</t>
  </si>
  <si>
    <t xml:space="preserve">20218 (SCHADEK)
7000952006 (INDISA)
NKBA08807 (NAKATA)
UB0807 (URBA)
VKPC83644 (SKF)</t>
  </si>
  <si>
    <t xml:space="preserve">Polia 18 dentes x 53 mm</t>
  </si>
  <si>
    <t xml:space="preserve">MITSUBISHI: Pajero 3.0 / 3.5 V6 24V Gasolina 6G74 99/…
MITSUBISHI: Triton 3.5 V6 24V Flex 6G74 10/…
MITSUBISHI: Triton 3.5 V6 24V Gasolina 6G74 07/…</t>
  </si>
  <si>
    <t xml:space="preserve">MITSUBISHI: Pajero Dakar 3.2 16V Diesel 4M41 DI-D 07/…
MITSUBISHI: Pajero Full 3.2 16V Diesel 4M41 DI-D 07/…
MITSUBISHI: Triton 3.2 16V Diesel 4M41 DI-D 07/…</t>
  </si>
  <si>
    <t xml:space="preserve">FIAT: 500 1.4 8V 09/…
FIAT: 500 Abarth 1.4 16V Turbo 14/…
FIAT: Bravo T-Jet 1.4 16V Turbo 12/…
FIAT: Grand Siena 1.4 8V EVO 12/…
FIAT: Linea T-Jet 1.4 16V Turbo 09/12
FIAT: Mobi 1.0 8V EVO 16/…
FIAT: Palio 1.0 8V EVO / 1.4 8V EVO 10/…
FIAT: Palio Weekend 1.4 8V EVO 10/…
FIAT: Punto 1.4 8V EVO 10/…
FIAT: Punto T-Jet 1.4 16V Turbo 12/…
FIAT: Siena 1.4 8V EVO 10/…
FIAT: Strada 1.4 8V EVO 10/…
FIAT: Uno 1.0 8V EVO / 1.4 8V EVO 10/…</t>
  </si>
  <si>
    <t xml:space="preserve">7000354013 (INDISA)
UB0773 (URBA)</t>
  </si>
  <si>
    <t xml:space="preserve">Polia 23 dentes x 59 mm</t>
  </si>
  <si>
    <t xml:space="preserve">FORD: Ecosport 1.6 16V Sigma 12/…
FORD: Focus 1.6 16V Sigma 10/…
FORD: Ka / Ka+ 1.5 16V Sigma 14/…
FORD: New Fiesta 1.5 16V Sigma 13/…
FORD: New Fiesta 1.6 16V Sigma 10/…</t>
  </si>
  <si>
    <t xml:space="preserve">7000204500 (INDISA)
VKPC84217 (SKF)</t>
  </si>
  <si>
    <t xml:space="preserve">NISSAN: Livina 1.8 16V   MR18DE 10/…
NISSAN: Sentra 2.0 16V   MR20DE 07/…
NISSAN: Tiida 1.6 16V   MR16DE 07/…
NISSAN: Tiida 1.8 16V   MR18DE 07/…
NISSAN: Versa 1.8 16V   MR18DE 11/…
NISSAN: X Trail 2.0 16V   MR20DE 07/…
RENAULT: Fluence 2.0 16V   M4R 11/…</t>
  </si>
  <si>
    <t xml:space="preserve">20309 (SCHADEK)
21010-ET025 (OEM)
504505 (INDISA)
B1010-ET00A (OEM)
UB0822 (URBA)
VKPC92944A (SKF)</t>
  </si>
  <si>
    <t xml:space="preserve">NISSAN: Frontier 2.5 16V Turbo Diesel YD25 08/…</t>
  </si>
  <si>
    <t xml:space="preserve">KIA: Besta 2.2 Diesel   R2 96/…
KIA: Sportage 2.0 8V Turbo Diesel RFT 99/03
SUZUKI: Grand Vitara 2.0 Turbo Diesel    RF 98/03
SUZUKI: Grand Vitara 2.0 Turbo Diesel    RFM 00/05</t>
  </si>
  <si>
    <t xml:space="preserve">Polia 22 dentes</t>
  </si>
  <si>
    <t xml:space="preserve">Bomba d'água c/ carcaça
Polia 22 dentes</t>
  </si>
  <si>
    <t xml:space="preserve">TOYOTA: Corolla 2.0 16V   3ZR FAE 09/…
TOYOTA: RAV 4 2.0 16V   3ZR FAE 09/…
TOYOTA: RAV 4 2.0 16V   3ZR FAE 12/…</t>
  </si>
  <si>
    <t xml:space="preserve">LEXUS: ES300 3.0 V6   3VZ FE 91/03
TOYOTA: Camry 3.0 V6   3VZ FE 92/06</t>
  </si>
  <si>
    <t xml:space="preserve">TOYOTA: Hilux 3.0 Turbo Diesel   1KZ 97/05
TOYOTA: SW4 3.0 Turbo Diesel   1KZ 97/05</t>
  </si>
  <si>
    <t xml:space="preserve">GM: Cruze 1.8 16V Ecotec 11/…
GM: Sonic 1.6 16V Ecotec 12/…
GM: Tracker 1.8 16V Ecotec 14/…</t>
  </si>
  <si>
    <t xml:space="preserve">7000254500 (INDISA)
NKBA03826 (NAKATA)
UB0165 (URBA)
VKPC85312 (SKF)</t>
  </si>
  <si>
    <t xml:space="preserve">AUDI: A3 2.0 FSI   AXW / BLR / BLX / BLY / BMB / BVY / BVZ 03/08
AUDI: A3 2.0 TFSI   AXX / BWA / CAWB / CCZA 04/12
AUDI: A3 3.2 V6   BDB / BMJ / BUB 03/09
AUDI: A4 2.0 TFSI   BWE 04/12
AUDI: Q7 3.6 24V V6   BHK 06/10
AUDI: S3 2.0   BZC / CDLC 07/12
PORSCHE: Cayenne 3.2 V6   M02.2Y 03/07
PORSCHE: Cayenne 3.6 V6   M55.01 06/…
PORSCHE: Cayenne S 4.8 Turbo   M48.51 06/…
VOLKSWAGEN: Passat / Variant 3.2 24V V6   AZZ / BJK 07/10
VOLKSWAGEN: Passat CC 3.6 V6 FSI   BWS 08/10
VOLKSWAGEN: Touareg 3.2 24V V6   AZZ / BKJ 02/06
VOLKSWAGEN: Touareg 3.6 V6 FSI   BHK / BHL 05/10
VOLKSWAGEN: Touareg 4.2 V8 FSI   BAR 06/10</t>
  </si>
  <si>
    <t xml:space="preserve">GM: Camaro 3.6 24V V6 10/14
GM: Captiva 3.0 24V V6 11/…
GM: Captiva 3.6 24V V6 08/12
GM: Omega 3.6 24V V6 08/12</t>
  </si>
  <si>
    <t xml:space="preserve">FORD: Fusion 3.0 24V V6 10/13</t>
  </si>
  <si>
    <t xml:space="preserve">DODGE: Journey 2.4 16V 4 cil    ED3 / EDG3 08/…
DODGE: Journey 2.7 V6   EER 09/…
FIAT: Freemont 2.4 16V 11/…
FIAT: Toro 2.4 16V 16/…
JEEP: Compass 2.0 16V   ECN 11/…
JEEP: Compass 2.0 16V 16/…
JEEP: Compass 2.4 16V   ERZ 07/…
KIA: Carens 2.0 16V 09/…
MITSUBISHI: ASX 2.0 16V   4B11 10/…
MITSUBISHI: Lancer 1.8 16V   4B10 08/…
MITSUBISHI: Lancer EVO 2.0 16V   4B11T/C 08/…
MITSUBISHI: Outlander 2.0 16V   4B11 06/12
MITSUBISHI: Outlander 2.0 16V   4J11 12/…
MITSUBISHI: Outlander 2.4 16V   4B12 06/12</t>
  </si>
  <si>
    <t xml:space="preserve">AUDI: A3 2.0 TFSI   AXX / BWA / CAWB / CCZA 04/12
AUDI: A3  Quattro 2.0 TFSI   AXX / BWA / CCZA 04/12
AUDI: A4 1.8 20V Turbo   BFB 04/08
AUDI: A4 2.0 TFSI   BPJ / BYK / BGB / BWE / BUL 04/08
AUDI: A6 2.0 TFSI   BPJ 05/11
AUDI: TT 2.0 TFSI   BWA / CCZA / CESA 06/14
VOLKSWAGEN: Jetta TSI 2.0 TFSI   AXX / BWA / BPY 11/…
VOLKSWAGEN: Passat / Variant 2.0 TFSI   BPY / BWA 05/…
VOLKSWAGEN: Tiguan 2.0 TFSI   AXX / BWA 08/…</t>
  </si>
  <si>
    <t xml:space="preserve">Polia 23 dentes</t>
  </si>
  <si>
    <t xml:space="preserve">HYUNDAI: Tucson 2.7 24V V6   G6BA-G 06/…
KIA: Sportage 2.7 24V V6   G6BA 07/…</t>
  </si>
  <si>
    <t xml:space="preserve">HONDA: Accord 2.0 16V   R20A3 08/…
HONDA: Accord 2.4 16V   K24Z3 08/…
HONDA: CRV 2.0 16V   R20A3 07/…
HONDA: CRV 2.0 16V   R20A9 12/…
HONDA: New Civic 2.0 16V   R20A9 13/…</t>
  </si>
  <si>
    <t xml:space="preserve">CITROEN: C4 2.0 16V EW10J4 / EW10A 06/…
CITROEN: C5 2.0 16V EW10J4 / EW10A 01/…
CITROEN: Xsara 2.0 16V EW10J4 / EW10A 00/…
CITROEN: Xsara Picasso 2.0 16V EW10J4 / EW10A 01/…
PEUGEOT: 307 / SW 2.0 16V EW10J4 / EW10A 00/…
PEUGEOT: 406 2.0 16V EW10J4 / EW10A 99/04
PEUGEOT: 407 2.0 16V EW10J4 / EW10A 04/…
PEUGEOT: 607 2.0 16V EW10J4 / EW10A 00/…
PEUGEOT: 806 2.0 16V EW10J4 / EW10A 00/02
PEUGEOT: 807 2.0 16V EW10J4 / EW10A 00/…</t>
  </si>
  <si>
    <t xml:space="preserve">Polia 20 dentes 6 furos de fixação</t>
  </si>
  <si>
    <t xml:space="preserve">TOYOTA: Hilux 2.7 16V Flex   3RZ FE 12/…
TOYOTA: SW4 2.7 16V Flex   3RZ FE 12/…</t>
  </si>
  <si>
    <t xml:space="preserve">GM: Captiva 2.4 16V Ecotec 10/…
GM: Malibu 2.4 16V Ecotec 11/…</t>
  </si>
  <si>
    <t xml:space="preserve">7000254501 (INDISA)
UB0169 (URBA)</t>
  </si>
  <si>
    <t xml:space="preserve">VOLKSWAGEN: Jetta 2.5 20V 5 cil   BTK 07/11
VOLKSWAGEN: Jetta Variant 2.5 20V 5 cil   BTK 07/…</t>
  </si>
  <si>
    <t xml:space="preserve">CITROEN: Jumper 2.3 16V Diesel   F1 06/
FIAT: Ducato 2.3 16V Multijet Diesel   F1 10/…
IVECO: Daily 35 C 10 2.3 16v Diesel   F1 06/…
IVECO: Daily 35 C 15 2.3 16v Diesel   F1 06/…
IVECO: Daily 35 C 18 2.3 16v Diesel   F1 06/…
IVECO: Daily 35 S 14 2.3 16v Diesel   F1 06/…
IVECO: Daily 35 S 15 2.3 16v Diesel   F1 06/…
IVECO: Daily 35 S 18 2.3 16v Diesel   F1 06/…
IVECO: Daily 40 C 12 2.3 16v Diesel   F1 06/…
IVECO: Daily 40 C 15 2.3 16v Diesel   F1 06/…
IVECO: Daily 40 C 18 2.3 16v Diesel   F1 06/…
IVECO: Daily 40 S 14 2.3 16v Diesel   F1 06/…
IVECO: Daily 50 C 15 2.3 16v Diesel   F1 06/…
IVECO: Daily 50 C 18 2.3 16v Diesel   F1 06/…
IVECO: Daily 55 C 16 2.3 16v Diesel   F1 06/…
IVECO: Daily 60 C 15 2.3 16v Diesel   F1 06/…
IVECO: Daily 60 C 18 2.3 16v Diesel   F1 06/…
IVECO: Daily 65 C 15 2.3 16v Diesel   F1 06/…
IVECO: Daily 65 C 18 2.3 16v Diesel   F1 06/…
PEUGEOT: Boxer 2.3 16V Diesel   F1 06/…</t>
  </si>
  <si>
    <t xml:space="preserve">7000354500 (INDISA)
UB0777 (URBA)</t>
  </si>
  <si>
    <t xml:space="preserve">FORD: Transit 2.2 16V / 2.4 16V TDCi / TDE  Duratorq 09/…</t>
  </si>
  <si>
    <t xml:space="preserve">Bomba c/ carcaça</t>
  </si>
  <si>
    <t xml:space="preserve">FIAT: Argo 1.8 16V 17/...
FIAT: Cronos 1.8 16V 18/...
FIAT: Toro 1.8 16V 16/...
JEEP: Renegade 1.8 16V 15/...
MINI: Cooper 1.6 16V   W10B16A 01/07
MINI: Cooper S 1.6 16V   W10B16A 90 02/07
MINI: Cooper Works 1.6 16V   W10B16A 90 03/07
MINI: One 1.4 16V   W10B14A 02/04
MINI: One 1.6 16V   W10B16A 01/07</t>
  </si>
  <si>
    <t xml:space="preserve">Bomba completa 
Direção elétrica
Sistema Melling</t>
  </si>
  <si>
    <t xml:space="preserve">SUBARU: Forester 2.0 Turbo   EJ20 / EJ205 98/02
SUBARU: Forester 2.0 Turbo   EJ205 02/…
SUBARU: Forester 2.5   EJ25 03/…
SUBARU: Impreza 2.0 Turbo   EJ257 08/…
SUBARU: Impreza 2.5 Turbo   EJ20G 96/00
SUBARU: Impreza WRX 2.5 Turbo   EJ255 05/…
SUBARU: Impreza WRX 2.5 Turbo   EJ257 11/…
SUBARU: Lagacy 2.0 Turbo   EJ20GN 92/…
SUBARU: Legacy 2.5 Turbo   EJ25 92/…</t>
  </si>
  <si>
    <t xml:space="preserve">CHRYSLER: 300C 2.7 V6 04/12
CHRYSLER: 300M 2.7 V6 98/04
CHRYSLER: Stratus 2.7 V6 01/06
DODGE: Journey 2.7 V6 09/10</t>
  </si>
  <si>
    <t xml:space="preserve">KIA: Sorento 2.5 CRDi 06/...</t>
  </si>
  <si>
    <t xml:space="preserve">HYUNDAI: HR 2.5 16V CRDi Diesel D4CB 13/...
KIA: Bongo K2500 2.5 16V CRDi Diesel D4CB 13/...
KIA: Sorento 2.5 16V CRDi Diesel D4CB 13/...</t>
  </si>
  <si>
    <t xml:space="preserve">SSANGYONG: Actyon 2.0 16V   D20DT 05/…
SSANGYONG: Actyon Sports 2.0 16V   D20DT 07/…
SSANGYONG: Actyon Sports 2.0 16V   D20DTR 11/…
SSANGYONG: Korando 2.0 16V   D20DTR 11/…
SSANGYONG: Kyron 2.0 16V   D20DT 05/…
SSANGYONG: Kyron 2.0 16V   D20DT 10/…
SSANGYONG: Kyron 2.7 20V   D27DT 06/…
SSANGYONG: Rexton 2.7 20V   D27DT 04/…
SSANGYONG: Rexton 2.7 20V Turbo   D27DTP 11/…</t>
  </si>
  <si>
    <t xml:space="preserve">CHERY: A5 1.6 16V   SQR481F 07/…
CHERY: A5 1.8 16V   SQR481FC 07/…
CHERY: A5 2.0 16V   SQR484F 07/…
CHERY: Cielo 1.6 16V   SQR481F 10/…
CHERY: Tiggo 2.0 16V   SQR484F 10/…</t>
  </si>
  <si>
    <t xml:space="preserve">CHERY: QQ 0.8 12V   SQR372 07/…
CHERY: QQ 1.1 16V   SQR472 / SQR472F 07/…
RELY: Pick Up / Pick Up CD / Pick Up CE 1.0 16V    SQR472WC 13/…
RELY: Van 1.0 16V    SQR472WC 13/…</t>
  </si>
  <si>
    <t xml:space="preserve">FORD: Edge 3.5 24V V6 Duratec 08/10</t>
  </si>
  <si>
    <t xml:space="preserve">Polia com engrenagem simples</t>
  </si>
  <si>
    <t xml:space="preserve">FORD: Edge 3.5 24V V6 Duratec 11/18</t>
  </si>
  <si>
    <t xml:space="preserve">Polia com engrenagem dupla</t>
  </si>
  <si>
    <t xml:space="preserve">FORD: Ranger 2.2 16V TDCi 13/...</t>
  </si>
  <si>
    <t xml:space="preserve">FORD: Ranger 2.2 16V TDCi 13/…</t>
  </si>
  <si>
    <t xml:space="preserve">Bomba d'água completa c/ carcaça + conexões</t>
  </si>
  <si>
    <t xml:space="preserve">AUDI: A3 2.0 16V TFSI   CCZA / CAWB 04/13
AUDI: A4 2.0 16V TFSI   CAEA / CDNB / CFKA 08/…
AUDI: A4 2.0 16V TFSI   CAED / CNCD 13/…
AUDI: A5 2.0 16V TFSI   CDNB / CDNC 08/…
AUDI: A5 2.0 16V TFSI   CNCD 13/…
AUDI: A6 2.0 16V TFSI   CAED 13/…
AUDI: A6 2.0 16V TFSI   CDNB 11/…
AUDI: Q3 2.0 16V TFSI   CCZC / CULB / CPSA 11/…
AUDI: Q5 2.0 16V TFSI   CDNB / CNCB / CAEB / CDNC 09/…
AUDI: TT 2.0 16V TFSI   BWA / CCZA / CESA / CCTA 09/…
VOLKSWAGEN: Beetle 2.0 16V TSI   CBFA / CCTA / CCZA 13/…
VOLKSWAGEN: Golf GTI 2.0 16V TSI   CBFA / CCTA / CCZA 13/…
VOLKSWAGEN: Jetta 2.0 16V TSI   CBFA / CCTA / CCZA / CPLA / CPPA 11/…
VOLKSWAGEN: Passat / Variant 2.0 16V TSI   CCZB 09/…
VOLKSWAGEN: Passat CC 2.0 16V TSI   CBFA / CCTA / CCZA / CPLA / CPPA 11/…
VOLKSWAGEN: Tiguan 2.0 16V TFSI CAWB / CCTA / CCZA 08/…</t>
  </si>
  <si>
    <t xml:space="preserve">AUDI: A3 2.0 TFSI AXX / BWA / CAWB / CCZA / CBFA 04/13
AUDI: A3 2.0 TFSI AXX / BWA / CAWB / CCZA 04/12
AUDI: A3  Quattro 2.0 TFSI AXX / BWA / CCZA 04/12
AUDI: A4 2.0 TFSI CDNB / CAEA / CFKA 08/15
AUDI: A4 2.0 TFSI CDNC / CAEB 08/13
AUDI: A4 2.0 TFSI CFKA 09/15
AUDI: A4 Quattro 2.0 TFSI CDNC / CPMA 08/16
AUDI: A4 Quattro 2.0 TFSI CPMB / CAED 13/16
AUDI: A5 2.0 TFSI CDNB 09/14
AUDI: A5 2.0 TFSI CDNC / CAEB / CAED 09/14
AUDI: A5 Quattro 2.0 TFSI CDNC / CAEB / CPMA 09/17
AUDI: A6 2.0 TFSI CDNB / CAEB / CHJA / CAED 11/...
AUDI: A8 2.0 TFSI CHJA 12/...
AUDI: Q3 2.0 TFSI CCZC / CPSA / CULC 11/...
AUDI: Q5 2.0 TFSI CDNB / CNCB / CDNC / CAEB / CPMA 09/...
AUDI: Q5 2.0 TFSI CHJA 11/...
AUDI: Q5 2.0 TFSI CPMB 13/...
AUDI: Tiguan 2.0 TSI CCZD 11/...
AUDI: TT 2.0 TFSI BWA / CCZA / CESA / CETA 06/14
VOLKSWAGEN: Beetle 2.0 TSI CCTA / CBFA / CCZA 11/...
VOLKSWAGEN: Golf GTI 2.0 TSI CBFA / CCTA / CCZA / CCZB 13/...
VOLKSWAGEN: Jetta 2.0 TSI CCTA / CBFA / CCZA 10/...
VOLKSWAGEN: Passat 2.0 FSI AXX / BWA / BPY / CAWB / CCTA / CBFA / CCZA 05/10
VOLKSWAGEN: Passat 2.0 TSI CCZB 10/14
VOLKSWAGEN: Passat CC 2.0 TSI CCZB 11/16
VOLKSWAGEN: Tiguan 2.0 TFSI CAWA / CCZC / CAWB / CCTA / CCZA 07/...</t>
  </si>
  <si>
    <t xml:space="preserve">Bomba c/ carcaça + válvula termostática
Polia 29 dentes</t>
  </si>
  <si>
    <t xml:space="preserve">Bomba c/ carcaça em alumínio + válvula termostática
Polia 29 dentes</t>
  </si>
  <si>
    <t xml:space="preserve">LEXUS: ES350 3.5 V6   2GR FE / 2GR FXE 07/14
TOYOTA: Camry 3.5 V6   2GR FE / 2GR FXE 07/14</t>
  </si>
  <si>
    <t xml:space="preserve">FORD: Ranger 3.2 20V TDCi 13/...
TROLLER: T4 3.2 20V TDCi 14/...</t>
  </si>
  <si>
    <t xml:space="preserve">FORD: Ranger 3.2 20V TDCi 13/…
TROLLER: T4 3.2 20V TDCi 14/…</t>
  </si>
  <si>
    <t xml:space="preserve">HYUNDAI: Azera 3.0 24V V6 12/…
HYUNDAI: Azera 3.3 24V V6   G6DB 07/11
HYUNDAI: Equus 3.8 24V V6   G6DA 09/…
HYUNDAI: Genesis 3.8 24V V6   G6DA 09/…
HYUNDAI: Santa Fe 3.3 24V V6   G6DB 13/…
HYUNDAI: Santa Fe 3.5 24V V6   G6CU 10/…
HYUNDAI: Vera Cruz 3.8 24V V6   G6DA 07/12
KIA: Cadenza 3.5 24V V6   G6CU 11/…
KIA: Mohave 3.0 24V V6 10/…
KIA: Mohave 3.8 24V V6   G6DA 10/…
KIA: Sorento 3.3 24V V6   G6DG 07/…
KIA: Sorento 3.5 24V V6   G6CU 07/…</t>
  </si>
  <si>
    <t xml:space="preserve">HYUNDAI: iX35 2.0 16V   GKD 11/…
HYUNDAI: Sonata 2.4 16V   GKE 11/…
KIA: Sportage 2.0 16V   GKD 11/…</t>
  </si>
  <si>
    <t xml:space="preserve">FORD: Ka / Ka Sedan 1.0 12V 3 cil 14/23
FORD: New Fiesta 1.0 12V 3 cil. Ecoboost 16/19</t>
  </si>
  <si>
    <t xml:space="preserve">20273 (SCHADEK)
204502 (INDISA)
CM5G8501F7B (OEM)
CM5Z8501C (OEM)
UB0956 (URBA)
VKPC4916 (SKF)</t>
  </si>
  <si>
    <t xml:space="preserve">HYUNDAI: HB20 1.0 12V 3 cil   B3LA / G3LA 12/…
HYUNDAI: HB20 1.0 12V Turbo 18/...
KIA: Picanto 1.0 12V 3 cil   B3LA / G3LA / F3LAB 12/…</t>
  </si>
  <si>
    <t xml:space="preserve">7000854513 (INDISA)
UB0421 (URBA)</t>
  </si>
  <si>
    <t xml:space="preserve">SMART: Fortwo 1.0 12V 3 cil   M132.910 07/…</t>
  </si>
  <si>
    <t xml:space="preserve">Bomba c/ polia</t>
  </si>
  <si>
    <t xml:space="preserve">Bomba c/ polia e carcaça</t>
  </si>
  <si>
    <t xml:space="preserve">IVECO: Daily 35 S 14 3.0 Turbo Diesel   F1C 08/…
IVECO: Daily 45 S 14 3.0 Turbo Diesel   F1C 08/…
IVECO: Daily 55 C 16 3.0 Turbo Diesel   F1C 08/…
IVECO: Daily 70 C 16 3.0 Turbo Diesel   F1C 08/…</t>
  </si>
  <si>
    <t xml:space="preserve">758503 (INDISA)
VBD704 (VETORE)</t>
  </si>
  <si>
    <t xml:space="preserve">IVECO: Daily 35 S 14 3.0 Turbo Diesel   F1C 17/...
IVECO: Daily 45 S 14 3.0 Turbo Diesel   F1C 17/...
IVECO: Daily 55 C 16 3.0 Turbo Diesel   F1C 17/...
IVECO: Daily 70 C 16 3.0 Turbo Diesel   F1C 17/...</t>
  </si>
  <si>
    <t xml:space="preserve">758509 (INDISA)
VKPC4927 (SKF)</t>
  </si>
  <si>
    <t xml:space="preserve">Suporte 83mm</t>
  </si>
  <si>
    <t xml:space="preserve">CHANA: Cargo 1.0 8V 06/…
CHANA: Family 1.0 8V 06/…
CHANA: Utility 1.0 8V 06/…
EFFA MOTORS: K01 Pick Up Simples 1.0 8V 08/…
EFFA MOTORS: K02 Pick Up Dupla 1.0 8V 08/…
HAFEI: Towner Jr Pick Up 1.0 8V 07/…
HAFEI: Towner Jr Van 1.0 8V 07/…</t>
  </si>
  <si>
    <t xml:space="preserve">LAND ROVER: Discovery III 2.7 V6 TD   276DT 04/09
LAND ROVER: Discovery IV 2.7 V6 TD   276DT 09/…
LAND ROVER: Range Rover Sport 2.7 TD 4x4  276DT 05/13</t>
  </si>
  <si>
    <t xml:space="preserve">LAND ROVER: Discovery Sport 2.2 TD4      224DT 15/…
LAND ROVER: Evoque 2.2 TD4      224DT 14/…
LAND ROVER: Freelander 2 2.2 TD4      224DT / DW12BTED4 06/14</t>
  </si>
  <si>
    <t xml:space="preserve">LAND ROVER: Evoque 2.0 Si4       204PT 11/…
VOLVO: C30 1.8 16V / 2.0 16V 06/…
VOLVO: S40 1.8 16V / 2.0 16V 07/…
VOLVO: S60 2.0 20V Turbo 5 cil 05/…
VOLVO: S60 T5 2.0 20V Turbo 5 cil 05/…
VOLVO: S80 2.0 16V 07/…
VOLVO: S80 2.0 20V Turbo 5 cil 10/…
VOLVO: V60 2.0 20V Turbo 5 cil 06/…
VOLVO: V60 T5 2.0 20V Turbo 5 cil 10/…
VOLVO: V70 2.0 16V 07/…
VOLVO: V70 2.0 20V Turbo 5 cil 10/…
VOLVO: V70 T5 2.0 20V Turbo 5 cil 10/…
VOLVO: XC60 2.0 20V Turbo 5 cil 10/…
VOLVO: XC60 T5 2.0 20V Turbo 5 cil 10/…</t>
  </si>
  <si>
    <t xml:space="preserve">MERCEDES-BENZ: B180 1.7   M266.940 09/…
MERCEDES-BENZ: B200 2.0   M266.960 05/…
MERCEDES-BENZ: B200 Turbo 2.0   M266.980 05/…</t>
  </si>
  <si>
    <t xml:space="preserve">BMW: 135i 3.0 6 cil N54 B30A / N55 B30A 07/13
BMW: 335i 3.0 6 cil N54 B30A / N55 B30A 06/13
BMW: 535i 3.0 6 cil N54 30A / N55 B30A 09/17
BMW: 640i 3.0 6 cil N54 B30A / N55 B30A 11/18
BMW: 740i 3.0 6 cil N54 B30A / N55 B30A 08/15
BMW: X3 (F25) xDrive 35i 3.0 6 cil N54 B30A / N55 B30A 10/17
BMW: X4 (F26) xDrive 35i 3.0 6 cil N54 B30A / N55 B30A 14/18
BMW: X5 (E70) xDrive 35i 3.0 6 cil N54 B30A / N55 B30A 10/13
BMW: X6(E71/72) xDrive 35i 3.0 6 cil N54 B30A / N55 B30A 08/14
BMW: Z4 (E89) sDrive 35i 3.0 6 cil N54 B30A / N55 B30A 09/16</t>
  </si>
  <si>
    <t xml:space="preserve">Bomba d'água elétrica 12,5V</t>
  </si>
  <si>
    <t xml:space="preserve">BMW: 130i (E81) 3.0   N52 B30A / N52 B30B / N52 B30BF 06/12
BMW: 130i (E87) 3.0   N52 B30A / N52 B30AF / N52 B30B / N52 B30BF 05/12
BMW: 323i (E90) 2.5   N52 B25A 08/11
BMW: 325i (E90) 2.5   N52 B25A 05/11
BMW: 325i (E90) 3.0   N53 B30A 07/11
BMW: 330i (E90) 3.0   N52 B30A / N53 B30A 07/11
BMW: 330i (E90) 3.0   N52 B30A 05/11
BMW: X1 (E84) xDrive 25i 3.0   N52 B30A 10/15
BMW: X1 (E84) xDrive 28i 3.0   N52 B30A 09/15
BMW: X3 (E83) xDrive 25i 2.5   N52 B25A 06/…
BMW: X3 (E83) xDrive 30i 3.0   M54 B30 / N52 B30A 06/11
BMW: X5 (E70) 3.0    N52 B30A 07/08
BMW: X5 (E70) xDrive 30i 3.0    N52 B30A 08/10
BMW: Z4 (E85) 2.5   N52 B25A 05/09
BMW: Z4 (E85) 3.0   N52 B30A 06/08
BMW: Z4 (E89) sDrive 23i 2.5   N52 B25A 09/…
BMW: Z4 (E89) sDrive 30i 3.0   N52 B30A 09/…</t>
  </si>
  <si>
    <t xml:space="preserve">Bomba d'água elétrica 12V
Conector 4 pinos</t>
  </si>
  <si>
    <t xml:space="preserve">BMW: 523i (F10/F11) 2.5 6 cil 	N52 B25 AF/N52 B25A/N52 B25B/N52 B25BF 09/16
BMW: 523i (F10/F11) 3.0 6 cil N53 B30 A 09/16
BMW: 528i (F10/F11) 3.0 6 cil N53 B30 A 09/16
BMW: 530i (F10/F11) 3.0 6 cil N52 B30 A/N52 B30 BF/N52 B30 AF 09/16
BMW: 730i (F01/F02/F03/F04) 3.0 6 cil 	N52 B30 A/N52 B30 BF/N52 B30 AF 09/16
BMW: X3 (F25) xDrive 28i 3.0 6 cil 	N52 B30 A/N52 B30 BF/N52 B30 AF 09/16</t>
  </si>
  <si>
    <t xml:space="preserve">Bomba d'água elétrica 12V</t>
  </si>
  <si>
    <t xml:space="preserve">LAND ROVER: Discovery IV 3.0 V6 TD 4x4   306DT / 30DDTX 09/18
LAND ROVER: Range Rover Sport 3.0 D 4x4 306DT 10/18</t>
  </si>
  <si>
    <t xml:space="preserve">VOLKSWAGEN: Crossfox 1.6 16V EA211 15/…
VOLKSWAGEN: Fox 1.0 12V 3 cil EA211 14/…
VOLKSWAGEN: Fox 1.6 16V EA211 15/…
VOLKSWAGEN: Fox Bluemotion 1.0 12V 3 cil EA211 14/…
VOLKSWAGEN: Gol 1.0 12V 3 cil EA211 14/…
VOLKSWAGEN: Gol 1.6 16V EA211 14/…
VOLKSWAGEN: Golf 1.6 16V EA211 16/…
VOLKSWAGEN: Saveiro 1.6 16V EA211 14/…
VOLKSWAGEN: Spacefox 1.6 16V EA211 14/…
VOLKSWAGEN: Up 1.0 12V 3 cil EA211 14/…
VOLKSWAGEN: Voyage 1.0 12V 3 cil EA211 16/…
VOLKSWAGEN: Voyage 1.6 16V EA211 14/…</t>
  </si>
  <si>
    <t xml:space="preserve">AUDI: A1 1.4 16V TFSI 10/21
AUDI: A3 1.4 16V TFSI 12/21
AUDI: A3 Sedan 1.4 16V TFSI 13/…
AUDI: Q3 1.4 16V TFSI 14/21
VOLKSWAGEN: Crossfox 1.6 16V 14/18
VOLKSWAGEN: Fox 1.0 12V 3cil 14/19
VOLKSWAGEN: Fox 1.6 16V 15/19
VOLKSWAGEN: Gol 1.0 12V 3cil 16/19
VOLKSWAGEN: Gol 1.6 16V 15/21
VOLKSWAGEN: Golf 1.0 12V TSI 16/18
VOLKSWAGEN: Golf 1.4 16V TSI 13/…
VOLKSWAGEN: Golf 1.4 16V TSI 14/18
VOLKSWAGEN: Golf 1.6 16V 16/18
VOLKSWAGEN: Golf Variant 1.4 16V TSI 15/18
VOLKSWAGEN: Jetta 1.4 16V TSI 15/...
VOLKSWAGEN: Jetta TSI 1.4 16V TSI 16/…
VOLKSWAGEN: Nivus 1.0 12V TSI 20/...
VOLKSWAGEN: Polo 1.0 12V TSI 17/...
VOLKSWAGEN: Polo 1.6 16V 17/...
VOLKSWAGEN: Polo GTS 1.4 16V TSI 20/...
VOLKSWAGEN: Saveiro 1.6 16V 14/21
VOLKSWAGEN: Space Cross 1.6 16V 15/17
VOLKSWAGEN: Spacefox 1.6 16V 14/18
VOLKSWAGEN: T-Cross 1.0 12V TSI 19/...
VOLKSWAGEN: T-Cross 1.4 16V TSI 19/...
VOLKSWAGEN: Tiguan 1.4 16V TSI 16/…
VOLKSWAGEN: Up 1.0 12V 3cil 14/21
VOLKSWAGEN: Up 1.0 12V TSI 14/21
VOLKSWAGEN: Virtus 1.0 12V TSI 18/...
VOLKSWAGEN: Virtus 1.6 16V 18/...
VOLKSWAGEN: Voyage 1.0 12V 3cil 16/19
VOLKSWAGEN: Voyage 1.6 16V 16/21</t>
  </si>
  <si>
    <t xml:space="preserve">Bomba c/ carcaça + válvula termostática</t>
  </si>
  <si>
    <t xml:space="preserve">Bomba d'água completa com carcaça</t>
  </si>
  <si>
    <t xml:space="preserve">MERCEDES-BENZ: C180 (W203) 2.0 4cil M111.951 00/07</t>
  </si>
  <si>
    <t xml:space="preserve">MERCEDES-BENZ: A160 (W176) 1.6 4cil M270.910 15/...
MERCEDES-BENZ: A180 (W176) 1.8 4cil M.270.910 12/...
MERCEDES-BENZ: A200 (W176) 1.6 4cil M270.910 14/...
MERCEDES-BENZ: A220 (W176) 2.0 4cil M270.920 14/...
MERCEDES-BENZ: A250 (W176) 2.0 4cil M270.920 12/...
MERCEDES-BENZ: B180 (W242/W246) 1.6 4cil M270.910 11/...
MERCEDES-BENZ: B200 (W242/W246) 1.6 4cil M270.910 11/...
MERCEDES-BENZ: B220 (W242/W246) 2.0 4cil M270.920 13/...
MERCEDES-BENZ: B250 (W242/W246) 2.0 4cil M270.920 12/...
MERCEDES-BENZ: CLA180 (X117) 1.6 4cil M270.910 15/...
MERCEDES-BENZ: CLA200 (X117) 1.6 4cil M270.910 15/...
MERCEDES-BENZ: CLA220 (X117) 2.0 4cil M270.920 15/...
MERCEDES-BENZ: CLA250 (X117) 2.0 4cil M270.920 15/...
MERCEDES-BENZ: GLA180 (X156) 1.6 4cil M270.910 15/...
MERCEDES-BENZ: GLA200 (X156) 1.6 4cil M270.910 13/...
MERCEDES-BENZ: GLA220 (X156) 2.0 4cil M270.920 17/...
MERCEDES-BENZ: GLA250 (X156) 2.0 4cil M270.920 13/...</t>
  </si>
  <si>
    <t xml:space="preserve">Bomba d'água completa</t>
  </si>
  <si>
    <t xml:space="preserve">116002 (INDISA)
20303 (SCHADEK)
UB0490 (URBA)</t>
  </si>
  <si>
    <t xml:space="preserve">BMW: 550i 4.4 8 cil N63 B44A 10/13
BMW: 550i xDrive 4.4 8 cil N63 B44A 10/13
BMW: 750i 4.4 8 cil N63 B44A 08/12
BMW: X5 xDrive 50i 4.4 8 cil N63 B44A 10/13
BMW: X6 xDrive 50i 4.4 8 cil N63 B44A 08/14</t>
  </si>
  <si>
    <t xml:space="preserve">BMW: 216i (F45/F46) 1.5 3 cil. B38A15A 15/18
BMW: 218i (F45/F46) 1.5 3 cil. B38A15A/B38A15F 15/...
BMW: 220i (F45/F46) 2.0 B48A20A 15/...
BMW: X1 sDrive18i (F48) 1.5 Turbo 3 cil B38A15A 14/17
BMW: X1 sDrive18i (F48) 1.5 Turbo 3 cil B38A15A 17/...
BMW: X1 sDrive20i (F48) 2.0 4 cil B48A20A 14/...
BMW: X1 sDrive25i (F48) 2.0 4 cil B48A20A / B48A20B 14/...
BMW: X2 sDrive18i (F39) 1.5 3 cil. B38A15A/B32S15A/B38A15F 18/23
BMW: X2 sDrive20i (F39) 2.0 B48A20A/B42S20A 17/23
MINI: Cooper 1.5 Turbo 3 cil B38A15A 13/...
MINI: Cooper S 2.0 4 cil B48A20A 14/...
MINI: John Cooper Works 2.0 4 cil B48 A20B 15/...
MINI: One 1.2 3 cil B38A12A 14/17
MINI: One 1.5 Turbo 3 cil B38 A15A 17/...
MINI: One First 1.2 3 cil B38 A12A 14/17
MINI: One First 1.5 Turbo 3 cil B38 A15A 17/...</t>
  </si>
  <si>
    <t xml:space="preserve">11518601366 (OEM)
11518623574 (OEM)
11518623576 (OEM)</t>
  </si>
  <si>
    <t xml:space="preserve">FORD: Mustang 3.7 V6 11/17</t>
  </si>
  <si>
    <t xml:space="preserve">Polia triangular
Com junta de metal</t>
  </si>
  <si>
    <t xml:space="preserve">Polia redonda
Com junta de metal</t>
  </si>
  <si>
    <t xml:space="preserve">NISSAN: Xtrail 2.5 16V 4x4 QR25DE 05/13</t>
  </si>
  <si>
    <t xml:space="preserve">AUDI: A4 3.0 V6 TFSI CMUA/CRED 12/15
AUDI: A5 3.0 V6 TFSI CMUA/CRED/CHMB 11/17
AUDI: A6 3.0 V6 TFSI CGWB/CGXB/CTUA/CGWD 10/18
AUDI: Q5 3.0 V6 TFSI CTUC/CTVA 12/17
AUDI: Q7 3.0 V6 TFSI CTUC / CTVA 11/17
AUDI: S4 3.0 V6 TFSI CAKA/CCBA/CGXC/CTUB/CGWC/CREC 08/15
AUDI: S5 3.0 V6 TFSI CAKA/CGXC/CTUB/CGWC/CREC/CTDA 11/17
AUDI: SQ5 3.0 V6 TFSI CTUD/CTXA 13/17
VOLKSWAGEN: Touareg 3.0 V6 TSI CGFA/CGEA 10/18</t>
  </si>
  <si>
    <t xml:space="preserve">06E121016A (OEM)
06E121016C (OEM)
06E121016CX (OEM)
06E121016G (OEM)
06E121016QX (OEM)</t>
  </si>
  <si>
    <t xml:space="preserve">BOMBA D´ÁGUA</t>
  </si>
  <si>
    <t xml:space="preserve">GM: Tracker 2.5 V6 24V 4x4 H25A 04/...
SUZUKI: Grand Vitara 2.5 V6 24V 4x4 H25A 98/03
SUZUKI: Grand Vitara 2.7 V6 24V 4x4 H27A 01/05</t>
  </si>
  <si>
    <t xml:space="preserve">SUZUKI: Jimny 1.3 16V G13BA 98/...
SUZUKI: Samurai 1.3 16V G13BA 91/98
SUZUKI: Samurai 1.3 8V G13BA 91/98</t>
  </si>
  <si>
    <t xml:space="preserve">FORD: Mondeo 2.5 V6 24V SEA 94/96
FORD: Mondeo 2.5 V6 24V SEA/SEB/SEC 96/01
FORD: Mondeo 3.0 V6 24V REBA 04/07
FORD: Taurus 2.5 V6 24V SEA/SEB/SEC 95/04
JAGUAR: X-Type 2.5 V6 24V XB(AJ-V6) 01/09
JAGUAR: X-Type 3.0 V6 24V AJ-V6 01/08
MAZDA: MPV 2.5 V6 24V 00/01
MAZDA: MPV 3.0 V6 24V 02/03</t>
  </si>
  <si>
    <t xml:space="preserve">204013 (INDISA)
VKPC84626 (SKF)</t>
  </si>
  <si>
    <t xml:space="preserve">SUZUKI: Grand Vitara 2.0 16V 4x4 JB416 05/...
SUZUKI: Jimny 1.3 16V G13BB 98/...
SUZUKI: Jimny 1.3 16V M13A 01/...
SUZUKI: Jimny 1.3 16V M13A 14/...
SUZUKI: SX4 1.6 16V M16A 06/...
SUZUKI: Vitara 1.6 16V M16A 15/...</t>
  </si>
  <si>
    <t xml:space="preserve">ISUZU: GMC 7110 4.3 8V Diesel 4HF1 96/03</t>
  </si>
  <si>
    <t xml:space="preserve">SWP281</t>
  </si>
  <si>
    <t xml:space="preserve">KIA: Bongo K2400 2.4 8V Diesel 93/97</t>
  </si>
  <si>
    <t xml:space="preserve">LAND ROVER: Discovery IV 3.0 V6 306PS Gasolina 13/...
LAND ROVER: Discovery IV 5.0 V8 508PN Gasolina 09/...
LAND ROVER: Discovery V 3.0 V6 306PS Gasolina 16/...
LAND ROVER: Range Rover 3.0 V6 306PS Gasolina 09/15
LAND ROVER: Range Rover 5.0 V8 508PN/508PS Gasolina 09/15
LAND ROVER: Range Rover Sport 3.0 V6 306PS 16/...
LAND ROVER: Range Rover Sport 3.0 V6 306PS Gasolina 09/15
LAND ROVER: Range Rover Sport 5.0 V8 508PN/508PS Gasolina 09/15
LAND ROVER: Range Rover Sport 5.0 V8 508PS Gasolina 16/...
LAND ROVER: Velar 3.0 V6 306PS Gasolina 17/...</t>
  </si>
  <si>
    <t xml:space="preserve">RENAULT: Kwid 1.0 12V 3 cil 17/...
RENAULT: Logan 1.0 12V 3 cil 16/...
RENAULT: Sandero 1.0 12V 3 cil 16/...</t>
  </si>
  <si>
    <t xml:space="preserve">20314 (SCHADEK)
210101347R (OEM)
210102662R (OEM)
702521 (INDISA)
NKBA09826 (NAKATA)
UB0844 (URBA)</t>
  </si>
  <si>
    <t xml:space="preserve">CITROEN: Aircross 1.2 3 cil EB2F/EB2FA 17/...
CITROEN: C3 1.2 3 cil EB2F/EB2FB/EBFAD 16/...
CITROEN: C4 Cactus 1.2 3 cil EB2D/EB2FD 17/...
PEUGEOT: 2008 1.2 3 cil EB2/EB2F/EB2FA 18/...
PEUGEOT: 208 1.2 3 cil EB2FAD 18/...</t>
  </si>
  <si>
    <t xml:space="preserve">20350 (SCHADEK)
952512 (INDISA)
9803442480 (OEM)
VKPC83102 (SKF)</t>
  </si>
  <si>
    <t xml:space="preserve">CITROEN: Aircross 1.2 THP EB2DT/EB2ADT/EB2DTS/EB2ADTS 17/...
CITROEN: C3 1.2 THP EB2DT 17/...
PEUGEOT: 2008 1.2 THP EB2ADTD/EB2ADTS/EB2ADTX 19/...
PEUGEOT: 208 1.2 THP EB2ADT/EB2DTS/EB2ADTS 19/...
PEUGEOT: 308 1.2 THP EB2ADT/EB2ADTS 21/...</t>
  </si>
  <si>
    <t xml:space="preserve">CHERY: QQ 1.0 12V 15/...</t>
  </si>
  <si>
    <t xml:space="preserve">DODGE: Ram 1500 3.0 V6 Ecodiesel 14/19
JEEP: Grand Cherokee 3.0 V6 CRD Diesel 4x4 EXF 11/...</t>
  </si>
  <si>
    <t xml:space="preserve">Bomba c/ sensor de temperatura</t>
  </si>
  <si>
    <t xml:space="preserve">CITROEN: C4 / C4 Picasso 2.0 16V RHE/AHR 09/...
CITROEN: C4 Grand Picasso 2.0 16V RHE/RHH 09/...
CITROEN: C5 2.0 16V RHE/RHH 09/...
CITROEN: DS4 2.0 16V AHV/RHD/AHS 11/15
CITROEN: DS5 2.0 16V RHD/RHH/RHC 11/15
PEUGEOT: 3008 2.0 16V RHD/RHE/RHH 09/16
PEUGEOT: 308 2.0 16V RHE/RHH 11/14
PEUGEOT: 407 2.0 16V RHH 09/...
PEUGEOT: 508 2.016V RHH/RHC 10/18
PEUGEOT: 807 2.0 16V RHR/RHH 09/...</t>
  </si>
  <si>
    <t xml:space="preserve">MERCEDES-BENZ: C180 (A205) 1.6 Turbo M274 16/...
MERCEDES-BENZ: C200 (A205) 2.0 16V M274 16/...
MERCEDES-BENZ: C250 (A205) 2.0 16V Turbo M274 16/...
MERCEDES-BENZ: C300 (A205) 2.0 16V Turbo M274 16/...
MERCEDES-BENZ: E180 (W213) 1.6 16V Turbo M274 17/...
MERCEDES-BENZ: E200 (W213) 2.0 16V M274 16/...
MERCEDES-BENZ: GLC250 (C253) 2.0 16V Turbo M274 16/...
MERCEDES-BENZ: GLC350 (C253) 2.0 16V Turbo M274 16/...</t>
  </si>
  <si>
    <t xml:space="preserve">Bomba completa c/ válvula termostática</t>
  </si>
  <si>
    <t xml:space="preserve">CHRYSLER: Town &amp; Country 3.3 V6 07/...
CHRYSLER: Town &amp; Country 3.8 V6 07/...
CHRYSLER: Voyager 3.3 V6 03/...
DODGE: Caravan 3.3 V6 07/...
DODGE: Grand Caravan 3.3 V6 07/...
DODGE: Grand Caravan 3.8 V6 07/...</t>
  </si>
  <si>
    <t xml:space="preserve">CITROEN: C3 1.0 6V Firefly 22/...
FIAT: Argo 1.0 3 cil Firefly 17/...
FIAT: Argo 1.3 4 cil Firefly 17/...
FIAT: Cronos 1.0 3 cil Firefly 17/...
FIAT: Cronos 1.3 4 cil Firefly 17/...
FIAT: Mobi 1.0 3 cil Firefly 17/...
FIAT: Uno 1.0 3 cil Firefly 17/...
FIAT: Uno 1.3 4 cil Firefly 17/...
PEUGEOT: 208 1.0 6V Firefly 22/...</t>
  </si>
  <si>
    <t xml:space="preserve">20304 (SCHADEK)
354512 (INDISA)
46335821 (OEM)
NKBA01774 (NAKATA)
UB0785 (URBA)</t>
  </si>
  <si>
    <t xml:space="preserve">VOLKSWAGEN: Amarok 3.0 V6 TDI DDXB/DDXE 17/...</t>
  </si>
  <si>
    <t xml:space="preserve">059121016D (OEM)
20331 (SCHADEK)
454511 (INDISA)</t>
  </si>
  <si>
    <t xml:space="preserve">MITSUBISHI: Pajero 2.4 16V Diesel 4N15 19/...
MITSUBISHI: Triton 2.4 16V Diesel 4N15 17/...</t>
  </si>
  <si>
    <t xml:space="preserve">HONDA: HRV 1.5 16V 22/...
HONDA: New Fit 1.5 16V L15B2 15/...</t>
  </si>
  <si>
    <t xml:space="preserve">192005R0003 (OEM)
752511 (INDISA)</t>
  </si>
  <si>
    <t xml:space="preserve">JEEP: Grand Cherokee 2.7 Diesel 5 cil ENF 98/05</t>
  </si>
  <si>
    <t xml:space="preserve">NISSAN: Frontier 2.3 16V 16/...</t>
  </si>
  <si>
    <t xml:space="preserve">Flange com rosca para polia viscosa</t>
  </si>
  <si>
    <t xml:space="preserve">GM: Onix 1.0 12V 3 cil Aspirado 20/...
GM: Onix Plus 1.0 12V 3 cil Aspirado 20/...</t>
  </si>
  <si>
    <t xml:space="preserve">20346 (SCHADEK)
254562 (INDISA)
55496679 (OEM)
UB0181 (URBA)</t>
  </si>
  <si>
    <t xml:space="preserve">GM: Montana 1.2 12V 3 cil Turbo 23/...
GM: Onix 1.0 12V 3 cil Turbo 20/...
GM: Onix Plus 1.0.12V 3 cil Turbo 20/...
GM: Tracker 1.0 12V 3 cil Turbo 20/...
GM: Tracker 1.2 12V 3 cil Turbo 20/...</t>
  </si>
  <si>
    <t xml:space="preserve">20347 (SCHADEK)
254561 (INDISA)
55513475 (OEM)
UB0182 (URBA)</t>
  </si>
  <si>
    <t xml:space="preserve">HONDA: CRV 2.0 16V E-CVT Híbrido 23/...
TOYOTA: Prius 1.8 16V Hybrid 09/...</t>
  </si>
  <si>
    <t xml:space="preserve">161A029015 (OEM)
161A039015 (OEM)</t>
  </si>
  <si>
    <t xml:space="preserve">CHERY: Arrizo 5 1.5 16V Turbo E4T15B / E4G16 19/...
CHERY: Arrizo 6 1.5 16V Turbo E4T15B / E4G16 19/...
CHERY: Tiggo 5X 1.5 16V Turbo E4T15B / E4G16 19/...
CHERY: Tiggo 7 1.6 16V Turbo E4G16 19/...</t>
  </si>
  <si>
    <t xml:space="preserve">Bomba d'água com polia</t>
  </si>
  <si>
    <t xml:space="preserve">CHERY: Tiggo 2 1.5 16V Flex 4G15B 16/...</t>
  </si>
  <si>
    <t xml:space="preserve">CHERY: Tiggo 7 Pro 1.6 16V Turbo SQRF4J16 21/...
CHERY: Tiggo 8 1.6 16V Turbo SQRF4J16 21/...</t>
  </si>
  <si>
    <t xml:space="preserve">F4J161307020 (OEM)</t>
  </si>
  <si>
    <t xml:space="preserve">SWP302H</t>
  </si>
  <si>
    <t xml:space="preserve">C/ Polia
C/ Carcaça</t>
  </si>
  <si>
    <t xml:space="preserve">FORD: Fusion 1.5 Ecoboost 19/...
FORD: Territory 1.5 Ecoboost 20/...</t>
  </si>
  <si>
    <t xml:space="preserve">MERCEDES-BENZ: A45 AMG (W176) 2.0 16V Turbo M133.980 13/...
MERCEDES-BENZ: CLA45 AMG (C117) 2.0 16v Turbo M133.980 13/...
MERCEDES-BENZ: GLA45 AMG (X156) 2.0 16V Turbo M133.980 14/...</t>
  </si>
  <si>
    <t xml:space="preserve">MERCEDES-BENZ: A160 (W177) 1.3 16V Turbo M282.914 18/...
MERCEDES-BENZ: A180 (W177) 1.3 13V Turbo M282.914 18/...
MERCEDES-BENZ: A200 (W177) 1.3 16V Turbo M282.914 18/...
MERCEDES-BENZ: B160 (W247) 1.3 16V Turbo M282.914 18/...
MERCEDES-BENZ: B180 (W247) 1.3 16V Turbo M282.914 18/...
MERCEDES-BENZ: B200 (W247) 1.3 16V Turbo M282.914 18/...
MERCEDES-BENZ: CLA180 (X118) 1.3 16V Turbo M282.914 19/...
MERCEDES-BENZ: CLA200 (X118) 1.3 16V Turbo M282.914 19/...
MERCEDES-BENZ: GLA180 (X247) 1.3 16V Turbo M282.914 20/...
MERCEDES-BENZ: GLA200 (X247) 1.3 16V Turbo M282.914 20/...
MERCEDES-BENZ: GLB180 (X247) 1.3 16V Turbo M282.914 19/...
MERCEDES-BENZ: GLB200 (X247) 1.3 16V Turbo M282.914 19/...
RENAULT: Captur 1.3 3cil Turbo H5H470 20/...</t>
  </si>
  <si>
    <t xml:space="preserve">1609417680 (OEM)
952509 (INDISA)</t>
  </si>
  <si>
    <t xml:space="preserve">BMW: 120i (F20/F21) 2.0 16V B48B20A 16/19
BMW: 125i (F20/F21) 2.0 16V B48B20A 16/19
BMW: 220i (F22/F87) 2.0 16V B48B20A 15/21
BMW: 230i (F22/F87) 2.0 16V B48B20B / B46B20B 16/21
BMW: 320i (F30/F80) 2.0 16V B48B20A 15/18
BMW: 320i (F31) 2.0 16V 15/19
BMW: 320i (G20) 1.6 16V B48B16A 19/...
BMW: 330i (F30/F80) 2.0 16V B48B20A . B46B20B 15/18
BMW: 330i (F31) 2.0 16V B48B20A / B46B20B 15/19
BMW: 420i (F32/F82) 2.0 16V B48B20A 16/20
BMW: 430i (F32/F82) 2.0 16V B48B20B / B46B20B 16/20
BMW: 530i (G30/G21) 2.0 16V B48B20A / B46B20B 15/20
BMW: 630i (G32) 2.0 16V B48B20A / B46B20B 15/20
BMW: 730i (G11/G12) 2.0 16V B48B20A / B46B20B 14/20
BMW: X3 (G01) sDrive 20i 1.6 16V B48B16A 17/...
BMW: X3 (G01) sDrive 20i 2.0 16V B48B20A 17/...
BMW: X3 (G01) xDrive 20i 2.016V B48N20A / B48V20B 17/...
BMW: X4 (G02) xDrive 20i 2.0 16V B48B20A 18/...
BMW: X4 (G02) xDrive 30i 2.0 16V B48B20B / B46B20B 18/...</t>
  </si>
  <si>
    <t xml:space="preserve">11518638026 (OEM)</t>
  </si>
  <si>
    <t xml:space="preserve">MITSUBISHI: Outlander 2.2 16V Diesel 4N14 13/...</t>
  </si>
  <si>
    <t xml:space="preserve">MERCEDES-BENZ: C180 (W205) 1.6 16V Turbo M274.910 14/...
MERCEDES-BENZ: C200 (W205) 2.0 16V Turbo M274.920 13/18
MERCEDES-BENZ: C250 (W205) 2.0 16V Turbo M274.920 14/18
MERCEDES-BENZ: C300 (W205) 2.0 16V Turbo M274.920 13/...
MERCEDES-BENZ: C350 (W205) 2.0 16V Turbo M274.920 15/18
MERCEDES-BENZ: GLC250 (X253) 2.0 16V Turbo M274.920 15/19
MERCEDES-BENZ: GLC300 (X253) 2.0 16V Turbo M274.920 15/22</t>
  </si>
  <si>
    <t xml:space="preserve">705171650 (PIERBURG)</t>
  </si>
  <si>
    <t xml:space="preserve">BMW: 125 (F21) 2.0 16V N20B20A 13/...
BMW: 125i (F20) 2.0 16V N20B20A 12/17
BMW: 125i (F21) 2.0 16V N20B20A 11/19
BMW: 220i (F22) 2.0 16V N20B20A / N20B20B 13/21
BMW: 228i (F22) 2.0 16V N20B20A / N26B20B 14/16
BMW: 320i (F30/F80) 2.0 16V N20B20A / N20B20B / N20B20D 12/18
BMW: 420i (F32/F82) 2.0 16V N20B20A / N20B20B 13/17
BMW: 520i (F10) 2.0 16V N20B20A / N20B20B 11/16
BMW: X1 (E84) sDrive 16i 1.6 16V N20B16A 13/15
BMW: X1 (E84) sDrive 20i 2.0 16V N20B20A 11/15
BMW: X1 (E84) xDrive 20i 2.0 16V N20B20A 11/15
BMW: X3 (F25) sDrive 20i 1.6 16V N20B16A 14/17
BMW: X3 (F25) xDrive 20i 2.0 16V N20B20A 11/17
BMW: X3 (F25) xDrive 20i 2.0 16V N20B20A 14/17
BMW: X4 (F26) xDrive 20i 2.0 16V N20B20A 14/18
BMW: Z4 (E89) sDrive 18i 2.0 16V N20B20A 13/16
BMW: Z4 (E89) sDrive 20i 2.0 16V N20B20A 11/16</t>
  </si>
  <si>
    <t xml:space="preserve">707223010 (PIERBURG)</t>
  </si>
  <si>
    <t xml:space="preserve">Conector retangular
4 pinos em linha</t>
  </si>
  <si>
    <t xml:space="preserve">BMW: 116i (F20) 1.6 N13B16A 11/...
BMW: 116i (F21) 1.6 N13B16A 11/...
BMW: 118i (F20) 1.6 N13B16A 10/...
BMW: 118i (F20) 1.6 N13B16A 15/...
BMW: 118i (F21) 1.6 N13B16A 12/...
BMW: 118i (F21) 1.6 N13B16A 15/...
BMW: 120i (F20) 1.6 N13B16A 15/...
BMW: 120i (F21) 1.6 N13B16A 15/...
BMW: 316i (F30/F80) 1.6 N13B16A 12/16
BMW: 320i (F30/F80) 1.6 N13B16A 12/16
CITROEN: C4 / C4 Picasso 1.6 16V / 1.6 16V THP EP6 / EP6DT 09/…
CITROEN: C4 Lounge 1.6 16V THP EP6DT / EP6DTS 13/…
CITROEN: DS3 1.6 16V THP EP6DT / EP6DTS 12/…
CITROEN: DS4 1.6 16V THP EP6DT / EP6DTS 12/…
CITROEN: DS5 1.6 16V THP EP6DT / EP6DTS 12/…
MINI: Cooper 1.6 16V N12B16A / N16B16AM 06/09
MINI: Cooper 1.6 16V N16B16AU 10/…
MINI: Cooper S 1.6 16V Turbo N12B16A / N14B16C 06/…
MINI: Cooper S 1.6 16V Turbo N16B16AM 10/…
MINI: Cooper S 1.6 16V Turbo N18B16AMO 09/…
MINI: Cooper S 1.6 16V W11B16A-163 07/09
MINI: One 1.4 16V N12B14A 07/09
MINI: One 1.6 16V N16B16K / N16B16AU 09/…
MINI: One 1.6 16V N16BAU 10/…
PEUGEOT: 2008 1.6 16V THP EP6DT / EPDDTS 15/…
PEUGEOT: 3008 1.6 16V THP EP6DT / EPDDTS 11/…
PEUGEOT: 308 1.6 16V THP EP6DT / EPDDTS 07/…
PEUGEOT: 408 1.6 16V THP EP6DT / EPDDTS 11/…
PEUGEOT: 508 1.6 16V THP EP6DT / EPDDTS 11/…
PEUGEOT: RCZ 1.6 16V THP EP6DT / EPDDTS 11/…</t>
  </si>
  <si>
    <t xml:space="preserve">704906020 (PIERBURG)
9806790880 (OEM)</t>
  </si>
  <si>
    <t xml:space="preserve">Conector 3 pinos
Com suporte</t>
  </si>
  <si>
    <t xml:space="preserve">BMW: 125 (F21) 2.0 16V N20B20A 11/...
BMW: 125i (F20) 2.0 16V N20B20A 12/17
BMW: 125i (F21) 2.0 16V N20B20A 11/19
BMW: 220i (F22) 2.0 16V N20B20A / N20B20B 13/21
BMW: 228i (F22) 2.0 16V N20B20A / N26B20B 14/16
BMW: 320i (F30/F80) 2.0 16V N20B20A / N20B20B / N20B20D 11/18
BMW: 328i (F30) 2.0 16V N20B20A / N26B20A 12/16
BMW: 428i (F32/F82) 2.0 16V N20B20A / N26B20B 13/17
BMW: 520i (F10) 2.0 16V N20B20A / N20B20B 11/16
BMW: 528i (F10) 2.0 16V N20B20A 11/16
BMW: X1 (E84) sDrive 20i 2.0 16V N20B20A 11/15
BMW: X1 (E84) xDrive 20i 2.0 16V N20B20A 11/15
BMW: X1 (E84) xDrive 28i 2.0 16V N20B20A 11/16
BMW: X3 (F25) xDrive 20i 2.0 16V N20B20A 11/17
BMW: X3 (F25) xDrive 28i 2.0 16V N20B20A 12/17
BMW: X4 (F26) xDrive 28i 2.0 16V N20B20A 14/18
BMW: X5 (F15/F85) xDrive 28i 2.0 16V N20B20A 15/18
BMW: X5 (F15/F85) xDrive 40e 2.0 16V N20B20A 15/18
BMW: Z4 (E89) sDrive 18i 2.0 16V N20B20A 13/16
BMW: Z4 (E89) sDrive 20i 2.0 16V N20B20A 11/16</t>
  </si>
  <si>
    <t xml:space="preserve">Conector quadrado
4 pinos, sendo 2x2</t>
  </si>
  <si>
    <t xml:space="preserve">TOYOTA: Corolla 1.8 16V Hybrid 20/...
TOYOTA: Corolla Cross 1.8 16V Hybrid 21/...</t>
  </si>
  <si>
    <t xml:space="preserve">161A039035 (OEM)</t>
  </si>
  <si>
    <t xml:space="preserve">HYUNDAI: HR 2.5 16V DC4B Euro V 18/...
KIA: Bongo K2500 2.5 16V DC4B Euro V 18/...</t>
  </si>
  <si>
    <t xml:space="preserve">251004A855 (OEM)
854519 (INDISA)</t>
  </si>
  <si>
    <t xml:space="preserve">Flage com rosca para polia viscosa
Rosca M30x1</t>
  </si>
  <si>
    <t xml:space="preserve">FORD: Ecosport 1.5 12V Dragon 18/...
FORD: Ka 1.5 12V Dragon 19/...</t>
  </si>
  <si>
    <t xml:space="preserve">204100 (INDISA)
GN1G8501BA (OEM)</t>
  </si>
  <si>
    <t xml:space="preserve">FORD: Edge ST 2.7 V6 Bi Turbo 19/24</t>
  </si>
  <si>
    <t xml:space="preserve">BOMBA DÁGUA ELÉTRICA</t>
  </si>
  <si>
    <t xml:space="preserve">VOLVO: S60 T2 1.5 B4154T5 15/18
VOLVO: S60 T3 1.5 B4154T4 15/18
VOLVO: S60 T3 2.0 B4204T37 15/18
VOLVO: S60 T4 2.0 B4204T31 19/21
VOLVO: S60 T5 2.0 B4204T11 14/18
VOLVO: S60 T5 2.0 B4204T20 / B4204T23 / B4204T26 19/...
VOLVO: S60 T6 2.0 B4204T29 / B4204T34 / B4204T52 19/...
VOLVO: S60 T6 2.0 B4204T9 13/18
VOLVO: S60 T8 2.0 B4204T34 / B4204T48 / B4204T56 19/...
VOLVO: S80 T5 2.0 B4204T11 / B4204T15 13/16
VOLVO: S90 T4 2.0 B4204T31 17/27
VOLVO: S90 T5 2.0 B4204T23 / B4204T26 16/21
VOLVO: S90 T6 2.0 B4204T27 / B4204T29 16/21
VOLVO: S90 T8 2.0 Hybrid B4204T34 / B4204T35 / B4204T56 19/...
VOLVO: XC40 T4 2.0 B4204T31 / B4204T47 18/...
VOLVO: XC40 T5 2.0 B4204T14 / B4204T20 / B4204T36 17/...
VOLVO: XC60 T4 2.0 B4204T31 18/21
VOLVO: XC60 T5 2.0 B4204T11 / B4204T41 13/17
VOLVO: XC60 T5 2.0 B4204T20 / B4204T23 / B4204T26 17/21
VOLVO: XC60 T6 2.0 B4204T27 / B4204T29 17/21
VOLVO: XC60 T6 2.0 B4204T9 13/17
VOLVO: XC60 T8 2.0 Hybrid B4204T28 / B4204T34 / B4204T35 / B4204T48 / B4204T56 / B4204T57 18/...
VOLVO: XC70 T5 2.0 B4204T11 13/16
VOLVO: XC90 T5 2.0 B4204T23 / B4204T26 15/21
VOLVO: XC90 T6 2.0 B4204T27 / B4204T29 17/21
VOLVO: XC90 T8 2.0 Hybrid B4204T34 / B4204T35 / B4204T56 15/...</t>
  </si>
  <si>
    <t xml:space="preserve">MERCEDES-BENZ: C180 (W205) 1.6 16V Turbo M274.910 14/21
MERCEDES-BENZ: C200 (W205) 2.0 16V Turbo M274.920 13/18
MERCEDES-BENZ: C250 (W205) 2.0 16V Turbo M274.920 14/18
MERCEDES-BENZ: C300 (W205) 2.0 16V Turbo M274.920 19/21
MERCEDES-BENZ: C350 (W205) 2.0 16V Turbo M274.920 15/18
MERCEDES-BENZ: GLC250 (X253) 2.0 16V Turbo M274.920 15/19
MERCEDES-BENZ: GLC300 (X253) 2.0 16V Turbo M274.920 15/22</t>
  </si>
  <si>
    <t xml:space="preserve">BMW: 550i 4.4 8 cil N63 B44A 10/13
BMW: 550i xDrive 4.4 8 cil N63 B44A 10/13
BMW: 750i 4.4 8 cil N63 B44A 08/15
BMW: X5 xDrive 50i 4.4 8 cil N63 B44A 10/13
BMW: X6 xDrive 50i 4.4 8 cil N63 B44A 14/19</t>
  </si>
  <si>
    <t xml:space="preserve">114705 (INDISA)
11517629916 (OEM)
704077340 (PIERBURG)</t>
  </si>
  <si>
    <t xml:space="preserve">Conector 3 pinos</t>
  </si>
  <si>
    <t xml:space="preserve">BOMBA D´ÁGUA AUXILIAR</t>
  </si>
  <si>
    <t xml:space="preserve">BMW: 116i (F20/F21) 1.6 16V N13B16A 11/15
BMW: 118i (F20) 1.6 16V N13B16A 11/15
BMW: 118i (F21) 1.6 16V N13B16A 12/19
BMW: 120i (F20) 1.6 16V N13B16A 15/16
BMW: 120i (F21) 1.6 16V N13B16A 15/19
BMW: 320i (F30/F80) 1.6 16V N13B16A 12/16</t>
  </si>
  <si>
    <t xml:space="preserve">114704 (INDISA)
11518616992 (OEM)
704125210 (PIERBURG)</t>
  </si>
  <si>
    <t xml:space="preserve">BOMBA DÁGUA AUXILIAR</t>
  </si>
  <si>
    <t xml:space="preserve">BMW: X5 (E70) 4.8 8 cil N62B48B 06/10
BMW: X6 4.8 8 cil N62B48B 07/18</t>
  </si>
  <si>
    <t xml:space="preserve">114701 (INDISA)
64116951549 (OEM)
702078390 (PIERBURG)</t>
  </si>
  <si>
    <t xml:space="preserve">Conector 2 pinos</t>
  </si>
  <si>
    <t xml:space="preserve">BOMBA ÁGUA AUXILIAR</t>
  </si>
  <si>
    <t xml:space="preserve">MERCEDES-BENZ: B180 1.7   M266.940 05/11
MERCEDES-BENZ: B200 2.0   M266.960 05/11
MERCEDES-BENZ: B200 Turbo 2.0   M266.980 05/…
MERCEDES-BENZ: C180 1.8 M271.820 07/14
MERCEDES-BENZ: C180 Kompressor 1.6 M271.910 08/14
MERCEDES-BENZ: C180 Kompressor 1.8 M271.952 07/14
MERCEDES-BENZ: C200 1.8 M271.860 / 271.820 07/14
MERCEDES-BENZ: C200 Kompressor 1.8 M271.950 07/14
MERCEDES-BENZ: C250 1.8 M271.860 09/14</t>
  </si>
  <si>
    <t xml:space="preserve">BOMBA D'ÁGUA AUILIAR</t>
  </si>
  <si>
    <t xml:space="preserve">03L965561A (OEM)
454700 (INDISA)
706740130 (PIERBURG)
UB0655 (URBA)</t>
  </si>
  <si>
    <t xml:space="preserve">AUDI: A3 2.0 16V TFSI CDNB/CDNC/CAEA/CAEB 07/16
AUDI: A4 1.8 16V TFSI CABA/CDHA/CABB/CDHB 07/12
AUDI: A4 2.0 16V TFSI CDNC/CPMA/CDNB/CFKA 08/16
AUDI: A5 2.0 16V TFSI CDNB/CDNC/CAEB 08/17
AUDI: Q5 2.0 16V TFSI CDNB/CNCB/CDNC/CAEB 09/17</t>
  </si>
  <si>
    <t xml:space="preserve">06H965561 (OEM)
454703 (INDISA)
702074900 (PIERBURG)</t>
  </si>
  <si>
    <t xml:space="preserve">AUDI: A3 2.0 16V TFSI   CCZA / CAWB 10/13
VOLKSWAGEN: Beetle 2.0 16V TSI   CBFA / CCTA / CCZA 11/...
VOLKSWAGEN: Golf GTI 2.0 16V TSI   CBFA / CCTA / CCZA 06/14
VOLKSWAGEN: Jetta 2.0 16V TSI   CBFA / CCTA / CCZA / CPLA / CPPA 11/18
VOLKSWAGEN: Passat / Variant 2.0 16V TSI   CCZB 09/…
VOLKSWAGEN: Passat CC 2.0 16V TSI   CBFA / CCTA / CCZA / CPLA / CPPA 11/…
VOLKSWAGEN: Tiguan 2.0 16V TFSI CAWB / CCTA / CCZA 08/…</t>
  </si>
  <si>
    <t xml:space="preserve">1K0965561G (OEM)
454711 (INDISA)
702074500 (PIERBURG)</t>
  </si>
  <si>
    <t xml:space="preserve">AUDI: A1 1.4 16V TFSI 10/21
AUDI: A3 1.4 16V TFSI 12/21
AUDI: A3 Sedan 1.4 16V TFSI 13/…
AUDI: Q3 1.4 16V TFSI 14/21
VOLKSWAGEN: Golf 1.0 12V TSI 16/18
VOLKSWAGEN: Golf 1.4 16V TSI 13/…
VOLKSWAGEN: Golf 1.4 16V TSI 14/18
VOLKSWAGEN: Golf Variant 1.4 16V TSI 15/18
VOLKSWAGEN: Jetta 1.4 16V TSI 15/...
VOLKSWAGEN: Nivus 1.0 12V TSI 20/...
VOLKSWAGEN: Polo 1.0 12V TSI 17/...
VOLKSWAGEN: Polo GTS 1.4 16V TSI 20/...
VOLKSWAGEN: T-Cross 1.0 12V TSI 19/...
VOLKSWAGEN: T-Cross 1.4 16V TSI 19/...
VOLKSWAGEN: Tiguan 1.4 16V TSI 16/…
VOLKSWAGEN: Up 1.0 12V TSI 14/21
VOLKSWAGEN: Virtus 1.0 12V TSI 18/...</t>
  </si>
  <si>
    <t xml:space="preserve">454709 (INDISA)
5G0965567A (OEM)
UB0656 (URBA)</t>
  </si>
  <si>
    <t xml:space="preserve">Com suporte
Conector 3 pinos</t>
  </si>
  <si>
    <t xml:space="preserve">LAND ROVER: Discovery IV 3.0 TD 4x4 306DT Diesel 09/18
LAND ROVER: Discovery V 3.0 4x4 306DT Diesel 16/...
LAND ROVER: Range Rover 3.0 TDV6 4x4 306DT Diesel 12/...
LAND ROVER: Velar 3.0 SDV6 4x4 306DT Diesel 17/...</t>
  </si>
  <si>
    <t xml:space="preserve">LR013164 (OEM)
LR061982 (OEM)
LR089625 (OEM)</t>
  </si>
  <si>
    <t xml:space="preserve">Bomba d'água com gerenciamento eletrônico</t>
  </si>
  <si>
    <t xml:space="preserve">JAGUAR: F-Pace 2.0 Ti4 AWD PT204 17/...
LAND ROVER: Defender 2.0 P300 MHEV 4x4 PT204 23/...
LAND ROVER: Defender 2.0 P300 Si4 4x4 PT204 19/...
LAND ROVER: Defender 2.0 P400e Hybrid 4x4 PT204 20/...
LAND ROVER: Discovery Sport 2.0 P200 4x4 PT204 20/...
LAND ROVER: Discovery Sport 2.0 P200 Flex MHEV 4x4 PT204 20/...
LAND ROVER: Discovery Sport 2.0 P250 4x4 PT204 19/...
LAND ROVER: Discovery Sport 2.0 P290 MHEV 4x4 PT204 20/...
LAND ROVER: Discovery Sport 2.0 S1i 4x4 PT204 17/...
LAND ROVER: Discovery V 2.0 S14 4x4 PT204 17/...
LAND ROVER: Evoque 2.0 4x4 PT204 17/19
LAND ROVER: Range Rover 2.0 P400e Hybrid 4x4 PT204 17/...
LAND ROVER: Range Rover Sport 2.0 P400e PHEV 4x4 PT204 17/...
LAND ROVER: Range Rover Sport 2.0 S14 4x4 PT204 17/...
LAND ROVER: Velar 2.0 P250 Si4 4x4 PT204 17/...
LAND ROVER: Velar 2.0 P300 Si4 4x4 17/...</t>
  </si>
  <si>
    <t xml:space="preserve">LR092953 (OEM)
LR123392 (OEM)
LR154597 (OEM)</t>
  </si>
  <si>
    <t xml:space="preserve">MERCEDES-BENZ: CL500 (C216) 4.7 V8 M278 11/13
MERCEDES-BENZ: CLS500 (C218) 4.7 V8 M278 11/17
MERCEDES-BENZ: CLS500 (X218) 4.7 V8 M278 12/17
MERCEDES-BENZ: E500 (A207) 4.7 V8 M278 11/16
MERCEDES-BENZ: E500 (C207) 4.7 V8 M278 11/16
MERCEDES-BENZ: E500 (S212) 4.7 V8 M278 11/16
MERCEDES-BENZ: E500 (W212) 4.7 V8 M278 11/15
MERCEDES-BENZ: GL500 (X166) 4.0 V8 M278 12/15
MERCEDES-BENZ: GL500 (X166) 4.7 V8 M278 12/15
MERCEDES-BENZ: GLE500 (C292) 4.7 V8 M278 15/19
MERCEDES-BENZ: GLE500 (W166) 4.7 V8 M278 15/18
MERCEDES-BENZ: GLS500 (X166) 4.7 V8 M278 15/19
MERCEDES-BENZ: ML500 (W166) 4.7 V8 M278 12/15
MERCEDES-BENZ: S500 (A217) 4.7 V8 M278 15/17
MERCEDES-BENZ: S500 (C217) 4.7 V8 M278 14/17
MERCEDES-BENZ: S500 (W221) 4.7 V8 M278 11/13
MERCEDES-BENZ: S500 (W222) 4.7 V8 M278 13/17
MERCEDES-BENZ: SL500 (R231) 4.7 V8 M278 12/17</t>
  </si>
  <si>
    <t xml:space="preserve">HYUNDAI: Creta 1.0 12V 3 cil TGDI 21/...
HYUNDAI: HB20 1.0 12V 3 cil TDGI 21/...</t>
  </si>
  <si>
    <t xml:space="preserve">2510004050 (OEM)
854522 (INDISA)</t>
  </si>
  <si>
    <t xml:space="preserve">BMW: 218i (G42/G87) 2.0 16V B48B20A 22/...
BMW: 220i (G42/G87) 2.0 16V B48B20A 21/...
BMW: 230i (G42/G87) 2.0 16V 22/...
BMW: 320e Hybrid 2.0 16V B48B20A / GC1 20/...
BMW: 320i 2.0 16V B48B20A / B48B20B / B46B20B 19/...
BMW: 330e Hybrid 2.0 16V B48B20A / B48B20B / GC1 19/...
BMW: 330i 2.0 16V B48B20B / B46B20B 18/...
BMW: 420i 2.0 16V B48B20A B48B20B 20/...
BMW: 520i 2.0 16V B48B20A / B48B20B / B46B20B 17/...
BMW: 530e Hybrid 2.0 16V B48B20A / GC1 20/23
BMW: 730i 2.0 16V B48B20B 19/22
BMW: X3 2.0 16V B48B20A / B48B20B / B46B20B 17/...
BMW: Z4 2.0 16V B48B20B / B46B20B 18/...</t>
  </si>
  <si>
    <t xml:space="preserve">11518482250 (OEM)
11518650988 (OEM)
854522 (INDISA)</t>
  </si>
  <si>
    <t xml:space="preserve">JAGUAR: F-Pace 2.0 Ti4 MHEV PT204(AJ20P4) Híbrido 18/...
LAND ROVER: Discovery Sport 2.0 P200 MHEV PT204(AJ20P4) 19/...
LAND ROVER: Evoque 2.0 P200 Flex MHEV PT204(AJ20P4) Híbrido 20/...
LAND ROVER: Evoque 2.0 P200 MHEV PT204(AJ20P4) Híbrido 18/...
LAND ROVER: Evoque 2.0 P200 PT204(AJ20P4) Gasolina 18/...
LAND ROVER: Evoque 2.0 P250 MHEV PT204(AJ20P4) Híbrido 18/...
LAND ROVER: Evoque 2.0 P250 PT204(AJ20P4) Gasolina 15/...
LAND ROVER: Evoque 2.0 P300 MHEV PT204(AJ20P4) Híbrido 18/...
LAND ROVER: Evoque 2.0 P300 PT204(AJ20P4) Gasolina 20/...
LAND ROVER: Velar 2.0 P250 MHEV P204(AJ20P4) Híbrido 18/...
LAND ROVER: Velar 2.0 P300 MHEV PT204(AJ20P4) 18/...</t>
  </si>
  <si>
    <t xml:space="preserve">JDE40023 (OEM)
L4P38501AD (OEM)
LR115260 (OEM)</t>
  </si>
  <si>
    <t xml:space="preserve">FORD: Transit 2.0 16V Diesel Ecoblue 21/...</t>
  </si>
  <si>
    <t xml:space="preserve">GK3Q8501AC (OEM)
GK3Z8501B (OEM)</t>
  </si>
  <si>
    <t xml:space="preserve">CITROEN: Jumpy 1.5 16V HDI 22/...
FIAT: Scudo 1.5 16V Diesel 22/...
PEUGEOT: Expert 1.5 16V HDI 22/...</t>
  </si>
  <si>
    <t xml:space="preserve">155254067 (OEM)
1628941780 (OEM)
1638159580 (OEM)</t>
  </si>
  <si>
    <t xml:space="preserve">EFFA MOTORS: EFFA V21/V22/V25 1.3 16V 20/...</t>
  </si>
  <si>
    <t xml:space="preserve">AUDI: A6 3.0 TFSI 6 cil. Hybrid DLZA 19/...
AUDI: Cayenne S 3.0 6 cil. MDC.AB/DCAB/MDC.BE/DCBE 17/...
AUDI: Q7 3.0 TFSI 6 cil. Hybrid DCBD/DCBE 19/...
AUDI: Q8 3.0 TFSI 6 cil. Hybrid DCBD/DCBE 18/...
AUDI: RS4 3.0 TFSI 6 cil. DECA/DECC 17/...
AUDI: RS5 3.0 TFSI 6 cil. DECA 17/...
AUDI: S4 3.0 TFSI 6 cil. CWGD 16/...
AUDI: S5 3.0 TFSI 6 cil. CWGD 16/...
AUDI: SQ5 3.0 TFSI 6 cil. CWGD 16/...
AUDI: SQ5 3.0 TFSI 6 cil. Hybrid DWVA/ECRA 25/...
PORSCHE: Cayenne S E-Hybrid 3.0 6 cil. MDC.BE/DCBE/DCBG/DCBF 19/...
PORSCHE: Macan GTS 3.0 6 cil. DGRB 19/...
PORSCHE: Macan S 3.0 6 cil. DGRB 21/...
PORSCHE: Macan Turbo 3.0 6 cil. DGRC 18/...
PORSCHE: Panamera 3.0 6 cil. CSZB 19/23
PORSCHE: Panamera 3.0 6 cil. MDG.PA 16/23
PORSCHE: Panamera E-Hybrid 3.0 6 cil. DGPD/DGPE 23/...</t>
  </si>
  <si>
    <t xml:space="preserve">06M121012C (OEM)
06M121013D (OEM)</t>
  </si>
  <si>
    <t xml:space="preserve">BMW: 116i (F40) 1.5 3 cil. B38A15A 20/...
BMW: 118i (F40) 1.5 3 cil. B38A15A/B38A15F 20/...
BMW: 120i (F40) 2.0 16V Turbo B48A20A/B48A20F 20/...
BMW: 220i (F45) 2.0 16V Turbo B48A20A/B48A20F 14/21
BMW: X1 (F48) 1.5 3 cil. B38A15A 17/22
BMW: X1 (F48) 2.0 16V Turbo B48A20A/B48A20F 15/22
BMW: X1 (U11) 1.5 3 cil. B38A15P 22/...
BMW: X1 (U11) 1.5 3 cil. Hybrid B38A15P 22/...
BMW: X1 (U11) 2.0 16V Turbo Hybrid B48A20P 22/...
MINI: Cooper 1.5 3 cil. B38A15A 15/24
MINI: Cooper S 2.0 16V Turbo B48A20A/B48A20F 20/...
MINI: John Cooper Works 2.0 16V Turbo B48A20E 19/...</t>
  </si>
  <si>
    <t xml:space="preserve">DAF: CF85 PACCAR MX 12.9 12/...
DAF: XF105 PACCAR MX 12.9 12/...</t>
  </si>
  <si>
    <t xml:space="preserve">1639196 (OEM)
1644762 (OEM)
1778280 (OEM)
1828141 (OEM)</t>
  </si>
  <si>
    <t xml:space="preserve">Polia 101,00 mm
9 Estrias
Rotor 120,00 mm</t>
  </si>
  <si>
    <t xml:space="preserve">DAF: Novo CF PACCAR MX11 20/...
DAF: Novo XF PACCAR MX13 20/...</t>
  </si>
  <si>
    <t xml:space="preserve">1912939 (OEM)
1912939R (OEM)</t>
  </si>
  <si>
    <t xml:space="preserve">AGRALE: Marrua AM 200 Cummins ISF 2.8 16/...
AGRALE: Marrua AM 300 Cummins ISF 2.8 16/...
AGRALE: Marrua AM11/AM21/AM23/AM31 Cummins ISF 2.8 16/...
FORD: F350 Cummins ISF 2.8 18/...
FORD: F4000 Cummins ISF 2.8 18/...
VOLKSWAGEN: Delivery 4.150 Express Euro V Cummins ISF 2.8 18/...
VOLKSWAGEN: Delivery 4.170 Express Euro VI Cummins ISF 2.8 18/...
VOLKSWAGEN: Delivery 6.160 Express Euro V / Euro VI Cummins ISF 2.8 18/...
VOLKSWAGEN: Delivery 6.170 Express Euro VI Cummins ISF 2.8 18/...</t>
  </si>
  <si>
    <t xml:space="preserve">5269784 (OEM)
5269897 (OEM)
5333148 (OEM)</t>
  </si>
  <si>
    <t xml:space="preserve">SWP349</t>
  </si>
  <si>
    <t xml:space="preserve">Embarcações Cummins NT855 / NTTA855 Bigcam Todos
Grupo Gerador Cummins NT85 / NTTA855 Bigcam Todos
KOMATSU: Komatsu D60 Cummins NT855 / NTTA855 Bigcam Todos
KOMATSU: Komatsu D65 Cummins NT855 / NTTA855 Bigcam Todos
KOMATSU: Komatsu D73 Cummins NT855 / NTTA855 Bigcam Todos</t>
  </si>
  <si>
    <t xml:space="preserve">3801708 (OEM)</t>
  </si>
  <si>
    <t xml:space="preserve">IVECO: Cavallino 320 FPT Cursor 8 Euro 3 07/08
IVECO: Cursor 330 FPT Cursor 8 Euro 3 09/11</t>
  </si>
  <si>
    <t xml:space="preserve">FORD: Cargo C2042 10L 24V L6 13/21
FORD: Cargo C2842 10L 24V L6 13/21
IVECO: Novo Stralis 200S38 Todos
IVECO: Novo Stralis 200S38NR Todos
IVECO: Novo Stralis 200S42 Todos
IVECO: Novo Stralis 380T38 / 380T42 Todos
IVECO: Novo Stralis 490S38T / 490S38T HR Todos
IVECO: Novo Stralis 490S38T NR / 490S38T/P / 490S39T NR Todos
IVECO: Novo Stralis 570S38T / 570S38T NR Todos
IVECO: Novo Stralis 720T42T Todos
IVECO: Novo Trakker 380T38 / 380T42 / 720T42T Todos
IVECO: Stralis 200S38 / 200S42 Todos
IVECO: Stralis 400/200-S37 02/07
IVECO: Stralis F3A / F3B 4x2/6x2/6x4 Todos</t>
  </si>
  <si>
    <t xml:space="preserve">20228 (SCHADEK)
202281 (SCHADEK)
500356553 (OEM)
758504 (INDISA)</t>
  </si>
  <si>
    <t xml:space="preserve">IVECO: Eurotech 440E42T 4.1 Todos
IVECO: Eurotech 440E42TZ/P 4.1 Todos
IVECO: Eurotech 450E37HR 4.1 Todos
IVECO: Eurotech 450E37TP 4.1 Todos
IVECO: Eurotech 720E42 4.1 Todos
IVECO: Eurotech 740E42TZ 4.1 Todos
IVECO: Powerstar 450E37T 4.1 Todos
IVECO: Trakker 380E37 4.1 Todos
IVECO: Trakker 450E37T 4.1 Todos</t>
  </si>
  <si>
    <t xml:space="preserve">20217 (SCHADEK)
500350785T (OEM)
758501 (INDISA)
98479675 (OEM)
99445447 (OEM)
UB0212 (URBA)
VBD703 (VETORE)</t>
  </si>
  <si>
    <t xml:space="preserve">MAN / VW: 17.280 OT 6.9 12/...
MAN / VW: 18.280 OT 6.9 15/...
MAN / VW: Constellation 17.280 6.9 12/19
MAN / VW: Constellation 24.280 6.9 11/...
MAN / VW: Constellation 26.280 6.9 11/19</t>
  </si>
  <si>
    <t xml:space="preserve">51065006675 (OEM)
51065006694 (OEM)</t>
  </si>
  <si>
    <t xml:space="preserve">FORD: F1000 3.9 8V MWM TD229 Todos
VALTRA: Valtra VT128 MWM TD229 Todos
VALTRA: Valtra VT1280 MWM TD229 Todos
VALTRA: Valtra VT138 MWM TD229 Todos
VALTRA: Valtra VT148 MWM TD229 Todos
VALTRA: Valtra VT1580 MWM TD229 Todos
VALTRA: Valtra VT1780 MWM TD229 Todos
VALTRA: Valtra VT980 MWM TD229 Todos
VALTRA: Valtra VT985 MWM TD229 Todos
VOLKSWAGEN: VW 7-110S 3.9 MWM TD229 90/93
VOLKSWAGEN: VW 7-90S 3.9 MWM TD229 87/93</t>
  </si>
  <si>
    <t xml:space="preserve">104001 (INDISA)
20035 (SCHADEK)
922907310015 (OEM)
922987310036 (OEM)
UB0578 (URBA)
VBD578 (VETORE)
VKPC4935 (SKF)</t>
  </si>
  <si>
    <t xml:space="preserve">MERCEDES-BENZ: Actros 2546 OM501LA 08/...
MERCEDES-BENZ: Actros 2646 OM501LA 10/...
MERCEDES-BENZ: Actros 4144 K OM501LA 08/...
MERCEDES-BENZ: Actros 4844 K OM501LA 08/...</t>
  </si>
  <si>
    <t xml:space="preserve">20246 (SCHADEK)
401022 (INDISA)
5412001101 (OEM)
5412001201 (OEM)
5412001401 (OEM)
VBD510 (VETORE)</t>
  </si>
  <si>
    <t xml:space="preserve">Rotor 125,00 mm</t>
  </si>
  <si>
    <t xml:space="preserve">SCANIA: DSC 1202 11.0 DC11 / DC12 6 cil. 98/04
SCANIA: DSC 1205 11.0 DC11 / DC12 6 cil. 98/04
SCANIA: K 124 11.7 DC12 6 cil. 98/04
SCANIA: P 114 11.0 DC11 6 cil. 98/04
SCANIA: R 114 11.0 DC11 6 cil. 98/04
SCANIA: R 124 11.7 DC12 6 cil. 98/04
SCANIA: T 114 11.0 DC11 6 cil. 98/04
SCANIA: T 124 11.7 DC12 6 cil. 98/04</t>
  </si>
  <si>
    <t xml:space="preserve">1353072 (OEM)
1450153 (OEM)
1508533 (OEM)
1896752 (OEM)
20144 (SCHADEK)
552000 (INDISA)
UB0980 (URBA)
VBD0988 (VETORE)
VKPC4908 (SKF)</t>
  </si>
  <si>
    <t xml:space="preserve">CASE: Colheitadeira Case 7700  Todos
SCANIA: K 112 11.0 DS11 6 cil. 83/97
SCANIA: K 113 11.0 DS11 6 cil. 83/97
SCANIA: S 112 11.0 DS11 6 cil. 83/97
SCANIA: T 112 11.0 DS11 6 cil. 83/97</t>
  </si>
  <si>
    <t xml:space="preserve">1314406 (OEM)
1672680 (OEM)
292761 (OEM)
524866 (OEM)</t>
  </si>
  <si>
    <t xml:space="preserve">SCANIA: F 94 9.0 6 cil. Série 94 98/03
SCANIA: K 94 9.0 6 cil. Série 94 98/09
SCANIA: L 94 9.0 6 cil. Série 94 98/05
SCANIA: P 94 9.0 6 cil. Série 94 98/09</t>
  </si>
  <si>
    <t xml:space="preserve">1380897 (OEM)
1510490 (OEM)
20155 (SCHADEK)
552500 (INDISA)
UB0988 (URBA)
VBD990 (VETORE)
VKPC4909 (SKF)</t>
  </si>
  <si>
    <t xml:space="preserve">SCANIA: DSC 1202 11.0 05/...
SCANIA: DSC 1205 11.0 05/...
SCANIA: F 230 11.7 DC9 5 cil. 17/21
SCANIA: K 124 11.7 DC12 6 cil. 05/08
SCANIA: K 230 11.7 DC9 5 cil. 08/10
SCANIA: K 270 11.7 09/...
SCANIA: K 310 11.7 08/...
SCANIA: P 114 11.0 05/...
SCANIA: P 230 11.7 08/...
SCANIA: P 250 11.7 12/...
SCANIA: P 270 11.7 08/...
SCANIA: P 310 11.7 04/...
SCANIA: R 114 11.0 DC11 6 cil. 05/07
SCANIA: R 124 11.7 DC12 6 cil. 05/10
SCANIA: T 114 11.0 DC11 6 cil. 2005
SCANIA: T 124 11.7 DC12 6 cil. 05/06</t>
  </si>
  <si>
    <t xml:space="preserve">154188 (OEM)
20195 (SCHADEK)
552001 (INDISA)
UB0981 (URBA)
VBD991 (VETORE)</t>
  </si>
  <si>
    <t xml:space="preserve">Rotor 112,00 mm
Sem tampa</t>
  </si>
  <si>
    <t xml:space="preserve">VOLVO: FH 13 12.8 D13A 6 cil. 06/14
VOLVO: FM 12.8 D11A 6 cil. 08/14
VOLVO: FM 13 12.8 D13A 6 cil. 06/14
VOLVO: FMX 12.8 D11A 6 cil. 08/14</t>
  </si>
  <si>
    <t xml:space="preserve">20212 (SCHADEK)
20744939 (OEM)
604003 (INDISA)
80744939 (OEM)
UB0113 (URBA)
VKPC4926 (SKF)</t>
  </si>
  <si>
    <t xml:space="preserve">RAM: RAM 2500 6.7 L6 19/...
RAM: RAM 3500 6.7 L6 19/...</t>
  </si>
  <si>
    <t xml:space="preserve">68445352AA (OEM)
68569196AA (OEM)
K68445352AA (OEM)
K68569196AA (OEM)</t>
  </si>
  <si>
    <t xml:space="preserve">FORD: Ranger 2.0 16V Turbo Diesel 23/...</t>
  </si>
  <si>
    <t xml:space="preserve">354506 (INDISA)
55243968 (OEM)
UB0774 (URBA)
VKPC4994 (SKF)</t>
  </si>
  <si>
    <t xml:space="preserve">Aplicar somente em sistema Vetore
Bomba com tampa, mangueira e conexão.</t>
  </si>
  <si>
    <t xml:space="preserve">CITROEN: Jumper 2.2 16V 19/...
FIAT: Ducato 2.2 16V 21/...
PEUGEOT: Boxer 2.2 16V 19/...</t>
  </si>
  <si>
    <t xml:space="preserve">GWM: HAVAL H6 1.5 Turbo Híbrido 23/...
GWM: HAVAL H6GT 1.5 Turbo Híbrido 23/...</t>
  </si>
  <si>
    <t xml:space="preserve">AUDI: RS6 4.0 8 cil. Hybrid DJPB / DWLA / DYGB 19/...
AUDI: RS7 4.0 8 cil. DJPB / DWLA / DYGB 19/...
AUDI: SQ8 4.0 8 cil. DCUE / DWRB 20/...
PORSCHE: Cayenne Turbo 4.08 cil. AWD MDC.UA / DCUA 17/...
PORSCHE: Cayenne Turbo S 4.0 8 cil. AWD Hybrid DCUA 21/...
PORSCHE: Panamera GTS 4.0 8 cil. CVDD 18/23
PORSCHE: Panamera Turbo 4.0 8 cil. MCV.DA 16/23
PORSCHE: Panamera Turbo S 4.0 8 cil. E-Hybrid MCV.DA 17/23</t>
  </si>
  <si>
    <t xml:space="preserve">0P2121014C (OEM)
0P2121014D (OEM)
0P2121014E (OEM)
9A712101402 (OEM)
9A7712101403 (OEM)</t>
  </si>
  <si>
    <t xml:space="preserve">MERCEDES-BENZ: C300 (W205) 2.0 16V M274.920 19/21</t>
  </si>
  <si>
    <t xml:space="preserve">A0005001386 (OEM)
A0005002686 (OEM)</t>
  </si>
  <si>
    <t xml:space="preserve">12V</t>
  </si>
  <si>
    <t xml:space="preserve">NISSAN: Frontier 2.3 16V Diesel YS23DDTT 15/22</t>
  </si>
  <si>
    <t xml:space="preserve">3 Pinos
12V</t>
  </si>
  <si>
    <t xml:space="preserve">RENAULT: Captur 1.3 3cil Turbo H5H470 20/...
RENAULT: Duster 1.3 3cil Turbo H5H470 22/...</t>
  </si>
  <si>
    <t xml:space="preserve">BMW: 120i (F20/F21) 2.0 16V B48B20A 16/19
BMW: 125i (F20/F21) 2.0 16V B48B20B 16/19
BMW: 320e Hybrid (G20/G28/G80) 2.0 16V B48B20A 20/...
BMW: 320i (F31) 2.0 16V B48B20A 15/19
BMW: 320i (G20/G28/G80) 1.6 16V B48B16A 19/...
BMW: 330e Hybrid (G20/G28/G80) 2.0 16V B48B20A 19/...
BMW: 330i (F30/F80) 2.0 16V B48B20B / B46B20B 15/18
BMW: M3 Competition 3.0 6 cil. S55B30A 16/18
BMW: X1 (F48) 2.0 16V B48A20A 15/22
BMW: X2 (F39) 2.0 16V B48A20A 17/23
BMW: X3 (F25) 2.0 16V B47D20A 14/17
BMW: X3 (G01) 1.5 16V B48B16A 17/...
BMW: X3 M (G01) 3.0 6 cil. S58B30A 19/...
BMW: X4 (G02) 2.0 16V B48B0A 18/...
BMW: X5 (G05) 3.0 6 cil Hybrid B58B30C 19/23
BMW: X5 (G05) 3.0 6 cil. B58B30C 18/23
BMW: X6 (G06/F96) 4.4 8 cil. N63B44 19/23
MINI: Cooper 1.5 3 cil. B38A15A / B36A15A 15/24
MINI: Cooper S 2.0 16V B48A20A / B46A20A 14/...
MINI: Cooper S JCW 2.0 16V B48A20A 14/18
MINI: John Cooper Works 2.0 16V B48A20B 16/19</t>
  </si>
  <si>
    <t xml:space="preserve">11517643949 (OEM)
11518605322 (OEM)</t>
  </si>
  <si>
    <t xml:space="preserve">BMW: 550i (F07) 4.4 8 cil. N63B44A / N63B44B 09/17
BMW: 650i (F12/F13) 4.4 8 cil. N63B44A / N63B44B 10/18
BMW: 750i (F01/F02/F03/F04) 4.4 8 cil. N63B44A / N63B44B / N74B60A 10/15
BMW: X5 (E70) 4.4 8 cil. N63B44A 10/13
BMW: X5 (F15/F85) 4.4 8 cil. N53B44B 13/18
BMW: X6 (E71/E72) 4.4 8 cil. N63B44A 08/14
BMW: X6 (F16/F86) 4.4 8 cil. N63B44B 14/19</t>
  </si>
  <si>
    <t xml:space="preserve">AUDI: A4 1.4 TSFI CVNA 15/19
AUDI: A5 1.4 TFSI CVNA 16/20
AUDI: A5 TFSI Quattro CMUA / CRED / CHMB 11/17
AUDI: Q7 3.0 6 cil. CREC 15/19
AUDI: S4 3.0 6 cil. CAKA / CCBA / CGCX / CTUB / CGWC / CREC 08/15
AUDI: S5 3.0 6 cil. CAKA / CGXC / CTUB / CGWC / CREC / CTDA 11/17</t>
  </si>
  <si>
    <t xml:space="preserve">4H0965567 (OEM)
4H0965567A (OEM)
4H0965569 (OEM)
4H0965569A (OEM)</t>
  </si>
  <si>
    <t xml:space="preserve">FORD: Fusion 2.0 16V Hybrid C20EDEF / UACA / UACC 13/19</t>
  </si>
  <si>
    <t xml:space="preserve">DS7E8C419CA (OEM)
DS7E8C419CB (OEM)
DS7Z8C419B (OEM)
DS7Z8C419D (OEM)</t>
  </si>
  <si>
    <t xml:space="preserve">MERCEDES-BENZ: C180 (A205/W205) 1.5 4 cil. M264.915 19/23
MERCEDES-BENZ: C200 (A205/W205) 1.5 4 cil. EQ Boost M264.915 18/23
MERCEDES-BENZ: C200 (A205/W205) 2.0 4 cil. 4MATIC M264.920 19/23
MERCEDES-BENZ: C300 (A205/W205) 2.0 4 cil. EQ Boost M264.920 18/23
MERCEDES-BENZ: C300 (A205/W205) 2.0 4 cil. M264.920 18/23
MERCEDES-BENZ: C300 (A205/W205) 2.0 4 cil.4MATIC M264.920 18/23
MERCEDES-BENZ: E200 (S213) 2.0 4 cil. EQ Boost M264.920 20/23
MERCEDES-BENZ: E200 (W213) 2.0 4 cil. EQ Boost M264.920 19/23
MERCEDES-BENZ: E200 (W213) 2.0 4 cil. M264.920 18/23
MERCEDES-BENZ: E300 (W213) 2.0 4 cil. EQ Boost M264.920 19/23
MERCEDES-BENZ: E300 (W213) 2.0 4 cil. M274.920 / M264.920 19/23
MERCEDES-BENZ: E350 (W213) 2.0 4 cil. EQ Boost M264.920 18/23
MERCEDES-BENZ: GLC250 (X253) 2.0 4 cil. EQ Boost M264.920 19/22
MERCEDES-BENZ: GLC300 (X253) 2.0 4 cil. EQ Boost M264.920 19/22
MERCEDES-BENZ: GLC43 AMG 3.0 V6 Biturbo M276 19/23
MERCEDES-BENZ: GLC63 AMG 3.0 V6 Biturbo M276 19/23</t>
  </si>
  <si>
    <t xml:space="preserve">A2642000100 (OEM)
A2642000301 (OEM)</t>
  </si>
  <si>
    <t xml:space="preserve">LAND ROVER: Defender P300 MHEV 4x4 3.0 6 cil. PT306(AJ20P6) 22/...
LAND ROVER: Defender P400 I6 MHEV 4x4 3.0 6 cil. PT306(AJ20P6) 19/...
LAND ROVER: Range Rover Sport 3.0 P360 MHEV 4x4 PT306(AJ20P6) 19/22
LAND ROVER: Range Rover Sport P400 MHEV AWD 3.0 6 cil. PT306(AJ20P6) 22/...</t>
  </si>
  <si>
    <t xml:space="preserve">LR121418 (OEM)
T4A41037 (OEM)</t>
  </si>
  <si>
    <t xml:space="preserve">SWP379</t>
  </si>
  <si>
    <t xml:space="preserve">FIAT: Argo 1.8 16V Etorq 17/...
FIAT: Cronos 1.8 16V Etorq 18/...
FIAT: Renegade 1.8 16V Etorq 15/21
FIAT: Toro 1.8 16V Etorq 16/21</t>
  </si>
  <si>
    <t xml:space="preserve">46338142 (OEM)
46338231 (OEM)
46350532 (OEM)
46350533 (OEM)
55258142 (OEM)</t>
  </si>
  <si>
    <t xml:space="preserve">Bomba d´água completa
Apenas para versões com direção elétrica sistema Melling e câmbio automático</t>
  </si>
  <si>
    <t xml:space="preserve">BYD: Song Plus 1.5 16V Híbrido 22/...
BYD: Song Pro 1.5 16V Híbrido 22/...</t>
  </si>
  <si>
    <t xml:space="preserve">LAND ROVER: Defender D200 MHEV 4x4 3.0 6 cil. DIesel DT306(AJ20D6) 20/...
LAND ROVER: Defender D250 MHEV 4x4 3.0 6 cil. Diesel DT306(AJ20D6) 20/...
LAND ROVER: Defender D300 MHEV 4x4 3.0 6 cil. Diesel DT306(AJ20D6) 20/...
LAND ROVER: Range Rover Sport 3.0 D250 4x4 6 cil. Diesel DT306(AJ20D6) 20/22
LAND ROVER: Range Rover Sport 3.0 D250 MHEV 4x4 6 cil Diesel DT306(AJ20D6) 20/...
LAND ROVER: Range Rover Sport 3.0 D300 4x4 6 cil. Diesel DT306(AJ20D6) 20/22
LAND ROVER: Range Rover Sport 3.0 D300 MHEV 4x4 6 cil. Diesel DT306(AJ20D6) 20/...
LAND ROVER: Range Rover Sport 3.0 D350 4x4 Diesel DT306(AJ20D6) 20/22
LAND ROVER: Range Rover Sport 3.0 D350 MHEV 4x4 6 cil. Diesel DT306(AJ20D6) 20/...
LAND ROVER: Range Rover Sport P440e PHEV AWD 3.0 6 cil. PT306(AJ20P6) 22/...
LAND ROVER: Range Rover Sport P510e PHEV AWD 3.0 6 cil. PT306(AJ20P6) 22/...</t>
  </si>
  <si>
    <t xml:space="preserve">PORSCHE: 718 Boxter / Cayman GTS 2.5 MDJ.UA / MDJ.UB / DPHB / DNZB / DNZC 17/...
PORSCHE: 718 Boxter / Cayman S 2.5 MDD.NC / DPHA / DNZA 16/...
PORSCHE: 718 Boxter / Cayman T 2.0 MDD.PB / DPGB / DNYA 16/...</t>
  </si>
  <si>
    <t xml:space="preserve">0PC121005 (OEM)
0PC121005A (OEM)
9A210605001 (OEM)
9A210605002 (OEM)
9A210605003 (OEM)</t>
  </si>
  <si>
    <t xml:space="preserve">PORSCHE: 911 Carrera 3.0 6 cil. DRTA / DKCA 19/24
PORSCHE: 911 Carrera 3.0 6 cil. MDC.KA/DCKA 15/19
PORSCHE: 911 Carrera 3.4 6 cil. MA1.04 / MAB.04 11/19
PORSCHE: 911 Carrera GTS 3.0 6 cil. MDC.JA 17/19
PORSCHE: 911 Carrera S 3.0 6 cil. DKKA / DRVA 19/24
PORSCHE: 911 Carrera S 3.0 6 cil. MDC.HA / DCHA 15/19
PORSCHE: 911 Carrera S 3.8 6 cil.MAB.03 / MA1.03 11/19
PORSCHE: 911 Carrera T 3.0 6 cil. DRTA / DKCA 22/24
PORSCHE: 911 Carrera T 3.0 6 cil. MDC.KA / DCKA 18/19
PORSCHE: 911 Carrera Turbo 3.8 6 cil. DKE 20/24</t>
  </si>
  <si>
    <t xml:space="preserve">0PB121005A (OEM)
0PB121005C (OEM)
0PB121005E (OEM)
9A210604902 (OEM)</t>
  </si>
  <si>
    <t xml:space="preserve">52076422 (OEM)
52113825 (OEM)
52148813 (OEM)</t>
  </si>
  <si>
    <t xml:space="preserve">CHERY: Arrizo 6 1.5 16V Turbo E4T15B / E4G16 19/...
CHERY: Tiggo 5X 1.5 16V Turbo E4T15B / E4G16 19/...
CHERY: Tiggo 7 1.5 16V Turbo 19/...
CHERY: Tiggo 8 1.5 16V Turbo 21/...</t>
  </si>
  <si>
    <t xml:space="preserve">Conector 4 pinos</t>
  </si>
  <si>
    <t xml:space="preserve">CHERY: Tiggo 7 Pro 1.5 16V Turbo Flex Híbrido 22/...
CHERY: Tiggo 8 Pro 1.5 16V Turbo Flex Híbrido 22/...</t>
  </si>
  <si>
    <t xml:space="preserve">JAGUAR: F-Pace 2.0 SD4 AWD 20DTA(AJ20D4) 17/...
JAGUAR: F-Pace 2.0 Ti4 AWD PT204(AJ20P4) 17/...
JAGUAR: F-Pace 3.0 SDV6 AWD 306DT(AJTDV6) 15/...
LAND ROVER: Discovery V 2.0 Si4 4x4 PT204(AJ20P4) 17/...
LAND ROVER: Discovery V 3.0 D 4x4 306DT(TDV6) 16/...
LAND ROVER: Discovery V 3.0 SCV6 4x4 306PS(AJ126) 16/...
LAND ROVER: Discovery V 3.0 SDV6 4x4 306DT(TDV6) 18/...
LAND ROVER: Velar 2.0 D180 TD4 4x4 204DTD(AJ20D4) 17/...
LAND ROVER: Velar 2.0 P250 Si4 4x4 PT204(AJ20P4) 17/...
LAND ROVER: Velar 3.0 P340 SCV6 4x4 306PS(AJ126) 18/...
LAND ROVER: Velar 3.0 P380 SCV6 4x4 306PS(AJ126) 17/...</t>
  </si>
  <si>
    <t xml:space="preserve">LR039070 (OEM)
T4N8150 (OEM)</t>
  </si>
  <si>
    <t xml:space="preserve">BMW: 230i (G42/G87) 2.0 B48B20B 22/...
BMW: 320i (G20/G28/G80) 2.0 B48B20A / B48B20B / B48B20B 19/...
BMW: 320i (G21/G81) 2.0 B48B20A 19/...
BMW: 330i (G20/G28/G80) 2.0 B48B20B / B46B20B 18/...
BMW: 330i (G21/G81) 2.0 B48B20 19/...
BMW: M240i (G42/G87) 3.0 6 cil. B58B30B 22/...
BMW: M340i (G20/G28/G80) 3.0 6c il. B58B30B 19/...
BMW: M340i (G21/G81) 3.0 6 cil. B58B30B 19/...
BMW: X3 (G01/G08/F97) 2.0 B48B20B 17/...
BMW: X4 G02/F98) 3.0 6 cil. B58B30 19/...
BMW: X5 (G05/F95) 3.0 6 cil. Hybrid B58B30C 20/23</t>
  </si>
  <si>
    <t xml:space="preserve">BMW: 218i (G42/G87) 2.0 B48B20A 22/...
BMW: 220i (G42/G87) 2.0 B48B20A 21/...
BMW: 230i (G42/G87) 2.0 B48B20B 22/...
BMW: 320e Hybrid (G20/G28/G80) 2.0 B48B20A 20/...
BMW: 320i (G20/G28/G80) 2.0 B48B20A / B48B20B / B46B20B 19/...
BMW: 330e Hybrid (G20/G28/G80) 2.0 B48B20A / B48B20B / B46B20B 19/...
BMW: 330i (G20/G28/G80) 2.0 B48B20B 18/...
BMW: iX (I20) M60 xDrive Electric 619HP 22/...
BMW: M3 (G20/G28/G80) 3.0 6 cil. S58B30B 20/...
BMW: M3 Competition (G20/G28/G80) 3.0 6 cil. S58B30A 20/...
BMW: M340i (G20/G28/G80) 3.0 6 cil B58B30B 19/...
BMW: M340i (G20/G28/G80) 3.0 6 cil. Hybrid B58B30B 20/...
BMW: X3 (G01/G08/F97) 2.0 B48B20A 17/...
BMW: X3 (G01/G08/F97) 2.0 Plug-in Hybrid B48A20A / B46B20B 23/...
BMW: X4 (G02/F98) 2.0 Hybrid B48B20A / B46B20B 21/...
BMW: X4 (G02/F98) 3.0 6 cil Hybrid B58B30B 21/...
BMW: X5 (G05/F95) 3.0 6 cil Hybrid B58B30V 20/23
BMW: X5 (G05/F95) 3.0 6 cil. Hybrid B58B30P 23/...
BMW: X6 (G06/F96) 3.0 6 cil. B58B30C 19/23
BMW: X6 (G06/F96) 3.0 6 cil. B58B30P 23/...
BMW: X6 (G06/F96) 3.0 6 cil. Hybrid B58B30C 20/23</t>
  </si>
  <si>
    <t xml:space="preserve">TOYOTA: Camry 2.5 Hybrid A25A-FXS 17/...
TOYOTA: RAV4 2.5 Hybrid A25A-FXS 18/...
TOYOTA: RAV4 2.5 VVT-i AWD A25A-FKS 18/...</t>
  </si>
  <si>
    <t xml:space="preserve">1603225010 (OEM)
16032F0010 (OEM)</t>
  </si>
  <si>
    <t xml:space="preserve">TOYOTA: Corolla 2.0 Hybrid M20A-FXS 19/...
TOYOTA: Corolla 2.0 Hybrid M20A-FXS 21/...
TOYOTA: Corolla Cross 2.0 Hybrid M20A-FXS 21/...</t>
  </si>
  <si>
    <t xml:space="preserve">FIAT: Bravo 1.8 16V Etorq 11/16
FIAT: Doblo 1.8 16V Etorq 11/...
FIAT: Grand Siena 1.6 16V Etorq 13/...
FIAT: Idea 1.8 16V Etorq 09/...
FIAT: Linea 1.8 16V Etorq 09/...
FIAT: Palio 1.6 16V Etorq 11/...
FIAT: Palio 1.8 16V Etorq 11/...
FIAT: Palio Weekend 1.8 16V Etorq 11/...
FIAT: Punto 1.6 16V Etorq 11/...
FIAT: Punto 1.8 16V Etorq 11/...
FIAT: Siena 1.6 16V Etorq 11/...
FIAT: Siena 1.8 16V Etorq 11/...</t>
  </si>
  <si>
    <t xml:space="preserve">354600 (INDISA)
55243966 (OEM)
UB0778 (URBA)</t>
  </si>
  <si>
    <t xml:space="preserve">Bomba d'água com tampa + bomba de direção hidráulica acoplada
Sem mangueira e sem conexão
Sistema Melling</t>
  </si>
  <si>
    <t xml:space="preserve">SWP393</t>
  </si>
  <si>
    <t xml:space="preserve">BOMBA D´ÁGUA ELÉTRICA</t>
  </si>
  <si>
    <t xml:space="preserve">JAGUAR: F-Pace 2.0 D200 MHEV 204DTY(AJ21D4) Diesel 20/...
JAGUAR: XE 2.0 D200 MHEV 204DTY(AJ21D4) Diesel 20/...
JAGUAR: XF 2.0 D200 MHEV 204DTY(AJ21D4) Diesel 20/...
LAND ROVER: Discovery Sport 2.0 Ingenium AJ21D4 Diesel 19/...
LAND ROVER: Evoque 2.0 D165 204DTY(AJ20D4) 20/...</t>
  </si>
  <si>
    <t xml:space="preserve">122123456 (OEM)
LR139872 (OEM)</t>
  </si>
  <si>
    <t xml:space="preserve">SWP394</t>
  </si>
  <si>
    <t xml:space="preserve">JAGUAR: F-Pace 2.0 TD4 204DTD(AJ20D4) Diesel 15/...
JAGUAR: F-Pace 2.0 TD4 AWD 204DTD (AJ20D4) Diesel 15/...
JAGUAR: F-Pace 2.0 Ti4 AWD PT204(AJ20P4) Gasolina 17/...
JAGUAR: F-Type 5.0 SC V8 P450 AWD 508PS(AJ133) Gasolina 19/...
JAGUAR: XE 2.0 AWD PT204(AJ20P4) Gasolina 17/...
JAGUAR: XE 2.0 D AWD 204DTD(AJ20D4) Diesel 15/...
LAND ROVER: Discovery Sport 2.0 P200 PT204(AJ20P4) Gasolina 20/...
LAND ROVER: Discovery Sport 2.0 P250 PT204(AJ20P4) Gasolina 19/...
LAND ROVER: Discovery Sport 2.0 Si4 PT204(AJ20P4) Flex 18/...
LAND ROVER: Discovery Sport 2.0 Si4 PT204(AJ20P4) Gasolina 17/...
LAND ROVER: Evoque 2.0 PT204(AJ20P4) Gasolina 17/19
LAND ROVER: Velar 2.0 D180 204DTD(AJ20D4) Diesel 17/...
LAND ROVER: Velar 2.0 P250 Si4 PT204(AJ20P4) 17/...</t>
  </si>
  <si>
    <t xml:space="preserve">J9C35759 (OEM)
LR049317 (OEM)
LR166720 (OEM)
LR169917 (OEM)
T2H2556 (OEM)
T4A47127 (OEM)</t>
  </si>
  <si>
    <t xml:space="preserve">SWP395</t>
  </si>
  <si>
    <t xml:space="preserve">F4J16-1118071AC (OEM)</t>
  </si>
  <si>
    <t xml:space="preserve">SWP396</t>
  </si>
  <si>
    <t xml:space="preserve">AUDI: A1 1.8 TFSI DAJB 15/18
AUDI: A3 1.8 TFSI CJSA 12/16
AUDI: A3 2.0 TFSI CZPB / DKZA 16/20
AUDI: A4 2.0 TFSI CYRC / CYRB / CYMC / DLHB 16/...
AUDI: A5 2.0 TFSI CVKB / DKYA / CYRC / CYRB / DLHB / CYMC 16/...
AUDI: A6 1.8 TFSI CYGA 14/18
AUDI: A6 2.0 TFSI CDNB / CAEB 11/18
AUDI: A6 3.0 TFSI CGWD / CREC 12/18
AUDI: Q3 2.0 TFSI CCZC / CULB / CPSA / CULC 11/18
AUDI: Q5 2.0 TFSI CDNB / CNCB / CAEB / CPMB / CNCE 09/17
AUDI: Q5 2.0 TFSI DAXC / DAXB / DAYB / DJYA 16/20
AUDI: Q5 3.0 TFSI CTUC / CTVA 12/17
AUDI: Q5 3.2 FSI CALB 08/12
AUDI: Q7 3.0 TFSI CREC 15/19
AUDI: S3 2.0 TFSI CJXB / CJXF 13/16
AUDI: TT 1.8 TFSI CJSA 15/18
AUDI: TT 2.0 TFSI CHHC 14/...
VOLKSWAGEN: Golf 2.0 TSI CULC 13/18
VOLKSWAGEN: Golf GTI 2.0 TSI CNTA / CXCA / CHHB / CXDA / CXCB / CNTC 13/20
VOLKSWAGEN: New Beetle 2.0 TSI CULC 14/18
VOLKSWAGEN: Passat 1.8 TSI CJSA / CJSC 15/19
VOLKSWAGEN: Passat 2.0 TSI CZPB / DKZA / DRFA / CHHB / CXDA 15/24
VOLKSWAGEN: Tiguan 2.0 TSI CZPA / CHHB 16/24</t>
  </si>
  <si>
    <t xml:space="preserve">4H0121671B (OEM)
4H0121671D (OEM)
5Q0906457J (OEM)</t>
  </si>
  <si>
    <t xml:space="preserve">SWP397</t>
  </si>
  <si>
    <t xml:space="preserve">EQEAL-1307400 (OEM)</t>
  </si>
  <si>
    <t xml:space="preserve">SWP398</t>
  </si>
  <si>
    <t xml:space="preserve">BYD: Seal EV 24/...</t>
  </si>
  <si>
    <t xml:space="preserve">STE-1309010C (OEM)</t>
  </si>
  <si>
    <t xml:space="preserve">SWP400</t>
  </si>
  <si>
    <t xml:space="preserve">8115301XGW01A (OEM)</t>
  </si>
  <si>
    <t xml:space="preserve">SWP401</t>
  </si>
  <si>
    <t xml:space="preserve">BYD: Dolphin Mini EV 23/...
BYD: Song Plus 1.5 16V Híbrido 22/...
BYD: Song Pro 1.5 16V Híbrido 22/...</t>
  </si>
  <si>
    <t xml:space="preserve">STE1309010 (OEM)</t>
  </si>
  <si>
    <t xml:space="preserve">SWP402</t>
  </si>
  <si>
    <t xml:space="preserve">MERCEDES-BENZ: AMG 43 3.0 6 cil. M276 14/22
MERCEDES-BENZ: CLS400 (C218) 3.0 6 cil. M276 14/17
MERCEDES-BENZ: E400 (W212) 3.0 6 cil. M276 16/16
MERCEDES-BENZ: E400 (W213) 3.0 6 cil. M276 16/20
MERCEDES-BENZ: E43 AMG (W213) 3.0 6 cil. M276 16/18
MERCEDES-BENZ: GL400 (X166) 3.0 6 cil. M276 13/15
MERCEDES-BENZ: GLE320 (W166) 3.0 6 cil. M276 15/18
MERCEDES-BENZ: GLE400 (W166) 3.0 6 cil. M276 14/18
MERCEDES-BENZ: GLE43 AMG (W166) 3.0 6 cil. M276 17/18
MERCEDES-BENZ: GLE450 AMG (W166) 3.0 6 cil. M276 15/18
MERCEDES-BENZ: SL400 (R231) 3.0 6 cil. M276 14/20
MERCEDES-BENZ: SLC43 AMG (R172) 3.0 6 cil. M276 16/...</t>
  </si>
  <si>
    <t xml:space="preserve">2762000801 (OEM)
276200080180 (OEM)
A2762000801 (OEM)
A276200080180 (OEM)</t>
  </si>
  <si>
    <t xml:space="preserve">SWP403</t>
  </si>
  <si>
    <t xml:space="preserve">MERCEDES-BENZ: Sprinter 315 CDI 2.0 16V OM654 23/...
MERCEDES-BENZ: Sprinter 417 CDI 2.0 16V OM654 23/...
MERCEDES-BENZ: Sprinter 517 CDI 2.0 16V OM654 23/...</t>
  </si>
  <si>
    <t xml:space="preserve">6542010010 (OEM)</t>
  </si>
  <si>
    <t xml:space="preserve">Polia Ø 91mm</t>
  </si>
  <si>
    <t xml:space="preserve">SWP404</t>
  </si>
  <si>
    <t xml:space="preserve">LAND ROVER: Discovery Sport 2.0 D165 MHEV 204DTY(AJ21D4) Diesel 20/...
LAND ROVER: Discovery Sport 2.0 D200 MHEV 204DTY(AJ21D4) Diesel 20/...
LAND ROVER: Evoque 2.0 D150 MHEV 204DTD(AJ21D4) Diesel 18/...
LAND ROVER: Evoque 2.0 D165 MHEV 204DTY(AJ21D4) Diesel 20/...
LAND ROVER: Evoque 2.0 D180 MHEV 04DTD(AJ21D4) Diesel 18/...
LAND ROVER: Evoque 2.0 D200 MHEV 204DTY(AJ21D4) Diesel 20/...
LAND ROVER: Evoque 2.0 D240 MHEV 204DTA(AJ20D4) Diesel 18/...</t>
  </si>
  <si>
    <t xml:space="preserve">104123461 (OEM)
LR118241 (OEM)
LR127859 (OEM)</t>
  </si>
  <si>
    <t xml:space="preserve">SWP406</t>
  </si>
  <si>
    <t xml:space="preserve">CITROEN: C4 Cactus 1.6 16V THP 18/...
CITROEN: C4 Grand Picasso 1.6 16V THP 18/...
CITROEN: C4 Picasso 1.6 16V THP 18/...
PEUGEOT: 2008 1.6 16V THP 18/...
PEUGEOT: 208 1.6 16V THP 18/...
PEUGEOT: 3008 1.6 16V THP 18/...
PEUGEOT: 308 1.6 16V THP 18/...
PEUGEOT: 408 1.6 16V THP 18/...
PEUGEOT: 508 1.6 16V THP 18/...</t>
  </si>
  <si>
    <t xml:space="preserve">9826619080 (OEM)</t>
  </si>
  <si>
    <t xml:space="preserve">BMW: 118i (E87) 2.0   N43 B20A / N46 B20B 04/12
BMW: 120i (E87) 2.0   N46 B20B / N46 B20BD / N46 B20C / N46 B20CC 03/12
BMW: 320i (E91) 2.0   N43 B20A / N46 B20A / N46 B20C 03/12
BMW: X1 (E84) sDrive 18i 2.0   N46 B20B 10/…
BMW: X3 (E83) 2.0   N46 B20B 05/…
BMW: X3 (E83) xDrive 20i 2.0   N46 B20B 08/…
BMW: Z4 (E85) 2.0   N46 B20A / N46 B20B 05/…</t>
  </si>
  <si>
    <t xml:space="preserve">AUDI: A3 2.0 16V FSI AXW / AWA / BLR / BVY / BVZ 03/08
AUDI: A3 2.0 TFSI BWA / BPY 04/13
AUDI: A4 2.0 TFSI BGB / BPG / BWE / BWT / BPJ / BUL / BYK 04/08
AUDI: A6 2.0 TFSI BPJ / BYK / 05/11
AUDI: TT 2.0 TFSI BWA 06/10
AUDI: TT 2.0 TFSI CDLA / CDLB / CDMA 08/14
VOLKSWAGEN: Passat 2.0 FSI BWA 05/10</t>
  </si>
  <si>
    <t xml:space="preserve">FORD: Fusion 2.0 16V Turbo Ecoboost 13/...
JAGUAR: F-Pace 2.0 Turbo Gasolina 204PT 16/...
LAND ROVER: Discovery Sport 2.0 Turbo Gasolina 204PT 14/...
LAND ROVER: Evoque 2.0 Turbo Gasolina 204PT 11/...
LAND ROVER: Freelander 2 2.0 Turbo Gasolina 204PT 11/14
VOLVO: S60 2.0 T5 B4204T7 10/15
VOLVO: S80 2.0 T5 B4207T7 10/16
VOLVO: XC60 T5 2.0 20V Turbo 5 cil B4204T7 10/17</t>
  </si>
  <si>
    <t xml:space="preserve">JEEP: Grand Cherokee 2.7 20V OM612 02/04
MERCEDES-BENZ: Accelo 715C 2.7 20V OM612 02/11
MERCEDES-BENZ: Sprinter 311 / 313 / 411 / 413 2.2 16V OM611 02/12</t>
  </si>
  <si>
    <t xml:space="preserve">AUDI: A3 2.0 TFSI 04/13
AUDI: A4 2.0 TFSI 08/15
AUDI: A5 2.0 TFSI 08/17
AUDI: A6 2.0 TFSI 11/18
AUDI: Q3 2.0 TFSIA 11/15
AUDI: Q5 2.0 TFSI 08/17
AUDI: TT 2.0 TFSI 08/14
VOLKSWAGEN: Jetta 2.0 TSI 10/...
VOLKSWAGEN: New Beetle 2.0 TSI 11/16
VOLKSWAGEN: Passat 2.0 FSI 05/10
VOLKSWAGEN: Passat 2.0 TSI 10/14
VOLKSWAGEN: Tiguan 2.0 TSI 07/18</t>
  </si>
  <si>
    <t xml:space="preserve">BMW: 120i (F20) 2.0 N20 B20A 15/16
BMW: 320i (F30/F80) 2.0 16V N20 B20A / N20 B20 B 12/18
BMW: 523i (F10/F11) 2.0 16V N20 B20A / N20 B20B 11/17
BMW: X1 (E84) sDrive 28i 2.0 16V N20 B20A / N20 B20B 09/...
BMW: X1 xDrive 20i 2.0 16V N20 B20A 11/14
BMW: X3 (F25) sDrive 28i 2.0 16V N20 B20A 14/17
BMW: X3 (F25) xDrive 20i 2.0 16V N20 B16A / N20 B20A 11/17
BMW: X5 (F15/F85)  15/18
BMW: X6 (F16/F86)  15/19</t>
  </si>
  <si>
    <t xml:space="preserve">FORD: Transit 2.4 16V 08/12
LAND ROVER: Defender 2.4 16V 08/...</t>
  </si>
  <si>
    <t xml:space="preserve">3 furos de fixação com 9mm
Bocal para mangueira 17mm
Polia correia 7PK</t>
  </si>
  <si>
    <t xml:space="preserve">MERCEDES-BENZ: Sprinter 311/313/415/515 2.1/2.2 CDI Eletrônico OM651 13/…</t>
  </si>
  <si>
    <t xml:space="preserve">NISSAN: Frontier 2.5 16V Turbo YD25 07/12
NISSAN: Frontier 2.5 16V Turbo YDK25 13/17
NISSAN: Pathfinder 2.5 16V Turbo YD25 05/12
NISSAN: Pathfinder 2.5 16V Turbo YDK25 13/17</t>
  </si>
  <si>
    <t xml:space="preserve">Engrenagem dupla</t>
  </si>
  <si>
    <t xml:space="preserve">NISSAN: Frontier 2.5 16V Turbo YD25E3 05/17
NISSAN: Pathfinder 2.5 16V Turbo YD25E3 05/17</t>
  </si>
  <si>
    <t xml:space="preserve">Engrenagem simples</t>
  </si>
  <si>
    <t xml:space="preserve">TOYOTA: Hilux 2.5 16V 2KD 05/12
TOYOTA: Hilux 3.0 16V 1KD 05/15
TOYOTA: SW4 3.0 16V 1KD 05/15</t>
  </si>
  <si>
    <t xml:space="preserve">RENAULT: Master 2.5 16V Turbo G9U 05/13</t>
  </si>
  <si>
    <t xml:space="preserve">FORD: Ranger 2.2 16V TDCi 13/...
FORD: Ranger 3.2 20V TDCi 13/...
TROLLER: T4 3.2 20V TDCi 14/...</t>
  </si>
  <si>
    <t xml:space="preserve">BMW: 116i (F20) 1.6 N13B16A 11/...
BMW: 116i (F21) 1.6 N13B16A 11/...
BMW: 118i (F20) 1.6 N13B16A 10/...
BMW: 118i (F20) 1.6 N13B16A 15/...
BMW: 118i (F21) 1.6 N13B16A 12/...
BMW: 118i (F21) 1.6 N13B16A 15/...
BMW: 120i (F20) 1.6 N13B16A 15/...
BMW: 120i (F21) 1.6 N13B16A 15/...
BMW: 316i (F30/F80) 1.6 N13B16A 12/16
BMW: 320i (F30/F80) 1.6 N13B16A 12/16
CITROEN: C4 / C4 Picasso 1.6 16V / 1.6 16V THP EP6 / EP6DT 09/…
CITROEN: C4 Lounge 1.6 16V THP EP6DT / EP6DTS 13/…
CITROEN: DS3 1.6 16V THP EP6DT / EP6DTS 12/…
CITROEN: DS4 1.6 16V THP EP6DT / EP6DTS 12/…
CITROEN: DS5 1.6 16V THP EP6DT / EP6DTS 12/…
MINI: Cooper 1.6 16V N12B16A / N16B16AM 06/09
MINI: Cooper 1.6 16V N16B16AU 10/…
MINI: Cooper S 1.6 16V Turbo N12B16A / N14B16C 06/…
MINI: Cooper S 1.6 16V Turbo N16B16AM 10/…
MINI: Cooper S 1.6 16V Turbo N18B16AMO 09/…
MINI: Cooper S 1.6 16V W11B16A-163 07/09
MINI: One 1.4 16V N12B14A 07/09
MINI: One 1.6 16V N16B16K / N16B16AU 09/…
MINI: One 1.6 16V N16BAU 10/…
PEUGEOT: 2008 1.6 16V THP EP6DT / EPDDTS 15/…
PEUGEOT: 207 1.6 16V THP EP6DT / EPDDTS 07/…
PEUGEOT: 3008 1.6 16V THP EP6DT / EPDDTS 11/…
PEUGEOT: 308 1.6 16V THP EP6DT / EPDDTS 07/…
PEUGEOT: 408 1.6 16V THP EP6DT / EPDDTS 11/…
PEUGEOT: 508 1.6 16V THP EP6DT / EPDDTS 11/…
PEUGEOT: RCZ 1.6 16V THP EP6DT / EPDDTS 11/…</t>
  </si>
  <si>
    <t xml:space="preserve">GM: Blazer 2.8 4 cil Turbo Diesel MWM 4.07T / 4.07TCA 00/12
GM: S10 2.8 4 cil Turbo Diesel MWM 4.07T / 4.07TCA 00/12
NISSAN: Frontier 2.8 4 cil Turbo Diesel MWM 4.07T / 4.07TCA 02/…
NISSAN: X Terra 2.8 4 cil Turbo Diesel MWM 4.07T / 4.07TCA 02/…
TROLLER: T4 2.8 4 cil Diesel MWM 4.07T / 4.07TCA 98/…</t>
  </si>
  <si>
    <t xml:space="preserve">167006-S300 (OEM)
7002657C1 (OEM)
7002661C1 (OEM)
98500126 (OEM)</t>
  </si>
  <si>
    <t xml:space="preserve">Saída 90° (curva)</t>
  </si>
  <si>
    <t xml:space="preserve">MITSUBISHI: Pajero 2.8 Turbo 4M40 Diesel 94/99
MITSUBISHI: Pajero 3.2 4M41 Diesel 99/…
MITSUBISHI: Pajero Full 3.2 Turbo 4M41 Diesel …/00
MITSUBISHI: Pajero Sport 2.8 8V HPE 4M40 99/07
MITSUBISHI: Pajero Sport 2.8 Turbo 4M40 Diesel 93/…
MITSUBISHI: Pajero Sport 3.2 Turbo 4M41 Diesel 99/…</t>
  </si>
  <si>
    <t xml:space="preserve">CITROEN: Jumper 2.8 HDI 00/09
FIAT: Ducato 2.8 Diesel / 2.8 Turbo Diesel 94/…
IVECO: Daily 35 C 10 2.8 8V 01/05
IVECO: Daily 40 C 12 2.8 8V 01/05</t>
  </si>
  <si>
    <t xml:space="preserve">HYUNDAI: HR 2.5 16V CRDi Diesel D4CB 13/...
KIA: Bongo K2500 2.5 16V CRDi Diesel D4CB 13/...
KIA: Sorento 2.5 16V CRDi D4CB 02/08</t>
  </si>
  <si>
    <t xml:space="preserve">GM: Equinox 2.0 16V Turbo 18/21
GM: S10 2.5 Flex 15/...</t>
  </si>
  <si>
    <t xml:space="preserve">AUDI: A3 2.0 16V TFSI 04/13
VOLKSWAGEN: Jetta 2.0 16V TSI CBFA/CCTA 10/17
VOLKSWAGEN: Passat Variant 2.0 16V TSI CAWB/CBFA/CCTA 05/11
VOLKSWAGEN: Tiguan 2.0 16V TSI CAWB/CCTA 07/17</t>
  </si>
  <si>
    <t xml:space="preserve">MERCEDES-BENZ: A160 (W176) 1.6 4cil M270.910 15/...
MERCEDES-BENZ: A180 (W176) 1.8 4cil M.270.910 12/...
MERCEDES-BENZ: A200 (W176) 1.6 4cil M270.910 14/...
MERCEDES-BENZ: A220 (W176) 2.0 4cil M270.920 14/...
MERCEDES-BENZ: A250 (W176) 2.0 4cil M270.920 12/...
MERCEDES-BENZ: B180 (W242/W246) 1.6 4cil M270.910 11/...
MERCEDES-BENZ: B200 (W242/W246) 1.6 4cil M270.910 11/...
MERCEDES-BENZ: B220 (W242/W246) 2.0 4cil M270.920 13/...
MERCEDES-BENZ: B250 (W242/W246) 2.0 4cil M270.920 12/...
MERCEDES-BENZ: C180 CGI (W204) 1.6 16V M274.910 13/...
MERCEDES-BENZ: CLA180 (X117) 1.6 4cil M270.910 15/...
MERCEDES-BENZ: CLA200 (X117) 1.6 4cil M270.910 15/...
MERCEDES-BENZ: CLA220 (X117) 2.0 4cil M270.920 15/...
MERCEDES-BENZ: CLA250 (X117) 2.0 4cil M270.920 15/...
MERCEDES-BENZ: GLA180 (X156) 1.6 4cil M270.910 15/...
MERCEDES-BENZ: GLA200 (X156) 1.6 4cil M270.910 13/...
MERCEDES-BENZ: GLA220 (X156) 2.0 4cil M270.920 17/...
MERCEDES-BENZ: GLA250 (X156) 2.0 4cil M270.920 13/...</t>
  </si>
  <si>
    <t xml:space="preserve">MERCEDES-BENZ: C180 (W203) 1.8 16V M271.976 00/07
MERCEDES-BENZ: C200 (W203) 1.8 16V M271.940 00/07</t>
  </si>
  <si>
    <t xml:space="preserve">TOYOTA: Bandeirante 3.7 14B 94/01</t>
  </si>
  <si>
    <t xml:space="preserve">FIAT: Toro 2.4 16V 16/…
JEEP: Compass 2.0 16V 16/…</t>
  </si>
  <si>
    <t xml:space="preserve">NISSAN: Frontier 2.3 16V 16/...
RENAULT: Master 2.3 16V Turbo 13/…</t>
  </si>
  <si>
    <t xml:space="preserve">GM: Cruze 1.4 16V Turbo 16/...
GM: Equinox 1.5 Turbo 20/23
GM: Tracker 1.4 16V Turbo 17/20</t>
  </si>
  <si>
    <t xml:space="preserve">HYUNDAI: Creta 1.0 12V 3 cil Turbo 21/...
HYUNDAI: HB20 1.0 12V 3 cil Turbo 20/...</t>
  </si>
  <si>
    <t xml:space="preserve">HYUNDAI: HR 2.5 8V Diesel 05/12
KIA: Bongo K2500 2.5 8V Diesel 05/12
MITSUBISHI: L200 Sport 2.5 Diesel / 2.5 Turbo Diesel HPE 03/…
MITSUBISHI: Pajero Sport 2.5 8V HPE 03/12</t>
  </si>
  <si>
    <t xml:space="preserve">HYUNDAI: H100 2.5 Diesel 98/…
MITSUBISHI: L200 2.5 Diesel GL/GLS 96/06</t>
  </si>
  <si>
    <t xml:space="preserve">TOYOTA: Hilux 3.0 4x2 Aspirado 5L 01/04
TOYOTA: Hilux 3.0 4x4 Aspirado 5L 01/04</t>
  </si>
  <si>
    <t xml:space="preserve">TOYOTA: Hilux 2.8 16V Turbo Diesel 1GDFTV 16/...
TOYOTA: SW4 2.8 16V Turbo Diesel 1GDFTV 16/...</t>
  </si>
  <si>
    <t xml:space="preserve">29300-11020 (OEM)</t>
  </si>
  <si>
    <t xml:space="preserve">MITSUBISHI: Pajero Dakar 3.2 16V 4M41 10/16
MITSUBISHI: Pajero Full 3.2 16V 4M41 08/21
MITSUBISHI: Triton 3.2 16V 4M41 08/18</t>
  </si>
  <si>
    <t xml:space="preserve">NISSAN: Frontier 2.5 16V YD25ETI 190HP 12/17
NISSAN: Pathfinder 2.5 16V YD25ETI 190HP 12/17</t>
  </si>
  <si>
    <t xml:space="preserve">14650-5X00D (OEM)</t>
  </si>
  <si>
    <t xml:space="preserve">MERCEDES-BENZ: C180 (W204) 1.8 16V M274 07/14
MERCEDES-BENZ: C200 (W204) 1.8 16V M274 07/14</t>
  </si>
  <si>
    <t xml:space="preserve">AUDI: A4 3.2 FSI 07/15
AUDI: A5 3.2 FSI 07/17
AUDI: A6 3.0 TFSI 04/18
AUDI: A6 3.2 FSI 05/08
AUDI: A7 3.0 TFSI 10/18
AUDI: A8 3.0 TFSI 10/18
AUDI: Q5 3.0 V6 TFSI CTUC/CTVA 12/17
AUDI: Q5 3.2 FSI 12/17
AUDI: Q7 3.0 V6 TFSI CTUC/CTVA 11/17
AUDI: S4 3.0 V6 TFSI CAKA/CCBA/CGXC/CTUB/CGWC/CREC 08/15
AUDI: S5 3.0 V6 TFSI CAKA/CGXC/CTUB/CGWC/CREC/CTDA 11/17
PORSCHE: Cayenne 3.0 V6 E-Hybrid 19/...
PORSCHE: Cayenne 3.6 V6 M55.02 / MCE.YA 10/18
VOLKSWAGEN: Touareg 3.0 V6 TSI CGFA/CGEA 10/18
VOLKSWAGEN: Touareg 3.6 V6 FSI CGRA 10/18</t>
  </si>
  <si>
    <t xml:space="preserve">06E145100AA (OEM)
06E145100K (OEM)
06E145100M (OEM)
06E145100R (OEM)
724807750 (PIERBURG)</t>
  </si>
  <si>
    <t xml:space="preserve">AGRALE: Marrua AM 100 2.8 Diesel Cummins ISF 12/15
AGRALE: Marrua AM 150 CD 2.8 Diesel Cummins ISF 12/15
AGRALE: Marrua AM 200 2.8 Diesel Cumins ISF 12/...
AGRALE: Marrua AM 300 2.8 Diesel Cumins ISF 15/...
AGRALE: Marrua AM2/AM11/AM21/AM23/AM31 2.8 Diesel Cumins ISF 12/...
FORD: F350 2.8 Diesel Cummins ISF 14/...
FORD: F4000 2.8 Diesel Cummins ISF 14/...
FOTON: Aumark 3.5 11DT/11ST/12DT/14DT/14ST 2.8 Diesel Cummins ISF 16/...
FOTON: Aumark 3.50AK 2.8 Diesel Cummins ISF 14/15
FOTON: Aumark S Citytruck 6.5-15 2.8 Diesel Cummins ISF 21/...
FOTON: Minitruck 3.5 12DT/14DT/14ST 2.8 Diesel Cummins ISF 17/...
JAC MOTORS: JAC T140 2.8 Diesel Cumins ISF 12/17
MARCOPOLO: Volare Cinco Escolar 2.8 Diesel Cumins ISF 13/19
MARCOPOLO: Volare Cinco Executivo 2.8 Diesel Cumins ISF 13/...
MARCOPOLO: Volare Cinco Executivo Plus 2.8 Diesel Cumins ISF 13/18
VOLKSWAGEN: Delive 4.160 Express 2.8 Diesel Cumins ISF 20/...
VOLKSWAGEN: Delivery 4.150 Express 2.8 Diesel Cumins ISF 18/...
VOLKSWAGEN: Delivery 6.160 Express 2.8 Diesel Cumins ISF 18/...</t>
  </si>
  <si>
    <t xml:space="preserve">23B145209 (OEM)
5270422 (OEM)
5270423 (OEM)
5282085 (OEM)
9140300120 (OEM)
9149050114 (OEM)</t>
  </si>
  <si>
    <t xml:space="preserve">LAND ROVER: Freelander 2 3.2 6 cil. B6324S 06/14
VOLVO: XC60 AWD 3.2 6 cil. B6324S 09/10
VOLVO: XC60 AWD 3.2 6 cil. B6324S5 10/16
VOLVO: XC60 T6 AWD 3.0 6 cil B6304T2 08/10
VOLVO: XC60 T6 AWD 3.0 6 cil B6304T4 / B6304T3 14/15
VOLVO: XC60 T6 AWD 3.0 6 cil. B6304T4 10/16
VOLVO: XC90 AWD 3.2 6 cil. B6324S 07/14</t>
  </si>
  <si>
    <t xml:space="preserve">31219778 (OEM)
31401152 (OEM)
LR002573 (OEM)
LR009388 (OEM)</t>
  </si>
  <si>
    <t xml:space="preserve">VOLVO: S60 T4 2.0 B4204T31 18/22
VOLVO: S60 T5 2.0 B4204T20 / B4204T23 / B4204T26 19/22
VOLVO: S60 T6 2.0 B4204T29 / B4204T34 / B4204T52 19/22
VOLVO: S60 T8 2.0 B4204T34 / B4204T48 / B4204T56 19/22
VOLVO: S90 T4 2.0 B4204T31 17/27
VOLVO: S90 T5 2.0 B4204T23 / B4204T26 16/21
VOLVO: S90 T6 2.0 B4204T27 / B4204T29 16/21
VOLVO: XC40 T4 2.0 B4204T31 / B4204T47 18/22
VOLVO: XC40 T5 2.0 B4204T14 / B4204T20 / B4204T36 17/22
VOLVO: XC60 T4 2.0 B4204T31 18/22
VOLVO: XC60 T5 2.0 B4204T20 / B4204T23 / B4204T26 17/22
VOLVO: XC60 T6 2.0 B4204T27 / B4204T29 17/22
VOLVO: XC90 T5 2.0 B4204T23 / B4204T26 15/21</t>
  </si>
  <si>
    <t xml:space="preserve">31316143 (OEM)
31480558 (OEM)</t>
  </si>
  <si>
    <t xml:space="preserve">JAGUAR: F-Pace 2.0 Ti4 MHEV PT204(AJ20P4) Híbrido 18/...
LAND ROVER: Defender 2.0 P300 PT204(AJ20P4) 18/...
LAND ROVER: Discovery Sport 2.0 P250 PT204(AJ20P4) 18/...
LAND ROVER: Evoque 2.0 P250 PT204(AJ20P4) Gasolina 15/...
LAND ROVER: Range Rover Sport 2.0 P300 MHEV PT204(AJ20P4) Híbrido 18/...
LAND ROVER: Velar 2.0 P250 MHEV P204(AJ20P4) Híbrido 18/...</t>
  </si>
  <si>
    <t xml:space="preserve">AJ811465 (OEM)
AJ813786 (OEM)
C2Z28245 (OEM)
C2Z29984 (OEM)
LR010690 (OEM)
LR048796 (OEM)
LR060475 (OEM)
LR082226 (OEM)</t>
  </si>
  <si>
    <t xml:space="preserve">BMW: 116i (F20) 1.6 16V Turbo N13B16A 11/15
BMW: 118i 1.6 16V Turbo N13B16A 11/15
BMW: 316i (F21) 1.6 16V Turbo N13B16A 13/16</t>
  </si>
  <si>
    <t xml:space="preserve">11667625260 (OEM)
704625030 (PIERBURG)</t>
  </si>
  <si>
    <t xml:space="preserve">FORD: Transit 2.2 16V Duratorq 11/14</t>
  </si>
  <si>
    <t xml:space="preserve">703799050 (PIERBURG)
BK3Q2A451FA (OEM)
BK3Q2A451FB (OEM)
BK3Q2A451FC (OEM)</t>
  </si>
  <si>
    <t xml:space="preserve">MINI: Cooper 1.6 16V N13B16 07/10
MINI: Cooper Cabrio 1.6 16V N13B16 08/10
MINI: Cooper S 1.6 16V N13B16 07/12
MINI: Cooper S Cabrio 1.6 16V N18B16A 11/12</t>
  </si>
  <si>
    <t xml:space="preserve">11667270813 (OEM)
11667559463 (OEM)
701490090 (PIERBURG)</t>
  </si>
  <si>
    <t xml:space="preserve">BMW: 120i (F20) Active Flex 2.0 16V N20B20 15/16
BMW: 120i (F20) Sport GP 2.0 16V N20B20 15/16
BMW: 125i (F20) M Sport 2.0 16V N20B20 13/14
BMW: 320i (F30) 2.0 16V N20B20A 12/13
BMW: 320i GT (F34) 2.0 16V N20B20A 14/17
BMW: 328i (F30) 2.0 16V N20B20A 13/16
BMW: 528i M Sport 2.0 16V N20B20A 15/19
BMW: X3 (F25) sDrive 28i 2.0 16V N20B20A 12/15
BMW: X3 (F25) xDrive 20i 2.0 16V N20B20A 14/16
BMW: X3 xDrive 20i X-Line 2.0 16V N20B20A 14/16</t>
  </si>
  <si>
    <t xml:space="preserve">11667622380 (OEM)
702551180 (PIERBURG)</t>
  </si>
  <si>
    <t xml:space="preserve">BMW: 130i (E87) 3.0 24V N52B30 05/09
BMW: 130i (E87) 3.0 24V N52B30 07/10
BMW: 325i (E90) 2.5 24V N52B25 06/12
BMW: 325i (E90) 2.5 24V N52B25 09/09
BMW: 330i (E90) 3.0 24V N52B30A 06/09
BMW: 330i (E90) Motorsport 3.0 24V N52B30A 06/09
BMW: 530i (E60) 3.0 24V N52B30A 05/11
BMW: X1 (E84) xDrive 28i 3.0 24V N52B30A 10/11
BMW: X3 (E83) 3.0 24V N52B30 07/08
BMW: X3 (E83) xDrive 28i 3.0 24V N52B30A 09/11
BMW: X5 (E70) 3.0 24V N52B30 07/09
BMW: Z4 (E89) sDrive 23i 2.5 24V N52B25A 10/15</t>
  </si>
  <si>
    <t xml:space="preserve">11667558344 (OEM)
724807330 (PIERBURG)</t>
  </si>
  <si>
    <t xml:space="preserve">GK2Q2A451AD (OEM)
GK2Q2A451AE (OEM)</t>
  </si>
  <si>
    <t xml:space="preserve">NISSAN: Frontier 2.5 16V YD25DDTI  Euro V 190HP 13/16</t>
  </si>
  <si>
    <t xml:space="preserve">SUZUKI: Grand Vitara 1.6 16V 97/...
SUZUKI: Jimny 1.3 16V 98/...
SUZUKI: Samurai 1.3 16V 91/...
SUZUKI: Sidekick 1.6 16V 89/...</t>
  </si>
  <si>
    <t xml:space="preserve">GM: Omega 2.0 16V / 2.2 16V MPFI 94/98
GM: Omega 3.0 V6 C30NE-CIH/ C30LE-CIH 92/95
GM: Suprema 2.0 16V / 2.2 16V MPFI 94/98
GM: Suprema 3.0 V6 C30NE-CIH/ C30LE-CIH 92/95</t>
  </si>
  <si>
    <t xml:space="preserve">GM: Tracker 2.0 16V J20A gasolina 99/…
SUZUKI: Grand Vitara 2.0 16V J20A gasolina 06/…
SUZUKI: Grand Vitara 2.0 16V J20A gasolina 98/…
SUZUKI: Vitara 2.0 16V J20A gasolina 97/…</t>
  </si>
  <si>
    <t xml:space="preserve">MERCEDES-BENZ: Sprinter 311/313/411/413/416 2.1 / 2.7 CDI Eletrônico OM611/OM612 02/…
SSANGYONG: Actyon 2.0 16V   D20DT 05/…
SSANGYONG: Actyon Sports 2.0 16V   D20DT 07/…
SSANGYONG: Actyon Sports 2.0 16V   D20DTR 11/…
SSANGYONG: Korando 2.0 16V   D20DTR 11/…
SSANGYONG: Kyron 2.0 16V   D20DT 05/…
SSANGYONG: Kyron 2.0 16V   D20DT 10/…</t>
  </si>
  <si>
    <t xml:space="preserve">GM: S10 2.8 Turbodiedel Duramax 13/...
GM: Trailblazer 2.8 Turbodiesel Duramax 13/...</t>
  </si>
  <si>
    <t xml:space="preserve">Hélice 11 pás</t>
  </si>
  <si>
    <t xml:space="preserve">FORD: Ranger 2.3 94/97
FORD: Ranger 2.5 97/01
MAZDA: B2300 2.3 94/97
MAZDA: B2500 2.5 97/…</t>
  </si>
  <si>
    <t xml:space="preserve">Sem Ar Condicionado
Hélice 8 pás</t>
  </si>
  <si>
    <t xml:space="preserve">TOYOTA: Hilux 2.8 TURBODIESEL 16/...
TOYOTA: Hilux 3.0 Turbo Diesel 1KD 02/15
TOYOTA: Land Cruiser Prado 3.0 Turbo Diesel 1KD 03/09
TOYOTA: SW4 2.8 TURBODIESEL 16/...
TOYOTA: SW4 3.0 Turbo Diesel 1KD 05/18</t>
  </si>
  <si>
    <t xml:space="preserve">Hélice 7 pás</t>
  </si>
  <si>
    <t xml:space="preserve">TOYOTA: Hilux 2.7 16V Flex 3RZ FE 12/…
TOYOTA: SW4 2.7 16V Flex 3RZ FE 12/…</t>
  </si>
  <si>
    <t xml:space="preserve">Hélice 8 pás</t>
  </si>
  <si>
    <t xml:space="preserve">FORD: Transit 2.4 16V TDCi / TDE  Duratorq 08/…</t>
  </si>
  <si>
    <t xml:space="preserve">MITSUBISHI: Pajero Dakar 3.2 16V Diesel 4M41 DI-D 07/16
MITSUBISHI: Pajero Full 3.2 16V Diesel 4M41 DI-D 07/16
MITSUBISHI: Pajero Sport 2.4 16V 4N15 19/...
MITSUBISHI: Triton 2.4 16V 4N15 17/...
MITSUBISHI: Triton 3.2 16V Diesel 4M41 DI-D 07/16
MITSUBISHI: Triton 3.5 V6 24V Flex 6G74 10/16
MITSUBISHI: Triton 3.5 V6 24V Gasolina 6G74 07/16</t>
  </si>
  <si>
    <t xml:space="preserve">MITSUBISHI: Pajero 2.8 Turbo 4M40 Diesel 94/99
MITSUBISHI: Pajero Sport 2.8 Turbo 4M40 Diesel 93/…</t>
  </si>
  <si>
    <t xml:space="preserve">MERCEDES-BENZ: Sprinter 415/515 2.2 CDI Eletrônico OM651LA 13/…</t>
  </si>
  <si>
    <t xml:space="preserve">A0002009723 (OEM)</t>
  </si>
  <si>
    <t xml:space="preserve">Conjunto polia com hélice
Hélice 7 pás</t>
  </si>
  <si>
    <t xml:space="preserve">NISSAN: Frontier 2.3 16V Biturbo YS23 17/...</t>
  </si>
  <si>
    <t xml:space="preserve">21082-4JA0D (OEM)
21082-4JA0E (OEM)</t>
  </si>
  <si>
    <t xml:space="preserve">SFC7022</t>
  </si>
  <si>
    <t xml:space="preserve">NISSAN: Frontier 2.5 16V YDK25 Euro V 13/16</t>
  </si>
  <si>
    <t xml:space="preserve">21082-EB30A (OEM)
21082-EB705 (OEM)
21082-EB70B (OEM)</t>
  </si>
  <si>
    <t xml:space="preserve">GM: S10 2.8 Turbodiedel Duramax 17/23
GM: Trailblazer 2.8 Turbodiesel Duramax 17/23</t>
  </si>
  <si>
    <t xml:space="preserve">52123271 (OEM)
VPV063 (VETOR)</t>
  </si>
  <si>
    <t xml:space="preserve">Rotação sentido horário
Polia tipo térmico
4 furos</t>
  </si>
  <si>
    <t xml:space="preserve">FORD: F250 3.9 Cummins  4CL 145HP 98/12
FORD: F350 3.9  Cummins 4CL 135HP 98/12
FORD: F4000 4X2 3.9L Cummins  4CL 135HP 98/12
FORD: F4000 4X4 3.9 Cummins 4CL 135HP 08/12</t>
  </si>
  <si>
    <t xml:space="preserve">VPV016 (VETOR)
XC358A616AB (OEM)</t>
  </si>
  <si>
    <t xml:space="preserve">FORD: F250 4.2 6 cil MWM Sprint 99/06
FORD: F350 4.2 6 cil MWM Sprint 99/06
FORD: F450 4.2 6 cil MWM Sprint 03/07</t>
  </si>
  <si>
    <t xml:space="preserve">MITSUBISHI: L200 2.5 8V Turbo HPE 97/11
MITSUBISHI: Pajero Sport 2.5 8V Turbo HPE 06/12</t>
  </si>
  <si>
    <t xml:space="preserve">FORD: CARGO 1215 CUMMINS 91/92
FORD: CARGO 1215 MWM 91/92
FORD: CARGO 1317 Cummins 02/06
FORD: CARGO 1317 MWM 02/06
FORD: CARGO 1415 Cummins 02/06
FORD: CARGO 1415 MWM 02/06
FORD: CARGO 1419 CUMMINS 91/92
FORD: CARGO 1419 MWM 91/92
FORD: CARGO 1521 Cummins 02/06
FORD: CARGO 1521 MWM 02/06
FORD: CARGO 1617 CUMMINS 91
FORD: CARGO 1617 MWM 91
FORD: CARGO 1622 Cummins 02/06
FORD: CARGO 1622 CUMMINS 91/02
FORD: CARGO 1622 MWM 02/06
FORD: CARGO 1622 MWM 91/02
FORD: CARGO 1722 CUMMINS 02/06
FORD: CARGO 1722 CUMMINS 91/02
FORD: CARGO 1722 MWM 02/06
FORD: CARGO 1722 MWM 91/02
FORD: CARGO 1731 Cummins 02/06
FORD: CARGO 1731 MWM 02/06
FORD: CARGO 2421 Cummins 02/06
FORD: CARGO 2421 MWM 02/06
FORD: CARGO 2422 CUMMINS 91/02
FORD: CARGO 2422 MWM 91/02
FORD: CARGO 2622 CUMMINS 91/02
FORD: CARGO 2622 MWM 91/02
FORD: CARGO 712E CUMMINS 93/98
FORD: CARGO 815E MWM 93/98
FORD: F12000 CUMMINS 93/98
FORD: F12000 MWM 93/98
FORD: F14000 CUMMINS 93/05
FORD: F14000 MWM 93/98
MAN / VW: Constellation 15.180E CUMMINS EURO IV 03/...
MAN / VW: Worker 13.170 Cummins 00/01
MAN / VW: Worker 13.170 MWM 00/01
MAN / VW: Worker 13.170 E Cummins 00/01
MAN / VW: Worker 13.170 E MWM 00/01
MAN / VW: Worker 13.190 CUMMINS 01/05
MAN / VW: Worker 13.190 MWM 01/05
MAN / VW: Worker 14.220 CUMMINS 91/00
MAN / VW: Worker 14.220 MWM 91/00
MAN / VW: Worker 15.170 CUMMINS 00/01
MAN / VW: Worker 15.170 CUMMINS EURO IV 03/...
MAN / VW: Worker 15.170 MWM 00/01
MAN / VW: Worker 15.170 E CUMMINS 00/01
MAN / VW: Worker 15.170 E CUMMINS EURO IV 03/...
MAN / VW: Worker 15.170 E MWM 00/01
MAN / VW: Worker 15.190 CUMMINS 01/05
MAN / VW: Worker 15.190 CUMMINS EURO IV 03/...
MAN / VW: Worker 15.190 MWM 01/05
MAN / VW: Worker 16.170 CUMMINS 91/94
MAN / VW: Worker 16.170 MWM 91/94
MAN / VW: Worker 16.220 CUMMINS 91/00
MAN / VW: Worker 16.220 MWM 91/00
MAN / VW: Worker 7.100 CUMMINS 94/00
MAN / VW: Worker 7.100 MWM 94/00
MAN / VW: Worker 8.100 CUMMINS 97/00
MAN / VW: Worker 8.100 MWM 97/00
MAN / VW: Worker 8.140 CUMMINS 94/00
MAN / VW: Worker 8.140 MWM 94/00
MAN / VW: Worker 8.150E Delivery CUMMINS EURO IV 03/...
MAN / VW: Worker 8.150E Delivery MWM 09/12
MAN / VW: Worker 9.150E Delivery CUMMINS 10/12
MAN / VW: Worker 9.150E Delivery MWM 10/12</t>
  </si>
  <si>
    <t xml:space="preserve">98HU8A616BA (OEM)
VPV015 (VETOR)</t>
  </si>
  <si>
    <t xml:space="preserve">AGRALE: 14000 / 14000 S MWM EURO V 18/20
FORD: CARGO 1622 CUMMINS 91/03
FORD: CARGO 1630 CUMMINS 98/04
FORD: CARGO 1722 CUMMINS 02/06
FORD: CARGO 1731 CUMMINS 03/05
FORD: CARGO 2425 CUMMINS 95/03
FORD: CARGO 2626 CUMMINS 00/06
FORD: CARGO 2630 CUMMINS 98/02
FORD: CARGO 2631 CUMMINS 02/06
FORD: CARGO 4030 CUMMINS 94/04
FORD: F12000 CUMMINS 99/05
FORD: F14000 CUMMINS 99/05
FORD: F16000 CUMMINS 99/04
IVECO: Vertis 130V18 4x2 FPT EURO V 11/12
IVECO: Vertis 130V19 FPT EURO V 13/16
IVECO: Vertis 90V18 FPT EURO V 13/16
MAN / VW: 31.260 MWM 08/11
MAN / VW: 35.300 CUMMINS 91/99
MAN / VW: 40.300 CUMMINS 99/02
MAN / VW: Worker 16.300 CUMMINS 96/00
MAN / VW: Worker 17.210 MWM 04/07
MAN / VW: Worker 17.220 CUMMINS 06/11
MAN / VW: Worker 23.210 MWM 02/06
MAN / VW: Worker 24.220 CUMMINS 06/11
MAN / VW: Worker 24.250 CUMMINS 91/02
MAN / VW: Worker 26.220 CUMMINS 01/05
MAN / VW: Worker 26.260 MWM 08/11
MARCOPOLO: VOLARE ESCOLAR W9/DW9 MWM EURO V 19/21
MARCOPOLO: VOLARE EXECUTIVO W9/DW9 MWM EURO V 19/21</t>
  </si>
  <si>
    <t xml:space="preserve">2TC121431A (OEM)
98HU8A616AA (OEM)
A2TC121431A (OEM)
TMG121431 (OEM)</t>
  </si>
  <si>
    <t xml:space="preserve">Rotação sentido horário
Polia tipo térmico
6 furos</t>
  </si>
  <si>
    <t xml:space="preserve">HYUNDAI: HR 2.5 16V DC4B Euro V / Euro VI 18/...
KIA: Bongo K2500 2.5 16V DC4B Euro V / Euro VI 18/...</t>
  </si>
  <si>
    <t xml:space="preserve">DAF: CF85 360 HP / 380 HP / 410 HP / 430 HP MX13 12.9 
DAF: XF105 410 HP / 460 HP / 510 HP MX13 12.9 </t>
  </si>
  <si>
    <t xml:space="preserve">1677080 (OEM)
1916597 (OEM)
2293637 (OEM)</t>
  </si>
  <si>
    <t xml:space="preserve">Rotação sentido horário
Polia tipo elétrica
6 furos</t>
  </si>
  <si>
    <t xml:space="preserve">MAN / VW: Constellation 24.280 MAN D08 6.9 EURO V 12/...
MAN / VW: Constellation 26.280 MAN D08 6.9 EURO V 12/...
MAN / VW: Constellation 31.280 MAN D08 6.9 EURO V 12/...</t>
  </si>
  <si>
    <t xml:space="preserve">VOLVO: B270 EURO V 13/...
VOLVO: VM220 EURO V 13/...
VOLVO: VM270 EURO V 13/...</t>
  </si>
  <si>
    <t xml:space="preserve">CASE: Retroescavadeira 580M  
CASE: Retroescavadeira 580N  
NEW HOLLAND: Retroescavadeira B110B  
NEW HOLLAND: Retroescavadeira B90B  
NEW HOLLAND: Retroescavadeira B95B  </t>
  </si>
  <si>
    <t xml:space="preserve">BMW: X1 2.0 16V 14/17
BMW: X2 1.5 12V 17/19
BMW: X2 2.0 16V 18/19
FIAT: Argo 1.3 8V 18/...
FIAT: Argo 1.8 16V 17/...
FIAT: Cronos 1.3 8V 18/...
FIAT: Cronos 1.8 16V 18/...
FIAT: Fastback 1.3 16V Turbo 23/...
FIAT: Pulse 1.3 16V Turbo 22/...
FIAT: Toro 1.3 16V Turbo 21/...
FIAT: Toro 1.8 16V 16/...
FIAT: Toro 2.0 16V Diesel 16/...
FIAT: Toro 2.4 16V 16/...
JEEP: Commander 1.3 16V Turbo 22/...
JEEP: Compass 1.3 16V Turbo 21/...
JEEP: Renegade 1.3 16V Turbo 21/...
JEEP: Renegade 1.8 16V 15/...
JEEP: Renegade 2.0 16V Diesel 16/...
MINI: Clubman 2.0 16V 14/19
MINI: Cooper 1.2 12V / 1.5 12V / 2.0 16V 13/19
MINI: Countryman 1.5 12V / 2.0 16V 17/21</t>
  </si>
  <si>
    <t xml:space="preserve">C/ Juntas (anel de borracha)</t>
  </si>
  <si>
    <t xml:space="preserve">12992593 (OEM)
55355603 (OEM)
93186324 (OEM)</t>
  </si>
  <si>
    <t xml:space="preserve">Conjunto completo com suporte, filtro e juntas de borracha</t>
  </si>
  <si>
    <t xml:space="preserve">DODGE: Grand Caravan 3.6 V6 11/17
DODGE: Journey 3.6 V6 11/17
JEEP: Grand Cherokee 3.0 V6 11/...
JEEP: Grand Cherokee 3.6 V6 11/17</t>
  </si>
  <si>
    <t xml:space="preserve">068105583AB (OEM)
068105583AC (OEM)
068105583AE (OEM)</t>
  </si>
  <si>
    <t xml:space="preserve">Conjunto completo com suporte, filtro, juntas de borracha e sensores</t>
  </si>
  <si>
    <t xml:space="preserve">03L115389C (OEM)
03L117021B (OEM)
03P115389 (OEM)</t>
  </si>
  <si>
    <t xml:space="preserve">SOC9003A</t>
  </si>
  <si>
    <t xml:space="preserve">Conjunto completo com carcaça em alumínio, filtro e juntas de borracha</t>
  </si>
  <si>
    <t xml:space="preserve">NISSAN: Sentra 2.0 16V   MR20DE 07/…
RENAULT: Fluence 2.0 16V   M4R 11/…</t>
  </si>
  <si>
    <t xml:space="preserve">C/ Junta (anel de borracha)
Câmbio M4R</t>
  </si>
  <si>
    <t xml:space="preserve">CITROEN: C4 2.0 16V EW10A 09/...
CITROEN: C4 Grand Picasso 2.0 16V EW10A 08/…
CITROEN: C4 Lounge 2.0 16V EW10A 13/17
CITROEN: C4 Pallas 2.0 16V EW10A 09/...
CITROEN: C4 Picasso 2.0 16V EW10A 08/…
PEUGEOT: 307 / SW 2.0 16V EW10A 09/...
PEUGEOT: 407 2.0 16V EW10A 09/...
PEUGEOT: 408 2.0 16V EW10A 09/...</t>
  </si>
  <si>
    <t xml:space="preserve">1103N3 (OEM)
3221470 (OEM)
5989070251 (OEM)</t>
  </si>
  <si>
    <t xml:space="preserve">06J117021D (OEM)
06J117021J (OEM)
06J117021P (OEM)</t>
  </si>
  <si>
    <t xml:space="preserve">C/ Juntas de borracha</t>
  </si>
  <si>
    <t xml:space="preserve">MERCEDES-BENZ: A200 (W176) 1.6 4cil M270.910 14/...
MERCEDES-BENZ: A220 (W176) 2.0 4cil M270.920 14/...
MERCEDES-BENZ: A250 (W176) 2.0 4cil M270.920 12/...
MERCEDES-BENZ: A35 (W177) AMG 2.0 16V Turbo 20/...
MERCEDES-BENZ: B180 (W242/W246) 1.6 4cil M270.910 11/...
MERCEDES-BENZ: B200 (W242/W246) 1.6 4cil M270.910 11/...
MERCEDES-BENZ: B220 (W242/W246) 2.0 4cil M270.920 13/...
MERCEDES-BENZ: B250 (W242/W246) 2.0 4cil M270.920 12/...
MERCEDES-BENZ: CLA200 (X117) 1.6 4cil M270.910 15/...
MERCEDES-BENZ: CLA220 (X117) 2.0 4cil M270.920 15/...
MERCEDES-BENZ: CLA250 (X117) 2.0 4cil M270.920 15/...
MERCEDES-BENZ: CLA35 (C118) AMG 2.0 16V Turbo 20/...
MERCEDES-BENZ: GLA200 (X156) 1.6 4cil M270.910 13/...
MERCEDES-BENZ: GLA220 (X156) 2.0 4cil M270.920 17/...
MERCEDES-BENZ: GLA250 (X156) 2.0 4cil M270.920 13/...
MERCEDES-BENZ: GLA35 (H247) AMG 2.0 16V Turbo 22/...
MERCEDES-BENZ: GLB35 (X247) AMG 2.0 16V Turbo 22/...</t>
  </si>
  <si>
    <t xml:space="preserve">2701800500 (OEM)
2701800810 (OEM)
A2701800810 (OEM)</t>
  </si>
  <si>
    <t xml:space="preserve">Conjunto completa com suporte, filtro e juntas de borracha</t>
  </si>
  <si>
    <t xml:space="preserve">AUDI: A3 1.8 20V 150 cv 99/06
AUDI: A3 1.8 20V Turbo 180 cv 99/06
AUDI: A4 1.8 20V Turbo 180 cv AWT / AEB / AJL 95/01
AUDI: A4 1.8 20V Turbo 8E2 / B6 / 8H7 02/…
AUDI: A4 1.8 20V Turbo AVJ / BFB 00/04
AUDI: A4 Avant 1.8 20V Turbo 180 cv AJL / AEB 94/00
AUDI: A6 1.8 20V Turbo 180 cv AFY / AJL 97/04
AUDI: A6 1.8 20V Turbo AWT 95/01
AUDI: A6 Avant 1.8 20V Turbo 180 cv AEB / AJL 94/00
AUDI: TT 1.8 20V Turbo 98/…
FORD: Royale 1.8 / 2.0 MI AP 91/96
FORD: Versailles 1.8 / 2.0 MI AP 91/96
VOLKSWAGEN: Bora 1.8 20V Turbo Higline 99/05
VOLKSWAGEN: Bora 2.0 8V APK / AZG / AZH / AQYAZJ / BER / CBPA 00/02
VOLKSWAGEN: Gol 1.6 / 1.8 / 2.0 MI AP 94/02
VOLKSWAGEN: Gol 1.6 / 1.8 / 2.0 MI AP Flex 05/09
VOLKSWAGEN: Gol GTI 2.0 MI AP 94/97
VOLKSWAGEN: Golf 1.6 8V 99/01
VOLKSWAGEN: Golf 1.8 20V Turbo AUM / AGU / AGN / AUQ 98/…
VOLKSWAGEN: Golf 1.8 8V Flex / 2.0 20V Flex Black Edition 10/…
VOLKSWAGEN: Golf 2.0 8V APK AQY AZG AZJ 99/…
VOLKSWAGEN: New Beetle 1.8 20V Turbo 98/…
VOLKSWAGEN: New Beetle 2.0 8V AWV / AWU / AQY 99/…
VOLKSWAGEN: Parati 1.6 / 1.8 / 2.0 MI AP 03/...
VOLKSWAGEN: Parati 1.6 / 1.8 / 2.0 MI AP 88/99
VOLKSWAGEN: Parati 1.6 / 1.8 / 2.0 MI AP Flex 00/...
VOLKSWAGEN: Passat 1.8 01/05
VOLKSWAGEN: Passat 2.0 AZM 01/05
VOLKSWAGEN: Pointer 1.6 / 1.8 / 2.0 MI AP 94/96
VOLKSWAGEN: Polo 2.0 8V 02/…
VOLKSWAGEN: Polo GTI 1.8 20V Turbo 06/08
VOLKSWAGEN: Quantum 1.6 / 1.8 / 2.0 MI AP 94/03
VOLKSWAGEN: Santana 1.6 / 1.8 / 2.0 MI AP 94/06
VOLKSWAGEN: Saveiro 1.6 / 1.8 / 2.0 MI AP 94/02
VOLKSWAGEN: Saveiro 1.6 / 1.8 / 2.0 MI AP Flex 03/...
VOLKSWAGEN: Variant 1.8 01/05
VOLKSWAGEN: Variant 2.0 AZM 01/05</t>
  </si>
  <si>
    <t xml:space="preserve">028117021L (OEM)
068117021B (OEM)
078117021A (OEM)</t>
  </si>
  <si>
    <t xml:space="preserve">C/ Junta (anel de borracha)</t>
  </si>
  <si>
    <t xml:space="preserve">MITSUBISHI: ASX 2.0 16V   4B11 10/…
MITSUBISHI: Lancer 1.8 16V   4B10 08/…
MITSUBISHI: Lancer EVO 2.0 16V   4B11T/C 08/…
MITSUBISHI: Outlander 2.0 16V   4B11 06/12
MITSUBISHI: Outlander 2.0 16V   4J11 12/…</t>
  </si>
  <si>
    <t xml:space="preserve">2920A017 (OEM)
2920A097 (OEM)</t>
  </si>
  <si>
    <t xml:space="preserve">Com junta (anel de borracha)</t>
  </si>
  <si>
    <t xml:space="preserve">FORD: Ecosport 1.5 12V Dragon 17/...
FORD: Ecosport 1.6 16V Sigma 12/…
FORD: Focus 1.6 16V Sigma 10/…
FORD: Ka / Ka+ 1.5 16V Sigma 14/…
FORD: New Fiesta 1.5 16V Sigma 13/…
FORD: New Fiesta 1.6 16V Sigma 10/…</t>
  </si>
  <si>
    <t xml:space="preserve">7S7G6B856BA (OEM)
7S7G6B856CA (OEM)
7S7GB856A4A (OEM)</t>
  </si>
  <si>
    <t xml:space="preserve">Com juntas (anel de borracha)
Câmbio DSG DQ250</t>
  </si>
  <si>
    <t xml:space="preserve">JAGUAR: F-Pace 2.0 Turbo Gasolina 204PT 16/...
LAND ROVER: Discovery Sport 2.0 Turbo Gasolina 204PT 14/...
LAND ROVER: Evoque 2.0 Turbo Gasolina 204PT 11/...
LAND ROVER: Freelander 2 2.0 Turbo Gasolina 204PT 11/14
LAND ROVER: Freelander 2 3.2 6 cil. B6324S 06/14
VOLVO: S80 AWD 3.2 6 cil B6304T5 07/10
VOLVO: XC60 AWD 3.2 6 cil. B6324S 09/10
VOLVO: XC60 AWD 3.2 6 cil. B6324S5 10/15
VOLVO: XC60 T5 2.0 20V Turbo 5 cil B4204T7 10/17
VOLVO: XC60 T6 AWD 3.0 6 cil B6304T2 08/10
VOLVO: XC60 T6 AWD 3.0 6 cil B6304T4 / B6304T3 14/15
VOLVO: XC60 T6 AWD 3.0 6 cil. B6304T4 10/15
VOLVO: XC70 AWD 3.2 6 cil. B6324S 07/...
VOLVO: XC70 AWD 3.2 6 cil. B6324S5 10/...
VOLVO: XC70 T6 AWD 3.0 6 cil. B6304T2 08/...
VOLVO: XC70 T6 AWD 3.0 6 cil. B6304T4 10/...
VOLVO: XC90 AWD 3.2 6 cil. B6324S 06/10
VOLVO: XC90 AWD 3.2 6 cil. B6324S5 10/12</t>
  </si>
  <si>
    <t xml:space="preserve">6G917A095 (OEM)
LR002916 (OEM)</t>
  </si>
  <si>
    <t xml:space="preserve">NISSAN: March 1.0 12V 3 cil 15/...
NISSAN: Versa 1.0 12V 3 cil 19/...
RENAULT: Kwid 1.0 12V 3 cil 17/...
RENAULT: Logan 1.0 12V 3 cil 16/...
RENAULT: Sandero 1.0 12V 3 cil 16/...</t>
  </si>
  <si>
    <t xml:space="preserve">Com juntas de borracha</t>
  </si>
  <si>
    <t xml:space="preserve">504375378 (OEM)
5801555580 (OEM)
5801630224 (OEM)</t>
  </si>
  <si>
    <t xml:space="preserve">C/ Junta (anel de borracha) e pino</t>
  </si>
  <si>
    <t xml:space="preserve">BMW: X1 sDrive 18i 1.5 Turbo 3 cil B38 A15A 14/17
BMW: X1 sDrive 18i 1.5 Turbo 3 cil B38 A15A 17/...
BMW: X1 sDrive 20i 2.0 4 cil B48 A20A 14/...
BMW: X1 sDrive 25i 2.0 4 cil B48 A20A / B48 A20B 14/...
MINI: Cooper 1.5 Turbo 3 cil B38 A15A 13/...
MINI: Cooper S 2.0 4 cil B48 A20A 14/...
MINI: John Cooper Works 2.0 4 cil B48 A20B 15/...
MINI: One 1.2 3 cil B38 A12A 14/17
MINI: One 1.5 Turbo 3 cil B38 A15A 17/...
MINI: One First 1.2 3 cil B38 A12A 14/17
MINI: One First 1.5 Turbo 3 cil B38 A15A 17/...</t>
  </si>
  <si>
    <t xml:space="preserve">11428511391 (OEM)
11428585235 (OEM)</t>
  </si>
  <si>
    <t xml:space="preserve">CITROEN: Aircross 1.6 16V EC5 12/...
CITROEN: C3 1.6 16V EC5 12/19
CITROEN: C3 Picasso 1.6 16V EC5 16/19
CITROEN: C4 Cactus  18/...
CITROEN: C4 Cactus 1.6 16V EC5 18/...
CITROEN: C4 Lounge 1.6 16V THP 13/...
CITROEN: C4 Picasso 1.6 16V EC5 16/...
CITROEN: C4 Picasso 1.6 16V THP 16/19
CITROEN: DS3 1.6 16V THP 14/...
CITROEN: DS4  14/...
CITROEN: DS5 1.6 16V THP 14/...
PEUGEOT: 2008 1.6 16V EC5 13/...
PEUGEOT: 2008 1.6 16V THP 16/...
PEUGEOT: 208 1.6 16V EC5 12/...
PEUGEOT: 208 1.6 16V THP 16/...
PEUGEOT: 3008 1.6 16V THP 16/...
PEUGEOT: 308 1.6 16V THP 16/...
PEUGEOT: 408 1.6 16V THP 16/...</t>
  </si>
  <si>
    <t xml:space="preserve">FIAT: Toro 1.8 16V Etorq 16/22
JEEP: Renegade 1.8 16V Etorq 15/22</t>
  </si>
  <si>
    <t xml:space="preserve">55273044 (OEM)</t>
  </si>
  <si>
    <t xml:space="preserve">C/ junta de borracha</t>
  </si>
  <si>
    <t xml:space="preserve">Conjunto completo com suporte, filtro e juntas de borracha
Verificar foto nº 2, sangrador para cima
Atenção nesse ponto, exisite 2 versões de carcaça</t>
  </si>
  <si>
    <t xml:space="preserve">AUDI: A1 1.4 TFSI 11/19
AUDI: A3 1.4 TFSI 12/19
AUDI: Q3 1.4 TFSI 13/19
VOLKSWAGEN: Crossfox 1.6 MSI 15/19
VOLKSWAGEN: Fox 1.0 MPI 15/18
VOLKSWAGEN: Fox 1.6 MSI 15/19
VOLKSWAGEN: Gol 1.0 MPI 16/22
VOLKSWAGEN: Gol 1.6 MSI 16/22
VOLKSWAGEN: Golf 1.0 TSI 16/18
VOLKSWAGEN: Golf 1.4 TSI 16/18
VOLKSWAGEN: Golf 1.6 MSI 14/16
VOLKSWAGEN: Jetta 1.4 TSI 16/22
VOLKSWAGEN: Nivus 1.0 TSI 20/...
VOLKSWAGEN: Polo 1.0 MPI 17/...
VOLKSWAGEN: Polo 1.0 TSI 17/...
VOLKSWAGEN: Polo 1.6 MSI 17/...
VOLKSWAGEN: Saveiro 1.6 MSI 16/22
VOLKSWAGEN: T-Cross 1.0 TSI 19/...
VOLKSWAGEN: T-Cross 1.4 TSI 19/...
VOLKSWAGEN: Taos 1.4 TSI 22/...
VOLKSWAGEN: Tiguan 1.4 TSI 15/22
VOLKSWAGEN: Up 1.0 MPI 14/20
VOLKSWAGEN: Up 1.0 TSI 14/21
VOLKSWAGEN: Virtus 1.0 TSI 18/...
VOLKSWAGEN: Virtus 1.4 TSI 18/...
VOLKSWAGEN: Virtus 1.6 MSI 18/...
VOLKSWAGEN: Voyage 1.0 MPI 16/18
VOLKSWAGEN: Voyage 1.6 MSI 16/22</t>
  </si>
  <si>
    <t xml:space="preserve">04E117021B (OEM)
04E117021C (OEM)
04E117021K (OEM)</t>
  </si>
  <si>
    <t xml:space="preserve">C/ juntas de borracha (anel de borracha)</t>
  </si>
  <si>
    <t xml:space="preserve">GM: S10 2.8 Turbodiedel Duramax 12/...
GM: Trailblazer 2.8 Turbodiesel Duramax 12/...</t>
  </si>
  <si>
    <t xml:space="preserve">24586601 (OEM)
55488257 (OEM)
554897969 (OEM)</t>
  </si>
  <si>
    <t xml:space="preserve">6511800610 (OEM)
6511800810 (OEM)
651180130 (OEM)</t>
  </si>
  <si>
    <t xml:space="preserve">Altura 37,1mm
C/ Juntas (anel de borracha)
Veículos com 140cv e 172cv</t>
  </si>
  <si>
    <t xml:space="preserve">RENAULT: Master 2.3 16V Turbo DCI 13/…</t>
  </si>
  <si>
    <t xml:space="preserve">RENAULT: Captur 2.0 16V F4R830 16/...
RENAULT: Duster 2.0 16V F4R830 12/…
RENAULT: Oroch 2.0 16V F4R830 15/...</t>
  </si>
  <si>
    <t xml:space="preserve">DODGE: Journey 2.4 16V 4 cil    ED3 / EDG3 08/…
FIAT: Freemont 2.4 16V 11/…
FIAT: Toro 2.4 16V 16/…
JEEP: Compass 2.0 16V   ECN 11/…
JEEP: Compass 2.0 16V 16/…
JEEP: Compass 2.4 16V   ERZ 07/…</t>
  </si>
  <si>
    <t xml:space="preserve">05048119AA (OEM)
5047370AA (OEM)
5047370AB (OEM)</t>
  </si>
  <si>
    <t xml:space="preserve">AUDI: A1 1.4 16V TFSI 10/21
AUDI: A3 1.4 16V TFSI 12/21
AUDI: A3 Sedan 1.4 16V TFSI 13/…
AUDI: Q3 1.4 16V TFSI 14/21
VOLKSWAGEN: Gol 1.0 12V 3cil 16/19
VOLKSWAGEN: Golf 1.0 12V TSI 16/18
VOLKSWAGEN: Golf 1.4 16V TSI 13/…
VOLKSWAGEN: Golf 1.4 16V TSI 14/18
VOLKSWAGEN: Golf Variant 1.4 16V TSI 15/18
VOLKSWAGEN: Jetta 1.4 16V TSI 15/...
VOLKSWAGEN: Jetta TSI 1.4 16V TSI 16/…
VOLKSWAGEN: Nivus 1.0 12V TSI 20/...
VOLKSWAGEN: Polo 1.0 12V TSI 17/...
VOLKSWAGEN: Polo GTS 1.4 16V TSI 20/...
VOLKSWAGEN: T-Cross 1.0 12V TSI 19/...
VOLKSWAGEN: T-Cross 1.4 16V TSI 19/...
VOLKSWAGEN: Taos 1.4 16V TSI 21/...
VOLKSWAGEN: Tiguan 1.4 16V TSI 16/…
VOLKSWAGEN: Up 1.0 12V TSI 14/21
VOLKSWAGEN: Virtus 1.0 12V TSI 18/...
VOLKSWAGEN: Voyage 1.0 12V 3cil 16/19</t>
  </si>
  <si>
    <t xml:space="preserve">C/ juntas (anel de borracha)</t>
  </si>
  <si>
    <t xml:space="preserve">HONDA: Accord 2.4 16V KA24A8 06/...
HONDA: CRV 2.4 16V K24Z1 06/...
HONDA: New Civic 1.8 16V 06/…</t>
  </si>
  <si>
    <t xml:space="preserve">VOLKSWAGEN: Golf 1.8 16V / 2.0 12V 06/...
VOLKSWAGEN: Jetta 2.5 20V 5 cil   BTK 07/12
VOLKSWAGEN: Jetta Variant 2.5 20V 5 cil   BTK 07/...
VOLKSWAGEN: New Beetle 1.8 20V Turbo 98/…
VOLKSWAGEN: New Beetle 2.0 8V AWV / AWU / AQY 99/…</t>
  </si>
  <si>
    <t xml:space="preserve">C/ Junta (anel de borracha)
Câmbios 9G/TF-60NS de 6 velocidades</t>
  </si>
  <si>
    <t xml:space="preserve">RENAULT: Master 2.5 16V Diesel 12/13</t>
  </si>
  <si>
    <t xml:space="preserve">Conjunto completo com suporte, filtro, juntas de borracha e sensor de temperatura</t>
  </si>
  <si>
    <t xml:space="preserve">C/ junta metálica</t>
  </si>
  <si>
    <t xml:space="preserve">AUDI: RS3 2.5 20V TFSI 12/16
AUDI: RSQ3 2.5 20V TFSI 14/16
AUDI: TTRS 2.5 20V TFSI 12/14
VOLKSWAGEN: Jetta 2.5 20V 08/10
VOLKSWAGEN: New Beetle 2.5 20V 01/10</t>
  </si>
  <si>
    <t xml:space="preserve">C/ filtro e juntas de borracha</t>
  </si>
  <si>
    <t xml:space="preserve">MERCEDES-BENZ: A200 (W176) 1.6 4cil M270.910 14/...
MERCEDES-BENZ: A220 (W176) 2.0 4cil M270.920 14/...
MERCEDES-BENZ: A250 (W176) 2.0 4cil M270.920 12/...
MERCEDES-BENZ: B200 (W242/W246) 1.6 4cil M270.910 11/...
MERCEDES-BENZ: B220 (W242/W246) 2.0 4cil M270.920 13/...
MERCEDES-BENZ: B250 (W242/W246) 2.0 4cil M270.920 12/...
MERCEDES-BENZ: CLA200 (X117) 1.6 4cil M270.910 15/...
MERCEDES-BENZ: CLA220 (X117) 2.0 4cil M270.920 15/...
MERCEDES-BENZ: CLA250 (X117) 2.0 4cil M270.920 15/...
MERCEDES-BENZ: GLA200 (X156) 1.6 4cil M270.910 13/...
MERCEDES-BENZ: GLA220 (X156) 2.0 4cil M270.920 17/...
MERCEDES-BENZ: GLA250 (X156) 2.0 4cil M270.920 13/...</t>
  </si>
  <si>
    <t xml:space="preserve">2465010501 (OEM)
A2465010501 (OEM)</t>
  </si>
  <si>
    <t xml:space="preserve">C/ Junta de borracha</t>
  </si>
  <si>
    <t xml:space="preserve">BMW: 125i (E87) 2.0 16V 06/12
BMW: 130i (E87) 3.0 24V 06/12
BMW: 320i (F30) 2.0 16V 12/17
BMW: 328i (F30/F31/F34) 2.0 16V 12/18
BMW: 428i (F32/F33/F36) 2.0 16V 14/16
BMW: 525i (E60) 2.5 24V 04/07
BMW: 528i (E60) 2.0 16V 10/16
BMW: 530i (E60) 3.0 24V 06/10
BMW: 535i (F07/F10) 3.0 24V 11/16
BMW: 640i (F06) 3.0 24V 11/18
BMW: X1 (E84) sDrive 20i 2.0 16V 11/15
BMW: X1 (E84) xDrive 20i 2.0 16V 11/15
BMW: X3 (E83) 25i 2.5 24V 04/10
BMW: X3 (E83) 30i 3.0 24V 06/11
BMW: X3 (F25) 3.0 24V 12/17
BMW: X3 (F25) sDrive 20i 2.0 16V 12/17
BMW: X3 (F25) xDrive 20i 2.0 16V 12/17
BMW: X4 (F26) xDrive 20i 2.0 16V 14/18
BMW: X4 (F26) xDrive 28i 3.0 24V 14/18
BMW: X5 (E70) 3.0 24V 08/13
BMW: X5 (F15) 3.0 24V 11/18
BMW: X6 (E71) 3.0 24V 07/17
BMW: X6 (F16) 3.0 24V 14/19
BMW: Z4 (E85) 3.0 24V 05/09
BMW: Z4 (E86) 3.0 24V 06/09
BMW: Z4 (E89) 2.5 24V 09/11
BMW: Z4 (E89) sDrive 20i 2.0 16V 11/16</t>
  </si>
  <si>
    <t xml:space="preserve">BMW: 130i (E87) 3.0 24V 06/12
BMW: 325i (E90) 3.0 24V 08/12
BMW: 325i (E91) 2.5 24V 06/09
BMW: 325i (E92) 2.5 24V 09/10
BMW: 330i (E90) 3.0 24V 06/06
BMW: X1 (E84) sDrive 18i 2.0 16V 11/14
BMW: X1 (E84) sDrive 20i 2.0 16V 13/15
BMW: X1 (E84) xDrive 28i 2.0 16V 12/15
BMW: X1 (E84) xDrive 28i 3.0 24V 10/12
BMW: Z4 (E89) 2.5 24V 09/11
BMW: Z4 (E89) sDrive 20i 2.0 16V 13/15</t>
  </si>
  <si>
    <t xml:space="preserve">BMW: 120i (F20/F21) 2.0 16V 16/...
BMW: 125i (F20/F21) 2.0 16V 16/...
BMW: 330i (G20) 3.0 24V 18/...
BMW: X3 (G01) sDrive 20i 2.0 16V 17/...
BMW: X4 (G02) xDrive 20i 2.0 16V 17/...</t>
  </si>
  <si>
    <t xml:space="preserve">LAND ROVER: Freelander 2 3.2 6 cil. B6324S 06/14
VOLVO: S60 2.0 20V Turbo 5 cil 10/...
VOLVO: S60 T5 2.0 20V Turbo 5 cil 10/...
VOLVO: V60 2.0 20V Turbo 5 cil 10/...
VOLVO: V60 T5 2.0 20V Turbo 5 cil 10/…
VOLVO: V70 2.0 20V Turbo 5 cil 07/15
VOLVO: XC60 2.0 20V Turbo 5 cil 08/15
VOLVO: XC60 T5 2.0 20V Turbo 5 cil 10/15
VOLVO: XC90 2.0 16V Turbo 06/12</t>
  </si>
  <si>
    <t xml:space="preserve">31339939 (OEM)
5989070283 (OEM)
8G9N6A642AA (OEM)
LR041422 (OEM)</t>
  </si>
  <si>
    <t xml:space="preserve">LAND ROVER: Discovery IV 3.0 V6 TD 4x4   306DT / 30DDTX 09/18
LAND ROVER: Discovery V 3.0 306DT 16/20
LAND ROVER: Range Rover Sport 3.0 D 4x4 306DT 10/18</t>
  </si>
  <si>
    <t xml:space="preserve">5989070371 (OEM)
9X2Q6B624BB (OEM)
LR013149 (OEM)
LR040738 (OEM)</t>
  </si>
  <si>
    <t xml:space="preserve">LAND ROVER: Discovery III 2.7 V6 TD   276DT 04/09
LAND ROVER: Discovery IV 2.7 V6 TD   276DT 09/16
LAND ROVER: Range Rover Sport 2.7 TD 4x4  276DT 05/13</t>
  </si>
  <si>
    <t xml:space="preserve">4R8Q6C711DB (OEM)
LR009570 (OEM)</t>
  </si>
  <si>
    <t xml:space="preserve">Conjunto complete com suporte, filtro e funtas de borracha</t>
  </si>
  <si>
    <t xml:space="preserve">LR004287 (OEM)
LR006653 (OEM)</t>
  </si>
  <si>
    <t xml:space="preserve">FORD: Fusion 2.0 16V Turbo Ecoboost 13/...
JAGUAR: XE 2.0 16V TURBO 16/17
JAGUAR: XF 2.0 16V TURBO 13/17
LAND ROVER: Discovery Sport 2.0 16V Turbo 15/19
LAND ROVER: Evoque 2.0 Si4       204PT 11/…
LAND ROVER: Freelander 2 2.0 16V Turbo 13/15
VOLVO: XC60 T5 2.0 20V Turbo 5 cil 10/15</t>
  </si>
  <si>
    <t xml:space="preserve">31316639 (OEM)
AG9G6A642BC (OEM)
LR025515 (OEM)</t>
  </si>
  <si>
    <t xml:space="preserve">FORD: Fusion 2.0 16V Turbo Ecoboost 13/...</t>
  </si>
  <si>
    <t xml:space="preserve">BBDG927A095AD (OEM)
DG937A095 (OEM)</t>
  </si>
  <si>
    <t xml:space="preserve">FORD: Edge 3.5 V6 11/...</t>
  </si>
  <si>
    <t xml:space="preserve">7T4Z6A642A (OEM)
8A8E6A642AA (OEM)</t>
  </si>
  <si>
    <t xml:space="preserve">FORD: Transit 2.2 16V Turbo 12/14
FORD: Transit 2.4 16V 08/12
LAND ROVER: Defender 2.4 16V 08/...</t>
  </si>
  <si>
    <t xml:space="preserve">6C1Q6B624BA (OEM)
7C1Q6B624BB (OEM)
LR029928 (OEM)</t>
  </si>
  <si>
    <t xml:space="preserve">RESFRIADRO DE ÓLEO MOTOR</t>
  </si>
  <si>
    <t xml:space="preserve">C/ Junta metálica</t>
  </si>
  <si>
    <t xml:space="preserve">CITROEN: C4 1.816V EWJ4 99/05
CITROEN: C4 2.0 16V EW10J4 / EW10A 00/…
CITROEN: C4 Grand Picasso 2.0 16V EW10J4 / EW10A 08/…
CITROEN: C4 Pallas 2.0 16V EW10J4 / EW10A 05/…
CITROEN: C4 Picasso 2.0 16V EW10J4 / EW10A 08/…
CITROEN: C5 2.0 16V EW10J4 / EW10A 02/…
CITROEN: Xsara 2.0 16V EW10J4 / EW10A 02/…
CITROEN: Xsara Picasso 2.0 16V EW10J4 / EW10A 02/…
PEUGEOT: 307 / SW 2.0 16V EW10J4 / EW10A 02/…
PEUGEOT: 407 2.0 16V EW10J4 / EW10A 04/…
PEUGEOT: 408 2.0 16V RHE/RHH 09/14
PEUGEOT: 607 2.2 16V EW10J4 / EW10A 00/…
PEUGEOT: 807 2.2 16V EW10J4 / EW10A 02/…</t>
  </si>
  <si>
    <t xml:space="preserve">CITROEN: Aircross 1.2 12V 17/...
CITROEN: Aircross 1.6 16V 11/...
CITROEN: Berlingo 1.6 16V 14/...
CITROEN: C4 / C4 Picasso 1.6 16V / 1.6 16V THP 09/…
CITROEN: C4 Lounge 1.6 16V THP 13/…
CITROEN: DS3 1.6 16V THP 12/…
CITROEN: DS4 1.6 16V THP 12/…
CITROEN: DS5 1.6 16V THP 12/…
MINI: Clubman Hampton 1.6 16V Turbo 12/12
MINI: Clubman S 1.6 16V Turbo 09/11
MINI: Cooper 1.6 16V Turbo 10/…
MINI: Cooper S 1.6 16V Turbo 07/09
MINI: Cooper S 1.6 16V Turbo 09/…
MINI: Countryman S 1.6 16V Turbo 11/16
MINI: One 1.6 16V 09/…
PEUGEOT: 2008 1.6 16V THP 15/…
PEUGEOT: 207 1.6 16V THP 07/…
PEUGEOT: 3008 1.6 16V THP 11/…
PEUGEOT: 308 1.6 16V THP 07/…
PEUGEOT: 408 1.6 16V THP 11/…
PEUGEOT: 508 1.6 16V THP 11/…
PEUGEOT: RCZ 1.6 16V THP 11/…</t>
  </si>
  <si>
    <t xml:space="preserve">1103P7 (OEM)
1103T5 (OEM)
1103T7 (OEM)
11427552687 (OEM)
V864374580 (OEM)</t>
  </si>
  <si>
    <t xml:space="preserve">RENAULT: Captur 1.6 16V SCE 16/...
RENAULT: Duster 1.6 16V SCE 16/...
RENAULT: Duster 2.0 16V F4R830 12/…
RENAULT: Logan 1.6 16V SCE 16/...
RENAULT: Megane Grand Tour 2.0 16V F4R830 07/…
RENAULT: Oroch 1.6 16V SCE 16/...
RENAULT: Oroch 2.0 16V F4R830 15/...
RENAULT: Sandero 1.6 16V SCE 16/...</t>
  </si>
  <si>
    <t xml:space="preserve">C/ Junta (anel de borracha)
Caixa AL4</t>
  </si>
  <si>
    <t xml:space="preserve">C/ Junta (anel de borracha)
Caixa JF011</t>
  </si>
  <si>
    <t xml:space="preserve">HONDA: HRV 1.8 16V 15/...
HONDA: New Civic 1.8 16V 12/16
HONDA: New Civic 2.0 16V 16/...
HONDA: New Fit 1.5 16V L15B2 15/...</t>
  </si>
  <si>
    <t xml:space="preserve">NISSAN: Sentra 2.0 16V 15/20</t>
  </si>
  <si>
    <t xml:space="preserve">RENAULT: Captur 1.6 16V 17/...
RENAULT: Duster 1.6 16V 17/...
RENAULT: Logan 1.6 16V 17/...
RENAULT: Sandero 1.6 16V 17/...</t>
  </si>
  <si>
    <t xml:space="preserve">Câmbio CVT</t>
  </si>
  <si>
    <t xml:space="preserve">HYUNDAI: iX35 2.0 16V 10/11
HYUNDAI: Santa Fe 2.4 16V 13/15
HYUNDAI: Santa Fe 3.3 V6 13/15
HYUNDAI: Santa Fe 3.5 V6 13/15
HYUNDAI: Sonata 2.0 16V 11/15
HYUNDAI: Sonata 2.4 16V 11/15
HYUNDAI: Tucson 2.0 16V 10/15
KIA: Cerato Koup 2.0 16V 11/13
KIA: Optima 2.0 16V 11/14
KIA: Optima 2.4 16V 11/14
KIA: Sorento 2.4 16V 11/16
KIA: Sportage 2.0 16V 11/15</t>
  </si>
  <si>
    <t xml:space="preserve">2641025402 (OEM)
264102G000 (OEM)</t>
  </si>
  <si>
    <t xml:space="preserve">HYUNDAI: New Tucson 1.6 16V Turbo 17/...</t>
  </si>
  <si>
    <t xml:space="preserve">CITROEN: C4 / C4 Picasso 1.6 16V / 1.6 16V THP EP6 / EP6DT 09/…
CITROEN: C4 Lounge 1.6 16V THP EP6DT / EP6DTS 13/…
CITROEN: DS3 1.6 16V THP EP6DT / EP6DTS 12/…
CITROEN: DS4 1.6 16V THP EP6DT / EP6DTS 12/…
CITROEN: DS5 1.6 16V THP EP6DT / EP6DTS 12/…
PEUGEOT: 2008 1.6 16V THP EP6DT / EPDDTS 15/…
PEUGEOT: 3008 1.6 16V THP EP6DT / EPDDTS 11/…
PEUGEOT: 308 1.6 16V THP EP6DT / EPDDTS 07/…
PEUGEOT: 408 1.6 16V THP EP6DT / EPDDTS 11/…
PEUGEOT: 508 1.6 16V THP EP6DT / EPDDTS 11/…
PEUGEOT: RCZ 1.6 16V THP EP6DT / EPDDTS 11/…</t>
  </si>
  <si>
    <t xml:space="preserve">Câmbio AT6 2ª geração
C/ Juntas (anel de borracha)</t>
  </si>
  <si>
    <t xml:space="preserve">HYUNDAI: HB20 1.0 12V Turbo 20/...</t>
  </si>
  <si>
    <t xml:space="preserve">C/ Junta (anel de borracha)
C/ Pino</t>
  </si>
  <si>
    <t xml:space="preserve">TOYOTA: Corolla 1.8 16V Flex 09/14
TOYOTA: Corolla GLi 1.8 16V Flex 15/18
TOYOTA: Yaris 1.5 16V Flex 18/22</t>
  </si>
  <si>
    <t xml:space="preserve">2241001731 (OEM)
2241001741 (OEM)</t>
  </si>
  <si>
    <t xml:space="preserve">VOLVO: XC60 T5 2.0 16V TURBO 15/...</t>
  </si>
  <si>
    <t xml:space="preserve">MERCEDES-BENZ: C180 (W205) 1.6 16V Turbo M274.910 14/...
MERCEDES-BENZ: C180 (W205) 1.6 16V Turbo M274.910 14/21
MERCEDES-BENZ: C200 (W205) 2.0 16V Turbo M274.920 13/18
MERCEDES-BENZ: C250 (W205) 2.0 16V Turbo M274.920 14/18
MERCEDES-BENZ: C300 (W205) 2.0 16V Turbo M274.920 13/...
MERCEDES-BENZ: C300 (W205) 2.0 16V Turbo M274.920 19/21
MERCEDES-BENZ: C350 (W205) 2.0 16V Turbo M274.920 15/18
MERCEDES-BENZ: GLC250 (X253) 2.0 16V Turbo M274.920 15/19
MERCEDES-BENZ: GLC300 (X253) 2.0 16V Turbo M274.920 15/22</t>
  </si>
  <si>
    <t xml:space="preserve">BMW: X3 (F25) xDrive 20i 2.0 16V Turbo 12/17
BMW: X3 (F25) xDrive 28i 2.0 16vV Turbo 13/14
BMW: X3 (F25) xDrive 28i 3.0 24V Turbo 11/14
BMW: X3 (F25) xDrive 35i 3.0 24V Turbo 11/17
BMW: X4 (F26) xDrive 28i 2.0 16V Turbo 15/18
BMW: X4 (F26) xDrive 35i 3.0 24V Turbo 15/17</t>
  </si>
  <si>
    <t xml:space="preserve">C/ Termostato</t>
  </si>
  <si>
    <t xml:space="preserve">AUDI: A3 1.8 16V TFSI CJSA/CJSB 12/16
AUDI: A3 2.0 16V TFSI CZPB/DKZA 16/22
AUDI: A4 1.8 16V TFSI CJEB 15/...
AUDI: A4 2.0 16V TFSI CNCD 15/...
AUDI: A5 1.8 16V TFSI CABD/CJEB/CJEE 07/17
AUDI: A5 2.0 16V TFSI CNCD/CNCE 13/17
AUDI: Q3 2.0 16V TFSI CULB/CCTA 14/...
AUDI: Q5 2.0 16V TFSI CDNB/CNCB/CNCD/CNCE 17/...
AUDI: Q7 2.0 16V TFSI CYRB/CYMC/DMFB 15/...
VOLKSWAGEN: Golf 2.0 16V TSI CULC 13/...
VOLKSWAGEN: Golf GTI 2.0 16V TSI DLBA/DNPA/DRNA 13/...
VOLKSWAGEN: Jetta 2.0 16V TSI 211cv 13/17
VOLKSWAGEN: Jetta GLI 2.0 16V TSI 19/...
VOLKSWAGEN: New Beetle 2.0 16V TSI 211cv 12/16
VOLKSWAGEN: Passat 2.0 16V TSI CZPB/DKZA/DRFA/DNNA/DUNA 18/...
VOLKSWAGEN: Tiguan 2.0 16V TSI CZPA/CHHB 16/...
VOLKSWAGEN: Tiguan R Line 2.0 16V 18/...</t>
  </si>
  <si>
    <t xml:space="preserve">06L117021C (OEM)
06L117021E (OEM)</t>
  </si>
  <si>
    <t xml:space="preserve">Conjunto completo com suporte, filtro e juntas</t>
  </si>
  <si>
    <t xml:space="preserve">RENAULT: Master 2.5 16V Diesel G9U 05/13</t>
  </si>
  <si>
    <t xml:space="preserve">Conjunto com filtro, sensor de pressão do óleo e junta</t>
  </si>
  <si>
    <t xml:space="preserve">MERCEDES-BENZ: C180 CGI (W204) 1.6 16V Turbo 13/14
MERCEDES-BENZ: C180 CGI (W204) 1.8 16V Turbo 11/12
MERCEDES-BENZ: C200 (W204) 1.8 16V Turbo 10/14
MERCEDES-BENZ: C250 CGI (W204) 1.8 16V Turbo 11/14</t>
  </si>
  <si>
    <t xml:space="preserve">0995001100 (OEM)
0995002300 (OEM)</t>
  </si>
  <si>
    <t xml:space="preserve">MERCEDES-BENZ: Sprinter 315 CDI 2.0 16V OM654 20/...
MERCEDES-BENZ: Sprinter 417 CDI 2.0 16V OM654 23/...
MERCEDES-BENZ: Sprinter 517 CDI 2.0 16V OM654 23/...</t>
  </si>
  <si>
    <t xml:space="preserve">C/ juntas de borracha</t>
  </si>
  <si>
    <t xml:space="preserve">MITSUBISHI: ASX 2.0 16V 12/16
MITSUBISHI: Eclipse Cross 1.5 16V Turbo 18/...
MITSUBISHI: Outlander 2.4 16V Gasolina 12/...
MITSUBISHI: Outlander Sport 2.0 16V 20/...</t>
  </si>
  <si>
    <t xml:space="preserve">Câmbios GF7 e GF8</t>
  </si>
  <si>
    <t xml:space="preserve">HYUNDAI: HR 2.5 16V CRDi Diesel D4CB 13/...
KIA: Bongo K2500 2.5 16V CRDi Diesel D4CB 13/...</t>
  </si>
  <si>
    <t xml:space="preserve">264004A700 (OEM)
264214A700 (OEM)
264214A701 (OEM)</t>
  </si>
  <si>
    <t xml:space="preserve">Suporte do filtro de óleo com resfriador de óleo</t>
  </si>
  <si>
    <t xml:space="preserve">GM: Cruze 1.4 16V Turbo LE2 16/...
GM: Tracker 1.4 16V Turbo LE2 16/19</t>
  </si>
  <si>
    <t xml:space="preserve">12640136 (OEM)
126401869 (OEM)
12678774 (OEM)</t>
  </si>
  <si>
    <t xml:space="preserve">J7BZ7095D (OEM)
J7BZ7A095D (OEM)</t>
  </si>
  <si>
    <t xml:space="preserve">AUDI: Q3 2.0 16V TFSI   CCZC / CULB / CPSA 11/15
AUDI: Q3 2.0 16V TFSI   CCZC / CULB / CPSA 16/18
AUDI: RS3 2.5 20V TFSI 12/16
AUDI: RSQ3 2.5 20V TFSI 14/16
AUDI: TTRS 2.5 20V TFSI 12/14
VOLKSWAGEN: Tiguan 2.0 16V TFSI CAWB / CCTA / CCZA 07/16
VOLKSWAGEN: Tiguan 2.0 16V TSI 211cv 11/18</t>
  </si>
  <si>
    <t xml:space="preserve">PORSCHE: Cayenne GTS 4.8 8cil M48.01 07/10
PORSCHE: Cayenne S 4.8 8cil M48.01 07/10
PORSCHE: Cayenne Turbo S 4.8 8cil M48.51 07/10</t>
  </si>
  <si>
    <t xml:space="preserve">CHERY: Tiggo 5X 1.5 16V Turbo E4T15B / E4G16 19/...
CHERY: Tiggo 5x Pro 1.5 16V Turbo Hybrid 22/...
CHERY: Tiggo 7 Pro 1.5 16V Turbo Hybrid 22/...</t>
  </si>
  <si>
    <t xml:space="preserve">NISSAN: Frontier 2.5 16V YDK25 Euro V 07/15
NISSAN: Pathfinder 2.5 16V YDK25 Euro V 05/12</t>
  </si>
  <si>
    <t xml:space="preserve">21305-EB300 (OEM)
21305-EB305 (OEM)</t>
  </si>
  <si>
    <t xml:space="preserve">Altura 66,00mm
C/ anel de borracha
Veículos com 163cv e 190cv</t>
  </si>
  <si>
    <t xml:space="preserve">JEEP: Compass 2.0 16V 07/16
MITSUBISHI: ASX 2.0 16V 10/20
MITSUBISHI: Lancer 2.0 16V 11/19
MITSUBISHI: Outlander 2.0 16V 11/20</t>
  </si>
  <si>
    <t xml:space="preserve">2920A141 (OEM)
68025160AA (OEM)</t>
  </si>
  <si>
    <t xml:space="preserve">NISSAN: Kicks 1.6 16V 16/...
NISSAN: March 1.6 16V HR16DE 11/…
NISSAN: Versa 1.6 16V HR16DE 11/…</t>
  </si>
  <si>
    <t xml:space="preserve">DODGE: Journey 2.7 V6 08/11</t>
  </si>
  <si>
    <t xml:space="preserve">04892368AD (OEM)
04892377AB (OEM)</t>
  </si>
  <si>
    <t xml:space="preserve">MERCEDES-BENZ: C180 CGI (W204) 1.8 16V Turbo M274 07/14
MERCEDES-BENZ: C200 CGI (W204) 1.8 16V Turbo M274 07/17
MERCEDES-BENZ: C250 (A207/C207/W212) 1.8 16V Turbo M274 11/14
MERCEDES-BENZ: E200 (A207/C207/W212) 1.8 16V Turbo M274 09/16
MERCEDES-BENZ: E250 (R172) 1.8 16V Turbo M274 11/13
MERCEDES-BENZ: SLK250 (W204) 1.816V Turbo M274 12/15</t>
  </si>
  <si>
    <t xml:space="preserve">A2711801010 (OEM)
A2711880301 (OEM)</t>
  </si>
  <si>
    <t xml:space="preserve">TOYOTA: Hilux 2.8 16V Turbo Diesel 1GD 16/...
TOYOTA: SW4 2.8 16V Turbo Diesel 1GD 16/...</t>
  </si>
  <si>
    <t xml:space="preserve">15071-0E010 (OEM)
15071-11010 (OEM)</t>
  </si>
  <si>
    <t xml:space="preserve">BMW: 116i (F20) 1.6 16v Turbo 12/15
BMW: 118i (E87) 2.0 16V 10/12
BMW: 120i (E87) 2.016V 05/12
BMW: 320i (E90) 2.0 16V 05/12
BMW: X3 (E83) 2.5 24V 04/10
BMW: Z4 (E85) 2.5 24V 05/09</t>
  </si>
  <si>
    <t xml:space="preserve">MERCEDES-BENZ: A160 (W177) 1.3 16V Turbo M282.914 18/...
MERCEDES-BENZ: A180 (W177) 1.3 13V Turbo M282.914 18/...
MERCEDES-BENZ: A200 (W177) 1.3 16V Turbo M282.914 18/...
MERCEDES-BENZ: B160 (W247) 1.3 16V Turbo M282.914 18/...
MERCEDES-BENZ: B180 (W247) 1.3 16V Turbo M282.914 18/...
MERCEDES-BENZ: B200 (W247) 1.3 16V Turbo M282.914 18/...
MERCEDES-BENZ: CLA180 (X118) 1.3 16V Turbo M282.914 19/...
MERCEDES-BENZ: CLA200 (X118) 1.3 16V Turbo M282.914 19/...
MERCEDES-BENZ: GLA180 (X247) 1.3 16V Turbo M282.914 20/...
MERCEDES-BENZ: GLA200 (X247) 1.3 16V Turbo M282.914 20/...
MERCEDES-BENZ: GLB180 (X247) 1.3 16V Turbo M282.914 19/...
MERCEDES-BENZ: GLB200 (X247) 1.3 16V Turbo M282.914 19/...
RENAULT: Captur 1.3 3cil Turbo H5H470 20/...
RENAULT: Duster 1.3 3cil Turbo H5H470 20/...
RENAULT: Oroch 1.3 3cil Turbo H5H470 20/...</t>
  </si>
  <si>
    <t xml:space="preserve">2130500Q0B (OEM)
213055917R (OEM)</t>
  </si>
  <si>
    <t xml:space="preserve">GM: Montana 1.2 12V 3 cil Turbo 23/...
GM: Onix 1.0 12V 3 cil Aspirado 20/...
GM: Onix 1.0 12V 3 cil Turbo 20/...
GM: Onix Plus 1.0 12V 3 cil Aspirado 20/...
GM: Onix Plus 1.0.12V 3 cil Turbo 20/...
GM: Tracker 1.0 12V 3 cil Turbo 20/...
GM: Tracker 1.2 12V 3 cil Turbo 20/...</t>
  </si>
  <si>
    <t xml:space="preserve">Conjunto completro com carcaça, filtro e juntas de borracha</t>
  </si>
  <si>
    <t xml:space="preserve">CHERY: Tiggo 7 Pro 1.6 16V Turbo 22/...
CHERY: Tiggo 7 Pro Max 1.6 16V Turbo 23/...
CHERY: Tiggo 8 1.6 16V Turbo 20/...
CHERY: Tiggo 8 Pro 1.6 16V Turbo 22/...</t>
  </si>
  <si>
    <t xml:space="preserve">F4J16-1013010 (OEM)
F4J16-1013010AB (OEM)</t>
  </si>
  <si>
    <t xml:space="preserve">BMW: 320e Hybrid (G20/G28/G80) 2.0 16V B48B20A 20/...
BMW: 320i (G20/G28/G80) 1.6 16V B48B16A 19/...
BMW: 330e Hybrid (G20/G28/G80) 2.0 16V B48B20A 19/...
BMW: 530i (G30) 2.0 16V B48B20A / B46B20B 15/23
BMW: X3 (G01) 2.0 16V B48B16A 17/...</t>
  </si>
  <si>
    <t xml:space="preserve">11428580414 (OEM)
11428580415 (OEM)
11428651710 (OEM)</t>
  </si>
  <si>
    <t xml:space="preserve">Conjunto completo com carcaça, filtro e juntas de borracha</t>
  </si>
  <si>
    <t xml:space="preserve">SOC9100</t>
  </si>
  <si>
    <t xml:space="preserve">A0995001900 (OEM)           A0995002500 (OEM)         </t>
  </si>
  <si>
    <t xml:space="preserve">BMW: 116i (F20/F21) 1.5 3 cil. B38B15A 15/19
BMW: 118i (F20/F21) 1.5 3 cil. B38B15A 15/19
BMW: 120i (F20/F21) 2.0 B48B20A 16/19
BMW: 125i (F20/F21) 2.0 B48B20B 16/19
BMW: 320i (F30/F80) 2.0 B48B20A 15/18
BMW: 320i (F31) 2.0 B48B20A 15/19
BMW: 320i (F34) 2.0 B48B20A 16/...
BMW: 320i (G20/G28/G80) 1.6 B48B16A 19/...
BMW: 330i (F30/F80) 2.0 B48B20B / B46B20B 15/18
BMW: 330i (F31) 2.0 B48B20A 15/19
BMW: 330i (F34) 2.0 B48B20B 16/...
BMW: X3 (G01/G08/F97) 1.6 B48B16A 17/...
BMW: X3 (G01/G08/F97) 2.0 B48B20A 17/...
BMW: X4 (G02/F98) 2.0 B48B20A / B46B20B 18/...</t>
  </si>
  <si>
    <t xml:space="preserve">Conjunto completo c/ juntas de borracha
Temperatura de abertura 101 °C</t>
  </si>
  <si>
    <t xml:space="preserve">BMW: 218i (G42/G87) 2.0 B48B20A 22/...
BMW: 220i (G42/G87) 2.0 B48B20A 21/...
BMW: 230i (G42/G87) 2.0 B48B20B 22/...
BMW: 320e Hybrid (G20/G28/G80) 2.0 B48B20A 20/...
BMW: 320e Hybrid (G21/G81) 2.0 B48B20A 20/...
BMW: 320i (G20/G28/G80) 2.0 B48B20A / B48B20B / B46B20B 19/...
BMW: 320i (G21/G81) 2.0 B48B20A / B46B20B 19/...
BMW: 330e Hybrid (G20/G28/G80) 2.0 B48B20A / B48B20B / B46B20B 19/...
BMW: 330e Hybrid (G21/G81) 2.0 B48B20A 20/...
BMW: 330i (G20/G28/G80) 2.0 B48B20B / B46B20B 18/...
BMW: 330i (G21/G81) 2.0 B48B20B 19/...
BMW: X3 (G01/G08/F97) 2.0 B48B20A 17/...
BMW: X3 (G01/G08/F97) 2.0 Plug-in Hybrid B48B20A / B46B20B 19/...</t>
  </si>
  <si>
    <t xml:space="preserve">Conjunto completo com juntas de borracha</t>
  </si>
  <si>
    <t xml:space="preserve">BMW: 323i (E90) 2.5 6 cil. N52B25A / N52B25B 05/07
BMW: 323i (E90) 2.5 6 cil. N52B25A / N52B25BF 07/11
BMW: 325i (E90) 2.5 6 cil. N52B25A 06/11
BMW: 328i (E90) 3.0 6 cil. N52B30A / N52B30A 06/11
BMW: 330i (E90) 3.0 6 cil. N52B30A / N52 B30BF 04/11
BMW: 335i (E90) 3.0 6 cil. N54B30A 06/11
BMW: X1 (E84) xDrive 25i 3.0 6 cil. N52B30A 10/11
BMW: X1 (E84) xDrive 28i 3.0 6 cil. N52B30A 09/11
BMW: X3 (E83) xDrive 25i 2.5 6 cil. N52B5A 08/10
BMW: X3 (E83) xDrive 30i 3.0 6 cil. N52B30A 08/10
BMW: X6 (E71/E72) 3.0 6 cil. N54B30A 08/14
BMW: Z4 (E86) 3.0 6 cil. N52B30A 06/08</t>
  </si>
  <si>
    <t xml:space="preserve">11537536655 (OEM)
11537544788 (OEM)
11537549476 (OEM)</t>
  </si>
  <si>
    <t xml:space="preserve">Com junta de borracha
Temperatura de abertura 97 °C</t>
  </si>
  <si>
    <t xml:space="preserve">BMW: 340i (F30/F80) 3.0 6 cil. B58B30A 15/18
BMW: X3 (G01/G08/F97) 3.0 6 cil. B58B30A 17/...
BMW: X4 (G02/F98) 3.0 6 cil. B58B30A 18/...</t>
  </si>
  <si>
    <t xml:space="preserve">STC12004</t>
  </si>
  <si>
    <t xml:space="preserve">BMW: 116i (F40) 1.5 3 cil. B38A15A 20/...
BMW: 118i (F40) 1.5 3 cil. B38A15A / B38A15F 20/...
BMW: 120i (F40) 2.0 B48A20A / B48A20F 20/...
BMW: 218i (F44) 1.5 3 cil. B38A15A 20/...
BMW: 218i (F45) 1.5 3 cil. B38A15A 18/21
BMW: 220i (F44) 2.0 B48A20A 20/...
BMW: M135i (F40) 2.0 B48A20E 19/...
BMW: X1 (F48) 1.5 3 cil. B38A15A / B38A15F 15/22
BMW: X1 (F48) 2.0 B48A20A / B48A20F 15/22
BMW: X2 (F39) 1.5 3 cil. B38A15A 18/23
BMW: X2 (F39) 2.0 B48A20A / B48A20F 17/23
MINI: Cooper S 2.0 B48A20A / B46A20A / B48A20F 14/...
MINI: Cooper S 2.0 B48A20A / B46A20A 20/...
MINI: John Cooper Works 2.0 B48A20E 19/...
MINI: One 1.5 3 cil. B38A15A 17/...</t>
  </si>
  <si>
    <t xml:space="preserve">11538631943 (OEM)
11538843405 (OEM)</t>
  </si>
  <si>
    <t xml:space="preserve">STC12005</t>
  </si>
  <si>
    <t xml:space="preserve">BMW: M240i (G42/G87) 3.0 6 cil. B58B30B 21/...
BMW: M340i (G20/G28/G80) 3.0 6 cil. B58B30 19/...
BMW: M340i (G21/G81) 3.0 6 cil. B58B30B 19/...
BMW: X3 (G01/G08/F97) 3.0 6 cil. B58B30B 19/...
BMW: X4 (G02/F98) 3.0 6 cil. B58B30 19/...
BMW: X5 (G05/F95) 3.0 6 cil. B58B30C 18/23
BMW: X5 (G05/F95) 3.0 6 cil. Hybrid B58B30C 19/23
BMW: X6 (G06/F96) 3.0 6 cil. B58B30C 19/23
BMW: X6 (G06/F96) 3.0 6 cil. Hybrid B58B30C 20/23</t>
  </si>
  <si>
    <t xml:space="preserve">11538642559 (OEM)
11538843406 (OEM)</t>
  </si>
  <si>
    <t xml:space="preserve">9803549480 (OEM)
9850364680 (OEM)</t>
  </si>
  <si>
    <t xml:space="preserve">Conjunto completo com juntas de borracha
Temperatura de abertura 82 °C</t>
  </si>
  <si>
    <t xml:space="preserve">CITROEN: Jumpy 2.0 16V BlueHDI AHX / AHH 16/22
PEUGEOT: Boxer 2.0 16V BlueHDI AHM / AHN 16/23</t>
  </si>
  <si>
    <t xml:space="preserve">Conjunto completo com junta de borracha</t>
  </si>
  <si>
    <t xml:space="preserve">BMW: 135i (E88) 3.0 6 cil. N54B30A / N55B30A 08/13
BMW: 335i (E90) 3.0 6 cil. N54B30A / N55B30A 06/11
BMW: X5 (E70) 3.0 6 cil. N55B30A 10/13
BMW: X6 (E71/E72) 3.0 6 cil. N54B30A / N55B30A 08/14</t>
  </si>
  <si>
    <t xml:space="preserve">Conjunto completo com junta de borracha
Temperatura de abertura 103 °C</t>
  </si>
  <si>
    <t xml:space="preserve">MERCEDES-BENZ: C300 (W204) 3.5 6 cil. M276.957 11/14
MERCEDES-BENZ: C350 (W204) 3.5 6 cil. M276.957 11/14
MERCEDES-BENZ: E300 (W212) 3.5 6 cil. M276.952 11/15
MERCEDES-BENZ: E350 (W212) 3.5 6 cil. M276.952 11/15
MERCEDES-BENZ: GLK 350 (X204) 3.5 6 cil. M276.957 08/15
MERCEDES-BENZ: ML350 (W166) 3.5 6 cil. M276.955 11/15</t>
  </si>
  <si>
    <t xml:space="preserve">A2762000015 (OEM)
A2762000115 (OEM)
A2762000515 (OEM)</t>
  </si>
  <si>
    <t xml:space="preserve">MERCEDES-BENZ: C43 AMG (W205) 3.0 6 cil. M276.823 16/21
MERCEDES-BENZ: E43 AMG (W213) 3.0 6 cil. M276.823 16/18
MERCEDES-BENZ: GLC43 AMG (X253) 3.0 6 cil. M276.823 16/22
MERCEDES-BENZ: GLE43 AMG (W166) 3.0 6 cil. M276.821 15/18
MERCEDES-BENZ: ML400 (W166) 3.0 6 cil. M276.821 13/15</t>
  </si>
  <si>
    <t xml:space="preserve">Conjunto complete com junta de borracha
Temperatura de abertura 103 °C</t>
  </si>
  <si>
    <t xml:space="preserve">A2702000415 (OEM)
A2702000615 (OEM)</t>
  </si>
  <si>
    <t xml:space="preserve">Conjunto completo com junta de borracha
Temperatura de abertura 97 °C</t>
  </si>
  <si>
    <t xml:space="preserve">MERCEDES-BENZ: C180 CGI (W204) 1.8 16V M271.820 07/14
MERCEDES-BENZ: C200 CGI (W204) 1.8 16V M271.860 / M271.820 07/14
MERCEDES-BENZ: C250 CGI (W204) 1.8 16V M271.860 09/14</t>
  </si>
  <si>
    <t xml:space="preserve">A2712000115 (OEM)
A2712000215 (OEM)
A2712000315 (OEM)</t>
  </si>
  <si>
    <t xml:space="preserve">Com junta de borracha
Temperatura de abertura 103 °C</t>
  </si>
  <si>
    <t xml:space="preserve">MERCEDES-BENZ: C180 (W205) 1.5 4 cil. M264.915 19/21
MERCEDES-BENZ: C200 (W205) 1.5 4 cil. EQ Boost M264.915 18/21
MERCEDES-BENZ: C200 (W205) 2.0 16V M264.920 19/21
MERCEDES-BENZ: C300 (W205) 2.0 16V EQ Boost M264.920 19/21
MERCEDES-BENZ: C300 (W205) 2.0 16V M264.920 18/21</t>
  </si>
  <si>
    <t xml:space="preserve">2642001501 (OEM)
2642003901 (OEM)</t>
  </si>
  <si>
    <t xml:space="preserve">Conjunto completo com juntas de borracha
Temperatura de abertura 96 °C</t>
  </si>
  <si>
    <t xml:space="preserve">059121111BM (OEM)
059121111CR (OEM)</t>
  </si>
  <si>
    <t xml:space="preserve">Com junta de borracha</t>
  </si>
  <si>
    <t xml:space="preserve">MERCEDES-BENZ: C180 (W205) 1.6 16V M274.910 14/21
MERCEDES-BENZ: C180 (W205) 1.6 16V M274.910 18/21
MERCEDES-BENZ: C200 (W205) 2.0 16V M274.920 18/18
MERCEDES-BENZ: C250 (W205) 2.0 16V M274.920 14/18
MERCEDES-BENZ: C300 (W205) 2.0 16V M274.920 15/21
MERCEDES-BENZ: C350 (W205) 2.0 16V M274.920 15/18</t>
  </si>
  <si>
    <t xml:space="preserve">2742000115 (OEM)
2742003100 (OEM)</t>
  </si>
  <si>
    <t xml:space="preserve">Conjunto completo com juntas de borracha
Temperatura de abertura 103 °C</t>
  </si>
  <si>
    <t xml:space="preserve">MERCEDES-BENZ: A180 (W177) 1.3 4 cil. M282.914 18/...
MERCEDES-BENZ: A200 (W177) 1.3 4 cil. M282.914 18/...
MERCEDES-BENZ: A250 (W177) 1.3 4 cil. M282.914 19/...
MERCEDES-BENZ: B180 (W247) 1.3 4 cil. M282.914 18/...
MERCEDES-BENZ: B200 (W247) 1.3 4 cil. M282.914 19/...
MERCEDES-BENZ: B250 (W247) 1.3 4 cil. M282.914 20/...
MERCEDES-BENZ: CLA180 (X118) 1.3 4 cil. M282.914 19/...
MERCEDES-BENZ: CLA200 (X118) 1.3 4 cil. M282.914 19/...
MERCEDES-BENZ: GLA180 (H247) 1.3 4 cil. M282.914 20/...
MERCEDES-BENZ: GLA200 (H247) 1.3 4 cil. M282.914 20/...
MERCEDES-BENZ: GLB180 (X247) 1.3 4 cil. M282.914 20/...
MERCEDES-BENZ: GLB200 (X247) 1.3 4 cil. Hybrid M282.814 23/...
MERCEDES-BENZ: GLB200 (X247) 1.3 4 cil. M282.914 19/...</t>
  </si>
  <si>
    <t xml:space="preserve">Conjunto completo com junta de borracha
Temperatura de abertura 98 °C</t>
  </si>
  <si>
    <t xml:space="preserve">MERCEDES-BENZ: C200 (W205) 2.0 16V M274.920 13/18
MERCEDES-BENZ: C250 (W205) 2.0 16V M274.920 14/18
MERCEDES-BENZ: C300 (W205) 2.0 16V M274.920 15/18
MERCEDES-BENZ: C300 (W205) 2.0 16V M274.920 19/21</t>
  </si>
  <si>
    <t xml:space="preserve">A2742000715 (OEM)
A2742003400 (OEM)</t>
  </si>
  <si>
    <t xml:space="preserve">BMW: 125i (F20/F21) 2.0 16V N20B20A 11/19
BMW: 320i (F30/F80) 2.0 16V N20B20A / N20B20B 12/18
BMW: 328i (F30/F80) 2.0 16V N20B20A 11/18
BMW: X1 (E84) sDrive16i 1.6 16V N20B16A 13/15
BMW: X1 (E84) sDrive20i 2.0 16V N20B20A 11/15
BMW: X1 (E84) xDrive20i 2.0 16V N20B20A 11/15
BMW: X1 (E84) xDrive28i 2.0 16V N20B20A 11/15
BMW: X3 (F25) sDrive20i 1.6 16V N20B16A 14/18
BMW: X3 (F25) sDrive20i 2.0 16V N20B20A 14/17
BMW: X3 (F25) xDrive20i 2.0 16V N20B20A 11/17
BMW: X3 (F25) xDrive28i 2.0 16V N20B20A 12/17
BMW: X4 (F26) xDrive20i 2.0 16V N20B20A 14/18
BMW: X4 (F26) xDrive28i 2.0 16V N20B20A 14/18
BMW: X5 (F15/F85) xDrive28i 2.0 16V N20B20A 15/18
BMW: Z4 (E89) 2.0 16V N20B20A 11/16</t>
  </si>
  <si>
    <t xml:space="preserve">11437633477 (OEM)
11537588257 (OEM)</t>
  </si>
  <si>
    <t xml:space="preserve">Com junta de borracha
Temperatura de abertura 108 °C</t>
  </si>
  <si>
    <t xml:space="preserve">1277.88 (VALCLEI)
55241404 (OEM)</t>
  </si>
  <si>
    <t xml:space="preserve">Com junta de borracha
Temperatura de abertura 105 °C
Engate rápido
Conector 2 pinos</t>
  </si>
  <si>
    <t xml:space="preserve">1336CC (OEM)
9808647080 (OEM)</t>
  </si>
  <si>
    <t xml:space="preserve">Com junta de borracha
Temperatura de abertura 105 °C
Engate rápido
Conector 4 pinos</t>
  </si>
  <si>
    <t xml:space="preserve">1336Z6 (OEM)
9810916980 (OEM)</t>
  </si>
  <si>
    <t xml:space="preserve">Com junta de borracha
Temperatura de abertura 105 °C
Sem engate rápido
Conector 2 pinos</t>
  </si>
  <si>
    <t xml:space="preserve">1106100Q1K (OEM)
1391.81 (VALCLEI)
8200978549 (OEM)</t>
  </si>
  <si>
    <t xml:space="preserve">Com junta de borracha
Temperatura de abertura 81 °C</t>
  </si>
  <si>
    <t xml:space="preserve">31293912 (OEM)
31439968 (OEM)
31686560 (OEM)</t>
  </si>
  <si>
    <t xml:space="preserve">Com junta de borracha
Temperatura de abertura 105 °C</t>
  </si>
  <si>
    <t xml:space="preserve">VOLVO: S60 T5 2.0 16V B4204 16/18
VOLVO: S90 T4 2.0 16V B4204 17/21
VOLVO: S90 T5 2.0 16V B4204 19/21
VOLVO: S90 T6 2.0 16V B4204 17/21
VOLVO: S90 T8 2.0 16V Hybrid B4204 17/22
VOLVO: V40 T4 2.0 16V B4204 14/19
VOLVO: V40 T5 2.0 16V B4204 14/19
VOLVO: V60 T4 2.0 16V B4204 19/...
VOLVO: V60 T5 2.0 16V B4204 18/21
VOLVO: V60 T6 2.0 16V B4204 19/22
VOLVO: V60 T8 2.0 16V Hybrid B4204 18/22
VOLVO: XC40 T5 2.0 16V B4204 17/19
VOLVO: XC40 T5 2.0 16V B4204 17/21
VOLVO: XC60 T4 2.0 16V B4204 18/21
VOLVO: XC60 T5 2.0 16V B4204 17/21
VOLVO: XC60 T6 AWD 2.0 16V B4204 17/21
VOLVO: XC60 T8 2.0 16V Hybrid B4204 17/22
VOLVO: XC90 T5 2.0 16V B4204 17/20
VOLVO: XC90 T6 2.0 16V B4204 14/21
VOLVO: XC90 T8 2.0 16V Hybrid B4204 15/22</t>
  </si>
  <si>
    <t xml:space="preserve">31293767 (OEM)
31474800 (OEM)
31686046 (OEM)</t>
  </si>
  <si>
    <t xml:space="preserve">Com junta de borracha
Temperatura de abertura 90 °C</t>
  </si>
  <si>
    <t xml:space="preserve">MERCEDES-BENZ: Spirinter 416 2.2 CDI OM651 12/17
MERCEDES-BENZ: Sprinter 311 2.2 CDI OM651 12/17
MERCEDES-BENZ: Sprinter 313 2.2 CDI OM651 12/19
MERCEDES-BENZ: Sprinter 314 2.2 CDI OM651 20/21
MERCEDES-BENZ: Sprinter 415 2.2 CDI OM651 12/17
MERCEDES-BENZ: Sprinter 515 2.2 CDI OM651 12/17
MERCEDES-BENZ: Sprinter 516 2.2 CDI OM651 12/17</t>
  </si>
  <si>
    <t xml:space="preserve">5530.95 (VALCLEI)
6512000615 (OEM)
6512001215 (OEM)
A6512002800 (OEM)</t>
  </si>
  <si>
    <t xml:space="preserve">Com junta de borracha
Temperatura de abertura 95 °C</t>
  </si>
  <si>
    <t xml:space="preserve">1101.103 (VALCLEI)
1336Z2 (OEM)
9650926280 (OEM)</t>
  </si>
  <si>
    <t xml:space="preserve">1137.89 (VALCLEI)
1336Z0 (OEM)
9647265980 (OEM)</t>
  </si>
  <si>
    <t xml:space="preserve">Com junta de borracha
Temperatura de abertura 91 °C</t>
  </si>
  <si>
    <t xml:space="preserve">JAGUAR: F-Pace 2.0 16V SD4 204DTD(AJ20D4) 17/...
LAND ROVER: Discovery Sport 2.0 16V SD4 204DTD(AJ20D4) 15/21
LAND ROVER: Evoque 2.0 16V SD4 Diesel 204DTD(AJ20D4) 15/21
LAND ROVER: Velar 2.0 16V TD4 204DTD(AJ20D4) 17/...</t>
  </si>
  <si>
    <t xml:space="preserve">JDE40346 (OEM)
LR073694 (OEM)
LR105975 (OEM)</t>
  </si>
  <si>
    <t xml:space="preserve">Com junta de borracha
emperatura de abertura 95 °C</t>
  </si>
  <si>
    <t xml:space="preserve">JAGUAR: F-Pace 2.0 16V SD4 204DTD(AJ20D4) 17/...
LAND ROVER: Defender 2.0 16V 204DTD(AJ20D4) 19/...
LAND ROVER: Discovery Sport 2.0 16V SD4 204DTD(AJ20D4) 21/...
LAND ROVER: Evoque 2.0 16V SD4 Diesel 204DTD(AJ20D4) 21/...
LAND ROVER: Velar 2.0 16V TD4 204DTD(AJ20D4) 17/...</t>
  </si>
  <si>
    <t xml:space="preserve">02JDE40345 (OEM)
G4D38575AF (OEM)
JDE38476 (OEM)
JDE40345 (OEM)
LR105974 (OEM)</t>
  </si>
  <si>
    <t xml:space="preserve">Com junta de borracha
emperatura de abertura 99 °C</t>
  </si>
  <si>
    <t xml:space="preserve">JAGUAR: F-Pace 3.0 SCV6 306PS(AJ126) 15/...
LAND ROVER: Discovery IV 3.0 4x4 306PS(AJ126) 13/18
LAND ROVER: Discovery V 3.0 SCV6 4x4 306PS(AJ126) 16/...
LAND ROVER: Range Rover Sport 3.0 SCV6 4x4 306PS(AJ126) 13/19
LAND ROVER: Velar 3.0 P340 SCV6 4x4 306PS(AJ126) 18/...
LAND ROVER: Velar 3.0 P380 SCV6 4x4 306PS(AJ126) 17/...</t>
  </si>
  <si>
    <t xml:space="preserve">AJ813902 (OEM)
AJ814048 (OEM)
LR107288 (OEM)
LR117568 (OEM)</t>
  </si>
  <si>
    <t xml:space="preserve">Com junta de borracha
emperatura de abertura 96 °C</t>
  </si>
  <si>
    <t xml:space="preserve">Com junta de borracha
emperatura de abertura 83 °C</t>
  </si>
  <si>
    <t xml:space="preserve">LAND ROVER: Discovery III 2.7 V6 TD   276DT 04/09
LAND ROVER: Discovery IV 2.7 V6 TD   276DT 09/16
LAND ROVER: Discovery IV 3.0 V6 TD 4x4   306DT / 30DDTX 09/18
LAND ROVER: Range Rover Sport 2.7 TD 4x4  276DT 05/13
LAND ROVER: Range Rover Sport 3.0 D 4x4 306DT 10/18</t>
  </si>
  <si>
    <t xml:space="preserve">Com junta de borracha
emperatura de abertura 90 °C</t>
  </si>
  <si>
    <t xml:space="preserve">AUDI: Q7 3.0 TFSI 6 cil. DCBD / DCBE 19/...
AUDI: Q8 3.0 TFSI 6 cil. DCBD 18/...
AUDI: RS4 3.0 TFSI 6 cil. DECA 17/...
AUDI: RS5 3.0 TFSI 6 cil. DECA 17/...
AUDI: S4 3.0 TFSI 6 cil. CWGD 16/...
AUDI: S5 3.0 TFSI 6 cil. CWGD 16/...
AUDI: SQ5 3.0 TFSI 6 cil. CWGD 16/...
PORSCHE: Cayenne 3.0 6 cil. MDC.AB 17/...
PORSCHE: Cayenne S 3.0 6 cil. Hybrid MCD.BE 19/...
PORSCHE: Macan Turbo 3.0 6 cil. DGRC / DLZB 18/...
PORSCHE: Panamera 3.0 6 cil. MCX.TA 16/20
PORSCHE: Panamera E-Hybrid 3.0 6 cil. MDG.PA 16/23
VOLKSWAGEN: Touareg 3.0 TSI 6 cil. DCBE 18/...</t>
  </si>
  <si>
    <t xml:space="preserve">06M121115G (OEM)
06M121115H (OEM)
06M121115J (OEM)</t>
  </si>
  <si>
    <t xml:space="preserve">Com junta de borracha
emperatura de abertura 103 °C</t>
  </si>
  <si>
    <t xml:space="preserve">AUDI: RS6 4.0 TFSI 8 cil. Hybrid DJPB / DWLA / DYGB 19/...
AUDI: RS7 4.0 TFSI 8 cil. Hybrid DJPB / DWLA / DYGB 19/...
AUDI: RSQ8 4.0 TFSI 8 cil. Hybrid DHUB 19/...
AUDI: SQ8 4.0 TFSI 8 cil. DCUE 20/...
PORSCHE: Cayenne Turbo 4.0 8 cil. MDC.UA 17/...
PORSCHE: Panamera E-Hybrid 4.0 8 cil. MCV.DA 17/23
PORSCHE: Panamera Turbo 4.0 8 cil. MCV.DA 16/23
PORSCHE: Panamera Turbo S 4.0 8 cil. DTCA 20/23</t>
  </si>
  <si>
    <t xml:space="preserve">0P2121115 (OEM)
0P2121115A (OEM)
0P2121115B (OEM)</t>
  </si>
  <si>
    <t xml:space="preserve">Com junta de borracha
emperatura de abertura 107 °C</t>
  </si>
  <si>
    <t xml:space="preserve">PORSCHE: Cayenne GTS 3.6 6 cil. MCX.ZA 15/18
PORSCHE: Cayenne GTS 4.8 8 cil. M48.02 12/18
PORSCHE: Cayenne S 3.6 6 cil. MCU.RA 14/18
PORSCHE: Cayenne S 4.8 8 cil. M48.02 10/14
PORSCHE: Cayenne Turbo 4.8 8 cil. M48.52 10/14
PORSCHE: Cayenne Turbo S 4.8 8 cil. MCY.XA 15/18</t>
  </si>
  <si>
    <t xml:space="preserve">Com junta de borracha
emperatura de abertura 92 °C</t>
  </si>
  <si>
    <t xml:space="preserve">03H121113A (OEM)
03H121113B (OEM)
95810612600 (OEM)</t>
  </si>
  <si>
    <t xml:space="preserve">Temperatura de abertura 80°C</t>
  </si>
  <si>
    <t xml:space="preserve">GM: S10 2.5 Flex 15/19</t>
  </si>
  <si>
    <t xml:space="preserve">12650241 (OEM)
1299.95 (VALCLEI)</t>
  </si>
  <si>
    <t xml:space="preserve">Com junta de borracha
emperatura de abertura 105 °C</t>
  </si>
  <si>
    <t xml:space="preserve">Conjunto completo com junta de borracha
Temperatura de abertura 96 °C</t>
  </si>
  <si>
    <t xml:space="preserve">1106100Q0F (OEM)
1106100QAK (OEM)</t>
  </si>
  <si>
    <t xml:space="preserve">8200790911 (OEM)
8200978542 (OEM)</t>
  </si>
  <si>
    <t xml:space="preserve">Com junta de borracha
emperatura de abertura 87 °C</t>
  </si>
  <si>
    <t xml:space="preserve">FORD: Ka 1.0 12V 3 cil 14/…</t>
  </si>
  <si>
    <t xml:space="preserve">1200.92 (VALCLEI)
CM5G61J20AA (OEM)
CM5G9K478FA (OEM)
CM5Z8592A (OEM)</t>
  </si>
  <si>
    <t xml:space="preserve">Conjunto completo com junta de borracha
Temperatura de abertura 92 °C</t>
  </si>
  <si>
    <t xml:space="preserve">1249.83 (VALCLEI)
9676409580 (OEM)</t>
  </si>
  <si>
    <t xml:space="preserve">Conjunto completo com junta de borracha
Temperatura de abertura 83 °C</t>
  </si>
  <si>
    <t xml:space="preserve">AUDI: A1 1.4 16V TSI 11/18</t>
  </si>
  <si>
    <t xml:space="preserve">03C121026M (OEM)
03C121110AA (OEM)
03C121110J (OEM)</t>
  </si>
  <si>
    <t xml:space="preserve">Conjunto completo com 2 válvulas e junta de borracha
Temperatura de abertura 83 °C e 87 °C</t>
  </si>
  <si>
    <t xml:space="preserve">CITROEN: Jumper 2.3 16V Diesel   F1 06/
CITROEN: Jumper 2.8 HDI 00/09
FIAT: Ducato 2.3 16V Multijet Diesel   F1 10/…
FIAT: Ducato 2.5 Diesel / 2.5 Turbo Diesel 94/…
FIAT: Ducato 2.8 Diesel / 2.8 Turbo Diesel 94/…
IVECO: Daily 35 C 10 2.3 16v Diesel   F1 06/…
IVECO: Daily 35 C 15 2.3 16v Diesel   F1 06/…
IVECO: Daily 35 C 18 2.3 16v Diesel   F1 06/…
IVECO: Daily 35 S 14 2.3 16v Diesel   F1 06/…
IVECO: Daily 35 S 15 2.3 16v Diesel   F1 06/…
IVECO: Daily 35 S 18 2.3 16v Diesel   F1 06/…
IVECO: Daily 40 C 12 2.3 16v Diesel   F1 06/…
IVECO: Daily 40 C 15 2.3 16v Diesel   F1 06/…
IVECO: Daily 40 C 18 2.3 16v Diesel   F1 06/…
IVECO: Daily 40 S 14 2.3 16v Diesel   F1 06/…
IVECO: Daily 50 C 15 2.3 16v Diesel   F1 06/…
IVECO: Daily 50 C 18 2.3 16v Diesel   F1 06/…
IVECO: Daily 55 C 16 2.3 16v Diesel   F1 06/…
IVECO: Daily 60 C 15 2.3 16v Diesel   F1 06/…
IVECO: Daily 60 C 18 2.3 16v Diesel   F1 06/…
IVECO: Daily 65 C 15 2.3 16v Diesel   F1 06/…
IVECO: Daily 65 C 18 2.3 16v Diesel   F1 06/…
PEUGEOT: Boxer 2.3 16V Diesel   F1 06/…
PEUGEOT: Boxer 2.5 Diesel / 2.8 Diesel / 2.8 Turbo Diesel 99/…</t>
  </si>
  <si>
    <t xml:space="preserve">1291.82 (VALCLEI)
504017209 (OEM)
504029725 (OEM)</t>
  </si>
  <si>
    <t xml:space="preserve">Temperatura de abertura 82 °C</t>
  </si>
  <si>
    <t xml:space="preserve">FIAT: Ducato 2.3 16V 18/23</t>
  </si>
  <si>
    <t xml:space="preserve">504045799 (OEM)
504084365 (OEM)</t>
  </si>
  <si>
    <t xml:space="preserve">Temperatura de abertura 79 °C</t>
  </si>
  <si>
    <t xml:space="preserve">FORD: Ecosport 2.0 16V Duratec 03/…
FORD: Mondeo 2.0 16V Duratec / 2.5 16V Duratec 01/05
FORD: Ranger 2.3 16V Duratec 01/10</t>
  </si>
  <si>
    <t xml:space="preserve">1107.98 (VALCLEI)
1S7G8575AF (OEM)
1S7G8575AK (OEM)</t>
  </si>
  <si>
    <t xml:space="preserve">Com junta de borracha
emperatura de abertura 98 °C</t>
  </si>
  <si>
    <t xml:space="preserve">FORD: Fusion 2.0 16V Turbo Ecoboost 13/…
LAND ROVER: Evoque 2.0 Si4       204PT 11/…
VOLVO: C30 1.8 16V / 2.0 16V 06/…
VOLVO: S40 1.8 16V / 2.0 16V 07/…
VOLVO: S60 2.0 20V Turbo 5 cil 05/…
VOLVO: S60 T5 2.0 20V Turbo 5 cil 05/…
VOLVO: S80 2.0 16V 07/…
VOLVO: S80 2.0 20V Turbo 5 cil 10/…
VOLVO: V60 2.0 20V Turbo 5 cil 06/…
VOLVO: V60 T5 2.0 20V Turbo 5 cil 10/…
VOLVO: V70 2.0 16V 07/…
VOLVO: V70 2.0 20V Turbo 5 cil 10/…
VOLVO: V70 T5 2.0 20V Turbo 5 cil 10/…
VOLVO: XC60 2.0 20V Turbo 5 cil 10/…
VOLVO: XC60 T5 2.0 20V Turbo 5 cil 10/…</t>
  </si>
  <si>
    <t xml:space="preserve">4M5G8575EA (OEM)
4M5G8575EB (OEM)</t>
  </si>
  <si>
    <t xml:space="preserve">Temperatura de abertura 89 °C</t>
  </si>
  <si>
    <t xml:space="preserve">FIAT: 500 1.4 8V 09/…
FIAT: Grand Siena 1.4 8V EVO 12/…
FIAT: Mobi 1.0 8V EVO 16/…
FIAT: Palio 1.0 8V EVO / 1.4 8V EVO 10/…
FIAT: Uno 1.0 8V EVO / 1.4 8V EVO 10/…</t>
  </si>
  <si>
    <t xml:space="preserve">1155.88 (VALCLEI)
55202176 (OEM)</t>
  </si>
  <si>
    <t xml:space="preserve">Temperatura de abertura 90 °C</t>
  </si>
  <si>
    <t xml:space="preserve">DODGE: Journey 2.4 16V 4 cil    ED3 / EDG3 08/...
FIAT: Freemont 2.4 16V 11/11
FIAT: Toro 2.4 16V Gasolina 16/…
JEEP: Compass 2.0 16V   ECN 11/15
JEEP: Compass 2.4 16V   ERZ 07/15</t>
  </si>
  <si>
    <t xml:space="preserve">1261.77-95 (VALCLEI)
68003583AA (OEM)
K55111016AA (OEM)
K55111017AD (OEM)</t>
  </si>
  <si>
    <t xml:space="preserve">Conjunto completo com 2 válvulas e junta de borracha
Temperatura de abertura 77 °C e 95 °C</t>
  </si>
  <si>
    <t xml:space="preserve">1153.92 (VALCLEI)
24435102 (OEM)</t>
  </si>
  <si>
    <t xml:space="preserve">Temperatura de abertura 92 °C</t>
  </si>
  <si>
    <t xml:space="preserve">FIAT: Toro 2.4 16V 16/21
JEEP: Compass 2.0 16V Flex 16/21</t>
  </si>
  <si>
    <t xml:space="preserve">5047263AB (OEM)
5047263AC (OEM)
K05047861AC (OEM)
K05047861AD (OEM)</t>
  </si>
  <si>
    <t xml:space="preserve">Conjunto completo com junta de borracha
Temperatura de abertura 82 °C</t>
  </si>
  <si>
    <t xml:space="preserve">RENAULT: Logan 1.0 12V 3 cil 16/...
RENAULT: Sandero 1.0 12V 3 cil 16/...</t>
  </si>
  <si>
    <t xml:space="preserve">1289.89 (VALCLEI)
2120006394R (OEM)
4119200089 (OEM)</t>
  </si>
  <si>
    <t xml:space="preserve">Conjunto completo com junta de borracha
Temperatura de abertura 91 °C</t>
  </si>
  <si>
    <t xml:space="preserve">1221.92AL (VALCLEI)
96984103 (OEM)</t>
  </si>
  <si>
    <t xml:space="preserve">FIAT: Toro 2.0 16V JTD Diesel 16/…
JEEP: Commander 2.0 16V Turbo Diesel 21/...
JEEP: Compass 2.0 16V JTD Diesel 16/…
JEEP: Renegade 2.0 16V JTD Diesel 16/…
RAM: Rampage 2.0 16V Turbo Diesel 23/...</t>
  </si>
  <si>
    <t xml:space="preserve">Temperatura de abertura 88 °C</t>
  </si>
  <si>
    <t xml:space="preserve">RENAULT: Captur 1.3 3cil Turbo H5H470 20/...
RENAULT: Duster 1.3 3cil Turbo H5H470 20/...
RENAULT: Oroch 1.3 3cil Turbo H5H470 20/...</t>
  </si>
  <si>
    <t xml:space="preserve">110600260R (OEM)
110609301R (OEM)</t>
  </si>
  <si>
    <t xml:space="preserve">FORD: Courier 1.6 Zetec Rocam 02/...
FORD: Ecosport 1.0 Zetec Rocam 03/...
FORD: Ecosport 1.6 Zetec Rocam 03/...
FORD: Fiesta 1.0 Zetec Rocam 02/...
FORD: Fiesta 1.6 Zetec Rocam 04/...
FORD: Focus 1.6 Zetec Rocam 03/...</t>
  </si>
  <si>
    <t xml:space="preserve">2S6G8A586D1C (OEM)
4402.82 (VALCLEI)</t>
  </si>
  <si>
    <t xml:space="preserve">03L121111AB (OEM)
03L121111H (OEM)
4454.87 (VALCLEI)</t>
  </si>
  <si>
    <t xml:space="preserve">Temperatura de abertura 87 °C</t>
  </si>
  <si>
    <t xml:space="preserve">CHERY: Tiggo 5X 1.5 16V Turbo E4T15B / E4G16 19/...
CHERY: Tiggo 5x Pro 1.5 16V Turbo Hybrid 22/...
CHERY: Tiggo 7 Pro 1.5 16V Turbo Hybrid 22/...
CHERY: Tiggo 8 1.5 16V Turbo Hybrid 22/...</t>
  </si>
  <si>
    <t xml:space="preserve">Conjunto com carcaça
Temperatura de abertura 68 °C</t>
  </si>
  <si>
    <t xml:space="preserve">HYUNDAI: Creta 1.6 16V Flex G4FC 17/...
HYUNDAI: HB20 1.0 12V 3 cil   B3LA / G3LA 12/…
HYUNDAI: HB20 1.6 16V Flex G4FC 12/…
HYUNDAI: i30 1.6 16V Flex G4FC 13/…
HYUNDAI: Veloster 1.6 16V Flex G4FC 12/…
KIA: Cerato 1.6 16V G4FC 10/...
KIA: Soul 1.6 16V 09/...</t>
  </si>
  <si>
    <t xml:space="preserve">1100.82 (VALCLEI)
25500-2B000 (OEM)</t>
  </si>
  <si>
    <t xml:space="preserve">255104A700 (OEM)
255104A750 (OEM)</t>
  </si>
  <si>
    <t xml:space="preserve">Com anel de borracha
Temperatura de abertura 82 °C</t>
  </si>
  <si>
    <t xml:space="preserve">HYUNDAI: Azera 3.3 24V V6   G6DB 07/11
HYUNDAI: Santa Fe 3.3 24V V6   G6DB 13/…
KIA: Sorento 3.3 24V V6   G6DG 07/…
TOYOTA: Hilux 2.5 Turbo Diesel 2KD 06/…
TOYOTA: Hilux 2.8 TURBODIESEL 16/...
TOYOTA: Hilux 3.0 Turbo Diesel 1KD 06/…
TOYOTA: Land Cruiser Prado 3.0 Turbo Diesel 1KD 03/09
TOYOTA: NOVA SW4 TURBODIESEL 16/...
TOYOTA: SW4 3.0 Turbo Diesel 1KD 06/…</t>
  </si>
  <si>
    <t xml:space="preserve">1113.82 (VALCLEI)
9091603097 (OEM)
9091603118 (OEM)</t>
  </si>
  <si>
    <t xml:space="preserve">HONDA: City 1.5 16V 10/…
HONDA: Civic 1.6 16V SOHC 01/05
HONDA: Civic 1.7 16V VTEC 01/05
HONDA: Civic 1.8 16V 00/…
HONDA: Fit 1.4 16V / 1.5 16V 08/…
HONDA: Fit 1.4 8V SOHC L13A1 03/08
HONDA: Fit 1.5 16V SOHC L14A1 03/08
HONDA: HRV 1.8 16V Flex 15/…
HONDA: New Civic 1.8 16V 06/…</t>
  </si>
  <si>
    <t xml:space="preserve">19301REA305 (OEM)
19301RNA315 (OEM)</t>
  </si>
  <si>
    <t xml:space="preserve">NISSAN: March 1.0 16V 11/...
PEUGEOT: 206 1.0 16V D4F 01/...
RENAULT: Clio 1.0 16V D4D/F 01/...
RENAULT: Clio 1.0 8V + ar condicionado 01/…
RENAULT: Kangoo 1.0 16V D4D/F 00/05
RENAULT: Kangoo 1.0 8V + ar condicionado 01/…
RENAULT: Logan 1.0 16V D4D/F 08/...
RENAULT: Sandero 1.0 16V D4D/F 08/...
RENAULT: Twingo 1.2 8V + ar condicionado 96/…</t>
  </si>
  <si>
    <t xml:space="preserve">1336T9 (OEM)
3371.89 (VALCLEI)
8200660882 (OEM)</t>
  </si>
  <si>
    <t xml:space="preserve">Com anel de borracha
Temperatura de abertura 88 °C</t>
  </si>
  <si>
    <t xml:space="preserve">1150.88 (VALCLEI)
XS7Q8575AA (OEM)</t>
  </si>
  <si>
    <t xml:space="preserve">NISSAN: Frontier 2.3 16V 16/...
RENAULT: Master 2.3 15V 23/...</t>
  </si>
  <si>
    <t xml:space="preserve">110604371R (OEM)
1106100Q2B (OEM)
1300.83 (VALCLEI)</t>
  </si>
  <si>
    <t xml:space="preserve">HYUNDAI: Elantra 1.6 16V 90/…
HYUNDAI: Elantra 1.8 16V 96/99
HYUNDAI: Elantra 2.0 16V 00/…
HYUNDAI: i30 2.0 16V 07/…
HYUNDAI: i30 CW 2.0 16V 10
HYUNDAI: iX35 2.0 16V 10/…
HYUNDAI: Tucson 2.0 16V 04/…
KIA: Carens 2.0 16V 04/06
KIA: Cerato 1.6 16V G4FC 10/...
KIA: Cerato 2.0 16V 06
KIA: Soul 1.6 16V 09/...
KIA: Sportage 2.0 16V 07/…</t>
  </si>
  <si>
    <t xml:space="preserve">1161.82 (VALCLEI)
25500-23001 (OEM)</t>
  </si>
  <si>
    <t xml:space="preserve">STC12076</t>
  </si>
  <si>
    <t xml:space="preserve">FLANGE VÁLVULA TERMOSTÁTICA</t>
  </si>
  <si>
    <t xml:space="preserve">GM: Astra 1.8 8V MPFI 99/05
GM: Astra 2.0 8V MPFI 99/11
GM: Blazer 2.2 8V EFI/MPFI 96/00
GM: Blazer 2.4 8V MPFI 01/12
GM: S10 2 2 8V EFI/MPFI 96/00
GM: S10 2.4 8V LT/LTZ 13/...
GM: S10 2.4 8V MPFI 01/12
GM: Suprema 2.0 8V / 2.2 8V EFI/MPFI 92/98
GM: Vectra 2.0 8V EFI/MPFI 94/12
GM: Vectra GT / GTX 2.0 8V MPFI 08/11
GM: Zafira 2.0 8V 01/12</t>
  </si>
  <si>
    <t xml:space="preserve">3361.87 (VALCLEI)
4184.87 (WAHLER)
92061279 (OEM)
93225280 (OEM)
MMVT361.87C (MAGNETI MARELLI)
TI33887D (MAHLE)
VT361.87 (MTE)</t>
  </si>
  <si>
    <t xml:space="preserve">STC12077</t>
  </si>
  <si>
    <t xml:space="preserve">FIAT: Argo 1.8 16V Etorq 17/...
FIAT: Cronos 1.8 16V Etorq 18/...
FIAT: Toro 1.8 16V Etorq 16/...
JEEP: Renegade 1.8 16V Etorq 15/...</t>
  </si>
  <si>
    <t xml:space="preserve">55247743 (OEM)
5598.90 (VALCLEI)
VT575.90 (MTE)</t>
  </si>
  <si>
    <t xml:space="preserve">Temperatura de abertura 90 °C
Com junta e sensor</t>
  </si>
  <si>
    <t xml:space="preserve">STC12078</t>
  </si>
  <si>
    <t xml:space="preserve">FORD: Ecosport 2.0 16V Duratec Flex 08/12
FORD: Ecosport 2.0 16V Duratec Flex 13/17
FORD: Focus 2.0 16V Duratec Gasolina 00/13
FORD: Fusion 2.0 16V Duratec Gas/Flex 06/12</t>
  </si>
  <si>
    <t xml:space="preserve">1S7Z8K556AH (OEM)
6G9Z8K556A (OEM)
6G9Z8K556AM (OEM)</t>
  </si>
  <si>
    <t xml:space="preserve">C/ Sensor</t>
  </si>
  <si>
    <t xml:space="preserve">STC12079</t>
  </si>
  <si>
    <t xml:space="preserve">HYUNDAI: Creta 1.6 16V Flex G4FC 17/...
HYUNDAI: HB20 1.6 16V Flex G4FC 12/…
HYUNDAI: i30 1.6 16V Flex G4FC 13/…
HYUNDAI: Veloster 1.6 16V Flex G4FC 12/…
KIA: Cerato 1.6 16V G4FC 10/...
KIA: Soul 1.6 16V G4FC 09/...</t>
  </si>
  <si>
    <t xml:space="preserve">25600-2B003 (OEM)
VC637F (VALCLEI)</t>
  </si>
  <si>
    <t xml:space="preserve">C/ Sensor 3 terminais</t>
  </si>
  <si>
    <t xml:space="preserve">STC12080</t>
  </si>
  <si>
    <t xml:space="preserve">9687927980 (OEM)
VC615AAL (VALCLEI)</t>
  </si>
  <si>
    <t xml:space="preserve">C/ Sensor
C/ Junta</t>
  </si>
  <si>
    <t xml:space="preserve">STC12081</t>
  </si>
  <si>
    <t xml:space="preserve">RENAULT: Clio 1.6 16V Hi Flex K4M 05/…
RENAULT: Clio 1.6 16V K4M 98/01
RENAULT: Clio 1.6 8V + ar condicionado + DH K7M 96/…
RENAULT: Duster 1.6 16V Hi Flex K4M 12/…
RENAULT: Duster 2.0 16V F4R830 12/…
RENAULT: Grand Scenic 2.0 16V F4R830 04/08
RENAULT: Kangoo 1.6 16V Hi Flex K4M 07/…
RENAULT: Kangoo 1.6 8V K7M 96/…
RENAULT: Laguna 1.6 16V K4M 98/…
RENAULT: Laguna 1.8 16V K4M 01/…
RENAULT: Laguna 2.0 16V F4R830 99/07
RENAULT: Logan 1.6 16V Hi Flex K4M 08/…
RENAULT: Logan 1.6 8V Hi Torque K7M 08/…
RENAULT: Megane 1.6 16V Hi Flex K4M 06/…
RENAULT: Megane 1.6 16V K4M 98/05
RENAULT: Megane 1.6 8V + ar condicionado + DH K7M 98/04
RENAULT: Megane 1.6 8V K7M 05/…
RENAULT: Megane Grand Tour 1.6 16V Hi Flex K4M 06/…
RENAULT: Megane Grand Tour 2.0 16V F4R830 07/…
RENAULT: Oroch 1.6 16V K4M 15/...
RENAULT: Oroch 2.0 16V F4R830 15/...
RENAULT: Sandero 1.6 16V Hi Flex K4M 08/…
RENAULT: Sandero 1.6 8V Hi Torque K7M 08/…
RENAULT: Scenic 1.6 16V Hi Flex K4M 05/…
RENAULT: Scenic 1.6 16V K4M 98/…
RENAULT: Scenic 1.6 8V K7M 96/…
RENAULT: Symbol 1.6 16V Hi Flex K4M 09/…
RENAULT: Symbol 1.6 8V K7M 09/…</t>
  </si>
  <si>
    <t xml:space="preserve">8200578089 (OEM)</t>
  </si>
  <si>
    <t xml:space="preserve">Conjunto completo sendo:
Válvula termostática
Flange da válvula termostática
Carcaça da válvula termostática
Sensor de temperatura
Temperatura abertura 89º</t>
  </si>
  <si>
    <t xml:space="preserve">STC12082</t>
  </si>
  <si>
    <t xml:space="preserve">25560-02501 (OEM)
25611-02502 (OEM)</t>
  </si>
  <si>
    <t xml:space="preserve">Flange da válvula termostática com sensor</t>
  </si>
  <si>
    <t xml:space="preserve">STC12083</t>
  </si>
  <si>
    <t xml:space="preserve">GM: Cruze 1.4 16V Turbo LE2 16/23
GM: Equinox 1.5 16V Turbo 20/23
GM: Tracker 1.4 16V Turbo LE2 16/20</t>
  </si>
  <si>
    <t xml:space="preserve">1266933 (OEM)
12673413 (OEM)
1285.82 (VALCLEI)</t>
  </si>
  <si>
    <t xml:space="preserve">Temperatura de abertura 82º</t>
  </si>
  <si>
    <t xml:space="preserve">STC12084</t>
  </si>
  <si>
    <t xml:space="preserve">110609657R (OEM)
1278.89 (VALCLEI)
TH9689D (MAHLE)</t>
  </si>
  <si>
    <t xml:space="preserve">Temperatura de abertura 89º
Válvula termostática com flange e sensor de temperatura</t>
  </si>
  <si>
    <t xml:space="preserve">STC12085</t>
  </si>
  <si>
    <t xml:space="preserve">1166.82 (VALCLEI)
2S6G9K478CA (OEM)
BE8Z8575Z (OEM)
BE8Z8592B (OEM)</t>
  </si>
  <si>
    <t xml:space="preserve">Temperatura de abertura 82º
Válvula termostática com flange</t>
  </si>
  <si>
    <t xml:space="preserve">STC12086</t>
  </si>
  <si>
    <t xml:space="preserve">12607291 (OEM)</t>
  </si>
  <si>
    <t xml:space="preserve">Conjunto com flange, carcaça e válvula termostática
Temperatura de abertura 82 °C</t>
  </si>
  <si>
    <t xml:space="preserve">STC12088</t>
  </si>
  <si>
    <t xml:space="preserve">AUDI: A3 1.6 8V Flex 02/06
VOLKSWAGEN: Crossfox 1.0 8V AT EA111 03/...
VOLKSWAGEN: Crossfox 1.6 8V AT EA111 03/...
VOLKSWAGEN: Fox 1.0 8V AT EA111 03/...
VOLKSWAGEN: Fox 1.6 8V AT EA111 03/...
VOLKSWAGEN: Gol 1.0 8V AT EA111 09/...
VOLKSWAGEN: Gol 1.0 8V AT EA111 97/...
VOLKSWAGEN: Gol 1.6 8V EA111 09/...
VOLKSWAGEN: Golf 1.6 8V AT EA111 02/13
VOLKSWAGEN: Parati 1.0 8V AT EA111 97/...
VOLKSWAGEN: Parati 1.6 8V AT EA111 00/...
VOLKSWAGEN: Polo 1.0 8V AT EA111 03/...
VOLKSWAGEN: Polo 1.6 8V AT EA111 03/...
VOLKSWAGEN: Saveiro 1.6 8V AT EA111 03/...
VOLKSWAGEN: Spacefox 1.0 8V AT EA111 03/...
VOLKSWAGEN: Spacefox 1.6 8V AT EA111 03/...
VOLKSWAGEN: Voyage 1.0 8V AT EA111 08/...
VOLKSWAGEN: Voyage 1.6 8V AT EA111 08/...</t>
  </si>
  <si>
    <t xml:space="preserve">032121110K (OEM)
410475.80 (WAHLER)</t>
  </si>
  <si>
    <t xml:space="preserve">Temperatura de abertura 80 °C</t>
  </si>
  <si>
    <t xml:space="preserve">STC12089</t>
  </si>
  <si>
    <t xml:space="preserve">1152.83 (VALCLEI)
41233283 (WAHLER)
55496663 (OEM)
VT607.83 (MTE)</t>
  </si>
  <si>
    <t xml:space="preserve">Temperatura de abertura 83º
Válvula termostática com flange</t>
  </si>
  <si>
    <t xml:space="preserve">STC12090</t>
  </si>
  <si>
    <t xml:space="preserve">1420.88 (VALCLEI)
BB3Q8A586AA (OEM)
BB3Q8A586AB (OEM)</t>
  </si>
  <si>
    <t xml:space="preserve">Conjunto completo com carcaça, válvula termostática e sensor
Temperatura de abertura 88 °C</t>
  </si>
  <si>
    <t xml:space="preserve">STC12091</t>
  </si>
  <si>
    <t xml:space="preserve">12650485 (OEM)
1297.80 (VALCLEI)
24588515 (OEM)
MMVT90180C (MAGNETI MARELLI)</t>
  </si>
  <si>
    <t xml:space="preserve">Temperatura de abertura 80º
Válvula termostática com flange e sensor de temperatura</t>
  </si>
  <si>
    <t xml:space="preserve">STC12092</t>
  </si>
  <si>
    <t xml:space="preserve">VOLKSWAGEN: Kombi 1.4 8V Flex EA111 06/16</t>
  </si>
  <si>
    <t xml:space="preserve">030121110C (OEM)
4453.80 (VALCLEI)</t>
  </si>
  <si>
    <t xml:space="preserve">Temperatura de abertura 80º
Válvula termostática com flange</t>
  </si>
  <si>
    <t xml:space="preserve">STC12093</t>
  </si>
  <si>
    <t xml:space="preserve">AUDI: A4 1.8 Turbo AVJ/BFB/AMB/AWM/BEX 00/08
AUDI: A4 2.0 ALT 00/08
AUDI: A6 2.0 ALT 01/05
VOLKSWAGEN: Passat 2.0 ALT 01/05</t>
  </si>
  <si>
    <t xml:space="preserve">06B121111D (OEM)
06B121111G (OEM)
06B121111H (OEM)
06B121111K (OEM)</t>
  </si>
  <si>
    <t xml:space="preserve">Temperatura de abertura 100º
Válvula termostática com flange, carcaça e sensor</t>
  </si>
  <si>
    <t xml:space="preserve">STC12094</t>
  </si>
  <si>
    <t xml:space="preserve">CITROEN: C4 2.0 16V EW10J4 / EW10A 00/…
CITROEN: C4 Grand Picasso 2.0 16V EW10J4 / EW10A 08/…
CITROEN: C4 Pallas 2.0 16V EW10J4 / EW10A 05/…
CITROEN: C4 Picasso 2.0 16V EW10J4 / EW10A 08/…
CITROEN: C5 2.0 16V EW10J4 / EW10A 02/…
CITROEN: Xsara 2.0 16V EW10J4 / EW10A 02/…
CITROEN: Xsara Picasso 2.0 16V EW10J4 / EW10A 02/…
PEUGEOT: 307 / SW 2.0 16V EW10J4 / EW10A 02/…
PEUGEOT: 407 2.0 16V EW10J4 / EW10A 04/…</t>
  </si>
  <si>
    <t xml:space="preserve">1338E4 (OEM)
9648542680 (OEM)</t>
  </si>
  <si>
    <t xml:space="preserve">Temperatura de abertura 105º
Válvula termostática com flange</t>
  </si>
  <si>
    <t xml:space="preserve">STC12095</t>
  </si>
  <si>
    <t xml:space="preserve">JAC MOTORS: J2 1.4 16V 11/17
JAC MOTORS: J3 1.4 16V 11/17
JAC MOTORS: J5 1.5 16V 11/16
JAC MOTORS: J6 2.0 16v 11/16</t>
  </si>
  <si>
    <t xml:space="preserve">1041200GG010 (OEM)
1410.82 (VALCLEI)
VT254.82 (MTE)</t>
  </si>
  <si>
    <t xml:space="preserve">STC12096</t>
  </si>
  <si>
    <t xml:space="preserve">NISSAN: Sentra 2.0 16V MR20DD 14/23</t>
  </si>
  <si>
    <t xml:space="preserve">110603LM0A (OEM)
110603LM0AS (OEM)</t>
  </si>
  <si>
    <t xml:space="preserve">Atenção, modelo com 7 conexões.</t>
  </si>
  <si>
    <t xml:space="preserve">STC12097</t>
  </si>
  <si>
    <t xml:space="preserve">NISSAN: Livina 1.8 16V   MR18DE 10/…
NISSAN: Sentra 2.0 16V   MR20DE 07/…
NISSAN: Tiida 1.8 16V   MR18DE 07/…</t>
  </si>
  <si>
    <t xml:space="preserve">11060ET00A (OEM)
VC662N (VALCLEI)</t>
  </si>
  <si>
    <t xml:space="preserve">STC12098</t>
  </si>
  <si>
    <t xml:space="preserve">FORD: Edge 3.5 24V V6 Duratec 08/18</t>
  </si>
  <si>
    <t xml:space="preserve">1171.82 (VALCLEI)
AT4Z8A586B (OEM)
AT4Z8A586CX (OEM)</t>
  </si>
  <si>
    <t xml:space="preserve">STC12099</t>
  </si>
  <si>
    <t xml:space="preserve">11518601366 (OEM)
11518623576 (OEM)
TM111103 (MAHLE)</t>
  </si>
  <si>
    <t xml:space="preserve">Temperatura de abertura 103º</t>
  </si>
  <si>
    <t xml:space="preserve">STC12100</t>
  </si>
  <si>
    <t xml:space="preserve">06E121111AD (OEM)
06E121111AL (OEM)
06E121111E (OEM)
06E121111P (OEM)
06E121111S (OEM)
06E121111T (OEM)</t>
  </si>
  <si>
    <t xml:space="preserve">Temperatura de abertura 85º</t>
  </si>
  <si>
    <t xml:space="preserve">STC12101</t>
  </si>
  <si>
    <t xml:space="preserve">CAVALETE BOMBA D´ÁGUA</t>
  </si>
  <si>
    <t xml:space="preserve">JDE38616 (OEM)
LR093489 (OEM)
LR181892 (OEM)</t>
  </si>
  <si>
    <t xml:space="preserve">STC12102</t>
  </si>
  <si>
    <t xml:space="preserve">BMW: 540i (E60) 4.0 8 cil. N62B40A 05/09
BMW: 545i (E60) 4.4 8 cil. N62B44A 03/05
BMW: 550i (E60) 4.8 8 cil. N62B48B 05/09
BMW: 550i (F10) 4.4 8 cil. N63B44B 10/16
BMW: 650i (E63) 4.8 8 cil. N62B48B 05/10
BMW: 650i (F12) 4.4 8 cil. N63B44A 10/18
BMW: 745i (E65/E66/E67) 4.4 8 cil. N62B44A 01/05
BMW: 750i (F01/F02/F03/F04) 4.4 8 cil. N63B44A 09/12
BMW: 760i (E65/E66/E67) 6.0 12 cil. N73B60A/N73B60B 03/08
BMW: M3 (F30/F80) 3.0 6 cil. S55B30A 14/18
BMW: M3 (G20/G28/G80) 3.0 6 cil. S58B30B 20/...
BMW: M3 Competition (F30/F80) 3.0 6 cil. S55B30A 16/18
BMW: M3 Competition (G20/G28/G80) 3.0 6 cil. S58B30A 20/...
BMW: M3 Competition (G21) 3.0 6 cil. S58B30A 22/24
BMW: M5 (F10) 4.4 8 cil. S63B44B 11/16
BMW: X3M (G01/G08/F97) 3.0 6 cil. S58B30A 19/...
BMW: X3M Competition (G01/G08/F97) 3.0 6 cil. S58B30A 19/...
BMW: X4M (G02/F98) 3.0 6 cil. S58B30A 19/...
BMW: X4M Competition (G02/F98) 3.0 6 cil. S58B30A 19/...
BMW: X5 (E53) 4.4 8 cil. N62B44A 03/06
BMW: X5 (E53) 4.8 8 cil. N62B48A 04/06
BMW: X5 (E70) 4.4 8 cil. N63B44A 10/13
BMW: X5 (E70) 4.8 8 cil. N62B48B 06/10
BMW: X5 (F15/F85) 4.4 8 cil N63B44B 13/18
BMW: X5M (F15/F85) 4.4 8 cil. S63B44B 14/18
BMW: X5M Competiton (F05/F95 4.4 8 cil. S63B44B 19/...
BMW: X6 (E71/E72) 4.4 8 cil. N63B44A 07/14
BMW: X6 (F16/F86) 4.4 8 cil. N63B44B 14/19
BMW: X6M (E71/E72) 4.4 8 cil. S63B44A 09/14
BMW: X6M (E71/E72) 4.4 8 cil. S63B44B 14/19
BMW: X6M (G06/F96) 4.4 8 cil. S63B44B 19/23
BMW: X6M Competition(G06/F96) 4.4 8 cil. S63D44B 19/23</t>
  </si>
  <si>
    <t xml:space="preserve">115303044425 (OEM)
11537502779 (OEM)
11537586885 (OEM)
TM27101 (MAHLE)</t>
  </si>
  <si>
    <t xml:space="preserve">Temperatura de abertura 105º</t>
  </si>
  <si>
    <t xml:space="preserve">STC12104</t>
  </si>
  <si>
    <t xml:space="preserve">1455.97 (VALCLEI)
472QA1306100 (OEM)</t>
  </si>
  <si>
    <t xml:space="preserve">Temperatura de abertura 97º</t>
  </si>
  <si>
    <t xml:space="preserve">STC12105</t>
  </si>
  <si>
    <t xml:space="preserve">FORD: Ka / Ka Sedan 1.0 12V 3 cil 14/23</t>
  </si>
  <si>
    <t xml:space="preserve">1932006 (OEM)
4452.50 (VALCLEI)
CA6G8575CA (OEM)
CA6G8575DA (OEM)
CA6G8575DB (OEM)
CA6Z8575C (OEM)
TI24650 (MAHLE)
VT547.50 (MTE)</t>
  </si>
  <si>
    <t xml:space="preserve">Temperatura de abertura 50º</t>
  </si>
  <si>
    <t xml:space="preserve">STC12107</t>
  </si>
  <si>
    <t xml:space="preserve">06H121113B (OEM)
4450.95 (VALCLEI)</t>
  </si>
  <si>
    <t xml:space="preserve">Temperatura de abertura 95º</t>
  </si>
  <si>
    <t xml:space="preserve">STC12109</t>
  </si>
  <si>
    <t xml:space="preserve">DODGE: Durango 3.6 v6 11/15
DODGE: Grand Caravan 3.6 V6 11/17
DODGE: Journey 3.6 V6 11/17
JEEP: Grand Cherokee 3.0 V6 11/...
JEEP: Grand Cherokee 3.6 V6 11/17
JEEP: Wrangler 3.6 V6 12/17</t>
  </si>
  <si>
    <t xml:space="preserve">5184570AH (OEM)
K05184651AH (OEM)</t>
  </si>
  <si>
    <t xml:space="preserve">Temperatura abertura 95º</t>
  </si>
  <si>
    <t xml:space="preserve">STC12110</t>
  </si>
  <si>
    <t xml:space="preserve">68253514 (OEM)
68253514AA (OEM)</t>
  </si>
  <si>
    <t xml:space="preserve">STC12111</t>
  </si>
  <si>
    <t xml:space="preserve">HYUNDAI: Azera 3.8 V6 05/11
HYUNDAI: Santa Fe 3.5 V6 07/12
HYUNDAI: Sonata 3.3 V6 05/10
HYUNDAI: Vera Cruz 3.8 V6 06/12
KIA: Cadenza 3.5 V6 11/16
KIA: Mohave 3.8 V6 08/13</t>
  </si>
  <si>
    <t xml:space="preserve">25500-3C100 (OEM)</t>
  </si>
  <si>
    <t xml:space="preserve">STC12112</t>
  </si>
  <si>
    <t xml:space="preserve">AUDI: A1 1.4 16V TFSI 10/21
AUDI: A3 1.4 16V TFSI 12/21
AUDI: A3 Sedan 1.4 16V TFSI 13/…
AUDI: Q3 1.4 16V TFSI 14/21
VOLKSWAGEN: Crossfox 1.6 16V 14/18
VOLKSWAGEN: Fox 1.0 12V 3cil 14/19
VOLKSWAGEN: Fox 1.6 16V 15/19
VOLKSWAGEN: Gol 1.0 12V 3cil 16/19
VOLKSWAGEN: Gol 1.6 16V 15/21
VOLKSWAGEN: Golf 1.0 12V TSI 16/18
VOLKSWAGEN: Golf 1.4 16V TSI 13/…
VOLKSWAGEN: Golf 1.4 16V TSI 14/18
VOLKSWAGEN: Golf 1.6 16V 16/18
VOLKSWAGEN: Golf Variant 1.4 16V TSI 15/18
VOLKSWAGEN: Jetta 1.4 16V TSI 15/...
VOLKSWAGEN: Jetta TSI 1.4 16V TSI 16/…
VOLKSWAGEN: Nivus 1.0 12V TSI 20/...
VOLKSWAGEN: Polo 1.0 12V TSI 17/...
VOLKSWAGEN: Polo 1.6 16V 17/...
VOLKSWAGEN: Polo GTS 1.4 16V TSI 20/...
VOLKSWAGEN: Saveiro 1.6 16V 14/21
VOLKSWAGEN: Space Cross 1.6 16V 15/17
VOLKSWAGEN: Spacefox 1.6 16V 14/18
VOLKSWAGEN: T-Cross 1.0 12V TSI 19/...
VOLKSWAGEN: T-Cross 1.4 16V TSI 19/...
VOLKSWAGEN: Taos 1.4 16V TSI 21/...
VOLKSWAGEN: Tiguan 1.4 16V TSI 16/…
VOLKSWAGEN: Up 1.0 12V 3cil 14/21
VOLKSWAGEN: Up 1.0 12V TSI 14/21
VOLKSWAGEN: Virtus 1.0 12V TSI 18/...
VOLKSWAGEN: Virtus 1.6 16V 18/...
VOLKSWAGEN: Voyage 1.0 12V 3cil 16/19
VOLKSWAGEN: Voyage 1.6 16V 16/21</t>
  </si>
  <si>
    <t xml:space="preserve">04E121113C (OEM)
04E121113K (OEM)
1176.80 (VALCLEI)
VT476.80 (MTE)</t>
  </si>
  <si>
    <t xml:space="preserve">Válvula primária
Temperatura de abertura 80º</t>
  </si>
  <si>
    <t xml:space="preserve">STC12113</t>
  </si>
  <si>
    <t xml:space="preserve">AUDI: A1 1.4 16V TFSI EA211 16/17</t>
  </si>
  <si>
    <t xml:space="preserve">04E121113G (OEM)
VT476.87 (MTE)</t>
  </si>
  <si>
    <t xml:space="preserve">Temperatura de abertura 87º</t>
  </si>
  <si>
    <t xml:space="preserve">STC12114</t>
  </si>
  <si>
    <t xml:space="preserve">04E121113F (OEM)
04E121113L (OEM)
04E121113M (OEM)
1175.95 (VALCLEI)</t>
  </si>
  <si>
    <t xml:space="preserve">Válvula secundária
Temperatura de abertura 95º</t>
  </si>
  <si>
    <t xml:space="preserve">STC12115</t>
  </si>
  <si>
    <t xml:space="preserve">07K121115C (OEM)
07K121117C (OEM)
07K121121B (OEM)
1201.80 (VALCLEI)</t>
  </si>
  <si>
    <t xml:space="preserve">Temperatura de abertura 80º</t>
  </si>
  <si>
    <t xml:space="preserve">STC12116</t>
  </si>
  <si>
    <t xml:space="preserve">FORD: Ranger 2.0 16V Turbo Diesel 23/...
FORD: Transit 2.0 16V Diesel Ecoblue 21/...</t>
  </si>
  <si>
    <t xml:space="preserve">1460.88 (VALCLEI)
KK3Z8592A (OEM)</t>
  </si>
  <si>
    <t xml:space="preserve">Temperatura de abertura 88º</t>
  </si>
  <si>
    <t xml:space="preserve">STC12117</t>
  </si>
  <si>
    <t xml:space="preserve">HYUNDAI: Kona 1.6 16V GAMMA 21/23
HYUNDAI: New Tucson 1.6 16V Turbo GAMMA 17/24</t>
  </si>
  <si>
    <t xml:space="preserve">25600-2B740 (OEM)
VC637.0 (VALCLEI)</t>
  </si>
  <si>
    <t xml:space="preserve">Flange com sensor</t>
  </si>
  <si>
    <t xml:space="preserve">STC12118</t>
  </si>
  <si>
    <t xml:space="preserve">GM: Equinox 2.0 16V Ecotec 18/21</t>
  </si>
  <si>
    <t xml:space="preserve">12651603 (OEM)
1286.82 (VALCLEI)
25201447 (OEM)
VT570.82 (MTE)</t>
  </si>
  <si>
    <t xml:space="preserve">STC12119</t>
  </si>
  <si>
    <t xml:space="preserve">110616620R (OEM)
130483HC0A (OEM)
VC662.H (VALCLEI)</t>
  </si>
  <si>
    <t xml:space="preserve">STC12120</t>
  </si>
  <si>
    <t xml:space="preserve">HYUNDAI: iX35 2.0 16V G4KD/THETA 10/13
HYUNDAI: Sonata 2.4 16V G4KC 11/14
KIA: Cerato 2.0 16V G4KD/THETA 11/16
KIA: Magentis 2.0 16V G4KD/THETA 09/10
KIA: Optima 2.0 16V NU 13/16
KIA: Sportage 2.0 16V G4KD/THETA 11/11</t>
  </si>
  <si>
    <t xml:space="preserve">1163.82 (VALCLEI)
25600-2G400 (OEM)
25600-2G411 (OEM)
25600-2G500 (OEM)
25620-2GGA0 (OEM)</t>
  </si>
  <si>
    <t xml:space="preserve">Conjunto completo com carcaça, válvula termostática e sensor
Temperatura de abertura 82º</t>
  </si>
  <si>
    <t xml:space="preserve">STC12121</t>
  </si>
  <si>
    <t xml:space="preserve">HYUNDAI: Creta 1.6 16v GAMMA 17/21
NISSAN: Grand Livina 1.8 16V MR18DE 10/...
NISSAN: Kicks 1.6 16V 16/...
NISSAN: Livina 1.8 16V MR18DE 09/13
NISSAN: March 1.6 16V HR16DE 11/…
NISSAN: Sentra 2.0 16V MR20DE 07/...
NISSAN: Versa 1.6 16V HR16DE 11/…</t>
  </si>
  <si>
    <t xml:space="preserve">21200ED000 (OEM)
21200ED00A (OEM)</t>
  </si>
  <si>
    <t xml:space="preserve">STC12122</t>
  </si>
  <si>
    <t xml:space="preserve">55513502 (OEM)
VC433.C (VALCLEI)</t>
  </si>
  <si>
    <t xml:space="preserve">STC12123</t>
  </si>
  <si>
    <t xml:space="preserve">CITROEN: C3 1.0 6V Firefly 22/...
FIAT: Argo 1.0 6V Firefly 17/...
FIAT: Argo 1.3 8V Firefly 17/...
FIAT: Cronos 1.0 6V Firefly 17/...
FIAT: Cronos 1.3 8V Firefly 18/...
FIAT: Mobi 1.0 6V Firefly 17/...
FIAT: Strada 1.3 8V Firefly 20/21
FIAT: Uno 1.0 6V Firefly 17/...
FIAT: Uno 1.3 8V Firefly 17/...
PEUGEOT: 208 1.0 6V Firefly 22/...</t>
  </si>
  <si>
    <t xml:space="preserve">1265.80 (VALCLEI)
1681140080 (OEM)
55267985 (OEM)</t>
  </si>
  <si>
    <t xml:space="preserve">Flange com válvula termostática e sensor
Temperatura de abertura 80º</t>
  </si>
  <si>
    <t xml:space="preserve">STC12124</t>
  </si>
  <si>
    <t xml:space="preserve">TOYOTA: Corolla 1.8 16V Hybrid 19/21
TOYOTA: Prius 1.8 16V Hybrid 16/19</t>
  </si>
  <si>
    <t xml:space="preserve">1478.82 (VALCLEI)
16031-37010 (OEM)</t>
  </si>
  <si>
    <t xml:space="preserve">Flange com válvula termostática
Temperatura de abertura 82º</t>
  </si>
  <si>
    <t xml:space="preserve">STC12125</t>
  </si>
  <si>
    <t xml:space="preserve">1305A163 (OEM)
MD164541 (OEM)
MD317015 (OEM)
ME191593 (OEM)
ME200262 (OEM)</t>
  </si>
  <si>
    <t xml:space="preserve">Temperatura de abertura 77º</t>
  </si>
  <si>
    <t xml:space="preserve">STC12126</t>
  </si>
  <si>
    <t xml:space="preserve">1210.82 (VALCLEI)
16031-0Y010 (OEM)
41233582 (WAHLER)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</si>
</sst>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.00"/>
    <numFmt numFmtId="167" formatCode="0.00%"/>
    <numFmt numFmtId="168" formatCode="yyyy\-mm\-dd\ 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C0000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15" hidden="false" customHeight="true" outlineLevel="0" collapsed="false">
      <c r="A4" s="1" t="s">
        <v>7</v>
      </c>
      <c r="B4" s="1" t="n">
        <f aca="false">COUNTIF(Curva!$F:$F,A4)</f>
        <v>304</v>
      </c>
      <c r="C4" s="1" t="n">
        <f aca="false">COUNTIFS(Curva!$F:$F,A4,Curva!$C:$C,"COMPRA")</f>
        <v>15</v>
      </c>
      <c r="D4" s="1" t="n">
        <f aca="false">B4-C4</f>
        <v>289</v>
      </c>
      <c r="E4" s="4" t="n">
        <f aca="false">C4/B4</f>
        <v>0.0493421052631579</v>
      </c>
      <c r="F4" s="5" t="n">
        <f aca="false">SUMIFS(Curva!$E:$E,Curva!$F:$F,A4)</f>
        <v>10386.8</v>
      </c>
    </row>
    <row r="5" customFormat="false" ht="15" hidden="false" customHeight="true" outlineLevel="0" collapsed="false">
      <c r="A5" s="1" t="s">
        <v>8</v>
      </c>
      <c r="B5" s="1" t="n">
        <f aca="false">COUNTIF(Curva!$F:$F,A5)</f>
        <v>399</v>
      </c>
      <c r="C5" s="1" t="n">
        <f aca="false">COUNTIFS(Curva!$F:$F,A5,Curva!$C:$C,"COMPRA")</f>
        <v>4</v>
      </c>
      <c r="D5" s="1" t="n">
        <f aca="false">B5-C5</f>
        <v>395</v>
      </c>
      <c r="E5" s="4" t="n">
        <f aca="false">C5/B5</f>
        <v>0.0100250626566416</v>
      </c>
      <c r="F5" s="5" t="n">
        <f aca="false">SUMIFS(Curva!$E:$E,Curva!$F:$F,A5)</f>
        <v>3131.36</v>
      </c>
    </row>
    <row r="6" customFormat="false" ht="15" hidden="false" customHeight="true" outlineLevel="0" collapsed="false">
      <c r="A6" s="1" t="s">
        <v>9</v>
      </c>
      <c r="B6" s="1" t="n">
        <f aca="false">COUNTIF(Curva!$F:$F,A6)</f>
        <v>999</v>
      </c>
      <c r="C6" s="1" t="n">
        <f aca="false">COUNTIFS(Curva!$F:$F,A6,Curva!$C:$C,"COMPRA")</f>
        <v>6</v>
      </c>
      <c r="D6" s="1" t="n">
        <f aca="false">B6-C6</f>
        <v>993</v>
      </c>
      <c r="E6" s="4" t="n">
        <f aca="false">C6/B6</f>
        <v>0.00600600600600601</v>
      </c>
      <c r="F6" s="5" t="n">
        <f aca="false">SUMIFS(Curva!$E:$E,Curva!$F:$F,A6)</f>
        <v>3993.42</v>
      </c>
    </row>
    <row r="7" customFormat="false" ht="15" hidden="false" customHeight="true" outlineLevel="0" collapsed="false">
      <c r="A7" s="6" t="s">
        <v>10</v>
      </c>
      <c r="B7" s="6" t="n">
        <f aca="false">SUM(B4:B6)</f>
        <v>1702</v>
      </c>
      <c r="C7" s="6" t="n">
        <f aca="false">SUM(C4:C6)</f>
        <v>25</v>
      </c>
      <c r="D7" s="6" t="n">
        <f aca="false">SUM(D4:D6)</f>
        <v>1677</v>
      </c>
      <c r="E7" s="7" t="n">
        <f aca="false">C7/B7</f>
        <v>0.0146886016451234</v>
      </c>
      <c r="F7" s="8" t="n">
        <f aca="false">SUM(F4:F6)</f>
        <v>17511.58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8"/>
    <col collapsed="false" customWidth="true" hidden="false" outlineLevel="0" max="4" min="4" style="1" width="11"/>
    <col collapsed="false" customWidth="true" hidden="false" outlineLevel="0" max="5" min="5" style="1" width="13"/>
    <col collapsed="false" customWidth="true" hidden="false" outlineLevel="0" max="6" min="6" style="1" width="8"/>
    <col collapsed="false" customWidth="true" hidden="false" outlineLevel="0" max="7" min="7" style="1" width="42"/>
    <col collapsed="false" customWidth="true" hidden="false" outlineLevel="0" max="8" min="8" style="1" width="32"/>
    <col collapsed="false" customWidth="true" hidden="false" outlineLevel="0" max="9" min="9" style="1" width="14"/>
    <col collapsed="false" customWidth="true" hidden="false" outlineLevel="0" max="10" min="10" style="1" width="40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4" min="13" style="1" width="14"/>
    <col collapsed="false" customWidth="true" hidden="false" outlineLevel="0" max="15" min="15" style="0" width="60"/>
    <col collapsed="false" customWidth="true" hidden="false" outlineLevel="0" max="16" min="16" style="0" width="28"/>
  </cols>
  <sheetData>
    <row r="1" customFormat="false" ht="31.5" hidden="false" customHeight="true" outlineLevel="0" collapsed="false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9" t="s">
        <v>24</v>
      </c>
      <c r="P1" s="9" t="s">
        <v>25</v>
      </c>
    </row>
    <row r="2" customFormat="false" ht="15" hidden="false" customHeight="true" outlineLevel="0" collapsed="false">
      <c r="A2" s="10" t="s">
        <v>26</v>
      </c>
      <c r="B2" s="10" t="str">
        <f aca="false">IFERROR(VLOOKUP(A2,Pedido!$A:$B,2,0),"")</f>
        <v/>
      </c>
      <c r="C2" s="10" t="str">
        <f aca="false">IF(B2="","NÃO COMPRA","COMPRA")</f>
        <v>NÃO COMPRA</v>
      </c>
      <c r="D2" s="1" t="n">
        <f aca="false">IFERROR(VLOOKUP(A2,Pedido!$A:$C,3,0),0)</f>
        <v>0</v>
      </c>
      <c r="E2" s="5" t="n">
        <f aca="false">IFERROR(VLOOKUP(A2,Pedido!$A:$E,5,0),0)</f>
        <v>0</v>
      </c>
      <c r="F2" s="1" t="s">
        <v>7</v>
      </c>
      <c r="G2" s="1" t="s">
        <v>27</v>
      </c>
      <c r="H2" s="1" t="s">
        <v>28</v>
      </c>
      <c r="I2" s="1" t="s">
        <v>29</v>
      </c>
      <c r="K2" s="1" t="n">
        <v>15657</v>
      </c>
      <c r="L2" s="11" t="n">
        <v>0.0267660699846313</v>
      </c>
      <c r="M2" s="1" t="n">
        <f aca="false">SUMIF(Relatorio_AK!$A:$A,A2,Relatorio_AK!$B:$B)</f>
        <v>15657</v>
      </c>
      <c r="N2" s="1" t="str">
        <f aca="false">IF(M2=K2,"OK","DIF")</f>
        <v>OK</v>
      </c>
      <c r="O2" s="12" t="str">
        <f aca="false">IFERROR(VLOOKUP($A2,Lista_Starke!$A:$E,3,0),"NÃO ESTÁ NA LISTA")</f>
        <v>HYUNDAI: HB20 1.0 12V 12/...</v>
      </c>
      <c r="P2" s="12" t="str">
        <f aca="false">IFERROR(VLOOKUP($A2,Lista_Starke!$A:$E,2,0),"NÃO ESTÁ NA LISTA")</f>
        <v>CILINDRO AUXILIAR DE EMBREAGEM</v>
      </c>
    </row>
    <row r="3" customFormat="false" ht="15" hidden="false" customHeight="true" outlineLevel="0" collapsed="false">
      <c r="A3" s="10" t="s">
        <v>30</v>
      </c>
      <c r="B3" s="10" t="str">
        <f aca="false">IFERROR(VLOOKUP(A3,Pedido!$A:$B,2,0),"")</f>
        <v/>
      </c>
      <c r="C3" s="10" t="str">
        <f aca="false">IF(B3="","NÃO COMPRA","COMPRA")</f>
        <v>NÃO COMPRA</v>
      </c>
      <c r="D3" s="1" t="n">
        <f aca="false">IFERROR(VLOOKUP(A3,Pedido!$A:$C,3,0),0)</f>
        <v>0</v>
      </c>
      <c r="E3" s="5" t="n">
        <f aca="false">IFERROR(VLOOKUP(A3,Pedido!$A:$E,5,0),0)</f>
        <v>0</v>
      </c>
      <c r="F3" s="1" t="s">
        <v>7</v>
      </c>
      <c r="G3" s="1" t="s">
        <v>31</v>
      </c>
      <c r="H3" s="1" t="s">
        <v>32</v>
      </c>
      <c r="I3" s="1" t="s">
        <v>29</v>
      </c>
      <c r="K3" s="1" t="n">
        <v>14311</v>
      </c>
      <c r="L3" s="11" t="n">
        <v>0.0512311161333226</v>
      </c>
      <c r="M3" s="1" t="n">
        <f aca="false">SUMIF(Relatorio_AK!$A:$A,A3,Relatorio_AK!$B:$B)</f>
        <v>14311</v>
      </c>
      <c r="N3" s="1" t="str">
        <f aca="false">IF(M3=K3,"OK","DIF")</f>
        <v>OK</v>
      </c>
      <c r="O3" s="13" t="str">
        <f aca="false">IFERROR(VLOOKUP($A3,Lista_Starke!$A:$E,3,0),"NÃO ESTÁ NA LISTA")</f>
        <v>HYUNDAI: HB20 1.0 12V 3 cil 12/...
HYUNDAI: HB20 1.6 16V 12/...</v>
      </c>
      <c r="P3" s="12" t="str">
        <f aca="false">IFERROR(VLOOKUP($A3,Lista_Starke!$A:$E,2,0),"NÃO ESTÁ NA LISTA")</f>
        <v>CILINDRO MESTRE DE EMBREAGEM</v>
      </c>
    </row>
    <row r="4" customFormat="false" ht="15" hidden="false" customHeight="true" outlineLevel="0" collapsed="false">
      <c r="A4" s="10" t="s">
        <v>33</v>
      </c>
      <c r="B4" s="10" t="str">
        <f aca="false">IFERROR(VLOOKUP(A4,Pedido!$A:$B,2,0),"")</f>
        <v/>
      </c>
      <c r="C4" s="10" t="str">
        <f aca="false">IF(B4="","NÃO COMPRA","COMPRA")</f>
        <v>NÃO COMPRA</v>
      </c>
      <c r="D4" s="1" t="n">
        <f aca="false">IFERROR(VLOOKUP(A4,Pedido!$A:$C,3,0),0)</f>
        <v>0</v>
      </c>
      <c r="E4" s="5" t="n">
        <f aca="false">IFERROR(VLOOKUP(A4,Pedido!$A:$E,5,0),0)</f>
        <v>0</v>
      </c>
      <c r="F4" s="1" t="s">
        <v>7</v>
      </c>
      <c r="G4" s="1" t="s">
        <v>34</v>
      </c>
      <c r="H4" s="1" t="s">
        <v>35</v>
      </c>
      <c r="I4" s="1" t="s">
        <v>36</v>
      </c>
      <c r="J4" s="1" t="s">
        <v>37</v>
      </c>
      <c r="K4" s="1" t="n">
        <v>6588</v>
      </c>
      <c r="L4" s="11" t="n">
        <v>0.0624934824269134</v>
      </c>
      <c r="M4" s="1" t="n">
        <f aca="false">SUMIF(Relatorio_AK!$A:$A,A4,Relatorio_AK!$B:$B)</f>
        <v>6588</v>
      </c>
      <c r="N4" s="1" t="str">
        <f aca="false">IF(M4=K4,"OK","DIF")</f>
        <v>OK</v>
      </c>
      <c r="O4" s="12" t="str">
        <f aca="false">IFERROR(VLOOKUP($A4,Lista_Starke!$A:$E,3,0),"NÃO ESTÁ NA LISTA")</f>
        <v>VOLKSWAGEN: Fusca 1.3 67/76</v>
      </c>
      <c r="P4" s="12" t="str">
        <f aca="false">IFERROR(VLOOKUP($A4,Lista_Starke!$A:$E,2,0),"NÃO ESTÁ NA LISTA")</f>
        <v>CILINDRO MESTRE DE FREIO</v>
      </c>
    </row>
    <row r="5" customFormat="false" ht="15" hidden="false" customHeight="true" outlineLevel="0" collapsed="false">
      <c r="A5" s="10" t="s">
        <v>38</v>
      </c>
      <c r="B5" s="10" t="str">
        <f aca="false">IFERROR(VLOOKUP(A5,Pedido!$A:$B,2,0),"")</f>
        <v/>
      </c>
      <c r="C5" s="10" t="str">
        <f aca="false">IF(B5="","NÃO COMPRA","COMPRA")</f>
        <v>NÃO COMPRA</v>
      </c>
      <c r="D5" s="1" t="n">
        <f aca="false">IFERROR(VLOOKUP(A5,Pedido!$A:$C,3,0),0)</f>
        <v>0</v>
      </c>
      <c r="E5" s="5" t="n">
        <f aca="false">IFERROR(VLOOKUP(A5,Pedido!$A:$E,5,0),0)</f>
        <v>0</v>
      </c>
      <c r="F5" s="1" t="s">
        <v>7</v>
      </c>
      <c r="G5" s="1" t="s">
        <v>39</v>
      </c>
      <c r="H5" s="1" t="s">
        <v>35</v>
      </c>
      <c r="I5" s="1" t="s">
        <v>36</v>
      </c>
      <c r="K5" s="1" t="n">
        <v>6193</v>
      </c>
      <c r="L5" s="11" t="n">
        <v>0.0730805854105516</v>
      </c>
      <c r="M5" s="1" t="n">
        <f aca="false">SUMIF(Relatorio_AK!$A:$A,A5,Relatorio_AK!$B:$B)</f>
        <v>6193</v>
      </c>
      <c r="N5" s="1" t="str">
        <f aca="false">IF(M5=K5,"OK","DIF")</f>
        <v>OK</v>
      </c>
      <c r="O5" s="13" t="str">
        <f aca="false">IFERROR(VLOOKUP($A5,Lista_Starke!$A:$E,3,0),"NÃO ESTÁ NA LISTA")</f>
        <v>VOLKSWAGEN: Gol G6 1.0 / 1.6 13/...
VOLKSWAGEN: Gol G7 1.0 / 1.6 17/...
VOLKSWAGEN: Nivus 1.0 TSI 20/...
VOLKSWAGEN: Polo 1.0 TSI / 1.6 MSI 17/...
VOLKSWAGEN: Saveiro G6 1.6 MSI 13/...
VOLKSWAGEN: T-Cross 1.0 TSI 19/...
VOLKSWAGEN: Up 1.0 12V / 1.0 TSI 14/...
VOLKSWAGEN: Virtus 1.0 TSI / 1.6 MSI 18/...
VOLKSWAGEN: Voyage G6 1.0 / 1.6 13/...</v>
      </c>
      <c r="P5" s="12" t="str">
        <f aca="false">IFERROR(VLOOKUP($A5,Lista_Starke!$A:$E,2,0),"NÃO ESTÁ NA LISTA")</f>
        <v>CILINDRO MESTRE DE FREIO</v>
      </c>
    </row>
    <row r="6" customFormat="false" ht="15" hidden="false" customHeight="true" outlineLevel="0" collapsed="false">
      <c r="A6" s="10" t="s">
        <v>40</v>
      </c>
      <c r="B6" s="10" t="str">
        <f aca="false">IFERROR(VLOOKUP(A6,Pedido!$A:$B,2,0),"")</f>
        <v/>
      </c>
      <c r="C6" s="10" t="str">
        <f aca="false">IF(B6="","NÃO COMPRA","COMPRA")</f>
        <v>NÃO COMPRA</v>
      </c>
      <c r="D6" s="1" t="n">
        <f aca="false">IFERROR(VLOOKUP(A6,Pedido!$A:$C,3,0),0)</f>
        <v>0</v>
      </c>
      <c r="E6" s="5" t="n">
        <f aca="false">IFERROR(VLOOKUP(A6,Pedido!$A:$E,5,0),0)</f>
        <v>0</v>
      </c>
      <c r="F6" s="1" t="s">
        <v>7</v>
      </c>
      <c r="G6" s="1" t="s">
        <v>41</v>
      </c>
      <c r="H6" s="1" t="s">
        <v>35</v>
      </c>
      <c r="I6" s="1" t="s">
        <v>42</v>
      </c>
      <c r="J6" s="1" t="s">
        <v>43</v>
      </c>
      <c r="K6" s="1" t="n">
        <v>5930</v>
      </c>
      <c r="L6" s="11" t="n">
        <v>0.0832180826966769</v>
      </c>
      <c r="M6" s="1" t="n">
        <f aca="false">SUMIF(Relatorio_AK!$A:$A,A6,Relatorio_AK!$B:$B)</f>
        <v>5930</v>
      </c>
      <c r="N6" s="1" t="str">
        <f aca="false">IF(M6=K6,"OK","DIF")</f>
        <v>OK</v>
      </c>
      <c r="O6" s="13" t="str">
        <f aca="false">IFERROR(VLOOKUP($A6,Lista_Starke!$A:$E,3,0),"NÃO ESTÁ NA LISTA")</f>
        <v>RENAULT: Clio 1.0 / 1.6 00/...
RENAULT: Kangoo 1.0 / 1.6 00/...
RENAULT: Symbol 1.0 / 1.6 09/...</v>
      </c>
      <c r="P6" s="12" t="str">
        <f aca="false">IFERROR(VLOOKUP($A6,Lista_Starke!$A:$E,2,0),"NÃO ESTÁ NA LISTA")</f>
        <v>CILINDRO MESTRE DE FREIO</v>
      </c>
    </row>
    <row r="7" customFormat="false" ht="15" hidden="false" customHeight="true" outlineLevel="0" collapsed="false">
      <c r="A7" s="10" t="s">
        <v>44</v>
      </c>
      <c r="B7" s="10" t="str">
        <f aca="false">IFERROR(VLOOKUP(A7,Pedido!$A:$B,2,0),"")</f>
        <v/>
      </c>
      <c r="C7" s="10" t="str">
        <f aca="false">IF(B7="","NÃO COMPRA","COMPRA")</f>
        <v>NÃO COMPRA</v>
      </c>
      <c r="D7" s="1" t="n">
        <f aca="false">IFERROR(VLOOKUP(A7,Pedido!$A:$C,3,0),0)</f>
        <v>0</v>
      </c>
      <c r="E7" s="5" t="n">
        <f aca="false">IFERROR(VLOOKUP(A7,Pedido!$A:$E,5,0),0)</f>
        <v>0</v>
      </c>
      <c r="F7" s="1" t="s">
        <v>7</v>
      </c>
      <c r="G7" s="1" t="s">
        <v>45</v>
      </c>
      <c r="H7" s="1" t="s">
        <v>35</v>
      </c>
      <c r="I7" s="1" t="s">
        <v>46</v>
      </c>
      <c r="J7" s="1" t="s">
        <v>47</v>
      </c>
      <c r="K7" s="1" t="n">
        <v>5587</v>
      </c>
      <c r="L7" s="11" t="n">
        <v>0.0927692120959318</v>
      </c>
      <c r="M7" s="1" t="n">
        <f aca="false">SUMIF(Relatorio_AK!$A:$A,A7,Relatorio_AK!$B:$B)</f>
        <v>5587</v>
      </c>
      <c r="N7" s="1" t="str">
        <f aca="false">IF(M7=K7,"OK","DIF")</f>
        <v>OK</v>
      </c>
      <c r="O7" s="13" t="str">
        <f aca="false">IFERROR(VLOOKUP($A7,Lista_Starke!$A:$E,3,0),"NÃO ESTÁ NA LISTA")</f>
        <v>FIAT: Grand Siena 1.4 8V Fire EVO 12/...
FIAT: Grand Siena 1.6 16V Etorq 12/...
FIAT: Grand Siena 1.6 16V Etorq Dualogic 12/...
FIAT: Palio 1.0 8V Fire EVO 12/...
FIAT: Palio 1.4 8V Fire EVO 12/...
FIAT: Palio 1.6 16V Etorq 12/...
FIAT: Palio 1.6 16V Etorq Dualogic 12/...
FIAT: Uno 1.0 8V Fire EVO 12/...
FIAT: Uno 1.4 8V Fire EVO 12/...</v>
      </c>
      <c r="P7" s="12" t="str">
        <f aca="false">IFERROR(VLOOKUP($A7,Lista_Starke!$A:$E,2,0),"NÃO ESTÁ NA LISTA")</f>
        <v>CILNDRO MESTRE DE FREIO</v>
      </c>
    </row>
    <row r="8" customFormat="false" ht="15" hidden="false" customHeight="true" outlineLevel="0" collapsed="false">
      <c r="A8" s="10" t="s">
        <v>48</v>
      </c>
      <c r="B8" s="10" t="str">
        <f aca="false">IFERROR(VLOOKUP(A8,Pedido!$A:$B,2,0),"")</f>
        <v>SCC 2017</v>
      </c>
      <c r="C8" s="10" t="str">
        <f aca="false">IF(B8="","NÃO COMPRA","COMPRA")</f>
        <v>COMPRA</v>
      </c>
      <c r="D8" s="1" t="n">
        <f aca="false">IFERROR(VLOOKUP(A8,Pedido!$A:$C,3,0),0)</f>
        <v>1</v>
      </c>
      <c r="E8" s="5" t="n">
        <f aca="false">IFERROR(VLOOKUP(A8,Pedido!$A:$E,5,0),0)</f>
        <v>95</v>
      </c>
      <c r="F8" s="1" t="s">
        <v>7</v>
      </c>
      <c r="G8" s="1" t="s">
        <v>49</v>
      </c>
      <c r="H8" s="1" t="s">
        <v>32</v>
      </c>
      <c r="I8" s="1" t="s">
        <v>50</v>
      </c>
      <c r="K8" s="1" t="n">
        <v>5428</v>
      </c>
      <c r="L8" s="11" t="n">
        <v>0.102048526643839</v>
      </c>
      <c r="M8" s="1" t="n">
        <f aca="false">SUMIF(Relatorio_AK!$A:$A,A8,Relatorio_AK!$B:$B)</f>
        <v>5428</v>
      </c>
      <c r="N8" s="1" t="str">
        <f aca="false">IF(M8=K8,"OK","DIF")</f>
        <v>OK</v>
      </c>
      <c r="O8" s="13" t="str">
        <f aca="false">IFERROR(VLOOKUP($A8,Lista_Starke!$A:$E,3,0),"NÃO ESTÁ NA LISTA")</f>
        <v>HONDA: City 1.5 16V 09/...
HONDA: Fit 1.4 16V / 1.5 16V 09/...</v>
      </c>
      <c r="P8" s="12" t="str">
        <f aca="false">IFERROR(VLOOKUP($A8,Lista_Starke!$A:$E,2,0),"NÃO ESTÁ NA LISTA")</f>
        <v>CILINDRO MESTRE DE EMBREAGEM</v>
      </c>
    </row>
    <row r="9" customFormat="false" ht="15" hidden="false" customHeight="true" outlineLevel="0" collapsed="false">
      <c r="A9" s="10" t="s">
        <v>51</v>
      </c>
      <c r="B9" s="10" t="str">
        <f aca="false">IFERROR(VLOOKUP(A9,Pedido!$A:$B,2,0),"")</f>
        <v/>
      </c>
      <c r="C9" s="10" t="str">
        <f aca="false">IF(B9="","NÃO COMPRA","COMPRA")</f>
        <v>NÃO COMPRA</v>
      </c>
      <c r="D9" s="1" t="n">
        <f aca="false">IFERROR(VLOOKUP(A9,Pedido!$A:$C,3,0),0)</f>
        <v>0</v>
      </c>
      <c r="E9" s="5" t="n">
        <f aca="false">IFERROR(VLOOKUP(A9,Pedido!$A:$E,5,0),0)</f>
        <v>0</v>
      </c>
      <c r="F9" s="1" t="s">
        <v>7</v>
      </c>
      <c r="G9" s="1" t="s">
        <v>52</v>
      </c>
      <c r="H9" s="1" t="s">
        <v>35</v>
      </c>
      <c r="I9" s="1" t="s">
        <v>53</v>
      </c>
      <c r="J9" s="1" t="s">
        <v>54</v>
      </c>
      <c r="K9" s="1" t="n">
        <v>5372</v>
      </c>
      <c r="L9" s="11" t="n">
        <v>0.111232107659195</v>
      </c>
      <c r="M9" s="1" t="n">
        <f aca="false">SUMIF(Relatorio_AK!$A:$A,A9,Relatorio_AK!$B:$B)</f>
        <v>5372</v>
      </c>
      <c r="N9" s="1" t="str">
        <f aca="false">IF(M9=K9,"OK","DIF")</f>
        <v>OK</v>
      </c>
      <c r="O9" s="13" t="str">
        <f aca="false">IFERROR(VLOOKUP($A9,Lista_Starke!$A:$E,3,0),"NÃO ESTÁ NA LISTA")</f>
        <v>FORD: Ecosport  03/12
FORD: Fiesta  03/...</v>
      </c>
      <c r="P9" s="12" t="str">
        <f aca="false">IFERROR(VLOOKUP($A9,Lista_Starke!$A:$E,2,0),"NÃO ESTÁ NA LISTA")</f>
        <v>CILINDRO MESTRE DE FREIO</v>
      </c>
    </row>
    <row r="10" customFormat="false" ht="15" hidden="false" customHeight="true" outlineLevel="0" collapsed="false">
      <c r="A10" s="10" t="s">
        <v>55</v>
      </c>
      <c r="B10" s="10" t="str">
        <f aca="false">IFERROR(VLOOKUP(A10,Pedido!$A:$B,2,0),"")</f>
        <v/>
      </c>
      <c r="C10" s="10" t="str">
        <f aca="false">IF(B10="","NÃO COMPRA","COMPRA")</f>
        <v>NÃO COMPRA</v>
      </c>
      <c r="D10" s="1" t="n">
        <f aca="false">IFERROR(VLOOKUP(A10,Pedido!$A:$C,3,0),0)</f>
        <v>0</v>
      </c>
      <c r="E10" s="5" t="n">
        <f aca="false">IFERROR(VLOOKUP(A10,Pedido!$A:$E,5,0),0)</f>
        <v>0</v>
      </c>
      <c r="F10" s="1" t="s">
        <v>7</v>
      </c>
      <c r="G10" s="1" t="s">
        <v>56</v>
      </c>
      <c r="H10" s="1" t="s">
        <v>35</v>
      </c>
      <c r="I10" s="1" t="s">
        <v>57</v>
      </c>
      <c r="J10" s="1" t="s">
        <v>58</v>
      </c>
      <c r="K10" s="1" t="n">
        <v>4985</v>
      </c>
      <c r="L10" s="11" t="n">
        <v>0.119754101583535</v>
      </c>
      <c r="M10" s="1" t="n">
        <f aca="false">SUMIF(Relatorio_AK!$A:$A,A10,Relatorio_AK!$B:$B)</f>
        <v>4985</v>
      </c>
      <c r="N10" s="1" t="str">
        <f aca="false">IF(M10=K10,"OK","DIF")</f>
        <v>OK</v>
      </c>
      <c r="O10" s="13" t="str">
        <f aca="false">IFERROR(VLOOKUP($A10,Lista_Starke!$A:$E,3,0),"NÃO ESTÁ NA LISTA")</f>
        <v>GM: Celta 1.0 8V 14/16
GM: Corsa Classic 1.0 V 12/...
GM: Corsa Classic 1.4 8V 12/...</v>
      </c>
      <c r="P10" s="12" t="str">
        <f aca="false">IFERROR(VLOOKUP($A10,Lista_Starke!$A:$E,2,0),"NÃO ESTÁ NA LISTA")</f>
        <v>CILINDRO MESTRE DE FREIO</v>
      </c>
    </row>
    <row r="11" customFormat="false" ht="15" hidden="false" customHeight="true" outlineLevel="0" collapsed="false">
      <c r="A11" s="10" t="s">
        <v>59</v>
      </c>
      <c r="B11" s="10" t="str">
        <f aca="false">IFERROR(VLOOKUP(A11,Pedido!$A:$B,2,0),"")</f>
        <v/>
      </c>
      <c r="C11" s="10" t="str">
        <f aca="false">IF(B11="","NÃO COMPRA","COMPRA")</f>
        <v>NÃO COMPRA</v>
      </c>
      <c r="D11" s="1" t="n">
        <f aca="false">IFERROR(VLOOKUP(A11,Pedido!$A:$C,3,0),0)</f>
        <v>0</v>
      </c>
      <c r="E11" s="5" t="n">
        <f aca="false">IFERROR(VLOOKUP(A11,Pedido!$A:$E,5,0),0)</f>
        <v>0</v>
      </c>
      <c r="F11" s="1" t="s">
        <v>7</v>
      </c>
      <c r="G11" s="1" t="s">
        <v>41</v>
      </c>
      <c r="H11" s="1" t="s">
        <v>35</v>
      </c>
      <c r="I11" s="1" t="s">
        <v>42</v>
      </c>
      <c r="J11" s="1" t="s">
        <v>60</v>
      </c>
      <c r="K11" s="1" t="n">
        <v>4922</v>
      </c>
      <c r="L11" s="11" t="n">
        <v>0.128168395283756</v>
      </c>
      <c r="M11" s="1" t="n">
        <f aca="false">SUMIF(Relatorio_AK!$A:$A,A11,Relatorio_AK!$B:$B)</f>
        <v>4922</v>
      </c>
      <c r="N11" s="1" t="str">
        <f aca="false">IF(M11=K11,"OK","DIF")</f>
        <v>OK</v>
      </c>
      <c r="O11" s="13" t="str">
        <f aca="false">IFERROR(VLOOKUP($A11,Lista_Starke!$A:$E,3,0),"NÃO ESTÁ NA LISTA")</f>
        <v>RENAULT: Logan 1.0 / 1.6 07/13
RENAULT: Sandero 1.0 / 1.6 07/14</v>
      </c>
      <c r="P11" s="12" t="str">
        <f aca="false">IFERROR(VLOOKUP($A11,Lista_Starke!$A:$E,2,0),"NÃO ESTÁ NA LISTA")</f>
        <v>CILINDRO MESTRE DE FREIO</v>
      </c>
    </row>
    <row r="12" customFormat="false" ht="15" hidden="false" customHeight="true" outlineLevel="0" collapsed="false">
      <c r="A12" s="10" t="s">
        <v>61</v>
      </c>
      <c r="B12" s="10" t="str">
        <f aca="false">IFERROR(VLOOKUP(A12,Pedido!$A:$B,2,0),"")</f>
        <v/>
      </c>
      <c r="C12" s="10" t="str">
        <f aca="false">IF(B12="","NÃO COMPRA","COMPRA")</f>
        <v>NÃO COMPRA</v>
      </c>
      <c r="D12" s="1" t="n">
        <f aca="false">IFERROR(VLOOKUP(A12,Pedido!$A:$C,3,0),0)</f>
        <v>0</v>
      </c>
      <c r="E12" s="5" t="n">
        <f aca="false">IFERROR(VLOOKUP(A12,Pedido!$A:$E,5,0),0)</f>
        <v>0</v>
      </c>
      <c r="F12" s="1" t="s">
        <v>7</v>
      </c>
      <c r="G12" s="1" t="s">
        <v>62</v>
      </c>
      <c r="H12" s="1" t="s">
        <v>32</v>
      </c>
      <c r="I12" s="1" t="s">
        <v>63</v>
      </c>
      <c r="K12" s="1" t="n">
        <v>4719</v>
      </c>
      <c r="L12" s="11" t="n">
        <v>0.136235654928482</v>
      </c>
      <c r="M12" s="1" t="n">
        <f aca="false">SUMIF(Relatorio_AK!$A:$A,A12,Relatorio_AK!$B:$B)</f>
        <v>4719</v>
      </c>
      <c r="N12" s="1" t="str">
        <f aca="false">IF(M12=K12,"OK","DIF")</f>
        <v>OK</v>
      </c>
      <c r="O12" s="13" t="str">
        <f aca="false">IFERROR(VLOOKUP($A12,Lista_Starke!$A:$E,3,0),"NÃO ESTÁ NA LISTA")</f>
        <v>NISSAN: March 1.0 16V 11/...
NISSAN: March 1.6 16V 11/...
NISSAN: Versa 1.6 16V 11/...
RENAULT: Captur 1.6 16V 17/...
RENAULT: Duster 1.6 / 2.0 16/...
RENAULT: Logan 1.6 16V 13/16
RENAULT: Logan 1.6 16V 17/...
RENAULT: Oroch 1.6 16V 16/...
RENAULT: Sandero 1.6 16V 13/16
RENAULT: Sandero 1.6 16V 17/...</v>
      </c>
      <c r="P12" s="12" t="str">
        <f aca="false">IFERROR(VLOOKUP($A12,Lista_Starke!$A:$E,2,0),"NÃO ESTÁ NA LISTA")</f>
        <v>CILINDRO MESTRE DE EMBREAGEM</v>
      </c>
    </row>
    <row r="13" customFormat="false" ht="15" hidden="false" customHeight="true" outlineLevel="0" collapsed="false">
      <c r="A13" s="10" t="s">
        <v>64</v>
      </c>
      <c r="B13" s="10" t="str">
        <f aca="false">IFERROR(VLOOKUP(A13,Pedido!$A:$B,2,0),"")</f>
        <v/>
      </c>
      <c r="C13" s="10" t="str">
        <f aca="false">IF(B13="","NÃO COMPRA","COMPRA")</f>
        <v>NÃO COMPRA</v>
      </c>
      <c r="D13" s="1" t="n">
        <f aca="false">IFERROR(VLOOKUP(A13,Pedido!$A:$C,3,0),0)</f>
        <v>0</v>
      </c>
      <c r="E13" s="5" t="n">
        <f aca="false">IFERROR(VLOOKUP(A13,Pedido!$A:$E,5,0),0)</f>
        <v>0</v>
      </c>
      <c r="F13" s="1" t="s">
        <v>7</v>
      </c>
      <c r="G13" s="1" t="s">
        <v>65</v>
      </c>
      <c r="H13" s="1" t="s">
        <v>35</v>
      </c>
      <c r="I13" s="1" t="s">
        <v>46</v>
      </c>
      <c r="J13" s="1" t="s">
        <v>66</v>
      </c>
      <c r="K13" s="1" t="n">
        <v>4390</v>
      </c>
      <c r="L13" s="11" t="n">
        <v>0.143740480069475</v>
      </c>
      <c r="M13" s="1" t="n">
        <f aca="false">SUMIF(Relatorio_AK!$A:$A,A13,Relatorio_AK!$B:$B)</f>
        <v>4390</v>
      </c>
      <c r="N13" s="1" t="str">
        <f aca="false">IF(M13=K13,"OK","DIF")</f>
        <v>OK</v>
      </c>
      <c r="O13" s="13" t="str">
        <f aca="false">IFERROR(VLOOKUP($A13,Lista_Starke!$A:$E,3,0),"NÃO ESTÁ NA LISTA")</f>
        <v>FIAT: Fiorino  94/...
FIAT: Palio  98/...
FIAT: Palio Weekend  98/...
FIAT: Siena  98/...
FIAT: Strada  98/...</v>
      </c>
      <c r="P13" s="12" t="str">
        <f aca="false">IFERROR(VLOOKUP($A13,Lista_Starke!$A:$E,2,0),"NÃO ESTÁ NA LISTA")</f>
        <v>CILINDRO MESTRE DE FREIO</v>
      </c>
    </row>
    <row r="14" customFormat="false" ht="15" hidden="false" customHeight="true" outlineLevel="0" collapsed="false">
      <c r="A14" s="10" t="s">
        <v>67</v>
      </c>
      <c r="B14" s="10" t="str">
        <f aca="false">IFERROR(VLOOKUP(A14,Pedido!$A:$B,2,0),"")</f>
        <v/>
      </c>
      <c r="C14" s="10" t="str">
        <f aca="false">IF(B14="","NÃO COMPRA","COMPRA")</f>
        <v>NÃO COMPRA</v>
      </c>
      <c r="D14" s="1" t="n">
        <f aca="false">IFERROR(VLOOKUP(A14,Pedido!$A:$C,3,0),0)</f>
        <v>0</v>
      </c>
      <c r="E14" s="5" t="n">
        <f aca="false">IFERROR(VLOOKUP(A14,Pedido!$A:$E,5,0),0)</f>
        <v>0</v>
      </c>
      <c r="F14" s="1" t="s">
        <v>7</v>
      </c>
      <c r="G14" s="1" t="s">
        <v>56</v>
      </c>
      <c r="H14" s="1" t="s">
        <v>35</v>
      </c>
      <c r="I14" s="1" t="s">
        <v>57</v>
      </c>
      <c r="J14" s="1" t="s">
        <v>68</v>
      </c>
      <c r="K14" s="1" t="n">
        <v>4235</v>
      </c>
      <c r="L14" s="11" t="n">
        <v>0.150980328468588</v>
      </c>
      <c r="M14" s="1" t="n">
        <f aca="false">SUMIF(Relatorio_AK!$A:$A,A14,Relatorio_AK!$B:$B)</f>
        <v>4235</v>
      </c>
      <c r="N14" s="1" t="str">
        <f aca="false">IF(M14=K14,"OK","DIF")</f>
        <v>OK</v>
      </c>
      <c r="O14" s="13" t="str">
        <f aca="false">IFERROR(VLOOKUP($A14,Lista_Starke!$A:$E,3,0),"NÃO ESTÁ NA LISTA")</f>
        <v>GM: Agile  10/11
GM: Classic  03/09
GM: Corsa  98/02
GM: Montana  11/13</v>
      </c>
      <c r="P14" s="12" t="str">
        <f aca="false">IFERROR(VLOOKUP($A14,Lista_Starke!$A:$E,2,0),"NÃO ESTÁ NA LISTA")</f>
        <v>CILINDRO MESTRE DE FREIO</v>
      </c>
    </row>
    <row r="15" customFormat="false" ht="15" hidden="false" customHeight="true" outlineLevel="0" collapsed="false">
      <c r="A15" s="10" t="s">
        <v>69</v>
      </c>
      <c r="B15" s="10" t="str">
        <f aca="false">IFERROR(VLOOKUP(A15,Pedido!$A:$B,2,0),"")</f>
        <v>SBC 1011</v>
      </c>
      <c r="C15" s="10" t="str">
        <f aca="false">IF(B15="","NÃO COMPRA","COMPRA")</f>
        <v>COMPRA</v>
      </c>
      <c r="D15" s="1" t="n">
        <f aca="false">IFERROR(VLOOKUP(A15,Pedido!$A:$C,3,0),0)</f>
        <v>4</v>
      </c>
      <c r="E15" s="5" t="n">
        <f aca="false">IFERROR(VLOOKUP(A15,Pedido!$A:$E,5,0),0)</f>
        <v>352</v>
      </c>
      <c r="F15" s="1" t="s">
        <v>7</v>
      </c>
      <c r="G15" s="1" t="s">
        <v>70</v>
      </c>
      <c r="H15" s="1" t="s">
        <v>35</v>
      </c>
      <c r="I15" s="1" t="s">
        <v>71</v>
      </c>
      <c r="J15" s="1" t="s">
        <v>72</v>
      </c>
      <c r="K15" s="1" t="n">
        <v>4094</v>
      </c>
      <c r="L15" s="11" t="n">
        <v>0.157979133508959</v>
      </c>
      <c r="M15" s="1" t="n">
        <f aca="false">SUMIF(Relatorio_AK!$A:$A,A15,Relatorio_AK!$B:$B)</f>
        <v>4094</v>
      </c>
      <c r="N15" s="1" t="str">
        <f aca="false">IF(M15=K15,"OK","DIF")</f>
        <v>OK</v>
      </c>
      <c r="O15" s="13" t="str">
        <f aca="false">IFERROR(VLOOKUP($A15,Lista_Starke!$A:$E,3,0),"NÃO ESTÁ NA LISTA")</f>
        <v>PEUGEOT: 206 1.0 16V 01/04
PEUGEOT: 206 1.4 8V 05/10
PEUGEOT: 206 1.6 8V 99/01
PEUGEOT: 206 / 206 SW 1.4 8V 05/08
PEUGEOT: 207 1.4 8V 09/...
PEUGEOT: 207 / SW 1.4 8V 09/...
PEUGEOT: 306 1.6 94/97</v>
      </c>
      <c r="P15" s="12" t="str">
        <f aca="false">IFERROR(VLOOKUP($A15,Lista_Starke!$A:$E,2,0),"NÃO ESTÁ NA LISTA")</f>
        <v>CILINDRO MESTRE DE FREIO</v>
      </c>
    </row>
    <row r="16" customFormat="false" ht="15" hidden="false" customHeight="true" outlineLevel="0" collapsed="false">
      <c r="A16" s="10" t="s">
        <v>73</v>
      </c>
      <c r="B16" s="10" t="str">
        <f aca="false">IFERROR(VLOOKUP(A16,Pedido!$A:$B,2,0),"")</f>
        <v/>
      </c>
      <c r="C16" s="10" t="str">
        <f aca="false">IF(B16="","NÃO COMPRA","COMPRA")</f>
        <v>NÃO COMPRA</v>
      </c>
      <c r="D16" s="1" t="n">
        <f aca="false">IFERROR(VLOOKUP(A16,Pedido!$A:$C,3,0),0)</f>
        <v>0</v>
      </c>
      <c r="E16" s="5" t="n">
        <f aca="false">IFERROR(VLOOKUP(A16,Pedido!$A:$E,5,0),0)</f>
        <v>0</v>
      </c>
      <c r="F16" s="1" t="s">
        <v>7</v>
      </c>
      <c r="G16" s="1" t="s">
        <v>65</v>
      </c>
      <c r="H16" s="1" t="s">
        <v>35</v>
      </c>
      <c r="I16" s="1" t="s">
        <v>46</v>
      </c>
      <c r="J16" s="1" t="s">
        <v>74</v>
      </c>
      <c r="K16" s="1" t="n">
        <v>4016</v>
      </c>
      <c r="L16" s="11" t="n">
        <v>0.164844595414706</v>
      </c>
      <c r="M16" s="1" t="n">
        <f aca="false">SUMIF(Relatorio_AK!$A:$A,A16,Relatorio_AK!$B:$B)</f>
        <v>4016</v>
      </c>
      <c r="N16" s="1" t="str">
        <f aca="false">IF(M16=K16,"OK","DIF")</f>
        <v>OK</v>
      </c>
      <c r="O16" s="13" t="str">
        <f aca="false">IFERROR(VLOOKUP($A16,Lista_Starke!$A:$E,3,0),"NÃO ESTÁ NA LISTA")</f>
        <v>FIAT: Argo 1.0 6V 3 cil. 17/...
FIAT: Argo 1.3 8V 17/...
FIAT: Argo 1.8 16V 17/...
FIAT: Cronos 1.3 8V 18/...
FIAT: Cronos 1.8 16V 18/...
FIAT: Fiorino 1.4 8V 13/...
FIAT: Grand Siena 1.4 8V 12/...
FIAT: Grand Siena 1.6 16V 12/...
FIAT: Mobi 1.0 8V 16/...
FIAT: Palio 1.0 / 1.4 12/...
FIAT: Palio 1.6 Etorq 12/...
FIAT: Uno 1.0 8V 13/...
FIAT: Uno 1.4 8V 13/...</v>
      </c>
      <c r="P16" s="12" t="str">
        <f aca="false">IFERROR(VLOOKUP($A16,Lista_Starke!$A:$E,2,0),"NÃO ESTÁ NA LISTA")</f>
        <v>CILINDRO MESTRE DE FREIO</v>
      </c>
    </row>
    <row r="17" customFormat="false" ht="15" hidden="false" customHeight="true" outlineLevel="0" collapsed="false">
      <c r="A17" s="10" t="s">
        <v>75</v>
      </c>
      <c r="B17" s="10" t="str">
        <f aca="false">IFERROR(VLOOKUP(A17,Pedido!$A:$B,2,0),"")</f>
        <v/>
      </c>
      <c r="C17" s="10" t="str">
        <f aca="false">IF(B17="","NÃO COMPRA","COMPRA")</f>
        <v>NÃO COMPRA</v>
      </c>
      <c r="D17" s="1" t="n">
        <f aca="false">IFERROR(VLOOKUP(A17,Pedido!$A:$C,3,0),0)</f>
        <v>0</v>
      </c>
      <c r="E17" s="5" t="n">
        <f aca="false">IFERROR(VLOOKUP(A17,Pedido!$A:$E,5,0),0)</f>
        <v>0</v>
      </c>
      <c r="F17" s="1" t="s">
        <v>7</v>
      </c>
      <c r="G17" s="1" t="s">
        <v>76</v>
      </c>
      <c r="H17" s="1" t="s">
        <v>35</v>
      </c>
      <c r="I17" s="1" t="s">
        <v>77</v>
      </c>
      <c r="J17" s="1" t="s">
        <v>78</v>
      </c>
      <c r="K17" s="1" t="n">
        <v>3970</v>
      </c>
      <c r="L17" s="11" t="n">
        <v>0.171631419061572</v>
      </c>
      <c r="M17" s="1" t="n">
        <f aca="false">SUMIF(Relatorio_AK!$A:$A,A17,Relatorio_AK!$B:$B)</f>
        <v>3970</v>
      </c>
      <c r="N17" s="1" t="str">
        <f aca="false">IF(M17=K17,"OK","DIF")</f>
        <v>OK</v>
      </c>
      <c r="O17" s="13" t="str">
        <f aca="false">IFERROR(VLOOKUP($A17,Lista_Starke!$A:$E,3,0),"NÃO ESTÁ NA LISTA")</f>
        <v>CITROEN: 208 1.6 16V EC5 12/19
CITROEN: Aircross 1.5 8V TU5 12/19
CITROEN: Aircross 1.6 16V EC5 12/19
CITROEN: C3 1.5 8V TU5 12/18
CITROEN: C3 1.6 16V EC5 12/19
CITROEN: C3 Picasso 1.6 16V EC5 16/19
PEUGEOT: 2008 1.6 16V EC5 13/19
PEUGEOT: 208 1.5 8V TU5 12/19</v>
      </c>
      <c r="P17" s="12" t="str">
        <f aca="false">IFERROR(VLOOKUP($A17,Lista_Starke!$A:$E,2,0),"NÃO ESTÁ NA LISTA")</f>
        <v>CILINDRO MESTRE DE FREIO</v>
      </c>
    </row>
    <row r="18" customFormat="false" ht="15" hidden="false" customHeight="true" outlineLevel="0" collapsed="false">
      <c r="A18" s="10" t="s">
        <v>79</v>
      </c>
      <c r="B18" s="10" t="str">
        <f aca="false">IFERROR(VLOOKUP(A18,Pedido!$A:$B,2,0),"")</f>
        <v/>
      </c>
      <c r="C18" s="10" t="str">
        <f aca="false">IF(B18="","NÃO COMPRA","COMPRA")</f>
        <v>NÃO COMPRA</v>
      </c>
      <c r="D18" s="1" t="n">
        <f aca="false">IFERROR(VLOOKUP(A18,Pedido!$A:$C,3,0),0)</f>
        <v>0</v>
      </c>
      <c r="E18" s="5" t="n">
        <f aca="false">IFERROR(VLOOKUP(A18,Pedido!$A:$E,5,0),0)</f>
        <v>0</v>
      </c>
      <c r="F18" s="1" t="s">
        <v>7</v>
      </c>
      <c r="G18" s="1" t="s">
        <v>65</v>
      </c>
      <c r="H18" s="1" t="s">
        <v>35</v>
      </c>
      <c r="I18" s="1" t="s">
        <v>46</v>
      </c>
      <c r="J18" s="1" t="s">
        <v>80</v>
      </c>
      <c r="K18" s="1" t="n">
        <v>3303</v>
      </c>
      <c r="L18" s="11" t="n">
        <v>0.17727798795467</v>
      </c>
      <c r="M18" s="1" t="n">
        <f aca="false">SUMIF(Relatorio_AK!$A:$A,A18,Relatorio_AK!$B:$B)</f>
        <v>3303</v>
      </c>
      <c r="N18" s="1" t="str">
        <f aca="false">IF(M18=K18,"OK","DIF")</f>
        <v>OK</v>
      </c>
      <c r="O18" s="13" t="str">
        <f aca="false">IFERROR(VLOOKUP($A18,Lista_Starke!$A:$E,3,0),"NÃO ESTÁ NA LISTA")</f>
        <v>FIAT: Elba  91/96
FIAT: Fiorino  91/93
FIAT: Prêmio  91/96
FIAT: Uno  11/...
FIAT: Uno  87/91
FIAT: Uno  91/10</v>
      </c>
      <c r="P18" s="12" t="str">
        <f aca="false">IFERROR(VLOOKUP($A18,Lista_Starke!$A:$E,2,0),"NÃO ESTÁ NA LISTA")</f>
        <v>CILINDRO MESTRE DE FREIO</v>
      </c>
    </row>
    <row r="19" customFormat="false" ht="15" hidden="false" customHeight="true" outlineLevel="0" collapsed="false">
      <c r="A19" s="10" t="s">
        <v>81</v>
      </c>
      <c r="B19" s="10" t="str">
        <f aca="false">IFERROR(VLOOKUP(A19,Pedido!$A:$B,2,0),"")</f>
        <v/>
      </c>
      <c r="C19" s="10" t="str">
        <f aca="false">IF(B19="","NÃO COMPRA","COMPRA")</f>
        <v>NÃO COMPRA</v>
      </c>
      <c r="D19" s="1" t="n">
        <f aca="false">IFERROR(VLOOKUP(A19,Pedido!$A:$C,3,0),0)</f>
        <v>0</v>
      </c>
      <c r="E19" s="5" t="n">
        <f aca="false">IFERROR(VLOOKUP(A19,Pedido!$A:$E,5,0),0)</f>
        <v>0</v>
      </c>
      <c r="F19" s="1" t="s">
        <v>7</v>
      </c>
      <c r="G19" s="1" t="s">
        <v>41</v>
      </c>
      <c r="H19" s="1" t="s">
        <v>35</v>
      </c>
      <c r="I19" s="1" t="s">
        <v>42</v>
      </c>
      <c r="J19" s="1" t="s">
        <v>82</v>
      </c>
      <c r="K19" s="1" t="n">
        <v>3257</v>
      </c>
      <c r="L19" s="11" t="n">
        <v>0.182845918588888</v>
      </c>
      <c r="M19" s="1" t="n">
        <f aca="false">SUMIF(Relatorio_AK!$A:$A,A19,Relatorio_AK!$B:$B)</f>
        <v>3257</v>
      </c>
      <c r="N19" s="1" t="str">
        <f aca="false">IF(M19=K19,"OK","DIF")</f>
        <v>OK</v>
      </c>
      <c r="O19" s="13" t="str">
        <f aca="false">IFERROR(VLOOKUP($A19,Lista_Starke!$A:$E,3,0),"NÃO ESTÁ NA LISTA")</f>
        <v>RENAULT: Logan 1.0 16V 13/16
RENAULT: Logan 1.0 3 cil 16/...
RENAULT: Logan 1.6 16V 13/16
RENAULT: Logan 1.6 16V 16/...
RENAULT: Sandero 1.0 16V 14/16
RENAULT: Sandero 1.0 3 cil 16/...
RENAULT: Sandero 1.6 16V 14/16
RENAULT: Sandero 1.6 16V 16/...</v>
      </c>
      <c r="P19" s="12" t="str">
        <f aca="false">IFERROR(VLOOKUP($A19,Lista_Starke!$A:$E,2,0),"NÃO ESTÁ NA LISTA")</f>
        <v>CILINDRO MESTRE DE FREIO</v>
      </c>
    </row>
    <row r="20" customFormat="false" ht="15" hidden="false" customHeight="true" outlineLevel="0" collapsed="false">
      <c r="A20" s="10" t="s">
        <v>83</v>
      </c>
      <c r="B20" s="10" t="str">
        <f aca="false">IFERROR(VLOOKUP(A20,Pedido!$A:$B,2,0),"")</f>
        <v/>
      </c>
      <c r="C20" s="10" t="str">
        <f aca="false">IF(B20="","NÃO COMPRA","COMPRA")</f>
        <v>NÃO COMPRA</v>
      </c>
      <c r="D20" s="1" t="n">
        <f aca="false">IFERROR(VLOOKUP(A20,Pedido!$A:$C,3,0),0)</f>
        <v>0</v>
      </c>
      <c r="E20" s="5" t="n">
        <f aca="false">IFERROR(VLOOKUP(A20,Pedido!$A:$E,5,0),0)</f>
        <v>0</v>
      </c>
      <c r="F20" s="1" t="s">
        <v>7</v>
      </c>
      <c r="G20" s="1" t="s">
        <v>34</v>
      </c>
      <c r="H20" s="1" t="s">
        <v>35</v>
      </c>
      <c r="I20" s="1" t="s">
        <v>36</v>
      </c>
      <c r="K20" s="1" t="n">
        <v>3160</v>
      </c>
      <c r="L20" s="11" t="n">
        <v>0.188248025068509</v>
      </c>
      <c r="M20" s="1" t="n">
        <f aca="false">SUMIF(Relatorio_AK!$A:$A,A20,Relatorio_AK!$B:$B)</f>
        <v>3160</v>
      </c>
      <c r="N20" s="1" t="str">
        <f aca="false">IF(M20=K20,"OK","DIF")</f>
        <v>OK</v>
      </c>
      <c r="O20" s="13" t="str">
        <f aca="false">IFERROR(VLOOKUP($A20,Lista_Starke!$A:$E,3,0),"NÃO ESTÁ NA LISTA")</f>
        <v>VOLKSWAGEN: Gol G6 1.0 / 1.6 13/...
VOLKSWAGEN: Saveiro G6 1.6 13/...
VOLKSWAGEN: Voyage G6 1.0 / 1.6 13/...</v>
      </c>
      <c r="P20" s="12" t="str">
        <f aca="false">IFERROR(VLOOKUP($A20,Lista_Starke!$A:$E,2,0),"NÃO ESTÁ NA LISTA")</f>
        <v>CILINDRO MESTRE DE FREIO</v>
      </c>
    </row>
    <row r="21" customFormat="false" ht="15" hidden="false" customHeight="true" outlineLevel="0" collapsed="false">
      <c r="A21" s="10" t="s">
        <v>84</v>
      </c>
      <c r="B21" s="10" t="str">
        <f aca="false">IFERROR(VLOOKUP(A21,Pedido!$A:$B,2,0),"")</f>
        <v/>
      </c>
      <c r="C21" s="10" t="str">
        <f aca="false">IF(B21="","NÃO COMPRA","COMPRA")</f>
        <v>NÃO COMPRA</v>
      </c>
      <c r="D21" s="1" t="n">
        <f aca="false">IFERROR(VLOOKUP(A21,Pedido!$A:$C,3,0),0)</f>
        <v>0</v>
      </c>
      <c r="E21" s="5" t="n">
        <f aca="false">IFERROR(VLOOKUP(A21,Pedido!$A:$E,5,0),0)</f>
        <v>0</v>
      </c>
      <c r="F21" s="1" t="s">
        <v>7</v>
      </c>
      <c r="G21" s="1" t="s">
        <v>34</v>
      </c>
      <c r="H21" s="1" t="s">
        <v>35</v>
      </c>
      <c r="I21" s="1" t="s">
        <v>36</v>
      </c>
      <c r="J21" s="1" t="s">
        <v>85</v>
      </c>
      <c r="K21" s="1" t="n">
        <v>3118</v>
      </c>
      <c r="L21" s="11" t="n">
        <v>0.193578331398718</v>
      </c>
      <c r="M21" s="1" t="n">
        <f aca="false">SUMIF(Relatorio_AK!$A:$A,A21,Relatorio_AK!$B:$B)</f>
        <v>3118</v>
      </c>
      <c r="N21" s="1" t="str">
        <f aca="false">IF(M21=K21,"OK","DIF")</f>
        <v>OK</v>
      </c>
      <c r="O21" s="13" t="str">
        <f aca="false">IFERROR(VLOOKUP($A21,Lista_Starke!$A:$E,3,0),"NÃO ESTÁ NA LISTA")</f>
        <v>VOLKSWAGEN: Crossfox  05/...
VOLKSWAGEN: Fox  04/...
VOLKSWAGEN: Polo  02/...
VOLKSWAGEN: Space Cross  12/...
VOLKSWAGEN: Spacefox  06/...</v>
      </c>
      <c r="P21" s="12" t="str">
        <f aca="false">IFERROR(VLOOKUP($A21,Lista_Starke!$A:$E,2,0),"NÃO ESTÁ NA LISTA")</f>
        <v>CILINDRO MESTRE DE FREIO</v>
      </c>
    </row>
    <row r="22" customFormat="false" ht="15" hidden="false" customHeight="true" outlineLevel="0" collapsed="false">
      <c r="A22" s="10" t="s">
        <v>86</v>
      </c>
      <c r="B22" s="10" t="str">
        <f aca="false">IFERROR(VLOOKUP(A22,Pedido!$A:$B,2,0),"")</f>
        <v/>
      </c>
      <c r="C22" s="10" t="str">
        <f aca="false">IF(B22="","NÃO COMPRA","COMPRA")</f>
        <v>NÃO COMPRA</v>
      </c>
      <c r="D22" s="1" t="n">
        <f aca="false">IFERROR(VLOOKUP(A22,Pedido!$A:$C,3,0),0)</f>
        <v>0</v>
      </c>
      <c r="E22" s="5" t="n">
        <f aca="false">IFERROR(VLOOKUP(A22,Pedido!$A:$E,5,0),0)</f>
        <v>0</v>
      </c>
      <c r="F22" s="1" t="s">
        <v>7</v>
      </c>
      <c r="G22" s="1" t="s">
        <v>87</v>
      </c>
      <c r="H22" s="1" t="s">
        <v>88</v>
      </c>
      <c r="I22" s="1" t="s">
        <v>89</v>
      </c>
      <c r="J22" s="1" t="s">
        <v>90</v>
      </c>
      <c r="K22" s="1" t="n">
        <v>3108</v>
      </c>
      <c r="L22" s="11" t="n">
        <v>0.198891542455257</v>
      </c>
      <c r="M22" s="1" t="n">
        <f aca="false">SUMIF(Relatorio_AK!$A:$A,A22,Relatorio_AK!$B:$B)</f>
        <v>3108</v>
      </c>
      <c r="N22" s="1" t="str">
        <f aca="false">IF(M22=K22,"OK","DIF")</f>
        <v>OK</v>
      </c>
      <c r="O22" s="13" t="str">
        <f aca="false">IFERROR(VLOOKUP($A22,Lista_Starke!$A:$E,3,0),"NÃO ESTÁ NA LISTA")</f>
        <v>RENAULT: Clio 1.0 16V 12/...
RENAULT: Logan 1.6 8V / 1.6 16V 07/13
RENAULT: Sandero 1.6 8V / 1.6 16V 07/13
RENAULT: Symbol 1.6 8V 09/13
VOLKSWAGEN: Gol 1.0 12V 3cil 16/...
VOLKSWAGEN: Gol 1.0 8V / 1.6 8V 15/...
VOLKSWAGEN: Up 1.0 12V 14/...
VOLKSWAGEN: Up 1.0 12V 3cil TSI 14/...
VOLKSWAGEN: Voyage 1.6 8V 16/...</v>
      </c>
      <c r="P22" s="12" t="str">
        <f aca="false">IFERROR(VLOOKUP($A22,Lista_Starke!$A:$E,2,0),"NÃO ESTÁ NA LISTA")</f>
        <v>CILINDRO DE RODA LE/LD</v>
      </c>
    </row>
    <row r="23" customFormat="false" ht="15" hidden="false" customHeight="true" outlineLevel="0" collapsed="false">
      <c r="A23" s="10" t="s">
        <v>91</v>
      </c>
      <c r="B23" s="10" t="str">
        <f aca="false">IFERROR(VLOOKUP(A23,Pedido!$A:$B,2,0),"")</f>
        <v/>
      </c>
      <c r="C23" s="10" t="str">
        <f aca="false">IF(B23="","NÃO COMPRA","COMPRA")</f>
        <v>NÃO COMPRA</v>
      </c>
      <c r="D23" s="1" t="n">
        <f aca="false">IFERROR(VLOOKUP(A23,Pedido!$A:$C,3,0),0)</f>
        <v>0</v>
      </c>
      <c r="E23" s="5" t="n">
        <f aca="false">IFERROR(VLOOKUP(A23,Pedido!$A:$E,5,0),0)</f>
        <v>0</v>
      </c>
      <c r="F23" s="1" t="s">
        <v>7</v>
      </c>
      <c r="G23" s="1" t="s">
        <v>92</v>
      </c>
      <c r="H23" s="1" t="s">
        <v>88</v>
      </c>
      <c r="I23" s="1" t="s">
        <v>57</v>
      </c>
      <c r="J23" s="1" t="s">
        <v>93</v>
      </c>
      <c r="K23" s="1" t="n">
        <v>3004</v>
      </c>
      <c r="L23" s="11" t="n">
        <v>0.204026962665632</v>
      </c>
      <c r="M23" s="1" t="n">
        <f aca="false">SUMIF(Relatorio_AK!$A:$A,A23,Relatorio_AK!$B:$B)</f>
        <v>3004</v>
      </c>
      <c r="N23" s="1" t="str">
        <f aca="false">IF(M23=K23,"OK","DIF")</f>
        <v>OK</v>
      </c>
      <c r="O23" s="13" t="str">
        <f aca="false">IFERROR(VLOOKUP($A23,Lista_Starke!$A:$E,3,0),"NÃO ESTÁ NA LISTA")</f>
        <v>GM: Astra 2.0 8V 05/11
GM: Montana 1.4 8V / 1.8 8V 04/...
GM: Montana 1.4 8V / 1.8 8V 08/...
GM: Vectra 2.0 8V / 2.4 16V 06/11
GM: Zafira 2.0 8V 05/12</v>
      </c>
      <c r="P23" s="12" t="str">
        <f aca="false">IFERROR(VLOOKUP($A23,Lista_Starke!$A:$E,2,0),"NÃO ESTÁ NA LISTA")</f>
        <v>CILINDRO DE RODA LE/LD</v>
      </c>
    </row>
    <row r="24" customFormat="false" ht="15" hidden="false" customHeight="true" outlineLevel="0" collapsed="false">
      <c r="A24" s="10" t="s">
        <v>94</v>
      </c>
      <c r="B24" s="10" t="str">
        <f aca="false">IFERROR(VLOOKUP(A24,Pedido!$A:$B,2,0),"")</f>
        <v/>
      </c>
      <c r="C24" s="10" t="str">
        <f aca="false">IF(B24="","NÃO COMPRA","COMPRA")</f>
        <v>NÃO COMPRA</v>
      </c>
      <c r="D24" s="1" t="n">
        <f aca="false">IFERROR(VLOOKUP(A24,Pedido!$A:$C,3,0),0)</f>
        <v>0</v>
      </c>
      <c r="E24" s="5" t="n">
        <f aca="false">IFERROR(VLOOKUP(A24,Pedido!$A:$E,5,0),0)</f>
        <v>0</v>
      </c>
      <c r="F24" s="1" t="s">
        <v>7</v>
      </c>
      <c r="G24" s="1" t="s">
        <v>95</v>
      </c>
      <c r="H24" s="1" t="s">
        <v>96</v>
      </c>
      <c r="I24" s="1" t="s">
        <v>97</v>
      </c>
      <c r="K24" s="1" t="n">
        <v>2917</v>
      </c>
      <c r="L24" s="11" t="n">
        <v>0.20901365399508</v>
      </c>
      <c r="M24" s="1" t="n">
        <f aca="false">SUMIF(Relatorio_AK!$A:$A,A24,Relatorio_AK!$B:$B)</f>
        <v>2917</v>
      </c>
      <c r="N24" s="1" t="str">
        <f aca="false">IF(M24=K24,"OK","DIF")</f>
        <v>OK</v>
      </c>
      <c r="O24" s="13" t="str">
        <f aca="false">IFERROR(VLOOKUP($A24,Lista_Starke!$A:$E,3,0),"NÃO ESTÁ NA LISTA")</f>
        <v>FIAT: Toro 2.0 16V JTD Diesel 16/…
JEEP: Commander 2.0 16V Turbo Diesel 21/...
JEEP: Compass 2.0 16V JTD Diesel 16/…
JEEP: Renegade 2.0 16V JTD Diesel 16/…</v>
      </c>
      <c r="P24" s="12" t="str">
        <f aca="false">IFERROR(VLOOKUP($A24,Lista_Starke!$A:$E,2,0),"NÃO ESTÁ NA LISTA")</f>
        <v>BOMBA DE VÁCUO</v>
      </c>
    </row>
    <row r="25" customFormat="false" ht="15" hidden="false" customHeight="true" outlineLevel="0" collapsed="false">
      <c r="A25" s="10" t="s">
        <v>98</v>
      </c>
      <c r="B25" s="10" t="str">
        <f aca="false">IFERROR(VLOOKUP(A25,Pedido!$A:$B,2,0),"")</f>
        <v>SCC 2029</v>
      </c>
      <c r="C25" s="10" t="str">
        <f aca="false">IF(B25="","NÃO COMPRA","COMPRA")</f>
        <v>COMPRA</v>
      </c>
      <c r="D25" s="1" t="n">
        <f aca="false">IFERROR(VLOOKUP(A25,Pedido!$A:$C,3,0),0)</f>
        <v>4</v>
      </c>
      <c r="E25" s="5" t="n">
        <f aca="false">IFERROR(VLOOKUP(A25,Pedido!$A:$E,5,0),0)</f>
        <v>453.6</v>
      </c>
      <c r="F25" s="1" t="s">
        <v>7</v>
      </c>
      <c r="G25" s="1" t="s">
        <v>62</v>
      </c>
      <c r="H25" s="1" t="s">
        <v>32</v>
      </c>
      <c r="I25" s="1" t="s">
        <v>42</v>
      </c>
      <c r="J25" s="1" t="s">
        <v>99</v>
      </c>
      <c r="K25" s="1" t="n">
        <v>2843</v>
      </c>
      <c r="L25" s="11" t="n">
        <v>0.213873840299372</v>
      </c>
      <c r="M25" s="1" t="n">
        <f aca="false">SUMIF(Relatorio_AK!$A:$A,A25,Relatorio_AK!$B:$B)</f>
        <v>2843</v>
      </c>
      <c r="N25" s="1" t="str">
        <f aca="false">IF(M25=K25,"OK","DIF")</f>
        <v>OK</v>
      </c>
      <c r="O25" s="13" t="str">
        <f aca="false">IFERROR(VLOOKUP($A25,Lista_Starke!$A:$E,3,0),"NÃO ESTÁ NA LISTA")</f>
        <v>RENAULT: Duster 1.6 16V 12/...
RENAULT: Duster 2.0 16V F4R830 12/...</v>
      </c>
      <c r="P25" s="12" t="str">
        <f aca="false">IFERROR(VLOOKUP($A25,Lista_Starke!$A:$E,2,0),"NÃO ESTÁ NA LISTA")</f>
        <v>CILINDRO MESTRE DE EMBREAGEM</v>
      </c>
    </row>
    <row r="26" customFormat="false" ht="15" hidden="false" customHeight="true" outlineLevel="0" collapsed="false">
      <c r="A26" s="10" t="s">
        <v>100</v>
      </c>
      <c r="B26" s="10" t="str">
        <f aca="false">IFERROR(VLOOKUP(A26,Pedido!$A:$B,2,0),"")</f>
        <v/>
      </c>
      <c r="C26" s="10" t="str">
        <f aca="false">IF(B26="","NÃO COMPRA","COMPRA")</f>
        <v>NÃO COMPRA</v>
      </c>
      <c r="D26" s="1" t="n">
        <f aca="false">IFERROR(VLOOKUP(A26,Pedido!$A:$C,3,0),0)</f>
        <v>0</v>
      </c>
      <c r="E26" s="5" t="n">
        <f aca="false">IFERROR(VLOOKUP(A26,Pedido!$A:$E,5,0),0)</f>
        <v>0</v>
      </c>
      <c r="F26" s="1" t="s">
        <v>7</v>
      </c>
      <c r="G26" s="1" t="s">
        <v>41</v>
      </c>
      <c r="H26" s="1" t="s">
        <v>35</v>
      </c>
      <c r="I26" s="1" t="s">
        <v>42</v>
      </c>
      <c r="J26" s="1" t="s">
        <v>101</v>
      </c>
      <c r="K26" s="1" t="n">
        <v>2757</v>
      </c>
      <c r="L26" s="11" t="n">
        <v>0.218587007250106</v>
      </c>
      <c r="M26" s="1" t="n">
        <f aca="false">SUMIF(Relatorio_AK!$A:$A,A26,Relatorio_AK!$B:$B)</f>
        <v>2757</v>
      </c>
      <c r="N26" s="1" t="str">
        <f aca="false">IF(M26=K26,"OK","DIF")</f>
        <v>OK</v>
      </c>
      <c r="O26" s="13" t="str">
        <f aca="false">IFERROR(VLOOKUP($A26,Lista_Starke!$A:$E,3,0),"NÃO ESTÁ NA LISTA")</f>
        <v>RENAULT: Logan 1.0 / 1.6 07/11
RENAULT: Logan 1.0 / 1.6 12/...
RENAULT: Sandero 1.0 / 1.6 07/11
RENAULT: Sandero 1.0 / 1.6 12/...</v>
      </c>
      <c r="P26" s="12" t="str">
        <f aca="false">IFERROR(VLOOKUP($A26,Lista_Starke!$A:$E,2,0),"NÃO ESTÁ NA LISTA")</f>
        <v>CILINDRO MESTRE DE FREIO</v>
      </c>
    </row>
    <row r="27" customFormat="false" ht="15" hidden="false" customHeight="true" outlineLevel="0" collapsed="false">
      <c r="A27" s="10" t="s">
        <v>102</v>
      </c>
      <c r="B27" s="10" t="str">
        <f aca="false">IFERROR(VLOOKUP(A27,Pedido!$A:$B,2,0),"")</f>
        <v/>
      </c>
      <c r="C27" s="10" t="str">
        <f aca="false">IF(B27="","NÃO COMPRA","COMPRA")</f>
        <v>NÃO COMPRA</v>
      </c>
      <c r="D27" s="1" t="n">
        <f aca="false">IFERROR(VLOOKUP(A27,Pedido!$A:$C,3,0),0)</f>
        <v>0</v>
      </c>
      <c r="E27" s="5" t="n">
        <f aca="false">IFERROR(VLOOKUP(A27,Pedido!$A:$E,5,0),0)</f>
        <v>0</v>
      </c>
      <c r="F27" s="1" t="s">
        <v>7</v>
      </c>
      <c r="G27" s="1" t="s">
        <v>52</v>
      </c>
      <c r="H27" s="1" t="s">
        <v>35</v>
      </c>
      <c r="I27" s="1" t="s">
        <v>53</v>
      </c>
      <c r="J27" s="1" t="s">
        <v>103</v>
      </c>
      <c r="K27" s="1" t="n">
        <v>2683</v>
      </c>
      <c r="L27" s="11" t="n">
        <v>0.223173669175683</v>
      </c>
      <c r="M27" s="1" t="n">
        <f aca="false">SUMIF(Relatorio_AK!$A:$A,A27,Relatorio_AK!$B:$B)</f>
        <v>2683</v>
      </c>
      <c r="N27" s="1" t="str">
        <f aca="false">IF(M27=K27,"OK","DIF")</f>
        <v>OK</v>
      </c>
      <c r="O27" s="13" t="str">
        <f aca="false">IFERROR(VLOOKUP($A27,Lista_Starke!$A:$E,3,0),"NÃO ESTÁ NA LISTA")</f>
        <v>FORD: Fiesta 1.0 / 1.3 96/02
FORD: Fiesta 1.0 01/07
FORD: Ka 1.0 08/13</v>
      </c>
      <c r="P27" s="12" t="str">
        <f aca="false">IFERROR(VLOOKUP($A27,Lista_Starke!$A:$E,2,0),"NÃO ESTÁ NA LISTA")</f>
        <v>CILINDRO MESTRE DE FREIO</v>
      </c>
    </row>
    <row r="28" customFormat="false" ht="15" hidden="false" customHeight="true" outlineLevel="0" collapsed="false">
      <c r="A28" s="10" t="s">
        <v>104</v>
      </c>
      <c r="B28" s="10" t="str">
        <f aca="false">IFERROR(VLOOKUP(A28,Pedido!$A:$B,2,0),"")</f>
        <v/>
      </c>
      <c r="C28" s="10" t="str">
        <f aca="false">IF(B28="","NÃO COMPRA","COMPRA")</f>
        <v>NÃO COMPRA</v>
      </c>
      <c r="D28" s="1" t="n">
        <f aca="false">IFERROR(VLOOKUP(A28,Pedido!$A:$C,3,0),0)</f>
        <v>0</v>
      </c>
      <c r="E28" s="5" t="n">
        <f aca="false">IFERROR(VLOOKUP(A28,Pedido!$A:$E,5,0),0)</f>
        <v>0</v>
      </c>
      <c r="F28" s="1" t="s">
        <v>7</v>
      </c>
      <c r="G28" s="1" t="s">
        <v>105</v>
      </c>
      <c r="H28" s="1" t="s">
        <v>88</v>
      </c>
      <c r="I28" s="1" t="s">
        <v>46</v>
      </c>
      <c r="J28" s="1" t="s">
        <v>106</v>
      </c>
      <c r="K28" s="1" t="n">
        <v>2549</v>
      </c>
      <c r="L28" s="11" t="n">
        <v>0.227531254434087</v>
      </c>
      <c r="M28" s="1" t="n">
        <f aca="false">SUMIF(Relatorio_AK!$A:$A,A28,Relatorio_AK!$B:$B)</f>
        <v>2549</v>
      </c>
      <c r="N28" s="1" t="str">
        <f aca="false">IF(M28=K28,"OK","DIF")</f>
        <v>OK</v>
      </c>
      <c r="O28" s="13" t="str">
        <f aca="false">IFERROR(VLOOKUP($A28,Lista_Starke!$A:$E,3,0),"NÃO ESTÁ NA LISTA")</f>
        <v>FIAT: Brava 1.8 16V 99/07
FIAT: Doblo 1.3 16V / 1.6 16V 02/...
FIAT: Doblo 1.8 16V 14/...
FIAT: Doblo 1.8 8V 08/...
FIAT: Fiorino 1.0 8V FIASA 94/95
FIAT: Fiorino 1.5 8V Sevel 88/93
FIAT: Idea 1.4 8V 06/12
FIAT: Idea 1.6 16V Etorq 11/16
FIAT: Idea 1.8 16V Etorq 11/16
FIAT: Idea 1.8 8V Powertrain 09/10
FIAT: Marea / Marea Weekend 2.0 20V / 2.4 20V 99/07
FIAT: Palio Weekend 1.4 8V 08/...
FIAT: Palio Weekend 1.4 8V 08/12
FIAT: Palio Weekend 1.6 16V Etorq 11/...
FIAT: Palio Weekend 1.8 8V Powertrain 04/...
FIAT: Stilo 1.8 16V 02/05
FIAT: Stilo 1.8 8V 02/...
FIAT: Strada 1.3 8V 03/...
FIAT: Strada 1.4 8V 08/...
FIAT: Strada 1.4 8V 09/12
FIAT: Strada 1.6 16V 98/...
FIAT: Strada 1.8 8V 08/...
FIAT: Tempra 2.0 8V / 2.0 16V 94/98</v>
      </c>
      <c r="P28" s="12" t="str">
        <f aca="false">IFERROR(VLOOKUP($A28,Lista_Starke!$A:$E,2,0),"NÃO ESTÁ NA LISTA")</f>
        <v>CILINDRO DE RODA LE/LD</v>
      </c>
    </row>
    <row r="29" customFormat="false" ht="15" hidden="false" customHeight="true" outlineLevel="0" collapsed="false">
      <c r="A29" s="10" t="s">
        <v>107</v>
      </c>
      <c r="B29" s="10" t="str">
        <f aca="false">IFERROR(VLOOKUP(A29,Pedido!$A:$B,2,0),"")</f>
        <v/>
      </c>
      <c r="C29" s="10" t="str">
        <f aca="false">IF(B29="","NÃO COMPRA","COMPRA")</f>
        <v>NÃO COMPRA</v>
      </c>
      <c r="D29" s="1" t="n">
        <f aca="false">IFERROR(VLOOKUP(A29,Pedido!$A:$C,3,0),0)</f>
        <v>0</v>
      </c>
      <c r="E29" s="5" t="n">
        <f aca="false">IFERROR(VLOOKUP(A29,Pedido!$A:$E,5,0),0)</f>
        <v>0</v>
      </c>
      <c r="F29" s="1" t="s">
        <v>7</v>
      </c>
      <c r="G29" s="1" t="s">
        <v>62</v>
      </c>
      <c r="H29" s="1" t="s">
        <v>32</v>
      </c>
      <c r="I29" s="1" t="s">
        <v>42</v>
      </c>
      <c r="K29" s="1" t="n">
        <v>2503</v>
      </c>
      <c r="L29" s="11" t="n">
        <v>0.23181020143361</v>
      </c>
      <c r="M29" s="1" t="n">
        <f aca="false">SUMIF(Relatorio_AK!$A:$A,A29,Relatorio_AK!$B:$B)</f>
        <v>2503</v>
      </c>
      <c r="N29" s="1" t="str">
        <f aca="false">IF(M29=K29,"OK","DIF")</f>
        <v>OK</v>
      </c>
      <c r="O29" s="13" t="str">
        <f aca="false">IFERROR(VLOOKUP($A29,Lista_Starke!$A:$E,3,0),"NÃO ESTÁ NA LISTA")</f>
        <v>RENAULT: Logan 1.0 12V B4D 17/...
RENAULT: Logan 1.6 8V K7M 14/...
RENAULT: Sandero 1.0 12V B4D 17/...
RENAULT: Sandero 1.6 8V K7M 14/...</v>
      </c>
      <c r="P29" s="12" t="str">
        <f aca="false">IFERROR(VLOOKUP($A29,Lista_Starke!$A:$E,2,0),"NÃO ESTÁ NA LISTA")</f>
        <v>CILINDRO MESTRE DE EMBREAGEM</v>
      </c>
    </row>
    <row r="30" customFormat="false" ht="15" hidden="false" customHeight="true" outlineLevel="0" collapsed="false">
      <c r="A30" s="10" t="s">
        <v>108</v>
      </c>
      <c r="B30" s="10" t="str">
        <f aca="false">IFERROR(VLOOKUP(A30,Pedido!$A:$B,2,0),"")</f>
        <v/>
      </c>
      <c r="C30" s="10" t="str">
        <f aca="false">IF(B30="","NÃO COMPRA","COMPRA")</f>
        <v>NÃO COMPRA</v>
      </c>
      <c r="D30" s="1" t="n">
        <f aca="false">IFERROR(VLOOKUP(A30,Pedido!$A:$C,3,0),0)</f>
        <v>0</v>
      </c>
      <c r="E30" s="5" t="n">
        <f aca="false">IFERROR(VLOOKUP(A30,Pedido!$A:$E,5,0),0)</f>
        <v>0</v>
      </c>
      <c r="F30" s="1" t="s">
        <v>7</v>
      </c>
      <c r="G30" s="1" t="s">
        <v>34</v>
      </c>
      <c r="H30" s="1" t="s">
        <v>35</v>
      </c>
      <c r="I30" s="1" t="s">
        <v>36</v>
      </c>
      <c r="J30" s="1" t="s">
        <v>109</v>
      </c>
      <c r="K30" s="1" t="n">
        <v>2390</v>
      </c>
      <c r="L30" s="11" t="n">
        <v>0.235895971840665</v>
      </c>
      <c r="M30" s="1" t="n">
        <f aca="false">SUMIF(Relatorio_AK!$A:$A,A30,Relatorio_AK!$B:$B)</f>
        <v>2390</v>
      </c>
      <c r="N30" s="1" t="str">
        <f aca="false">IF(M30=K30,"OK","DIF")</f>
        <v>OK</v>
      </c>
      <c r="O30" s="13" t="str">
        <f aca="false">IFERROR(VLOOKUP($A30,Lista_Starke!$A:$E,3,0),"NÃO ESTÁ NA LISTA")</f>
        <v>VOLKSWAGEN: Gol G1  85/96
VOLKSWAGEN: Gol G2 1.0 / 1.6 / 1.8 95/01
VOLKSWAGEN: Gol G2 1.0 02/05
VOLKSWAGEN: Gol G3 1.0 / 1.6 / 1.8 00
VOLKSWAGEN: Parati G1  85/96
VOLKSWAGEN: Saveiro G1  85/97
VOLKSWAGEN: Voyage G1  85/96</v>
      </c>
      <c r="P30" s="12" t="str">
        <f aca="false">IFERROR(VLOOKUP($A30,Lista_Starke!$A:$E,2,0),"NÃO ESTÁ NA LISTA")</f>
        <v>CILINDRO MESTRE DE FREIO</v>
      </c>
    </row>
    <row r="31" customFormat="false" ht="15" hidden="false" customHeight="true" outlineLevel="0" collapsed="false">
      <c r="A31" s="10" t="s">
        <v>110</v>
      </c>
      <c r="B31" s="10" t="str">
        <f aca="false">IFERROR(VLOOKUP(A31,Pedido!$A:$B,2,0),"")</f>
        <v/>
      </c>
      <c r="C31" s="10" t="str">
        <f aca="false">IF(B31="","NÃO COMPRA","COMPRA")</f>
        <v>NÃO COMPRA</v>
      </c>
      <c r="D31" s="1" t="n">
        <f aca="false">IFERROR(VLOOKUP(A31,Pedido!$A:$C,3,0),0)</f>
        <v>0</v>
      </c>
      <c r="E31" s="5" t="n">
        <f aca="false">IFERROR(VLOOKUP(A31,Pedido!$A:$E,5,0),0)</f>
        <v>0</v>
      </c>
      <c r="F31" s="1" t="s">
        <v>7</v>
      </c>
      <c r="G31" s="1" t="s">
        <v>56</v>
      </c>
      <c r="H31" s="1" t="s">
        <v>35</v>
      </c>
      <c r="I31" s="1" t="s">
        <v>57</v>
      </c>
      <c r="K31" s="1" t="n">
        <v>2389</v>
      </c>
      <c r="L31" s="11" t="n">
        <v>0.239980032720354</v>
      </c>
      <c r="M31" s="1" t="n">
        <f aca="false">SUMIF(Relatorio_AK!$A:$A,A31,Relatorio_AK!$B:$B)</f>
        <v>2389</v>
      </c>
      <c r="N31" s="1" t="str">
        <f aca="false">IF(M31=K31,"OK","DIF")</f>
        <v>OK</v>
      </c>
      <c r="O31" s="13" t="str">
        <f aca="false">IFERROR(VLOOKUP($A31,Lista_Starke!$A:$E,3,0),"NÃO ESTÁ NA LISTA")</f>
        <v>GM: Cobalt 1.8 8V 13/...
GM: Cobalt 1.8 8V 17/...
GM: Onix 1.0 8V / 1.4 8V 13/...
GM: Onix 1.0 8V / 1.4 8V 17/...
GM: Prisma 1.0 8V / 1.4 8V 13/...
GM: Prisma 1.0 8V / 1.4 8V 17/...</v>
      </c>
      <c r="P31" s="12" t="str">
        <f aca="false">IFERROR(VLOOKUP($A31,Lista_Starke!$A:$E,2,0),"NÃO ESTÁ NA LISTA")</f>
        <v>CILINDRO MESTRE DE FREIO</v>
      </c>
    </row>
    <row r="32" customFormat="false" ht="15" hidden="false" customHeight="true" outlineLevel="0" collapsed="false">
      <c r="A32" s="10" t="s">
        <v>111</v>
      </c>
      <c r="B32" s="10" t="str">
        <f aca="false">IFERROR(VLOOKUP(A32,Pedido!$A:$B,2,0),"")</f>
        <v/>
      </c>
      <c r="C32" s="10" t="str">
        <f aca="false">IF(B32="","NÃO COMPRA","COMPRA")</f>
        <v>NÃO COMPRA</v>
      </c>
      <c r="D32" s="1" t="n">
        <f aca="false">IFERROR(VLOOKUP(A32,Pedido!$A:$C,3,0),0)</f>
        <v>0</v>
      </c>
      <c r="E32" s="5" t="n">
        <f aca="false">IFERROR(VLOOKUP(A32,Pedido!$A:$E,5,0),0)</f>
        <v>0</v>
      </c>
      <c r="F32" s="1" t="s">
        <v>7</v>
      </c>
      <c r="G32" s="1" t="s">
        <v>92</v>
      </c>
      <c r="H32" s="1" t="s">
        <v>88</v>
      </c>
      <c r="I32" s="1" t="s">
        <v>57</v>
      </c>
      <c r="J32" s="1" t="s">
        <v>112</v>
      </c>
      <c r="K32" s="1" t="n">
        <v>2282</v>
      </c>
      <c r="L32" s="11" t="n">
        <v>0.243881174171777</v>
      </c>
      <c r="M32" s="1" t="n">
        <f aca="false">SUMIF(Relatorio_AK!$A:$A,A32,Relatorio_AK!$B:$B)</f>
        <v>2282</v>
      </c>
      <c r="N32" s="1" t="str">
        <f aca="false">IF(M32=K32,"OK","DIF")</f>
        <v>OK</v>
      </c>
      <c r="O32" s="13" t="str">
        <f aca="false">IFERROR(VLOOKUP($A32,Lista_Starke!$A:$E,3,0),"NÃO ESTÁ NA LISTA")</f>
        <v>GM: Cobalt 1.8 8V 13/...
GM: Cobalt 1.8 8V 17/...
GM: Onix 1.0 8V / 1.4 8V 13/...
GM: Onix 1.0 8V / 1.4 8V 17/...
GM: Prisma 1.0 8V / 1.4 8V 13/...
GM: Prisma 1.0 8V / 1.4 8V 17/...
GM: Sonic 1.6 16V 12/14</v>
      </c>
      <c r="P32" s="12" t="str">
        <f aca="false">IFERROR(VLOOKUP($A32,Lista_Starke!$A:$E,2,0),"NÃO ESTÁ NA LISTA")</f>
        <v>CILINDRO DE RODA LE/LD</v>
      </c>
    </row>
    <row r="33" customFormat="false" ht="15" hidden="false" customHeight="true" outlineLevel="0" collapsed="false">
      <c r="A33" s="10" t="s">
        <v>113</v>
      </c>
      <c r="B33" s="10" t="str">
        <f aca="false">IFERROR(VLOOKUP(A33,Pedido!$A:$B,2,0),"")</f>
        <v/>
      </c>
      <c r="C33" s="10" t="str">
        <f aca="false">IF(B33="","NÃO COMPRA","COMPRA")</f>
        <v>NÃO COMPRA</v>
      </c>
      <c r="D33" s="1" t="n">
        <f aca="false">IFERROR(VLOOKUP(A33,Pedido!$A:$C,3,0),0)</f>
        <v>0</v>
      </c>
      <c r="E33" s="5" t="n">
        <f aca="false">IFERROR(VLOOKUP(A33,Pedido!$A:$E,5,0),0)</f>
        <v>0</v>
      </c>
      <c r="F33" s="1" t="s">
        <v>7</v>
      </c>
      <c r="G33" s="1" t="s">
        <v>114</v>
      </c>
      <c r="H33" s="1" t="s">
        <v>28</v>
      </c>
      <c r="I33" s="1" t="s">
        <v>115</v>
      </c>
      <c r="K33" s="1" t="n">
        <v>2255</v>
      </c>
      <c r="L33" s="11" t="n">
        <v>0.247736158384291</v>
      </c>
      <c r="M33" s="1" t="n">
        <f aca="false">SUMIF(Relatorio_AK!$A:$A,A33,Relatorio_AK!$B:$B)</f>
        <v>2255</v>
      </c>
      <c r="N33" s="1" t="str">
        <f aca="false">IF(M33=K33,"OK","DIF")</f>
        <v>OK</v>
      </c>
      <c r="O33" s="13" t="str">
        <f aca="false">IFERROR(VLOOKUP($A33,Lista_Starke!$A:$E,3,0),"NÃO ESTÁ NA LISTA")</f>
        <v>JAC MOTORS: J2 1.4 16V 11/...
JAC MOTORS: J3 1.4 16V 11/...
JAC MOTORS: J5 1.4 16V 11/...</v>
      </c>
      <c r="P33" s="12" t="str">
        <f aca="false">IFERROR(VLOOKUP($A33,Lista_Starke!$A:$E,2,0),"NÃO ESTÁ NA LISTA")</f>
        <v>CILINDRO AUXILIAR DE EMBREAGEM</v>
      </c>
    </row>
    <row r="34" customFormat="false" ht="15" hidden="false" customHeight="true" outlineLevel="0" collapsed="false">
      <c r="A34" s="10" t="s">
        <v>116</v>
      </c>
      <c r="B34" s="10" t="str">
        <f aca="false">IFERROR(VLOOKUP(A34,Pedido!$A:$B,2,0),"")</f>
        <v/>
      </c>
      <c r="C34" s="10" t="str">
        <f aca="false">IF(B34="","NÃO COMPRA","COMPRA")</f>
        <v>NÃO COMPRA</v>
      </c>
      <c r="D34" s="1" t="n">
        <f aca="false">IFERROR(VLOOKUP(A34,Pedido!$A:$C,3,0),0)</f>
        <v>0</v>
      </c>
      <c r="E34" s="5" t="n">
        <f aca="false">IFERROR(VLOOKUP(A34,Pedido!$A:$E,5,0),0)</f>
        <v>0</v>
      </c>
      <c r="F34" s="1" t="s">
        <v>7</v>
      </c>
      <c r="G34" s="1" t="s">
        <v>117</v>
      </c>
      <c r="H34" s="1" t="s">
        <v>32</v>
      </c>
      <c r="I34" s="1" t="s">
        <v>57</v>
      </c>
      <c r="K34" s="1" t="n">
        <v>2204</v>
      </c>
      <c r="L34" s="11" t="n">
        <v>0.251503956701091</v>
      </c>
      <c r="M34" s="1" t="n">
        <f aca="false">SUMIF(Relatorio_AK!$A:$A,A34,Relatorio_AK!$B:$B)</f>
        <v>2204</v>
      </c>
      <c r="N34" s="1" t="str">
        <f aca="false">IF(M34=K34,"OK","DIF")</f>
        <v>OK</v>
      </c>
      <c r="O34" s="13" t="str">
        <f aca="false">IFERROR(VLOOKUP($A34,Lista_Starke!$A:$E,3,0),"NÃO ESTÁ NA LISTA")</f>
        <v>GM: Onix 1.0 12V 3 cil Aspirado 20/...
GM: Onix 1.0 12V 3 cil Turbo 20/...
GM: Tracker 1.0 12V 3 cil Turbo 20/...
GM: Tracker 1.2 12V 3 cil Turbo 20/...</v>
      </c>
      <c r="P34" s="12" t="str">
        <f aca="false">IFERROR(VLOOKUP($A34,Lista_Starke!$A:$E,2,0),"NÃO ESTÁ NA LISTA")</f>
        <v>CILINDRO MESTRE DE EMBREAGEM</v>
      </c>
    </row>
    <row r="35" customFormat="false" ht="15" hidden="false" customHeight="true" outlineLevel="0" collapsed="false">
      <c r="A35" s="10" t="s">
        <v>118</v>
      </c>
      <c r="B35" s="10" t="str">
        <f aca="false">IFERROR(VLOOKUP(A35,Pedido!$A:$B,2,0),"")</f>
        <v>SWC 5013</v>
      </c>
      <c r="C35" s="10" t="str">
        <f aca="false">IF(B35="","NÃO COMPRA","COMPRA")</f>
        <v>COMPRA</v>
      </c>
      <c r="D35" s="1" t="n">
        <f aca="false">IFERROR(VLOOKUP(A35,Pedido!$A:$C,3,0),0)</f>
        <v>20</v>
      </c>
      <c r="E35" s="5" t="n">
        <f aca="false">IFERROR(VLOOKUP(A35,Pedido!$A:$E,5,0),0)</f>
        <v>637.6</v>
      </c>
      <c r="F35" s="1" t="s">
        <v>7</v>
      </c>
      <c r="G35" s="1" t="s">
        <v>105</v>
      </c>
      <c r="H35" s="1" t="s">
        <v>88</v>
      </c>
      <c r="I35" s="1" t="s">
        <v>46</v>
      </c>
      <c r="J35" s="1" t="s">
        <v>119</v>
      </c>
      <c r="K35" s="1" t="n">
        <v>2162</v>
      </c>
      <c r="L35" s="11" t="n">
        <v>0.255199954868478</v>
      </c>
      <c r="M35" s="1" t="n">
        <f aca="false">SUMIF(Relatorio_AK!$A:$A,A35,Relatorio_AK!$B:$B)</f>
        <v>2162</v>
      </c>
      <c r="N35" s="1" t="str">
        <f aca="false">IF(M35=K35,"OK","DIF")</f>
        <v>OK</v>
      </c>
      <c r="O35" s="13" t="str">
        <f aca="false">IFERROR(VLOOKUP($A35,Lista_Starke!$A:$E,3,0),"NÃO ESTÁ NA LISTA")</f>
        <v>FIAT: Argo 1.0 6V 3cil / 1.3 8V / 1.8 16V 17/...
FIAT: Grand Siena 1.4 8V / 1.6 16V 12/...
FIAT: Palio 1.0 8V / 1.4 8V / 1.6 16V 12/...
FIAT: Uno 1.0 8V 11/...</v>
      </c>
      <c r="P35" s="12" t="str">
        <f aca="false">IFERROR(VLOOKUP($A35,Lista_Starke!$A:$E,2,0),"NÃO ESTÁ NA LISTA")</f>
        <v>CILINDRO DE RODA LE/LD</v>
      </c>
    </row>
    <row r="36" customFormat="false" ht="15" hidden="false" customHeight="true" outlineLevel="0" collapsed="false">
      <c r="A36" s="10" t="s">
        <v>120</v>
      </c>
      <c r="B36" s="10" t="str">
        <f aca="false">IFERROR(VLOOKUP(A36,Pedido!$A:$B,2,0),"")</f>
        <v/>
      </c>
      <c r="C36" s="10" t="str">
        <f aca="false">IF(B36="","NÃO COMPRA","COMPRA")</f>
        <v>NÃO COMPRA</v>
      </c>
      <c r="D36" s="1" t="n">
        <f aca="false">IFERROR(VLOOKUP(A36,Pedido!$A:$C,3,0),0)</f>
        <v>0</v>
      </c>
      <c r="E36" s="5" t="n">
        <f aca="false">IFERROR(VLOOKUP(A36,Pedido!$A:$E,5,0),0)</f>
        <v>0</v>
      </c>
      <c r="F36" s="1" t="s">
        <v>7</v>
      </c>
      <c r="G36" s="1" t="s">
        <v>56</v>
      </c>
      <c r="H36" s="1" t="s">
        <v>35</v>
      </c>
      <c r="I36" s="1" t="s">
        <v>57</v>
      </c>
      <c r="J36" s="1" t="s">
        <v>121</v>
      </c>
      <c r="K36" s="1" t="n">
        <v>2119</v>
      </c>
      <c r="L36" s="11" t="n">
        <v>0.258822443359084</v>
      </c>
      <c r="M36" s="1" t="n">
        <f aca="false">SUMIF(Relatorio_AK!$A:$A,A36,Relatorio_AK!$B:$B)</f>
        <v>2119</v>
      </c>
      <c r="N36" s="1" t="str">
        <f aca="false">IF(M36=K36,"OK","DIF")</f>
        <v>OK</v>
      </c>
      <c r="O36" s="13" t="str">
        <f aca="false">IFERROR(VLOOKUP($A36,Lista_Starke!$A:$E,3,0),"NÃO ESTÁ NA LISTA")</f>
        <v>GM: Agile 1.4 11/...
GM: Corsa Classic 1.0 08/...
GM: Montana 1.4 11/13</v>
      </c>
      <c r="P36" s="12" t="str">
        <f aca="false">IFERROR(VLOOKUP($A36,Lista_Starke!$A:$E,2,0),"NÃO ESTÁ NA LISTA")</f>
        <v>CILINDRO MESTRE DE FREIO</v>
      </c>
    </row>
    <row r="37" customFormat="false" ht="15" hidden="false" customHeight="true" outlineLevel="0" collapsed="false">
      <c r="A37" s="10" t="s">
        <v>122</v>
      </c>
      <c r="B37" s="10" t="str">
        <f aca="false">IFERROR(VLOOKUP(A37,Pedido!$A:$B,2,0),"")</f>
        <v/>
      </c>
      <c r="C37" s="10" t="str">
        <f aca="false">IF(B37="","NÃO COMPRA","COMPRA")</f>
        <v>NÃO COMPRA</v>
      </c>
      <c r="D37" s="1" t="n">
        <f aca="false">IFERROR(VLOOKUP(A37,Pedido!$A:$C,3,0),0)</f>
        <v>0</v>
      </c>
      <c r="E37" s="5" t="n">
        <f aca="false">IFERROR(VLOOKUP(A37,Pedido!$A:$E,5,0),0)</f>
        <v>0</v>
      </c>
      <c r="F37" s="1" t="s">
        <v>7</v>
      </c>
      <c r="G37" s="1" t="s">
        <v>62</v>
      </c>
      <c r="H37" s="1" t="s">
        <v>32</v>
      </c>
      <c r="I37" s="1" t="s">
        <v>42</v>
      </c>
      <c r="J37" s="1" t="s">
        <v>123</v>
      </c>
      <c r="K37" s="1" t="n">
        <v>2113</v>
      </c>
      <c r="L37" s="11" t="n">
        <v>0.26243467468549</v>
      </c>
      <c r="M37" s="1" t="n">
        <f aca="false">SUMIF(Relatorio_AK!$A:$A,A37,Relatorio_AK!$B:$B)</f>
        <v>2113</v>
      </c>
      <c r="N37" s="1" t="str">
        <f aca="false">IF(M37=K37,"OK","DIF")</f>
        <v>OK</v>
      </c>
      <c r="O37" s="13" t="str">
        <f aca="false">IFERROR(VLOOKUP($A37,Lista_Starke!$A:$E,3,0),"NÃO ESTÁ NA LISTA")</f>
        <v>RENAULT: Duster 1.6 16V 13/15
RENAULT: Duster 2.0 16V 13/15</v>
      </c>
      <c r="P37" s="12" t="str">
        <f aca="false">IFERROR(VLOOKUP($A37,Lista_Starke!$A:$E,2,0),"NÃO ESTÁ NA LISTA")</f>
        <v>CILINDRO MESTRE DE EMBREAGEM</v>
      </c>
    </row>
    <row r="38" customFormat="false" ht="15" hidden="false" customHeight="true" outlineLevel="0" collapsed="false">
      <c r="A38" s="10" t="s">
        <v>124</v>
      </c>
      <c r="B38" s="10" t="str">
        <f aca="false">IFERROR(VLOOKUP(A38,Pedido!$A:$B,2,0),"")</f>
        <v/>
      </c>
      <c r="C38" s="10" t="str">
        <f aca="false">IF(B38="","NÃO COMPRA","COMPRA")</f>
        <v>NÃO COMPRA</v>
      </c>
      <c r="D38" s="1" t="n">
        <f aca="false">IFERROR(VLOOKUP(A38,Pedido!$A:$C,3,0),0)</f>
        <v>0</v>
      </c>
      <c r="E38" s="5" t="n">
        <f aca="false">IFERROR(VLOOKUP(A38,Pedido!$A:$E,5,0),0)</f>
        <v>0</v>
      </c>
      <c r="F38" s="1" t="s">
        <v>7</v>
      </c>
      <c r="G38" s="1" t="s">
        <v>125</v>
      </c>
      <c r="H38" s="1" t="s">
        <v>126</v>
      </c>
      <c r="I38" s="1" t="s">
        <v>127</v>
      </c>
      <c r="J38" s="1" t="s">
        <v>128</v>
      </c>
      <c r="K38" s="1" t="n">
        <v>2094</v>
      </c>
      <c r="L38" s="11" t="n">
        <v>0.266014424991922</v>
      </c>
      <c r="M38" s="1" t="n">
        <f aca="false">SUMIF(Relatorio_AK!$A:$A,A38,Relatorio_AK!$B:$B)</f>
        <v>2094</v>
      </c>
      <c r="N38" s="1" t="str">
        <f aca="false">IF(M38=K38,"OK","DIF")</f>
        <v>OK</v>
      </c>
      <c r="O38" s="13" t="str">
        <f aca="false">IFERROR(VLOOKUP($A38,Lista_Starke!$A:$E,3,0),"NÃO ESTÁ NA LISTA")</f>
        <v>BMW: X1 2.0 16V 14/17
BMW: X2 1.5 12V 17/19
BMW: X2 2.0 16V 18/19
FIAT: Argo 1.3 8V 18/...
FIAT: Argo 1.8 16V 17/...
FIAT: Cronos 1.3 8V 18/...
FIAT: Cronos 1.8 16V 18/...
FIAT: Fastback 1.3 16V Turbo 23/...
FIAT: Pulse 1.3 16V Turbo 22/...
FIAT: Toro 1.3 16V Turbo 21/...
FIAT: Toro 1.8 16V 16/...
FIAT: Toro 2.0 16V Diesel 16/...
FIAT: Toro 2.4 16V 16/...
JEEP: Commander 1.3 16V Turbo 22/...
JEEP: Compass 1.3 16V Turbo 21/...
JEEP: Renegade 1.3 16V Turbo 21/...
JEEP: Renegade 1.8 16V 15/...
JEEP: Renegade 2.0 16V Diesel 16/...
MINI: Clubman 2.0 16V 14/19
MINI: Cooper 1.2 12V / 1.5 12V / 2.0 16V 13/19
MINI: Countryman 1.5 12V / 2.0 16V 17/21</v>
      </c>
      <c r="P38" s="12" t="str">
        <f aca="false">IFERROR(VLOOKUP($A38,Lista_Starke!$A:$E,2,0),"NÃO ESTÁ NA LISTA")</f>
        <v>RESFRIADOR DE ÓLEO CÂMBIO</v>
      </c>
    </row>
    <row r="39" customFormat="false" ht="15" hidden="false" customHeight="true" outlineLevel="0" collapsed="false">
      <c r="A39" s="10" t="s">
        <v>129</v>
      </c>
      <c r="B39" s="10" t="str">
        <f aca="false">IFERROR(VLOOKUP(A39,Pedido!$A:$B,2,0),"")</f>
        <v/>
      </c>
      <c r="C39" s="10" t="str">
        <f aca="false">IF(B39="","NÃO COMPRA","COMPRA")</f>
        <v>NÃO COMPRA</v>
      </c>
      <c r="D39" s="1" t="n">
        <f aca="false">IFERROR(VLOOKUP(A39,Pedido!$A:$C,3,0),0)</f>
        <v>0</v>
      </c>
      <c r="E39" s="5" t="n">
        <f aca="false">IFERROR(VLOOKUP(A39,Pedido!$A:$E,5,0),0)</f>
        <v>0</v>
      </c>
      <c r="F39" s="1" t="s">
        <v>7</v>
      </c>
      <c r="G39" s="1" t="s">
        <v>130</v>
      </c>
      <c r="H39" s="1" t="s">
        <v>131</v>
      </c>
      <c r="I39" s="1" t="s">
        <v>46</v>
      </c>
      <c r="J39" s="1" t="s">
        <v>132</v>
      </c>
      <c r="K39" s="1" t="n">
        <v>2065</v>
      </c>
      <c r="L39" s="11" t="n">
        <v>0.269544599004713</v>
      </c>
      <c r="M39" s="1" t="n">
        <f aca="false">SUMIF(Relatorio_AK!$A:$A,A39,Relatorio_AK!$B:$B)</f>
        <v>2065</v>
      </c>
      <c r="N39" s="1" t="str">
        <f aca="false">IF(M39=K39,"OK","DIF")</f>
        <v>OK</v>
      </c>
      <c r="O39" s="13" t="str">
        <f aca="false">IFERROR(VLOOKUP($A39,Lista_Starke!$A:$E,3,0),"NÃO ESTÁ NA LISTA")</f>
        <v>FIAT: Mobi 1.0 12V 16/18
FIAT: Palio 1.0 / 1.3 / 1.5 / 1.6 96/03
FIAT: Palio 1.0 / 1.6 12/...
FIAT: Palio 1.4 09/10
FIAT: Palio 1.8 8V 03/04
FIAT: Palio 1.8 8V 09/10
FIAT: Siena 1.0 / 1.4 13/...
FIAT: Siena 1.0 / 1.6 96/03
FIAT: Uno 1.0 10/...
FIAT: Uno 1.0 Economy 09/...
FIAT: Uno 1.0 Fire 08/...</v>
      </c>
      <c r="P39" s="12" t="str">
        <f aca="false">IFERROR(VLOOKUP($A39,Lista_Starke!$A:$E,2,0),"NÃO ESTÁ NA LISTA")</f>
        <v>SAPATA DE FREIO</v>
      </c>
    </row>
    <row r="40" customFormat="false" ht="15" hidden="false" customHeight="true" outlineLevel="0" collapsed="false">
      <c r="A40" s="10" t="s">
        <v>133</v>
      </c>
      <c r="B40" s="10" t="str">
        <f aca="false">IFERROR(VLOOKUP(A40,Pedido!$A:$B,2,0),"")</f>
        <v>SBC 1117</v>
      </c>
      <c r="C40" s="10" t="str">
        <f aca="false">IF(B40="","NÃO COMPRA","COMPRA")</f>
        <v>COMPRA</v>
      </c>
      <c r="D40" s="1" t="n">
        <f aca="false">IFERROR(VLOOKUP(A40,Pedido!$A:$C,3,0),0)</f>
        <v>6</v>
      </c>
      <c r="E40" s="5" t="n">
        <f aca="false">IFERROR(VLOOKUP(A40,Pedido!$A:$E,5,0),0)</f>
        <v>679.14</v>
      </c>
      <c r="F40" s="1" t="s">
        <v>7</v>
      </c>
      <c r="G40" s="1" t="s">
        <v>56</v>
      </c>
      <c r="H40" s="1" t="s">
        <v>35</v>
      </c>
      <c r="I40" s="1" t="s">
        <v>57</v>
      </c>
      <c r="J40" s="1" t="s">
        <v>134</v>
      </c>
      <c r="K40" s="1" t="n">
        <v>2053</v>
      </c>
      <c r="L40" s="11" t="n">
        <v>0.2730542586891</v>
      </c>
      <c r="M40" s="1" t="n">
        <f aca="false">SUMIF(Relatorio_AK!$A:$A,A40,Relatorio_AK!$B:$B)</f>
        <v>2053</v>
      </c>
      <c r="N40" s="1" t="str">
        <f aca="false">IF(M40=K40,"OK","DIF")</f>
        <v>OK</v>
      </c>
      <c r="O40" s="12" t="str">
        <f aca="false">IFERROR(VLOOKUP($A40,Lista_Starke!$A:$E,3,0),"NÃO ESTÁ NA LISTA")</f>
        <v>GM: Montana 1.4 8V 12/...</v>
      </c>
      <c r="P40" s="12" t="str">
        <f aca="false">IFERROR(VLOOKUP($A40,Lista_Starke!$A:$E,2,0),"NÃO ESTÁ NA LISTA")</f>
        <v>CILINDRO MESTRE DE FREIO</v>
      </c>
    </row>
    <row r="41" customFormat="false" ht="15" hidden="false" customHeight="true" outlineLevel="0" collapsed="false">
      <c r="A41" s="10" t="s">
        <v>135</v>
      </c>
      <c r="B41" s="10" t="str">
        <f aca="false">IFERROR(VLOOKUP(A41,Pedido!$A:$B,2,0),"")</f>
        <v/>
      </c>
      <c r="C41" s="10" t="str">
        <f aca="false">IF(B41="","NÃO COMPRA","COMPRA")</f>
        <v>NÃO COMPRA</v>
      </c>
      <c r="D41" s="1" t="n">
        <f aca="false">IFERROR(VLOOKUP(A41,Pedido!$A:$C,3,0),0)</f>
        <v>0</v>
      </c>
      <c r="E41" s="5" t="n">
        <f aca="false">IFERROR(VLOOKUP(A41,Pedido!$A:$E,5,0),0)</f>
        <v>0</v>
      </c>
      <c r="F41" s="1" t="s">
        <v>7</v>
      </c>
      <c r="G41" s="1" t="s">
        <v>136</v>
      </c>
      <c r="H41" s="1" t="s">
        <v>32</v>
      </c>
      <c r="I41" s="1" t="s">
        <v>137</v>
      </c>
      <c r="K41" s="1" t="n">
        <v>2033</v>
      </c>
      <c r="L41" s="11" t="n">
        <v>0.276529727826148</v>
      </c>
      <c r="M41" s="1" t="n">
        <f aca="false">SUMIF(Relatorio_AK!$A:$A,A41,Relatorio_AK!$B:$B)</f>
        <v>2033</v>
      </c>
      <c r="N41" s="1" t="str">
        <f aca="false">IF(M41=K41,"OK","DIF")</f>
        <v>OK</v>
      </c>
      <c r="O41" s="13" t="str">
        <f aca="false">IFERROR(VLOOKUP($A41,Lista_Starke!$A:$E,3,0),"NÃO ESTÁ NA LISTA")</f>
        <v>CITROEN: Jumper 2.3 16V Diesel   F1 06/
FIAT: Ducato 2.3 16V Multijet Diesel   F1 10/…
FIAT: Ducato 2.8 Turbo Diesel 06/...
PEUGEOT: Boxer 2.3 16V Diesel   F1 06/…</v>
      </c>
      <c r="P41" s="12" t="str">
        <f aca="false">IFERROR(VLOOKUP($A41,Lista_Starke!$A:$E,2,0),"NÃO ESTÁ NA LISTA")</f>
        <v>CILINDRO MESTRE DE EMBREAGEM</v>
      </c>
    </row>
    <row r="42" customFormat="false" ht="15" hidden="false" customHeight="true" outlineLevel="0" collapsed="false">
      <c r="A42" s="10" t="s">
        <v>138</v>
      </c>
      <c r="B42" s="10" t="str">
        <f aca="false">IFERROR(VLOOKUP(A42,Pedido!$A:$B,2,0),"")</f>
        <v/>
      </c>
      <c r="C42" s="10" t="str">
        <f aca="false">IF(B42="","NÃO COMPRA","COMPRA")</f>
        <v>NÃO COMPRA</v>
      </c>
      <c r="D42" s="1" t="n">
        <f aca="false">IFERROR(VLOOKUP(A42,Pedido!$A:$C,3,0),0)</f>
        <v>0</v>
      </c>
      <c r="E42" s="5" t="n">
        <f aca="false">IFERROR(VLOOKUP(A42,Pedido!$A:$E,5,0),0)</f>
        <v>0</v>
      </c>
      <c r="F42" s="1" t="s">
        <v>7</v>
      </c>
      <c r="G42" s="1" t="s">
        <v>139</v>
      </c>
      <c r="H42" s="1" t="s">
        <v>88</v>
      </c>
      <c r="I42" s="1" t="s">
        <v>36</v>
      </c>
      <c r="J42" s="1" t="s">
        <v>140</v>
      </c>
      <c r="K42" s="1" t="n">
        <v>1989</v>
      </c>
      <c r="L42" s="11" t="n">
        <v>0.279929977759049</v>
      </c>
      <c r="M42" s="1" t="n">
        <f aca="false">SUMIF(Relatorio_AK!$A:$A,A42,Relatorio_AK!$B:$B)</f>
        <v>1989</v>
      </c>
      <c r="N42" s="1" t="str">
        <f aca="false">IF(M42=K42,"OK","DIF")</f>
        <v>OK</v>
      </c>
      <c r="O42" s="13" t="str">
        <f aca="false">IFERROR(VLOOKUP($A42,Lista_Starke!$A:$E,3,0),"NÃO ESTÁ NA LISTA")</f>
        <v>VOLKSWAGEN: Gol G5 1.0 /1.6 09/...
VOLKSWAGEN: Gol G6 1.0 Flex 12/16
VOLKSWAGEN: Gol G6 1.6 16V 12/16
VOLKSWAGEN: Gol G6 1.6 8V 14/21
VOLKSWAGEN: Voyage 1.0 / 1.6 08/...</v>
      </c>
      <c r="P42" s="12" t="str">
        <f aca="false">IFERROR(VLOOKUP($A42,Lista_Starke!$A:$E,2,0),"NÃO ESTÁ NA LISTA")</f>
        <v>CILINDRO DE RODA LE/LD</v>
      </c>
    </row>
    <row r="43" customFormat="false" ht="15" hidden="false" customHeight="true" outlineLevel="0" collapsed="false">
      <c r="A43" s="10" t="s">
        <v>141</v>
      </c>
      <c r="B43" s="10" t="str">
        <f aca="false">IFERROR(VLOOKUP(A43,Pedido!$A:$B,2,0),"")</f>
        <v/>
      </c>
      <c r="C43" s="10" t="str">
        <f aca="false">IF(B43="","NÃO COMPRA","COMPRA")</f>
        <v>NÃO COMPRA</v>
      </c>
      <c r="D43" s="1" t="n">
        <f aca="false">IFERROR(VLOOKUP(A43,Pedido!$A:$C,3,0),0)</f>
        <v>0</v>
      </c>
      <c r="E43" s="5" t="n">
        <f aca="false">IFERROR(VLOOKUP(A43,Pedido!$A:$E,5,0),0)</f>
        <v>0</v>
      </c>
      <c r="F43" s="1" t="s">
        <v>7</v>
      </c>
      <c r="G43" s="1" t="s">
        <v>142</v>
      </c>
      <c r="H43" s="1" t="s">
        <v>35</v>
      </c>
      <c r="I43" s="1" t="s">
        <v>29</v>
      </c>
      <c r="J43" s="1" t="s">
        <v>143</v>
      </c>
      <c r="K43" s="1" t="n">
        <v>1892</v>
      </c>
      <c r="L43" s="11" t="n">
        <v>0.283164403537354</v>
      </c>
      <c r="M43" s="1" t="n">
        <f aca="false">SUMIF(Relatorio_AK!$A:$A,A43,Relatorio_AK!$B:$B)</f>
        <v>1892</v>
      </c>
      <c r="N43" s="1" t="str">
        <f aca="false">IF(M43=K43,"OK","DIF")</f>
        <v>OK</v>
      </c>
      <c r="O43" s="13" t="str">
        <f aca="false">IFERROR(VLOOKUP($A43,Lista_Starke!$A:$E,3,0),"NÃO ESTÁ NA LISTA")</f>
        <v>HYUNDAI: HB20 1.0 12V 3 cil 12/...
HYUNDAI: HB20 1.6 16V 12/...</v>
      </c>
      <c r="P43" s="12" t="str">
        <f aca="false">IFERROR(VLOOKUP($A43,Lista_Starke!$A:$E,2,0),"NÃO ESTÁ NA LISTA")</f>
        <v>CILINDRO MESTRE DE FREIO</v>
      </c>
    </row>
    <row r="44" customFormat="false" ht="15" hidden="false" customHeight="true" outlineLevel="0" collapsed="false">
      <c r="A44" s="10" t="s">
        <v>144</v>
      </c>
      <c r="B44" s="10" t="str">
        <f aca="false">IFERROR(VLOOKUP(A44,Pedido!$A:$B,2,0),"")</f>
        <v/>
      </c>
      <c r="C44" s="10" t="str">
        <f aca="false">IF(B44="","NÃO COMPRA","COMPRA")</f>
        <v>NÃO COMPRA</v>
      </c>
      <c r="D44" s="1" t="n">
        <f aca="false">IFERROR(VLOOKUP(A44,Pedido!$A:$C,3,0),0)</f>
        <v>0</v>
      </c>
      <c r="E44" s="5" t="n">
        <f aca="false">IFERROR(VLOOKUP(A44,Pedido!$A:$E,5,0),0)</f>
        <v>0</v>
      </c>
      <c r="F44" s="1" t="s">
        <v>7</v>
      </c>
      <c r="G44" s="1" t="s">
        <v>145</v>
      </c>
      <c r="H44" s="1" t="s">
        <v>28</v>
      </c>
      <c r="I44" s="1" t="s">
        <v>36</v>
      </c>
      <c r="K44" s="1" t="n">
        <v>1889</v>
      </c>
      <c r="L44" s="11" t="n">
        <v>0.286393700733558</v>
      </c>
      <c r="M44" s="1" t="n">
        <f aca="false">SUMIF(Relatorio_AK!$A:$A,A44,Relatorio_AK!$B:$B)</f>
        <v>1889</v>
      </c>
      <c r="N44" s="1" t="str">
        <f aca="false">IF(M44=K44,"OK","DIF")</f>
        <v>OK</v>
      </c>
      <c r="O44" s="13" t="str">
        <f aca="false">IFERROR(VLOOKUP($A44,Lista_Starke!$A:$E,3,0),"NÃO ESTÁ NA LISTA")</f>
        <v>VOLKSWAGEN: Up 1.0 12V 14/...
VOLKSWAGEN: Up 1.0 12V 3cil TSI 14/...</v>
      </c>
      <c r="P44" s="12" t="str">
        <f aca="false">IFERROR(VLOOKUP($A44,Lista_Starke!$A:$E,2,0),"NÃO ESTÁ NA LISTA")</f>
        <v>CILINDRO AUXILIAR DE EMBREAGEM</v>
      </c>
    </row>
    <row r="45" customFormat="false" ht="15" hidden="false" customHeight="true" outlineLevel="0" collapsed="false">
      <c r="A45" s="10" t="s">
        <v>146</v>
      </c>
      <c r="B45" s="10" t="str">
        <f aca="false">IFERROR(VLOOKUP(A45,Pedido!$A:$B,2,0),"")</f>
        <v/>
      </c>
      <c r="C45" s="10" t="str">
        <f aca="false">IF(B45="","NÃO COMPRA","COMPRA")</f>
        <v>NÃO COMPRA</v>
      </c>
      <c r="D45" s="1" t="n">
        <f aca="false">IFERROR(VLOOKUP(A45,Pedido!$A:$C,3,0),0)</f>
        <v>0</v>
      </c>
      <c r="E45" s="5" t="n">
        <f aca="false">IFERROR(VLOOKUP(A45,Pedido!$A:$E,5,0),0)</f>
        <v>0</v>
      </c>
      <c r="F45" s="1" t="s">
        <v>7</v>
      </c>
      <c r="G45" s="1" t="s">
        <v>147</v>
      </c>
      <c r="H45" s="1" t="s">
        <v>96</v>
      </c>
      <c r="I45" s="1" t="s">
        <v>57</v>
      </c>
      <c r="K45" s="1" t="n">
        <v>1835</v>
      </c>
      <c r="L45" s="11" t="n">
        <v>0.289530683451946</v>
      </c>
      <c r="M45" s="1" t="n">
        <f aca="false">SUMIF(Relatorio_AK!$A:$A,A45,Relatorio_AK!$B:$B)</f>
        <v>1835</v>
      </c>
      <c r="N45" s="1" t="str">
        <f aca="false">IF(M45=K45,"OK","DIF")</f>
        <v>OK</v>
      </c>
      <c r="O45" s="13" t="str">
        <f aca="false">IFERROR(VLOOKUP($A45,Lista_Starke!$A:$E,3,0),"NÃO ESTÁ NA LISTA")</f>
        <v>GM: Montana 1.2 12V 3 cil Turbo 23/...
GM: Onix 1.0 12V 3 cil Turbo 20/...
GM: Onix Plus 1.0.12V 3 cil Turbo 20/...
GM: Tracker 1.0 12V 3 cil Turbo 20/...
GM: Tracker 1.2 12V 3 cil Turbo 20/...</v>
      </c>
      <c r="P45" s="12" t="str">
        <f aca="false">IFERROR(VLOOKUP($A45,Lista_Starke!$A:$E,2,0),"NÃO ESTÁ NA LISTA")</f>
        <v>BOMBA DE VÁCUO</v>
      </c>
    </row>
    <row r="46" customFormat="false" ht="15" hidden="false" customHeight="true" outlineLevel="0" collapsed="false">
      <c r="A46" s="10" t="s">
        <v>148</v>
      </c>
      <c r="B46" s="10" t="str">
        <f aca="false">IFERROR(VLOOKUP(A46,Pedido!$A:$B,2,0),"")</f>
        <v/>
      </c>
      <c r="C46" s="10" t="str">
        <f aca="false">IF(B46="","NÃO COMPRA","COMPRA")</f>
        <v>NÃO COMPRA</v>
      </c>
      <c r="D46" s="1" t="n">
        <f aca="false">IFERROR(VLOOKUP(A46,Pedido!$A:$C,3,0),0)</f>
        <v>0</v>
      </c>
      <c r="E46" s="5" t="n">
        <f aca="false">IFERROR(VLOOKUP(A46,Pedido!$A:$E,5,0),0)</f>
        <v>0</v>
      </c>
      <c r="F46" s="1" t="s">
        <v>7</v>
      </c>
      <c r="G46" s="1" t="s">
        <v>149</v>
      </c>
      <c r="H46" s="1" t="s">
        <v>32</v>
      </c>
      <c r="I46" s="1" t="s">
        <v>115</v>
      </c>
      <c r="K46" s="1" t="n">
        <v>1830</v>
      </c>
      <c r="L46" s="11" t="n">
        <v>0.292659118533499</v>
      </c>
      <c r="M46" s="1" t="n">
        <f aca="false">SUMIF(Relatorio_AK!$A:$A,A46,Relatorio_AK!$B:$B)</f>
        <v>1830</v>
      </c>
      <c r="N46" s="1" t="str">
        <f aca="false">IF(M46=K46,"OK","DIF")</f>
        <v>OK</v>
      </c>
      <c r="O46" s="13" t="str">
        <f aca="false">IFERROR(VLOOKUP($A46,Lista_Starke!$A:$E,3,0),"NÃO ESTÁ NA LISTA")</f>
        <v>JAC MOTORS: J2 1.4 16V 11/...
JAC MOTORS: J3 1.4 16V 11/...
JAC MOTORS: J5 1.4 16V 11/...</v>
      </c>
      <c r="P46" s="12" t="str">
        <f aca="false">IFERROR(VLOOKUP($A46,Lista_Starke!$A:$E,2,0),"NÃO ESTÁ NA LISTA")</f>
        <v>CILINDRO MESTRE DE EMBREAGEM</v>
      </c>
    </row>
    <row r="47" customFormat="false" ht="15" hidden="false" customHeight="true" outlineLevel="0" collapsed="false">
      <c r="A47" s="10" t="s">
        <v>150</v>
      </c>
      <c r="B47" s="10" t="str">
        <f aca="false">IFERROR(VLOOKUP(A47,Pedido!$A:$B,2,0),"")</f>
        <v/>
      </c>
      <c r="C47" s="10" t="str">
        <f aca="false">IF(B47="","NÃO COMPRA","COMPRA")</f>
        <v>NÃO COMPRA</v>
      </c>
      <c r="D47" s="1" t="n">
        <f aca="false">IFERROR(VLOOKUP(A47,Pedido!$A:$C,3,0),0)</f>
        <v>0</v>
      </c>
      <c r="E47" s="5" t="n">
        <f aca="false">IFERROR(VLOOKUP(A47,Pedido!$A:$E,5,0),0)</f>
        <v>0</v>
      </c>
      <c r="F47" s="1" t="s">
        <v>7</v>
      </c>
      <c r="G47" s="1" t="s">
        <v>49</v>
      </c>
      <c r="H47" s="1" t="s">
        <v>32</v>
      </c>
      <c r="I47" s="1" t="s">
        <v>50</v>
      </c>
      <c r="J47" s="1" t="s">
        <v>151</v>
      </c>
      <c r="K47" s="1" t="n">
        <v>1823</v>
      </c>
      <c r="L47" s="11" t="n">
        <v>0.295775586923483</v>
      </c>
      <c r="M47" s="1" t="n">
        <f aca="false">SUMIF(Relatorio_AK!$A:$A,A47,Relatorio_AK!$B:$B)</f>
        <v>1823</v>
      </c>
      <c r="N47" s="1" t="str">
        <f aca="false">IF(M47=K47,"OK","DIF")</f>
        <v>OK</v>
      </c>
      <c r="O47" s="12" t="str">
        <f aca="false">IFERROR(VLOOKUP($A47,Lista_Starke!$A:$E,3,0),"NÃO ESTÁ NA LISTA")</f>
        <v>HONDA: New Civic 1.8 16V 06/11</v>
      </c>
      <c r="P47" s="12" t="str">
        <f aca="false">IFERROR(VLOOKUP($A47,Lista_Starke!$A:$E,2,0),"NÃO ESTÁ NA LISTA")</f>
        <v>CILINDRO MESTRE DE EMBREAGEM</v>
      </c>
    </row>
    <row r="48" customFormat="false" ht="15" hidden="false" customHeight="true" outlineLevel="0" collapsed="false">
      <c r="A48" s="10" t="s">
        <v>152</v>
      </c>
      <c r="B48" s="10" t="str">
        <f aca="false">IFERROR(VLOOKUP(A48,Pedido!$A:$B,2,0),"")</f>
        <v/>
      </c>
      <c r="C48" s="10" t="str">
        <f aca="false">IF(B48="","NÃO COMPRA","COMPRA")</f>
        <v>NÃO COMPRA</v>
      </c>
      <c r="D48" s="1" t="n">
        <f aca="false">IFERROR(VLOOKUP(A48,Pedido!$A:$C,3,0),0)</f>
        <v>0</v>
      </c>
      <c r="E48" s="5" t="n">
        <f aca="false">IFERROR(VLOOKUP(A48,Pedido!$A:$E,5,0),0)</f>
        <v>0</v>
      </c>
      <c r="F48" s="1" t="s">
        <v>7</v>
      </c>
      <c r="G48" s="1" t="s">
        <v>130</v>
      </c>
      <c r="H48" s="1" t="s">
        <v>131</v>
      </c>
      <c r="I48" s="1" t="s">
        <v>46</v>
      </c>
      <c r="J48" s="1" t="s">
        <v>153</v>
      </c>
      <c r="K48" s="1" t="n">
        <v>1801</v>
      </c>
      <c r="L48" s="11" t="n">
        <v>0.298854445711394</v>
      </c>
      <c r="M48" s="1" t="n">
        <f aca="false">SUMIF(Relatorio_AK!$A:$A,A48,Relatorio_AK!$B:$B)</f>
        <v>1801</v>
      </c>
      <c r="N48" s="1" t="str">
        <f aca="false">IF(M48=K48,"OK","DIF")</f>
        <v>OK</v>
      </c>
      <c r="O48" s="13" t="str">
        <f aca="false">IFERROR(VLOOKUP($A48,Lista_Starke!$A:$E,3,0),"NÃO ESTÁ NA LISTA")</f>
        <v>FIAT: Argo 1.0 6V 3 cil. 17/...
FIAT: Argo 1.3 8V 17/...
FIAT: Argo 1.8 16V 17/...
FIAT: Cronos 1.3 8V 18/...
FIAT: Cronos 1.8 16V 18/...
FIAT: Grand Siena 1.4 8V 12/...
FIAT: Grand Siena 1.6 16V 12/...
FIAT: Palio 1.0 / 1.4 12/...
FIAT: Palio 1.6 Etorq 12/...
FIAT: Pulse 1.3 16V Turbo 22/...
FIAT: Punto 1.4 8V 08/...
FIAT: Punto 1.6 16V Etorq 11/...
FIAT: Uno 1.0 8V c/ ABS 10/...
FIAT: Uno 1.4 8V 10/...</v>
      </c>
      <c r="P48" s="12" t="str">
        <f aca="false">IFERROR(VLOOKUP($A48,Lista_Starke!$A:$E,2,0),"NÃO ESTÁ NA LISTA")</f>
        <v>SAPATA DE FREIO</v>
      </c>
    </row>
    <row r="49" customFormat="false" ht="15" hidden="false" customHeight="true" outlineLevel="0" collapsed="false">
      <c r="A49" s="10" t="s">
        <v>154</v>
      </c>
      <c r="B49" s="10" t="str">
        <f aca="false">IFERROR(VLOOKUP(A49,Pedido!$A:$B,2,0),"")</f>
        <v/>
      </c>
      <c r="C49" s="10" t="str">
        <f aca="false">IF(B49="","NÃO COMPRA","COMPRA")</f>
        <v>NÃO COMPRA</v>
      </c>
      <c r="D49" s="1" t="n">
        <f aca="false">IFERROR(VLOOKUP(A49,Pedido!$A:$C,3,0),0)</f>
        <v>0</v>
      </c>
      <c r="E49" s="5" t="n">
        <f aca="false">IFERROR(VLOOKUP(A49,Pedido!$A:$E,5,0),0)</f>
        <v>0</v>
      </c>
      <c r="F49" s="1" t="s">
        <v>7</v>
      </c>
      <c r="G49" s="1" t="s">
        <v>147</v>
      </c>
      <c r="H49" s="1" t="s">
        <v>96</v>
      </c>
      <c r="I49" s="1" t="s">
        <v>57</v>
      </c>
      <c r="K49" s="1" t="n">
        <v>1796</v>
      </c>
      <c r="L49" s="11" t="n">
        <v>0.30192475686247</v>
      </c>
      <c r="M49" s="1" t="n">
        <f aca="false">SUMIF(Relatorio_AK!$A:$A,A49,Relatorio_AK!$B:$B)</f>
        <v>1796</v>
      </c>
      <c r="N49" s="1" t="str">
        <f aca="false">IF(M49=K49,"OK","DIF")</f>
        <v>OK</v>
      </c>
      <c r="O49" s="13" t="str">
        <f aca="false">IFERROR(VLOOKUP($A49,Lista_Starke!$A:$E,3,0),"NÃO ESTÁ NA LISTA")</f>
        <v>GM: Onix 1.0 12V 3 cil Aspirado 20/...
GM: Onix Plus 1.0 12V 3 cil Aspirado 20/...</v>
      </c>
      <c r="P49" s="12" t="str">
        <f aca="false">IFERROR(VLOOKUP($A49,Lista_Starke!$A:$E,2,0),"NÃO ESTÁ NA LISTA")</f>
        <v>BOMBA DE VÁCUO</v>
      </c>
    </row>
    <row r="50" customFormat="false" ht="15" hidden="false" customHeight="true" outlineLevel="0" collapsed="false">
      <c r="A50" s="10" t="s">
        <v>155</v>
      </c>
      <c r="B50" s="10" t="str">
        <f aca="false">IFERROR(VLOOKUP(A50,Pedido!$A:$B,2,0),"")</f>
        <v/>
      </c>
      <c r="C50" s="10" t="str">
        <f aca="false">IF(B50="","NÃO COMPRA","COMPRA")</f>
        <v>NÃO COMPRA</v>
      </c>
      <c r="D50" s="1" t="n">
        <f aca="false">IFERROR(VLOOKUP(A50,Pedido!$A:$C,3,0),0)</f>
        <v>0</v>
      </c>
      <c r="E50" s="5" t="n">
        <f aca="false">IFERROR(VLOOKUP(A50,Pedido!$A:$E,5,0),0)</f>
        <v>0</v>
      </c>
      <c r="F50" s="1" t="s">
        <v>7</v>
      </c>
      <c r="G50" s="1" t="s">
        <v>156</v>
      </c>
      <c r="H50" s="1" t="s">
        <v>157</v>
      </c>
      <c r="I50" s="1" t="s">
        <v>63</v>
      </c>
      <c r="J50" s="1" t="s">
        <v>158</v>
      </c>
      <c r="K50" s="1" t="n">
        <v>1791</v>
      </c>
      <c r="L50" s="11" t="n">
        <v>0.304986520376711</v>
      </c>
      <c r="M50" s="1" t="n">
        <f aca="false">SUMIF(Relatorio_AK!$A:$A,A50,Relatorio_AK!$B:$B)</f>
        <v>1791</v>
      </c>
      <c r="N50" s="1" t="str">
        <f aca="false">IF(M50=K50,"OK","DIF")</f>
        <v>OK</v>
      </c>
      <c r="O50" s="13" t="str">
        <f aca="false">IFERROR(VLOOKUP($A50,Lista_Starke!$A:$E,3,0),"NÃO ESTÁ NA LISTA")</f>
        <v>NISSAN: Kicks 1.6 16V 16/...
NISSAN: Livina 1.6 16V K4M 11/...
NISSAN: March 1.0 12V 3cil HR10DE 14/...
NISSAN: March 1.0 16V 11/13
NISSAN: March 1.6 16V HR16DE 11/...
NISSAN: Versa 1.0 12V 3cil HR10DE 14/...
NISSAN: Versa 1.6 16V HR16DE 11/...
RENAULT: Captur 1.3 3cil Turbo H5H470 20/...
RENAULT: Captur 1.6 16V H4M 17/...
RENAULT: Duster 1.6 16V H4M 17/...
RENAULT: Duster 1.6 16V K4M 11/16
RENAULT: Logan 1.0 12V 3 cil B4D 17/...
RENAULT: Logan 1.6 16V H4M 17/...
RENAULT: Oroch 1.6 16V JH3 15/...
RENAULT: Sandero 1.0 12V 3cil B4D 17/...
RENAULT: Sandero 1.6 16V H4M 17/...</v>
      </c>
      <c r="P50" s="12" t="str">
        <f aca="false">IFERROR(VLOOKUP($A50,Lista_Starke!$A:$E,2,0),"NÃO ESTÁ NA LISTA")</f>
        <v>ATUADOR DE EMBREAGEM</v>
      </c>
    </row>
    <row r="51" customFormat="false" ht="15" hidden="false" customHeight="true" outlineLevel="0" collapsed="false">
      <c r="A51" s="10" t="s">
        <v>159</v>
      </c>
      <c r="B51" s="10" t="str">
        <f aca="false">IFERROR(VLOOKUP(A51,Pedido!$A:$B,2,0),"")</f>
        <v/>
      </c>
      <c r="C51" s="10" t="str">
        <f aca="false">IF(B51="","NÃO COMPRA","COMPRA")</f>
        <v>NÃO COMPRA</v>
      </c>
      <c r="D51" s="1" t="n">
        <f aca="false">IFERROR(VLOOKUP(A51,Pedido!$A:$C,3,0),0)</f>
        <v>0</v>
      </c>
      <c r="E51" s="5" t="n">
        <f aca="false">IFERROR(VLOOKUP(A51,Pedido!$A:$E,5,0),0)</f>
        <v>0</v>
      </c>
      <c r="F51" s="1" t="s">
        <v>7</v>
      </c>
      <c r="G51" s="1" t="s">
        <v>160</v>
      </c>
      <c r="H51" s="1" t="s">
        <v>88</v>
      </c>
      <c r="I51" s="1" t="s">
        <v>71</v>
      </c>
      <c r="J51" s="1" t="s">
        <v>161</v>
      </c>
      <c r="K51" s="1" t="n">
        <v>1754</v>
      </c>
      <c r="L51" s="11" t="n">
        <v>0.307985031378375</v>
      </c>
      <c r="M51" s="1" t="n">
        <f aca="false">SUMIF(Relatorio_AK!$A:$A,A51,Relatorio_AK!$B:$B)</f>
        <v>1754</v>
      </c>
      <c r="N51" s="1" t="str">
        <f aca="false">IF(M51=K51,"OK","DIF")</f>
        <v>OK</v>
      </c>
      <c r="O51" s="13" t="str">
        <f aca="false">IFERROR(VLOOKUP($A51,Lista_Starke!$A:$E,3,0),"NÃO ESTÁ NA LISTA")</f>
        <v>PEUGEOT: 206 1.0 8V / 16V 01/...
PEUGEOT: 206 1.4 8V 04/...
PEUGEOT: 206 1.6 8V / 1.6 16V 99/...
PEUGEOT: 207 1.4 8V 08/...
PEUGEOT: 207 1.6 16V 08/...</v>
      </c>
      <c r="P51" s="12" t="str">
        <f aca="false">IFERROR(VLOOKUP($A51,Lista_Starke!$A:$E,2,0),"NÃO ESTÁ NA LISTA")</f>
        <v>CILINDRO DE RODA LD</v>
      </c>
    </row>
    <row r="52" customFormat="false" ht="15" hidden="false" customHeight="true" outlineLevel="0" collapsed="false">
      <c r="A52" s="10" t="s">
        <v>162</v>
      </c>
      <c r="B52" s="10" t="str">
        <f aca="false">IFERROR(VLOOKUP(A52,Pedido!$A:$B,2,0),"")</f>
        <v/>
      </c>
      <c r="C52" s="10" t="str">
        <f aca="false">IF(B52="","NÃO COMPRA","COMPRA")</f>
        <v>NÃO COMPRA</v>
      </c>
      <c r="D52" s="1" t="n">
        <f aca="false">IFERROR(VLOOKUP(A52,Pedido!$A:$C,3,0),0)</f>
        <v>0</v>
      </c>
      <c r="E52" s="5" t="n">
        <f aca="false">IFERROR(VLOOKUP(A52,Pedido!$A:$E,5,0),0)</f>
        <v>0</v>
      </c>
      <c r="F52" s="1" t="s">
        <v>7</v>
      </c>
      <c r="G52" s="1" t="s">
        <v>56</v>
      </c>
      <c r="H52" s="1" t="s">
        <v>35</v>
      </c>
      <c r="I52" s="1" t="s">
        <v>57</v>
      </c>
      <c r="K52" s="1" t="n">
        <v>1733</v>
      </c>
      <c r="L52" s="11" t="n">
        <v>0.310947642305332</v>
      </c>
      <c r="M52" s="1" t="n">
        <f aca="false">SUMIF(Relatorio_AK!$A:$A,A52,Relatorio_AK!$B:$B)</f>
        <v>1733</v>
      </c>
      <c r="N52" s="1" t="str">
        <f aca="false">IF(M52=K52,"OK","DIF")</f>
        <v>OK</v>
      </c>
      <c r="O52" s="13" t="str">
        <f aca="false">IFERROR(VLOOKUP($A52,Lista_Starke!$A:$E,3,0),"NÃO ESTÁ NA LISTA")</f>
        <v>GM: S10 2.5 Flex 15/...
GM: S10 2.8 Turbodiedel 13/...
GM: Trailblazer 2.8 Turbodiesel 13/...</v>
      </c>
      <c r="P52" s="12" t="str">
        <f aca="false">IFERROR(VLOOKUP($A52,Lista_Starke!$A:$E,2,0),"NÃO ESTÁ NA LISTA")</f>
        <v>CILINDRO MESTRE DE FREIO</v>
      </c>
    </row>
    <row r="53" customFormat="false" ht="15" hidden="false" customHeight="true" outlineLevel="0" collapsed="false">
      <c r="A53" s="10" t="s">
        <v>163</v>
      </c>
      <c r="B53" s="10" t="str">
        <f aca="false">IFERROR(VLOOKUP(A53,Pedido!$A:$B,2,0),"")</f>
        <v/>
      </c>
      <c r="C53" s="10" t="str">
        <f aca="false">IF(B53="","NÃO COMPRA","COMPRA")</f>
        <v>NÃO COMPRA</v>
      </c>
      <c r="D53" s="1" t="n">
        <f aca="false">IFERROR(VLOOKUP(A53,Pedido!$A:$C,3,0),0)</f>
        <v>0</v>
      </c>
      <c r="E53" s="5" t="n">
        <f aca="false">IFERROR(VLOOKUP(A53,Pedido!$A:$E,5,0),0)</f>
        <v>0</v>
      </c>
      <c r="F53" s="1" t="s">
        <v>7</v>
      </c>
      <c r="G53" s="1" t="s">
        <v>164</v>
      </c>
      <c r="H53" s="1" t="s">
        <v>131</v>
      </c>
      <c r="I53" s="1" t="s">
        <v>165</v>
      </c>
      <c r="J53" s="1" t="s">
        <v>166</v>
      </c>
      <c r="K53" s="1" t="n">
        <v>1718</v>
      </c>
      <c r="L53" s="11" t="n">
        <v>0.313884610321784</v>
      </c>
      <c r="M53" s="1" t="n">
        <f aca="false">SUMIF(Relatorio_AK!$A:$A,A53,Relatorio_AK!$B:$B)</f>
        <v>1718</v>
      </c>
      <c r="N53" s="1" t="str">
        <f aca="false">IF(M53=K53,"OK","DIF")</f>
        <v>OK</v>
      </c>
      <c r="O53" s="13" t="str">
        <f aca="false">IFERROR(VLOOKUP($A53,Lista_Starke!$A:$E,3,0),"NÃO ESTÁ NA LISTA")</f>
        <v>FORD: Fiesta 1.0 / 1.3 / 1.4 / 1.6 96/...
FORD: Ka 1.0 08/14
FORD: Ka 1.0 96/07
FORD: Ka 1.6 01/07
GM: Celta 1.0 / 1.4 01/...
GM: Prisma 1.0 / 1.4 07/13
GM: Prisma 1.4 16/19</v>
      </c>
      <c r="P53" s="12" t="str">
        <f aca="false">IFERROR(VLOOKUP($A53,Lista_Starke!$A:$E,2,0),"NÃO ESTÁ NA LISTA")</f>
        <v>SAPATA DE FREIO</v>
      </c>
    </row>
    <row r="54" customFormat="false" ht="15" hidden="false" customHeight="true" outlineLevel="0" collapsed="false">
      <c r="A54" s="10" t="s">
        <v>167</v>
      </c>
      <c r="B54" s="10" t="str">
        <f aca="false">IFERROR(VLOOKUP(A54,Pedido!$A:$B,2,0),"")</f>
        <v/>
      </c>
      <c r="C54" s="10" t="str">
        <f aca="false">IF(B54="","NÃO COMPRA","COMPRA")</f>
        <v>NÃO COMPRA</v>
      </c>
      <c r="D54" s="1" t="n">
        <f aca="false">IFERROR(VLOOKUP(A54,Pedido!$A:$C,3,0),0)</f>
        <v>0</v>
      </c>
      <c r="E54" s="5" t="n">
        <f aca="false">IFERROR(VLOOKUP(A54,Pedido!$A:$E,5,0),0)</f>
        <v>0</v>
      </c>
      <c r="F54" s="1" t="s">
        <v>7</v>
      </c>
      <c r="G54" s="1" t="s">
        <v>168</v>
      </c>
      <c r="H54" s="1" t="s">
        <v>131</v>
      </c>
      <c r="I54" s="1" t="s">
        <v>57</v>
      </c>
      <c r="J54" s="1" t="s">
        <v>169</v>
      </c>
      <c r="K54" s="1" t="n">
        <v>1701</v>
      </c>
      <c r="L54" s="11" t="n">
        <v>0.316792516372998</v>
      </c>
      <c r="M54" s="1" t="n">
        <f aca="false">SUMIF(Relatorio_AK!$A:$A,A54,Relatorio_AK!$B:$B)</f>
        <v>1701</v>
      </c>
      <c r="N54" s="1" t="str">
        <f aca="false">IF(M54=K54,"OK","DIF")</f>
        <v>OK</v>
      </c>
      <c r="O54" s="13" t="str">
        <f aca="false">IFERROR(VLOOKUP($A54,Lista_Starke!$A:$E,3,0),"NÃO ESTÁ NA LISTA")</f>
        <v>GM: Joy 1.0 20/21
GM: Joy Plus 1.0 20/21
GM: Onix 1.0 / 1.4 13/19
GM: Prisma 1.0 / 1.4 14/...</v>
      </c>
      <c r="P54" s="12" t="str">
        <f aca="false">IFERROR(VLOOKUP($A54,Lista_Starke!$A:$E,2,0),"NÃO ESTÁ NA LISTA")</f>
        <v>SAPATA DE FREIO</v>
      </c>
    </row>
    <row r="55" customFormat="false" ht="15" hidden="false" customHeight="true" outlineLevel="0" collapsed="false">
      <c r="A55" s="10" t="s">
        <v>170</v>
      </c>
      <c r="B55" s="10" t="str">
        <f aca="false">IFERROR(VLOOKUP(A55,Pedido!$A:$B,2,0),"")</f>
        <v/>
      </c>
      <c r="C55" s="10" t="str">
        <f aca="false">IF(B55="","NÃO COMPRA","COMPRA")</f>
        <v>NÃO COMPRA</v>
      </c>
      <c r="D55" s="1" t="n">
        <f aca="false">IFERROR(VLOOKUP(A55,Pedido!$A:$C,3,0),0)</f>
        <v>0</v>
      </c>
      <c r="E55" s="5" t="n">
        <f aca="false">IFERROR(VLOOKUP(A55,Pedido!$A:$E,5,0),0)</f>
        <v>0</v>
      </c>
      <c r="F55" s="1" t="s">
        <v>7</v>
      </c>
      <c r="G55" s="1" t="s">
        <v>171</v>
      </c>
      <c r="H55" s="1" t="s">
        <v>35</v>
      </c>
      <c r="I55" s="1" t="s">
        <v>172</v>
      </c>
      <c r="K55" s="1" t="n">
        <v>1677</v>
      </c>
      <c r="L55" s="11" t="n">
        <v>0.319659393767405</v>
      </c>
      <c r="M55" s="1" t="n">
        <f aca="false">SUMIF(Relatorio_AK!$A:$A,A55,Relatorio_AK!$B:$B)</f>
        <v>1677</v>
      </c>
      <c r="N55" s="1" t="str">
        <f aca="false">IF(M55=K55,"OK","DIF")</f>
        <v>OK</v>
      </c>
      <c r="O55" s="13" t="str">
        <f aca="false">IFERROR(VLOOKUP($A55,Lista_Starke!$A:$E,3,0),"NÃO ESTÁ NA LISTA")</f>
        <v>HYUNDAI: i30 2.0 16V 08/12
KIA: Cerato 1.6 16V 10/13
KIA: Cerato 2.0 16V 10/13</v>
      </c>
      <c r="P55" s="12" t="str">
        <f aca="false">IFERROR(VLOOKUP($A55,Lista_Starke!$A:$E,2,0),"NÃO ESTÁ NA LISTA")</f>
        <v>CILINDRO MESTRE DE FREIO</v>
      </c>
    </row>
    <row r="56" customFormat="false" ht="15" hidden="false" customHeight="true" outlineLevel="0" collapsed="false">
      <c r="A56" s="10" t="s">
        <v>173</v>
      </c>
      <c r="B56" s="10" t="str">
        <f aca="false">IFERROR(VLOOKUP(A56,Pedido!$A:$B,2,0),"")</f>
        <v/>
      </c>
      <c r="C56" s="10" t="str">
        <f aca="false">IF(B56="","NÃO COMPRA","COMPRA")</f>
        <v>NÃO COMPRA</v>
      </c>
      <c r="D56" s="1" t="n">
        <f aca="false">IFERROR(VLOOKUP(A56,Pedido!$A:$C,3,0),0)</f>
        <v>0</v>
      </c>
      <c r="E56" s="5" t="n">
        <f aca="false">IFERROR(VLOOKUP(A56,Pedido!$A:$E,5,0),0)</f>
        <v>0</v>
      </c>
      <c r="F56" s="1" t="s">
        <v>7</v>
      </c>
      <c r="G56" s="1" t="s">
        <v>27</v>
      </c>
      <c r="H56" s="1" t="s">
        <v>28</v>
      </c>
      <c r="I56" s="1" t="s">
        <v>172</v>
      </c>
      <c r="J56" s="1" t="s">
        <v>174</v>
      </c>
      <c r="K56" s="1" t="n">
        <v>1669</v>
      </c>
      <c r="L56" s="11" t="n">
        <v>0.322512594942876</v>
      </c>
      <c r="M56" s="1" t="n">
        <f aca="false">SUMIF(Relatorio_AK!$A:$A,A56,Relatorio_AK!$B:$B)</f>
        <v>1669</v>
      </c>
      <c r="N56" s="1" t="str">
        <f aca="false">IF(M56=K56,"OK","DIF")</f>
        <v>OK</v>
      </c>
      <c r="O56" s="13" t="str">
        <f aca="false">IFERROR(VLOOKUP($A56,Lista_Starke!$A:$E,3,0),"NÃO ESTÁ NA LISTA")</f>
        <v>HYUNDAI: Creta 1.6 16V Flex G4FC 17/...
HYUNDAI: Elantra 1.6 16V 90/…
HYUNDAI: Elantra 1.8 16V 96/99
HYUNDAI: Elantra 2.0 16V 00/…
HYUNDAI: HB20 1.6 16V Flex G4FC 12/…
HYUNDAI: i30 1.6 16V Flex G4FC 13/…
HYUNDAI: i30 2.0 16V 07/…
HYUNDAI: i30 CW 2.0 16V 10
HYUNDAI: iX35 2.0 16V 10/…
HYUNDAI: Tucson 2.0 16V 04/…
HYUNDAI: Veloster 1.6 16V Flex G4FC 12/…
KIA: Carens 2.0 16V 04/06
KIA: Cerato 1.6 16V G4FC 10/...
KIA: Cerato 2.0 16V 06
KIA: Soul 1.6 16V 09/...
KIA: Sportage 2.0 16V 07/…</v>
      </c>
      <c r="P56" s="12" t="str">
        <f aca="false">IFERROR(VLOOKUP($A56,Lista_Starke!$A:$E,2,0),"NÃO ESTÁ NA LISTA")</f>
        <v>CILINDRO AUXILIAR DE EMBREAGEM</v>
      </c>
    </row>
    <row r="57" customFormat="false" ht="15" hidden="false" customHeight="true" outlineLevel="0" collapsed="false">
      <c r="A57" s="10" t="s">
        <v>175</v>
      </c>
      <c r="B57" s="10" t="str">
        <f aca="false">IFERROR(VLOOKUP(A57,Pedido!$A:$B,2,0),"")</f>
        <v/>
      </c>
      <c r="C57" s="10" t="str">
        <f aca="false">IF(B57="","NÃO COMPRA","COMPRA")</f>
        <v>NÃO COMPRA</v>
      </c>
      <c r="D57" s="1" t="n">
        <f aca="false">IFERROR(VLOOKUP(A57,Pedido!$A:$C,3,0),0)</f>
        <v>0</v>
      </c>
      <c r="E57" s="5" t="n">
        <f aca="false">IFERROR(VLOOKUP(A57,Pedido!$A:$E,5,0),0)</f>
        <v>0</v>
      </c>
      <c r="F57" s="1" t="s">
        <v>7</v>
      </c>
      <c r="G57" s="1" t="s">
        <v>176</v>
      </c>
      <c r="H57" s="1" t="s">
        <v>35</v>
      </c>
      <c r="I57" s="1" t="s">
        <v>177</v>
      </c>
      <c r="J57" s="1" t="s">
        <v>178</v>
      </c>
      <c r="K57" s="1" t="n">
        <v>1639</v>
      </c>
      <c r="L57" s="11" t="n">
        <v>0.325314510297338</v>
      </c>
      <c r="M57" s="1" t="n">
        <f aca="false">SUMIF(Relatorio_AK!$A:$A,A57,Relatorio_AK!$B:$B)</f>
        <v>1639</v>
      </c>
      <c r="N57" s="1" t="str">
        <f aca="false">IF(M57=K57,"OK","DIF")</f>
        <v>OK</v>
      </c>
      <c r="O57" s="13" t="str">
        <f aca="false">IFERROR(VLOOKUP($A57,Lista_Starke!$A:$E,3,0),"NÃO ESTÁ NA LISTA")</f>
        <v>TOYOTA: Etios 1.3 16V 12/16
TOYOTA: Etios 1.5 16V 12/16
TOYOTA: Etios 1.5 16V Platinum 16/...</v>
      </c>
      <c r="P57" s="12" t="str">
        <f aca="false">IFERROR(VLOOKUP($A57,Lista_Starke!$A:$E,2,0),"NÃO ESTÁ NA LISTA")</f>
        <v>CILINDRO MESTRE DE FREIO</v>
      </c>
    </row>
    <row r="58" customFormat="false" ht="15" hidden="false" customHeight="true" outlineLevel="0" collapsed="false">
      <c r="A58" s="10" t="s">
        <v>179</v>
      </c>
      <c r="B58" s="10" t="str">
        <f aca="false">IFERROR(VLOOKUP(A58,Pedido!$A:$B,2,0),"")</f>
        <v/>
      </c>
      <c r="C58" s="10" t="str">
        <f aca="false">IF(B58="","NÃO COMPRA","COMPRA")</f>
        <v>NÃO COMPRA</v>
      </c>
      <c r="D58" s="1" t="n">
        <f aca="false">IFERROR(VLOOKUP(A58,Pedido!$A:$C,3,0),0)</f>
        <v>0</v>
      </c>
      <c r="E58" s="5" t="n">
        <f aca="false">IFERROR(VLOOKUP(A58,Pedido!$A:$E,5,0),0)</f>
        <v>0</v>
      </c>
      <c r="F58" s="1" t="s">
        <v>7</v>
      </c>
      <c r="G58" s="1" t="s">
        <v>180</v>
      </c>
      <c r="H58" s="1" t="s">
        <v>28</v>
      </c>
      <c r="I58" s="1" t="s">
        <v>50</v>
      </c>
      <c r="J58" s="1" t="s">
        <v>181</v>
      </c>
      <c r="K58" s="1" t="n">
        <v>1627</v>
      </c>
      <c r="L58" s="11" t="n">
        <v>0.328095911323396</v>
      </c>
      <c r="M58" s="1" t="n">
        <f aca="false">SUMIF(Relatorio_AK!$A:$A,A58,Relatorio_AK!$B:$B)</f>
        <v>1627</v>
      </c>
      <c r="N58" s="1" t="str">
        <f aca="false">IF(M58=K58,"OK","DIF")</f>
        <v>OK</v>
      </c>
      <c r="O58" s="13" t="str">
        <f aca="false">IFERROR(VLOOKUP($A58,Lista_Starke!$A:$E,3,0),"NÃO ESTÁ NA LISTA")</f>
        <v>HONDA: City 1.5 16V 09/13
HONDA: Civic 1.7 16V VTEC 01/05
HONDA: Fit 1.4 16V / 1.5 16V 09/13
HONDA: New City 1.5 16V 14/17
HONDA: New City 1.5 16V 18/21
HONDA: New Civic 1.8 16V 06/11
HONDA: New Fit 1.5 16V 14/17
HONDA: New Fit 1.5 16V 18/21</v>
      </c>
      <c r="P58" s="12" t="str">
        <f aca="false">IFERROR(VLOOKUP($A58,Lista_Starke!$A:$E,2,0),"NÃO ESTÁ NA LISTA")</f>
        <v>CILINDRO AUXILIAR DE EMBREAGEM</v>
      </c>
    </row>
    <row r="59" customFormat="false" ht="15" hidden="false" customHeight="true" outlineLevel="0" collapsed="false">
      <c r="A59" s="10" t="s">
        <v>182</v>
      </c>
      <c r="B59" s="10" t="str">
        <f aca="false">IFERROR(VLOOKUP(A59,Pedido!$A:$B,2,0),"")</f>
        <v/>
      </c>
      <c r="C59" s="10" t="str">
        <f aca="false">IF(B59="","NÃO COMPRA","COMPRA")</f>
        <v>NÃO COMPRA</v>
      </c>
      <c r="D59" s="1" t="n">
        <f aca="false">IFERROR(VLOOKUP(A59,Pedido!$A:$C,3,0),0)</f>
        <v>0</v>
      </c>
      <c r="E59" s="5" t="n">
        <f aca="false">IFERROR(VLOOKUP(A59,Pedido!$A:$E,5,0),0)</f>
        <v>0</v>
      </c>
      <c r="F59" s="1" t="s">
        <v>7</v>
      </c>
      <c r="G59" s="1" t="s">
        <v>183</v>
      </c>
      <c r="H59" s="1" t="s">
        <v>88</v>
      </c>
      <c r="I59" s="1" t="s">
        <v>184</v>
      </c>
      <c r="J59" s="1" t="s">
        <v>185</v>
      </c>
      <c r="K59" s="1" t="n">
        <v>1621</v>
      </c>
      <c r="L59" s="11" t="n">
        <v>0.330867055185253</v>
      </c>
      <c r="M59" s="1" t="n">
        <f aca="false">SUMIF(Relatorio_AK!$A:$A,A59,Relatorio_AK!$B:$B)</f>
        <v>1621</v>
      </c>
      <c r="N59" s="1" t="str">
        <f aca="false">IF(M59=K59,"OK","DIF")</f>
        <v>OK</v>
      </c>
      <c r="O59" s="13" t="str">
        <f aca="false">IFERROR(VLOOKUP($A59,Lista_Starke!$A:$E,3,0),"NÃO ESTÁ NA LISTA")</f>
        <v>FORD: Royale 1.8/2.0 AP 91/94
FORD: Versailles 2.0 8V AP 95/96
VOLKSWAGEN: Fox 1.0/1.6 03/14
VOLKSWAGEN: Gol 2.0 8V 95/...
VOLKSWAGEN: Golf 1.8 8V 96/...
VOLKSWAGEN: Parati 1.6 8V / 1.8 8V 82/95
VOLKSWAGEN: Parati 1.6 8V AP 82/97
VOLKSWAGEN: Parati 1.8 8V AP 87/97
VOLKSWAGEN: Polo 1.6 8V 02/14
VOLKSWAGEN: Quantum 1.8 8V AP / 2.0 8V AP 85/94
VOLKSWAGEN: Santana 1.8 8V AP 85/06
VOLKSWAGEN: Saveiro 1.6 8V AP 82/97
VOLKSWAGEN: Saveiro 1.8 8V AP 87/98
VOLKSWAGEN: Spacefox 1.6 8V 03/14</v>
      </c>
      <c r="P59" s="12" t="str">
        <f aca="false">IFERROR(VLOOKUP($A59,Lista_Starke!$A:$E,2,0),"NÃO ESTÁ NA LISTA")</f>
        <v>CILINDRO DE RODA LE/LD</v>
      </c>
    </row>
    <row r="60" customFormat="false" ht="15" hidden="false" customHeight="true" outlineLevel="0" collapsed="false">
      <c r="A60" s="10" t="s">
        <v>186</v>
      </c>
      <c r="B60" s="10" t="str">
        <f aca="false">IFERROR(VLOOKUP(A60,Pedido!$A:$B,2,0),"")</f>
        <v/>
      </c>
      <c r="C60" s="10" t="str">
        <f aca="false">IF(B60="","NÃO COMPRA","COMPRA")</f>
        <v>NÃO COMPRA</v>
      </c>
      <c r="D60" s="1" t="n">
        <f aca="false">IFERROR(VLOOKUP(A60,Pedido!$A:$C,3,0),0)</f>
        <v>0</v>
      </c>
      <c r="E60" s="5" t="n">
        <f aca="false">IFERROR(VLOOKUP(A60,Pedido!$A:$E,5,0),0)</f>
        <v>0</v>
      </c>
      <c r="F60" s="1" t="s">
        <v>7</v>
      </c>
      <c r="G60" s="1" t="s">
        <v>168</v>
      </c>
      <c r="H60" s="1" t="s">
        <v>131</v>
      </c>
      <c r="I60" s="1" t="s">
        <v>57</v>
      </c>
      <c r="J60" s="1" t="s">
        <v>187</v>
      </c>
      <c r="K60" s="1" t="n">
        <v>1596</v>
      </c>
      <c r="L60" s="11" t="n">
        <v>0.333595460862935</v>
      </c>
      <c r="M60" s="1" t="n">
        <f aca="false">SUMIF(Relatorio_AK!$A:$A,A60,Relatorio_AK!$B:$B)</f>
        <v>1596</v>
      </c>
      <c r="N60" s="1" t="str">
        <f aca="false">IF(M60=K60,"OK","DIF")</f>
        <v>OK</v>
      </c>
      <c r="O60" s="13" t="str">
        <f aca="false">IFERROR(VLOOKUP($A60,Lista_Starke!$A:$E,3,0),"NÃO ESTÁ NA LISTA")</f>
        <v>GM: Agile 1.4 8V 09/16
GM: Classic 1.0 8V 08/17
GM: Corsa 1.0 / 1.4 / 1.6 94/17
GM: Tigra 1.6 8V 98/00</v>
      </c>
      <c r="P60" s="12" t="str">
        <f aca="false">IFERROR(VLOOKUP($A60,Lista_Starke!$A:$E,2,0),"NÃO ESTÁ NA LISTA")</f>
        <v>SAPATA DE FREIO</v>
      </c>
    </row>
    <row r="61" customFormat="false" ht="15" hidden="false" customHeight="true" outlineLevel="0" collapsed="false">
      <c r="A61" s="10" t="s">
        <v>188</v>
      </c>
      <c r="B61" s="10" t="str">
        <f aca="false">IFERROR(VLOOKUP(A61,Pedido!$A:$B,2,0),"")</f>
        <v/>
      </c>
      <c r="C61" s="10" t="str">
        <f aca="false">IF(B61="","NÃO COMPRA","COMPRA")</f>
        <v>NÃO COMPRA</v>
      </c>
      <c r="D61" s="1" t="n">
        <f aca="false">IFERROR(VLOOKUP(A61,Pedido!$A:$C,3,0),0)</f>
        <v>0</v>
      </c>
      <c r="E61" s="5" t="n">
        <f aca="false">IFERROR(VLOOKUP(A61,Pedido!$A:$E,5,0),0)</f>
        <v>0</v>
      </c>
      <c r="F61" s="1" t="s">
        <v>7</v>
      </c>
      <c r="G61" s="1" t="s">
        <v>105</v>
      </c>
      <c r="H61" s="1" t="s">
        <v>88</v>
      </c>
      <c r="I61" s="1" t="s">
        <v>46</v>
      </c>
      <c r="J61" s="1" t="s">
        <v>189</v>
      </c>
      <c r="K61" s="1" t="n">
        <v>1578</v>
      </c>
      <c r="L61" s="11" t="n">
        <v>0.336293095048012</v>
      </c>
      <c r="M61" s="1" t="n">
        <f aca="false">SUMIF(Relatorio_AK!$A:$A,A61,Relatorio_AK!$B:$B)</f>
        <v>1578</v>
      </c>
      <c r="N61" s="1" t="str">
        <f aca="false">IF(M61=K61,"OK","DIF")</f>
        <v>OK</v>
      </c>
      <c r="O61" s="13" t="str">
        <f aca="false">IFERROR(VLOOKUP($A61,Lista_Starke!$A:$E,3,0),"NÃO ESTÁ NA LISTA")</f>
        <v>FIAT: Mobi 1.0 6V 3cil 16/...
FIAT: Mobi 1.0 8V Fire 16/...
FIAT: Palio 1.6 16V Etorq 10/17
FIAT: Palio Economy 1.0 8V Fire 14/16
FIAT: Palio Weekend 1.6 16V Etorq 12/17
FIAT: Uno 1.4 8V Fire 12/14</v>
      </c>
      <c r="P61" s="12" t="str">
        <f aca="false">IFERROR(VLOOKUP($A61,Lista_Starke!$A:$E,2,0),"NÃO ESTÁ NA LISTA")</f>
        <v>CILINDRO DE RODA LE/LD</v>
      </c>
    </row>
    <row r="62" customFormat="false" ht="15" hidden="false" customHeight="true" outlineLevel="0" collapsed="false">
      <c r="A62" s="10" t="s">
        <v>190</v>
      </c>
      <c r="B62" s="10" t="str">
        <f aca="false">IFERROR(VLOOKUP(A62,Pedido!$A:$B,2,0),"")</f>
        <v/>
      </c>
      <c r="C62" s="10" t="str">
        <f aca="false">IF(B62="","NÃO COMPRA","COMPRA")</f>
        <v>NÃO COMPRA</v>
      </c>
      <c r="D62" s="1" t="n">
        <f aca="false">IFERROR(VLOOKUP(A62,Pedido!$A:$C,3,0),0)</f>
        <v>0</v>
      </c>
      <c r="E62" s="5" t="n">
        <f aca="false">IFERROR(VLOOKUP(A62,Pedido!$A:$E,5,0),0)</f>
        <v>0</v>
      </c>
      <c r="F62" s="1" t="s">
        <v>7</v>
      </c>
      <c r="G62" s="1" t="s">
        <v>191</v>
      </c>
      <c r="H62" s="1" t="s">
        <v>35</v>
      </c>
      <c r="I62" s="1" t="s">
        <v>50</v>
      </c>
      <c r="K62" s="1" t="n">
        <v>1572</v>
      </c>
      <c r="L62" s="11" t="n">
        <v>0.338980472068887</v>
      </c>
      <c r="M62" s="1" t="n">
        <f aca="false">SUMIF(Relatorio_AK!$A:$A,A62,Relatorio_AK!$B:$B)</f>
        <v>1572</v>
      </c>
      <c r="N62" s="1" t="str">
        <f aca="false">IF(M62=K62,"OK","DIF")</f>
        <v>OK</v>
      </c>
      <c r="O62" s="13" t="str">
        <f aca="false">IFERROR(VLOOKUP($A62,Lista_Starke!$A:$E,3,0),"NÃO ESTÁ NA LISTA")</f>
        <v>HONDA: City 1.5 16V 09/14
HONDA: New Fit 1.4 16V 09/14
HONDA: New Fit 1.5 16V 09/14</v>
      </c>
      <c r="P62" s="12" t="str">
        <f aca="false">IFERROR(VLOOKUP($A62,Lista_Starke!$A:$E,2,0),"NÃO ESTÁ NA LISTA")</f>
        <v>CILINDRO MESTRE DE FREIO</v>
      </c>
    </row>
    <row r="63" customFormat="false" ht="15" hidden="false" customHeight="true" outlineLevel="0" collapsed="false">
      <c r="A63" s="10" t="s">
        <v>192</v>
      </c>
      <c r="B63" s="10" t="str">
        <f aca="false">IFERROR(VLOOKUP(A63,Pedido!$A:$B,2,0),"")</f>
        <v/>
      </c>
      <c r="C63" s="10" t="str">
        <f aca="false">IF(B63="","NÃO COMPRA","COMPRA")</f>
        <v>NÃO COMPRA</v>
      </c>
      <c r="D63" s="1" t="n">
        <f aca="false">IFERROR(VLOOKUP(A63,Pedido!$A:$C,3,0),0)</f>
        <v>0</v>
      </c>
      <c r="E63" s="5" t="n">
        <f aca="false">IFERROR(VLOOKUP(A63,Pedido!$A:$E,5,0),0)</f>
        <v>0</v>
      </c>
      <c r="F63" s="1" t="s">
        <v>7</v>
      </c>
      <c r="G63" s="1" t="s">
        <v>193</v>
      </c>
      <c r="H63" s="1" t="s">
        <v>32</v>
      </c>
      <c r="I63" s="1" t="s">
        <v>53</v>
      </c>
      <c r="J63" s="1" t="s">
        <v>194</v>
      </c>
      <c r="K63" s="1" t="n">
        <v>1555</v>
      </c>
      <c r="L63" s="11" t="n">
        <v>0.341638787124524</v>
      </c>
      <c r="M63" s="1" t="n">
        <f aca="false">SUMIF(Relatorio_AK!$A:$A,A63,Relatorio_AK!$B:$B)</f>
        <v>1555</v>
      </c>
      <c r="N63" s="1" t="str">
        <f aca="false">IF(M63=K63,"OK","DIF")</f>
        <v>OK</v>
      </c>
      <c r="O63" s="13" t="str">
        <f aca="false">IFERROR(VLOOKUP($A63,Lista_Starke!$A:$E,3,0),"NÃO ESTÁ NA LISTA")</f>
        <v>FORD: Focus 1.6 8V Zetec Rocam 03/07
FORD: Focus 1.8 16V Zetec 00/07
FORD: Focus 2.0 16V Zetec 00/07</v>
      </c>
      <c r="P63" s="12" t="str">
        <f aca="false">IFERROR(VLOOKUP($A63,Lista_Starke!$A:$E,2,0),"NÃO ESTÁ NA LISTA")</f>
        <v>CILINDRO MESTRE DE EMBREAGEM</v>
      </c>
    </row>
    <row r="64" customFormat="false" ht="15" hidden="false" customHeight="true" outlineLevel="0" collapsed="false">
      <c r="A64" s="10" t="s">
        <v>195</v>
      </c>
      <c r="B64" s="10" t="str">
        <f aca="false">IFERROR(VLOOKUP(A64,Pedido!$A:$B,2,0),"")</f>
        <v/>
      </c>
      <c r="C64" s="10" t="str">
        <f aca="false">IF(B64="","NÃO COMPRA","COMPRA")</f>
        <v>NÃO COMPRA</v>
      </c>
      <c r="D64" s="1" t="n">
        <f aca="false">IFERROR(VLOOKUP(A64,Pedido!$A:$C,3,0),0)</f>
        <v>0</v>
      </c>
      <c r="E64" s="5" t="n">
        <f aca="false">IFERROR(VLOOKUP(A64,Pedido!$A:$E,5,0),0)</f>
        <v>0</v>
      </c>
      <c r="F64" s="1" t="s">
        <v>7</v>
      </c>
      <c r="G64" s="1" t="s">
        <v>196</v>
      </c>
      <c r="H64" s="1" t="s">
        <v>197</v>
      </c>
      <c r="I64" s="1" t="s">
        <v>198</v>
      </c>
      <c r="J64" s="1" t="s">
        <v>199</v>
      </c>
      <c r="K64" s="1" t="n">
        <v>1555</v>
      </c>
      <c r="L64" s="11" t="n">
        <v>0.34429710218016</v>
      </c>
      <c r="M64" s="1" t="n">
        <f aca="false">SUMIF(Relatorio_AK!$A:$A,A64,Relatorio_AK!$B:$B)</f>
        <v>1555</v>
      </c>
      <c r="N64" s="1" t="str">
        <f aca="false">IF(M64=K64,"OK","DIF")</f>
        <v>OK</v>
      </c>
      <c r="O64" s="13" t="str">
        <f aca="false">IFERROR(VLOOKUP($A64,Lista_Starke!$A:$E,3,0),"NÃO ESTÁ NA LISTA")</f>
        <v>FIAT: Argo 1.8 16V 17/...
FIAT: Cronos 1.8 16V 18/...
FIAT: Toro 1.8 16V 16/...
JEEP: Renegade 1.8 16V 15/...
MINI: Cooper 1.6 16V   W10B16A 01/07
MINI: Cooper S 1.6 16V   W10B16A 90 02/07
MINI: Cooper Works 1.6 16V   W10B16A 90 03/07
MINI: One 1.4 16V   W10B14A 02/04
MINI: One 1.6 16V   W10B16A 01/07</v>
      </c>
      <c r="P64" s="12" t="str">
        <f aca="false">IFERROR(VLOOKUP($A64,Lista_Starke!$A:$E,2,0),"NÃO ESTÁ NA LISTA")</f>
        <v>BOMBA D'ÁGUA</v>
      </c>
    </row>
    <row r="65" customFormat="false" ht="15" hidden="false" customHeight="true" outlineLevel="0" collapsed="false">
      <c r="A65" s="10" t="s">
        <v>200</v>
      </c>
      <c r="B65" s="10" t="str">
        <f aca="false">IFERROR(VLOOKUP(A65,Pedido!$A:$B,2,0),"")</f>
        <v/>
      </c>
      <c r="C65" s="10" t="str">
        <f aca="false">IF(B65="","NÃO COMPRA","COMPRA")</f>
        <v>NÃO COMPRA</v>
      </c>
      <c r="D65" s="1" t="n">
        <f aca="false">IFERROR(VLOOKUP(A65,Pedido!$A:$C,3,0),0)</f>
        <v>0</v>
      </c>
      <c r="E65" s="5" t="n">
        <f aca="false">IFERROR(VLOOKUP(A65,Pedido!$A:$E,5,0),0)</f>
        <v>0</v>
      </c>
      <c r="F65" s="1" t="s">
        <v>7</v>
      </c>
      <c r="G65" s="1" t="s">
        <v>130</v>
      </c>
      <c r="H65" s="1" t="s">
        <v>131</v>
      </c>
      <c r="I65" s="1" t="s">
        <v>46</v>
      </c>
      <c r="J65" s="1" t="s">
        <v>201</v>
      </c>
      <c r="K65" s="1" t="n">
        <v>1538</v>
      </c>
      <c r="L65" s="11" t="n">
        <v>0.346926355270558</v>
      </c>
      <c r="M65" s="1" t="n">
        <f aca="false">SUMIF(Relatorio_AK!$A:$A,A65,Relatorio_AK!$B:$B)</f>
        <v>1538</v>
      </c>
      <c r="N65" s="1" t="str">
        <f aca="false">IF(M65=K65,"OK","DIF")</f>
        <v>OK</v>
      </c>
      <c r="O65" s="13" t="str">
        <f aca="false">IFERROR(VLOOKUP($A65,Lista_Starke!$A:$E,3,0),"NÃO ESTÁ NA LISTA")</f>
        <v>FIAT: Grand Siena 1.4 8V 12/...
FIAT: Grand Siena 1.6 16V 12/...
FIAT: Mobi 1.0 8V c/ ABS 16/...
FIAT: Novo Uno 1.0 / 1.4 11/...
FIAT: Novo Uno Furgão  13/...
FIAT: Palio 1.0 / 1.4 12/...
FIAT: Palio 1.6 Etorq 12/...</v>
      </c>
      <c r="P65" s="12" t="str">
        <f aca="false">IFERROR(VLOOKUP($A65,Lista_Starke!$A:$E,2,0),"NÃO ESTÁ NA LISTA")</f>
        <v>SAPATA DE FREIO</v>
      </c>
    </row>
    <row r="66" customFormat="false" ht="15" hidden="false" customHeight="true" outlineLevel="0" collapsed="false">
      <c r="A66" s="10" t="s">
        <v>202</v>
      </c>
      <c r="B66" s="10" t="str">
        <f aca="false">IFERROR(VLOOKUP(A66,Pedido!$A:$B,2,0),"")</f>
        <v/>
      </c>
      <c r="C66" s="10" t="str">
        <f aca="false">IF(B66="","NÃO COMPRA","COMPRA")</f>
        <v>NÃO COMPRA</v>
      </c>
      <c r="D66" s="1" t="n">
        <f aca="false">IFERROR(VLOOKUP(A66,Pedido!$A:$C,3,0),0)</f>
        <v>0</v>
      </c>
      <c r="E66" s="5" t="n">
        <f aca="false">IFERROR(VLOOKUP(A66,Pedido!$A:$E,5,0),0)</f>
        <v>0</v>
      </c>
      <c r="F66" s="1" t="s">
        <v>7</v>
      </c>
      <c r="G66" s="1" t="s">
        <v>27</v>
      </c>
      <c r="H66" s="1" t="s">
        <v>28</v>
      </c>
      <c r="I66" s="1" t="s">
        <v>172</v>
      </c>
      <c r="J66" s="1" t="s">
        <v>203</v>
      </c>
      <c r="K66" s="1" t="n">
        <v>1498</v>
      </c>
      <c r="L66" s="11" t="n">
        <v>0.349487227266278</v>
      </c>
      <c r="M66" s="1" t="n">
        <f aca="false">SUMIF(Relatorio_AK!$A:$A,A66,Relatorio_AK!$B:$B)</f>
        <v>1498</v>
      </c>
      <c r="N66" s="1" t="str">
        <f aca="false">IF(M66=K66,"OK","DIF")</f>
        <v>OK</v>
      </c>
      <c r="O66" s="13" t="str">
        <f aca="false">IFERROR(VLOOKUP($A66,Lista_Starke!$A:$E,3,0),"NÃO ESTÁ NA LISTA")</f>
        <v>HYUNDAI: Bongo K2500 2.5 16V 13/...
HYUNDAI: HR 2.5 16V 13/...
HYUNDAI: HR 2.5 8V Diesel 05/12
KIA: Bongo K2500 2.5 16V 13/...
KIA: Bongo K2500 2.5 8V Diesel 05/12
KIA: Bongo K2700 2.7 8V Diesel 06/12</v>
      </c>
      <c r="P66" s="12" t="str">
        <f aca="false">IFERROR(VLOOKUP($A66,Lista_Starke!$A:$E,2,0),"NÃO ESTÁ NA LISTA")</f>
        <v>CILINDRO AUXILIAR DE EMBREAGEM</v>
      </c>
    </row>
    <row r="67" customFormat="false" ht="15" hidden="false" customHeight="true" outlineLevel="0" collapsed="false">
      <c r="A67" s="10" t="s">
        <v>204</v>
      </c>
      <c r="B67" s="10" t="str">
        <f aca="false">IFERROR(VLOOKUP(A67,Pedido!$A:$B,2,0),"")</f>
        <v/>
      </c>
      <c r="C67" s="10" t="str">
        <f aca="false">IF(B67="","NÃO COMPRA","COMPRA")</f>
        <v>NÃO COMPRA</v>
      </c>
      <c r="D67" s="1" t="n">
        <f aca="false">IFERROR(VLOOKUP(A67,Pedido!$A:$C,3,0),0)</f>
        <v>0</v>
      </c>
      <c r="E67" s="5" t="n">
        <f aca="false">IFERROR(VLOOKUP(A67,Pedido!$A:$E,5,0),0)</f>
        <v>0</v>
      </c>
      <c r="F67" s="1" t="s">
        <v>7</v>
      </c>
      <c r="G67" s="1" t="s">
        <v>52</v>
      </c>
      <c r="H67" s="1" t="s">
        <v>35</v>
      </c>
      <c r="I67" s="1" t="s">
        <v>53</v>
      </c>
      <c r="J67" s="1" t="s">
        <v>205</v>
      </c>
      <c r="K67" s="1" t="n">
        <v>1490</v>
      </c>
      <c r="L67" s="11" t="n">
        <v>0.352034423043061</v>
      </c>
      <c r="M67" s="1" t="n">
        <f aca="false">SUMIF(Relatorio_AK!$A:$A,A67,Relatorio_AK!$B:$B)</f>
        <v>1490</v>
      </c>
      <c r="N67" s="1" t="str">
        <f aca="false">IF(M67=K67,"OK","DIF")</f>
        <v>OK</v>
      </c>
      <c r="O67" s="13" t="str">
        <f aca="false">IFERROR(VLOOKUP($A67,Lista_Starke!$A:$E,3,0),"NÃO ESTÁ NA LISTA")</f>
        <v>FORD: Ecosport 1.6 16V 4x2 06/10
FORD: Ecosport 2.0 16V 4x4 06/10</v>
      </c>
      <c r="P67" s="12" t="str">
        <f aca="false">IFERROR(VLOOKUP($A67,Lista_Starke!$A:$E,2,0),"NÃO ESTÁ NA LISTA")</f>
        <v>CILINDRO MESTRE DE FREIO</v>
      </c>
    </row>
    <row r="68" customFormat="false" ht="15" hidden="false" customHeight="true" outlineLevel="0" collapsed="false">
      <c r="A68" s="10" t="s">
        <v>206</v>
      </c>
      <c r="B68" s="10" t="str">
        <f aca="false">IFERROR(VLOOKUP(A68,Pedido!$A:$B,2,0),"")</f>
        <v/>
      </c>
      <c r="C68" s="10" t="str">
        <f aca="false">IF(B68="","NÃO COMPRA","COMPRA")</f>
        <v>NÃO COMPRA</v>
      </c>
      <c r="D68" s="1" t="n">
        <f aca="false">IFERROR(VLOOKUP(A68,Pedido!$A:$C,3,0),0)</f>
        <v>0</v>
      </c>
      <c r="E68" s="5" t="n">
        <f aca="false">IFERROR(VLOOKUP(A68,Pedido!$A:$E,5,0),0)</f>
        <v>0</v>
      </c>
      <c r="F68" s="1" t="s">
        <v>7</v>
      </c>
      <c r="G68" s="1" t="s">
        <v>207</v>
      </c>
      <c r="H68" s="1" t="s">
        <v>197</v>
      </c>
      <c r="I68" s="1" t="s">
        <v>42</v>
      </c>
      <c r="J68" s="1" t="s">
        <v>208</v>
      </c>
      <c r="K68" s="1" t="n">
        <v>1486</v>
      </c>
      <c r="L68" s="11" t="n">
        <v>0.354574780710377</v>
      </c>
      <c r="M68" s="1" t="n">
        <f aca="false">SUMIF(Relatorio_AK!$A:$A,A68,Relatorio_AK!$B:$B)</f>
        <v>1486</v>
      </c>
      <c r="N68" s="1" t="str">
        <f aca="false">IF(M68=K68,"OK","DIF")</f>
        <v>OK</v>
      </c>
      <c r="O68" s="13" t="str">
        <f aca="false">IFERROR(VLOOKUP($A68,Lista_Starke!$A:$E,3,0),"NÃO ESTÁ NA LISTA")</f>
        <v>RENAULT: Kwid 1.0 12V 3 cil 17/...
RENAULT: Logan 1.0 12V 3 cil 16/...
RENAULT: Sandero 1.0 12V 3 cil 16/...</v>
      </c>
      <c r="P68" s="12" t="str">
        <f aca="false">IFERROR(VLOOKUP($A68,Lista_Starke!$A:$E,2,0),"NÃO ESTÁ NA LISTA")</f>
        <v>BOMBA D´ÁGUA</v>
      </c>
    </row>
    <row r="69" customFormat="false" ht="15" hidden="false" customHeight="true" outlineLevel="0" collapsed="false">
      <c r="A69" s="10" t="s">
        <v>209</v>
      </c>
      <c r="B69" s="10" t="str">
        <f aca="false">IFERROR(VLOOKUP(A69,Pedido!$A:$B,2,0),"")</f>
        <v/>
      </c>
      <c r="C69" s="10" t="str">
        <f aca="false">IF(B69="","NÃO COMPRA","COMPRA")</f>
        <v>NÃO COMPRA</v>
      </c>
      <c r="D69" s="1" t="n">
        <f aca="false">IFERROR(VLOOKUP(A69,Pedido!$A:$C,3,0),0)</f>
        <v>0</v>
      </c>
      <c r="E69" s="5" t="n">
        <f aca="false">IFERROR(VLOOKUP(A69,Pedido!$A:$E,5,0),0)</f>
        <v>0</v>
      </c>
      <c r="F69" s="1" t="s">
        <v>7</v>
      </c>
      <c r="G69" s="1" t="s">
        <v>56</v>
      </c>
      <c r="H69" s="1" t="s">
        <v>35</v>
      </c>
      <c r="I69" s="1" t="s">
        <v>57</v>
      </c>
      <c r="J69" s="1" t="s">
        <v>210</v>
      </c>
      <c r="K69" s="1" t="n">
        <v>1463</v>
      </c>
      <c r="L69" s="11" t="n">
        <v>0.357075819248252</v>
      </c>
      <c r="M69" s="1" t="n">
        <f aca="false">SUMIF(Relatorio_AK!$A:$A,A69,Relatorio_AK!$B:$B)</f>
        <v>1463</v>
      </c>
      <c r="N69" s="1" t="str">
        <f aca="false">IF(M69=K69,"OK","DIF")</f>
        <v>OK</v>
      </c>
      <c r="O69" s="12" t="str">
        <f aca="false">IFERROR(VLOOKUP($A69,Lista_Starke!$A:$E,3,0),"NÃO ESTÁ NA LISTA")</f>
        <v>GM: Agile 1.4 8V 09/...</v>
      </c>
      <c r="P69" s="12" t="str">
        <f aca="false">IFERROR(VLOOKUP($A69,Lista_Starke!$A:$E,2,0),"NÃO ESTÁ NA LISTA")</f>
        <v>CILINDRO MESTRE DE FREIO</v>
      </c>
    </row>
    <row r="70" customFormat="false" ht="15" hidden="false" customHeight="true" outlineLevel="0" collapsed="false">
      <c r="A70" s="10" t="s">
        <v>211</v>
      </c>
      <c r="B70" s="10" t="str">
        <f aca="false">IFERROR(VLOOKUP(A70,Pedido!$A:$B,2,0),"")</f>
        <v/>
      </c>
      <c r="C70" s="10" t="str">
        <f aca="false">IF(B70="","NÃO COMPRA","COMPRA")</f>
        <v>NÃO COMPRA</v>
      </c>
      <c r="D70" s="1" t="n">
        <f aca="false">IFERROR(VLOOKUP(A70,Pedido!$A:$C,3,0),0)</f>
        <v>0</v>
      </c>
      <c r="E70" s="5" t="n">
        <f aca="false">IFERROR(VLOOKUP(A70,Pedido!$A:$E,5,0),0)</f>
        <v>0</v>
      </c>
      <c r="F70" s="1" t="s">
        <v>7</v>
      </c>
      <c r="G70" s="1" t="s">
        <v>56</v>
      </c>
      <c r="H70" s="1" t="s">
        <v>35</v>
      </c>
      <c r="I70" s="1" t="s">
        <v>57</v>
      </c>
      <c r="J70" s="1" t="s">
        <v>212</v>
      </c>
      <c r="K70" s="1" t="n">
        <v>1420</v>
      </c>
      <c r="L70" s="11" t="n">
        <v>0.359503348109348</v>
      </c>
      <c r="M70" s="1" t="n">
        <f aca="false">SUMIF(Relatorio_AK!$A:$A,A70,Relatorio_AK!$B:$B)</f>
        <v>1420</v>
      </c>
      <c r="N70" s="1" t="str">
        <f aca="false">IF(M70=K70,"OK","DIF")</f>
        <v>OK</v>
      </c>
      <c r="O70" s="13" t="str">
        <f aca="false">IFERROR(VLOOKUP($A70,Lista_Starke!$A:$E,3,0),"NÃO ESTÁ NA LISTA")</f>
        <v>GM: Blazer 2.2 EFI 95/98
GM: Blazer 2.2 MPFI 97/00
GM: Blazer 2.4 MPFI 00/12
GM: Blazer 2.5 Diesel 4x4 97/00
GM: Blazer 2.8 Diesel 97/09
GM: Blazer 4.3 V6 MPFI 96/03
GM: S10 2.2 EFI 95/97
GM: S10 2.2 MPFI 97/00
GM: S10 2.4 MPFI 00/12
GM: S10 2.8 Diesel 4x4 00/12
GM: S10 4.3 V6 96/03</v>
      </c>
      <c r="P70" s="12" t="str">
        <f aca="false">IFERROR(VLOOKUP($A70,Lista_Starke!$A:$E,2,0),"NÃO ESTÁ NA LISTA")</f>
        <v>CILINDRO MESTRE DE FREIO</v>
      </c>
    </row>
    <row r="71" customFormat="false" ht="15" hidden="false" customHeight="true" outlineLevel="0" collapsed="false">
      <c r="A71" s="10" t="s">
        <v>213</v>
      </c>
      <c r="B71" s="10" t="str">
        <f aca="false">IFERROR(VLOOKUP(A71,Pedido!$A:$B,2,0),"")</f>
        <v/>
      </c>
      <c r="C71" s="10" t="str">
        <f aca="false">IF(B71="","NÃO COMPRA","COMPRA")</f>
        <v>NÃO COMPRA</v>
      </c>
      <c r="D71" s="1" t="n">
        <f aca="false">IFERROR(VLOOKUP(A71,Pedido!$A:$C,3,0),0)</f>
        <v>0</v>
      </c>
      <c r="E71" s="5" t="n">
        <f aca="false">IFERROR(VLOOKUP(A71,Pedido!$A:$E,5,0),0)</f>
        <v>0</v>
      </c>
      <c r="F71" s="1" t="s">
        <v>7</v>
      </c>
      <c r="G71" s="1" t="s">
        <v>214</v>
      </c>
      <c r="H71" s="1" t="s">
        <v>35</v>
      </c>
      <c r="I71" s="1" t="s">
        <v>215</v>
      </c>
      <c r="K71" s="1" t="n">
        <v>1394</v>
      </c>
      <c r="L71" s="11" t="n">
        <v>0.361886429258903</v>
      </c>
      <c r="M71" s="1" t="n">
        <f aca="false">SUMIF(Relatorio_AK!$A:$A,A71,Relatorio_AK!$B:$B)</f>
        <v>1394</v>
      </c>
      <c r="N71" s="1" t="str">
        <f aca="false">IF(M71=K71,"OK","DIF")</f>
        <v>OK</v>
      </c>
      <c r="O71" s="13" t="str">
        <f aca="false">IFERROR(VLOOKUP($A71,Lista_Starke!$A:$E,3,0),"NÃO ESTÁ NA LISTA")</f>
        <v>NISSAN: March 1.0 16V 11/...
NISSAN: March 1.6 16V 11/...
NISSAN: Versa 1.6 16V 11/...</v>
      </c>
      <c r="P71" s="12" t="str">
        <f aca="false">IFERROR(VLOOKUP($A71,Lista_Starke!$A:$E,2,0),"NÃO ESTÁ NA LISTA")</f>
        <v>CILINDRO MESTRE DE FREIO</v>
      </c>
    </row>
    <row r="72" customFormat="false" ht="15" hidden="false" customHeight="true" outlineLevel="0" collapsed="false">
      <c r="A72" s="10" t="s">
        <v>216</v>
      </c>
      <c r="B72" s="10" t="str">
        <f aca="false">IFERROR(VLOOKUP(A72,Pedido!$A:$B,2,0),"")</f>
        <v/>
      </c>
      <c r="C72" s="10" t="str">
        <f aca="false">IF(B72="","NÃO COMPRA","COMPRA")</f>
        <v>NÃO COMPRA</v>
      </c>
      <c r="D72" s="1" t="n">
        <f aca="false">IFERROR(VLOOKUP(A72,Pedido!$A:$C,3,0),0)</f>
        <v>0</v>
      </c>
      <c r="E72" s="5" t="n">
        <f aca="false">IFERROR(VLOOKUP(A72,Pedido!$A:$E,5,0),0)</f>
        <v>0</v>
      </c>
      <c r="F72" s="1" t="s">
        <v>7</v>
      </c>
      <c r="G72" s="1" t="s">
        <v>34</v>
      </c>
      <c r="H72" s="1" t="s">
        <v>35</v>
      </c>
      <c r="I72" s="1" t="s">
        <v>36</v>
      </c>
      <c r="J72" s="1" t="s">
        <v>217</v>
      </c>
      <c r="K72" s="1" t="n">
        <v>1391</v>
      </c>
      <c r="L72" s="11" t="n">
        <v>0.364264381826356</v>
      </c>
      <c r="M72" s="1" t="n">
        <f aca="false">SUMIF(Relatorio_AK!$A:$A,A72,Relatorio_AK!$B:$B)</f>
        <v>1391</v>
      </c>
      <c r="N72" s="1" t="str">
        <f aca="false">IF(M72=K72,"OK","DIF")</f>
        <v>OK</v>
      </c>
      <c r="O72" s="13" t="str">
        <f aca="false">IFERROR(VLOOKUP($A72,Lista_Starke!$A:$E,3,0),"NÃO ESTÁ NA LISTA")</f>
        <v>VOLKSWAGEN: Crossfox  05/...
VOLKSWAGEN: Fox  04/...
VOLKSWAGEN: Polo  02/...
VOLKSWAGEN: Space Cross  12/...
VOLKSWAGEN: Spacefox  06/...</v>
      </c>
      <c r="P72" s="12" t="str">
        <f aca="false">IFERROR(VLOOKUP($A72,Lista_Starke!$A:$E,2,0),"NÃO ESTÁ NA LISTA")</f>
        <v>CILINDRO MESTRE DE FREIO</v>
      </c>
    </row>
    <row r="73" customFormat="false" ht="15" hidden="false" customHeight="true" outlineLevel="0" collapsed="false">
      <c r="A73" s="10" t="s">
        <v>218</v>
      </c>
      <c r="B73" s="10" t="str">
        <f aca="false">IFERROR(VLOOKUP(A73,Pedido!$A:$B,2,0),"")</f>
        <v/>
      </c>
      <c r="C73" s="10" t="str">
        <f aca="false">IF(B73="","NÃO COMPRA","COMPRA")</f>
        <v>NÃO COMPRA</v>
      </c>
      <c r="D73" s="1" t="n">
        <f aca="false">IFERROR(VLOOKUP(A73,Pedido!$A:$C,3,0),0)</f>
        <v>0</v>
      </c>
      <c r="E73" s="5" t="n">
        <f aca="false">IFERROR(VLOOKUP(A73,Pedido!$A:$E,5,0),0)</f>
        <v>0</v>
      </c>
      <c r="F73" s="1" t="s">
        <v>7</v>
      </c>
      <c r="G73" s="1" t="s">
        <v>219</v>
      </c>
      <c r="H73" s="1" t="s">
        <v>28</v>
      </c>
      <c r="I73" s="1" t="s">
        <v>57</v>
      </c>
      <c r="J73" s="1" t="s">
        <v>220</v>
      </c>
      <c r="K73" s="1" t="n">
        <v>1381</v>
      </c>
      <c r="L73" s="11" t="n">
        <v>0.36662523912014</v>
      </c>
      <c r="M73" s="1" t="n">
        <f aca="false">SUMIF(Relatorio_AK!$A:$A,A73,Relatorio_AK!$B:$B)</f>
        <v>1381</v>
      </c>
      <c r="N73" s="1" t="str">
        <f aca="false">IF(M73=K73,"OK","DIF")</f>
        <v>OK</v>
      </c>
      <c r="O73" s="13" t="str">
        <f aca="false">IFERROR(VLOOKUP($A73,Lista_Starke!$A:$E,3,0),"NÃO ESTÁ NA LISTA")</f>
        <v>GM: Blazer 2.2 8V 96/00
GM: Blazer 2.4 8V 01/11
GM: Blazer 2.5 Maxion 96/00
GM: S10 2.2 8V 96/00
GM: S10 2.4 8V 01/11
GM: S10 2.5 Maxion 96/00</v>
      </c>
      <c r="P73" s="12" t="str">
        <f aca="false">IFERROR(VLOOKUP($A73,Lista_Starke!$A:$E,2,0),"NÃO ESTÁ NA LISTA")</f>
        <v>CILINDRO AUXILIAR DE EMBREAGEM</v>
      </c>
    </row>
    <row r="74" customFormat="false" ht="15" hidden="false" customHeight="true" outlineLevel="0" collapsed="false">
      <c r="A74" s="10" t="s">
        <v>221</v>
      </c>
      <c r="B74" s="10" t="str">
        <f aca="false">IFERROR(VLOOKUP(A74,Pedido!$A:$B,2,0),"")</f>
        <v/>
      </c>
      <c r="C74" s="10" t="str">
        <f aca="false">IF(B74="","NÃO COMPRA","COMPRA")</f>
        <v>NÃO COMPRA</v>
      </c>
      <c r="D74" s="1" t="n">
        <f aca="false">IFERROR(VLOOKUP(A74,Pedido!$A:$C,3,0),0)</f>
        <v>0</v>
      </c>
      <c r="E74" s="5" t="n">
        <f aca="false">IFERROR(VLOOKUP(A74,Pedido!$A:$E,5,0),0)</f>
        <v>0</v>
      </c>
      <c r="F74" s="1" t="s">
        <v>7</v>
      </c>
      <c r="G74" s="1" t="s">
        <v>222</v>
      </c>
      <c r="H74" s="1" t="s">
        <v>88</v>
      </c>
      <c r="I74" s="1" t="s">
        <v>42</v>
      </c>
      <c r="J74" s="1" t="s">
        <v>223</v>
      </c>
      <c r="K74" s="1" t="n">
        <v>1376</v>
      </c>
      <c r="L74" s="11" t="n">
        <v>0.36897754877709</v>
      </c>
      <c r="M74" s="1" t="n">
        <f aca="false">SUMIF(Relatorio_AK!$A:$A,A74,Relatorio_AK!$B:$B)</f>
        <v>1376</v>
      </c>
      <c r="N74" s="1" t="str">
        <f aca="false">IF(M74=K74,"OK","DIF")</f>
        <v>OK</v>
      </c>
      <c r="O74" s="13" t="str">
        <f aca="false">IFERROR(VLOOKUP($A74,Lista_Starke!$A:$E,3,0),"NÃO ESTÁ NA LISTA")</f>
        <v>RENAULT: Duster 1.6 16V 4X2 11/17
RENAULT: Duster 2.0 16V 4X2 11/20</v>
      </c>
      <c r="P74" s="12" t="str">
        <f aca="false">IFERROR(VLOOKUP($A74,Lista_Starke!$A:$E,2,0),"NÃO ESTÁ NA LISTA")</f>
        <v>CILINDRO DE RODA LE/LD</v>
      </c>
    </row>
    <row r="75" customFormat="false" ht="15" hidden="false" customHeight="true" outlineLevel="0" collapsed="false">
      <c r="A75" s="10" t="s">
        <v>224</v>
      </c>
      <c r="B75" s="10" t="str">
        <f aca="false">IFERROR(VLOOKUP(A75,Pedido!$A:$B,2,0),"")</f>
        <v/>
      </c>
      <c r="C75" s="10" t="str">
        <f aca="false">IF(B75="","NÃO COMPRA","COMPRA")</f>
        <v>NÃO COMPRA</v>
      </c>
      <c r="D75" s="1" t="n">
        <f aca="false">IFERROR(VLOOKUP(A75,Pedido!$A:$C,3,0),0)</f>
        <v>0</v>
      </c>
      <c r="E75" s="5" t="n">
        <f aca="false">IFERROR(VLOOKUP(A75,Pedido!$A:$E,5,0),0)</f>
        <v>0</v>
      </c>
      <c r="F75" s="1" t="s">
        <v>7</v>
      </c>
      <c r="G75" s="1" t="s">
        <v>225</v>
      </c>
      <c r="H75" s="1" t="s">
        <v>35</v>
      </c>
      <c r="I75" s="1" t="s">
        <v>226</v>
      </c>
      <c r="J75" s="1" t="s">
        <v>227</v>
      </c>
      <c r="K75" s="1" t="n">
        <v>1366</v>
      </c>
      <c r="L75" s="11" t="n">
        <v>0.371312763160369</v>
      </c>
      <c r="M75" s="1" t="n">
        <f aca="false">SUMIF(Relatorio_AK!$A:$A,A75,Relatorio_AK!$B:$B)</f>
        <v>1366</v>
      </c>
      <c r="N75" s="1" t="str">
        <f aca="false">IF(M75=K75,"OK","DIF")</f>
        <v>OK</v>
      </c>
      <c r="O75" s="13" t="str">
        <f aca="false">IFERROR(VLOOKUP($A75,Lista_Starke!$A:$E,3,0),"NÃO ESTÁ NA LISTA")</f>
        <v>AUDI: A3  97/06
VOLKSWAGEN: Bora  01/07
VOLKSWAGEN: Golf  99/...
VOLKSWAGEN: New Beetle  00/05
VOLKSWAGEN: TT  99/06</v>
      </c>
      <c r="P75" s="12" t="str">
        <f aca="false">IFERROR(VLOOKUP($A75,Lista_Starke!$A:$E,2,0),"NÃO ESTÁ NA LISTA")</f>
        <v>CILINDRO MESTRE DE FREIO</v>
      </c>
    </row>
    <row r="76" customFormat="false" ht="15" hidden="false" customHeight="true" outlineLevel="0" collapsed="false">
      <c r="A76" s="10" t="s">
        <v>228</v>
      </c>
      <c r="B76" s="10" t="str">
        <f aca="false">IFERROR(VLOOKUP(A76,Pedido!$A:$B,2,0),"")</f>
        <v/>
      </c>
      <c r="C76" s="10" t="str">
        <f aca="false">IF(B76="","NÃO COMPRA","COMPRA")</f>
        <v>NÃO COMPRA</v>
      </c>
      <c r="D76" s="1" t="n">
        <f aca="false">IFERROR(VLOOKUP(A76,Pedido!$A:$C,3,0),0)</f>
        <v>0</v>
      </c>
      <c r="E76" s="5" t="n">
        <f aca="false">IFERROR(VLOOKUP(A76,Pedido!$A:$E,5,0),0)</f>
        <v>0</v>
      </c>
      <c r="F76" s="1" t="s">
        <v>7</v>
      </c>
      <c r="G76" s="1" t="s">
        <v>229</v>
      </c>
      <c r="H76" s="1" t="s">
        <v>157</v>
      </c>
      <c r="I76" s="1" t="s">
        <v>63</v>
      </c>
      <c r="K76" s="1" t="n">
        <v>1359</v>
      </c>
      <c r="L76" s="11" t="n">
        <v>0.37363601085208</v>
      </c>
      <c r="M76" s="1" t="n">
        <f aca="false">SUMIF(Relatorio_AK!$A:$A,A76,Relatorio_AK!$B:$B)</f>
        <v>1359</v>
      </c>
      <c r="N76" s="1" t="str">
        <f aca="false">IF(M76=K76,"OK","DIF")</f>
        <v>OK</v>
      </c>
      <c r="O76" s="13" t="str">
        <f aca="false">IFERROR(VLOOKUP($A76,Lista_Starke!$A:$E,3,0),"NÃO ESTÁ NA LISTA")</f>
        <v>NISSAN: Livina 1.6 16V 10/…
NISSAN: March 1.0 16V 11/...
NISSAN: March 1.6 16V 11/…
NISSAN: Versa 1.6 16V 12/…
RENAULT: Duster 1.6 16V Hi Flex 12/…
RENAULT: Kwid 1.0 12V 3 cil 17/...
RENAULT: Logan 1.0 12V 3 cil 16/...
RENAULT: Logan 1.6 16V Hi Flex 08/…
RENAULT: Megane 1.6 16V Hi Flex 06/…
RENAULT: Megane Grand Tour 1.6 16V Hi Flex 06/…
RENAULT: Oroch 1.6 16V 15/...
RENAULT: Sandero 1.0 12V 3 cil 16/...
RENAULT: Sandero 1.6 16V Hi Flex 08/…
RENAULT: Symbol 1.6 16V Hi Flex K4M 09/…</v>
      </c>
      <c r="P76" s="12" t="str">
        <f aca="false">IFERROR(VLOOKUP($A76,Lista_Starke!$A:$E,2,0),"NÃO ESTÁ NA LISTA")</f>
        <v>ATUADOR DE EMBREAGEM</v>
      </c>
    </row>
    <row r="77" customFormat="false" ht="15" hidden="false" customHeight="true" outlineLevel="0" collapsed="false">
      <c r="A77" s="10" t="s">
        <v>230</v>
      </c>
      <c r="B77" s="10" t="str">
        <f aca="false">IFERROR(VLOOKUP(A77,Pedido!$A:$B,2,0),"")</f>
        <v/>
      </c>
      <c r="C77" s="10" t="str">
        <f aca="false">IF(B77="","NÃO COMPRA","COMPRA")</f>
        <v>NÃO COMPRA</v>
      </c>
      <c r="D77" s="1" t="n">
        <f aca="false">IFERROR(VLOOKUP(A77,Pedido!$A:$C,3,0),0)</f>
        <v>0</v>
      </c>
      <c r="E77" s="5" t="n">
        <f aca="false">IFERROR(VLOOKUP(A77,Pedido!$A:$E,5,0),0)</f>
        <v>0</v>
      </c>
      <c r="F77" s="1" t="s">
        <v>7</v>
      </c>
      <c r="G77" s="1" t="s">
        <v>231</v>
      </c>
      <c r="H77" s="1" t="s">
        <v>88</v>
      </c>
      <c r="I77" s="1" t="s">
        <v>71</v>
      </c>
      <c r="J77" s="1" t="s">
        <v>232</v>
      </c>
      <c r="K77" s="1" t="n">
        <v>1355</v>
      </c>
      <c r="L77" s="11" t="n">
        <v>0.375952420434322</v>
      </c>
      <c r="M77" s="1" t="n">
        <f aca="false">SUMIF(Relatorio_AK!$A:$A,A77,Relatorio_AK!$B:$B)</f>
        <v>1355</v>
      </c>
      <c r="N77" s="1" t="str">
        <f aca="false">IF(M77=K77,"OK","DIF")</f>
        <v>OK</v>
      </c>
      <c r="O77" s="13" t="str">
        <f aca="false">IFERROR(VLOOKUP($A77,Lista_Starke!$A:$E,3,0),"NÃO ESTÁ NA LISTA")</f>
        <v>PEUGEOT: 206 1.0 8V / 16V 01/...
PEUGEOT: 206 1.4 8V 04/...
PEUGEOT: 206 1.6 8V / 1.6 16V 99/...
PEUGEOT: 207 1.4 8V 08/...
PEUGEOT: 207 1.6 16V 08/...</v>
      </c>
      <c r="P77" s="12" t="str">
        <f aca="false">IFERROR(VLOOKUP($A77,Lista_Starke!$A:$E,2,0),"NÃO ESTÁ NA LISTA")</f>
        <v>CILINDRO DE RODA LE</v>
      </c>
    </row>
    <row r="78" customFormat="false" ht="15" hidden="false" customHeight="true" outlineLevel="0" collapsed="false">
      <c r="A78" s="10" t="s">
        <v>233</v>
      </c>
      <c r="B78" s="10" t="str">
        <f aca="false">IFERROR(VLOOKUP(A78,Pedido!$A:$B,2,0),"")</f>
        <v/>
      </c>
      <c r="C78" s="10" t="str">
        <f aca="false">IF(B78="","NÃO COMPRA","COMPRA")</f>
        <v>NÃO COMPRA</v>
      </c>
      <c r="D78" s="1" t="n">
        <f aca="false">IFERROR(VLOOKUP(A78,Pedido!$A:$C,3,0),0)</f>
        <v>0</v>
      </c>
      <c r="E78" s="5" t="n">
        <f aca="false">IFERROR(VLOOKUP(A78,Pedido!$A:$E,5,0),0)</f>
        <v>0</v>
      </c>
      <c r="F78" s="1" t="s">
        <v>7</v>
      </c>
      <c r="G78" s="1" t="s">
        <v>234</v>
      </c>
      <c r="H78" s="1" t="s">
        <v>235</v>
      </c>
      <c r="I78" s="1" t="s">
        <v>63</v>
      </c>
      <c r="J78" s="1" t="s">
        <v>236</v>
      </c>
      <c r="K78" s="1" t="n">
        <v>1334</v>
      </c>
      <c r="L78" s="11" t="n">
        <v>0.378232929941859</v>
      </c>
      <c r="M78" s="1" t="n">
        <f aca="false">SUMIF(Relatorio_AK!$A:$A,A78,Relatorio_AK!$B:$B)</f>
        <v>1334</v>
      </c>
      <c r="N78" s="1" t="str">
        <f aca="false">IF(M78=K78,"OK","DIF")</f>
        <v>OK</v>
      </c>
      <c r="O78" s="13" t="str">
        <f aca="false">IFERROR(VLOOKUP($A78,Lista_Starke!$A:$E,3,0),"NÃO ESTÁ NA LISTA")</f>
        <v>NISSAN: March 1.0 12V 3 cil 15/...
NISSAN: Versa 1.0 12V 3 cil 19/...
RENAULT: Kwid 1.0 12V 3 cil 17/...
RENAULT: Logan 1.0 12V 3 cil 16/...
RENAULT: Sandero 1.0 12V 3 cil 16/...</v>
      </c>
      <c r="P78" s="12" t="str">
        <f aca="false">IFERROR(VLOOKUP($A78,Lista_Starke!$A:$E,2,0),"NÃO ESTÁ NA LISTA")</f>
        <v>RESFRIADOR DE ÓLEO MOTOR</v>
      </c>
    </row>
    <row r="79" customFormat="false" ht="15" hidden="false" customHeight="true" outlineLevel="0" collapsed="false">
      <c r="A79" s="10" t="s">
        <v>237</v>
      </c>
      <c r="B79" s="10" t="str">
        <f aca="false">IFERROR(VLOOKUP(A79,Pedido!$A:$B,2,0),"")</f>
        <v/>
      </c>
      <c r="C79" s="10" t="str">
        <f aca="false">IF(B79="","NÃO COMPRA","COMPRA")</f>
        <v>NÃO COMPRA</v>
      </c>
      <c r="D79" s="1" t="n">
        <f aca="false">IFERROR(VLOOKUP(A79,Pedido!$A:$C,3,0),0)</f>
        <v>0</v>
      </c>
      <c r="E79" s="5" t="n">
        <f aca="false">IFERROR(VLOOKUP(A79,Pedido!$A:$E,5,0),0)</f>
        <v>0</v>
      </c>
      <c r="F79" s="1" t="s">
        <v>7</v>
      </c>
      <c r="G79" s="1" t="s">
        <v>56</v>
      </c>
      <c r="H79" s="1" t="s">
        <v>35</v>
      </c>
      <c r="I79" s="1" t="s">
        <v>57</v>
      </c>
      <c r="J79" s="1" t="s">
        <v>238</v>
      </c>
      <c r="K79" s="1" t="n">
        <v>1331</v>
      </c>
      <c r="L79" s="11" t="n">
        <v>0.380508310867294</v>
      </c>
      <c r="M79" s="1" t="n">
        <f aca="false">SUMIF(Relatorio_AK!$A:$A,A79,Relatorio_AK!$B:$B)</f>
        <v>1331</v>
      </c>
      <c r="N79" s="1" t="str">
        <f aca="false">IF(M79=K79,"OK","DIF")</f>
        <v>OK</v>
      </c>
      <c r="O79" s="12" t="str">
        <f aca="false">IFERROR(VLOOKUP($A79,Lista_Starke!$A:$E,3,0),"NÃO ESTÁ NA LISTA")</f>
        <v>GM: Corsa / Pick Up Corsa  94/98</v>
      </c>
      <c r="P79" s="12" t="str">
        <f aca="false">IFERROR(VLOOKUP($A79,Lista_Starke!$A:$E,2,0),"NÃO ESTÁ NA LISTA")</f>
        <v>CILINDRO MESTRE DE FREIO</v>
      </c>
    </row>
    <row r="80" customFormat="false" ht="15" hidden="false" customHeight="true" outlineLevel="0" collapsed="false">
      <c r="A80" s="10" t="s">
        <v>239</v>
      </c>
      <c r="B80" s="10" t="str">
        <f aca="false">IFERROR(VLOOKUP(A80,Pedido!$A:$B,2,0),"")</f>
        <v/>
      </c>
      <c r="C80" s="10" t="str">
        <f aca="false">IF(B80="","NÃO COMPRA","COMPRA")</f>
        <v>NÃO COMPRA</v>
      </c>
      <c r="D80" s="1" t="n">
        <f aca="false">IFERROR(VLOOKUP(A80,Pedido!$A:$C,3,0),0)</f>
        <v>0</v>
      </c>
      <c r="E80" s="5" t="n">
        <f aca="false">IFERROR(VLOOKUP(A80,Pedido!$A:$E,5,0),0)</f>
        <v>0</v>
      </c>
      <c r="F80" s="1" t="s">
        <v>7</v>
      </c>
      <c r="G80" s="1" t="s">
        <v>240</v>
      </c>
      <c r="H80" s="1" t="s">
        <v>157</v>
      </c>
      <c r="I80" s="1" t="s">
        <v>57</v>
      </c>
      <c r="K80" s="1" t="n">
        <v>1330</v>
      </c>
      <c r="L80" s="11" t="n">
        <v>0.382781982265363</v>
      </c>
      <c r="M80" s="1" t="n">
        <f aca="false">SUMIF(Relatorio_AK!$A:$A,A80,Relatorio_AK!$B:$B)</f>
        <v>1330</v>
      </c>
      <c r="N80" s="1" t="str">
        <f aca="false">IF(M80=K80,"OK","DIF")</f>
        <v>OK</v>
      </c>
      <c r="O80" s="13" t="str">
        <f aca="false">IFERROR(VLOOKUP($A80,Lista_Starke!$A:$E,3,0),"NÃO ESTÁ NA LISTA")</f>
        <v>GM: Onix 1.0 12V 3 cil Aspirado 20/...
GM: Onix 1.0 12V 3 cil Turbo 20/...
GM: Tracker 1.0 12V 3 cil Turbo 20/...</v>
      </c>
      <c r="P80" s="12" t="str">
        <f aca="false">IFERROR(VLOOKUP($A80,Lista_Starke!$A:$E,2,0),"NÃO ESTÁ NA LISTA")</f>
        <v>ATUADOR DE EMBREAGEM</v>
      </c>
    </row>
    <row r="81" customFormat="false" ht="15" hidden="false" customHeight="true" outlineLevel="0" collapsed="false">
      <c r="A81" s="10" t="s">
        <v>241</v>
      </c>
      <c r="B81" s="10" t="str">
        <f aca="false">IFERROR(VLOOKUP(A81,Pedido!$A:$B,2,0),"")</f>
        <v/>
      </c>
      <c r="C81" s="10" t="str">
        <f aca="false">IF(B81="","NÃO COMPRA","COMPRA")</f>
        <v>NÃO COMPRA</v>
      </c>
      <c r="D81" s="1" t="n">
        <f aca="false">IFERROR(VLOOKUP(A81,Pedido!$A:$C,3,0),0)</f>
        <v>0</v>
      </c>
      <c r="E81" s="5" t="n">
        <f aca="false">IFERROR(VLOOKUP(A81,Pedido!$A:$E,5,0),0)</f>
        <v>0</v>
      </c>
      <c r="F81" s="1" t="s">
        <v>7</v>
      </c>
      <c r="G81" s="1" t="s">
        <v>31</v>
      </c>
      <c r="H81" s="1" t="s">
        <v>32</v>
      </c>
      <c r="I81" s="1" t="s">
        <v>172</v>
      </c>
      <c r="J81" s="1" t="s">
        <v>242</v>
      </c>
      <c r="K81" s="1" t="n">
        <v>1327</v>
      </c>
      <c r="L81" s="11" t="n">
        <v>0.385050525081331</v>
      </c>
      <c r="M81" s="1" t="n">
        <f aca="false">SUMIF(Relatorio_AK!$A:$A,A81,Relatorio_AK!$B:$B)</f>
        <v>1327</v>
      </c>
      <c r="N81" s="1" t="str">
        <f aca="false">IF(M81=K81,"OK","DIF")</f>
        <v>OK</v>
      </c>
      <c r="O81" s="13" t="str">
        <f aca="false">IFERROR(VLOOKUP($A81,Lista_Starke!$A:$E,3,0),"NÃO ESTÁ NA LISTA")</f>
        <v>HYUNDAI: HR 2.5 16V 13/...
HYUNDAI: HR 2.5 8V Diesel 05/12
KIA: Bongo K2500 2.5 16V 13/...
KIA: Bongo K2500 2.5 8V Diesel 05/12</v>
      </c>
      <c r="P81" s="12" t="str">
        <f aca="false">IFERROR(VLOOKUP($A81,Lista_Starke!$A:$E,2,0),"NÃO ESTÁ NA LISTA")</f>
        <v>CILINDRO MESTRE DE EMBREAGEM</v>
      </c>
    </row>
    <row r="82" customFormat="false" ht="15" hidden="false" customHeight="true" outlineLevel="0" collapsed="false">
      <c r="A82" s="10" t="s">
        <v>243</v>
      </c>
      <c r="B82" s="10" t="str">
        <f aca="false">IFERROR(VLOOKUP(A82,Pedido!$A:$B,2,0),"")</f>
        <v/>
      </c>
      <c r="C82" s="10" t="str">
        <f aca="false">IF(B82="","NÃO COMPRA","COMPRA")</f>
        <v>NÃO COMPRA</v>
      </c>
      <c r="D82" s="1" t="n">
        <f aca="false">IFERROR(VLOOKUP(A82,Pedido!$A:$C,3,0),0)</f>
        <v>0</v>
      </c>
      <c r="E82" s="5" t="n">
        <f aca="false">IFERROR(VLOOKUP(A82,Pedido!$A:$E,5,0),0)</f>
        <v>0</v>
      </c>
      <c r="F82" s="1" t="s">
        <v>7</v>
      </c>
      <c r="G82" s="1" t="s">
        <v>176</v>
      </c>
      <c r="H82" s="1" t="s">
        <v>35</v>
      </c>
      <c r="I82" s="1" t="s">
        <v>177</v>
      </c>
      <c r="J82" s="1" t="s">
        <v>244</v>
      </c>
      <c r="K82" s="1" t="n">
        <v>1292</v>
      </c>
      <c r="L82" s="11" t="n">
        <v>0.387259234439454</v>
      </c>
      <c r="M82" s="1" t="n">
        <f aca="false">SUMIF(Relatorio_AK!$A:$A,A82,Relatorio_AK!$B:$B)</f>
        <v>1292</v>
      </c>
      <c r="N82" s="1" t="str">
        <f aca="false">IF(M82=K82,"OK","DIF")</f>
        <v>OK</v>
      </c>
      <c r="O82" s="13" t="str">
        <f aca="false">IFERROR(VLOOKUP($A82,Lista_Starke!$A:$E,3,0),"NÃO ESTÁ NA LISTA")</f>
        <v>TOYOTA: Corolla 1.8 16V 08/15
TOYOTA: Corolla 2.0 16V 10/14</v>
      </c>
      <c r="P82" s="12" t="str">
        <f aca="false">IFERROR(VLOOKUP($A82,Lista_Starke!$A:$E,2,0),"NÃO ESTÁ NA LISTA")</f>
        <v>CILINDRO MESTRE DE FREIO</v>
      </c>
    </row>
    <row r="83" customFormat="false" ht="15" hidden="false" customHeight="true" outlineLevel="0" collapsed="false">
      <c r="A83" s="10" t="s">
        <v>245</v>
      </c>
      <c r="B83" s="10" t="str">
        <f aca="false">IFERROR(VLOOKUP(A83,Pedido!$A:$B,2,0),"")</f>
        <v/>
      </c>
      <c r="C83" s="10" t="str">
        <f aca="false">IF(B83="","NÃO COMPRA","COMPRA")</f>
        <v>NÃO COMPRA</v>
      </c>
      <c r="D83" s="1" t="n">
        <f aca="false">IFERROR(VLOOKUP(A83,Pedido!$A:$C,3,0),0)</f>
        <v>0</v>
      </c>
      <c r="E83" s="5" t="n">
        <f aca="false">IFERROR(VLOOKUP(A83,Pedido!$A:$E,5,0),0)</f>
        <v>0</v>
      </c>
      <c r="F83" s="1" t="s">
        <v>7</v>
      </c>
      <c r="G83" s="1" t="s">
        <v>145</v>
      </c>
      <c r="H83" s="1" t="s">
        <v>28</v>
      </c>
      <c r="I83" s="1" t="s">
        <v>226</v>
      </c>
      <c r="J83" s="1" t="s">
        <v>246</v>
      </c>
      <c r="K83" s="1" t="n">
        <v>1291</v>
      </c>
      <c r="L83" s="11" t="n">
        <v>0.389466234270211</v>
      </c>
      <c r="M83" s="1" t="n">
        <f aca="false">SUMIF(Relatorio_AK!$A:$A,A83,Relatorio_AK!$B:$B)</f>
        <v>1291</v>
      </c>
      <c r="N83" s="1" t="str">
        <f aca="false">IF(M83=K83,"OK","DIF")</f>
        <v>OK</v>
      </c>
      <c r="O83" s="13" t="str">
        <f aca="false">IFERROR(VLOOKUP($A83,Lista_Starke!$A:$E,3,0),"NÃO ESTÁ NA LISTA")</f>
        <v>AUDI: A3 1.6 / 1.8 / 1.8T 96/02
VOLKSWAGEN: Bora  01/11
VOLKSWAGEN: Caravelle  98/99
VOLKSWAGEN: Eurovan  98/99
VOLKSWAGEN: Golf 1.6 8V / 1.8 20V Turbo 98/00
VOLKSWAGEN: Golf 1.8 / 2.0 01/...
VOLKSWAGEN: New Beetle  00/10</v>
      </c>
      <c r="P83" s="12" t="str">
        <f aca="false">IFERROR(VLOOKUP($A83,Lista_Starke!$A:$E,2,0),"NÃO ESTÁ NA LISTA")</f>
        <v>CILINDRO AUXILIAR DE EMBREAGEM</v>
      </c>
    </row>
    <row r="84" customFormat="false" ht="15" hidden="false" customHeight="true" outlineLevel="0" collapsed="false">
      <c r="A84" s="10" t="s">
        <v>247</v>
      </c>
      <c r="B84" s="10" t="str">
        <f aca="false">IFERROR(VLOOKUP(A84,Pedido!$A:$B,2,0),"")</f>
        <v/>
      </c>
      <c r="C84" s="10" t="str">
        <f aca="false">IF(B84="","NÃO COMPRA","COMPRA")</f>
        <v>NÃO COMPRA</v>
      </c>
      <c r="D84" s="1" t="n">
        <f aca="false">IFERROR(VLOOKUP(A84,Pedido!$A:$C,3,0),0)</f>
        <v>0</v>
      </c>
      <c r="E84" s="5" t="n">
        <f aca="false">IFERROR(VLOOKUP(A84,Pedido!$A:$E,5,0),0)</f>
        <v>0</v>
      </c>
      <c r="F84" s="1" t="s">
        <v>7</v>
      </c>
      <c r="G84" s="1" t="s">
        <v>34</v>
      </c>
      <c r="H84" s="1" t="s">
        <v>35</v>
      </c>
      <c r="I84" s="1" t="s">
        <v>248</v>
      </c>
      <c r="J84" s="1" t="s">
        <v>249</v>
      </c>
      <c r="K84" s="1" t="n">
        <v>1287</v>
      </c>
      <c r="L84" s="11" t="n">
        <v>0.3916663959915</v>
      </c>
      <c r="M84" s="1" t="n">
        <f aca="false">SUMIF(Relatorio_AK!$A:$A,A84,Relatorio_AK!$B:$B)</f>
        <v>1287</v>
      </c>
      <c r="N84" s="1" t="str">
        <f aca="false">IF(M84=K84,"OK","DIF")</f>
        <v>OK</v>
      </c>
      <c r="O84" s="13" t="str">
        <f aca="false">IFERROR(VLOOKUP($A84,Lista_Starke!$A:$E,3,0),"NÃO ESTÁ NA LISTA")</f>
        <v>FORD: Royale  95/96
FORD: Versailles  95/96
TROLLER: T4  97/01
VOLKSWAGEN: Quantum  95/02
VOLKSWAGEN: Santana  95/06</v>
      </c>
      <c r="P84" s="12" t="str">
        <f aca="false">IFERROR(VLOOKUP($A84,Lista_Starke!$A:$E,2,0),"NÃO ESTÁ NA LISTA")</f>
        <v>CILINDRO MESTRE DE FREIO</v>
      </c>
    </row>
    <row r="85" customFormat="false" ht="15" hidden="false" customHeight="true" outlineLevel="0" collapsed="false">
      <c r="A85" s="10" t="s">
        <v>250</v>
      </c>
      <c r="B85" s="10" t="str">
        <f aca="false">IFERROR(VLOOKUP(A85,Pedido!$A:$B,2,0),"")</f>
        <v/>
      </c>
      <c r="C85" s="10" t="str">
        <f aca="false">IF(B85="","NÃO COMPRA","COMPRA")</f>
        <v>NÃO COMPRA</v>
      </c>
      <c r="D85" s="1" t="n">
        <f aca="false">IFERROR(VLOOKUP(A85,Pedido!$A:$C,3,0),0)</f>
        <v>0</v>
      </c>
      <c r="E85" s="5" t="n">
        <f aca="false">IFERROR(VLOOKUP(A85,Pedido!$A:$E,5,0),0)</f>
        <v>0</v>
      </c>
      <c r="F85" s="1" t="s">
        <v>7</v>
      </c>
      <c r="G85" s="1" t="s">
        <v>251</v>
      </c>
      <c r="H85" s="1" t="s">
        <v>28</v>
      </c>
      <c r="I85" s="1" t="s">
        <v>46</v>
      </c>
      <c r="J85" s="1" t="s">
        <v>252</v>
      </c>
      <c r="K85" s="1" t="n">
        <v>1286</v>
      </c>
      <c r="L85" s="11" t="n">
        <v>0.393864848185422</v>
      </c>
      <c r="M85" s="1" t="n">
        <f aca="false">SUMIF(Relatorio_AK!$A:$A,A85,Relatorio_AK!$B:$B)</f>
        <v>1286</v>
      </c>
      <c r="N85" s="1" t="str">
        <f aca="false">IF(M85=K85,"OK","DIF")</f>
        <v>OK</v>
      </c>
      <c r="O85" s="13" t="str">
        <f aca="false">IFERROR(VLOOKUP($A85,Lista_Starke!$A:$E,3,0),"NÃO ESTÁ NA LISTA")</f>
        <v>FIAT: Ducato 2.3 16V Multijet 10/...
FIAT: Ducato 2.8 TD 02/...</v>
      </c>
      <c r="P85" s="12" t="str">
        <f aca="false">IFERROR(VLOOKUP($A85,Lista_Starke!$A:$E,2,0),"NÃO ESTÁ NA LISTA")</f>
        <v>CILINDRO AUXILIAR DE EMBREAGEM</v>
      </c>
    </row>
    <row r="86" customFormat="false" ht="15" hidden="false" customHeight="true" outlineLevel="0" collapsed="false">
      <c r="A86" s="10" t="s">
        <v>253</v>
      </c>
      <c r="B86" s="10" t="str">
        <f aca="false">IFERROR(VLOOKUP(A86,Pedido!$A:$B,2,0),"")</f>
        <v/>
      </c>
      <c r="C86" s="10" t="str">
        <f aca="false">IF(B86="","NÃO COMPRA","COMPRA")</f>
        <v>NÃO COMPRA</v>
      </c>
      <c r="D86" s="1" t="n">
        <f aca="false">IFERROR(VLOOKUP(A86,Pedido!$A:$C,3,0),0)</f>
        <v>0</v>
      </c>
      <c r="E86" s="5" t="n">
        <f aca="false">IFERROR(VLOOKUP(A86,Pedido!$A:$E,5,0),0)</f>
        <v>0</v>
      </c>
      <c r="F86" s="1" t="s">
        <v>7</v>
      </c>
      <c r="G86" s="1" t="s">
        <v>254</v>
      </c>
      <c r="H86" s="1" t="s">
        <v>35</v>
      </c>
      <c r="I86" s="1" t="s">
        <v>255</v>
      </c>
      <c r="K86" s="1" t="n">
        <v>1281</v>
      </c>
      <c r="L86" s="11" t="n">
        <v>0.396054752742509</v>
      </c>
      <c r="M86" s="1" t="n">
        <f aca="false">SUMIF(Relatorio_AK!$A:$A,A86,Relatorio_AK!$B:$B)</f>
        <v>1281</v>
      </c>
      <c r="N86" s="1" t="str">
        <f aca="false">IF(M86=K86,"OK","DIF")</f>
        <v>OK</v>
      </c>
      <c r="O86" s="13" t="str">
        <f aca="false">IFERROR(VLOOKUP($A86,Lista_Starke!$A:$E,3,0),"NÃO ESTÁ NA LISTA")</f>
        <v>MITSUBISHI: Pajero IO 1.8 16V 4G93 99/02
MITSUBISHI: Pajero TR4 2.0 16V 00/…
MITSUBISHI: Pajero TR4 2.0 20V 4G94 04/…</v>
      </c>
      <c r="P86" s="12" t="str">
        <f aca="false">IFERROR(VLOOKUP($A86,Lista_Starke!$A:$E,2,0),"NÃO ESTÁ NA LISTA")</f>
        <v>CILINDRO MESTRE DE FREIO</v>
      </c>
    </row>
    <row r="87" customFormat="false" ht="15" hidden="false" customHeight="true" outlineLevel="0" collapsed="false">
      <c r="A87" s="10" t="s">
        <v>256</v>
      </c>
      <c r="B87" s="10" t="str">
        <f aca="false">IFERROR(VLOOKUP(A87,Pedido!$A:$B,2,0),"")</f>
        <v/>
      </c>
      <c r="C87" s="10" t="str">
        <f aca="false">IF(B87="","NÃO COMPRA","COMPRA")</f>
        <v>NÃO COMPRA</v>
      </c>
      <c r="D87" s="1" t="n">
        <f aca="false">IFERROR(VLOOKUP(A87,Pedido!$A:$C,3,0),0)</f>
        <v>0</v>
      </c>
      <c r="E87" s="5" t="n">
        <f aca="false">IFERROR(VLOOKUP(A87,Pedido!$A:$E,5,0),0)</f>
        <v>0</v>
      </c>
      <c r="F87" s="1" t="s">
        <v>7</v>
      </c>
      <c r="G87" s="1" t="s">
        <v>34</v>
      </c>
      <c r="H87" s="1" t="s">
        <v>35</v>
      </c>
      <c r="I87" s="1" t="s">
        <v>257</v>
      </c>
      <c r="J87" s="1" t="s">
        <v>258</v>
      </c>
      <c r="K87" s="1" t="n">
        <v>1279</v>
      </c>
      <c r="L87" s="11" t="n">
        <v>0.398241238244862</v>
      </c>
      <c r="M87" s="1" t="n">
        <f aca="false">SUMIF(Relatorio_AK!$A:$A,A87,Relatorio_AK!$B:$B)</f>
        <v>1279</v>
      </c>
      <c r="N87" s="1" t="str">
        <f aca="false">IF(M87=K87,"OK","DIF")</f>
        <v>OK</v>
      </c>
      <c r="O87" s="13" t="str">
        <f aca="false">IFERROR(VLOOKUP($A87,Lista_Starke!$A:$E,3,0),"NÃO ESTÁ NA LISTA")</f>
        <v>FIAT: Tipo 1.6 8V 93/97
VOLKSWAGEN: Golf 1.8 8V / 2.0 8V 94/98</v>
      </c>
      <c r="P87" s="12" t="str">
        <f aca="false">IFERROR(VLOOKUP($A87,Lista_Starke!$A:$E,2,0),"NÃO ESTÁ NA LISTA")</f>
        <v>CILINDRO MESTRE DE FREIO</v>
      </c>
    </row>
    <row r="88" customFormat="false" ht="15" hidden="false" customHeight="true" outlineLevel="0" collapsed="false">
      <c r="A88" s="10" t="s">
        <v>259</v>
      </c>
      <c r="B88" s="10" t="str">
        <f aca="false">IFERROR(VLOOKUP(A88,Pedido!$A:$B,2,0),"")</f>
        <v/>
      </c>
      <c r="C88" s="10" t="str">
        <f aca="false">IF(B88="","NÃO COMPRA","COMPRA")</f>
        <v>NÃO COMPRA</v>
      </c>
      <c r="D88" s="1" t="n">
        <f aca="false">IFERROR(VLOOKUP(A88,Pedido!$A:$C,3,0),0)</f>
        <v>0</v>
      </c>
      <c r="E88" s="5" t="n">
        <f aca="false">IFERROR(VLOOKUP(A88,Pedido!$A:$E,5,0),0)</f>
        <v>0</v>
      </c>
      <c r="F88" s="1" t="s">
        <v>7</v>
      </c>
      <c r="G88" s="1" t="s">
        <v>41</v>
      </c>
      <c r="H88" s="1" t="s">
        <v>35</v>
      </c>
      <c r="I88" s="1" t="s">
        <v>42</v>
      </c>
      <c r="K88" s="1" t="n">
        <v>1275</v>
      </c>
      <c r="L88" s="11" t="n">
        <v>0.400420885637748</v>
      </c>
      <c r="M88" s="1" t="n">
        <f aca="false">SUMIF(Relatorio_AK!$A:$A,A88,Relatorio_AK!$B:$B)</f>
        <v>1275</v>
      </c>
      <c r="N88" s="1" t="str">
        <f aca="false">IF(M88=K88,"OK","DIF")</f>
        <v>OK</v>
      </c>
      <c r="O88" s="13" t="str">
        <f aca="false">IFERROR(VLOOKUP($A88,Lista_Starke!$A:$E,3,0),"NÃO ESTÁ NA LISTA")</f>
        <v>RENAULT: Clio 1.0 / 1.6 12/...
RENAULT: Kangoo 1.0 / 1.6 11/...
RENAULT: Symbol 1.0 / 1.6 10/...</v>
      </c>
      <c r="P88" s="12" t="str">
        <f aca="false">IFERROR(VLOOKUP($A88,Lista_Starke!$A:$E,2,0),"NÃO ESTÁ NA LISTA")</f>
        <v>CILINDRO MESTRE DE FREIO</v>
      </c>
    </row>
    <row r="89" customFormat="false" ht="15" hidden="false" customHeight="true" outlineLevel="0" collapsed="false">
      <c r="A89" s="10" t="s">
        <v>260</v>
      </c>
      <c r="B89" s="10" t="str">
        <f aca="false">IFERROR(VLOOKUP(A89,Pedido!$A:$B,2,0),"")</f>
        <v/>
      </c>
      <c r="C89" s="10" t="str">
        <f aca="false">IF(B89="","NÃO COMPRA","COMPRA")</f>
        <v>NÃO COMPRA</v>
      </c>
      <c r="D89" s="1" t="n">
        <f aca="false">IFERROR(VLOOKUP(A89,Pedido!$A:$C,3,0),0)</f>
        <v>0</v>
      </c>
      <c r="E89" s="5" t="n">
        <f aca="false">IFERROR(VLOOKUP(A89,Pedido!$A:$E,5,0),0)</f>
        <v>0</v>
      </c>
      <c r="F89" s="1" t="s">
        <v>7</v>
      </c>
      <c r="G89" s="1" t="s">
        <v>49</v>
      </c>
      <c r="H89" s="1" t="s">
        <v>32</v>
      </c>
      <c r="I89" s="1" t="s">
        <v>50</v>
      </c>
      <c r="K89" s="1" t="n">
        <v>1259</v>
      </c>
      <c r="L89" s="11" t="n">
        <v>0.402573180592761</v>
      </c>
      <c r="M89" s="1" t="n">
        <f aca="false">SUMIF(Relatorio_AK!$A:$A,A89,Relatorio_AK!$B:$B)</f>
        <v>1259</v>
      </c>
      <c r="N89" s="1" t="str">
        <f aca="false">IF(M89=K89,"OK","DIF")</f>
        <v>OK</v>
      </c>
      <c r="O89" s="12" t="str">
        <f aca="false">IFERROR(VLOOKUP($A89,Lista_Starke!$A:$E,3,0),"NÃO ESTÁ NA LISTA")</f>
        <v>HONDA: Fit 1.4 8V / 1.5 16V 03/08</v>
      </c>
      <c r="P89" s="12" t="str">
        <f aca="false">IFERROR(VLOOKUP($A89,Lista_Starke!$A:$E,2,0),"NÃO ESTÁ NA LISTA")</f>
        <v>CILINDRO MESTRE DE EMBREAGEM</v>
      </c>
    </row>
    <row r="90" customFormat="false" ht="15" hidden="false" customHeight="true" outlineLevel="0" collapsed="false">
      <c r="A90" s="10" t="s">
        <v>261</v>
      </c>
      <c r="B90" s="10" t="str">
        <f aca="false">IFERROR(VLOOKUP(A90,Pedido!$A:$B,2,0),"")</f>
        <v/>
      </c>
      <c r="C90" s="10" t="str">
        <f aca="false">IF(B90="","NÃO COMPRA","COMPRA")</f>
        <v>NÃO COMPRA</v>
      </c>
      <c r="D90" s="1" t="n">
        <f aca="false">IFERROR(VLOOKUP(A90,Pedido!$A:$C,3,0),0)</f>
        <v>0</v>
      </c>
      <c r="E90" s="5" t="n">
        <f aca="false">IFERROR(VLOOKUP(A90,Pedido!$A:$E,5,0),0)</f>
        <v>0</v>
      </c>
      <c r="F90" s="1" t="s">
        <v>7</v>
      </c>
      <c r="G90" s="1" t="s">
        <v>34</v>
      </c>
      <c r="H90" s="1" t="s">
        <v>35</v>
      </c>
      <c r="I90" s="1" t="s">
        <v>36</v>
      </c>
      <c r="J90" s="1" t="s">
        <v>262</v>
      </c>
      <c r="K90" s="1" t="n">
        <v>1249</v>
      </c>
      <c r="L90" s="11" t="n">
        <v>0.404708380274106</v>
      </c>
      <c r="M90" s="1" t="n">
        <f aca="false">SUMIF(Relatorio_AK!$A:$A,A90,Relatorio_AK!$B:$B)</f>
        <v>1249</v>
      </c>
      <c r="N90" s="1" t="str">
        <f aca="false">IF(M90=K90,"OK","DIF")</f>
        <v>OK</v>
      </c>
      <c r="O90" s="13" t="str">
        <f aca="false">IFERROR(VLOOKUP($A90,Lista_Starke!$A:$E,3,0),"NÃO ESTÁ NA LISTA")</f>
        <v>VOLKSWAGEN: Gol G2 1.6 02/05
VOLKSWAGEN: Gol G2 2.0 8V/16V 95/00
VOLKSWAGEN: Gol G3 1.0 / 1.6 / 1.8 / 2.0 01/05
VOLKSWAGEN: Gol G3 2.0 8V/16V 00
VOLKSWAGEN: Gol G4  06/...
VOLKSWAGEN: Parati 1.0 / 1.6 / 1.8 / 2.0 96/12
VOLKSWAGEN: Saveiro  98/09</v>
      </c>
      <c r="P90" s="12" t="str">
        <f aca="false">IFERROR(VLOOKUP($A90,Lista_Starke!$A:$E,2,0),"NÃO ESTÁ NA LISTA")</f>
        <v>CILINDRO MESTRE DE FREIO</v>
      </c>
    </row>
    <row r="91" customFormat="false" ht="15" hidden="false" customHeight="true" outlineLevel="0" collapsed="false">
      <c r="A91" s="10" t="s">
        <v>263</v>
      </c>
      <c r="B91" s="10" t="str">
        <f aca="false">IFERROR(VLOOKUP(A91,Pedido!$A:$B,2,0),"")</f>
        <v/>
      </c>
      <c r="C91" s="10" t="str">
        <f aca="false">IF(B91="","NÃO COMPRA","COMPRA")</f>
        <v>NÃO COMPRA</v>
      </c>
      <c r="D91" s="1" t="n">
        <f aca="false">IFERROR(VLOOKUP(A91,Pedido!$A:$C,3,0),0)</f>
        <v>0</v>
      </c>
      <c r="E91" s="5" t="n">
        <f aca="false">IFERROR(VLOOKUP(A91,Pedido!$A:$E,5,0),0)</f>
        <v>0</v>
      </c>
      <c r="F91" s="1" t="s">
        <v>7</v>
      </c>
      <c r="G91" s="1" t="s">
        <v>264</v>
      </c>
      <c r="H91" s="1" t="s">
        <v>88</v>
      </c>
      <c r="I91" s="1" t="s">
        <v>53</v>
      </c>
      <c r="J91" s="1" t="s">
        <v>265</v>
      </c>
      <c r="K91" s="1" t="n">
        <v>1237</v>
      </c>
      <c r="L91" s="11" t="n">
        <v>0.406823065627046</v>
      </c>
      <c r="M91" s="1" t="n">
        <f aca="false">SUMIF(Relatorio_AK!$A:$A,A91,Relatorio_AK!$B:$B)</f>
        <v>1237</v>
      </c>
      <c r="N91" s="1" t="str">
        <f aca="false">IF(M91=K91,"OK","DIF")</f>
        <v>OK</v>
      </c>
      <c r="O91" s="13" t="str">
        <f aca="false">IFERROR(VLOOKUP($A91,Lista_Starke!$A:$E,3,0),"NÃO ESTÁ NA LISTA")</f>
        <v>FORD: Ka / Ka+ 1.0 12V 3cil 14/...
FORD: Ka / Ka+ 1.5 16V Sigma 14/...
FORD: Ka / Ka+ 1.6 16V Sigma 15/18
FORD: New Fiesta 1.5 16V Sigma 10/...
FORD: New Fiesta 1.6 16V Sigma 13/...</v>
      </c>
      <c r="P91" s="12" t="str">
        <f aca="false">IFERROR(VLOOKUP($A91,Lista_Starke!$A:$E,2,0),"NÃO ESTÁ NA LISTA")</f>
        <v>CILINDRO DE RODA LE/LD</v>
      </c>
    </row>
    <row r="92" customFormat="false" ht="15" hidden="false" customHeight="true" outlineLevel="0" collapsed="false">
      <c r="A92" s="10" t="s">
        <v>266</v>
      </c>
      <c r="B92" s="10" t="str">
        <f aca="false">IFERROR(VLOOKUP(A92,Pedido!$A:$B,2,0),"")</f>
        <v/>
      </c>
      <c r="C92" s="10" t="str">
        <f aca="false">IF(B92="","NÃO COMPRA","COMPRA")</f>
        <v>NÃO COMPRA</v>
      </c>
      <c r="D92" s="1" t="n">
        <f aca="false">IFERROR(VLOOKUP(A92,Pedido!$A:$C,3,0),0)</f>
        <v>0</v>
      </c>
      <c r="E92" s="5" t="n">
        <f aca="false">IFERROR(VLOOKUP(A92,Pedido!$A:$E,5,0),0)</f>
        <v>0</v>
      </c>
      <c r="F92" s="1" t="s">
        <v>7</v>
      </c>
      <c r="G92" s="1" t="s">
        <v>56</v>
      </c>
      <c r="H92" s="1" t="s">
        <v>35</v>
      </c>
      <c r="I92" s="1" t="s">
        <v>57</v>
      </c>
      <c r="J92" s="1" t="s">
        <v>267</v>
      </c>
      <c r="K92" s="1" t="n">
        <v>1236</v>
      </c>
      <c r="L92" s="11" t="n">
        <v>0.40893604145262</v>
      </c>
      <c r="M92" s="1" t="n">
        <f aca="false">SUMIF(Relatorio_AK!$A:$A,A92,Relatorio_AK!$B:$B)</f>
        <v>1236</v>
      </c>
      <c r="N92" s="1" t="str">
        <f aca="false">IF(M92=K92,"OK","DIF")</f>
        <v>OK</v>
      </c>
      <c r="O92" s="12" t="str">
        <f aca="false">IFERROR(VLOOKUP($A92,Lista_Starke!$A:$E,3,0),"NÃO ESTÁ NA LISTA")</f>
        <v>GM: Celta  01/05</v>
      </c>
      <c r="P92" s="12" t="str">
        <f aca="false">IFERROR(VLOOKUP($A92,Lista_Starke!$A:$E,2,0),"NÃO ESTÁ NA LISTA")</f>
        <v>CILINDRO MESTRE DE FREIO</v>
      </c>
    </row>
    <row r="93" customFormat="false" ht="15" hidden="false" customHeight="true" outlineLevel="0" collapsed="false">
      <c r="A93" s="10" t="s">
        <v>268</v>
      </c>
      <c r="B93" s="10" t="str">
        <f aca="false">IFERROR(VLOOKUP(A93,Pedido!$A:$B,2,0),"")</f>
        <v/>
      </c>
      <c r="C93" s="10" t="str">
        <f aca="false">IF(B93="","NÃO COMPRA","COMPRA")</f>
        <v>NÃO COMPRA</v>
      </c>
      <c r="D93" s="1" t="n">
        <f aca="false">IFERROR(VLOOKUP(A93,Pedido!$A:$C,3,0),0)</f>
        <v>0</v>
      </c>
      <c r="E93" s="5" t="n">
        <f aca="false">IFERROR(VLOOKUP(A93,Pedido!$A:$E,5,0),0)</f>
        <v>0</v>
      </c>
      <c r="F93" s="1" t="s">
        <v>7</v>
      </c>
      <c r="G93" s="1" t="s">
        <v>145</v>
      </c>
      <c r="H93" s="1" t="s">
        <v>28</v>
      </c>
      <c r="I93" s="1" t="s">
        <v>226</v>
      </c>
      <c r="J93" s="1" t="s">
        <v>269</v>
      </c>
      <c r="K93" s="1" t="n">
        <v>1236</v>
      </c>
      <c r="L93" s="11" t="n">
        <v>0.411049017278193</v>
      </c>
      <c r="M93" s="1" t="n">
        <f aca="false">SUMIF(Relatorio_AK!$A:$A,A93,Relatorio_AK!$B:$B)</f>
        <v>1236</v>
      </c>
      <c r="N93" s="1" t="str">
        <f aca="false">IF(M93=K93,"OK","DIF")</f>
        <v>OK</v>
      </c>
      <c r="O93" s="13" t="str">
        <f aca="false">IFERROR(VLOOKUP($A93,Lista_Starke!$A:$E,3,0),"NÃO ESTÁ NA LISTA")</f>
        <v>AUDI: A3 1.6 03/06
AUDI: A3 1.6 07/10
VOLKSWAGEN: Crossfox 1.6 05/...
VOLKSWAGEN: Fox 1.6 04/...
VOLKSWAGEN: Gol G5 1.6 09/...
VOLKSWAGEN: Golf 1.6 01/...
VOLKSWAGEN: Polo 1.6 02/...
VOLKSWAGEN: Saveiro G5 1.6 10/...
VOLKSWAGEN: Space Cross 1.6 12/...
VOLKSWAGEN: Spacefox 1.6 06/...
VOLKSWAGEN: Voyage G5 1.6 09/...</v>
      </c>
      <c r="P93" s="12" t="str">
        <f aca="false">IFERROR(VLOOKUP($A93,Lista_Starke!$A:$E,2,0),"NÃO ESTÁ NA LISTA")</f>
        <v>CILINDRO AUXILIAR DE EMBREAGEM</v>
      </c>
    </row>
    <row r="94" customFormat="false" ht="15" hidden="false" customHeight="true" outlineLevel="0" collapsed="false">
      <c r="A94" s="10" t="s">
        <v>270</v>
      </c>
      <c r="B94" s="10" t="str">
        <f aca="false">IFERROR(VLOOKUP(A94,Pedido!$A:$B,2,0),"")</f>
        <v/>
      </c>
      <c r="C94" s="10" t="str">
        <f aca="false">IF(B94="","NÃO COMPRA","COMPRA")</f>
        <v>NÃO COMPRA</v>
      </c>
      <c r="D94" s="1" t="n">
        <f aca="false">IFERROR(VLOOKUP(A94,Pedido!$A:$C,3,0),0)</f>
        <v>0</v>
      </c>
      <c r="E94" s="5" t="n">
        <f aca="false">IFERROR(VLOOKUP(A94,Pedido!$A:$E,5,0),0)</f>
        <v>0</v>
      </c>
      <c r="F94" s="1" t="s">
        <v>7</v>
      </c>
      <c r="G94" s="1" t="s">
        <v>222</v>
      </c>
      <c r="H94" s="1" t="s">
        <v>88</v>
      </c>
      <c r="I94" s="1" t="s">
        <v>42</v>
      </c>
      <c r="J94" s="1" t="s">
        <v>271</v>
      </c>
      <c r="K94" s="1" t="n">
        <v>1232</v>
      </c>
      <c r="L94" s="11" t="n">
        <v>0.413155154994299</v>
      </c>
      <c r="M94" s="1" t="n">
        <f aca="false">SUMIF(Relatorio_AK!$A:$A,A94,Relatorio_AK!$B:$B)</f>
        <v>1232</v>
      </c>
      <c r="N94" s="1" t="str">
        <f aca="false">IF(M94=K94,"OK","DIF")</f>
        <v>OK</v>
      </c>
      <c r="O94" s="13" t="str">
        <f aca="false">IFERROR(VLOOKUP($A94,Lista_Starke!$A:$E,3,0),"NÃO ESTÁ NA LISTA")</f>
        <v>RENAULT: Captur 1.3 Turbo 4X2 20/...
RENAULT: Captur 1.6 16V 4X2 16/...
RENAULT: Captur 2.0 16V 4X2 16/...
RENAULT: Duster 1.3 Turbo 4X2 22/...
RENAULT: Duster 1.6 16V 4X2 16/...
RENAULT: Duster 2.0 16V 4X2 16/...</v>
      </c>
      <c r="P94" s="12" t="str">
        <f aca="false">IFERROR(VLOOKUP($A94,Lista_Starke!$A:$E,2,0),"NÃO ESTÁ NA LISTA")</f>
        <v>CILINDRO DE RODA LE/LD</v>
      </c>
    </row>
    <row r="95" customFormat="false" ht="15" hidden="false" customHeight="true" outlineLevel="0" collapsed="false">
      <c r="A95" s="10" t="s">
        <v>272</v>
      </c>
      <c r="B95" s="10" t="str">
        <f aca="false">IFERROR(VLOOKUP(A95,Pedido!$A:$B,2,0),"")</f>
        <v/>
      </c>
      <c r="C95" s="10" t="str">
        <f aca="false">IF(B95="","NÃO COMPRA","COMPRA")</f>
        <v>NÃO COMPRA</v>
      </c>
      <c r="D95" s="1" t="n">
        <f aca="false">IFERROR(VLOOKUP(A95,Pedido!$A:$C,3,0),0)</f>
        <v>0</v>
      </c>
      <c r="E95" s="5" t="n">
        <f aca="false">IFERROR(VLOOKUP(A95,Pedido!$A:$E,5,0),0)</f>
        <v>0</v>
      </c>
      <c r="F95" s="1" t="s">
        <v>7</v>
      </c>
      <c r="G95" s="1" t="s">
        <v>273</v>
      </c>
      <c r="H95" s="1" t="s">
        <v>32</v>
      </c>
      <c r="I95" s="1" t="s">
        <v>215</v>
      </c>
      <c r="J95" s="1" t="s">
        <v>274</v>
      </c>
      <c r="K95" s="1" t="n">
        <v>1226</v>
      </c>
      <c r="L95" s="11" t="n">
        <v>0.415251035546203</v>
      </c>
      <c r="M95" s="1" t="n">
        <f aca="false">SUMIF(Relatorio_AK!$A:$A,A95,Relatorio_AK!$B:$B)</f>
        <v>1226</v>
      </c>
      <c r="N95" s="1" t="str">
        <f aca="false">IF(M95=K95,"OK","DIF")</f>
        <v>OK</v>
      </c>
      <c r="O95" s="13" t="str">
        <f aca="false">IFERROR(VLOOKUP($A95,Lista_Starke!$A:$E,3,0),"NÃO ESTÁ NA LISTA")</f>
        <v>NISSAN: Frontier 2.5 8V 08/12
NISSAN: Frontier 2.8 12V MWM 05/08</v>
      </c>
      <c r="P95" s="12" t="str">
        <f aca="false">IFERROR(VLOOKUP($A95,Lista_Starke!$A:$E,2,0),"NÃO ESTÁ NA LISTA")</f>
        <v>CILINDRO MESTRE DE EMBREAGEM</v>
      </c>
    </row>
    <row r="96" customFormat="false" ht="15" hidden="false" customHeight="true" outlineLevel="0" collapsed="false">
      <c r="A96" s="10" t="s">
        <v>275</v>
      </c>
      <c r="B96" s="10" t="str">
        <f aca="false">IFERROR(VLOOKUP(A96,Pedido!$A:$B,2,0),"")</f>
        <v/>
      </c>
      <c r="C96" s="10" t="str">
        <f aca="false">IF(B96="","NÃO COMPRA","COMPRA")</f>
        <v>NÃO COMPRA</v>
      </c>
      <c r="D96" s="1" t="n">
        <f aca="false">IFERROR(VLOOKUP(A96,Pedido!$A:$C,3,0),0)</f>
        <v>0</v>
      </c>
      <c r="E96" s="5" t="n">
        <f aca="false">IFERROR(VLOOKUP(A96,Pedido!$A:$E,5,0),0)</f>
        <v>0</v>
      </c>
      <c r="F96" s="1" t="s">
        <v>7</v>
      </c>
      <c r="G96" s="1" t="s">
        <v>176</v>
      </c>
      <c r="H96" s="1" t="s">
        <v>35</v>
      </c>
      <c r="I96" s="1" t="s">
        <v>177</v>
      </c>
      <c r="K96" s="1" t="n">
        <v>1222</v>
      </c>
      <c r="L96" s="11" t="n">
        <v>0.417340077988638</v>
      </c>
      <c r="M96" s="1" t="n">
        <f aca="false">SUMIF(Relatorio_AK!$A:$A,A96,Relatorio_AK!$B:$B)</f>
        <v>1222</v>
      </c>
      <c r="N96" s="1" t="str">
        <f aca="false">IF(M96=K96,"OK","DIF")</f>
        <v>OK</v>
      </c>
      <c r="O96" s="13" t="str">
        <f aca="false">IFERROR(VLOOKUP($A96,Lista_Starke!$A:$E,3,0),"NÃO ESTÁ NA LISTA")</f>
        <v>TOYOTA: Hilux 2.7 16V Flex 16/...
TOYOTA: Hilux 2.8 16V Turbo Diesel 16/...
TOYOTA: SW4 2.8 16V Turbo Diesel 16/...</v>
      </c>
      <c r="P96" s="12" t="str">
        <f aca="false">IFERROR(VLOOKUP($A96,Lista_Starke!$A:$E,2,0),"NÃO ESTÁ NA LISTA")</f>
        <v>CILINDRO MESTRE DE FREIO</v>
      </c>
    </row>
    <row r="97" customFormat="false" ht="15" hidden="false" customHeight="true" outlineLevel="0" collapsed="false">
      <c r="A97" s="10" t="s">
        <v>276</v>
      </c>
      <c r="B97" s="10" t="str">
        <f aca="false">IFERROR(VLOOKUP(A97,Pedido!$A:$B,2,0),"")</f>
        <v/>
      </c>
      <c r="C97" s="10" t="str">
        <f aca="false">IF(B97="","NÃO COMPRA","COMPRA")</f>
        <v>NÃO COMPRA</v>
      </c>
      <c r="D97" s="1" t="n">
        <f aca="false">IFERROR(VLOOKUP(A97,Pedido!$A:$C,3,0),0)</f>
        <v>0</v>
      </c>
      <c r="E97" s="5" t="n">
        <f aca="false">IFERROR(VLOOKUP(A97,Pedido!$A:$E,5,0),0)</f>
        <v>0</v>
      </c>
      <c r="F97" s="1" t="s">
        <v>7</v>
      </c>
      <c r="G97" s="1" t="s">
        <v>277</v>
      </c>
      <c r="H97" s="1" t="s">
        <v>131</v>
      </c>
      <c r="I97" s="1" t="s">
        <v>53</v>
      </c>
      <c r="J97" s="1" t="s">
        <v>278</v>
      </c>
      <c r="K97" s="1" t="n">
        <v>1212</v>
      </c>
      <c r="L97" s="11" t="n">
        <v>0.419412025157405</v>
      </c>
      <c r="M97" s="1" t="n">
        <f aca="false">SUMIF(Relatorio_AK!$A:$A,A97,Relatorio_AK!$B:$B)</f>
        <v>1212</v>
      </c>
      <c r="N97" s="1" t="str">
        <f aca="false">IF(M97=K97,"OK","DIF")</f>
        <v>OK</v>
      </c>
      <c r="O97" s="13" t="str">
        <f aca="false">IFERROR(VLOOKUP($A97,Lista_Starke!$A:$E,3,0),"NÃO ESTÁ NA LISTA")</f>
        <v>FORD: Ecosport 1.0 8V Zetec Rocam 03/12
FORD: Ecosport 1.6 16V Sigma 12/17
FORD: Ecosport 1.6 8V Zetec Rocam 03/12
FORD: Ecosport 2.0 16V Duratec 03/16
FORD: Fiesta 1.0 12V Ecobost 16/18
FORD: Fiesta 1.0 8V Zetec Rocam 02/14
FORD: Fiesta 1.6 8V Zetec Rocam 02/14</v>
      </c>
      <c r="P97" s="12" t="str">
        <f aca="false">IFERROR(VLOOKUP($A97,Lista_Starke!$A:$E,2,0),"NÃO ESTÁ NA LISTA")</f>
        <v>SAPATA DE FREIO</v>
      </c>
    </row>
    <row r="98" customFormat="false" ht="15" hidden="false" customHeight="true" outlineLevel="0" collapsed="false">
      <c r="A98" s="10" t="s">
        <v>279</v>
      </c>
      <c r="B98" s="10" t="str">
        <f aca="false">IFERROR(VLOOKUP(A98,Pedido!$A:$B,2,0),"")</f>
        <v/>
      </c>
      <c r="C98" s="10" t="str">
        <f aca="false">IF(B98="","NÃO COMPRA","COMPRA")</f>
        <v>NÃO COMPRA</v>
      </c>
      <c r="D98" s="1" t="n">
        <f aca="false">IFERROR(VLOOKUP(A98,Pedido!$A:$C,3,0),0)</f>
        <v>0</v>
      </c>
      <c r="E98" s="5" t="n">
        <f aca="false">IFERROR(VLOOKUP(A98,Pedido!$A:$E,5,0),0)</f>
        <v>0</v>
      </c>
      <c r="F98" s="1" t="s">
        <v>7</v>
      </c>
      <c r="G98" s="1" t="s">
        <v>280</v>
      </c>
      <c r="H98" s="1" t="s">
        <v>88</v>
      </c>
      <c r="I98" s="1" t="s">
        <v>281</v>
      </c>
      <c r="J98" s="1" t="s">
        <v>282</v>
      </c>
      <c r="K98" s="1" t="n">
        <v>1201</v>
      </c>
      <c r="L98" s="11" t="n">
        <v>0.421465167525134</v>
      </c>
      <c r="M98" s="1" t="n">
        <f aca="false">SUMIF(Relatorio_AK!$A:$A,A98,Relatorio_AK!$B:$B)</f>
        <v>1201</v>
      </c>
      <c r="N98" s="1" t="str">
        <f aca="false">IF(M98=K98,"OK","DIF")</f>
        <v>OK</v>
      </c>
      <c r="O98" s="12" t="str">
        <f aca="false">IFERROR(VLOOKUP($A98,Lista_Starke!$A:$E,3,0),"NÃO ESTÁ NA LISTA")</f>
        <v>CITROEN: C3 1.4 8V 10/12</v>
      </c>
      <c r="P98" s="12" t="str">
        <f aca="false">IFERROR(VLOOKUP($A98,Lista_Starke!$A:$E,2,0),"NÃO ESTÁ NA LISTA")</f>
        <v>CILINDRO DE RODA LE/LD</v>
      </c>
    </row>
    <row r="99" customFormat="false" ht="15" hidden="false" customHeight="true" outlineLevel="0" collapsed="false">
      <c r="A99" s="10" t="s">
        <v>283</v>
      </c>
      <c r="B99" s="10" t="str">
        <f aca="false">IFERROR(VLOOKUP(A99,Pedido!$A:$B,2,0),"")</f>
        <v/>
      </c>
      <c r="C99" s="10" t="str">
        <f aca="false">IF(B99="","NÃO COMPRA","COMPRA")</f>
        <v>NÃO COMPRA</v>
      </c>
      <c r="D99" s="1" t="n">
        <f aca="false">IFERROR(VLOOKUP(A99,Pedido!$A:$C,3,0),0)</f>
        <v>0</v>
      </c>
      <c r="E99" s="5" t="n">
        <f aca="false">IFERROR(VLOOKUP(A99,Pedido!$A:$E,5,0),0)</f>
        <v>0</v>
      </c>
      <c r="F99" s="1" t="s">
        <v>7</v>
      </c>
      <c r="G99" s="1" t="s">
        <v>49</v>
      </c>
      <c r="H99" s="1" t="s">
        <v>32</v>
      </c>
      <c r="I99" s="1" t="s">
        <v>50</v>
      </c>
      <c r="J99" s="1" t="s">
        <v>284</v>
      </c>
      <c r="K99" s="1" t="n">
        <v>1198</v>
      </c>
      <c r="L99" s="11" t="n">
        <v>0.423513181310763</v>
      </c>
      <c r="M99" s="1" t="n">
        <f aca="false">SUMIF(Relatorio_AK!$A:$A,A99,Relatorio_AK!$B:$B)</f>
        <v>1198</v>
      </c>
      <c r="N99" s="1" t="str">
        <f aca="false">IF(M99=K99,"OK","DIF")</f>
        <v>OK</v>
      </c>
      <c r="O99" s="12" t="str">
        <f aca="false">IFERROR(VLOOKUP($A99,Lista_Starke!$A:$E,3,0),"NÃO ESTÁ NA LISTA")</f>
        <v>HONDA: Civic 1.6 16V 96/00</v>
      </c>
      <c r="P99" s="12" t="str">
        <f aca="false">IFERROR(VLOOKUP($A99,Lista_Starke!$A:$E,2,0),"NÃO ESTÁ NA LISTA")</f>
        <v>CILINDRO MESTRE DE EMBREAGEM</v>
      </c>
    </row>
    <row r="100" customFormat="false" ht="15" hidden="false" customHeight="true" outlineLevel="0" collapsed="false">
      <c r="A100" s="10" t="s">
        <v>285</v>
      </c>
      <c r="B100" s="10" t="str">
        <f aca="false">IFERROR(VLOOKUP(A100,Pedido!$A:$B,2,0),"")</f>
        <v>SWC 5018</v>
      </c>
      <c r="C100" s="10" t="str">
        <f aca="false">IF(B100="","NÃO COMPRA","COMPRA")</f>
        <v>COMPRA</v>
      </c>
      <c r="D100" s="1" t="n">
        <f aca="false">IFERROR(VLOOKUP(A100,Pedido!$A:$C,3,0),0)</f>
        <v>8</v>
      </c>
      <c r="E100" s="5" t="n">
        <f aca="false">IFERROR(VLOOKUP(A100,Pedido!$A:$E,5,0),0)</f>
        <v>215.92</v>
      </c>
      <c r="F100" s="1" t="s">
        <v>7</v>
      </c>
      <c r="G100" s="1" t="s">
        <v>264</v>
      </c>
      <c r="H100" s="1" t="s">
        <v>88</v>
      </c>
      <c r="I100" s="1" t="s">
        <v>286</v>
      </c>
      <c r="J100" s="1" t="s">
        <v>287</v>
      </c>
      <c r="K100" s="1" t="n">
        <v>1163</v>
      </c>
      <c r="L100" s="11" t="n">
        <v>0.425501361638548</v>
      </c>
      <c r="M100" s="1" t="n">
        <f aca="false">SUMIF(Relatorio_AK!$A:$A,A100,Relatorio_AK!$B:$B)</f>
        <v>1163</v>
      </c>
      <c r="N100" s="1" t="str">
        <f aca="false">IF(M100=K100,"OK","DIF")</f>
        <v>OK</v>
      </c>
      <c r="O100" s="13" t="str">
        <f aca="false">IFERROR(VLOOKUP($A100,Lista_Starke!$A:$E,3,0),"NÃO ESTÁ NA LISTA")</f>
        <v>FORD: Ranger 2.2 16V TDCi 13/...
FORD: Ranger 2.5 Flex Duratec 12/19
FORD: Ranger 3.2 20V TDCi 13/...
TROLLER: T4 3.2 20V TDCi 14/...</v>
      </c>
      <c r="P100" s="12" t="str">
        <f aca="false">IFERROR(VLOOKUP($A100,Lista_Starke!$A:$E,2,0),"NÃO ESTÁ NA LISTA")</f>
        <v>CILINDRO DE RODA LE/LD</v>
      </c>
    </row>
    <row r="101" customFormat="false" ht="15" hidden="false" customHeight="true" outlineLevel="0" collapsed="false">
      <c r="A101" s="10" t="s">
        <v>288</v>
      </c>
      <c r="B101" s="10" t="str">
        <f aca="false">IFERROR(VLOOKUP(A101,Pedido!$A:$B,2,0),"")</f>
        <v/>
      </c>
      <c r="C101" s="10" t="str">
        <f aca="false">IF(B101="","NÃO COMPRA","COMPRA")</f>
        <v>NÃO COMPRA</v>
      </c>
      <c r="D101" s="1" t="n">
        <f aca="false">IFERROR(VLOOKUP(A101,Pedido!$A:$C,3,0),0)</f>
        <v>0</v>
      </c>
      <c r="E101" s="5" t="n">
        <f aca="false">IFERROR(VLOOKUP(A101,Pedido!$A:$E,5,0),0)</f>
        <v>0</v>
      </c>
      <c r="F101" s="1" t="s">
        <v>7</v>
      </c>
      <c r="G101" s="1" t="s">
        <v>289</v>
      </c>
      <c r="H101" s="1" t="s">
        <v>28</v>
      </c>
      <c r="I101" s="1" t="s">
        <v>77</v>
      </c>
      <c r="J101" s="1" t="s">
        <v>290</v>
      </c>
      <c r="K101" s="1" t="n">
        <v>1159</v>
      </c>
      <c r="L101" s="11" t="n">
        <v>0.427482703856865</v>
      </c>
      <c r="M101" s="1" t="n">
        <f aca="false">SUMIF(Relatorio_AK!$A:$A,A101,Relatorio_AK!$B:$B)</f>
        <v>1159</v>
      </c>
      <c r="N101" s="1" t="str">
        <f aca="false">IF(M101=K101,"OK","DIF")</f>
        <v>OK</v>
      </c>
      <c r="O101" s="13" t="str">
        <f aca="false">IFERROR(VLOOKUP($A101,Lista_Starke!$A:$E,3,0),"NÃO ESTÁ NA LISTA")</f>
        <v>CITROEN: Aircross 1.5 8V 12/...
CITROEN: Aircross 1.6 16V 11/...
CITROEN: C3 1.4 8V 04/...
CITROEN: C3 1.5 8V 12/...
CITROEN: C3 1.6 16V 04/...
CITROEN: C4 1.6 16V 07/...
PEUGEOT: 208 1.5 8V 12/...
PEUGEOT: 208 1.6 16V 13/...
PEUGEOT: 307 1.6 16V 00/...</v>
      </c>
      <c r="P101" s="12" t="str">
        <f aca="false">IFERROR(VLOOKUP($A101,Lista_Starke!$A:$E,2,0),"NÃO ESTÁ NA LISTA")</f>
        <v>CILINDRO AUXILIAR DE EMBREAGEM</v>
      </c>
    </row>
    <row r="102" customFormat="false" ht="15" hidden="false" customHeight="true" outlineLevel="0" collapsed="false">
      <c r="A102" s="10" t="s">
        <v>291</v>
      </c>
      <c r="B102" s="10" t="str">
        <f aca="false">IFERROR(VLOOKUP(A102,Pedido!$A:$B,2,0),"")</f>
        <v/>
      </c>
      <c r="C102" s="10" t="str">
        <f aca="false">IF(B102="","NÃO COMPRA","COMPRA")</f>
        <v>NÃO COMPRA</v>
      </c>
      <c r="D102" s="1" t="n">
        <f aca="false">IFERROR(VLOOKUP(A102,Pedido!$A:$C,3,0),0)</f>
        <v>0</v>
      </c>
      <c r="E102" s="5" t="n">
        <f aca="false">IFERROR(VLOOKUP(A102,Pedido!$A:$E,5,0),0)</f>
        <v>0</v>
      </c>
      <c r="F102" s="1" t="s">
        <v>7</v>
      </c>
      <c r="G102" s="1" t="s">
        <v>191</v>
      </c>
      <c r="H102" s="1" t="s">
        <v>35</v>
      </c>
      <c r="I102" s="1" t="s">
        <v>50</v>
      </c>
      <c r="J102" s="1" t="s">
        <v>292</v>
      </c>
      <c r="K102" s="1" t="n">
        <v>1159</v>
      </c>
      <c r="L102" s="11" t="n">
        <v>0.429464046075182</v>
      </c>
      <c r="M102" s="1" t="n">
        <f aca="false">SUMIF(Relatorio_AK!$A:$A,A102,Relatorio_AK!$B:$B)</f>
        <v>1159</v>
      </c>
      <c r="N102" s="1" t="str">
        <f aca="false">IF(M102=K102,"OK","DIF")</f>
        <v>OK</v>
      </c>
      <c r="O102" s="12" t="str">
        <f aca="false">IFERROR(VLOOKUP($A102,Lista_Starke!$A:$E,3,0),"NÃO ESTÁ NA LISTA")</f>
        <v>HONDA: New Civic 1.8 16V 07/..</v>
      </c>
      <c r="P102" s="12" t="str">
        <f aca="false">IFERROR(VLOOKUP($A102,Lista_Starke!$A:$E,2,0),"NÃO ESTÁ NA LISTA")</f>
        <v>CILINDRO MESTRE DE FREIO</v>
      </c>
    </row>
    <row r="103" customFormat="false" ht="15" hidden="false" customHeight="true" outlineLevel="0" collapsed="false">
      <c r="A103" s="10" t="s">
        <v>293</v>
      </c>
      <c r="B103" s="10" t="str">
        <f aca="false">IFERROR(VLOOKUP(A103,Pedido!$A:$B,2,0),"")</f>
        <v/>
      </c>
      <c r="C103" s="10" t="str">
        <f aca="false">IF(B103="","NÃO COMPRA","COMPRA")</f>
        <v>NÃO COMPRA</v>
      </c>
      <c r="D103" s="1" t="n">
        <f aca="false">IFERROR(VLOOKUP(A103,Pedido!$A:$C,3,0),0)</f>
        <v>0</v>
      </c>
      <c r="E103" s="5" t="n">
        <f aca="false">IFERROR(VLOOKUP(A103,Pedido!$A:$E,5,0),0)</f>
        <v>0</v>
      </c>
      <c r="F103" s="1" t="s">
        <v>7</v>
      </c>
      <c r="G103" s="1" t="s">
        <v>294</v>
      </c>
      <c r="H103" s="1" t="s">
        <v>35</v>
      </c>
      <c r="I103" s="1" t="s">
        <v>295</v>
      </c>
      <c r="K103" s="1" t="n">
        <v>1157</v>
      </c>
      <c r="L103" s="11" t="n">
        <v>0.431441969238765</v>
      </c>
      <c r="M103" s="1" t="n">
        <f aca="false">SUMIF(Relatorio_AK!$A:$A,A103,Relatorio_AK!$B:$B)</f>
        <v>1157</v>
      </c>
      <c r="N103" s="1" t="str">
        <f aca="false">IF(M103=K103,"OK","DIF")</f>
        <v>OK</v>
      </c>
      <c r="O103" s="12" t="str">
        <f aca="false">IFERROR(VLOOKUP($A103,Lista_Starke!$A:$E,3,0),"NÃO ESTÁ NA LISTA")</f>
        <v>CHERY: QQ 1.1 16V 10/...</v>
      </c>
      <c r="P103" s="12" t="str">
        <f aca="false">IFERROR(VLOOKUP($A103,Lista_Starke!$A:$E,2,0),"NÃO ESTÁ NA LISTA")</f>
        <v>CILINDRO MESTRE DE FREIO</v>
      </c>
    </row>
    <row r="104" customFormat="false" ht="15" hidden="false" customHeight="true" outlineLevel="0" collapsed="false">
      <c r="A104" s="10" t="s">
        <v>296</v>
      </c>
      <c r="B104" s="10" t="str">
        <f aca="false">IFERROR(VLOOKUP(A104,Pedido!$A:$B,2,0),"")</f>
        <v/>
      </c>
      <c r="C104" s="10" t="str">
        <f aca="false">IF(B104="","NÃO COMPRA","COMPRA")</f>
        <v>NÃO COMPRA</v>
      </c>
      <c r="D104" s="1" t="n">
        <f aca="false">IFERROR(VLOOKUP(A104,Pedido!$A:$C,3,0),0)</f>
        <v>0</v>
      </c>
      <c r="E104" s="5" t="n">
        <f aca="false">IFERROR(VLOOKUP(A104,Pedido!$A:$E,5,0),0)</f>
        <v>0</v>
      </c>
      <c r="F104" s="1" t="s">
        <v>7</v>
      </c>
      <c r="G104" s="1" t="s">
        <v>297</v>
      </c>
      <c r="H104" s="1" t="s">
        <v>32</v>
      </c>
      <c r="I104" s="1" t="s">
        <v>255</v>
      </c>
      <c r="K104" s="1" t="n">
        <v>1156</v>
      </c>
      <c r="L104" s="11" t="n">
        <v>0.433418182874981</v>
      </c>
      <c r="M104" s="1" t="n">
        <f aca="false">SUMIF(Relatorio_AK!$A:$A,A104,Relatorio_AK!$B:$B)</f>
        <v>1156</v>
      </c>
      <c r="N104" s="1" t="str">
        <f aca="false">IF(M104=K104,"OK","DIF")</f>
        <v>OK</v>
      </c>
      <c r="O104" s="13" t="str">
        <f aca="false">IFERROR(VLOOKUP($A104,Lista_Starke!$A:$E,3,0),"NÃO ESTÁ NA LISTA")</f>
        <v>MITSUBISHI: Triton 2.4 16V Diesel 4N15 17/...
MITSUBISHI: Triton 2.4 16V Flex 4G64 13/...</v>
      </c>
      <c r="P104" s="12" t="str">
        <f aca="false">IFERROR(VLOOKUP($A104,Lista_Starke!$A:$E,2,0),"NÃO ESTÁ NA LISTA")</f>
        <v>CILINDRO MESTRE DE EMBREAGEM</v>
      </c>
    </row>
    <row r="105" customFormat="false" ht="15" hidden="false" customHeight="true" outlineLevel="0" collapsed="false">
      <c r="A105" s="10" t="s">
        <v>298</v>
      </c>
      <c r="B105" s="10" t="str">
        <f aca="false">IFERROR(VLOOKUP(A105,Pedido!$A:$B,2,0),"")</f>
        <v/>
      </c>
      <c r="C105" s="10" t="str">
        <f aca="false">IF(B105="","NÃO COMPRA","COMPRA")</f>
        <v>NÃO COMPRA</v>
      </c>
      <c r="D105" s="1" t="n">
        <f aca="false">IFERROR(VLOOKUP(A105,Pedido!$A:$C,3,0),0)</f>
        <v>0</v>
      </c>
      <c r="E105" s="5" t="n">
        <f aca="false">IFERROR(VLOOKUP(A105,Pedido!$A:$E,5,0),0)</f>
        <v>0</v>
      </c>
      <c r="F105" s="1" t="s">
        <v>7</v>
      </c>
      <c r="G105" s="1" t="s">
        <v>52</v>
      </c>
      <c r="H105" s="1" t="s">
        <v>35</v>
      </c>
      <c r="I105" s="1" t="s">
        <v>53</v>
      </c>
      <c r="J105" s="1" t="s">
        <v>299</v>
      </c>
      <c r="K105" s="1" t="n">
        <v>1154</v>
      </c>
      <c r="L105" s="11" t="n">
        <v>0.435390977456463</v>
      </c>
      <c r="M105" s="1" t="n">
        <f aca="false">SUMIF(Relatorio_AK!$A:$A,A105,Relatorio_AK!$B:$B)</f>
        <v>1154</v>
      </c>
      <c r="N105" s="1" t="str">
        <f aca="false">IF(M105=K105,"OK","DIF")</f>
        <v>OK</v>
      </c>
      <c r="O105" s="13" t="str">
        <f aca="false">IFERROR(VLOOKUP($A105,Lista_Starke!$A:$E,3,0),"NÃO ESTÁ NA LISTA")</f>
        <v>FORD: Courier  98/...
FORD: Fiesta  02/04
FORD: Fiesta 1.4 / 1.6 96/02
FORD: Fiesta 1.6 02/07
FORD: Ka 1.6 08/...</v>
      </c>
      <c r="P105" s="12" t="str">
        <f aca="false">IFERROR(VLOOKUP($A105,Lista_Starke!$A:$E,2,0),"NÃO ESTÁ NA LISTA")</f>
        <v>CILINDRO MESTRE DE FREIO</v>
      </c>
    </row>
    <row r="106" customFormat="false" ht="15" hidden="false" customHeight="true" outlineLevel="0" collapsed="false">
      <c r="A106" s="10" t="s">
        <v>300</v>
      </c>
      <c r="B106" s="10" t="str">
        <f aca="false">IFERROR(VLOOKUP(A106,Pedido!$A:$B,2,0),"")</f>
        <v/>
      </c>
      <c r="C106" s="10" t="str">
        <f aca="false">IF(B106="","NÃO COMPRA","COMPRA")</f>
        <v>NÃO COMPRA</v>
      </c>
      <c r="D106" s="1" t="n">
        <f aca="false">IFERROR(VLOOKUP(A106,Pedido!$A:$C,3,0),0)</f>
        <v>0</v>
      </c>
      <c r="E106" s="5" t="n">
        <f aca="false">IFERROR(VLOOKUP(A106,Pedido!$A:$E,5,0),0)</f>
        <v>0</v>
      </c>
      <c r="F106" s="1" t="s">
        <v>7</v>
      </c>
      <c r="G106" s="1" t="s">
        <v>301</v>
      </c>
      <c r="H106" s="1" t="s">
        <v>35</v>
      </c>
      <c r="I106" s="1" t="s">
        <v>36</v>
      </c>
      <c r="K106" s="1" t="n">
        <v>1154</v>
      </c>
      <c r="L106" s="11" t="n">
        <v>0.437363772037945</v>
      </c>
      <c r="M106" s="1" t="n">
        <f aca="false">SUMIF(Relatorio_AK!$A:$A,A106,Relatorio_AK!$B:$B)</f>
        <v>1154</v>
      </c>
      <c r="N106" s="1" t="str">
        <f aca="false">IF(M106=K106,"OK","DIF")</f>
        <v>OK</v>
      </c>
      <c r="O106" s="13" t="str">
        <f aca="false">IFERROR(VLOOKUP($A106,Lista_Starke!$A:$E,3,0),"NÃO ESTÁ NA LISTA")</f>
        <v>VOLKSWAGEN: Bora 2.0 8V 01/11
VOLKSWAGEN: Jetta 2.0 8V 10/16
VOLKSWAGEN: New Beetle 1.8 20V Turbo 01/...
VOLKSWAGEN: New Beetle 2.0 8V 01/...</v>
      </c>
      <c r="P106" s="12" t="str">
        <f aca="false">IFERROR(VLOOKUP($A106,Lista_Starke!$A:$E,2,0),"NÃO ESTÁ NA LISTA")</f>
        <v>CILINDRO MESTRE DE FREIO</v>
      </c>
    </row>
    <row r="107" customFormat="false" ht="15" hidden="false" customHeight="true" outlineLevel="0" collapsed="false">
      <c r="A107" s="10" t="s">
        <v>302</v>
      </c>
      <c r="B107" s="10" t="str">
        <f aca="false">IFERROR(VLOOKUP(A107,Pedido!$A:$B,2,0),"")</f>
        <v/>
      </c>
      <c r="C107" s="10" t="str">
        <f aca="false">IF(B107="","NÃO COMPRA","COMPRA")</f>
        <v>NÃO COMPRA</v>
      </c>
      <c r="D107" s="1" t="n">
        <f aca="false">IFERROR(VLOOKUP(A107,Pedido!$A:$C,3,0),0)</f>
        <v>0</v>
      </c>
      <c r="E107" s="5" t="n">
        <f aca="false">IFERROR(VLOOKUP(A107,Pedido!$A:$E,5,0),0)</f>
        <v>0</v>
      </c>
      <c r="F107" s="1" t="s">
        <v>7</v>
      </c>
      <c r="G107" s="1" t="s">
        <v>303</v>
      </c>
      <c r="H107" s="1" t="s">
        <v>35</v>
      </c>
      <c r="I107" s="1" t="s">
        <v>215</v>
      </c>
      <c r="K107" s="1" t="n">
        <v>1138</v>
      </c>
      <c r="L107" s="11" t="n">
        <v>0.439309214181555</v>
      </c>
      <c r="M107" s="1" t="n">
        <f aca="false">SUMIF(Relatorio_AK!$A:$A,A107,Relatorio_AK!$B:$B)</f>
        <v>1138</v>
      </c>
      <c r="N107" s="1" t="str">
        <f aca="false">IF(M107=K107,"OK","DIF")</f>
        <v>OK</v>
      </c>
      <c r="O107" s="13" t="str">
        <f aca="false">IFERROR(VLOOKUP($A107,Lista_Starke!$A:$E,3,0),"NÃO ESTÁ NA LISTA")</f>
        <v>NISSAN: March 1.0 16V 11/...
NISSAN: March 1.6 16V 11/...
NISSAN: Versa 1.6 16V 11/...</v>
      </c>
      <c r="P107" s="12" t="str">
        <f aca="false">IFERROR(VLOOKUP($A107,Lista_Starke!$A:$E,2,0),"NÃO ESTÁ NA LISTA")</f>
        <v>CILINDRO MESTRE DE FREIO</v>
      </c>
    </row>
    <row r="108" customFormat="false" ht="15" hidden="false" customHeight="true" outlineLevel="0" collapsed="false">
      <c r="A108" s="10" t="s">
        <v>304</v>
      </c>
      <c r="B108" s="10" t="str">
        <f aca="false">IFERROR(VLOOKUP(A108,Pedido!$A:$B,2,0),"")</f>
        <v/>
      </c>
      <c r="C108" s="10" t="str">
        <f aca="false">IF(B108="","NÃO COMPRA","COMPRA")</f>
        <v>NÃO COMPRA</v>
      </c>
      <c r="D108" s="1" t="n">
        <f aca="false">IFERROR(VLOOKUP(A108,Pedido!$A:$C,3,0),0)</f>
        <v>0</v>
      </c>
      <c r="E108" s="5" t="n">
        <f aca="false">IFERROR(VLOOKUP(A108,Pedido!$A:$E,5,0),0)</f>
        <v>0</v>
      </c>
      <c r="F108" s="1" t="s">
        <v>7</v>
      </c>
      <c r="G108" s="1" t="s">
        <v>56</v>
      </c>
      <c r="H108" s="1" t="s">
        <v>35</v>
      </c>
      <c r="I108" s="1" t="s">
        <v>57</v>
      </c>
      <c r="K108" s="1" t="n">
        <v>1137</v>
      </c>
      <c r="L108" s="11" t="n">
        <v>0.441252946797799</v>
      </c>
      <c r="M108" s="1" t="n">
        <f aca="false">SUMIF(Relatorio_AK!$A:$A,A108,Relatorio_AK!$B:$B)</f>
        <v>1137</v>
      </c>
      <c r="N108" s="1" t="str">
        <f aca="false">IF(M108=K108,"OK","DIF")</f>
        <v>OK</v>
      </c>
      <c r="O108" s="13" t="str">
        <f aca="false">IFERROR(VLOOKUP($A108,Lista_Starke!$A:$E,3,0),"NÃO ESTÁ NA LISTA")</f>
        <v>GM: S10 2.5 Flex 15/...
GM: S10 2.8 Turbodiedel 13/...
GM: Trailblazer 2.8 Turbodiesel 13/...</v>
      </c>
      <c r="P108" s="12" t="str">
        <f aca="false">IFERROR(VLOOKUP($A108,Lista_Starke!$A:$E,2,0),"NÃO ESTÁ NA LISTA")</f>
        <v>CILINDRO MESTRE DE FREIO</v>
      </c>
    </row>
    <row r="109" customFormat="false" ht="15" hidden="false" customHeight="true" outlineLevel="0" collapsed="false">
      <c r="A109" s="10" t="s">
        <v>305</v>
      </c>
      <c r="B109" s="10" t="str">
        <f aca="false">IFERROR(VLOOKUP(A109,Pedido!$A:$B,2,0),"")</f>
        <v/>
      </c>
      <c r="C109" s="10" t="str">
        <f aca="false">IF(B109="","NÃO COMPRA","COMPRA")</f>
        <v>NÃO COMPRA</v>
      </c>
      <c r="D109" s="1" t="n">
        <f aca="false">IFERROR(VLOOKUP(A109,Pedido!$A:$C,3,0),0)</f>
        <v>0</v>
      </c>
      <c r="E109" s="5" t="n">
        <f aca="false">IFERROR(VLOOKUP(A109,Pedido!$A:$E,5,0),0)</f>
        <v>0</v>
      </c>
      <c r="F109" s="1" t="s">
        <v>7</v>
      </c>
      <c r="G109" s="1" t="s">
        <v>62</v>
      </c>
      <c r="H109" s="1" t="s">
        <v>32</v>
      </c>
      <c r="I109" s="1" t="s">
        <v>42</v>
      </c>
      <c r="K109" s="1" t="n">
        <v>1124</v>
      </c>
      <c r="L109" s="11" t="n">
        <v>0.443174455558272</v>
      </c>
      <c r="M109" s="1" t="n">
        <f aca="false">SUMIF(Relatorio_AK!$A:$A,A109,Relatorio_AK!$B:$B)</f>
        <v>1124</v>
      </c>
      <c r="N109" s="1" t="str">
        <f aca="false">IF(M109=K109,"OK","DIF")</f>
        <v>OK</v>
      </c>
      <c r="O109" s="13" t="str">
        <f aca="false">IFERROR(VLOOKUP($A109,Lista_Starke!$A:$E,3,0),"NÃO ESTÁ NA LISTA")</f>
        <v>RENAULT: Duster 1.6 / 2.0 16/...
RENAULT: Sandero 2.0 16V RS 16/...</v>
      </c>
      <c r="P109" s="12" t="str">
        <f aca="false">IFERROR(VLOOKUP($A109,Lista_Starke!$A:$E,2,0),"NÃO ESTÁ NA LISTA")</f>
        <v>CILINDRO MESTRE EMBREAGEM</v>
      </c>
    </row>
    <row r="110" customFormat="false" ht="15" hidden="false" customHeight="true" outlineLevel="0" collapsed="false">
      <c r="A110" s="10" t="s">
        <v>306</v>
      </c>
      <c r="B110" s="10" t="str">
        <f aca="false">IFERROR(VLOOKUP(A110,Pedido!$A:$B,2,0),"")</f>
        <v/>
      </c>
      <c r="C110" s="10" t="str">
        <f aca="false">IF(B110="","NÃO COMPRA","COMPRA")</f>
        <v>NÃO COMPRA</v>
      </c>
      <c r="D110" s="1" t="n">
        <f aca="false">IFERROR(VLOOKUP(A110,Pedido!$A:$C,3,0),0)</f>
        <v>0</v>
      </c>
      <c r="E110" s="5" t="n">
        <f aca="false">IFERROR(VLOOKUP(A110,Pedido!$A:$E,5,0),0)</f>
        <v>0</v>
      </c>
      <c r="F110" s="1" t="s">
        <v>7</v>
      </c>
      <c r="G110" s="1" t="s">
        <v>307</v>
      </c>
      <c r="H110" s="1" t="s">
        <v>197</v>
      </c>
      <c r="I110" s="1" t="s">
        <v>97</v>
      </c>
      <c r="K110" s="1" t="n">
        <v>1122</v>
      </c>
      <c r="L110" s="11" t="n">
        <v>0.445092545264011</v>
      </c>
      <c r="M110" s="1" t="n">
        <f aca="false">SUMIF(Relatorio_AK!$A:$A,A110,Relatorio_AK!$B:$B)</f>
        <v>1122</v>
      </c>
      <c r="N110" s="1" t="str">
        <f aca="false">IF(M110=K110,"OK","DIF")</f>
        <v>OK</v>
      </c>
      <c r="O110" s="13" t="str">
        <f aca="false">IFERROR(VLOOKUP($A110,Lista_Starke!$A:$E,3,0),"NÃO ESTÁ NA LISTA")</f>
        <v>FIAT: Toro 2.0 16V JTD Diesel 16/…
JEEP: Commander 2.0 16V Turbo Diesel 21/...
JEEP: Compass 2.0 16V JTD Diesel 16/…
JEEP: Renegade 2.0 16V JTD Diesel 16/…</v>
      </c>
      <c r="P110" s="12" t="str">
        <f aca="false">IFERROR(VLOOKUP($A110,Lista_Starke!$A:$E,2,0),"NÃO ESTÁ NA LISTA")</f>
        <v>BOMBA D'ÁGUA</v>
      </c>
    </row>
    <row r="111" customFormat="false" ht="15" hidden="false" customHeight="true" outlineLevel="0" collapsed="false">
      <c r="A111" s="10" t="s">
        <v>308</v>
      </c>
      <c r="B111" s="10" t="str">
        <f aca="false">IFERROR(VLOOKUP(A111,Pedido!$A:$B,2,0),"")</f>
        <v/>
      </c>
      <c r="C111" s="10" t="str">
        <f aca="false">IF(B111="","NÃO COMPRA","COMPRA")</f>
        <v>NÃO COMPRA</v>
      </c>
      <c r="D111" s="1" t="n">
        <f aca="false">IFERROR(VLOOKUP(A111,Pedido!$A:$C,3,0),0)</f>
        <v>0</v>
      </c>
      <c r="E111" s="5" t="n">
        <f aca="false">IFERROR(VLOOKUP(A111,Pedido!$A:$E,5,0),0)</f>
        <v>0</v>
      </c>
      <c r="F111" s="1" t="s">
        <v>7</v>
      </c>
      <c r="G111" s="1" t="s">
        <v>309</v>
      </c>
      <c r="H111" s="1" t="s">
        <v>157</v>
      </c>
      <c r="I111" s="1" t="s">
        <v>310</v>
      </c>
      <c r="K111" s="1" t="n">
        <v>1120</v>
      </c>
      <c r="L111" s="11" t="n">
        <v>0.447007215915016</v>
      </c>
      <c r="M111" s="1" t="n">
        <f aca="false">SUMIF(Relatorio_AK!$A:$A,A111,Relatorio_AK!$B:$B)</f>
        <v>1120</v>
      </c>
      <c r="N111" s="1" t="str">
        <f aca="false">IF(M111=K111,"OK","DIF")</f>
        <v>OK</v>
      </c>
      <c r="O111" s="13" t="str">
        <f aca="false">IFERROR(VLOOKUP($A111,Lista_Starke!$A:$E,3,0),"NÃO ESTÁ NA LISTA")</f>
        <v>MITSUBISHI: ASX 2.0 16V 10/…
MITSUBISHI: Lancer 1.8 16V 08/…
MITSUBISHI: Lancer EVO 2.0 16V 08/…
MITSUBISHI: Outlander 2.0 16V 21/...
MITSUBISHI: Triton 2.4 16V Diesel 17/...
MITSUBISHI: Triton 2.4 16V Flex 13/...</v>
      </c>
      <c r="P111" s="12" t="str">
        <f aca="false">IFERROR(VLOOKUP($A111,Lista_Starke!$A:$E,2,0),"NÃO ESTÁ NA LISTA")</f>
        <v>ATUADOR DE EMBREAGEM</v>
      </c>
    </row>
    <row r="112" customFormat="false" ht="15" hidden="false" customHeight="true" outlineLevel="0" collapsed="false">
      <c r="A112" s="10" t="s">
        <v>311</v>
      </c>
      <c r="B112" s="10" t="str">
        <f aca="false">IFERROR(VLOOKUP(A112,Pedido!$A:$B,2,0),"")</f>
        <v/>
      </c>
      <c r="C112" s="10" t="str">
        <f aca="false">IF(B112="","NÃO COMPRA","COMPRA")</f>
        <v>NÃO COMPRA</v>
      </c>
      <c r="D112" s="1" t="n">
        <f aca="false">IFERROR(VLOOKUP(A112,Pedido!$A:$C,3,0),0)</f>
        <v>0</v>
      </c>
      <c r="E112" s="5" t="n">
        <f aca="false">IFERROR(VLOOKUP(A112,Pedido!$A:$E,5,0),0)</f>
        <v>0</v>
      </c>
      <c r="F112" s="1" t="s">
        <v>7</v>
      </c>
      <c r="G112" s="1" t="s">
        <v>56</v>
      </c>
      <c r="H112" s="1" t="s">
        <v>35</v>
      </c>
      <c r="I112" s="1" t="s">
        <v>57</v>
      </c>
      <c r="J112" s="1" t="s">
        <v>312</v>
      </c>
      <c r="K112" s="1" t="n">
        <v>1117</v>
      </c>
      <c r="L112" s="11" t="n">
        <v>0.44891675798392</v>
      </c>
      <c r="M112" s="1" t="n">
        <f aca="false">SUMIF(Relatorio_AK!$A:$A,A112,Relatorio_AK!$B:$B)</f>
        <v>1117</v>
      </c>
      <c r="N112" s="1" t="str">
        <f aca="false">IF(M112=K112,"OK","DIF")</f>
        <v>OK</v>
      </c>
      <c r="O112" s="13" t="str">
        <f aca="false">IFERROR(VLOOKUP($A112,Lista_Starke!$A:$E,3,0),"NÃO ESTÁ NA LISTA")</f>
        <v>GM: Astra  02/11
GM: Astra  99/01
GM: Meriva  03/12
GM: Vectra  06/11
GM: Zafira  02/12</v>
      </c>
      <c r="P112" s="12" t="str">
        <f aca="false">IFERROR(VLOOKUP($A112,Lista_Starke!$A:$E,2,0),"NÃO ESTÁ NA LISTA")</f>
        <v>CILINDRO MESTRE DE FREIO</v>
      </c>
    </row>
    <row r="113" customFormat="false" ht="15" hidden="false" customHeight="true" outlineLevel="0" collapsed="false">
      <c r="A113" s="10" t="s">
        <v>313</v>
      </c>
      <c r="B113" s="10" t="str">
        <f aca="false">IFERROR(VLOOKUP(A113,Pedido!$A:$B,2,0),"")</f>
        <v/>
      </c>
      <c r="C113" s="10" t="str">
        <f aca="false">IF(B113="","NÃO COMPRA","COMPRA")</f>
        <v>NÃO COMPRA</v>
      </c>
      <c r="D113" s="1" t="n">
        <f aca="false">IFERROR(VLOOKUP(A113,Pedido!$A:$C,3,0),0)</f>
        <v>0</v>
      </c>
      <c r="E113" s="5" t="n">
        <f aca="false">IFERROR(VLOOKUP(A113,Pedido!$A:$E,5,0),0)</f>
        <v>0</v>
      </c>
      <c r="F113" s="1" t="s">
        <v>7</v>
      </c>
      <c r="G113" s="1" t="s">
        <v>314</v>
      </c>
      <c r="H113" s="1" t="s">
        <v>131</v>
      </c>
      <c r="I113" s="1" t="s">
        <v>42</v>
      </c>
      <c r="J113" s="1" t="s">
        <v>315</v>
      </c>
      <c r="K113" s="1" t="n">
        <v>1114</v>
      </c>
      <c r="L113" s="11" t="n">
        <v>0.450821171470723</v>
      </c>
      <c r="M113" s="1" t="n">
        <f aca="false">SUMIF(Relatorio_AK!$A:$A,A113,Relatorio_AK!$B:$B)</f>
        <v>1114</v>
      </c>
      <c r="N113" s="1" t="str">
        <f aca="false">IF(M113=K113,"OK","DIF")</f>
        <v>OK</v>
      </c>
      <c r="O113" s="13" t="str">
        <f aca="false">IFERROR(VLOOKUP($A113,Lista_Starke!$A:$E,3,0),"NÃO ESTÁ NA LISTA")</f>
        <v>RENAULT: Logan 1.6 8V / 1.6 16V 08/...
RENAULT: Sandero 1.6 8V / 1.6 16V 08/...
RENAULT: Symbol 1.6 8V / 1.6 16V 09/13</v>
      </c>
      <c r="P113" s="12" t="str">
        <f aca="false">IFERROR(VLOOKUP($A113,Lista_Starke!$A:$E,2,0),"NÃO ESTÁ NA LISTA")</f>
        <v>SAPATA DE FREIO</v>
      </c>
    </row>
    <row r="114" customFormat="false" ht="15" hidden="false" customHeight="true" outlineLevel="0" collapsed="false">
      <c r="A114" s="10" t="s">
        <v>316</v>
      </c>
      <c r="B114" s="10" t="str">
        <f aca="false">IFERROR(VLOOKUP(A114,Pedido!$A:$B,2,0),"")</f>
        <v/>
      </c>
      <c r="C114" s="10" t="str">
        <f aca="false">IF(B114="","NÃO COMPRA","COMPRA")</f>
        <v>NÃO COMPRA</v>
      </c>
      <c r="D114" s="1" t="n">
        <f aca="false">IFERROR(VLOOKUP(A114,Pedido!$A:$C,3,0),0)</f>
        <v>0</v>
      </c>
      <c r="E114" s="5" t="n">
        <f aca="false">IFERROR(VLOOKUP(A114,Pedido!$A:$E,5,0),0)</f>
        <v>0</v>
      </c>
      <c r="F114" s="1" t="s">
        <v>7</v>
      </c>
      <c r="G114" s="1" t="s">
        <v>52</v>
      </c>
      <c r="H114" s="1" t="s">
        <v>35</v>
      </c>
      <c r="I114" s="1" t="s">
        <v>53</v>
      </c>
      <c r="K114" s="1" t="n">
        <v>1109</v>
      </c>
      <c r="L114" s="11" t="n">
        <v>0.452717037320692</v>
      </c>
      <c r="M114" s="1" t="n">
        <f aca="false">SUMIF(Relatorio_AK!$A:$A,A114,Relatorio_AK!$B:$B)</f>
        <v>1109</v>
      </c>
      <c r="N114" s="1" t="str">
        <f aca="false">IF(M114=K114,"OK","DIF")</f>
        <v>OK</v>
      </c>
      <c r="O114" s="12" t="str">
        <f aca="false">IFERROR(VLOOKUP($A114,Lista_Starke!$A:$E,3,0),"NÃO ESTÁ NA LISTA")</f>
        <v>FORD: New Fiesta 1.5 16V / 1.6 16V Sigma 10/18</v>
      </c>
      <c r="P114" s="12" t="str">
        <f aca="false">IFERROR(VLOOKUP($A114,Lista_Starke!$A:$E,2,0),"NÃO ESTÁ NA LISTA")</f>
        <v>CILINDRO MESTRE DE FREIO</v>
      </c>
    </row>
    <row r="115" customFormat="false" ht="15" hidden="false" customHeight="true" outlineLevel="0" collapsed="false">
      <c r="A115" s="10" t="s">
        <v>317</v>
      </c>
      <c r="B115" s="10" t="str">
        <f aca="false">IFERROR(VLOOKUP(A115,Pedido!$A:$B,2,0),"")</f>
        <v/>
      </c>
      <c r="C115" s="10" t="str">
        <f aca="false">IF(B115="","NÃO COMPRA","COMPRA")</f>
        <v>NÃO COMPRA</v>
      </c>
      <c r="D115" s="1" t="n">
        <f aca="false">IFERROR(VLOOKUP(A115,Pedido!$A:$C,3,0),0)</f>
        <v>0</v>
      </c>
      <c r="E115" s="5" t="n">
        <f aca="false">IFERROR(VLOOKUP(A115,Pedido!$A:$E,5,0),0)</f>
        <v>0</v>
      </c>
      <c r="F115" s="1" t="s">
        <v>7</v>
      </c>
      <c r="G115" s="1" t="s">
        <v>273</v>
      </c>
      <c r="H115" s="1" t="s">
        <v>32</v>
      </c>
      <c r="I115" s="1" t="s">
        <v>215</v>
      </c>
      <c r="K115" s="1" t="n">
        <v>1104</v>
      </c>
      <c r="L115" s="11" t="n">
        <v>0.454604355533825</v>
      </c>
      <c r="M115" s="1" t="n">
        <f aca="false">SUMIF(Relatorio_AK!$A:$A,A115,Relatorio_AK!$B:$B)</f>
        <v>1104</v>
      </c>
      <c r="N115" s="1" t="str">
        <f aca="false">IF(M115=K115,"OK","DIF")</f>
        <v>OK</v>
      </c>
      <c r="O115" s="13" t="str">
        <f aca="false">IFERROR(VLOOKUP($A115,Lista_Starke!$A:$E,3,0),"NÃO ESTÁ NA LISTA")</f>
        <v>NISSAN: Frontier 2.8 4 cil Turbo Diesel MWM 4.07T / 4.07TCA 02/07
NISSAN: X Terra 2.8 4 cil Turbo Diesel MWM 4.07T / 4.07TCA 02/07</v>
      </c>
      <c r="P115" s="12" t="str">
        <f aca="false">IFERROR(VLOOKUP($A115,Lista_Starke!$A:$E,2,0),"NÃO ESTÁ NA LISTA")</f>
        <v>CILINDRO MESTRE DE EMBREAGEM</v>
      </c>
    </row>
    <row r="116" customFormat="false" ht="15" hidden="false" customHeight="true" outlineLevel="0" collapsed="false">
      <c r="A116" s="10" t="s">
        <v>318</v>
      </c>
      <c r="B116" s="10" t="str">
        <f aca="false">IFERROR(VLOOKUP(A116,Pedido!$A:$B,2,0),"")</f>
        <v/>
      </c>
      <c r="C116" s="10" t="str">
        <f aca="false">IF(B116="","NÃO COMPRA","COMPRA")</f>
        <v>NÃO COMPRA</v>
      </c>
      <c r="D116" s="1" t="n">
        <f aca="false">IFERROR(VLOOKUP(A116,Pedido!$A:$C,3,0),0)</f>
        <v>0</v>
      </c>
      <c r="E116" s="5" t="n">
        <f aca="false">IFERROR(VLOOKUP(A116,Pedido!$A:$E,5,0),0)</f>
        <v>0</v>
      </c>
      <c r="F116" s="1" t="s">
        <v>7</v>
      </c>
      <c r="G116" s="1" t="s">
        <v>34</v>
      </c>
      <c r="H116" s="1" t="s">
        <v>35</v>
      </c>
      <c r="I116" s="1" t="s">
        <v>36</v>
      </c>
      <c r="J116" s="1" t="s">
        <v>319</v>
      </c>
      <c r="K116" s="1" t="n">
        <v>1098</v>
      </c>
      <c r="L116" s="11" t="n">
        <v>0.456481416582757</v>
      </c>
      <c r="M116" s="1" t="n">
        <f aca="false">SUMIF(Relatorio_AK!$A:$A,A116,Relatorio_AK!$B:$B)</f>
        <v>1098</v>
      </c>
      <c r="N116" s="1" t="str">
        <f aca="false">IF(M116=K116,"OK","DIF")</f>
        <v>OK</v>
      </c>
      <c r="O116" s="13" t="str">
        <f aca="false">IFERROR(VLOOKUP($A116,Lista_Starke!$A:$E,3,0),"NÃO ESTÁ NA LISTA")</f>
        <v>VOLKSWAGEN: Kombi 1.4 8V Flex 06/12
VOLKSWAGEN: Kombi 1600 Ar 82/05</v>
      </c>
      <c r="P116" s="12" t="str">
        <f aca="false">IFERROR(VLOOKUP($A116,Lista_Starke!$A:$E,2,0),"NÃO ESTÁ NA LISTA")</f>
        <v>CILINDRO MESTRE DE FREIO</v>
      </c>
    </row>
    <row r="117" customFormat="false" ht="15" hidden="false" customHeight="true" outlineLevel="0" collapsed="false">
      <c r="A117" s="10" t="s">
        <v>320</v>
      </c>
      <c r="B117" s="10" t="str">
        <f aca="false">IFERROR(VLOOKUP(A117,Pedido!$A:$B,2,0),"")</f>
        <v/>
      </c>
      <c r="C117" s="10" t="str">
        <f aca="false">IF(B117="","NÃO COMPRA","COMPRA")</f>
        <v>NÃO COMPRA</v>
      </c>
      <c r="D117" s="1" t="n">
        <f aca="false">IFERROR(VLOOKUP(A117,Pedido!$A:$C,3,0),0)</f>
        <v>0</v>
      </c>
      <c r="E117" s="5" t="n">
        <f aca="false">IFERROR(VLOOKUP(A117,Pedido!$A:$E,5,0),0)</f>
        <v>0</v>
      </c>
      <c r="F117" s="1" t="s">
        <v>7</v>
      </c>
      <c r="G117" s="1" t="s">
        <v>52</v>
      </c>
      <c r="H117" s="1" t="s">
        <v>35</v>
      </c>
      <c r="I117" s="1" t="s">
        <v>53</v>
      </c>
      <c r="J117" s="1" t="s">
        <v>321</v>
      </c>
      <c r="K117" s="1" t="n">
        <v>1097</v>
      </c>
      <c r="L117" s="11" t="n">
        <v>0.458356768104322</v>
      </c>
      <c r="M117" s="1" t="n">
        <f aca="false">SUMIF(Relatorio_AK!$A:$A,A117,Relatorio_AK!$B:$B)</f>
        <v>1097</v>
      </c>
      <c r="N117" s="1" t="str">
        <f aca="false">IF(M117=K117,"OK","DIF")</f>
        <v>OK</v>
      </c>
      <c r="O117" s="13" t="str">
        <f aca="false">IFERROR(VLOOKUP($A117,Lista_Starke!$A:$E,3,0),"NÃO ESTÁ NA LISTA")</f>
        <v>FORD: Ka 1.0 12V 3 cil 14/...
FORD: Ka 1.5 12V 3 cil 19/...
FORD: Ka 1.5 16V 4 cil 14/18</v>
      </c>
      <c r="P117" s="12" t="str">
        <f aca="false">IFERROR(VLOOKUP($A117,Lista_Starke!$A:$E,2,0),"NÃO ESTÁ NA LISTA")</f>
        <v>CILINDRO MESTRE DE FREIO</v>
      </c>
    </row>
    <row r="118" customFormat="false" ht="15" hidden="false" customHeight="true" outlineLevel="0" collapsed="false">
      <c r="A118" s="10" t="s">
        <v>322</v>
      </c>
      <c r="B118" s="10" t="str">
        <f aca="false">IFERROR(VLOOKUP(A118,Pedido!$A:$B,2,0),"")</f>
        <v/>
      </c>
      <c r="C118" s="10" t="str">
        <f aca="false">IF(B118="","NÃO COMPRA","COMPRA")</f>
        <v>NÃO COMPRA</v>
      </c>
      <c r="D118" s="1" t="n">
        <f aca="false">IFERROR(VLOOKUP(A118,Pedido!$A:$C,3,0),0)</f>
        <v>0</v>
      </c>
      <c r="E118" s="5" t="n">
        <f aca="false">IFERROR(VLOOKUP(A118,Pedido!$A:$E,5,0),0)</f>
        <v>0</v>
      </c>
      <c r="F118" s="1" t="s">
        <v>7</v>
      </c>
      <c r="G118" s="1" t="s">
        <v>193</v>
      </c>
      <c r="H118" s="1" t="s">
        <v>32</v>
      </c>
      <c r="I118" s="1" t="s">
        <v>286</v>
      </c>
      <c r="J118" s="1" t="s">
        <v>323</v>
      </c>
      <c r="K118" s="1" t="n">
        <v>1090</v>
      </c>
      <c r="L118" s="11" t="n">
        <v>0.460220152934318</v>
      </c>
      <c r="M118" s="1" t="n">
        <f aca="false">SUMIF(Relatorio_AK!$A:$A,A118,Relatorio_AK!$B:$B)</f>
        <v>1090</v>
      </c>
      <c r="N118" s="1" t="str">
        <f aca="false">IF(M118=K118,"OK","DIF")</f>
        <v>OK</v>
      </c>
      <c r="O118" s="13" t="str">
        <f aca="false">IFERROR(VLOOKUP($A118,Lista_Starke!$A:$E,3,0),"NÃO ESTÁ NA LISTA")</f>
        <v>FORD: Ranger 2.3 16V 97/12
FORD: Ranger 2.5 16V 97/12
FORD: Ranger 2.5 Turbo Diesel 97/12
FORD: Ranger 2.8 Turbo Diesel 97/12
FORD: Ranger 3.0 Turbo Diesel  NGD 05/…
TROLLER: T4 3.0 Turbo Diesel  NGD 07/…</v>
      </c>
      <c r="P118" s="12" t="str">
        <f aca="false">IFERROR(VLOOKUP($A118,Lista_Starke!$A:$E,2,0),"NÃO ESTÁ NA LISTA")</f>
        <v>CILINDRO MESTRE DE EMBREAGEM</v>
      </c>
    </row>
    <row r="119" customFormat="false" ht="15" hidden="false" customHeight="true" outlineLevel="0" collapsed="false">
      <c r="A119" s="10" t="s">
        <v>324</v>
      </c>
      <c r="B119" s="10" t="str">
        <f aca="false">IFERROR(VLOOKUP(A119,Pedido!$A:$B,2,0),"")</f>
        <v/>
      </c>
      <c r="C119" s="10" t="str">
        <f aca="false">IF(B119="","NÃO COMPRA","COMPRA")</f>
        <v>NÃO COMPRA</v>
      </c>
      <c r="D119" s="1" t="n">
        <f aca="false">IFERROR(VLOOKUP(A119,Pedido!$A:$C,3,0),0)</f>
        <v>0</v>
      </c>
      <c r="E119" s="5" t="n">
        <f aca="false">IFERROR(VLOOKUP(A119,Pedido!$A:$E,5,0),0)</f>
        <v>0</v>
      </c>
      <c r="F119" s="1" t="s">
        <v>7</v>
      </c>
      <c r="G119" s="1" t="s">
        <v>325</v>
      </c>
      <c r="H119" s="1" t="s">
        <v>326</v>
      </c>
      <c r="I119" s="1" t="s">
        <v>327</v>
      </c>
      <c r="K119" s="1" t="n">
        <v>1086</v>
      </c>
      <c r="L119" s="11" t="n">
        <v>0.462076699654846</v>
      </c>
      <c r="M119" s="1" t="n">
        <f aca="false">SUMIF(Relatorio_AK!$A:$A,A119,Relatorio_AK!$B:$B)</f>
        <v>1086</v>
      </c>
      <c r="N119" s="1" t="str">
        <f aca="false">IF(M119=K119,"OK","DIF")</f>
        <v>OK</v>
      </c>
      <c r="O119" s="13" t="str">
        <f aca="false">IFERROR(VLOOKUP($A119,Lista_Starke!$A:$E,3,0),"NÃO ESTÁ NA LISTA")</f>
        <v>FORD: F1000 XL / XLT 2.5 Turbo Diesel Maxion HS …/98
FORD: Ranger 2.5 Turbo Diesel Maxion HS 96/06
FORD: Ranger 2.8 Turbo Diesel Maxion HS 98/06
GM: Blazer 2.5 Turbo Diesel Maxion HS 96/05
GM: Blazer 2.8 Turbo Diesel Maxion HS 96/05
GM: S10 2.5 Turbo Diesel Maxion HS 96/05
GM: S10 2.8 Turbo Diesel Maxion HS 96/05
LAND ROVER: Defender 2.5 Turbo Diesel Maxion HS 90/98
LAND ROVER: Discovery II 2.5 Turbo Diesel Maxion HS 90/98
MERCEDES-BENZ: Sprinter 310 / 312 / 412 2.5 Turbo Diesel Maxion HS 97/02
MERCEDES-BENZ: Sprinter 310 / 312 / 412 2.8 Turbo Diesel Maxion HS 97/02</v>
      </c>
      <c r="P119" s="12" t="str">
        <f aca="false">IFERROR(VLOOKUP($A119,Lista_Starke!$A:$E,2,0),"NÃO ESTÁ NA LISTA")</f>
        <v>BOMBA DE VÁCUO ALTERNADOR</v>
      </c>
    </row>
    <row r="120" customFormat="false" ht="15" hidden="false" customHeight="true" outlineLevel="0" collapsed="false">
      <c r="A120" s="10" t="s">
        <v>328</v>
      </c>
      <c r="B120" s="10" t="str">
        <f aca="false">IFERROR(VLOOKUP(A120,Pedido!$A:$B,2,0),"")</f>
        <v/>
      </c>
      <c r="C120" s="10" t="str">
        <f aca="false">IF(B120="","NÃO COMPRA","COMPRA")</f>
        <v>NÃO COMPRA</v>
      </c>
      <c r="D120" s="1" t="n">
        <f aca="false">IFERROR(VLOOKUP(A120,Pedido!$A:$C,3,0),0)</f>
        <v>0</v>
      </c>
      <c r="E120" s="5" t="n">
        <f aca="false">IFERROR(VLOOKUP(A120,Pedido!$A:$E,5,0),0)</f>
        <v>0</v>
      </c>
      <c r="F120" s="1" t="s">
        <v>7</v>
      </c>
      <c r="G120" s="1" t="s">
        <v>329</v>
      </c>
      <c r="H120" s="1" t="s">
        <v>88</v>
      </c>
      <c r="I120" s="1" t="s">
        <v>295</v>
      </c>
      <c r="J120" s="1" t="s">
        <v>330</v>
      </c>
      <c r="K120" s="1" t="n">
        <v>1085</v>
      </c>
      <c r="L120" s="11" t="n">
        <v>0.463931536848008</v>
      </c>
      <c r="M120" s="1" t="n">
        <f aca="false">SUMIF(Relatorio_AK!$A:$A,A120,Relatorio_AK!$B:$B)</f>
        <v>1085</v>
      </c>
      <c r="N120" s="1" t="str">
        <f aca="false">IF(M120=K120,"OK","DIF")</f>
        <v>OK</v>
      </c>
      <c r="O120" s="13" t="str">
        <f aca="false">IFERROR(VLOOKUP($A120,Lista_Starke!$A:$E,3,0),"NÃO ESTÁ NA LISTA")</f>
        <v>CHERY: QQ 0.8 12V   SQR372 07/…
CHERY: QQ 1.1 16V   SQR472 / SQR472F 07/…</v>
      </c>
      <c r="P120" s="12" t="str">
        <f aca="false">IFERROR(VLOOKUP($A120,Lista_Starke!$A:$E,2,0),"NÃO ESTÁ NA LISTA")</f>
        <v>CILINDRO DE RODA LE/LD</v>
      </c>
    </row>
    <row r="121" customFormat="false" ht="15" hidden="false" customHeight="true" outlineLevel="0" collapsed="false">
      <c r="A121" s="10" t="s">
        <v>331</v>
      </c>
      <c r="B121" s="10" t="str">
        <f aca="false">IFERROR(VLOOKUP(A121,Pedido!$A:$B,2,0),"")</f>
        <v/>
      </c>
      <c r="C121" s="10" t="str">
        <f aca="false">IF(B121="","NÃO COMPRA","COMPRA")</f>
        <v>NÃO COMPRA</v>
      </c>
      <c r="D121" s="1" t="n">
        <f aca="false">IFERROR(VLOOKUP(A121,Pedido!$A:$C,3,0),0)</f>
        <v>0</v>
      </c>
      <c r="E121" s="5" t="n">
        <f aca="false">IFERROR(VLOOKUP(A121,Pedido!$A:$E,5,0),0)</f>
        <v>0</v>
      </c>
      <c r="F121" s="1" t="s">
        <v>7</v>
      </c>
      <c r="G121" s="1" t="s">
        <v>332</v>
      </c>
      <c r="H121" s="1" t="s">
        <v>28</v>
      </c>
      <c r="I121" s="1" t="s">
        <v>177</v>
      </c>
      <c r="K121" s="1" t="n">
        <v>1085</v>
      </c>
      <c r="L121" s="11" t="n">
        <v>0.465786374041169</v>
      </c>
      <c r="M121" s="1" t="n">
        <f aca="false">SUMIF(Relatorio_AK!$A:$A,A121,Relatorio_AK!$B:$B)</f>
        <v>1085</v>
      </c>
      <c r="N121" s="1" t="str">
        <f aca="false">IF(M121=K121,"OK","DIF")</f>
        <v>OK</v>
      </c>
      <c r="O121" s="13" t="str">
        <f aca="false">IFERROR(VLOOKUP($A121,Lista_Starke!$A:$E,3,0),"NÃO ESTÁ NA LISTA")</f>
        <v>TOYOTA: Hilux 2.5 16V 2KD 06/12
TOYOTA: Hilux 3.0 16V 1KD 06/11
TOYOTA: SW4 3.0 16V 1KD 06/11</v>
      </c>
      <c r="P121" s="12" t="str">
        <f aca="false">IFERROR(VLOOKUP($A121,Lista_Starke!$A:$E,2,0),"NÃO ESTÁ NA LISTA")</f>
        <v>CILINDRO AUXILIAR DE EMBREAGEM</v>
      </c>
    </row>
    <row r="122" customFormat="false" ht="15" hidden="false" customHeight="true" outlineLevel="0" collapsed="false">
      <c r="A122" s="10" t="s">
        <v>333</v>
      </c>
      <c r="B122" s="10" t="str">
        <f aca="false">IFERROR(VLOOKUP(A122,Pedido!$A:$B,2,0),"")</f>
        <v/>
      </c>
      <c r="C122" s="10" t="str">
        <f aca="false">IF(B122="","NÃO COMPRA","COMPRA")</f>
        <v>NÃO COMPRA</v>
      </c>
      <c r="D122" s="1" t="n">
        <f aca="false">IFERROR(VLOOKUP(A122,Pedido!$A:$C,3,0),0)</f>
        <v>0</v>
      </c>
      <c r="E122" s="5" t="n">
        <f aca="false">IFERROR(VLOOKUP(A122,Pedido!$A:$E,5,0),0)</f>
        <v>0</v>
      </c>
      <c r="F122" s="1" t="s">
        <v>7</v>
      </c>
      <c r="G122" s="1" t="s">
        <v>117</v>
      </c>
      <c r="H122" s="1" t="s">
        <v>32</v>
      </c>
      <c r="I122" s="1" t="s">
        <v>57</v>
      </c>
      <c r="J122" s="1" t="s">
        <v>334</v>
      </c>
      <c r="K122" s="1" t="n">
        <v>1070</v>
      </c>
      <c r="L122" s="11" t="n">
        <v>0.467615568323825</v>
      </c>
      <c r="M122" s="1" t="n">
        <f aca="false">SUMIF(Relatorio_AK!$A:$A,A122,Relatorio_AK!$B:$B)</f>
        <v>1070</v>
      </c>
      <c r="N122" s="1" t="str">
        <f aca="false">IF(M122=K122,"OK","DIF")</f>
        <v>OK</v>
      </c>
      <c r="O122" s="13" t="str">
        <f aca="false">IFERROR(VLOOKUP($A122,Lista_Starke!$A:$E,3,0),"NÃO ESTÁ NA LISTA")</f>
        <v>GM: Cobalt 1.4 / 1.8 11/...
GM: Onix 1.0 / 1.4 13/...
GM: Prisma 1.0 / 1.4 13/...
GM: Spin 1.8 12/...</v>
      </c>
      <c r="P122" s="12" t="str">
        <f aca="false">IFERROR(VLOOKUP($A122,Lista_Starke!$A:$E,2,0),"NÃO ESTÁ NA LISTA")</f>
        <v>CILINDRO MESTRE DE EMBREAGEM</v>
      </c>
    </row>
    <row r="123" customFormat="false" ht="15" hidden="false" customHeight="true" outlineLevel="0" collapsed="false">
      <c r="A123" s="10" t="s">
        <v>335</v>
      </c>
      <c r="B123" s="10" t="str">
        <f aca="false">IFERROR(VLOOKUP(A123,Pedido!$A:$B,2,0),"")</f>
        <v/>
      </c>
      <c r="C123" s="10" t="str">
        <f aca="false">IF(B123="","NÃO COMPRA","COMPRA")</f>
        <v>NÃO COMPRA</v>
      </c>
      <c r="D123" s="1" t="n">
        <f aca="false">IFERROR(VLOOKUP(A123,Pedido!$A:$C,3,0),0)</f>
        <v>0</v>
      </c>
      <c r="E123" s="5" t="n">
        <f aca="false">IFERROR(VLOOKUP(A123,Pedido!$A:$E,5,0),0)</f>
        <v>0</v>
      </c>
      <c r="F123" s="1" t="s">
        <v>7</v>
      </c>
      <c r="G123" s="1" t="s">
        <v>336</v>
      </c>
      <c r="H123" s="1" t="s">
        <v>88</v>
      </c>
      <c r="I123" s="1" t="s">
        <v>215</v>
      </c>
      <c r="J123" s="1" t="s">
        <v>337</v>
      </c>
      <c r="K123" s="1" t="n">
        <v>1056</v>
      </c>
      <c r="L123" s="11" t="n">
        <v>0.469420829223344</v>
      </c>
      <c r="M123" s="1" t="n">
        <f aca="false">SUMIF(Relatorio_AK!$A:$A,A123,Relatorio_AK!$B:$B)</f>
        <v>1056</v>
      </c>
      <c r="N123" s="1" t="str">
        <f aca="false">IF(M123=K123,"OK","DIF")</f>
        <v>OK</v>
      </c>
      <c r="O123" s="13" t="str">
        <f aca="false">IFERROR(VLOOKUP($A123,Lista_Starke!$A:$E,3,0),"NÃO ESTÁ NA LISTA")</f>
        <v>NISSAN: Grand Livina 1.8 16V 10/...
NISSAN: Sentra 2.0 16V 07/...
NISSAN: Tiida 1.8 16V 08/...</v>
      </c>
      <c r="P123" s="12" t="str">
        <f aca="false">IFERROR(VLOOKUP($A123,Lista_Starke!$A:$E,2,0),"NÃO ESTÁ NA LISTA")</f>
        <v>CILINDRO DE RODA LE/LD</v>
      </c>
    </row>
    <row r="124" customFormat="false" ht="15" hidden="false" customHeight="true" outlineLevel="0" collapsed="false">
      <c r="A124" s="10" t="s">
        <v>338</v>
      </c>
      <c r="B124" s="10" t="str">
        <f aca="false">IFERROR(VLOOKUP(A124,Pedido!$A:$B,2,0),"")</f>
        <v/>
      </c>
      <c r="C124" s="10" t="str">
        <f aca="false">IF(B124="","NÃO COMPRA","COMPRA")</f>
        <v>NÃO COMPRA</v>
      </c>
      <c r="D124" s="1" t="n">
        <f aca="false">IFERROR(VLOOKUP(A124,Pedido!$A:$C,3,0),0)</f>
        <v>0</v>
      </c>
      <c r="E124" s="5" t="n">
        <f aca="false">IFERROR(VLOOKUP(A124,Pedido!$A:$E,5,0),0)</f>
        <v>0</v>
      </c>
      <c r="F124" s="1" t="s">
        <v>7</v>
      </c>
      <c r="G124" s="1" t="s">
        <v>277</v>
      </c>
      <c r="H124" s="1" t="s">
        <v>131</v>
      </c>
      <c r="I124" s="1" t="s">
        <v>53</v>
      </c>
      <c r="J124" s="1" t="s">
        <v>339</v>
      </c>
      <c r="K124" s="1" t="n">
        <v>1049</v>
      </c>
      <c r="L124" s="11" t="n">
        <v>0.471214123431295</v>
      </c>
      <c r="M124" s="1" t="n">
        <f aca="false">SUMIF(Relatorio_AK!$A:$A,A124,Relatorio_AK!$B:$B)</f>
        <v>1049</v>
      </c>
      <c r="N124" s="1" t="str">
        <f aca="false">IF(M124=K124,"OK","DIF")</f>
        <v>OK</v>
      </c>
      <c r="O124" s="13" t="str">
        <f aca="false">IFERROR(VLOOKUP($A124,Lista_Starke!$A:$E,3,0),"NÃO ESTÁ NA LISTA")</f>
        <v>FORD: Ka 1.0 12V 3 cil 14/...
FORD: Ka 1.5 12V 3 cil 19/...
FORD: Ka 1.5 16V 4 cil 14/18
FORD: New Fiesta 1.5 16V / 1.6 16V Sigma 10/18</v>
      </c>
      <c r="P124" s="12" t="str">
        <f aca="false">IFERROR(VLOOKUP($A124,Lista_Starke!$A:$E,2,0),"NÃO ESTÁ NA LISTA")</f>
        <v>SAPATA DE FREIO</v>
      </c>
    </row>
    <row r="125" customFormat="false" ht="15" hidden="false" customHeight="true" outlineLevel="0" collapsed="false">
      <c r="A125" s="10" t="s">
        <v>340</v>
      </c>
      <c r="B125" s="10" t="str">
        <f aca="false">IFERROR(VLOOKUP(A125,Pedido!$A:$B,2,0),"")</f>
        <v/>
      </c>
      <c r="C125" s="10" t="str">
        <f aca="false">IF(B125="","NÃO COMPRA","COMPRA")</f>
        <v>NÃO COMPRA</v>
      </c>
      <c r="D125" s="1" t="n">
        <f aca="false">IFERROR(VLOOKUP(A125,Pedido!$A:$C,3,0),0)</f>
        <v>0</v>
      </c>
      <c r="E125" s="5" t="n">
        <f aca="false">IFERROR(VLOOKUP(A125,Pedido!$A:$E,5,0),0)</f>
        <v>0</v>
      </c>
      <c r="F125" s="1" t="s">
        <v>7</v>
      </c>
      <c r="G125" s="1" t="s">
        <v>341</v>
      </c>
      <c r="H125" s="1" t="s">
        <v>131</v>
      </c>
      <c r="I125" s="1" t="s">
        <v>36</v>
      </c>
      <c r="J125" s="1" t="s">
        <v>342</v>
      </c>
      <c r="K125" s="1" t="n">
        <v>1042</v>
      </c>
      <c r="L125" s="11" t="n">
        <v>0.472995450947676</v>
      </c>
      <c r="M125" s="1" t="n">
        <f aca="false">SUMIF(Relatorio_AK!$A:$A,A125,Relatorio_AK!$B:$B)</f>
        <v>1042</v>
      </c>
      <c r="N125" s="1" t="str">
        <f aca="false">IF(M125=K125,"OK","DIF")</f>
        <v>OK</v>
      </c>
      <c r="O125" s="13" t="str">
        <f aca="false">IFERROR(VLOOKUP($A125,Lista_Starke!$A:$E,3,0),"NÃO ESTÁ NA LISTA")</f>
        <v>VOLKSWAGEN: Crossfox 1.6 04/...
VOLKSWAGEN: Fox 1.0 / 1.6 04/14
VOLKSWAGEN: Gol 1.0 / 1.6 / 1.8 / 2.0 88/09
VOLKSWAGEN: Golf 1.8 / 2.0 95/98
VOLKSWAGEN: Parati 1.0 / 1.6 / 1.8 / 2.0 86/09
VOLKSWAGEN: Polo Classic 1.0 / 1.6 97/...
VOLKSWAGEN: Saveiro 1.6 / 1.8 95/98
VOLKSWAGEN: Space Cross 1.6 11/...
VOLKSWAGEN: Spacefox 1.6 04/...
VOLKSWAGEN: Up 1.0 / 1.0 TSI 14/...</v>
      </c>
      <c r="P125" s="12" t="str">
        <f aca="false">IFERROR(VLOOKUP($A125,Lista_Starke!$A:$E,2,0),"NÃO ESTÁ NA LISTA")</f>
        <v>SAPATA DE FREIO</v>
      </c>
    </row>
    <row r="126" customFormat="false" ht="15" hidden="false" customHeight="true" outlineLevel="0" collapsed="false">
      <c r="A126" s="10" t="s">
        <v>343</v>
      </c>
      <c r="B126" s="10" t="str">
        <f aca="false">IFERROR(VLOOKUP(A126,Pedido!$A:$B,2,0),"")</f>
        <v/>
      </c>
      <c r="C126" s="10" t="str">
        <f aca="false">IF(B126="","NÃO COMPRA","COMPRA")</f>
        <v>NÃO COMPRA</v>
      </c>
      <c r="D126" s="1" t="n">
        <f aca="false">IFERROR(VLOOKUP(A126,Pedido!$A:$C,3,0),0)</f>
        <v>0</v>
      </c>
      <c r="E126" s="5" t="n">
        <f aca="false">IFERROR(VLOOKUP(A126,Pedido!$A:$E,5,0),0)</f>
        <v>0</v>
      </c>
      <c r="F126" s="1" t="s">
        <v>7</v>
      </c>
      <c r="G126" s="1" t="s">
        <v>344</v>
      </c>
      <c r="H126" s="1" t="s">
        <v>235</v>
      </c>
      <c r="I126" s="1" t="s">
        <v>36</v>
      </c>
      <c r="J126" s="1" t="s">
        <v>345</v>
      </c>
      <c r="K126" s="1" t="n">
        <v>1037</v>
      </c>
      <c r="L126" s="11" t="n">
        <v>0.474768230827223</v>
      </c>
      <c r="M126" s="1" t="n">
        <f aca="false">SUMIF(Relatorio_AK!$A:$A,A126,Relatorio_AK!$B:$B)</f>
        <v>1037</v>
      </c>
      <c r="N126" s="1" t="str">
        <f aca="false">IF(M126=K126,"OK","DIF")</f>
        <v>OK</v>
      </c>
      <c r="O126" s="12" t="str">
        <f aca="false">IFERROR(VLOOKUP($A126,Lista_Starke!$A:$E,3,0),"NÃO ESTÁ NA LISTA")</f>
        <v>VOLKSWAGEN: Amarok 2.0 16V TDI   CDBA / CNFA 10/…</v>
      </c>
      <c r="P126" s="12" t="str">
        <f aca="false">IFERROR(VLOOKUP($A126,Lista_Starke!$A:$E,2,0),"NÃO ESTÁ NA LISTA")</f>
        <v>RESFRIADOR DE ÓLEO MOTOR</v>
      </c>
    </row>
    <row r="127" customFormat="false" ht="15" hidden="false" customHeight="true" outlineLevel="0" collapsed="false">
      <c r="A127" s="10" t="s">
        <v>346</v>
      </c>
      <c r="B127" s="10" t="str">
        <f aca="false">IFERROR(VLOOKUP(A127,Pedido!$A:$B,2,0),"")</f>
        <v/>
      </c>
      <c r="C127" s="10" t="str">
        <f aca="false">IF(B127="","NÃO COMPRA","COMPRA")</f>
        <v>NÃO COMPRA</v>
      </c>
      <c r="D127" s="1" t="n">
        <f aca="false">IFERROR(VLOOKUP(A127,Pedido!$A:$C,3,0),0)</f>
        <v>0</v>
      </c>
      <c r="E127" s="5" t="n">
        <f aca="false">IFERROR(VLOOKUP(A127,Pedido!$A:$E,5,0),0)</f>
        <v>0</v>
      </c>
      <c r="F127" s="1" t="s">
        <v>7</v>
      </c>
      <c r="G127" s="1" t="s">
        <v>314</v>
      </c>
      <c r="H127" s="1" t="s">
        <v>131</v>
      </c>
      <c r="I127" s="1" t="s">
        <v>42</v>
      </c>
      <c r="J127" s="1" t="s">
        <v>347</v>
      </c>
      <c r="K127" s="1" t="n">
        <v>1016</v>
      </c>
      <c r="L127" s="11" t="n">
        <v>0.476505110632063</v>
      </c>
      <c r="M127" s="1" t="n">
        <f aca="false">SUMIF(Relatorio_AK!$A:$A,A127,Relatorio_AK!$B:$B)</f>
        <v>1016</v>
      </c>
      <c r="N127" s="1" t="str">
        <f aca="false">IF(M127=K127,"OK","DIF")</f>
        <v>OK</v>
      </c>
      <c r="O127" s="13" t="str">
        <f aca="false">IFERROR(VLOOKUP($A127,Lista_Starke!$A:$E,3,0),"NÃO ESTÁ NA LISTA")</f>
        <v>RENAULT: Captur 1.6 16V SCE H4M 16/...
RENAULT: Captur 2.0 16V F4R 16/...
RENAULT: Duster 1.6 / 2.0 12/...
RENAULT: Oroch 1.6 16V 15/...
RENAULT: Oroch 2.0 16V 15/...
RENAULT: Zoe E-Tech 19/...</v>
      </c>
      <c r="P127" s="12" t="str">
        <f aca="false">IFERROR(VLOOKUP($A127,Lista_Starke!$A:$E,2,0),"NÃO ESTÁ NA LISTA")</f>
        <v>SAPATA DE FREIO</v>
      </c>
    </row>
    <row r="128" customFormat="false" ht="15" hidden="false" customHeight="true" outlineLevel="0" collapsed="false">
      <c r="A128" s="10" t="s">
        <v>348</v>
      </c>
      <c r="B128" s="10" t="str">
        <f aca="false">IFERROR(VLOOKUP(A128,Pedido!$A:$B,2,0),"")</f>
        <v/>
      </c>
      <c r="C128" s="10" t="str">
        <f aca="false">IF(B128="","NÃO COMPRA","COMPRA")</f>
        <v>NÃO COMPRA</v>
      </c>
      <c r="D128" s="1" t="n">
        <f aca="false">IFERROR(VLOOKUP(A128,Pedido!$A:$C,3,0),0)</f>
        <v>0</v>
      </c>
      <c r="E128" s="5" t="n">
        <f aca="false">IFERROR(VLOOKUP(A128,Pedido!$A:$E,5,0),0)</f>
        <v>0</v>
      </c>
      <c r="F128" s="1" t="s">
        <v>7</v>
      </c>
      <c r="G128" s="1" t="s">
        <v>349</v>
      </c>
      <c r="H128" s="1" t="s">
        <v>197</v>
      </c>
      <c r="I128" s="1" t="s">
        <v>57</v>
      </c>
      <c r="J128" s="1" t="s">
        <v>350</v>
      </c>
      <c r="K128" s="1" t="n">
        <v>1012</v>
      </c>
      <c r="L128" s="11" t="n">
        <v>0.478235152327436</v>
      </c>
      <c r="M128" s="1" t="n">
        <f aca="false">SUMIF(Relatorio_AK!$A:$A,A128,Relatorio_AK!$B:$B)</f>
        <v>1012</v>
      </c>
      <c r="N128" s="1" t="str">
        <f aca="false">IF(M128=K128,"OK","DIF")</f>
        <v>OK</v>
      </c>
      <c r="O128" s="13" t="str">
        <f aca="false">IFERROR(VLOOKUP($A128,Lista_Starke!$A:$E,3,0),"NÃO ESTÁ NA LISTA")</f>
        <v>GM: Onix 1.0 12V 3 cil Aspirado 20/...
GM: Onix Plus 1.0 12V 3 cil Aspirado 20/...</v>
      </c>
      <c r="P128" s="12" t="str">
        <f aca="false">IFERROR(VLOOKUP($A128,Lista_Starke!$A:$E,2,0),"NÃO ESTÁ NA LISTA")</f>
        <v>BOMBA D'ÁGUA</v>
      </c>
    </row>
    <row r="129" customFormat="false" ht="15" hidden="false" customHeight="true" outlineLevel="0" collapsed="false">
      <c r="A129" s="10" t="s">
        <v>351</v>
      </c>
      <c r="B129" s="10" t="str">
        <f aca="false">IFERROR(VLOOKUP(A129,Pedido!$A:$B,2,0),"")</f>
        <v/>
      </c>
      <c r="C129" s="10" t="str">
        <f aca="false">IF(B129="","NÃO COMPRA","COMPRA")</f>
        <v>NÃO COMPRA</v>
      </c>
      <c r="D129" s="1" t="n">
        <f aca="false">IFERROR(VLOOKUP(A129,Pedido!$A:$C,3,0),0)</f>
        <v>0</v>
      </c>
      <c r="E129" s="5" t="n">
        <f aca="false">IFERROR(VLOOKUP(A129,Pedido!$A:$E,5,0),0)</f>
        <v>0</v>
      </c>
      <c r="F129" s="1" t="s">
        <v>7</v>
      </c>
      <c r="G129" s="1" t="s">
        <v>254</v>
      </c>
      <c r="H129" s="1" t="s">
        <v>35</v>
      </c>
      <c r="I129" s="1" t="s">
        <v>255</v>
      </c>
      <c r="K129" s="1" t="n">
        <v>1009</v>
      </c>
      <c r="L129" s="11" t="n">
        <v>0.479960065440707</v>
      </c>
      <c r="M129" s="1" t="n">
        <f aca="false">SUMIF(Relatorio_AK!$A:$A,A129,Relatorio_AK!$B:$B)</f>
        <v>1009</v>
      </c>
      <c r="N129" s="1" t="str">
        <f aca="false">IF(M129=K129,"OK","DIF")</f>
        <v>OK</v>
      </c>
      <c r="O129" s="13" t="str">
        <f aca="false">IFERROR(VLOOKUP($A129,Lista_Starke!$A:$E,3,0),"NÃO ESTÁ NA LISTA")</f>
        <v>MITSUBISHI: Pajero Dakar 3.2 16V Diesel 4M41 DI-D 07/13
MITSUBISHI: Pajero Full 3.2 16V Diesel 4M41 DI-D 07/13
MITSUBISHI: Triton 3.2 16V Diesel 4M41 DI-D 07/13
MITSUBISHI: Triton 3.5 V6 24V Flex 6G74 10/13
MITSUBISHI: Triton 3.5 V6 24V Gasolina 6G74 07/13</v>
      </c>
      <c r="P129" s="12" t="str">
        <f aca="false">IFERROR(VLOOKUP($A129,Lista_Starke!$A:$E,2,0),"NÃO ESTÁ NA LISTA")</f>
        <v>CILINDRO MESTRE DE FREIO</v>
      </c>
    </row>
    <row r="130" customFormat="false" ht="15" hidden="false" customHeight="true" outlineLevel="0" collapsed="false">
      <c r="A130" s="10" t="s">
        <v>352</v>
      </c>
      <c r="B130" s="10" t="str">
        <f aca="false">IFERROR(VLOOKUP(A130,Pedido!$A:$B,2,0),"")</f>
        <v/>
      </c>
      <c r="C130" s="10" t="str">
        <f aca="false">IF(B130="","NÃO COMPRA","COMPRA")</f>
        <v>NÃO COMPRA</v>
      </c>
      <c r="D130" s="1" t="n">
        <f aca="false">IFERROR(VLOOKUP(A130,Pedido!$A:$C,3,0),0)</f>
        <v>0</v>
      </c>
      <c r="E130" s="5" t="n">
        <f aca="false">IFERROR(VLOOKUP(A130,Pedido!$A:$E,5,0),0)</f>
        <v>0</v>
      </c>
      <c r="F130" s="1" t="s">
        <v>7</v>
      </c>
      <c r="G130" s="1" t="s">
        <v>353</v>
      </c>
      <c r="H130" s="1" t="s">
        <v>88</v>
      </c>
      <c r="I130" s="1" t="s">
        <v>177</v>
      </c>
      <c r="J130" s="1" t="s">
        <v>354</v>
      </c>
      <c r="K130" s="1" t="n">
        <v>1008</v>
      </c>
      <c r="L130" s="11" t="n">
        <v>0.481683269026612</v>
      </c>
      <c r="M130" s="1" t="n">
        <f aca="false">SUMIF(Relatorio_AK!$A:$A,A130,Relatorio_AK!$B:$B)</f>
        <v>1008</v>
      </c>
      <c r="N130" s="1" t="str">
        <f aca="false">IF(M130=K130,"OK","DIF")</f>
        <v>OK</v>
      </c>
      <c r="O130" s="13" t="str">
        <f aca="false">IFERROR(VLOOKUP($A130,Lista_Starke!$A:$E,3,0),"NÃO ESTÁ NA LISTA")</f>
        <v>TOYOTA: Hilux 2.5 Turbo Diesel 2KD 06/…
TOYOTA: Hilux 2.7 16V Flex   3RZ FE 12/…
TOYOTA: Hilux 2.8 Turbo Diesel 16/...
TOYOTA: Hilux 3.0 Turbo Diesel 1KD 06/…</v>
      </c>
      <c r="P130" s="12" t="str">
        <f aca="false">IFERROR(VLOOKUP($A130,Lista_Starke!$A:$E,2,0),"NÃO ESTÁ NA LISTA")</f>
        <v>CILINDRO DE RODA LE/LD</v>
      </c>
    </row>
    <row r="131" customFormat="false" ht="15" hidden="false" customHeight="true" outlineLevel="0" collapsed="false">
      <c r="A131" s="10" t="s">
        <v>355</v>
      </c>
      <c r="B131" s="10" t="str">
        <f aca="false">IFERROR(VLOOKUP(A131,Pedido!$A:$B,2,0),"")</f>
        <v/>
      </c>
      <c r="C131" s="10" t="str">
        <f aca="false">IF(B131="","NÃO COMPRA","COMPRA")</f>
        <v>NÃO COMPRA</v>
      </c>
      <c r="D131" s="1" t="n">
        <f aca="false">IFERROR(VLOOKUP(A131,Pedido!$A:$C,3,0),0)</f>
        <v>0</v>
      </c>
      <c r="E131" s="5" t="n">
        <f aca="false">IFERROR(VLOOKUP(A131,Pedido!$A:$E,5,0),0)</f>
        <v>0</v>
      </c>
      <c r="F131" s="1" t="s">
        <v>7</v>
      </c>
      <c r="G131" s="1" t="s">
        <v>356</v>
      </c>
      <c r="H131" s="1" t="s">
        <v>131</v>
      </c>
      <c r="I131" s="1" t="s">
        <v>29</v>
      </c>
      <c r="J131" s="1" t="s">
        <v>357</v>
      </c>
      <c r="K131" s="1" t="n">
        <v>1003</v>
      </c>
      <c r="L131" s="11" t="n">
        <v>0.483397924975682</v>
      </c>
      <c r="M131" s="1" t="n">
        <f aca="false">SUMIF(Relatorio_AK!$A:$A,A131,Relatorio_AK!$B:$B)</f>
        <v>1003</v>
      </c>
      <c r="N131" s="1" t="str">
        <f aca="false">IF(M131=K131,"OK","DIF")</f>
        <v>OK</v>
      </c>
      <c r="O131" s="13" t="str">
        <f aca="false">IFERROR(VLOOKUP($A131,Lista_Starke!$A:$E,3,0),"NÃO ESTÁ NA LISTA")</f>
        <v>HYUNDAI: HB20 1.0 12V 3 cil 12/...
HYUNDAI: HB20 1.6 16V 12/...</v>
      </c>
      <c r="P131" s="12" t="str">
        <f aca="false">IFERROR(VLOOKUP($A131,Lista_Starke!$A:$E,2,0),"NÃO ESTÁ NA LISTA")</f>
        <v>SAPATA DE FREIO</v>
      </c>
    </row>
    <row r="132" customFormat="false" ht="15" hidden="false" customHeight="true" outlineLevel="0" collapsed="false">
      <c r="A132" s="10" t="s">
        <v>358</v>
      </c>
      <c r="B132" s="10" t="str">
        <f aca="false">IFERROR(VLOOKUP(A132,Pedido!$A:$B,2,0),"")</f>
        <v/>
      </c>
      <c r="C132" s="10" t="str">
        <f aca="false">IF(B132="","NÃO COMPRA","COMPRA")</f>
        <v>NÃO COMPRA</v>
      </c>
      <c r="D132" s="1" t="n">
        <f aca="false">IFERROR(VLOOKUP(A132,Pedido!$A:$C,3,0),0)</f>
        <v>0</v>
      </c>
      <c r="E132" s="5" t="n">
        <f aca="false">IFERROR(VLOOKUP(A132,Pedido!$A:$E,5,0),0)</f>
        <v>0</v>
      </c>
      <c r="F132" s="1" t="s">
        <v>7</v>
      </c>
      <c r="G132" s="1" t="s">
        <v>136</v>
      </c>
      <c r="H132" s="1" t="s">
        <v>32</v>
      </c>
      <c r="I132" s="1" t="s">
        <v>46</v>
      </c>
      <c r="J132" s="1" t="s">
        <v>359</v>
      </c>
      <c r="K132" s="1" t="n">
        <v>1001</v>
      </c>
      <c r="L132" s="11" t="n">
        <v>0.485109161870018</v>
      </c>
      <c r="M132" s="1" t="n">
        <f aca="false">SUMIF(Relatorio_AK!$A:$A,A132,Relatorio_AK!$B:$B)</f>
        <v>1001</v>
      </c>
      <c r="N132" s="1" t="str">
        <f aca="false">IF(M132=K132,"OK","DIF")</f>
        <v>OK</v>
      </c>
      <c r="O132" s="13" t="str">
        <f aca="false">IFERROR(VLOOKUP($A132,Lista_Starke!$A:$E,3,0),"NÃO ESTÁ NA LISTA")</f>
        <v>FIAT: Argo 1.0 6V 3 cil. 17/...
FIAT: Argo 1.3 8V 17/...
FIAT: Argo 1.8 16V 17/...
FIAT: Cronos 1.3 8V 18/...
FIAT: Cronos 1.8 16V 18/...
FIAT: Fiorino 1.4 8V 13/...
FIAT: Grand Siena 1.4 8V EVO 12/...
FIAT: Grand Siena 1.6 16V 12/...
FIAT: Idea 1.4 05/...
FIAT: Idea 1.8 16V Etorq 11/...
FIAT: Mobi 1.0 8V 16/...
FIAT: Palio 1.0 / 1.3 / 1.4 / 1.6 00/06
FIAT: Palio 1.0 / 1.4 12/...
FIAT: Palio 1.0 8V / 16V Fire 01/20
FIAT: Palio 1.4 8V Fire 05/20
FIAT: Palio 1.6 01/20
FIAT: Palio 1.6 Etorq 12/...
FIAT: Palio Weekend 1.0 / 1.3 / 1.4 / 1.6 00/06
FIAT: Palio Weekend 1.6 16V / 1.8 16V Etorq 11/...
FIAT: Punto 1.4 8V Fire 07/20
FIAT: Punto 1.5 08/...
FIAT: Siena 1.0 / 1.3 / 1.4 / 1.6 00/06
FIAT: Siena 1.0 8V / 16V Fire 01/20
FIAT: Siena 1.4 8V Fire 05/20
FIAT: Siena 1.6 01/20
FIAT: Strada 1.3 / 1.4 / 1.6 00/06
FIAT: Strada 1.4 8V EVO 17/...
FIAT: Strada 1.6 16V Etorq 13/...
FIAT: Strada 1.8 16V Etorq 11/...
FIAT: Uno 1.0 8V 13/...
FIAT: Uno 1.4 8V 13/...</v>
      </c>
      <c r="P132" s="12" t="str">
        <f aca="false">IFERROR(VLOOKUP($A132,Lista_Starke!$A:$E,2,0),"NÃO ESTÁ NA LISTA")</f>
        <v>CILINDRO MESTRE DE EMBREAGEM</v>
      </c>
    </row>
    <row r="133" customFormat="false" ht="15" hidden="false" customHeight="true" outlineLevel="0" collapsed="false">
      <c r="A133" s="10" t="s">
        <v>360</v>
      </c>
      <c r="B133" s="10" t="str">
        <f aca="false">IFERROR(VLOOKUP(A133,Pedido!$A:$B,2,0),"")</f>
        <v/>
      </c>
      <c r="C133" s="10" t="str">
        <f aca="false">IF(B133="","NÃO COMPRA","COMPRA")</f>
        <v>NÃO COMPRA</v>
      </c>
      <c r="D133" s="1" t="n">
        <f aca="false">IFERROR(VLOOKUP(A133,Pedido!$A:$C,3,0),0)</f>
        <v>0</v>
      </c>
      <c r="E133" s="5" t="n">
        <f aca="false">IFERROR(VLOOKUP(A133,Pedido!$A:$E,5,0),0)</f>
        <v>0</v>
      </c>
      <c r="F133" s="1" t="s">
        <v>7</v>
      </c>
      <c r="G133" s="1" t="s">
        <v>62</v>
      </c>
      <c r="H133" s="1" t="s">
        <v>32</v>
      </c>
      <c r="I133" s="1" t="s">
        <v>42</v>
      </c>
      <c r="J133" s="1" t="s">
        <v>361</v>
      </c>
      <c r="K133" s="1" t="n">
        <v>1000</v>
      </c>
      <c r="L133" s="11" t="n">
        <v>0.486818689236987</v>
      </c>
      <c r="M133" s="1" t="n">
        <f aca="false">SUMIF(Relatorio_AK!$A:$A,A133,Relatorio_AK!$B:$B)</f>
        <v>1000</v>
      </c>
      <c r="N133" s="1" t="str">
        <f aca="false">IF(M133=K133,"OK","DIF")</f>
        <v>OK</v>
      </c>
      <c r="O133" s="12" t="str">
        <f aca="false">IFERROR(VLOOKUP($A133,Lista_Starke!$A:$E,3,0),"NÃO ESTÁ NA LISTA")</f>
        <v>RENAULT: Master 2.3 16V 13/...</v>
      </c>
      <c r="P133" s="12" t="str">
        <f aca="false">IFERROR(VLOOKUP($A133,Lista_Starke!$A:$E,2,0),"NÃO ESTÁ NA LISTA")</f>
        <v>CILINDRO MESTRE DE EMBREAGEM</v>
      </c>
    </row>
    <row r="134" customFormat="false" ht="15" hidden="false" customHeight="true" outlineLevel="0" collapsed="false">
      <c r="A134" s="10" t="s">
        <v>362</v>
      </c>
      <c r="B134" s="10" t="str">
        <f aca="false">IFERROR(VLOOKUP(A134,Pedido!$A:$B,2,0),"")</f>
        <v>SCC 2010</v>
      </c>
      <c r="C134" s="10" t="str">
        <f aca="false">IF(B134="","NÃO COMPRA","COMPRA")</f>
        <v>COMPRA</v>
      </c>
      <c r="D134" s="1" t="n">
        <f aca="false">IFERROR(VLOOKUP(A134,Pedido!$A:$C,3,0),0)</f>
        <v>8</v>
      </c>
      <c r="E134" s="5" t="n">
        <f aca="false">IFERROR(VLOOKUP(A134,Pedido!$A:$E,5,0),0)</f>
        <v>496</v>
      </c>
      <c r="F134" s="1" t="s">
        <v>7</v>
      </c>
      <c r="G134" s="1" t="s">
        <v>363</v>
      </c>
      <c r="H134" s="1" t="s">
        <v>32</v>
      </c>
      <c r="I134" s="1" t="s">
        <v>177</v>
      </c>
      <c r="J134" s="1" t="s">
        <v>364</v>
      </c>
      <c r="K134" s="1" t="n">
        <v>982</v>
      </c>
      <c r="L134" s="11" t="n">
        <v>0.48849744511135</v>
      </c>
      <c r="M134" s="1" t="n">
        <f aca="false">SUMIF(Relatorio_AK!$A:$A,A134,Relatorio_AK!$B:$B)</f>
        <v>982</v>
      </c>
      <c r="N134" s="1" t="str">
        <f aca="false">IF(M134=K134,"OK","DIF")</f>
        <v>OK</v>
      </c>
      <c r="O134" s="13" t="str">
        <f aca="false">IFERROR(VLOOKUP($A134,Lista_Starke!$A:$E,3,0),"NÃO ESTÁ NA LISTA")</f>
        <v>TOYOTA: Hilux 2.5 / 3.0 05/13
TOYOTA: Hilux 2.7 16V Flex 12/...
TOYOTA: Hilux 2.8 Diesel 16/...</v>
      </c>
      <c r="P134" s="12" t="str">
        <f aca="false">IFERROR(VLOOKUP($A134,Lista_Starke!$A:$E,2,0),"NÃO ESTÁ NA LISTA")</f>
        <v>CILINDRO MESTRE DE EMBREAGEM</v>
      </c>
    </row>
    <row r="135" customFormat="false" ht="15" hidden="false" customHeight="true" outlineLevel="0" collapsed="false">
      <c r="A135" s="10" t="s">
        <v>365</v>
      </c>
      <c r="B135" s="10" t="str">
        <f aca="false">IFERROR(VLOOKUP(A135,Pedido!$A:$B,2,0),"")</f>
        <v/>
      </c>
      <c r="C135" s="10" t="str">
        <f aca="false">IF(B135="","NÃO COMPRA","COMPRA")</f>
        <v>NÃO COMPRA</v>
      </c>
      <c r="D135" s="1" t="n">
        <f aca="false">IFERROR(VLOOKUP(A135,Pedido!$A:$C,3,0),0)</f>
        <v>0</v>
      </c>
      <c r="E135" s="5" t="n">
        <f aca="false">IFERROR(VLOOKUP(A135,Pedido!$A:$E,5,0),0)</f>
        <v>0</v>
      </c>
      <c r="F135" s="1" t="s">
        <v>7</v>
      </c>
      <c r="G135" s="1" t="s">
        <v>366</v>
      </c>
      <c r="H135" s="1" t="s">
        <v>35</v>
      </c>
      <c r="I135" s="1" t="s">
        <v>57</v>
      </c>
      <c r="J135" s="1" t="s">
        <v>367</v>
      </c>
      <c r="K135" s="1" t="n">
        <v>981</v>
      </c>
      <c r="L135" s="11" t="n">
        <v>0.490174491458346</v>
      </c>
      <c r="M135" s="1" t="n">
        <f aca="false">SUMIF(Relatorio_AK!$A:$A,A135,Relatorio_AK!$B:$B)</f>
        <v>981</v>
      </c>
      <c r="N135" s="1" t="str">
        <f aca="false">IF(M135=K135,"OK","DIF")</f>
        <v>OK</v>
      </c>
      <c r="O135" s="13" t="str">
        <f aca="false">IFERROR(VLOOKUP($A135,Lista_Starke!$A:$E,3,0),"NÃO ESTÁ NA LISTA")</f>
        <v>GM: Omega 2.0 16V 92/98
GM: Omega 2.2 16V 92/98
GM: Suprema 2.0 16V 92/98
GM: Suprema 2.2 16V 92/98</v>
      </c>
      <c r="P135" s="12" t="str">
        <f aca="false">IFERROR(VLOOKUP($A135,Lista_Starke!$A:$E,2,0),"NÃO ESTÁ NA LISTA")</f>
        <v>CILINDRO MESTRE DE FREIO</v>
      </c>
    </row>
    <row r="136" customFormat="false" ht="15" hidden="false" customHeight="true" outlineLevel="0" collapsed="false">
      <c r="A136" s="10" t="s">
        <v>368</v>
      </c>
      <c r="B136" s="10" t="str">
        <f aca="false">IFERROR(VLOOKUP(A136,Pedido!$A:$B,2,0),"")</f>
        <v/>
      </c>
      <c r="C136" s="10" t="str">
        <f aca="false">IF(B136="","NÃO COMPRA","COMPRA")</f>
        <v>NÃO COMPRA</v>
      </c>
      <c r="D136" s="1" t="n">
        <f aca="false">IFERROR(VLOOKUP(A136,Pedido!$A:$C,3,0),0)</f>
        <v>0</v>
      </c>
      <c r="E136" s="5" t="n">
        <f aca="false">IFERROR(VLOOKUP(A136,Pedido!$A:$E,5,0),0)</f>
        <v>0</v>
      </c>
      <c r="F136" s="1" t="s">
        <v>7</v>
      </c>
      <c r="G136" s="1" t="s">
        <v>369</v>
      </c>
      <c r="H136" s="1" t="s">
        <v>88</v>
      </c>
      <c r="I136" s="1" t="s">
        <v>255</v>
      </c>
      <c r="J136" s="1" t="s">
        <v>370</v>
      </c>
      <c r="K136" s="1" t="n">
        <v>975</v>
      </c>
      <c r="L136" s="11" t="n">
        <v>0.491841280641141</v>
      </c>
      <c r="M136" s="1" t="n">
        <f aca="false">SUMIF(Relatorio_AK!$A:$A,A136,Relatorio_AK!$B:$B)</f>
        <v>975</v>
      </c>
      <c r="N136" s="1" t="str">
        <f aca="false">IF(M136=K136,"OK","DIF")</f>
        <v>OK</v>
      </c>
      <c r="O136" s="13" t="str">
        <f aca="false">IFERROR(VLOOKUP($A136,Lista_Starke!$A:$E,3,0),"NÃO ESTÁ NA LISTA")</f>
        <v>MITSUBISHI: L200 2.5 Turbo 04/12
MITSUBISHI: Triton 2.4 16V Diesel 4N15 17/...
MITSUBISHI: Triton 3.2 16V Diesel 4M41 DI-D 07/...
MITSUBISHI: Triton 3.5 V6 24V Flex 6G74 10/...
MITSUBISHI: Triton 3.5 V6 24V Gasolina 6G74 07/...</v>
      </c>
      <c r="P136" s="12" t="str">
        <f aca="false">IFERROR(VLOOKUP($A136,Lista_Starke!$A:$E,2,0),"NÃO ESTÁ NA LISTA")</f>
        <v>CILINDRO DE RODA LE/LD</v>
      </c>
    </row>
    <row r="137" customFormat="false" ht="15" hidden="false" customHeight="true" outlineLevel="0" collapsed="false">
      <c r="A137" s="10" t="s">
        <v>371</v>
      </c>
      <c r="B137" s="10" t="str">
        <f aca="false">IFERROR(VLOOKUP(A137,Pedido!$A:$B,2,0),"")</f>
        <v>SBC 1147</v>
      </c>
      <c r="C137" s="10" t="str">
        <f aca="false">IF(B137="","NÃO COMPRA","COMPRA")</f>
        <v>COMPRA</v>
      </c>
      <c r="D137" s="1" t="n">
        <f aca="false">IFERROR(VLOOKUP(A137,Pedido!$A:$C,3,0),0)</f>
        <v>4</v>
      </c>
      <c r="E137" s="5" t="n">
        <f aca="false">IFERROR(VLOOKUP(A137,Pedido!$A:$E,5,0),0)</f>
        <v>968</v>
      </c>
      <c r="F137" s="1" t="s">
        <v>7</v>
      </c>
      <c r="G137" s="1" t="s">
        <v>372</v>
      </c>
      <c r="H137" s="1" t="s">
        <v>35</v>
      </c>
      <c r="I137" s="1" t="s">
        <v>373</v>
      </c>
      <c r="K137" s="1" t="n">
        <v>964</v>
      </c>
      <c r="L137" s="11" t="n">
        <v>0.493489265022899</v>
      </c>
      <c r="M137" s="1" t="n">
        <f aca="false">SUMIF(Relatorio_AK!$A:$A,A137,Relatorio_AK!$B:$B)</f>
        <v>964</v>
      </c>
      <c r="N137" s="1" t="str">
        <f aca="false">IF(M137=K137,"OK","DIF")</f>
        <v>OK</v>
      </c>
      <c r="O137" s="12" t="str">
        <f aca="false">IFERROR(VLOOKUP($A137,Lista_Starke!$A:$E,3,0),"NÃO ESTÁ NA LISTA")</f>
        <v>MERCEDES-BENZ: Sprinter 515 2.2 CDI Eletrônico OM651 13/...</v>
      </c>
      <c r="P137" s="12" t="str">
        <f aca="false">IFERROR(VLOOKUP($A137,Lista_Starke!$A:$E,2,0),"NÃO ESTÁ NA LISTA")</f>
        <v>CILINDRO MESTRE DE FREIO</v>
      </c>
    </row>
    <row r="138" customFormat="false" ht="15" hidden="false" customHeight="true" outlineLevel="0" collapsed="false">
      <c r="A138" s="10" t="s">
        <v>374</v>
      </c>
      <c r="B138" s="10" t="str">
        <f aca="false">IFERROR(VLOOKUP(A138,Pedido!$A:$B,2,0),"")</f>
        <v/>
      </c>
      <c r="C138" s="10" t="str">
        <f aca="false">IF(B138="","NÃO COMPRA","COMPRA")</f>
        <v>NÃO COMPRA</v>
      </c>
      <c r="D138" s="1" t="n">
        <f aca="false">IFERROR(VLOOKUP(A138,Pedido!$A:$C,3,0),0)</f>
        <v>0</v>
      </c>
      <c r="E138" s="5" t="n">
        <f aca="false">IFERROR(VLOOKUP(A138,Pedido!$A:$E,5,0),0)</f>
        <v>0</v>
      </c>
      <c r="F138" s="1" t="s">
        <v>7</v>
      </c>
      <c r="G138" s="1" t="s">
        <v>222</v>
      </c>
      <c r="H138" s="1" t="s">
        <v>88</v>
      </c>
      <c r="I138" s="1" t="s">
        <v>42</v>
      </c>
      <c r="J138" s="1" t="s">
        <v>375</v>
      </c>
      <c r="K138" s="1" t="n">
        <v>961</v>
      </c>
      <c r="L138" s="11" t="n">
        <v>0.495132120822556</v>
      </c>
      <c r="M138" s="1" t="n">
        <f aca="false">SUMIF(Relatorio_AK!$A:$A,A138,Relatorio_AK!$B:$B)</f>
        <v>961</v>
      </c>
      <c r="N138" s="1" t="str">
        <f aca="false">IF(M138=K138,"OK","DIF")</f>
        <v>OK</v>
      </c>
      <c r="O138" s="12" t="str">
        <f aca="false">IFERROR(VLOOKUP($A138,Lista_Starke!$A:$E,3,0),"NÃO ESTÁ NA LISTA")</f>
        <v>RENAULT: Clio 1.0 8V / 1.0 16V / 1.6 8V / 1.6 16V 99/...</v>
      </c>
      <c r="P138" s="12" t="str">
        <f aca="false">IFERROR(VLOOKUP($A138,Lista_Starke!$A:$E,2,0),"NÃO ESTÁ NA LISTA")</f>
        <v>CILINDRO DE RODA LE/LD</v>
      </c>
    </row>
    <row r="139" customFormat="false" ht="15" hidden="false" customHeight="true" outlineLevel="0" collapsed="false">
      <c r="A139" s="10" t="s">
        <v>376</v>
      </c>
      <c r="B139" s="10" t="str">
        <f aca="false">IFERROR(VLOOKUP(A139,Pedido!$A:$B,2,0),"")</f>
        <v/>
      </c>
      <c r="C139" s="10" t="str">
        <f aca="false">IF(B139="","NÃO COMPRA","COMPRA")</f>
        <v>NÃO COMPRA</v>
      </c>
      <c r="D139" s="1" t="n">
        <f aca="false">IFERROR(VLOOKUP(A139,Pedido!$A:$C,3,0),0)</f>
        <v>0</v>
      </c>
      <c r="E139" s="5" t="n">
        <f aca="false">IFERROR(VLOOKUP(A139,Pedido!$A:$E,5,0),0)</f>
        <v>0</v>
      </c>
      <c r="F139" s="1" t="s">
        <v>7</v>
      </c>
      <c r="G139" s="1" t="s">
        <v>377</v>
      </c>
      <c r="H139" s="1" t="s">
        <v>197</v>
      </c>
      <c r="I139" s="1" t="s">
        <v>53</v>
      </c>
      <c r="K139" s="1" t="n">
        <v>956</v>
      </c>
      <c r="L139" s="11" t="n">
        <v>0.496766428985378</v>
      </c>
      <c r="M139" s="1" t="n">
        <f aca="false">SUMIF(Relatorio_AK!$A:$A,A139,Relatorio_AK!$B:$B)</f>
        <v>956</v>
      </c>
      <c r="N139" s="1" t="str">
        <f aca="false">IF(M139=K139,"OK","DIF")</f>
        <v>OK</v>
      </c>
      <c r="O139" s="12" t="str">
        <f aca="false">IFERROR(VLOOKUP($A139,Lista_Starke!$A:$E,3,0),"NÃO ESTÁ NA LISTA")</f>
        <v>FORD: Edge 3.5 24V V6 Duratec 11/18</v>
      </c>
      <c r="P139" s="12" t="str">
        <f aca="false">IFERROR(VLOOKUP($A139,Lista_Starke!$A:$E,2,0),"NÃO ESTÁ NA LISTA")</f>
        <v>BOMBA D'ÁGUA</v>
      </c>
    </row>
    <row r="140" customFormat="false" ht="15" hidden="false" customHeight="true" outlineLevel="0" collapsed="false">
      <c r="A140" s="10" t="s">
        <v>378</v>
      </c>
      <c r="B140" s="10" t="str">
        <f aca="false">IFERROR(VLOOKUP(A140,Pedido!$A:$B,2,0),"")</f>
        <v/>
      </c>
      <c r="C140" s="10" t="str">
        <f aca="false">IF(B140="","NÃO COMPRA","COMPRA")</f>
        <v>NÃO COMPRA</v>
      </c>
      <c r="D140" s="1" t="n">
        <f aca="false">IFERROR(VLOOKUP(A140,Pedido!$A:$C,3,0),0)</f>
        <v>0</v>
      </c>
      <c r="E140" s="5" t="n">
        <f aca="false">IFERROR(VLOOKUP(A140,Pedido!$A:$E,5,0),0)</f>
        <v>0</v>
      </c>
      <c r="F140" s="1" t="s">
        <v>7</v>
      </c>
      <c r="G140" s="1" t="s">
        <v>379</v>
      </c>
      <c r="H140" s="1" t="s">
        <v>32</v>
      </c>
      <c r="I140" s="1" t="s">
        <v>36</v>
      </c>
      <c r="K140" s="1" t="n">
        <v>953</v>
      </c>
      <c r="L140" s="11" t="n">
        <v>0.4983956085661</v>
      </c>
      <c r="M140" s="1" t="n">
        <f aca="false">SUMIF(Relatorio_AK!$A:$A,A140,Relatorio_AK!$B:$B)</f>
        <v>953</v>
      </c>
      <c r="N140" s="1" t="str">
        <f aca="false">IF(M140=K140,"OK","DIF")</f>
        <v>OK</v>
      </c>
      <c r="O140" s="13" t="str">
        <f aca="false">IFERROR(VLOOKUP($A140,Lista_Starke!$A:$E,3,0),"NÃO ESTÁ NA LISTA")</f>
        <v>VOLKSWAGEN: Up 1.0 12V 14/...
VOLKSWAGEN: Up 1.0 12V 3cil TSI 14/...</v>
      </c>
      <c r="P140" s="12" t="str">
        <f aca="false">IFERROR(VLOOKUP($A140,Lista_Starke!$A:$E,2,0),"NÃO ESTÁ NA LISTA")</f>
        <v>CILINDRO MESTRE DE EMBREAGEM</v>
      </c>
    </row>
    <row r="141" customFormat="false" ht="15" hidden="false" customHeight="true" outlineLevel="0" collapsed="false">
      <c r="A141" s="10" t="s">
        <v>380</v>
      </c>
      <c r="B141" s="10" t="str">
        <f aca="false">IFERROR(VLOOKUP(A141,Pedido!$A:$B,2,0),"")</f>
        <v/>
      </c>
      <c r="C141" s="10" t="str">
        <f aca="false">IF(B141="","NÃO COMPRA","COMPRA")</f>
        <v>NÃO COMPRA</v>
      </c>
      <c r="D141" s="1" t="n">
        <f aca="false">IFERROR(VLOOKUP(A141,Pedido!$A:$C,3,0),0)</f>
        <v>0</v>
      </c>
      <c r="E141" s="5" t="n">
        <f aca="false">IFERROR(VLOOKUP(A141,Pedido!$A:$E,5,0),0)</f>
        <v>0</v>
      </c>
      <c r="F141" s="1" t="s">
        <v>7</v>
      </c>
      <c r="G141" s="1" t="s">
        <v>214</v>
      </c>
      <c r="H141" s="1" t="s">
        <v>35</v>
      </c>
      <c r="I141" s="1" t="s">
        <v>215</v>
      </c>
      <c r="K141" s="1" t="n">
        <v>952</v>
      </c>
      <c r="L141" s="11" t="n">
        <v>0.500023078619454</v>
      </c>
      <c r="M141" s="1" t="n">
        <f aca="false">SUMIF(Relatorio_AK!$A:$A,A141,Relatorio_AK!$B:$B)</f>
        <v>952</v>
      </c>
      <c r="N141" s="1" t="str">
        <f aca="false">IF(M141=K141,"OK","DIF")</f>
        <v>OK</v>
      </c>
      <c r="O141" s="12" t="str">
        <f aca="false">IFERROR(VLOOKUP($A141,Lista_Starke!$A:$E,3,0),"NÃO ESTÁ NA LISTA")</f>
        <v>NISSAN: Frontier 2.5 16V 08/...</v>
      </c>
      <c r="P141" s="12" t="str">
        <f aca="false">IFERROR(VLOOKUP($A141,Lista_Starke!$A:$E,2,0),"NÃO ESTÁ NA LISTA")</f>
        <v>CILINDRO MESTRE DE FREIO</v>
      </c>
    </row>
    <row r="142" customFormat="false" ht="15" hidden="false" customHeight="true" outlineLevel="0" collapsed="false">
      <c r="A142" s="10" t="s">
        <v>381</v>
      </c>
      <c r="B142" s="10" t="str">
        <f aca="false">IFERROR(VLOOKUP(A142,Pedido!$A:$B,2,0),"")</f>
        <v/>
      </c>
      <c r="C142" s="10" t="str">
        <f aca="false">IF(B142="","NÃO COMPRA","COMPRA")</f>
        <v>NÃO COMPRA</v>
      </c>
      <c r="D142" s="1" t="n">
        <f aca="false">IFERROR(VLOOKUP(A142,Pedido!$A:$C,3,0),0)</f>
        <v>0</v>
      </c>
      <c r="E142" s="5" t="n">
        <f aca="false">IFERROR(VLOOKUP(A142,Pedido!$A:$E,5,0),0)</f>
        <v>0</v>
      </c>
      <c r="F142" s="1" t="s">
        <v>7</v>
      </c>
      <c r="G142" s="1" t="s">
        <v>65</v>
      </c>
      <c r="H142" s="1" t="s">
        <v>35</v>
      </c>
      <c r="I142" s="1" t="s">
        <v>46</v>
      </c>
      <c r="J142" s="1" t="s">
        <v>382</v>
      </c>
      <c r="K142" s="1" t="n">
        <v>951</v>
      </c>
      <c r="L142" s="11" t="n">
        <v>0.501648839145441</v>
      </c>
      <c r="M142" s="1" t="n">
        <f aca="false">SUMIF(Relatorio_AK!$A:$A,A142,Relatorio_AK!$B:$B)</f>
        <v>951</v>
      </c>
      <c r="N142" s="1" t="str">
        <f aca="false">IF(M142=K142,"OK","DIF")</f>
        <v>OK</v>
      </c>
      <c r="O142" s="13" t="str">
        <f aca="false">IFERROR(VLOOKUP($A142,Lista_Starke!$A:$E,3,0),"NÃO ESTÁ NA LISTA")</f>
        <v>FIAT: Palio 1.0 8V 96/98
FIAT: Palio 1.5 8V 96/98
FIAT: Palio 1.6 8V / 1.6 16V 92/98
FIAT: Palio Weekend 1.5 8V 97/98
FIAT: Siena 1.5 8V 97/98</v>
      </c>
      <c r="P142" s="12" t="str">
        <f aca="false">IFERROR(VLOOKUP($A142,Lista_Starke!$A:$E,2,0),"NÃO ESTÁ NA LISTA")</f>
        <v>CILINDRO MESTRE DE FREIO</v>
      </c>
    </row>
    <row r="143" customFormat="false" ht="15" hidden="false" customHeight="true" outlineLevel="0" collapsed="false">
      <c r="A143" s="10" t="s">
        <v>383</v>
      </c>
      <c r="B143" s="10" t="str">
        <f aca="false">IFERROR(VLOOKUP(A143,Pedido!$A:$B,2,0),"")</f>
        <v/>
      </c>
      <c r="C143" s="10" t="str">
        <f aca="false">IF(B143="","NÃO COMPRA","COMPRA")</f>
        <v>NÃO COMPRA</v>
      </c>
      <c r="D143" s="1" t="n">
        <f aca="false">IFERROR(VLOOKUP(A143,Pedido!$A:$C,3,0),0)</f>
        <v>0</v>
      </c>
      <c r="E143" s="5" t="n">
        <f aca="false">IFERROR(VLOOKUP(A143,Pedido!$A:$E,5,0),0)</f>
        <v>0</v>
      </c>
      <c r="F143" s="1" t="s">
        <v>7</v>
      </c>
      <c r="G143" s="1" t="s">
        <v>193</v>
      </c>
      <c r="H143" s="1" t="s">
        <v>32</v>
      </c>
      <c r="I143" s="1" t="s">
        <v>53</v>
      </c>
      <c r="K143" s="1" t="n">
        <v>949</v>
      </c>
      <c r="L143" s="11" t="n">
        <v>0.503271180616695</v>
      </c>
      <c r="M143" s="1" t="n">
        <f aca="false">SUMIF(Relatorio_AK!$A:$A,A143,Relatorio_AK!$B:$B)</f>
        <v>949</v>
      </c>
      <c r="N143" s="1" t="str">
        <f aca="false">IF(M143=K143,"OK","DIF")</f>
        <v>OK</v>
      </c>
      <c r="O143" s="13" t="str">
        <f aca="false">IFERROR(VLOOKUP($A143,Lista_Starke!$A:$E,3,0),"NÃO ESTÁ NA LISTA")</f>
        <v>FORD: Ecosport  16/17
FORD: Ka / Ka Sedan 1.0 12V 3 cil 14/...
FORD: Ka / Ka Sedan 1.5 16V Sigma 14/...
FORD: New Fiesta  11/12</v>
      </c>
      <c r="P143" s="12" t="str">
        <f aca="false">IFERROR(VLOOKUP($A143,Lista_Starke!$A:$E,2,0),"NÃO ESTÁ NA LISTA")</f>
        <v>CILINDRO MESTRE DE EMBREAGEM</v>
      </c>
    </row>
    <row r="144" customFormat="false" ht="15" hidden="false" customHeight="true" outlineLevel="0" collapsed="false">
      <c r="A144" s="10" t="s">
        <v>384</v>
      </c>
      <c r="B144" s="10" t="str">
        <f aca="false">IFERROR(VLOOKUP(A144,Pedido!$A:$B,2,0),"")</f>
        <v/>
      </c>
      <c r="C144" s="10" t="str">
        <f aca="false">IF(B144="","NÃO COMPRA","COMPRA")</f>
        <v>NÃO COMPRA</v>
      </c>
      <c r="D144" s="1" t="n">
        <f aca="false">IFERROR(VLOOKUP(A144,Pedido!$A:$C,3,0),0)</f>
        <v>0</v>
      </c>
      <c r="E144" s="5" t="n">
        <f aca="false">IFERROR(VLOOKUP(A144,Pedido!$A:$E,5,0),0)</f>
        <v>0</v>
      </c>
      <c r="F144" s="1" t="s">
        <v>7</v>
      </c>
      <c r="G144" s="1" t="s">
        <v>41</v>
      </c>
      <c r="H144" s="1" t="s">
        <v>35</v>
      </c>
      <c r="I144" s="1" t="s">
        <v>42</v>
      </c>
      <c r="J144" s="1" t="s">
        <v>385</v>
      </c>
      <c r="K144" s="1" t="n">
        <v>947</v>
      </c>
      <c r="L144" s="11" t="n">
        <v>0.504890103033214</v>
      </c>
      <c r="M144" s="1" t="n">
        <f aca="false">SUMIF(Relatorio_AK!$A:$A,A144,Relatorio_AK!$B:$B)</f>
        <v>947</v>
      </c>
      <c r="N144" s="1" t="str">
        <f aca="false">IF(M144=K144,"OK","DIF")</f>
        <v>OK</v>
      </c>
      <c r="O144" s="12" t="str">
        <f aca="false">IFERROR(VLOOKUP($A144,Lista_Starke!$A:$E,3,0),"NÃO ESTÁ NA LISTA")</f>
        <v>RENAULT: Master 2.3 16V Turbo 13/…</v>
      </c>
      <c r="P144" s="12" t="str">
        <f aca="false">IFERROR(VLOOKUP($A144,Lista_Starke!$A:$E,2,0),"NÃO ESTÁ NA LISTA")</f>
        <v>CILINDRO MESTRE DE FREIO</v>
      </c>
    </row>
    <row r="145" customFormat="false" ht="15" hidden="false" customHeight="true" outlineLevel="0" collapsed="false">
      <c r="A145" s="10" t="s">
        <v>386</v>
      </c>
      <c r="B145" s="10" t="str">
        <f aca="false">IFERROR(VLOOKUP(A145,Pedido!$A:$B,2,0),"")</f>
        <v/>
      </c>
      <c r="C145" s="10" t="str">
        <f aca="false">IF(B145="","NÃO COMPRA","COMPRA")</f>
        <v>NÃO COMPRA</v>
      </c>
      <c r="D145" s="1" t="n">
        <f aca="false">IFERROR(VLOOKUP(A145,Pedido!$A:$C,3,0),0)</f>
        <v>0</v>
      </c>
      <c r="E145" s="5" t="n">
        <f aca="false">IFERROR(VLOOKUP(A145,Pedido!$A:$E,5,0),0)</f>
        <v>0</v>
      </c>
      <c r="F145" s="1" t="s">
        <v>7</v>
      </c>
      <c r="G145" s="1" t="s">
        <v>387</v>
      </c>
      <c r="H145" s="1" t="s">
        <v>28</v>
      </c>
      <c r="I145" s="1" t="s">
        <v>215</v>
      </c>
      <c r="J145" s="1" t="s">
        <v>388</v>
      </c>
      <c r="K145" s="1" t="n">
        <v>945</v>
      </c>
      <c r="L145" s="11" t="n">
        <v>0.506505606395</v>
      </c>
      <c r="M145" s="1" t="n">
        <f aca="false">SUMIF(Relatorio_AK!$A:$A,A145,Relatorio_AK!$B:$B)</f>
        <v>945</v>
      </c>
      <c r="N145" s="1" t="str">
        <f aca="false">IF(M145=K145,"OK","DIF")</f>
        <v>OK</v>
      </c>
      <c r="O145" s="12" t="str">
        <f aca="false">IFERROR(VLOOKUP($A145,Lista_Starke!$A:$E,3,0),"NÃO ESTÁ NA LISTA")</f>
        <v>NISSAN: Frontier 2.5 16V Turbo 08/12</v>
      </c>
      <c r="P145" s="12" t="str">
        <f aca="false">IFERROR(VLOOKUP($A145,Lista_Starke!$A:$E,2,0),"NÃO ESTÁ NA LISTA")</f>
        <v>CILINDRO AUXILIAR DE EMBREAGEM</v>
      </c>
    </row>
    <row r="146" customFormat="false" ht="15" hidden="false" customHeight="true" outlineLevel="0" collapsed="false">
      <c r="A146" s="10" t="s">
        <v>389</v>
      </c>
      <c r="B146" s="10" t="str">
        <f aca="false">IFERROR(VLOOKUP(A146,Pedido!$A:$B,2,0),"")</f>
        <v/>
      </c>
      <c r="C146" s="10" t="str">
        <f aca="false">IF(B146="","NÃO COMPRA","COMPRA")</f>
        <v>NÃO COMPRA</v>
      </c>
      <c r="D146" s="1" t="n">
        <f aca="false">IFERROR(VLOOKUP(A146,Pedido!$A:$C,3,0),0)</f>
        <v>0</v>
      </c>
      <c r="E146" s="5" t="n">
        <f aca="false">IFERROR(VLOOKUP(A146,Pedido!$A:$E,5,0),0)</f>
        <v>0</v>
      </c>
      <c r="F146" s="1" t="s">
        <v>7</v>
      </c>
      <c r="G146" s="1" t="s">
        <v>390</v>
      </c>
      <c r="H146" s="1" t="s">
        <v>35</v>
      </c>
      <c r="I146" s="1" t="s">
        <v>36</v>
      </c>
      <c r="J146" s="1" t="s">
        <v>391</v>
      </c>
      <c r="K146" s="1" t="n">
        <v>943</v>
      </c>
      <c r="L146" s="11" t="n">
        <v>0.508117690702051</v>
      </c>
      <c r="M146" s="1" t="n">
        <f aca="false">SUMIF(Relatorio_AK!$A:$A,A146,Relatorio_AK!$B:$B)</f>
        <v>943</v>
      </c>
      <c r="N146" s="1" t="str">
        <f aca="false">IF(M146=K146,"OK","DIF")</f>
        <v>OK</v>
      </c>
      <c r="O146" s="13" t="str">
        <f aca="false">IFERROR(VLOOKUP($A146,Lista_Starke!$A:$E,3,0),"NÃO ESTÁ NA LISTA")</f>
        <v>VOLKSWAGEN: Gol G5 1.0 / 1.6 08/...
VOLKSWAGEN: Gol G6 1.0 / 1.6 13/13
VOLKSWAGEN: Saveiro G5 1.6 09/...
VOLKSWAGEN: Voyage G5 1.0 / 1.6 09/...</v>
      </c>
      <c r="P146" s="12" t="str">
        <f aca="false">IFERROR(VLOOKUP($A146,Lista_Starke!$A:$E,2,0),"NÃO ESTÁ NA LISTA")</f>
        <v>CILINDRO MESTRE DE FREIO</v>
      </c>
    </row>
    <row r="147" customFormat="false" ht="15" hidden="false" customHeight="true" outlineLevel="0" collapsed="false">
      <c r="A147" s="10" t="s">
        <v>392</v>
      </c>
      <c r="B147" s="10" t="str">
        <f aca="false">IFERROR(VLOOKUP(A147,Pedido!$A:$B,2,0),"")</f>
        <v/>
      </c>
      <c r="C147" s="10" t="str">
        <f aca="false">IF(B147="","NÃO COMPRA","COMPRA")</f>
        <v>NÃO COMPRA</v>
      </c>
      <c r="D147" s="1" t="n">
        <f aca="false">IFERROR(VLOOKUP(A147,Pedido!$A:$C,3,0),0)</f>
        <v>0</v>
      </c>
      <c r="E147" s="5" t="n">
        <f aca="false">IFERROR(VLOOKUP(A147,Pedido!$A:$E,5,0),0)</f>
        <v>0</v>
      </c>
      <c r="F147" s="1" t="s">
        <v>7</v>
      </c>
      <c r="G147" s="1" t="s">
        <v>393</v>
      </c>
      <c r="H147" s="1" t="s">
        <v>157</v>
      </c>
      <c r="I147" s="1" t="s">
        <v>373</v>
      </c>
      <c r="K147" s="1" t="n">
        <v>943</v>
      </c>
      <c r="L147" s="11" t="n">
        <v>0.509729775009103</v>
      </c>
      <c r="M147" s="1" t="n">
        <f aca="false">SUMIF(Relatorio_AK!$A:$A,A147,Relatorio_AK!$B:$B)</f>
        <v>943</v>
      </c>
      <c r="N147" s="1" t="str">
        <f aca="false">IF(M147=K147,"OK","DIF")</f>
        <v>OK</v>
      </c>
      <c r="O147" s="13" t="str">
        <f aca="false">IFERROR(VLOOKUP($A147,Lista_Starke!$A:$E,3,0),"NÃO ESTÁ NA LISTA")</f>
        <v>MERCEDES-BENZ: Classe A 160 1.6 97/…
MERCEDES-BENZ: Classe A 190 1.9 98/…</v>
      </c>
      <c r="P147" s="12" t="str">
        <f aca="false">IFERROR(VLOOKUP($A147,Lista_Starke!$A:$E,2,0),"NÃO ESTÁ NA LISTA")</f>
        <v>ATUADOR DE EMBREAGEM</v>
      </c>
    </row>
    <row r="148" customFormat="false" ht="15" hidden="false" customHeight="true" outlineLevel="0" collapsed="false">
      <c r="A148" s="10" t="s">
        <v>394</v>
      </c>
      <c r="B148" s="10" t="str">
        <f aca="false">IFERROR(VLOOKUP(A148,Pedido!$A:$B,2,0),"")</f>
        <v/>
      </c>
      <c r="C148" s="10" t="str">
        <f aca="false">IF(B148="","NÃO COMPRA","COMPRA")</f>
        <v>NÃO COMPRA</v>
      </c>
      <c r="D148" s="1" t="n">
        <f aca="false">IFERROR(VLOOKUP(A148,Pedido!$A:$C,3,0),0)</f>
        <v>0</v>
      </c>
      <c r="E148" s="5" t="n">
        <f aca="false">IFERROR(VLOOKUP(A148,Pedido!$A:$E,5,0),0)</f>
        <v>0</v>
      </c>
      <c r="F148" s="1" t="s">
        <v>7</v>
      </c>
      <c r="G148" s="1" t="s">
        <v>395</v>
      </c>
      <c r="H148" s="1" t="s">
        <v>28</v>
      </c>
      <c r="I148" s="1" t="s">
        <v>396</v>
      </c>
      <c r="K148" s="1" t="n">
        <v>941</v>
      </c>
      <c r="L148" s="11" t="n">
        <v>0.511338440261421</v>
      </c>
      <c r="M148" s="1" t="n">
        <f aca="false">SUMIF(Relatorio_AK!$A:$A,A148,Relatorio_AK!$B:$B)</f>
        <v>941</v>
      </c>
      <c r="N148" s="1" t="str">
        <f aca="false">IF(M148=K148,"OK","DIF")</f>
        <v>OK</v>
      </c>
      <c r="O148" s="13" t="str">
        <f aca="false">IFERROR(VLOOKUP($A148,Lista_Starke!$A:$E,3,0),"NÃO ESTÁ NA LISTA")</f>
        <v>GM: Tracker 2.0 16V J20A gasolina 99/…
SUZUKI: Grand Vitara 2.0 16V    J20A gasolina 06/…
SUZUKI: Grand Vitara 2.0 16V    J20A gasolina 98/…
SUZUKI: Vitara 2.0 16V    J20A gasolina 97/…</v>
      </c>
      <c r="P148" s="12" t="str">
        <f aca="false">IFERROR(VLOOKUP($A148,Lista_Starke!$A:$E,2,0),"NÃO ESTÁ NA LISTA")</f>
        <v>CILINDRO AUXILIAR DE EMBREAGEM</v>
      </c>
    </row>
    <row r="149" customFormat="false" ht="15" hidden="false" customHeight="true" outlineLevel="0" collapsed="false">
      <c r="A149" s="10" t="s">
        <v>397</v>
      </c>
      <c r="B149" s="10" t="str">
        <f aca="false">IFERROR(VLOOKUP(A149,Pedido!$A:$B,2,0),"")</f>
        <v/>
      </c>
      <c r="C149" s="10" t="str">
        <f aca="false">IF(B149="","NÃO COMPRA","COMPRA")</f>
        <v>NÃO COMPRA</v>
      </c>
      <c r="D149" s="1" t="n">
        <f aca="false">IFERROR(VLOOKUP(A149,Pedido!$A:$C,3,0),0)</f>
        <v>0</v>
      </c>
      <c r="E149" s="5" t="n">
        <f aca="false">IFERROR(VLOOKUP(A149,Pedido!$A:$E,5,0),0)</f>
        <v>0</v>
      </c>
      <c r="F149" s="1" t="s">
        <v>7</v>
      </c>
      <c r="G149" s="1" t="s">
        <v>353</v>
      </c>
      <c r="H149" s="1" t="s">
        <v>88</v>
      </c>
      <c r="I149" s="1" t="s">
        <v>177</v>
      </c>
      <c r="J149" s="1" t="s">
        <v>398</v>
      </c>
      <c r="K149" s="1" t="n">
        <v>939</v>
      </c>
      <c r="L149" s="11" t="n">
        <v>0.512943686459005</v>
      </c>
      <c r="M149" s="1" t="n">
        <f aca="false">SUMIF(Relatorio_AK!$A:$A,A149,Relatorio_AK!$B:$B)</f>
        <v>939</v>
      </c>
      <c r="N149" s="1" t="str">
        <f aca="false">IF(M149=K149,"OK","DIF")</f>
        <v>OK</v>
      </c>
      <c r="O149" s="13" t="str">
        <f aca="false">IFERROR(VLOOKUP($A149,Lista_Starke!$A:$E,3,0),"NÃO ESTÁ NA LISTA")</f>
        <v>TOYOTA: Etios 1.3 16V 16/...
TOYOTA: Etios 1.5 16V 14/...
TOYOTA: Yaris 1.3 16V 18/...
TOYOTA: Yaris 1.5 16V 18/...</v>
      </c>
      <c r="P149" s="12" t="str">
        <f aca="false">IFERROR(VLOOKUP($A149,Lista_Starke!$A:$E,2,0),"NÃO ESTÁ NA LISTA")</f>
        <v>CILINDRO DE RODA LE/LD</v>
      </c>
    </row>
    <row r="150" customFormat="false" ht="15" hidden="false" customHeight="true" outlineLevel="0" collapsed="false">
      <c r="A150" s="10" t="s">
        <v>399</v>
      </c>
      <c r="B150" s="10" t="str">
        <f aca="false">IFERROR(VLOOKUP(A150,Pedido!$A:$B,2,0),"")</f>
        <v/>
      </c>
      <c r="C150" s="10" t="str">
        <f aca="false">IF(B150="","NÃO COMPRA","COMPRA")</f>
        <v>NÃO COMPRA</v>
      </c>
      <c r="D150" s="1" t="n">
        <f aca="false">IFERROR(VLOOKUP(A150,Pedido!$A:$C,3,0),0)</f>
        <v>0</v>
      </c>
      <c r="E150" s="5" t="n">
        <f aca="false">IFERROR(VLOOKUP(A150,Pedido!$A:$E,5,0),0)</f>
        <v>0</v>
      </c>
      <c r="F150" s="1" t="s">
        <v>7</v>
      </c>
      <c r="G150" s="1" t="s">
        <v>176</v>
      </c>
      <c r="H150" s="1" t="s">
        <v>35</v>
      </c>
      <c r="I150" s="1" t="s">
        <v>177</v>
      </c>
      <c r="J150" s="1" t="s">
        <v>400</v>
      </c>
      <c r="K150" s="1" t="n">
        <v>935</v>
      </c>
      <c r="L150" s="11" t="n">
        <v>0.51454209454712</v>
      </c>
      <c r="M150" s="1" t="n">
        <f aca="false">SUMIF(Relatorio_AK!$A:$A,A150,Relatorio_AK!$B:$B)</f>
        <v>935</v>
      </c>
      <c r="N150" s="1" t="str">
        <f aca="false">IF(M150=K150,"OK","DIF")</f>
        <v>OK</v>
      </c>
      <c r="O150" s="13" t="str">
        <f aca="false">IFERROR(VLOOKUP($A150,Lista_Starke!$A:$E,3,0),"NÃO ESTÁ NA LISTA")</f>
        <v>TOYOTA: Corolla 1.8 16V 03/08
TOYOTA: Filder 1.8 16V 03/08</v>
      </c>
      <c r="P150" s="12" t="str">
        <f aca="false">IFERROR(VLOOKUP($A150,Lista_Starke!$A:$E,2,0),"NÃO ESTÁ NA LISTA")</f>
        <v>CILINDRO MESTRE DE FREIO</v>
      </c>
    </row>
    <row r="151" customFormat="false" ht="15" hidden="false" customHeight="true" outlineLevel="0" collapsed="false">
      <c r="A151" s="10" t="s">
        <v>401</v>
      </c>
      <c r="B151" s="10" t="str">
        <f aca="false">IFERROR(VLOOKUP(A151,Pedido!$A:$B,2,0),"")</f>
        <v/>
      </c>
      <c r="C151" s="10" t="str">
        <f aca="false">IF(B151="","NÃO COMPRA","COMPRA")</f>
        <v>NÃO COMPRA</v>
      </c>
      <c r="D151" s="1" t="n">
        <f aca="false">IFERROR(VLOOKUP(A151,Pedido!$A:$C,3,0),0)</f>
        <v>0</v>
      </c>
      <c r="E151" s="5" t="n">
        <f aca="false">IFERROR(VLOOKUP(A151,Pedido!$A:$E,5,0),0)</f>
        <v>0</v>
      </c>
      <c r="F151" s="1" t="s">
        <v>7</v>
      </c>
      <c r="G151" s="1" t="s">
        <v>402</v>
      </c>
      <c r="H151" s="1" t="s">
        <v>35</v>
      </c>
      <c r="I151" s="1" t="s">
        <v>403</v>
      </c>
      <c r="J151" s="1" t="s">
        <v>404</v>
      </c>
      <c r="K151" s="1" t="n">
        <v>934</v>
      </c>
      <c r="L151" s="11" t="n">
        <v>0.516138793107869</v>
      </c>
      <c r="M151" s="1" t="n">
        <f aca="false">SUMIF(Relatorio_AK!$A:$A,A151,Relatorio_AK!$B:$B)</f>
        <v>934</v>
      </c>
      <c r="N151" s="1" t="str">
        <f aca="false">IF(M151=K151,"OK","DIF")</f>
        <v>OK</v>
      </c>
      <c r="O151" s="13" t="str">
        <f aca="false">IFERROR(VLOOKUP($A151,Lista_Starke!$A:$E,3,0),"NÃO ESTÁ NA LISTA")</f>
        <v>IVECO: Daily 70 C 15 3.0 16V EURO III 08/12
IVECO: Daily 70 C 16 3.0 16V EURO III 08/12
IVECO: Daily 70 C 16 HD 3.0 16V EURO III 08/12
IVECO: Daily 70 C 17 3.0 16V EURO 5 12/...
IVECO: Daily 70 C 17 HD 3.0 16V EURO 5 12/...</v>
      </c>
      <c r="P151" s="12" t="str">
        <f aca="false">IFERROR(VLOOKUP($A151,Lista_Starke!$A:$E,2,0),"NÃO ESTÁ NA LISTA")</f>
        <v>CILINDRO MESTRE DE FREIO</v>
      </c>
    </row>
    <row r="152" customFormat="false" ht="15" hidden="false" customHeight="true" outlineLevel="0" collapsed="false">
      <c r="A152" s="10" t="s">
        <v>405</v>
      </c>
      <c r="B152" s="10" t="str">
        <f aca="false">IFERROR(VLOOKUP(A152,Pedido!$A:$B,2,0),"")</f>
        <v/>
      </c>
      <c r="C152" s="10" t="str">
        <f aca="false">IF(B152="","NÃO COMPRA","COMPRA")</f>
        <v>NÃO COMPRA</v>
      </c>
      <c r="D152" s="1" t="n">
        <f aca="false">IFERROR(VLOOKUP(A152,Pedido!$A:$C,3,0),0)</f>
        <v>0</v>
      </c>
      <c r="E152" s="5" t="n">
        <f aca="false">IFERROR(VLOOKUP(A152,Pedido!$A:$E,5,0),0)</f>
        <v>0</v>
      </c>
      <c r="F152" s="1" t="s">
        <v>7</v>
      </c>
      <c r="G152" s="1" t="s">
        <v>406</v>
      </c>
      <c r="H152" s="1" t="s">
        <v>407</v>
      </c>
      <c r="I152" s="1" t="s">
        <v>53</v>
      </c>
      <c r="J152" s="1" t="s">
        <v>408</v>
      </c>
      <c r="K152" s="1" t="n">
        <v>922</v>
      </c>
      <c r="L152" s="11" t="n">
        <v>0.517714977340215</v>
      </c>
      <c r="M152" s="1" t="n">
        <f aca="false">SUMIF(Relatorio_AK!$A:$A,A152,Relatorio_AK!$B:$B)</f>
        <v>922</v>
      </c>
      <c r="N152" s="1" t="str">
        <f aca="false">IF(M152=K152,"OK","DIF")</f>
        <v>OK</v>
      </c>
      <c r="O152" s="13" t="str">
        <f aca="false">IFERROR(VLOOKUP($A152,Lista_Starke!$A:$E,3,0),"NÃO ESTÁ NA LISTA")</f>
        <v>FORD: F250  99/...
FORD: F350  98/...
FORD: F4000  98/...</v>
      </c>
      <c r="P152" s="12" t="str">
        <f aca="false">IFERROR(VLOOKUP($A152,Lista_Starke!$A:$E,2,0),"NÃO ESTÁ NA LISTA")</f>
        <v>KIT CILINDRO DE EMBREAGEM</v>
      </c>
    </row>
    <row r="153" customFormat="false" ht="15" hidden="false" customHeight="true" outlineLevel="0" collapsed="false">
      <c r="A153" s="10" t="s">
        <v>409</v>
      </c>
      <c r="B153" s="10" t="str">
        <f aca="false">IFERROR(VLOOKUP(A153,Pedido!$A:$B,2,0),"")</f>
        <v/>
      </c>
      <c r="C153" s="10" t="str">
        <f aca="false">IF(B153="","NÃO COMPRA","COMPRA")</f>
        <v>NÃO COMPRA</v>
      </c>
      <c r="D153" s="1" t="n">
        <f aca="false">IFERROR(VLOOKUP(A153,Pedido!$A:$C,3,0),0)</f>
        <v>0</v>
      </c>
      <c r="E153" s="5" t="n">
        <f aca="false">IFERROR(VLOOKUP(A153,Pedido!$A:$E,5,0),0)</f>
        <v>0</v>
      </c>
      <c r="F153" s="1" t="s">
        <v>7</v>
      </c>
      <c r="G153" s="1" t="s">
        <v>76</v>
      </c>
      <c r="H153" s="1" t="s">
        <v>35</v>
      </c>
      <c r="I153" s="1" t="s">
        <v>77</v>
      </c>
      <c r="J153" s="1" t="s">
        <v>410</v>
      </c>
      <c r="K153" s="1" t="n">
        <v>919</v>
      </c>
      <c r="L153" s="11" t="n">
        <v>0.519286032990459</v>
      </c>
      <c r="M153" s="1" t="n">
        <f aca="false">SUMIF(Relatorio_AK!$A:$A,A153,Relatorio_AK!$B:$B)</f>
        <v>919</v>
      </c>
      <c r="N153" s="1" t="str">
        <f aca="false">IF(M153=K153,"OK","DIF")</f>
        <v>OK</v>
      </c>
      <c r="O153" s="13" t="str">
        <f aca="false">IFERROR(VLOOKUP($A153,Lista_Starke!$A:$E,3,0),"NÃO ESTÁ NA LISTA")</f>
        <v>CITROEN: C4 1.6 16V TU5JP4 08/11
CITROEN: C4 2.0 16V EW10A 09/11
CITROEN: C4 Cactus 16 16V Flex TU5JP4 09/13
CITROEN: C4 Pallas 2.0 16V EW10A 07/13
PEUGEOT: 307 2.0 16V EW10A 05/11
PEUGEOT: 308 1.6 16V Flex EC5 08/13
PEUGEOT: 308 1.6 16V THP 12/16
PEUGEOT: 308 2.0 16V EW10A 16/19</v>
      </c>
      <c r="P153" s="12" t="str">
        <f aca="false">IFERROR(VLOOKUP($A153,Lista_Starke!$A:$E,2,0),"NÃO ESTÁ NA LISTA")</f>
        <v>CILINDRO MESTRE DE FREIO</v>
      </c>
    </row>
    <row r="154" customFormat="false" ht="15" hidden="false" customHeight="true" outlineLevel="0" collapsed="false">
      <c r="A154" s="10" t="s">
        <v>411</v>
      </c>
      <c r="B154" s="10" t="str">
        <f aca="false">IFERROR(VLOOKUP(A154,Pedido!$A:$B,2,0),"")</f>
        <v/>
      </c>
      <c r="C154" s="10" t="str">
        <f aca="false">IF(B154="","NÃO COMPRA","COMPRA")</f>
        <v>NÃO COMPRA</v>
      </c>
      <c r="D154" s="1" t="n">
        <f aca="false">IFERROR(VLOOKUP(A154,Pedido!$A:$C,3,0),0)</f>
        <v>0</v>
      </c>
      <c r="E154" s="5" t="n">
        <f aca="false">IFERROR(VLOOKUP(A154,Pedido!$A:$E,5,0),0)</f>
        <v>0</v>
      </c>
      <c r="F154" s="1" t="s">
        <v>7</v>
      </c>
      <c r="G154" s="1" t="s">
        <v>412</v>
      </c>
      <c r="H154" s="1" t="s">
        <v>88</v>
      </c>
      <c r="I154" s="1" t="s">
        <v>57</v>
      </c>
      <c r="J154" s="1" t="s">
        <v>413</v>
      </c>
      <c r="K154" s="1" t="n">
        <v>917</v>
      </c>
      <c r="L154" s="11" t="n">
        <v>0.520853669585969</v>
      </c>
      <c r="M154" s="1" t="n">
        <f aca="false">SUMIF(Relatorio_AK!$A:$A,A154,Relatorio_AK!$B:$B)</f>
        <v>917</v>
      </c>
      <c r="N154" s="1" t="str">
        <f aca="false">IF(M154=K154,"OK","DIF")</f>
        <v>OK</v>
      </c>
      <c r="O154" s="12" t="str">
        <f aca="false">IFERROR(VLOOKUP($A154,Lista_Starke!$A:$E,3,0),"NÃO ESTÁ NA LISTA")</f>
        <v>GM: Spin 1.8 8V 12/...</v>
      </c>
      <c r="P154" s="12" t="str">
        <f aca="false">IFERROR(VLOOKUP($A154,Lista_Starke!$A:$E,2,0),"NÃO ESTÁ NA LISTA")</f>
        <v>CILINDRO DE RODA LE/LD</v>
      </c>
    </row>
    <row r="155" customFormat="false" ht="15" hidden="false" customHeight="true" outlineLevel="0" collapsed="false">
      <c r="A155" s="10" t="s">
        <v>414</v>
      </c>
      <c r="B155" s="10" t="str">
        <f aca="false">IFERROR(VLOOKUP(A155,Pedido!$A:$B,2,0),"")</f>
        <v/>
      </c>
      <c r="C155" s="10" t="str">
        <f aca="false">IF(B155="","NÃO COMPRA","COMPRA")</f>
        <v>NÃO COMPRA</v>
      </c>
      <c r="D155" s="1" t="n">
        <f aca="false">IFERROR(VLOOKUP(A155,Pedido!$A:$C,3,0),0)</f>
        <v>0</v>
      </c>
      <c r="E155" s="5" t="n">
        <f aca="false">IFERROR(VLOOKUP(A155,Pedido!$A:$E,5,0),0)</f>
        <v>0</v>
      </c>
      <c r="F155" s="1" t="s">
        <v>7</v>
      </c>
      <c r="G155" s="1" t="s">
        <v>147</v>
      </c>
      <c r="H155" s="1" t="s">
        <v>96</v>
      </c>
      <c r="I155" s="1" t="s">
        <v>57</v>
      </c>
      <c r="K155" s="1" t="n">
        <v>917</v>
      </c>
      <c r="L155" s="11" t="n">
        <v>0.52242130618148</v>
      </c>
      <c r="M155" s="1" t="n">
        <f aca="false">SUMIF(Relatorio_AK!$A:$A,A155,Relatorio_AK!$B:$B)</f>
        <v>917</v>
      </c>
      <c r="N155" s="1" t="str">
        <f aca="false">IF(M155=K155,"OK","DIF")</f>
        <v>OK</v>
      </c>
      <c r="O155" s="13" t="str">
        <f aca="false">IFERROR(VLOOKUP($A155,Lista_Starke!$A:$E,3,0),"NÃO ESTÁ NA LISTA")</f>
        <v>GM: Equinox 2.0 16V Turbo 18/21
GM: S10 2.5 Flex 15/...</v>
      </c>
      <c r="P155" s="12" t="str">
        <f aca="false">IFERROR(VLOOKUP($A155,Lista_Starke!$A:$E,2,0),"NÃO ESTÁ NA LISTA")</f>
        <v>BOMBA DE VÁCUO</v>
      </c>
    </row>
    <row r="156" customFormat="false" ht="15" hidden="false" customHeight="true" outlineLevel="0" collapsed="false">
      <c r="A156" s="10" t="s">
        <v>415</v>
      </c>
      <c r="B156" s="10" t="str">
        <f aca="false">IFERROR(VLOOKUP(A156,Pedido!$A:$B,2,0),"")</f>
        <v/>
      </c>
      <c r="C156" s="10" t="str">
        <f aca="false">IF(B156="","NÃO COMPRA","COMPRA")</f>
        <v>NÃO COMPRA</v>
      </c>
      <c r="D156" s="1" t="n">
        <f aca="false">IFERROR(VLOOKUP(A156,Pedido!$A:$C,3,0),0)</f>
        <v>0</v>
      </c>
      <c r="E156" s="5" t="n">
        <f aca="false">IFERROR(VLOOKUP(A156,Pedido!$A:$E,5,0),0)</f>
        <v>0</v>
      </c>
      <c r="F156" s="1" t="s">
        <v>7</v>
      </c>
      <c r="G156" s="1" t="s">
        <v>416</v>
      </c>
      <c r="H156" s="1" t="s">
        <v>32</v>
      </c>
      <c r="I156" s="1" t="s">
        <v>396</v>
      </c>
      <c r="K156" s="1" t="n">
        <v>916</v>
      </c>
      <c r="L156" s="11" t="n">
        <v>0.523987233249623</v>
      </c>
      <c r="M156" s="1" t="n">
        <f aca="false">SUMIF(Relatorio_AK!$A:$A,A156,Relatorio_AK!$B:$B)</f>
        <v>916</v>
      </c>
      <c r="N156" s="1" t="str">
        <f aca="false">IF(M156=K156,"OK","DIF")</f>
        <v>OK</v>
      </c>
      <c r="O156" s="13" t="str">
        <f aca="false">IFERROR(VLOOKUP($A156,Lista_Starke!$A:$E,3,0),"NÃO ESTÁ NA LISTA")</f>
        <v>GM: Tracker 2.0 16V J20A gasolina 99/…
SUZUKI: Grand Vitara 2.0 16V    J20A gasolina 06/…
SUZUKI: Grand Vitara 2.0 16V    J20A gasolina 98/…
SUZUKI: Vitara 2.0 16V    J20A gasolina 97/…</v>
      </c>
      <c r="P156" s="12" t="str">
        <f aca="false">IFERROR(VLOOKUP($A156,Lista_Starke!$A:$E,2,0),"NÃO ESTÁ NA LISTA")</f>
        <v>CILINDRO MESTRE DE EMBREAGEM</v>
      </c>
    </row>
    <row r="157" customFormat="false" ht="15" hidden="false" customHeight="true" outlineLevel="0" collapsed="false">
      <c r="A157" s="10" t="s">
        <v>417</v>
      </c>
      <c r="B157" s="10" t="str">
        <f aca="false">IFERROR(VLOOKUP(A157,Pedido!$A:$B,2,0),"")</f>
        <v/>
      </c>
      <c r="C157" s="10" t="str">
        <f aca="false">IF(B157="","NÃO COMPRA","COMPRA")</f>
        <v>NÃO COMPRA</v>
      </c>
      <c r="D157" s="1" t="n">
        <f aca="false">IFERROR(VLOOKUP(A157,Pedido!$A:$C,3,0),0)</f>
        <v>0</v>
      </c>
      <c r="E157" s="5" t="n">
        <f aca="false">IFERROR(VLOOKUP(A157,Pedido!$A:$E,5,0),0)</f>
        <v>0</v>
      </c>
      <c r="F157" s="1" t="s">
        <v>7</v>
      </c>
      <c r="G157" s="1" t="s">
        <v>52</v>
      </c>
      <c r="H157" s="1" t="s">
        <v>35</v>
      </c>
      <c r="I157" s="1" t="s">
        <v>53</v>
      </c>
      <c r="K157" s="1" t="n">
        <v>915</v>
      </c>
      <c r="L157" s="11" t="n">
        <v>0.5255514507904</v>
      </c>
      <c r="M157" s="1" t="n">
        <f aca="false">SUMIF(Relatorio_AK!$A:$A,A157,Relatorio_AK!$B:$B)</f>
        <v>915</v>
      </c>
      <c r="N157" s="1" t="str">
        <f aca="false">IF(M157=K157,"OK","DIF")</f>
        <v>OK</v>
      </c>
      <c r="O157" s="12" t="str">
        <f aca="false">IFERROR(VLOOKUP($A157,Lista_Starke!$A:$E,3,0),"NÃO ESTÁ NA LISTA")</f>
        <v>FORD: New Fiesta 1.5 16V / 1.6 16V Sigma 10/18</v>
      </c>
      <c r="P157" s="12" t="str">
        <f aca="false">IFERROR(VLOOKUP($A157,Lista_Starke!$A:$E,2,0),"NÃO ESTÁ NA LISTA")</f>
        <v>CILINDRO MESTRE DE FREIO</v>
      </c>
    </row>
    <row r="158" customFormat="false" ht="15" hidden="false" customHeight="true" outlineLevel="0" collapsed="false">
      <c r="A158" s="10" t="s">
        <v>418</v>
      </c>
      <c r="B158" s="10" t="str">
        <f aca="false">IFERROR(VLOOKUP(A158,Pedido!$A:$B,2,0),"")</f>
        <v/>
      </c>
      <c r="C158" s="10" t="str">
        <f aca="false">IF(B158="","NÃO COMPRA","COMPRA")</f>
        <v>NÃO COMPRA</v>
      </c>
      <c r="D158" s="1" t="n">
        <f aca="false">IFERROR(VLOOKUP(A158,Pedido!$A:$C,3,0),0)</f>
        <v>0</v>
      </c>
      <c r="E158" s="5" t="n">
        <f aca="false">IFERROR(VLOOKUP(A158,Pedido!$A:$E,5,0),0)</f>
        <v>0</v>
      </c>
      <c r="F158" s="1" t="s">
        <v>7</v>
      </c>
      <c r="G158" s="1" t="s">
        <v>176</v>
      </c>
      <c r="H158" s="1" t="s">
        <v>35</v>
      </c>
      <c r="I158" s="1" t="s">
        <v>177</v>
      </c>
      <c r="J158" s="1" t="s">
        <v>419</v>
      </c>
      <c r="K158" s="1" t="n">
        <v>915</v>
      </c>
      <c r="L158" s="11" t="n">
        <v>0.527115668331176</v>
      </c>
      <c r="M158" s="1" t="n">
        <f aca="false">SUMIF(Relatorio_AK!$A:$A,A158,Relatorio_AK!$B:$B)</f>
        <v>915</v>
      </c>
      <c r="N158" s="1" t="str">
        <f aca="false">IF(M158=K158,"OK","DIF")</f>
        <v>OK</v>
      </c>
      <c r="O158" s="13" t="str">
        <f aca="false">IFERROR(VLOOKUP($A158,Lista_Starke!$A:$E,3,0),"NÃO ESTÁ NA LISTA")</f>
        <v>TOYOTA: Corolla 1.8 16V 14/...
TOYOTA: Corolla 2.0 16V 14/...</v>
      </c>
      <c r="P158" s="12" t="str">
        <f aca="false">IFERROR(VLOOKUP($A158,Lista_Starke!$A:$E,2,0),"NÃO ESTÁ NA LISTA")</f>
        <v>CILINDRO MESTRE DE FREIO</v>
      </c>
    </row>
    <row r="159" customFormat="false" ht="15" hidden="false" customHeight="true" outlineLevel="0" collapsed="false">
      <c r="A159" s="10" t="s">
        <v>420</v>
      </c>
      <c r="B159" s="10" t="str">
        <f aca="false">IFERROR(VLOOKUP(A159,Pedido!$A:$B,2,0),"")</f>
        <v/>
      </c>
      <c r="C159" s="10" t="str">
        <f aca="false">IF(B159="","NÃO COMPRA","COMPRA")</f>
        <v>NÃO COMPRA</v>
      </c>
      <c r="D159" s="1" t="n">
        <f aca="false">IFERROR(VLOOKUP(A159,Pedido!$A:$C,3,0),0)</f>
        <v>0</v>
      </c>
      <c r="E159" s="5" t="n">
        <f aca="false">IFERROR(VLOOKUP(A159,Pedido!$A:$E,5,0),0)</f>
        <v>0</v>
      </c>
      <c r="F159" s="1" t="s">
        <v>7</v>
      </c>
      <c r="G159" s="1" t="s">
        <v>56</v>
      </c>
      <c r="H159" s="1" t="s">
        <v>35</v>
      </c>
      <c r="I159" s="1" t="s">
        <v>57</v>
      </c>
      <c r="K159" s="1" t="n">
        <v>914</v>
      </c>
      <c r="L159" s="11" t="n">
        <v>0.528678176344586</v>
      </c>
      <c r="M159" s="1" t="n">
        <f aca="false">SUMIF(Relatorio_AK!$A:$A,A159,Relatorio_AK!$B:$B)</f>
        <v>914</v>
      </c>
      <c r="N159" s="1" t="str">
        <f aca="false">IF(M159=K159,"OK","DIF")</f>
        <v>OK</v>
      </c>
      <c r="O159" s="13" t="str">
        <f aca="false">IFERROR(VLOOKUP($A159,Lista_Starke!$A:$E,3,0),"NÃO ESTÁ NA LISTA")</f>
        <v>GM: S10 2.5 Flex 15/...
GM: S10 2.8 Turbodiedel 13/...
GM: Trailblazer 2.8 Turbodiesel 13/...</v>
      </c>
      <c r="P159" s="12" t="str">
        <f aca="false">IFERROR(VLOOKUP($A159,Lista_Starke!$A:$E,2,0),"NÃO ESTÁ NA LISTA")</f>
        <v>CILINDRO MESTRE DE FREIO</v>
      </c>
    </row>
    <row r="160" customFormat="false" ht="15" hidden="false" customHeight="true" outlineLevel="0" collapsed="false">
      <c r="A160" s="10" t="s">
        <v>421</v>
      </c>
      <c r="B160" s="10" t="str">
        <f aca="false">IFERROR(VLOOKUP(A160,Pedido!$A:$B,2,0),"")</f>
        <v/>
      </c>
      <c r="C160" s="10" t="str">
        <f aca="false">IF(B160="","NÃO COMPRA","COMPRA")</f>
        <v>NÃO COMPRA</v>
      </c>
      <c r="D160" s="1" t="n">
        <f aca="false">IFERROR(VLOOKUP(A160,Pedido!$A:$C,3,0),0)</f>
        <v>0</v>
      </c>
      <c r="E160" s="5" t="n">
        <f aca="false">IFERROR(VLOOKUP(A160,Pedido!$A:$E,5,0),0)</f>
        <v>0</v>
      </c>
      <c r="F160" s="1" t="s">
        <v>7</v>
      </c>
      <c r="G160" s="1" t="s">
        <v>422</v>
      </c>
      <c r="H160" s="1" t="s">
        <v>35</v>
      </c>
      <c r="I160" s="1" t="s">
        <v>115</v>
      </c>
      <c r="K160" s="1" t="n">
        <v>914</v>
      </c>
      <c r="L160" s="11" t="n">
        <v>0.530240684357995</v>
      </c>
      <c r="M160" s="1" t="n">
        <f aca="false">SUMIF(Relatorio_AK!$A:$A,A160,Relatorio_AK!$B:$B)</f>
        <v>914</v>
      </c>
      <c r="N160" s="1" t="str">
        <f aca="false">IF(M160=K160,"OK","DIF")</f>
        <v>OK</v>
      </c>
      <c r="O160" s="13" t="str">
        <f aca="false">IFERROR(VLOOKUP($A160,Lista_Starke!$A:$E,3,0),"NÃO ESTÁ NA LISTA")</f>
        <v>JAC MOTORS: J2 1.4 16V 11/...
JAC MOTORS: J3 1.4 16V 11/...
JAC MOTORS: J5 1.4 16V 11/...</v>
      </c>
      <c r="P160" s="12" t="str">
        <f aca="false">IFERROR(VLOOKUP($A160,Lista_Starke!$A:$E,2,0),"NÃO ESTÁ NA LISTA")</f>
        <v>CILINDRO MESTRE DE FREIO</v>
      </c>
    </row>
    <row r="161" customFormat="false" ht="15" hidden="false" customHeight="true" outlineLevel="0" collapsed="false">
      <c r="A161" s="10" t="s">
        <v>423</v>
      </c>
      <c r="B161" s="10" t="str">
        <f aca="false">IFERROR(VLOOKUP(A161,Pedido!$A:$B,2,0),"")</f>
        <v/>
      </c>
      <c r="C161" s="10" t="str">
        <f aca="false">IF(B161="","NÃO COMPRA","COMPRA")</f>
        <v>NÃO COMPRA</v>
      </c>
      <c r="D161" s="1" t="n">
        <f aca="false">IFERROR(VLOOKUP(A161,Pedido!$A:$C,3,0),0)</f>
        <v>0</v>
      </c>
      <c r="E161" s="5" t="n">
        <f aca="false">IFERROR(VLOOKUP(A161,Pedido!$A:$E,5,0),0)</f>
        <v>0</v>
      </c>
      <c r="F161" s="1" t="s">
        <v>7</v>
      </c>
      <c r="G161" s="1" t="s">
        <v>34</v>
      </c>
      <c r="H161" s="1" t="s">
        <v>35</v>
      </c>
      <c r="I161" s="1" t="s">
        <v>36</v>
      </c>
      <c r="K161" s="1" t="n">
        <v>913</v>
      </c>
      <c r="L161" s="11" t="n">
        <v>0.531801482844038</v>
      </c>
      <c r="M161" s="1" t="n">
        <f aca="false">SUMIF(Relatorio_AK!$A:$A,A161,Relatorio_AK!$B:$B)</f>
        <v>913</v>
      </c>
      <c r="N161" s="1" t="str">
        <f aca="false">IF(M161=K161,"OK","DIF")</f>
        <v>OK</v>
      </c>
      <c r="O161" s="13" t="str">
        <f aca="false">IFERROR(VLOOKUP($A161,Lista_Starke!$A:$E,3,0),"NÃO ESTÁ NA LISTA")</f>
        <v>VOLKSWAGEN: Gol G1  85/96
VOLKSWAGEN: Gol G2 1.0 / 1.6 / 1.8 95/01
VOLKSWAGEN: Gol G2 1.0 02/05
VOLKSWAGEN: Gol G3 1.0 / 1.6 / 1.8 00
VOLKSWAGEN: Parati G1  85/96
VOLKSWAGEN: Saveiro G1  85/97
VOLKSWAGEN: Voyage G1  85/96</v>
      </c>
      <c r="P161" s="12" t="str">
        <f aca="false">IFERROR(VLOOKUP($A161,Lista_Starke!$A:$E,2,0),"NÃO ESTÁ NA LISTA")</f>
        <v>CILINDRO MESTRE DE FREIO</v>
      </c>
    </row>
    <row r="162" customFormat="false" ht="15" hidden="false" customHeight="true" outlineLevel="0" collapsed="false">
      <c r="A162" s="10" t="s">
        <v>424</v>
      </c>
      <c r="B162" s="10" t="str">
        <f aca="false">IFERROR(VLOOKUP(A162,Pedido!$A:$B,2,0),"")</f>
        <v/>
      </c>
      <c r="C162" s="10" t="str">
        <f aca="false">IF(B162="","NÃO COMPRA","COMPRA")</f>
        <v>NÃO COMPRA</v>
      </c>
      <c r="D162" s="1" t="n">
        <f aca="false">IFERROR(VLOOKUP(A162,Pedido!$A:$C,3,0),0)</f>
        <v>0</v>
      </c>
      <c r="E162" s="5" t="n">
        <f aca="false">IFERROR(VLOOKUP(A162,Pedido!$A:$E,5,0),0)</f>
        <v>0</v>
      </c>
      <c r="F162" s="1" t="s">
        <v>7</v>
      </c>
      <c r="G162" s="1" t="s">
        <v>41</v>
      </c>
      <c r="H162" s="1" t="s">
        <v>35</v>
      </c>
      <c r="I162" s="1" t="s">
        <v>42</v>
      </c>
      <c r="J162" s="1" t="s">
        <v>425</v>
      </c>
      <c r="K162" s="1" t="n">
        <v>891</v>
      </c>
      <c r="L162" s="11" t="n">
        <v>0.533324671728007</v>
      </c>
      <c r="M162" s="1" t="n">
        <f aca="false">SUMIF(Relatorio_AK!$A:$A,A162,Relatorio_AK!$B:$B)</f>
        <v>891</v>
      </c>
      <c r="N162" s="1" t="str">
        <f aca="false">IF(M162=K162,"OK","DIF")</f>
        <v>OK</v>
      </c>
      <c r="O162" s="12" t="str">
        <f aca="false">IFERROR(VLOOKUP($A162,Lista_Starke!$A:$E,3,0),"NÃO ESTÁ NA LISTA")</f>
        <v>RENAULT: Duster 1.6 / 2.0 12/...</v>
      </c>
      <c r="P162" s="12" t="str">
        <f aca="false">IFERROR(VLOOKUP($A162,Lista_Starke!$A:$E,2,0),"NÃO ESTÁ NA LISTA")</f>
        <v>CILINDRO MESTRE DE FREIO</v>
      </c>
    </row>
    <row r="163" customFormat="false" ht="15" hidden="false" customHeight="true" outlineLevel="0" collapsed="false">
      <c r="A163" s="10" t="s">
        <v>426</v>
      </c>
      <c r="B163" s="10" t="str">
        <f aca="false">IFERROR(VLOOKUP(A163,Pedido!$A:$B,2,0),"")</f>
        <v/>
      </c>
      <c r="C163" s="10" t="str">
        <f aca="false">IF(B163="","NÃO COMPRA","COMPRA")</f>
        <v>NÃO COMPRA</v>
      </c>
      <c r="D163" s="1" t="n">
        <f aca="false">IFERROR(VLOOKUP(A163,Pedido!$A:$C,3,0),0)</f>
        <v>0</v>
      </c>
      <c r="E163" s="5" t="n">
        <f aca="false">IFERROR(VLOOKUP(A163,Pedido!$A:$E,5,0),0)</f>
        <v>0</v>
      </c>
      <c r="F163" s="1" t="s">
        <v>7</v>
      </c>
      <c r="G163" s="1" t="s">
        <v>427</v>
      </c>
      <c r="H163" s="1" t="s">
        <v>88</v>
      </c>
      <c r="I163" s="1" t="s">
        <v>428</v>
      </c>
      <c r="J163" s="1" t="s">
        <v>429</v>
      </c>
      <c r="K163" s="1" t="n">
        <v>889</v>
      </c>
      <c r="L163" s="11" t="n">
        <v>0.534844441557243</v>
      </c>
      <c r="M163" s="1" t="n">
        <f aca="false">SUMIF(Relatorio_AK!$A:$A,A163,Relatorio_AK!$B:$B)</f>
        <v>889</v>
      </c>
      <c r="N163" s="1" t="str">
        <f aca="false">IF(M163=K163,"OK","DIF")</f>
        <v>OK</v>
      </c>
      <c r="O163" s="13" t="str">
        <f aca="false">IFERROR(VLOOKUP($A163,Lista_Starke!$A:$E,3,0),"NÃO ESTÁ NA LISTA")</f>
        <v>CITROEN: Xsara 1.6 16V / 1.8 16V / 2.0 16V 98/03
FIAT: Grand Siena 1.4 8V / 1.6 16V 12/...
FIAT: Idea 1.4 8V / 1.6 16V / 1.8 16V 06/16
FIAT: Palio 1.0 8V / 1.4 8V / 1.6 16V 12/...
FIAT: Palio Weekend 1.0 8V / 1.4 8V / 1.6 16V 08/...
FIAT: Punto 1.0 8V / 1.4 8V / 1.6 16V 08/...
FIAT: Uno 1.0 8V / 1.4 8V 11/...
PEUGEOT: 106 1.0 8V 97/...
PEUGEOT: 306 1.8 16V / 2.0 16V 94/02
RENAULT: Laguna 2.0 16V / 3.0 24V 95/01
RENAULT: Scenic 1.6 16V / 2.0 16V 99/11</v>
      </c>
      <c r="P163" s="12" t="str">
        <f aca="false">IFERROR(VLOOKUP($A163,Lista_Starke!$A:$E,2,0),"NÃO ESTÁ NA LISTA")</f>
        <v>CILINDRO DE RODA LE/LD</v>
      </c>
    </row>
    <row r="164" customFormat="false" ht="15" hidden="false" customHeight="true" outlineLevel="0" collapsed="false">
      <c r="A164" s="10" t="s">
        <v>430</v>
      </c>
      <c r="B164" s="10" t="str">
        <f aca="false">IFERROR(VLOOKUP(A164,Pedido!$A:$B,2,0),"")</f>
        <v/>
      </c>
      <c r="C164" s="10" t="str">
        <f aca="false">IF(B164="","NÃO COMPRA","COMPRA")</f>
        <v>NÃO COMPRA</v>
      </c>
      <c r="D164" s="1" t="n">
        <f aca="false">IFERROR(VLOOKUP(A164,Pedido!$A:$C,3,0),0)</f>
        <v>0</v>
      </c>
      <c r="E164" s="5" t="n">
        <f aca="false">IFERROR(VLOOKUP(A164,Pedido!$A:$E,5,0),0)</f>
        <v>0</v>
      </c>
      <c r="F164" s="1" t="s">
        <v>7</v>
      </c>
      <c r="G164" s="1" t="s">
        <v>176</v>
      </c>
      <c r="H164" s="1" t="s">
        <v>35</v>
      </c>
      <c r="I164" s="1" t="s">
        <v>177</v>
      </c>
      <c r="K164" s="1" t="n">
        <v>889</v>
      </c>
      <c r="L164" s="11" t="n">
        <v>0.536364211386478</v>
      </c>
      <c r="M164" s="1" t="n">
        <f aca="false">SUMIF(Relatorio_AK!$A:$A,A164,Relatorio_AK!$B:$B)</f>
        <v>889</v>
      </c>
      <c r="N164" s="1" t="str">
        <f aca="false">IF(M164=K164,"OK","DIF")</f>
        <v>OK</v>
      </c>
      <c r="O164" s="13" t="str">
        <f aca="false">IFERROR(VLOOKUP($A164,Lista_Starke!$A:$E,3,0),"NÃO ESTÁ NA LISTA")</f>
        <v>TOYOTA: Hilux 2.7 16V Flex 16/...
TOYOTA: Hilux 2.8 16V Turbo Diesel 16/...</v>
      </c>
      <c r="P164" s="12" t="str">
        <f aca="false">IFERROR(VLOOKUP($A164,Lista_Starke!$A:$E,2,0),"NÃO ESTÁ NA LISTA")</f>
        <v>CILINDRO MESTRE DE FREIO</v>
      </c>
    </row>
    <row r="165" customFormat="false" ht="15" hidden="false" customHeight="true" outlineLevel="0" collapsed="false">
      <c r="A165" s="10" t="s">
        <v>431</v>
      </c>
      <c r="B165" s="10" t="str">
        <f aca="false">IFERROR(VLOOKUP(A165,Pedido!$A:$B,2,0),"")</f>
        <v/>
      </c>
      <c r="C165" s="10" t="str">
        <f aca="false">IF(B165="","NÃO COMPRA","COMPRA")</f>
        <v>NÃO COMPRA</v>
      </c>
      <c r="D165" s="1" t="n">
        <f aca="false">IFERROR(VLOOKUP(A165,Pedido!$A:$C,3,0),0)</f>
        <v>0</v>
      </c>
      <c r="E165" s="5" t="n">
        <f aca="false">IFERROR(VLOOKUP(A165,Pedido!$A:$E,5,0),0)</f>
        <v>0</v>
      </c>
      <c r="F165" s="1" t="s">
        <v>7</v>
      </c>
      <c r="G165" s="1" t="s">
        <v>432</v>
      </c>
      <c r="H165" s="1" t="s">
        <v>131</v>
      </c>
      <c r="I165" s="1" t="s">
        <v>36</v>
      </c>
      <c r="J165" s="1" t="s">
        <v>433</v>
      </c>
      <c r="K165" s="1" t="n">
        <v>880</v>
      </c>
      <c r="L165" s="11" t="n">
        <v>0.53786859546941</v>
      </c>
      <c r="M165" s="1" t="n">
        <f aca="false">SUMIF(Relatorio_AK!$A:$A,A165,Relatorio_AK!$B:$B)</f>
        <v>880</v>
      </c>
      <c r="N165" s="1" t="str">
        <f aca="false">IF(M165=K165,"OK","DIF")</f>
        <v>OK</v>
      </c>
      <c r="O165" s="13" t="str">
        <f aca="false">IFERROR(VLOOKUP($A165,Lista_Starke!$A:$E,3,0),"NÃO ESTÁ NA LISTA")</f>
        <v>VOLKSWAGEN: Fox 1.0 / 1.6 15/...
VOLKSWAGEN: Gol 1.0 / 1.6 13/17
VOLKSWAGEN: Spacefox 1.6 15/17
VOLKSWAGEN: Up 1.0 / 1.0 TSI 14/18
VOLKSWAGEN: Voyage 1.0 / 1.6 13/17</v>
      </c>
      <c r="P165" s="12" t="str">
        <f aca="false">IFERROR(VLOOKUP($A165,Lista_Starke!$A:$E,2,0),"NÃO ESTÁ NA LISTA")</f>
        <v>SAPATA DE FREIO</v>
      </c>
    </row>
    <row r="166" customFormat="false" ht="15" hidden="false" customHeight="true" outlineLevel="0" collapsed="false">
      <c r="A166" s="10" t="s">
        <v>434</v>
      </c>
      <c r="B166" s="10" t="str">
        <f aca="false">IFERROR(VLOOKUP(A166,Pedido!$A:$B,2,0),"")</f>
        <v/>
      </c>
      <c r="C166" s="10" t="str">
        <f aca="false">IF(B166="","NÃO COMPRA","COMPRA")</f>
        <v>NÃO COMPRA</v>
      </c>
      <c r="D166" s="1" t="n">
        <f aca="false">IFERROR(VLOOKUP(A166,Pedido!$A:$C,3,0),0)</f>
        <v>0</v>
      </c>
      <c r="E166" s="5" t="n">
        <f aca="false">IFERROR(VLOOKUP(A166,Pedido!$A:$E,5,0),0)</f>
        <v>0</v>
      </c>
      <c r="F166" s="1" t="s">
        <v>7</v>
      </c>
      <c r="G166" s="1" t="s">
        <v>435</v>
      </c>
      <c r="H166" s="1" t="s">
        <v>235</v>
      </c>
      <c r="I166" s="1" t="s">
        <v>57</v>
      </c>
      <c r="J166" s="1" t="s">
        <v>436</v>
      </c>
      <c r="K166" s="1" t="n">
        <v>874</v>
      </c>
      <c r="L166" s="11" t="n">
        <v>0.539362722388141</v>
      </c>
      <c r="M166" s="1" t="n">
        <f aca="false">SUMIF(Relatorio_AK!$A:$A,A166,Relatorio_AK!$B:$B)</f>
        <v>874</v>
      </c>
      <c r="N166" s="1" t="str">
        <f aca="false">IF(M166=K166,"OK","DIF")</f>
        <v>OK</v>
      </c>
      <c r="O166" s="13" t="str">
        <f aca="false">IFERROR(VLOOKUP($A166,Lista_Starke!$A:$E,3,0),"NÃO ESTÁ NA LISTA")</f>
        <v>GM: Cruze 1.8 16V Ecotec 11/…
GM: Sonic 1.6 16V Ecotec 12/…
GM: Tracker 1.8 16V Ecotec 14/…</v>
      </c>
      <c r="P166" s="12" t="str">
        <f aca="false">IFERROR(VLOOKUP($A166,Lista_Starke!$A:$E,2,0),"NÃO ESTÁ NA LISTA")</f>
        <v>RESFRIADOR DE ÓLEO MOTOR</v>
      </c>
    </row>
    <row r="167" customFormat="false" ht="15" hidden="false" customHeight="true" outlineLevel="0" collapsed="false">
      <c r="A167" s="10" t="s">
        <v>437</v>
      </c>
      <c r="B167" s="10" t="str">
        <f aca="false">IFERROR(VLOOKUP(A167,Pedido!$A:$B,2,0),"")</f>
        <v/>
      </c>
      <c r="C167" s="10" t="str">
        <f aca="false">IF(B167="","NÃO COMPRA","COMPRA")</f>
        <v>NÃO COMPRA</v>
      </c>
      <c r="D167" s="1" t="n">
        <f aca="false">IFERROR(VLOOKUP(A167,Pedido!$A:$C,3,0),0)</f>
        <v>0</v>
      </c>
      <c r="E167" s="5" t="n">
        <f aca="false">IFERROR(VLOOKUP(A167,Pedido!$A:$E,5,0),0)</f>
        <v>0</v>
      </c>
      <c r="F167" s="1" t="s">
        <v>7</v>
      </c>
      <c r="G167" s="1" t="s">
        <v>117</v>
      </c>
      <c r="H167" s="1" t="s">
        <v>32</v>
      </c>
      <c r="I167" s="1" t="s">
        <v>57</v>
      </c>
      <c r="J167" s="1" t="s">
        <v>438</v>
      </c>
      <c r="K167" s="1" t="n">
        <v>872</v>
      </c>
      <c r="L167" s="11" t="n">
        <v>0.540853430252138</v>
      </c>
      <c r="M167" s="1" t="n">
        <f aca="false">SUMIF(Relatorio_AK!$A:$A,A167,Relatorio_AK!$B:$B)</f>
        <v>872</v>
      </c>
      <c r="N167" s="1" t="str">
        <f aca="false">IF(M167=K167,"OK","DIF")</f>
        <v>OK</v>
      </c>
      <c r="O167" s="13" t="str">
        <f aca="false">IFERROR(VLOOKUP($A167,Lista_Starke!$A:$E,3,0),"NÃO ESTÁ NA LISTA")</f>
        <v>GM: Corsa 1.0 / 1.4 / 1.8 02/...
GM: Montana 1.4 08/...
GM: Montana 1.8 02/...</v>
      </c>
      <c r="P167" s="12" t="str">
        <f aca="false">IFERROR(VLOOKUP($A167,Lista_Starke!$A:$E,2,0),"NÃO ESTÁ NA LISTA")</f>
        <v>CILINDRO MESTRE DE EMBREAGEM</v>
      </c>
    </row>
    <row r="168" customFormat="false" ht="15" hidden="false" customHeight="true" outlineLevel="0" collapsed="false">
      <c r="A168" s="10" t="s">
        <v>439</v>
      </c>
      <c r="B168" s="10" t="str">
        <f aca="false">IFERROR(VLOOKUP(A168,Pedido!$A:$B,2,0),"")</f>
        <v/>
      </c>
      <c r="C168" s="10" t="str">
        <f aca="false">IF(B168="","NÃO COMPRA","COMPRA")</f>
        <v>NÃO COMPRA</v>
      </c>
      <c r="D168" s="1" t="n">
        <f aca="false">IFERROR(VLOOKUP(A168,Pedido!$A:$C,3,0),0)</f>
        <v>0</v>
      </c>
      <c r="E168" s="5" t="n">
        <f aca="false">IFERROR(VLOOKUP(A168,Pedido!$A:$E,5,0),0)</f>
        <v>0</v>
      </c>
      <c r="F168" s="1" t="s">
        <v>7</v>
      </c>
      <c r="G168" s="1" t="s">
        <v>440</v>
      </c>
      <c r="H168" s="1" t="s">
        <v>131</v>
      </c>
      <c r="I168" s="1" t="s">
        <v>281</v>
      </c>
      <c r="J168" s="1" t="s">
        <v>441</v>
      </c>
      <c r="K168" s="1" t="n">
        <v>868</v>
      </c>
      <c r="L168" s="11" t="n">
        <v>0.542337300006667</v>
      </c>
      <c r="M168" s="1" t="n">
        <f aca="false">SUMIF(Relatorio_AK!$A:$A,A168,Relatorio_AK!$B:$B)</f>
        <v>868</v>
      </c>
      <c r="N168" s="1" t="str">
        <f aca="false">IF(M168=K168,"OK","DIF")</f>
        <v>OK</v>
      </c>
      <c r="O168" s="13" t="str">
        <f aca="false">IFERROR(VLOOKUP($A168,Lista_Starke!$A:$E,3,0),"NÃO ESTÁ NA LISTA")</f>
        <v>CITROEN: Aircross 1.5 8V 15/17
CITROEN: Aircross 1.6 16V 10/20
CITROEN: C3 Picasso 1.5 8V 14/16
CITROEN: C3 Picasso 1.6 16V 11/16</v>
      </c>
      <c r="P168" s="12" t="str">
        <f aca="false">IFERROR(VLOOKUP($A168,Lista_Starke!$A:$E,2,0),"NÃO ESTÁ NA LISTA")</f>
        <v>SAPATA DE FREIO</v>
      </c>
    </row>
    <row r="169" customFormat="false" ht="15" hidden="false" customHeight="true" outlineLevel="0" collapsed="false">
      <c r="A169" s="10" t="s">
        <v>442</v>
      </c>
      <c r="B169" s="10" t="str">
        <f aca="false">IFERROR(VLOOKUP(A169,Pedido!$A:$B,2,0),"")</f>
        <v/>
      </c>
      <c r="C169" s="10" t="str">
        <f aca="false">IF(B169="","NÃO COMPRA","COMPRA")</f>
        <v>NÃO COMPRA</v>
      </c>
      <c r="D169" s="1" t="n">
        <f aca="false">IFERROR(VLOOKUP(A169,Pedido!$A:$C,3,0),0)</f>
        <v>0</v>
      </c>
      <c r="E169" s="5" t="n">
        <f aca="false">IFERROR(VLOOKUP(A169,Pedido!$A:$E,5,0),0)</f>
        <v>0</v>
      </c>
      <c r="F169" s="1" t="s">
        <v>7</v>
      </c>
      <c r="G169" s="1" t="s">
        <v>240</v>
      </c>
      <c r="H169" s="1" t="s">
        <v>157</v>
      </c>
      <c r="I169" s="1" t="s">
        <v>57</v>
      </c>
      <c r="J169" s="1" t="s">
        <v>443</v>
      </c>
      <c r="K169" s="1" t="n">
        <v>867</v>
      </c>
      <c r="L169" s="11" t="n">
        <v>0.543819460233829</v>
      </c>
      <c r="M169" s="1" t="n">
        <f aca="false">SUMIF(Relatorio_AK!$A:$A,A169,Relatorio_AK!$B:$B)</f>
        <v>867</v>
      </c>
      <c r="N169" s="1" t="str">
        <f aca="false">IF(M169=K169,"OK","DIF")</f>
        <v>OK</v>
      </c>
      <c r="O169" s="13" t="str">
        <f aca="false">IFERROR(VLOOKUP($A169,Lista_Starke!$A:$E,3,0),"NÃO ESTÁ NA LISTA")</f>
        <v>GM: S10 2.4 8V Flex 12/...
GM: S10 2.8  8V Diesel 12/...</v>
      </c>
      <c r="P169" s="12" t="str">
        <f aca="false">IFERROR(VLOOKUP($A169,Lista_Starke!$A:$E,2,0),"NÃO ESTÁ NA LISTA")</f>
        <v>ATUADOR DE EMBREAGEM</v>
      </c>
    </row>
    <row r="170" customFormat="false" ht="15" hidden="false" customHeight="true" outlineLevel="0" collapsed="false">
      <c r="A170" s="10" t="s">
        <v>444</v>
      </c>
      <c r="B170" s="10" t="str">
        <f aca="false">IFERROR(VLOOKUP(A170,Pedido!$A:$B,2,0),"")</f>
        <v/>
      </c>
      <c r="C170" s="10" t="str">
        <f aca="false">IF(B170="","NÃO COMPRA","COMPRA")</f>
        <v>NÃO COMPRA</v>
      </c>
      <c r="D170" s="1" t="n">
        <f aca="false">IFERROR(VLOOKUP(A170,Pedido!$A:$C,3,0),0)</f>
        <v>0</v>
      </c>
      <c r="E170" s="5" t="n">
        <f aca="false">IFERROR(VLOOKUP(A170,Pedido!$A:$E,5,0),0)</f>
        <v>0</v>
      </c>
      <c r="F170" s="1" t="s">
        <v>7</v>
      </c>
      <c r="G170" s="1" t="s">
        <v>445</v>
      </c>
      <c r="H170" s="1" t="s">
        <v>235</v>
      </c>
      <c r="I170" s="1" t="s">
        <v>53</v>
      </c>
      <c r="J170" s="1" t="s">
        <v>446</v>
      </c>
      <c r="K170" s="1" t="n">
        <v>867</v>
      </c>
      <c r="L170" s="11" t="n">
        <v>0.545301620460991</v>
      </c>
      <c r="M170" s="1" t="n">
        <f aca="false">SUMIF(Relatorio_AK!$A:$A,A170,Relatorio_AK!$B:$B)</f>
        <v>867</v>
      </c>
      <c r="N170" s="1" t="str">
        <f aca="false">IF(M170=K170,"OK","DIF")</f>
        <v>OK</v>
      </c>
      <c r="O170" s="13" t="str">
        <f aca="false">IFERROR(VLOOKUP($A170,Lista_Starke!$A:$E,3,0),"NÃO ESTÁ NA LISTA")</f>
        <v>FORD: Ecosport 1.5 12V Dragon 17/...
FORD: Ecosport 1.6 16V Sigma 12/…
FORD: Focus 1.6 16V Sigma 10/…
FORD: Ka / Ka+ 1.5 16V Sigma 14/…
FORD: New Fiesta 1.5 16V Sigma 13/…
FORD: New Fiesta 1.6 16V Sigma 10/…</v>
      </c>
      <c r="P170" s="12" t="str">
        <f aca="false">IFERROR(VLOOKUP($A170,Lista_Starke!$A:$E,2,0),"NÃO ESTÁ NA LISTA")</f>
        <v>RESFRIADOR DE ÓLEO MOTOR</v>
      </c>
    </row>
    <row r="171" customFormat="false" ht="15" hidden="false" customHeight="true" outlineLevel="0" collapsed="false">
      <c r="A171" s="10" t="s">
        <v>447</v>
      </c>
      <c r="B171" s="10" t="str">
        <f aca="false">IFERROR(VLOOKUP(A171,Pedido!$A:$B,2,0),"")</f>
        <v/>
      </c>
      <c r="C171" s="10" t="str">
        <f aca="false">IF(B171="","NÃO COMPRA","COMPRA")</f>
        <v>NÃO COMPRA</v>
      </c>
      <c r="D171" s="1" t="n">
        <f aca="false">IFERROR(VLOOKUP(A171,Pedido!$A:$C,3,0),0)</f>
        <v>0</v>
      </c>
      <c r="E171" s="5" t="n">
        <f aca="false">IFERROR(VLOOKUP(A171,Pedido!$A:$E,5,0),0)</f>
        <v>0</v>
      </c>
      <c r="F171" s="1" t="s">
        <v>7</v>
      </c>
      <c r="G171" s="1" t="s">
        <v>240</v>
      </c>
      <c r="H171" s="1" t="s">
        <v>157</v>
      </c>
      <c r="I171" s="1" t="s">
        <v>57</v>
      </c>
      <c r="J171" s="1" t="s">
        <v>448</v>
      </c>
      <c r="K171" s="1" t="n">
        <v>859</v>
      </c>
      <c r="L171" s="11" t="n">
        <v>0.546770104469217</v>
      </c>
      <c r="M171" s="1" t="n">
        <f aca="false">SUMIF(Relatorio_AK!$A:$A,A171,Relatorio_AK!$B:$B)</f>
        <v>859</v>
      </c>
      <c r="N171" s="1" t="str">
        <f aca="false">IF(M171=K171,"OK","DIF")</f>
        <v>OK</v>
      </c>
      <c r="O171" s="13" t="str">
        <f aca="false">IFERROR(VLOOKUP($A171,Lista_Starke!$A:$E,3,0),"NÃO ESTÁ NA LISTA")</f>
        <v>GM: Astra 1.8 8V / 2.0 8V 99/11
GM: Astra 2.0 8V / 2.0 16V 04/...
GM: Cobalt 1.4 8V 12/19
GM: Cobalt 1.8 8V 12/19
GM: Corsa 1.0 8V 02/12
GM: Corsa 1.4 8V 02/12
GM: Corsa 1.8 8V 02/12
GM: Meriva 1.4 8V 08/12
GM: Meriva 1.8 8V 03/12
GM: Montana 1.4 8V 08/19
GM: Montana 1.8 8V 04/10
GM: Onix 1.0 8V 12/...
GM: Onix 1.4 8V 12/...
GM: Prisma 1.0 8V 13/...
GM: Prisma 1.4 8V 13/...
GM: Spin 1.8 8V 12/...
GM: Vectra 2.0 8V 05/12
GM: Vectra 2.2 8V 04/06
GM: Zafira 2.0 8V / 2.0 16V 01/12</v>
      </c>
      <c r="P171" s="12" t="str">
        <f aca="false">IFERROR(VLOOKUP($A171,Lista_Starke!$A:$E,2,0),"NÃO ESTÁ NA LISTA")</f>
        <v>ATUADOR DE EMBREAGEM</v>
      </c>
    </row>
    <row r="172" customFormat="false" ht="15" hidden="false" customHeight="true" outlineLevel="0" collapsed="false">
      <c r="A172" s="10" t="s">
        <v>449</v>
      </c>
      <c r="B172" s="10" t="str">
        <f aca="false">IFERROR(VLOOKUP(A172,Pedido!$A:$B,2,0),"")</f>
        <v/>
      </c>
      <c r="C172" s="10" t="str">
        <f aca="false">IF(B172="","NÃO COMPRA","COMPRA")</f>
        <v>NÃO COMPRA</v>
      </c>
      <c r="D172" s="1" t="n">
        <f aca="false">IFERROR(VLOOKUP(A172,Pedido!$A:$C,3,0),0)</f>
        <v>0</v>
      </c>
      <c r="E172" s="5" t="n">
        <f aca="false">IFERROR(VLOOKUP(A172,Pedido!$A:$E,5,0),0)</f>
        <v>0</v>
      </c>
      <c r="F172" s="1" t="s">
        <v>7</v>
      </c>
      <c r="G172" s="1" t="s">
        <v>450</v>
      </c>
      <c r="H172" s="1" t="s">
        <v>451</v>
      </c>
      <c r="I172" s="1" t="s">
        <v>255</v>
      </c>
      <c r="K172" s="1" t="n">
        <v>854</v>
      </c>
      <c r="L172" s="11" t="n">
        <v>0.548230040840609</v>
      </c>
      <c r="M172" s="1" t="n">
        <f aca="false">SUMIF(Relatorio_AK!$A:$A,A172,Relatorio_AK!$B:$B)</f>
        <v>854</v>
      </c>
      <c r="N172" s="1" t="str">
        <f aca="false">IF(M172=K172,"OK","DIF")</f>
        <v>OK</v>
      </c>
      <c r="O172" s="13" t="str">
        <f aca="false">IFERROR(VLOOKUP($A172,Lista_Starke!$A:$E,3,0),"NÃO ESTÁ NA LISTA")</f>
        <v>MITSUBISHI: ASX 2.0 16V 10/…
MITSUBISHI: Lancer 1.8 16V 08/…
MITSUBISHI: Lancer EVO 2.0 16V 08/…
MITSUBISHI: Outlander 2.0 16V 21/...
MITSUBISHI: Triton 2.4 16V Diesel 17/...
MITSUBISHI: Triton 2.4 16V Flex 13/...</v>
      </c>
      <c r="P172" s="12" t="str">
        <f aca="false">IFERROR(VLOOKUP($A172,Lista_Starke!$A:$E,2,0),"NÃO ESTÁ NA LISTA")</f>
        <v>RESPIRO ATUADOR EMBREAGEM</v>
      </c>
    </row>
    <row r="173" customFormat="false" ht="15" hidden="false" customHeight="true" outlineLevel="0" collapsed="false">
      <c r="A173" s="10" t="s">
        <v>452</v>
      </c>
      <c r="B173" s="10" t="str">
        <f aca="false">IFERROR(VLOOKUP(A173,Pedido!$A:$B,2,0),"")</f>
        <v/>
      </c>
      <c r="C173" s="10" t="str">
        <f aca="false">IF(B173="","NÃO COMPRA","COMPRA")</f>
        <v>NÃO COMPRA</v>
      </c>
      <c r="D173" s="1" t="n">
        <f aca="false">IFERROR(VLOOKUP(A173,Pedido!$A:$C,3,0),0)</f>
        <v>0</v>
      </c>
      <c r="E173" s="5" t="n">
        <f aca="false">IFERROR(VLOOKUP(A173,Pedido!$A:$E,5,0),0)</f>
        <v>0</v>
      </c>
      <c r="F173" s="1" t="s">
        <v>7</v>
      </c>
      <c r="G173" s="1" t="s">
        <v>222</v>
      </c>
      <c r="H173" s="1" t="s">
        <v>88</v>
      </c>
      <c r="I173" s="1" t="s">
        <v>42</v>
      </c>
      <c r="J173" s="1" t="s">
        <v>453</v>
      </c>
      <c r="K173" s="1" t="n">
        <v>850</v>
      </c>
      <c r="L173" s="11" t="n">
        <v>0.549683139102532</v>
      </c>
      <c r="M173" s="1" t="n">
        <f aca="false">SUMIF(Relatorio_AK!$A:$A,A173,Relatorio_AK!$B:$B)</f>
        <v>850</v>
      </c>
      <c r="N173" s="1" t="str">
        <f aca="false">IF(M173=K173,"OK","DIF")</f>
        <v>OK</v>
      </c>
      <c r="O173" s="12" t="str">
        <f aca="false">IFERROR(VLOOKUP($A173,Lista_Starke!$A:$E,3,0),"NÃO ESTÁ NA LISTA")</f>
        <v>RENAULT: Kwid 1.0 12V 3 cil 17/20</v>
      </c>
      <c r="P173" s="12" t="str">
        <f aca="false">IFERROR(VLOOKUP($A173,Lista_Starke!$A:$E,2,0),"NÃO ESTÁ NA LISTA")</f>
        <v>CILINDRO DE RODA LE/LD</v>
      </c>
    </row>
    <row r="174" customFormat="false" ht="15" hidden="false" customHeight="true" outlineLevel="0" collapsed="false">
      <c r="A174" s="10" t="s">
        <v>454</v>
      </c>
      <c r="B174" s="10" t="str">
        <f aca="false">IFERROR(VLOOKUP(A174,Pedido!$A:$B,2,0),"")</f>
        <v/>
      </c>
      <c r="C174" s="10" t="str">
        <f aca="false">IF(B174="","NÃO COMPRA","COMPRA")</f>
        <v>NÃO COMPRA</v>
      </c>
      <c r="D174" s="1" t="n">
        <f aca="false">IFERROR(VLOOKUP(A174,Pedido!$A:$C,3,0),0)</f>
        <v>0</v>
      </c>
      <c r="E174" s="5" t="n">
        <f aca="false">IFERROR(VLOOKUP(A174,Pedido!$A:$E,5,0),0)</f>
        <v>0</v>
      </c>
      <c r="F174" s="1" t="s">
        <v>7</v>
      </c>
      <c r="G174" s="1" t="s">
        <v>455</v>
      </c>
      <c r="H174" s="1" t="s">
        <v>157</v>
      </c>
      <c r="I174" s="1" t="s">
        <v>46</v>
      </c>
      <c r="K174" s="1" t="n">
        <v>849</v>
      </c>
      <c r="L174" s="11" t="n">
        <v>0.551134527837089</v>
      </c>
      <c r="M174" s="1" t="n">
        <f aca="false">SUMIF(Relatorio_AK!$A:$A,A174,Relatorio_AK!$B:$B)</f>
        <v>849</v>
      </c>
      <c r="N174" s="1" t="str">
        <f aca="false">IF(M174=K174,"OK","DIF")</f>
        <v>OK</v>
      </c>
      <c r="O174" s="13" t="str">
        <f aca="false">IFERROR(VLOOKUP($A174,Lista_Starke!$A:$E,3,0),"NÃO ESTÁ NA LISTA")</f>
        <v>FIAT: Toro 2.0 16V JTD Diesel 16/…
JEEP: Compass 2.0 16V JTD Diesel 16/…
JEEP: Renegade 2.0 16V JTD Diesel 16/…</v>
      </c>
      <c r="P174" s="12" t="str">
        <f aca="false">IFERROR(VLOOKUP($A174,Lista_Starke!$A:$E,2,0),"NÃO ESTÁ NA LISTA")</f>
        <v>ATUADOR DE EMBREAGEM</v>
      </c>
    </row>
    <row r="175" customFormat="false" ht="15" hidden="false" customHeight="true" outlineLevel="0" collapsed="false">
      <c r="A175" s="10" t="s">
        <v>456</v>
      </c>
      <c r="B175" s="10" t="str">
        <f aca="false">IFERROR(VLOOKUP(A175,Pedido!$A:$B,2,0),"")</f>
        <v/>
      </c>
      <c r="C175" s="10" t="str">
        <f aca="false">IF(B175="","NÃO COMPRA","COMPRA")</f>
        <v>NÃO COMPRA</v>
      </c>
      <c r="D175" s="1" t="n">
        <f aca="false">IFERROR(VLOOKUP(A175,Pedido!$A:$C,3,0),0)</f>
        <v>0</v>
      </c>
      <c r="E175" s="5" t="n">
        <f aca="false">IFERROR(VLOOKUP(A175,Pedido!$A:$E,5,0),0)</f>
        <v>0</v>
      </c>
      <c r="F175" s="1" t="s">
        <v>7</v>
      </c>
      <c r="G175" s="1" t="s">
        <v>65</v>
      </c>
      <c r="H175" s="1" t="s">
        <v>35</v>
      </c>
      <c r="I175" s="1" t="s">
        <v>46</v>
      </c>
      <c r="J175" s="1" t="s">
        <v>457</v>
      </c>
      <c r="K175" s="1" t="n">
        <v>842</v>
      </c>
      <c r="L175" s="11" t="n">
        <v>0.552573949880076</v>
      </c>
      <c r="M175" s="1" t="n">
        <f aca="false">SUMIF(Relatorio_AK!$A:$A,A175,Relatorio_AK!$B:$B)</f>
        <v>842</v>
      </c>
      <c r="N175" s="1" t="str">
        <f aca="false">IF(M175=K175,"OK","DIF")</f>
        <v>OK</v>
      </c>
      <c r="O175" s="13" t="str">
        <f aca="false">IFERROR(VLOOKUP($A175,Lista_Starke!$A:$E,3,0),"NÃO ESTÁ NA LISTA")</f>
        <v>FIAT: Idea 1.4 8V 06/12
FIAT: Idea 1.6 16V Etorq 11/16
FIAT: Idea 1.8 16V Etorq 11/16
FIAT: Idea 1.8 8V Powertrain 09/10
FIAT: Palio Weekend 1.4 8V 08/12
FIAT: Palio Weekend 1.6 16V Etorq 11/12
FIAT: Palio Weekend 1.8 8V Powertrain 09/10
FIAT: Strada 1.4 8V 09/12</v>
      </c>
      <c r="P175" s="12" t="str">
        <f aca="false">IFERROR(VLOOKUP($A175,Lista_Starke!$A:$E,2,0),"NÃO ESTÁ NA LISTA")</f>
        <v>CILINDRO MESTRE DE FREIO</v>
      </c>
    </row>
    <row r="176" customFormat="false" ht="15" hidden="false" customHeight="true" outlineLevel="0" collapsed="false">
      <c r="A176" s="10" t="s">
        <v>458</v>
      </c>
      <c r="B176" s="10" t="str">
        <f aca="false">IFERROR(VLOOKUP(A176,Pedido!$A:$B,2,0),"")</f>
        <v/>
      </c>
      <c r="C176" s="10" t="str">
        <f aca="false">IF(B176="","NÃO COMPRA","COMPRA")</f>
        <v>NÃO COMPRA</v>
      </c>
      <c r="D176" s="1" t="n">
        <f aca="false">IFERROR(VLOOKUP(A176,Pedido!$A:$C,3,0),0)</f>
        <v>0</v>
      </c>
      <c r="E176" s="5" t="n">
        <f aca="false">IFERROR(VLOOKUP(A176,Pedido!$A:$E,5,0),0)</f>
        <v>0</v>
      </c>
      <c r="F176" s="1" t="s">
        <v>7</v>
      </c>
      <c r="G176" s="1" t="s">
        <v>31</v>
      </c>
      <c r="H176" s="1" t="s">
        <v>32</v>
      </c>
      <c r="I176" s="1" t="s">
        <v>172</v>
      </c>
      <c r="K176" s="1" t="n">
        <v>842</v>
      </c>
      <c r="L176" s="11" t="n">
        <v>0.554013371923064</v>
      </c>
      <c r="M176" s="1" t="n">
        <f aca="false">SUMIF(Relatorio_AK!$A:$A,A176,Relatorio_AK!$B:$B)</f>
        <v>842</v>
      </c>
      <c r="N176" s="1" t="str">
        <f aca="false">IF(M176=K176,"OK","DIF")</f>
        <v>OK</v>
      </c>
      <c r="O176" s="13" t="str">
        <f aca="false">IFERROR(VLOOKUP($A176,Lista_Starke!$A:$E,3,0),"NÃO ESTÁ NA LISTA")</f>
        <v>HYUNDAI: Tucson 2.0 16V 06/14
HYUNDAI: Tucson 2.7 V6 06/14
KIA: Sportage 2.0 16V 05/14
KIA: Sportage 2.7 V6 05/14</v>
      </c>
      <c r="P176" s="12" t="str">
        <f aca="false">IFERROR(VLOOKUP($A176,Lista_Starke!$A:$E,2,0),"NÃO ESTÁ NA LISTA")</f>
        <v>CILINDRO MESTRE DE EMBREAGEM</v>
      </c>
    </row>
    <row r="177" customFormat="false" ht="15" hidden="false" customHeight="true" outlineLevel="0" collapsed="false">
      <c r="A177" s="10" t="s">
        <v>459</v>
      </c>
      <c r="B177" s="10" t="str">
        <f aca="false">IFERROR(VLOOKUP(A177,Pedido!$A:$B,2,0),"")</f>
        <v/>
      </c>
      <c r="C177" s="10" t="str">
        <f aca="false">IF(B177="","NÃO COMPRA","COMPRA")</f>
        <v>NÃO COMPRA</v>
      </c>
      <c r="D177" s="1" t="n">
        <f aca="false">IFERROR(VLOOKUP(A177,Pedido!$A:$C,3,0),0)</f>
        <v>0</v>
      </c>
      <c r="E177" s="5" t="n">
        <f aca="false">IFERROR(VLOOKUP(A177,Pedido!$A:$E,5,0),0)</f>
        <v>0</v>
      </c>
      <c r="F177" s="1" t="s">
        <v>7</v>
      </c>
      <c r="G177" s="1" t="s">
        <v>460</v>
      </c>
      <c r="H177" s="1" t="s">
        <v>32</v>
      </c>
      <c r="I177" s="1" t="s">
        <v>172</v>
      </c>
      <c r="K177" s="1" t="n">
        <v>840</v>
      </c>
      <c r="L177" s="11" t="n">
        <v>0.555449374911318</v>
      </c>
      <c r="M177" s="1" t="n">
        <f aca="false">SUMIF(Relatorio_AK!$A:$A,A177,Relatorio_AK!$B:$B)</f>
        <v>840</v>
      </c>
      <c r="N177" s="1" t="str">
        <f aca="false">IF(M177=K177,"OK","DIF")</f>
        <v>OK</v>
      </c>
      <c r="O177" s="13" t="str">
        <f aca="false">IFERROR(VLOOKUP($A177,Lista_Starke!$A:$E,3,0),"NÃO ESTÁ NA LISTA")</f>
        <v>HYUNDAI: Elantra 1.6 16V 90/…
HYUNDAI: i30 1.6 16V Flex G4FC 13/…
HYUNDAI: Veloster 1.6 16V Flex G4FC 12/…
KIA: Cerato 1.6 16V 08/...
KIA: Soul 1.6 16V 09/...</v>
      </c>
      <c r="P177" s="12" t="str">
        <f aca="false">IFERROR(VLOOKUP($A177,Lista_Starke!$A:$E,2,0),"NÃO ESTÁ NA LISTA")</f>
        <v>CILINDRO MESTRE DE EMBREAGEM</v>
      </c>
    </row>
    <row r="178" customFormat="false" ht="15" hidden="false" customHeight="true" outlineLevel="0" collapsed="false">
      <c r="A178" s="10" t="s">
        <v>461</v>
      </c>
      <c r="B178" s="10" t="str">
        <f aca="false">IFERROR(VLOOKUP(A178,Pedido!$A:$B,2,0),"")</f>
        <v/>
      </c>
      <c r="C178" s="10" t="str">
        <f aca="false">IF(B178="","NÃO COMPRA","COMPRA")</f>
        <v>NÃO COMPRA</v>
      </c>
      <c r="D178" s="1" t="n">
        <f aca="false">IFERROR(VLOOKUP(A178,Pedido!$A:$C,3,0),0)</f>
        <v>0</v>
      </c>
      <c r="E178" s="5" t="n">
        <f aca="false">IFERROR(VLOOKUP(A178,Pedido!$A:$E,5,0),0)</f>
        <v>0</v>
      </c>
      <c r="F178" s="1" t="s">
        <v>7</v>
      </c>
      <c r="G178" s="1" t="s">
        <v>363</v>
      </c>
      <c r="H178" s="1" t="s">
        <v>32</v>
      </c>
      <c r="I178" s="1" t="s">
        <v>177</v>
      </c>
      <c r="J178" s="1" t="s">
        <v>462</v>
      </c>
      <c r="K178" s="1" t="n">
        <v>839</v>
      </c>
      <c r="L178" s="11" t="n">
        <v>0.556883668372205</v>
      </c>
      <c r="M178" s="1" t="n">
        <f aca="false">SUMIF(Relatorio_AK!$A:$A,A178,Relatorio_AK!$B:$B)</f>
        <v>839</v>
      </c>
      <c r="N178" s="1" t="str">
        <f aca="false">IF(M178=K178,"OK","DIF")</f>
        <v>OK</v>
      </c>
      <c r="O178" s="13" t="str">
        <f aca="false">IFERROR(VLOOKUP($A178,Lista_Starke!$A:$E,3,0),"NÃO ESTÁ NA LISTA")</f>
        <v>TOYOTA: Etios 1.3 16V 12/...
TOYOTA: Etios 1.5 16V 12/...
TOYOTA: Yaris 1.3 16V 18/...
TOYOTA: Yaris 1.5 16V 18/...</v>
      </c>
      <c r="P178" s="12" t="str">
        <f aca="false">IFERROR(VLOOKUP($A178,Lista_Starke!$A:$E,2,0),"NÃO ESTÁ NA LISTA")</f>
        <v>CILINDRO MESTRE DE EMBREAGEM</v>
      </c>
    </row>
    <row r="179" customFormat="false" ht="15" hidden="false" customHeight="true" outlineLevel="0" collapsed="false">
      <c r="A179" s="10" t="s">
        <v>463</v>
      </c>
      <c r="B179" s="10" t="str">
        <f aca="false">IFERROR(VLOOKUP(A179,Pedido!$A:$B,2,0),"")</f>
        <v/>
      </c>
      <c r="C179" s="10" t="str">
        <f aca="false">IF(B179="","NÃO COMPRA","COMPRA")</f>
        <v>NÃO COMPRA</v>
      </c>
      <c r="D179" s="1" t="n">
        <f aca="false">IFERROR(VLOOKUP(A179,Pedido!$A:$C,3,0),0)</f>
        <v>0</v>
      </c>
      <c r="E179" s="5" t="n">
        <f aca="false">IFERROR(VLOOKUP(A179,Pedido!$A:$E,5,0),0)</f>
        <v>0</v>
      </c>
      <c r="F179" s="1" t="s">
        <v>7</v>
      </c>
      <c r="G179" s="1" t="s">
        <v>273</v>
      </c>
      <c r="H179" s="1" t="s">
        <v>32</v>
      </c>
      <c r="I179" s="1" t="s">
        <v>215</v>
      </c>
      <c r="J179" s="1" t="s">
        <v>464</v>
      </c>
      <c r="K179" s="1" t="n">
        <v>838</v>
      </c>
      <c r="L179" s="11" t="n">
        <v>0.558316252305725</v>
      </c>
      <c r="M179" s="1" t="n">
        <f aca="false">SUMIF(Relatorio_AK!$A:$A,A179,Relatorio_AK!$B:$B)</f>
        <v>838</v>
      </c>
      <c r="N179" s="1" t="str">
        <f aca="false">IF(M179=K179,"OK","DIF")</f>
        <v>OK</v>
      </c>
      <c r="O179" s="13" t="str">
        <f aca="false">IFERROR(VLOOKUP($A179,Lista_Starke!$A:$E,3,0),"NÃO ESTÁ NA LISTA")</f>
        <v>NISSAN: Grand Livina 1.8 16V 09/...
NISSAN: Livina 1.8 16V 09/...
NISSAN: Sentra 2.0 16V 14/...
NISSAN: Tiida 1.8 16V 07/...</v>
      </c>
      <c r="P179" s="12" t="str">
        <f aca="false">IFERROR(VLOOKUP($A179,Lista_Starke!$A:$E,2,0),"NÃO ESTÁ NA LISTA")</f>
        <v>CILINDRO MESTRE DE EMBREAGEM</v>
      </c>
    </row>
    <row r="180" customFormat="false" ht="15" hidden="false" customHeight="true" outlineLevel="0" collapsed="false">
      <c r="A180" s="10" t="s">
        <v>465</v>
      </c>
      <c r="B180" s="10" t="str">
        <f aca="false">IFERROR(VLOOKUP(A180,Pedido!$A:$B,2,0),"")</f>
        <v/>
      </c>
      <c r="C180" s="10" t="str">
        <f aca="false">IF(B180="","NÃO COMPRA","COMPRA")</f>
        <v>NÃO COMPRA</v>
      </c>
      <c r="D180" s="1" t="n">
        <f aca="false">IFERROR(VLOOKUP(A180,Pedido!$A:$C,3,0),0)</f>
        <v>0</v>
      </c>
      <c r="E180" s="5" t="n">
        <f aca="false">IFERROR(VLOOKUP(A180,Pedido!$A:$E,5,0),0)</f>
        <v>0</v>
      </c>
      <c r="F180" s="1" t="s">
        <v>7</v>
      </c>
      <c r="G180" s="1" t="s">
        <v>92</v>
      </c>
      <c r="H180" s="1" t="s">
        <v>88</v>
      </c>
      <c r="I180" s="1" t="s">
        <v>57</v>
      </c>
      <c r="J180" s="1" t="s">
        <v>466</v>
      </c>
      <c r="K180" s="1" t="n">
        <v>835</v>
      </c>
      <c r="L180" s="11" t="n">
        <v>0.559743707657144</v>
      </c>
      <c r="M180" s="1" t="n">
        <f aca="false">SUMIF(Relatorio_AK!$A:$A,A180,Relatorio_AK!$B:$B)</f>
        <v>835</v>
      </c>
      <c r="N180" s="1" t="str">
        <f aca="false">IF(M180=K180,"OK","DIF")</f>
        <v>OK</v>
      </c>
      <c r="O180" s="13" t="str">
        <f aca="false">IFERROR(VLOOKUP($A180,Lista_Starke!$A:$E,3,0),"NÃO ESTÁ NA LISTA")</f>
        <v>GM: S10 2.5 Flex 15/...
GM: S10 2.8 Turbodiedel Duramax 13/...</v>
      </c>
      <c r="P180" s="12" t="str">
        <f aca="false">IFERROR(VLOOKUP($A180,Lista_Starke!$A:$E,2,0),"NÃO ESTÁ NA LISTA")</f>
        <v>CILINDRO DE RODA LE/LD</v>
      </c>
    </row>
    <row r="181" customFormat="false" ht="15" hidden="false" customHeight="true" outlineLevel="0" collapsed="false">
      <c r="A181" s="10" t="s">
        <v>467</v>
      </c>
      <c r="B181" s="10" t="str">
        <f aca="false">IFERROR(VLOOKUP(A181,Pedido!$A:$B,2,0),"")</f>
        <v>SCC 2003</v>
      </c>
      <c r="C181" s="10" t="str">
        <f aca="false">IF(B181="","NÃO COMPRA","COMPRA")</f>
        <v>COMPRA</v>
      </c>
      <c r="D181" s="1" t="n">
        <f aca="false">IFERROR(VLOOKUP(A181,Pedido!$A:$C,3,0),0)</f>
        <v>10</v>
      </c>
      <c r="E181" s="5" t="n">
        <f aca="false">IFERROR(VLOOKUP(A181,Pedido!$A:$E,5,0),0)</f>
        <v>864.9</v>
      </c>
      <c r="F181" s="1" t="s">
        <v>7</v>
      </c>
      <c r="G181" s="1" t="s">
        <v>379</v>
      </c>
      <c r="H181" s="1" t="s">
        <v>32</v>
      </c>
      <c r="I181" s="1" t="s">
        <v>36</v>
      </c>
      <c r="J181" s="1" t="s">
        <v>468</v>
      </c>
      <c r="K181" s="1" t="n">
        <v>833</v>
      </c>
      <c r="L181" s="11" t="n">
        <v>0.561167743953829</v>
      </c>
      <c r="M181" s="1" t="n">
        <f aca="false">SUMIF(Relatorio_AK!$A:$A,A181,Relatorio_AK!$B:$B)</f>
        <v>833</v>
      </c>
      <c r="N181" s="1" t="str">
        <f aca="false">IF(M181=K181,"OK","DIF")</f>
        <v>OK</v>
      </c>
      <c r="O181" s="13" t="str">
        <f aca="false">IFERROR(VLOOKUP($A181,Lista_Starke!$A:$E,3,0),"NÃO ESTÁ NA LISTA")</f>
        <v>VOLKSWAGEN: Crossfox 1.6 05/...
VOLKSWAGEN: Fox 1.6 05/...
VOLKSWAGEN: Gol G5  09/...
VOLKSWAGEN: Polo 1.6 02/...
VOLKSWAGEN: Saveiro G5  10/...
VOLKSWAGEN: Space Cross 1.6 12/...
VOLKSWAGEN: Spacefox 1.6 06/...
VOLKSWAGEN: Voyage G5  09/...</v>
      </c>
      <c r="P181" s="12" t="str">
        <f aca="false">IFERROR(VLOOKUP($A181,Lista_Starke!$A:$E,2,0),"NÃO ESTÁ NA LISTA")</f>
        <v>CILINDRO MESTRE DE EMBREAGEM</v>
      </c>
    </row>
    <row r="182" customFormat="false" ht="15" hidden="false" customHeight="true" outlineLevel="0" collapsed="false">
      <c r="A182" s="10" t="s">
        <v>469</v>
      </c>
      <c r="B182" s="10" t="str">
        <f aca="false">IFERROR(VLOOKUP(A182,Pedido!$A:$B,2,0),"")</f>
        <v/>
      </c>
      <c r="C182" s="10" t="str">
        <f aca="false">IF(B182="","NÃO COMPRA","COMPRA")</f>
        <v>NÃO COMPRA</v>
      </c>
      <c r="D182" s="1" t="n">
        <f aca="false">IFERROR(VLOOKUP(A182,Pedido!$A:$C,3,0),0)</f>
        <v>0</v>
      </c>
      <c r="E182" s="5" t="n">
        <f aca="false">IFERROR(VLOOKUP(A182,Pedido!$A:$E,5,0),0)</f>
        <v>0</v>
      </c>
      <c r="F182" s="1" t="s">
        <v>7</v>
      </c>
      <c r="G182" s="1" t="s">
        <v>314</v>
      </c>
      <c r="H182" s="1" t="s">
        <v>131</v>
      </c>
      <c r="I182" s="1" t="s">
        <v>42</v>
      </c>
      <c r="J182" s="1" t="s">
        <v>470</v>
      </c>
      <c r="K182" s="1" t="n">
        <v>833</v>
      </c>
      <c r="L182" s="11" t="n">
        <v>0.562591780250514</v>
      </c>
      <c r="M182" s="1" t="n">
        <f aca="false">SUMIF(Relatorio_AK!$A:$A,A182,Relatorio_AK!$B:$B)</f>
        <v>833</v>
      </c>
      <c r="N182" s="1" t="str">
        <f aca="false">IF(M182=K182,"OK","DIF")</f>
        <v>OK</v>
      </c>
      <c r="O182" s="13" t="str">
        <f aca="false">IFERROR(VLOOKUP($A182,Lista_Starke!$A:$E,3,0),"NÃO ESTÁ NA LISTA")</f>
        <v>RENAULT: Duster 1.3 3 cil Turbo 22/...
RENAULT: Duster 1.6 16V SCE 22/...</v>
      </c>
      <c r="P182" s="12" t="str">
        <f aca="false">IFERROR(VLOOKUP($A182,Lista_Starke!$A:$E,2,0),"NÃO ESTÁ NA LISTA")</f>
        <v>SAPATA DE FREIO</v>
      </c>
    </row>
    <row r="183" customFormat="false" ht="15" hidden="false" customHeight="true" outlineLevel="0" collapsed="false">
      <c r="A183" s="10" t="s">
        <v>471</v>
      </c>
      <c r="B183" s="10" t="str">
        <f aca="false">IFERROR(VLOOKUP(A183,Pedido!$A:$B,2,0),"")</f>
        <v/>
      </c>
      <c r="C183" s="10" t="str">
        <f aca="false">IF(B183="","NÃO COMPRA","COMPRA")</f>
        <v>NÃO COMPRA</v>
      </c>
      <c r="D183" s="1" t="n">
        <f aca="false">IFERROR(VLOOKUP(A183,Pedido!$A:$C,3,0),0)</f>
        <v>0</v>
      </c>
      <c r="E183" s="5" t="n">
        <f aca="false">IFERROR(VLOOKUP(A183,Pedido!$A:$E,5,0),0)</f>
        <v>0</v>
      </c>
      <c r="F183" s="1" t="s">
        <v>7</v>
      </c>
      <c r="G183" s="1" t="s">
        <v>130</v>
      </c>
      <c r="H183" s="1" t="s">
        <v>131</v>
      </c>
      <c r="I183" s="1" t="s">
        <v>46</v>
      </c>
      <c r="J183" s="1" t="s">
        <v>472</v>
      </c>
      <c r="K183" s="1" t="n">
        <v>830</v>
      </c>
      <c r="L183" s="11" t="n">
        <v>0.564010687965098</v>
      </c>
      <c r="M183" s="1" t="n">
        <f aca="false">SUMIF(Relatorio_AK!$A:$A,A183,Relatorio_AK!$B:$B)</f>
        <v>830</v>
      </c>
      <c r="N183" s="1" t="str">
        <f aca="false">IF(M183=K183,"OK","DIF")</f>
        <v>OK</v>
      </c>
      <c r="O183" s="13" t="str">
        <f aca="false">IFERROR(VLOOKUP($A183,Lista_Starke!$A:$E,3,0),"NÃO ESTÁ NA LISTA")</f>
        <v>FIAT: Fiorino 1.6 02/04
FIAT: Fiorino Todas 04/...
FIAT: Fiorino Todas 94
FIAT: Idea Todas 06/...
FIAT: Marea / Marea Weekend 1.6 / 1.8 06/...
FIAT: Palio Weekend Todas 97/00
FIAT: Palio Weekend Todas 99/...
FIAT: Stilo 1.8 16V 03/...
FIAT: Stilo 1.8 8V 03/...
FIAT: Strada Todas 99/...
FIAT: Tempra Todos 92/...</v>
      </c>
      <c r="P183" s="12" t="str">
        <f aca="false">IFERROR(VLOOKUP($A183,Lista_Starke!$A:$E,2,0),"NÃO ESTÁ NA LISTA")</f>
        <v>SAPATA DE FREIO</v>
      </c>
    </row>
    <row r="184" customFormat="false" ht="15" hidden="false" customHeight="true" outlineLevel="0" collapsed="false">
      <c r="A184" s="10" t="s">
        <v>473</v>
      </c>
      <c r="B184" s="10" t="str">
        <f aca="false">IFERROR(VLOOKUP(A184,Pedido!$A:$B,2,0),"")</f>
        <v/>
      </c>
      <c r="C184" s="10" t="str">
        <f aca="false">IF(B184="","NÃO COMPRA","COMPRA")</f>
        <v>NÃO COMPRA</v>
      </c>
      <c r="D184" s="1" t="n">
        <f aca="false">IFERROR(VLOOKUP(A184,Pedido!$A:$C,3,0),0)</f>
        <v>0</v>
      </c>
      <c r="E184" s="5" t="n">
        <f aca="false">IFERROR(VLOOKUP(A184,Pedido!$A:$E,5,0),0)</f>
        <v>0</v>
      </c>
      <c r="F184" s="1" t="s">
        <v>7</v>
      </c>
      <c r="G184" s="1" t="s">
        <v>474</v>
      </c>
      <c r="H184" s="1" t="s">
        <v>32</v>
      </c>
      <c r="I184" s="1" t="s">
        <v>77</v>
      </c>
      <c r="J184" s="1" t="s">
        <v>475</v>
      </c>
      <c r="K184" s="1" t="n">
        <v>826</v>
      </c>
      <c r="L184" s="11" t="n">
        <v>0.565422757570214</v>
      </c>
      <c r="M184" s="1" t="n">
        <f aca="false">SUMIF(Relatorio_AK!$A:$A,A184,Relatorio_AK!$B:$B)</f>
        <v>826</v>
      </c>
      <c r="N184" s="1" t="str">
        <f aca="false">IF(M184=K184,"OK","DIF")</f>
        <v>OK</v>
      </c>
      <c r="O184" s="13" t="str">
        <f aca="false">IFERROR(VLOOKUP($A184,Lista_Starke!$A:$E,3,0),"NÃO ESTÁ NA LISTA")</f>
        <v>CITROEN: Aircross  10/...
CITROEN: C3 1.4 / 1.6 03/...
CITROEN: C3 1.5 / 1.6 12/...
CITROEN: C3 Picasso  11/...
PEUGEOT: 208 1.5 / 1.6 / 1.6 THP 12/...</v>
      </c>
      <c r="P184" s="12" t="str">
        <f aca="false">IFERROR(VLOOKUP($A184,Lista_Starke!$A:$E,2,0),"NÃO ESTÁ NA LISTA")</f>
        <v>CILINDRO MESTRE DE EMBREAGEM</v>
      </c>
    </row>
    <row r="185" customFormat="false" ht="15" hidden="false" customHeight="true" outlineLevel="0" collapsed="false">
      <c r="A185" s="10" t="s">
        <v>476</v>
      </c>
      <c r="B185" s="10" t="str">
        <f aca="false">IFERROR(VLOOKUP(A185,Pedido!$A:$B,2,0),"")</f>
        <v/>
      </c>
      <c r="C185" s="10" t="str">
        <f aca="false">IF(B185="","NÃO COMPRA","COMPRA")</f>
        <v>NÃO COMPRA</v>
      </c>
      <c r="D185" s="1" t="n">
        <f aca="false">IFERROR(VLOOKUP(A185,Pedido!$A:$C,3,0),0)</f>
        <v>0</v>
      </c>
      <c r="E185" s="5" t="n">
        <f aca="false">IFERROR(VLOOKUP(A185,Pedido!$A:$E,5,0),0)</f>
        <v>0</v>
      </c>
      <c r="F185" s="1" t="s">
        <v>7</v>
      </c>
      <c r="G185" s="1" t="s">
        <v>39</v>
      </c>
      <c r="H185" s="1" t="s">
        <v>35</v>
      </c>
      <c r="I185" s="1" t="s">
        <v>36</v>
      </c>
      <c r="J185" s="1" t="s">
        <v>477</v>
      </c>
      <c r="K185" s="1" t="n">
        <v>821</v>
      </c>
      <c r="L185" s="11" t="n">
        <v>0.566826279538496</v>
      </c>
      <c r="M185" s="1" t="n">
        <f aca="false">SUMIF(Relatorio_AK!$A:$A,A185,Relatorio_AK!$B:$B)</f>
        <v>821</v>
      </c>
      <c r="N185" s="1" t="str">
        <f aca="false">IF(M185=K185,"OK","DIF")</f>
        <v>OK</v>
      </c>
      <c r="O185" s="13" t="str">
        <f aca="false">IFERROR(VLOOKUP($A185,Lista_Starke!$A:$E,3,0),"NÃO ESTÁ NA LISTA")</f>
        <v>VOLKSWAGEN: Crossfox 1.6 Geração 2 13/...
VOLKSWAGEN: Fox 1.6 Geração 2 13/...</v>
      </c>
      <c r="P185" s="12" t="str">
        <f aca="false">IFERROR(VLOOKUP($A185,Lista_Starke!$A:$E,2,0),"NÃO ESTÁ NA LISTA")</f>
        <v>CILINDRO MESTRE DE FREIO</v>
      </c>
    </row>
    <row r="186" customFormat="false" ht="15" hidden="false" customHeight="true" outlineLevel="0" collapsed="false">
      <c r="A186" s="10" t="s">
        <v>478</v>
      </c>
      <c r="B186" s="10" t="str">
        <f aca="false">IFERROR(VLOOKUP(A186,Pedido!$A:$B,2,0),"")</f>
        <v/>
      </c>
      <c r="C186" s="10" t="str">
        <f aca="false">IF(B186="","NÃO COMPRA","COMPRA")</f>
        <v>NÃO COMPRA</v>
      </c>
      <c r="D186" s="1" t="n">
        <f aca="false">IFERROR(VLOOKUP(A186,Pedido!$A:$C,3,0),0)</f>
        <v>0</v>
      </c>
      <c r="E186" s="5" t="n">
        <f aca="false">IFERROR(VLOOKUP(A186,Pedido!$A:$E,5,0),0)</f>
        <v>0</v>
      </c>
      <c r="F186" s="1" t="s">
        <v>7</v>
      </c>
      <c r="G186" s="1" t="s">
        <v>56</v>
      </c>
      <c r="H186" s="1" t="s">
        <v>35</v>
      </c>
      <c r="I186" s="1" t="s">
        <v>479</v>
      </c>
      <c r="J186" s="1" t="s">
        <v>480</v>
      </c>
      <c r="K186" s="1" t="n">
        <v>819</v>
      </c>
      <c r="L186" s="11" t="n">
        <v>0.568226382452043</v>
      </c>
      <c r="M186" s="1" t="n">
        <f aca="false">SUMIF(Relatorio_AK!$A:$A,A186,Relatorio_AK!$B:$B)</f>
        <v>819</v>
      </c>
      <c r="N186" s="1" t="str">
        <f aca="false">IF(M186=K186,"OK","DIF")</f>
        <v>OK</v>
      </c>
      <c r="O186" s="13" t="str">
        <f aca="false">IFERROR(VLOOKUP($A186,Lista_Starke!$A:$E,3,0),"NÃO ESTÁ NA LISTA")</f>
        <v>GM: Blazer 2.2 8V 95/00
GM: Blazer 2.4 8V 00/12
GM: Blazer 2.5 Turbo Diesel 97/00
GM: Blazer 2.8 Turbo Diesel 00/09
GM: Blazer 4.3 V6 96/03
GM: S10 2.2 8V 97/00
GM: S10 2.4 8V 00/12
GM: S10 2.4 8V Flex 12/16
GM: S10 2.5 16V Flex 14/...
GM: S10 2.5 Turbo Diesel 95/00
GM: S10 2.8 16V Turbo Diesel 12/13
GM: S10 2.8 Turbo Diesel 01/12
GM: S10 4.3 V6 96/03
TROLLER: T4 2.8 Turbo Diesel 01/05
TROLLER: T4 3.0 Turbo Diesel 99/...
TROLLER: T4 3.2 20V Turbo Diesel 14/...</v>
      </c>
      <c r="P186" s="12" t="str">
        <f aca="false">IFERROR(VLOOKUP($A186,Lista_Starke!$A:$E,2,0),"NÃO ESTÁ NA LISTA")</f>
        <v>CILINDRO MESTRE DE FREIO</v>
      </c>
    </row>
    <row r="187" customFormat="false" ht="15" hidden="false" customHeight="true" outlineLevel="0" collapsed="false">
      <c r="A187" s="10" t="s">
        <v>481</v>
      </c>
      <c r="B187" s="10" t="str">
        <f aca="false">IFERROR(VLOOKUP(A187,Pedido!$A:$B,2,0),"")</f>
        <v/>
      </c>
      <c r="C187" s="10" t="str">
        <f aca="false">IF(B187="","NÃO COMPRA","COMPRA")</f>
        <v>NÃO COMPRA</v>
      </c>
      <c r="D187" s="1" t="n">
        <f aca="false">IFERROR(VLOOKUP(A187,Pedido!$A:$C,3,0),0)</f>
        <v>0</v>
      </c>
      <c r="E187" s="5" t="n">
        <f aca="false">IFERROR(VLOOKUP(A187,Pedido!$A:$E,5,0),0)</f>
        <v>0</v>
      </c>
      <c r="F187" s="1" t="s">
        <v>7</v>
      </c>
      <c r="G187" s="1" t="s">
        <v>191</v>
      </c>
      <c r="H187" s="1" t="s">
        <v>35</v>
      </c>
      <c r="I187" s="1" t="s">
        <v>50</v>
      </c>
      <c r="K187" s="1" t="n">
        <v>817</v>
      </c>
      <c r="L187" s="11" t="n">
        <v>0.569623066310857</v>
      </c>
      <c r="M187" s="1" t="n">
        <f aca="false">SUMIF(Relatorio_AK!$A:$A,A187,Relatorio_AK!$B:$B)</f>
        <v>817</v>
      </c>
      <c r="N187" s="1" t="str">
        <f aca="false">IF(M187=K187,"OK","DIF")</f>
        <v>OK</v>
      </c>
      <c r="O187" s="12" t="str">
        <f aca="false">IFERROR(VLOOKUP($A187,Lista_Starke!$A:$E,3,0),"NÃO ESTÁ NA LISTA")</f>
        <v>HONDA: Fit 1.4 8V / 1.5 16V 03/08</v>
      </c>
      <c r="P187" s="12" t="str">
        <f aca="false">IFERROR(VLOOKUP($A187,Lista_Starke!$A:$E,2,0),"NÃO ESTÁ NA LISTA")</f>
        <v>CILINDRO MESTRE DE FREIO</v>
      </c>
    </row>
    <row r="188" customFormat="false" ht="15" hidden="false" customHeight="true" outlineLevel="0" collapsed="false">
      <c r="A188" s="10" t="s">
        <v>482</v>
      </c>
      <c r="B188" s="10" t="str">
        <f aca="false">IFERROR(VLOOKUP(A188,Pedido!$A:$B,2,0),"")</f>
        <v/>
      </c>
      <c r="C188" s="10" t="str">
        <f aca="false">IF(B188="","NÃO COMPRA","COMPRA")</f>
        <v>NÃO COMPRA</v>
      </c>
      <c r="D188" s="1" t="n">
        <f aca="false">IFERROR(VLOOKUP(A188,Pedido!$A:$C,3,0),0)</f>
        <v>0</v>
      </c>
      <c r="E188" s="5" t="n">
        <f aca="false">IFERROR(VLOOKUP(A188,Pedido!$A:$E,5,0),0)</f>
        <v>0</v>
      </c>
      <c r="F188" s="1" t="s">
        <v>7</v>
      </c>
      <c r="G188" s="1" t="s">
        <v>483</v>
      </c>
      <c r="H188" s="1" t="s">
        <v>197</v>
      </c>
      <c r="I188" s="1" t="s">
        <v>36</v>
      </c>
      <c r="K188" s="1" t="n">
        <v>809</v>
      </c>
      <c r="L188" s="11" t="n">
        <v>0.571006073950735</v>
      </c>
      <c r="M188" s="1" t="n">
        <f aca="false">SUMIF(Relatorio_AK!$A:$A,A188,Relatorio_AK!$B:$B)</f>
        <v>809</v>
      </c>
      <c r="N188" s="1" t="str">
        <f aca="false">IF(M188=K188,"OK","DIF")</f>
        <v>OK</v>
      </c>
      <c r="O188" s="12" t="str">
        <f aca="false">IFERROR(VLOOKUP($A188,Lista_Starke!$A:$E,3,0),"NÃO ESTÁ NA LISTA")</f>
        <v>VOLKSWAGEN: Amarok 3.0 V6 TDI DDXB/DDXE 17/...</v>
      </c>
      <c r="P188" s="12" t="str">
        <f aca="false">IFERROR(VLOOKUP($A188,Lista_Starke!$A:$E,2,0),"NÃO ESTÁ NA LISTA")</f>
        <v>BOMBA D'ÁGUA</v>
      </c>
    </row>
    <row r="189" customFormat="false" ht="15" hidden="false" customHeight="true" outlineLevel="0" collapsed="false">
      <c r="A189" s="10" t="s">
        <v>484</v>
      </c>
      <c r="B189" s="10" t="str">
        <f aca="false">IFERROR(VLOOKUP(A189,Pedido!$A:$B,2,0),"")</f>
        <v/>
      </c>
      <c r="C189" s="10" t="str">
        <f aca="false">IF(B189="","NÃO COMPRA","COMPRA")</f>
        <v>NÃO COMPRA</v>
      </c>
      <c r="D189" s="1" t="n">
        <f aca="false">IFERROR(VLOOKUP(A189,Pedido!$A:$C,3,0),0)</f>
        <v>0</v>
      </c>
      <c r="E189" s="5" t="n">
        <f aca="false">IFERROR(VLOOKUP(A189,Pedido!$A:$E,5,0),0)</f>
        <v>0</v>
      </c>
      <c r="F189" s="1" t="s">
        <v>7</v>
      </c>
      <c r="G189" s="1" t="s">
        <v>485</v>
      </c>
      <c r="H189" s="1" t="s">
        <v>407</v>
      </c>
      <c r="I189" s="1" t="s">
        <v>403</v>
      </c>
      <c r="J189" s="1" t="s">
        <v>486</v>
      </c>
      <c r="K189" s="1" t="n">
        <v>802</v>
      </c>
      <c r="L189" s="11" t="n">
        <v>0.572377114899044</v>
      </c>
      <c r="M189" s="1" t="n">
        <f aca="false">SUMIF(Relatorio_AK!$A:$A,A189,Relatorio_AK!$B:$B)</f>
        <v>802</v>
      </c>
      <c r="N189" s="1" t="str">
        <f aca="false">IF(M189=K189,"OK","DIF")</f>
        <v>OK</v>
      </c>
      <c r="O189" s="13" t="str">
        <f aca="false">IFERROR(VLOOKUP($A189,Lista_Starke!$A:$E,3,0),"NÃO ESTÁ NA LISTA")</f>
        <v>IVECO: Daily 35 S 14 3.0 16V EURO 5 12/...
IVECO: Daily 35 S 14 3.0 16V EURO III 08/12
IVECO: Daily 35 S 14 HD 3.0 16V EURO 5 12/...
IVECO: Daily 35 S 14 HD 3.0 16V EURO III 08/12
IVECO: Daily 40 S 14 3.0 16V EURO 5 12/...
IVECO: Daily 40 S 16 3.0 16V EURO III 08/12
IVECO: Daily 45 S 14 3.0 16V EURO III 08/12
IVECO: Daily 45 S 16 3.0 16V EURO III 08/12
IVECO: Daily 45 S 17 3.0 16V EURO 5 12/...
IVECO: Daily 50 C 17 3.0 16V EURO 5 12/...
IVECO: Daily 55 C 16 3.0 16V EURO III 08/12
IVECO: Daily 55 C 17 3.0 16V EURO 5 12/...
IVECO: Daily 70 C 15 3.0 16V EURO III 08/12
IVECO: Daily 70 C 16 3.0 16V EURO III 08/12
IVECO: Daily 70 C 16 HD 3.0 16V EURO III 08/12
IVECO: Daily 70 C 17 3.0 16V EURO 5 12/...
IVECO: Daily 70 C 17 HD 3.0 16V EURO 5 12/...</v>
      </c>
      <c r="P189" s="12" t="str">
        <f aca="false">IFERROR(VLOOKUP($A189,Lista_Starke!$A:$E,2,0),"NÃO ESTÁ NA LISTA")</f>
        <v>KIT CILINDRO DE EMBREAGEM</v>
      </c>
    </row>
    <row r="190" customFormat="false" ht="15" hidden="false" customHeight="true" outlineLevel="0" collapsed="false">
      <c r="A190" s="10" t="s">
        <v>487</v>
      </c>
      <c r="B190" s="10" t="str">
        <f aca="false">IFERROR(VLOOKUP(A190,Pedido!$A:$B,2,0),"")</f>
        <v/>
      </c>
      <c r="C190" s="10" t="str">
        <f aca="false">IF(B190="","NÃO COMPRA","COMPRA")</f>
        <v>NÃO COMPRA</v>
      </c>
      <c r="D190" s="1" t="n">
        <f aca="false">IFERROR(VLOOKUP(A190,Pedido!$A:$C,3,0),0)</f>
        <v>0</v>
      </c>
      <c r="E190" s="5" t="n">
        <f aca="false">IFERROR(VLOOKUP(A190,Pedido!$A:$E,5,0),0)</f>
        <v>0</v>
      </c>
      <c r="F190" s="1" t="s">
        <v>7</v>
      </c>
      <c r="G190" s="1" t="s">
        <v>488</v>
      </c>
      <c r="H190" s="1" t="s">
        <v>197</v>
      </c>
      <c r="I190" s="1" t="s">
        <v>215</v>
      </c>
      <c r="K190" s="1" t="n">
        <v>798</v>
      </c>
      <c r="L190" s="11" t="n">
        <v>0.573741317737885</v>
      </c>
      <c r="M190" s="1" t="n">
        <f aca="false">SUMIF(Relatorio_AK!$A:$A,A190,Relatorio_AK!$B:$B)</f>
        <v>798</v>
      </c>
      <c r="N190" s="1" t="str">
        <f aca="false">IF(M190=K190,"OK","DIF")</f>
        <v>OK</v>
      </c>
      <c r="O190" s="12" t="str">
        <f aca="false">IFERROR(VLOOKUP($A190,Lista_Starke!$A:$E,3,0),"NÃO ESTÁ NA LISTA")</f>
        <v>NISSAN: Frontier 2.3 16V 16/...</v>
      </c>
      <c r="P190" s="12" t="str">
        <f aca="false">IFERROR(VLOOKUP($A190,Lista_Starke!$A:$E,2,0),"NÃO ESTÁ NA LISTA")</f>
        <v>BOMBA D'ÁGUA</v>
      </c>
    </row>
    <row r="191" customFormat="false" ht="15" hidden="false" customHeight="true" outlineLevel="0" collapsed="false">
      <c r="A191" s="10" t="s">
        <v>489</v>
      </c>
      <c r="B191" s="10" t="str">
        <f aca="false">IFERROR(VLOOKUP(A191,Pedido!$A:$B,2,0),"")</f>
        <v/>
      </c>
      <c r="C191" s="10" t="str">
        <f aca="false">IF(B191="","NÃO COMPRA","COMPRA")</f>
        <v>NÃO COMPRA</v>
      </c>
      <c r="D191" s="1" t="n">
        <f aca="false">IFERROR(VLOOKUP(A191,Pedido!$A:$C,3,0),0)</f>
        <v>0</v>
      </c>
      <c r="E191" s="5" t="n">
        <f aca="false">IFERROR(VLOOKUP(A191,Pedido!$A:$E,5,0),0)</f>
        <v>0</v>
      </c>
      <c r="F191" s="1" t="s">
        <v>7</v>
      </c>
      <c r="G191" s="1" t="s">
        <v>490</v>
      </c>
      <c r="H191" s="1" t="s">
        <v>35</v>
      </c>
      <c r="I191" s="1" t="s">
        <v>29</v>
      </c>
      <c r="K191" s="1" t="n">
        <v>797</v>
      </c>
      <c r="L191" s="11" t="n">
        <v>0.575103811049359</v>
      </c>
      <c r="M191" s="1" t="n">
        <f aca="false">SUMIF(Relatorio_AK!$A:$A,A191,Relatorio_AK!$B:$B)</f>
        <v>797</v>
      </c>
      <c r="N191" s="1" t="str">
        <f aca="false">IF(M191=K191,"OK","DIF")</f>
        <v>OK</v>
      </c>
      <c r="O191" s="13" t="str">
        <f aca="false">IFERROR(VLOOKUP($A191,Lista_Starke!$A:$E,3,0),"NÃO ESTÁ NA LISTA")</f>
        <v>HYUNDAI: Azera 3.0 V6 08/12
HYUNDAI: Azera 3.3 V6 08/12</v>
      </c>
      <c r="P191" s="12" t="str">
        <f aca="false">IFERROR(VLOOKUP($A191,Lista_Starke!$A:$E,2,0),"NÃO ESTÁ NA LISTA")</f>
        <v>CILINDRO MESTRE DE FREIO</v>
      </c>
    </row>
    <row r="192" customFormat="false" ht="15" hidden="false" customHeight="true" outlineLevel="0" collapsed="false">
      <c r="A192" s="10" t="s">
        <v>491</v>
      </c>
      <c r="B192" s="10" t="str">
        <f aca="false">IFERROR(VLOOKUP(A192,Pedido!$A:$B,2,0),"")</f>
        <v/>
      </c>
      <c r="C192" s="10" t="str">
        <f aca="false">IF(B192="","NÃO COMPRA","COMPRA")</f>
        <v>NÃO COMPRA</v>
      </c>
      <c r="D192" s="1" t="n">
        <f aca="false">IFERROR(VLOOKUP(A192,Pedido!$A:$C,3,0),0)</f>
        <v>0</v>
      </c>
      <c r="E192" s="5" t="n">
        <f aca="false">IFERROR(VLOOKUP(A192,Pedido!$A:$E,5,0),0)</f>
        <v>0</v>
      </c>
      <c r="F192" s="1" t="s">
        <v>7</v>
      </c>
      <c r="G192" s="1" t="s">
        <v>41</v>
      </c>
      <c r="H192" s="1" t="s">
        <v>35</v>
      </c>
      <c r="I192" s="1" t="s">
        <v>42</v>
      </c>
      <c r="J192" s="1" t="s">
        <v>492</v>
      </c>
      <c r="K192" s="1" t="n">
        <v>796</v>
      </c>
      <c r="L192" s="11" t="n">
        <v>0.576464594833466</v>
      </c>
      <c r="M192" s="1" t="n">
        <f aca="false">SUMIF(Relatorio_AK!$A:$A,A192,Relatorio_AK!$B:$B)</f>
        <v>796</v>
      </c>
      <c r="N192" s="1" t="str">
        <f aca="false">IF(M192=K192,"OK","DIF")</f>
        <v>OK</v>
      </c>
      <c r="O192" s="13" t="str">
        <f aca="false">IFERROR(VLOOKUP($A192,Lista_Starke!$A:$E,3,0),"NÃO ESTÁ NA LISTA")</f>
        <v>RENAULT: Clio 1.0 16V D4D 98/16
RENAULT: Clio 1.6 16V K4M 98/06
RENAULT: Clio 1.6 8V K7M 98/02
RENAULT: Symbol 1.6 16V K4M 09/13
RENAULT: Symbol 1.6 8V K7M 09/13</v>
      </c>
      <c r="P192" s="12" t="str">
        <f aca="false">IFERROR(VLOOKUP($A192,Lista_Starke!$A:$E,2,0),"NÃO ESTÁ NA LISTA")</f>
        <v>CILINDRO MESTRE DE FREIO</v>
      </c>
    </row>
    <row r="193" customFormat="false" ht="15" hidden="false" customHeight="true" outlineLevel="0" collapsed="false">
      <c r="A193" s="10" t="s">
        <v>493</v>
      </c>
      <c r="B193" s="10" t="str">
        <f aca="false">IFERROR(VLOOKUP(A193,Pedido!$A:$B,2,0),"")</f>
        <v/>
      </c>
      <c r="C193" s="10" t="str">
        <f aca="false">IF(B193="","NÃO COMPRA","COMPRA")</f>
        <v>NÃO COMPRA</v>
      </c>
      <c r="D193" s="1" t="n">
        <f aca="false">IFERROR(VLOOKUP(A193,Pedido!$A:$C,3,0),0)</f>
        <v>0</v>
      </c>
      <c r="E193" s="5" t="n">
        <f aca="false">IFERROR(VLOOKUP(A193,Pedido!$A:$E,5,0),0)</f>
        <v>0</v>
      </c>
      <c r="F193" s="1" t="s">
        <v>7</v>
      </c>
      <c r="G193" s="1" t="s">
        <v>52</v>
      </c>
      <c r="H193" s="1" t="s">
        <v>35</v>
      </c>
      <c r="I193" s="1" t="s">
        <v>53</v>
      </c>
      <c r="J193" s="1" t="s">
        <v>494</v>
      </c>
      <c r="K193" s="1" t="n">
        <v>793</v>
      </c>
      <c r="L193" s="11" t="n">
        <v>0.577820250035473</v>
      </c>
      <c r="M193" s="1" t="n">
        <f aca="false">SUMIF(Relatorio_AK!$A:$A,A193,Relatorio_AK!$B:$B)</f>
        <v>793</v>
      </c>
      <c r="N193" s="1" t="str">
        <f aca="false">IF(M193=K193,"OK","DIF")</f>
        <v>OK</v>
      </c>
      <c r="O193" s="13" t="str">
        <f aca="false">IFERROR(VLOOKUP($A193,Lista_Starke!$A:$E,3,0),"NÃO ESTÁ NA LISTA")</f>
        <v>FORD: Ranger 2.5 / 4.0 98/01
FORD: Ranger 2.8 WG B60 01/06
FORD: Ranger 3.0 NGD 05/12</v>
      </c>
      <c r="P193" s="12" t="str">
        <f aca="false">IFERROR(VLOOKUP($A193,Lista_Starke!$A:$E,2,0),"NÃO ESTÁ NA LISTA")</f>
        <v>CILINDRO MESTRE DE FREIO</v>
      </c>
    </row>
    <row r="194" customFormat="false" ht="15" hidden="false" customHeight="true" outlineLevel="0" collapsed="false">
      <c r="A194" s="10" t="s">
        <v>495</v>
      </c>
      <c r="B194" s="10" t="str">
        <f aca="false">IFERROR(VLOOKUP(A194,Pedido!$A:$B,2,0),"")</f>
        <v/>
      </c>
      <c r="C194" s="10" t="str">
        <f aca="false">IF(B194="","NÃO COMPRA","COMPRA")</f>
        <v>NÃO COMPRA</v>
      </c>
      <c r="D194" s="1" t="n">
        <f aca="false">IFERROR(VLOOKUP(A194,Pedido!$A:$C,3,0),0)</f>
        <v>0</v>
      </c>
      <c r="E194" s="5" t="n">
        <f aca="false">IFERROR(VLOOKUP(A194,Pedido!$A:$E,5,0),0)</f>
        <v>0</v>
      </c>
      <c r="F194" s="1" t="s">
        <v>7</v>
      </c>
      <c r="G194" s="1" t="s">
        <v>65</v>
      </c>
      <c r="H194" s="1" t="s">
        <v>35</v>
      </c>
      <c r="I194" s="1" t="s">
        <v>137</v>
      </c>
      <c r="J194" s="1" t="s">
        <v>496</v>
      </c>
      <c r="K194" s="1" t="n">
        <v>787</v>
      </c>
      <c r="L194" s="11" t="n">
        <v>0.579165648073277</v>
      </c>
      <c r="M194" s="1" t="n">
        <f aca="false">SUMIF(Relatorio_AK!$A:$A,A194,Relatorio_AK!$B:$B)</f>
        <v>787</v>
      </c>
      <c r="N194" s="1" t="str">
        <f aca="false">IF(M194=K194,"OK","DIF")</f>
        <v>OK</v>
      </c>
      <c r="O194" s="13" t="str">
        <f aca="false">IFERROR(VLOOKUP($A194,Lista_Starke!$A:$E,3,0),"NÃO ESTÁ NA LISTA")</f>
        <v>CITROEN: Jumper  03/...
FIAT: Ducato  03/...
FIAT: Ducato 2.3 16V 13/...
PEUGEOT: Boxer  03/...</v>
      </c>
      <c r="P194" s="12" t="str">
        <f aca="false">IFERROR(VLOOKUP($A194,Lista_Starke!$A:$E,2,0),"NÃO ESTÁ NA LISTA")</f>
        <v>CILINDRO MESTRE DE FREIO</v>
      </c>
    </row>
    <row r="195" customFormat="false" ht="15" hidden="false" customHeight="true" outlineLevel="0" collapsed="false">
      <c r="A195" s="10" t="s">
        <v>497</v>
      </c>
      <c r="B195" s="10" t="str">
        <f aca="false">IFERROR(VLOOKUP(A195,Pedido!$A:$B,2,0),"")</f>
        <v/>
      </c>
      <c r="C195" s="10" t="str">
        <f aca="false">IF(B195="","NÃO COMPRA","COMPRA")</f>
        <v>NÃO COMPRA</v>
      </c>
      <c r="D195" s="1" t="n">
        <f aca="false">IFERROR(VLOOKUP(A195,Pedido!$A:$C,3,0),0)</f>
        <v>0</v>
      </c>
      <c r="E195" s="5" t="n">
        <f aca="false">IFERROR(VLOOKUP(A195,Pedido!$A:$E,5,0),0)</f>
        <v>0</v>
      </c>
      <c r="F195" s="1" t="s">
        <v>7</v>
      </c>
      <c r="G195" s="1" t="s">
        <v>193</v>
      </c>
      <c r="H195" s="1" t="s">
        <v>32</v>
      </c>
      <c r="I195" s="1" t="s">
        <v>53</v>
      </c>
      <c r="J195" s="1" t="s">
        <v>498</v>
      </c>
      <c r="K195" s="1" t="n">
        <v>784</v>
      </c>
      <c r="L195" s="11" t="n">
        <v>0.580505917528981</v>
      </c>
      <c r="M195" s="1" t="n">
        <f aca="false">SUMIF(Relatorio_AK!$A:$A,A195,Relatorio_AK!$B:$B)</f>
        <v>784</v>
      </c>
      <c r="N195" s="1" t="str">
        <f aca="false">IF(M195=K195,"OK","DIF")</f>
        <v>OK</v>
      </c>
      <c r="O195" s="13" t="str">
        <f aca="false">IFERROR(VLOOKUP($A195,Lista_Starke!$A:$E,3,0),"NÃO ESTÁ NA LISTA")</f>
        <v>FORD: Ranger 2.2 16V Duratorq 13/...
FORD: Ranger 2.5 16V Duratorq 13/...
FORD: Ranger 3.2 20V Duratorq 13/...</v>
      </c>
      <c r="P195" s="12" t="str">
        <f aca="false">IFERROR(VLOOKUP($A195,Lista_Starke!$A:$E,2,0),"NÃO ESTÁ NA LISTA")</f>
        <v>CILINDRO MESTRE DE EMBREAGEM</v>
      </c>
    </row>
    <row r="196" customFormat="false" ht="15" hidden="false" customHeight="true" outlineLevel="0" collapsed="false">
      <c r="A196" s="10" t="s">
        <v>499</v>
      </c>
      <c r="B196" s="10" t="str">
        <f aca="false">IFERROR(VLOOKUP(A196,Pedido!$A:$B,2,0),"")</f>
        <v/>
      </c>
      <c r="C196" s="10" t="str">
        <f aca="false">IF(B196="","NÃO COMPRA","COMPRA")</f>
        <v>NÃO COMPRA</v>
      </c>
      <c r="D196" s="1" t="n">
        <f aca="false">IFERROR(VLOOKUP(A196,Pedido!$A:$C,3,0),0)</f>
        <v>0</v>
      </c>
      <c r="E196" s="5" t="n">
        <f aca="false">IFERROR(VLOOKUP(A196,Pedido!$A:$E,5,0),0)</f>
        <v>0</v>
      </c>
      <c r="F196" s="1" t="s">
        <v>7</v>
      </c>
      <c r="G196" s="1" t="s">
        <v>168</v>
      </c>
      <c r="H196" s="1" t="s">
        <v>131</v>
      </c>
      <c r="I196" s="1" t="s">
        <v>57</v>
      </c>
      <c r="J196" s="1" t="s">
        <v>500</v>
      </c>
      <c r="K196" s="1" t="n">
        <v>784</v>
      </c>
      <c r="L196" s="11" t="n">
        <v>0.581846186984684</v>
      </c>
      <c r="M196" s="1" t="n">
        <f aca="false">SUMIF(Relatorio_AK!$A:$A,A196,Relatorio_AK!$B:$B)</f>
        <v>784</v>
      </c>
      <c r="N196" s="1" t="str">
        <f aca="false">IF(M196=K196,"OK","DIF")</f>
        <v>OK</v>
      </c>
      <c r="O196" s="13" t="str">
        <f aca="false">IFERROR(VLOOKUP($A196,Lista_Starke!$A:$E,3,0),"NÃO ESTÁ NA LISTA")</f>
        <v>GM: Astra 1.8 99/...
GM: Astra 2.0 16V 99/...
GM: Astra 2.0 8V 99/...
GM: Corsa 1.0 8V 01/NOV 09
GM: Meriva 1.4 8V 09/...
GM: Meriva 1.8 8V 03/...
GM: Montana 1.4 8V 04/...
GM: Montana 1.8 8V 04/...
GM: Vectra 2.0 16V 97/...
GM: Vectra 2.0 8V 97/...
GM: Vectra 2.2 16V 99/04
GM: Vectra 2.2 8V 97/...
GM: Zafira 2.0 16V 01/...
GM: Zafira 2.0 8V 01/...</v>
      </c>
      <c r="P196" s="12" t="str">
        <f aca="false">IFERROR(VLOOKUP($A196,Lista_Starke!$A:$E,2,0),"NÃO ESTÁ NA LISTA")</f>
        <v>SAPATA DE FREIO</v>
      </c>
    </row>
    <row r="197" customFormat="false" ht="15" hidden="false" customHeight="true" outlineLevel="0" collapsed="false">
      <c r="A197" s="10" t="s">
        <v>501</v>
      </c>
      <c r="B197" s="10" t="str">
        <f aca="false">IFERROR(VLOOKUP(A197,Pedido!$A:$B,2,0),"")</f>
        <v/>
      </c>
      <c r="C197" s="10" t="str">
        <f aca="false">IF(B197="","NÃO COMPRA","COMPRA")</f>
        <v>NÃO COMPRA</v>
      </c>
      <c r="D197" s="1" t="n">
        <f aca="false">IFERROR(VLOOKUP(A197,Pedido!$A:$C,3,0),0)</f>
        <v>0</v>
      </c>
      <c r="E197" s="5" t="n">
        <f aca="false">IFERROR(VLOOKUP(A197,Pedido!$A:$E,5,0),0)</f>
        <v>0</v>
      </c>
      <c r="F197" s="1" t="s">
        <v>7</v>
      </c>
      <c r="G197" s="1" t="s">
        <v>502</v>
      </c>
      <c r="H197" s="1" t="s">
        <v>235</v>
      </c>
      <c r="I197" s="1" t="s">
        <v>42</v>
      </c>
      <c r="J197" s="1" t="s">
        <v>503</v>
      </c>
      <c r="K197" s="1" t="n">
        <v>784</v>
      </c>
      <c r="L197" s="11" t="n">
        <v>0.583186456440388</v>
      </c>
      <c r="M197" s="1" t="n">
        <f aca="false">SUMIF(Relatorio_AK!$A:$A,A197,Relatorio_AK!$B:$B)</f>
        <v>784</v>
      </c>
      <c r="N197" s="1" t="str">
        <f aca="false">IF(M197=K197,"OK","DIF")</f>
        <v>OK</v>
      </c>
      <c r="O197" s="13" t="str">
        <f aca="false">IFERROR(VLOOKUP($A197,Lista_Starke!$A:$E,3,0),"NÃO ESTÁ NA LISTA")</f>
        <v>RENAULT: Captur 2.0 16V F4R830 16/...
RENAULT: Duster 2.0 16V F4R830 12/…
RENAULT: Oroch 2.0 16V F4R830 15/...</v>
      </c>
      <c r="P197" s="12" t="str">
        <f aca="false">IFERROR(VLOOKUP($A197,Lista_Starke!$A:$E,2,0),"NÃO ESTÁ NA LISTA")</f>
        <v>RESFRIADOR DE ÓLEO MOTOR</v>
      </c>
    </row>
    <row r="198" customFormat="false" ht="15" hidden="false" customHeight="true" outlineLevel="0" collapsed="false">
      <c r="A198" s="10" t="s">
        <v>504</v>
      </c>
      <c r="B198" s="10" t="str">
        <f aca="false">IFERROR(VLOOKUP(A198,Pedido!$A:$B,2,0),"")</f>
        <v/>
      </c>
      <c r="C198" s="10" t="str">
        <f aca="false">IF(B198="","NÃO COMPRA","COMPRA")</f>
        <v>NÃO COMPRA</v>
      </c>
      <c r="D198" s="1" t="n">
        <f aca="false">IFERROR(VLOOKUP(A198,Pedido!$A:$C,3,0),0)</f>
        <v>0</v>
      </c>
      <c r="E198" s="5" t="n">
        <f aca="false">IFERROR(VLOOKUP(A198,Pedido!$A:$E,5,0),0)</f>
        <v>0</v>
      </c>
      <c r="F198" s="1" t="s">
        <v>7</v>
      </c>
      <c r="G198" s="1" t="s">
        <v>62</v>
      </c>
      <c r="H198" s="1" t="s">
        <v>32</v>
      </c>
      <c r="I198" s="1" t="s">
        <v>42</v>
      </c>
      <c r="J198" s="1" t="s">
        <v>505</v>
      </c>
      <c r="K198" s="1" t="n">
        <v>777</v>
      </c>
      <c r="L198" s="11" t="n">
        <v>0.584514759204522</v>
      </c>
      <c r="M198" s="1" t="n">
        <f aca="false">SUMIF(Relatorio_AK!$A:$A,A198,Relatorio_AK!$B:$B)</f>
        <v>777</v>
      </c>
      <c r="N198" s="1" t="str">
        <f aca="false">IF(M198=K198,"OK","DIF")</f>
        <v>OK</v>
      </c>
      <c r="O198" s="13" t="str">
        <f aca="false">IFERROR(VLOOKUP($A198,Lista_Starke!$A:$E,3,0),"NÃO ESTÁ NA LISTA")</f>
        <v>RENAULT: Megane 1.6 16V 06/...
RENAULT: Megane Grand Tour 1.6 16V 06/...</v>
      </c>
      <c r="P198" s="12" t="str">
        <f aca="false">IFERROR(VLOOKUP($A198,Lista_Starke!$A:$E,2,0),"NÃO ESTÁ NA LISTA")</f>
        <v>CILINDRO MESTRE DE EMBREAGEM</v>
      </c>
    </row>
    <row r="199" customFormat="false" ht="15" hidden="false" customHeight="true" outlineLevel="0" collapsed="false">
      <c r="A199" s="10" t="s">
        <v>506</v>
      </c>
      <c r="B199" s="10" t="str">
        <f aca="false">IFERROR(VLOOKUP(A199,Pedido!$A:$B,2,0),"")</f>
        <v/>
      </c>
      <c r="C199" s="10" t="str">
        <f aca="false">IF(B199="","NÃO COMPRA","COMPRA")</f>
        <v>NÃO COMPRA</v>
      </c>
      <c r="D199" s="1" t="n">
        <f aca="false">IFERROR(VLOOKUP(A199,Pedido!$A:$C,3,0),0)</f>
        <v>0</v>
      </c>
      <c r="E199" s="5" t="n">
        <f aca="false">IFERROR(VLOOKUP(A199,Pedido!$A:$E,5,0),0)</f>
        <v>0</v>
      </c>
      <c r="F199" s="1" t="s">
        <v>7</v>
      </c>
      <c r="G199" s="1" t="s">
        <v>289</v>
      </c>
      <c r="H199" s="1" t="s">
        <v>28</v>
      </c>
      <c r="I199" s="1" t="s">
        <v>77</v>
      </c>
      <c r="J199" s="1" t="s">
        <v>507</v>
      </c>
      <c r="K199" s="1" t="n">
        <v>775</v>
      </c>
      <c r="L199" s="11" t="n">
        <v>0.585839642913923</v>
      </c>
      <c r="M199" s="1" t="n">
        <f aca="false">SUMIF(Relatorio_AK!$A:$A,A199,Relatorio_AK!$B:$B)</f>
        <v>775</v>
      </c>
      <c r="N199" s="1" t="str">
        <f aca="false">IF(M199=K199,"OK","DIF")</f>
        <v>OK</v>
      </c>
      <c r="O199" s="13" t="str">
        <f aca="false">IFERROR(VLOOKUP($A199,Lista_Starke!$A:$E,3,0),"NÃO ESTÁ NA LISTA")</f>
        <v>CITROEN: C4 2.0 16V 03/...
CITROEN: Xsara Picasso 1.6 16V 03/...
CITROEN: Xsara Picasso 2.0 16V 03/...
PEUGEOT: 307 2.0 16V 00/...
PEUGEOT: 308 1.6 16V 07/...</v>
      </c>
      <c r="P199" s="12" t="str">
        <f aca="false">IFERROR(VLOOKUP($A199,Lista_Starke!$A:$E,2,0),"NÃO ESTÁ NA LISTA")</f>
        <v>CILINDRO AUXILIAR DE EMBREAGEM</v>
      </c>
    </row>
    <row r="200" customFormat="false" ht="15" hidden="false" customHeight="true" outlineLevel="0" collapsed="false">
      <c r="A200" s="10" t="s">
        <v>508</v>
      </c>
      <c r="B200" s="10" t="str">
        <f aca="false">IFERROR(VLOOKUP(A200,Pedido!$A:$B,2,0),"")</f>
        <v/>
      </c>
      <c r="C200" s="10" t="str">
        <f aca="false">IF(B200="","NÃO COMPRA","COMPRA")</f>
        <v>NÃO COMPRA</v>
      </c>
      <c r="D200" s="1" t="n">
        <f aca="false">IFERROR(VLOOKUP(A200,Pedido!$A:$C,3,0),0)</f>
        <v>0</v>
      </c>
      <c r="E200" s="5" t="n">
        <f aca="false">IFERROR(VLOOKUP(A200,Pedido!$A:$E,5,0),0)</f>
        <v>0</v>
      </c>
      <c r="F200" s="1" t="s">
        <v>7</v>
      </c>
      <c r="G200" s="1" t="s">
        <v>509</v>
      </c>
      <c r="H200" s="1" t="s">
        <v>197</v>
      </c>
      <c r="I200" s="1" t="s">
        <v>510</v>
      </c>
      <c r="J200" s="1" t="s">
        <v>511</v>
      </c>
      <c r="K200" s="1" t="n">
        <v>774</v>
      </c>
      <c r="L200" s="11" t="n">
        <v>0.587162817095957</v>
      </c>
      <c r="M200" s="1" t="n">
        <f aca="false">SUMIF(Relatorio_AK!$A:$A,A200,Relatorio_AK!$B:$B)</f>
        <v>774</v>
      </c>
      <c r="N200" s="1" t="str">
        <f aca="false">IF(M200=K200,"OK","DIF")</f>
        <v>OK</v>
      </c>
      <c r="O200" s="13" t="str">
        <f aca="false">IFERROR(VLOOKUP($A200,Lista_Starke!$A:$E,3,0),"NÃO ESTÁ NA LISTA")</f>
        <v>BMW: 116i (F20) 1.6 N13B16A 11/...
BMW: 116i (F21) 1.6 N13B16A 11/...
BMW: 118i (F20) 1.6 N13B16A 10/...
BMW: 118i (F20) 1.6 N13B16A 15/...
BMW: 118i (F21) 1.6 N13B16A 12/...
BMW: 118i (F21) 1.6 N13B16A 15/...
BMW: 120i (F20) 1.6 N13B16A 15/...
BMW: 120i (F21) 1.6 N13B16A 15/...
BMW: 316i (F30/F80) 1.6 N13B16A 12/16
BMW: 320i (F30/F80) 1.6 N13B16A 12/16
CITROEN: C3 / C3 Picasso 1.4 16V / 1.6 16V EP EP3 / EP6 09/…
CITROEN: C4 / C4 Picasso 1.6 16V / 1.6 16V THP EP6 / EP6DT 09/…
CITROEN: C4 Lounge 1.6 16V THP EP6DT / EP6DTS 13/…
CITROEN: DS3 1.6 16V THP EP6DT / EP6DTS 12/…
CITROEN: DS4 1.6 16V THP EP6DT / EP6DTS 12/…
CITROEN: DS5 1.6 16V THP EP6DT / EP6DTS 12/…
MINI: Cooper 1.6 16V N12B16A / N16B16AM 06/09
MINI: Cooper 1.6 16V N16B16AU 10/…
MINI: Cooper S 1.6 16V Turbo N12B16A / N14B16C 06/…
MINI: Cooper S 1.6 16V Turbo N16B16AM 10/…
MINI: Cooper S 1.6 16V Turbo N18B16AMO 09/…
MINI: Cooper S 1.6 16V W11B16A-163 07/09
MINI: One 1.4 16V N12B14A 07/09
MINI: One 1.6 16V N16B16K / N16B16AU 09/…
MINI: One 1.6 16V N16BAU 10/…
PEUGEOT: 2008 1.6 16V EP6 15/…
PEUGEOT: 2008 1.6 16V THP EP6DT / EPDDTS 15/…
PEUGEOT: 207 1.4 16V / 1.6 16V EP3 / EP6 07/…
PEUGEOT: 207 1.6 16V THP EP6DT / EPDDTS 07/…
PEUGEOT: 208 1.4 16V / 1.6 16V EP3 / EP6 13/…
PEUGEOT: 3008 1.6 16V THP EP6DT / EPDDTS 11/…
PEUGEOT: 308 1.6 16V EP6 07/…
PEUGEOT: 308 1.6 16V THP EP6DT / EPDDTS 07/…
PEUGEOT: 408 1.6 16V THP EP6DT / EPDDTS 11/…
PEUGEOT: 508 1.6 16V THP EP6DT / EPDDTS 11/…
PEUGEOT: RCZ 1.6 16V THP EP6DT / EPDDTS 11/…</v>
      </c>
      <c r="P200" s="12" t="str">
        <f aca="false">IFERROR(VLOOKUP($A200,Lista_Starke!$A:$E,2,0),"NÃO ESTÁ NA LISTA")</f>
        <v>BOMBA D'ÁGUA</v>
      </c>
    </row>
    <row r="201" customFormat="false" ht="15" hidden="false" customHeight="true" outlineLevel="0" collapsed="false">
      <c r="A201" s="10" t="s">
        <v>512</v>
      </c>
      <c r="B201" s="10" t="str">
        <f aca="false">IFERROR(VLOOKUP(A201,Pedido!$A:$B,2,0),"")</f>
        <v/>
      </c>
      <c r="C201" s="10" t="str">
        <f aca="false">IF(B201="","NÃO COMPRA","COMPRA")</f>
        <v>NÃO COMPRA</v>
      </c>
      <c r="D201" s="1" t="n">
        <f aca="false">IFERROR(VLOOKUP(A201,Pedido!$A:$C,3,0),0)</f>
        <v>0</v>
      </c>
      <c r="E201" s="5" t="n">
        <f aca="false">IFERROR(VLOOKUP(A201,Pedido!$A:$E,5,0),0)</f>
        <v>0</v>
      </c>
      <c r="F201" s="1" t="s">
        <v>7</v>
      </c>
      <c r="G201" s="1" t="s">
        <v>65</v>
      </c>
      <c r="H201" s="1" t="s">
        <v>35</v>
      </c>
      <c r="I201" s="1" t="s">
        <v>46</v>
      </c>
      <c r="J201" s="1" t="s">
        <v>513</v>
      </c>
      <c r="K201" s="1" t="n">
        <v>773</v>
      </c>
      <c r="L201" s="11" t="n">
        <v>0.588484281750624</v>
      </c>
      <c r="M201" s="1" t="n">
        <f aca="false">SUMIF(Relatorio_AK!$A:$A,A201,Relatorio_AK!$B:$B)</f>
        <v>773</v>
      </c>
      <c r="N201" s="1" t="str">
        <f aca="false">IF(M201=K201,"OK","DIF")</f>
        <v>OK</v>
      </c>
      <c r="O201" s="13" t="str">
        <f aca="false">IFERROR(VLOOKUP($A201,Lista_Starke!$A:$E,3,0),"NÃO ESTÁ NA LISTA")</f>
        <v>FIAT: Linea 1.8 16V Etorq 10/16
FIAT: Linea 1.9 16V 08/10
FIAT: Linea T-Jet 1.4 16V Turbo 08/12
FIAT: Punto 1.4 8V 07/17
FIAT: Punto 1.6 16V Etorq 14/17
FIAT: Punto 1.8 6V Etorq 10/16
FIAT: Punto T-Jet 1.4 16V Turbo 09/16</v>
      </c>
      <c r="P201" s="12" t="str">
        <f aca="false">IFERROR(VLOOKUP($A201,Lista_Starke!$A:$E,2,0),"NÃO ESTÁ NA LISTA")</f>
        <v>CILINDRO MESTRE DE FREIO</v>
      </c>
    </row>
    <row r="202" customFormat="false" ht="15" hidden="false" customHeight="true" outlineLevel="0" collapsed="false">
      <c r="A202" s="10" t="s">
        <v>514</v>
      </c>
      <c r="B202" s="10" t="str">
        <f aca="false">IFERROR(VLOOKUP(A202,Pedido!$A:$B,2,0),"")</f>
        <v/>
      </c>
      <c r="C202" s="10" t="str">
        <f aca="false">IF(B202="","NÃO COMPRA","COMPRA")</f>
        <v>NÃO COMPRA</v>
      </c>
      <c r="D202" s="1" t="n">
        <f aca="false">IFERROR(VLOOKUP(A202,Pedido!$A:$C,3,0),0)</f>
        <v>0</v>
      </c>
      <c r="E202" s="5" t="n">
        <f aca="false">IFERROR(VLOOKUP(A202,Pedido!$A:$E,5,0),0)</f>
        <v>0</v>
      </c>
      <c r="F202" s="1" t="s">
        <v>7</v>
      </c>
      <c r="G202" s="1" t="s">
        <v>515</v>
      </c>
      <c r="H202" s="1" t="s">
        <v>88</v>
      </c>
      <c r="I202" s="1" t="s">
        <v>396</v>
      </c>
      <c r="J202" s="1" t="s">
        <v>516</v>
      </c>
      <c r="K202" s="1" t="n">
        <v>773</v>
      </c>
      <c r="L202" s="11" t="n">
        <v>0.589805746405291</v>
      </c>
      <c r="M202" s="1" t="n">
        <f aca="false">SUMIF(Relatorio_AK!$A:$A,A202,Relatorio_AK!$B:$B)</f>
        <v>773</v>
      </c>
      <c r="N202" s="1" t="str">
        <f aca="false">IF(M202=K202,"OK","DIF")</f>
        <v>OK</v>
      </c>
      <c r="O202" s="13" t="str">
        <f aca="false">IFERROR(VLOOKUP($A202,Lista_Starke!$A:$E,3,0),"NÃO ESTÁ NA LISTA")</f>
        <v>GM: Tracker 2.0 8V Turbo 02/04
SUZUKI: Grand Vitara 2.0 16V 98/03</v>
      </c>
      <c r="P202" s="12" t="str">
        <f aca="false">IFERROR(VLOOKUP($A202,Lista_Starke!$A:$E,2,0),"NÃO ESTÁ NA LISTA")</f>
        <v>CILINDRO DE RODA LD</v>
      </c>
    </row>
    <row r="203" customFormat="false" ht="15" hidden="false" customHeight="true" outlineLevel="0" collapsed="false">
      <c r="A203" s="10" t="s">
        <v>517</v>
      </c>
      <c r="B203" s="10" t="str">
        <f aca="false">IFERROR(VLOOKUP(A203,Pedido!$A:$B,2,0),"")</f>
        <v/>
      </c>
      <c r="C203" s="10" t="str">
        <f aca="false">IF(B203="","NÃO COMPRA","COMPRA")</f>
        <v>NÃO COMPRA</v>
      </c>
      <c r="D203" s="1" t="n">
        <f aca="false">IFERROR(VLOOKUP(A203,Pedido!$A:$C,3,0),0)</f>
        <v>0</v>
      </c>
      <c r="E203" s="5" t="n">
        <f aca="false">IFERROR(VLOOKUP(A203,Pedido!$A:$E,5,0),0)</f>
        <v>0</v>
      </c>
      <c r="F203" s="1" t="s">
        <v>7</v>
      </c>
      <c r="G203" s="1" t="s">
        <v>518</v>
      </c>
      <c r="H203" s="1" t="s">
        <v>88</v>
      </c>
      <c r="I203" s="1" t="s">
        <v>396</v>
      </c>
      <c r="J203" s="1" t="s">
        <v>519</v>
      </c>
      <c r="K203" s="1" t="n">
        <v>769</v>
      </c>
      <c r="L203" s="11" t="n">
        <v>0.59112037295049</v>
      </c>
      <c r="M203" s="1" t="n">
        <f aca="false">SUMIF(Relatorio_AK!$A:$A,A203,Relatorio_AK!$B:$B)</f>
        <v>769</v>
      </c>
      <c r="N203" s="1" t="str">
        <f aca="false">IF(M203=K203,"OK","DIF")</f>
        <v>OK</v>
      </c>
      <c r="O203" s="13" t="str">
        <f aca="false">IFERROR(VLOOKUP($A203,Lista_Starke!$A:$E,3,0),"NÃO ESTÁ NA LISTA")</f>
        <v>GM: Tracker 2.0 8V Turbo 02/04
SUZUKI: Grand Vitara 2.0 16V 98/03</v>
      </c>
      <c r="P203" s="12" t="str">
        <f aca="false">IFERROR(VLOOKUP($A203,Lista_Starke!$A:$E,2,0),"NÃO ESTÁ NA LISTA")</f>
        <v>CILINDRO DE RODA LE</v>
      </c>
    </row>
    <row r="204" customFormat="false" ht="15" hidden="false" customHeight="true" outlineLevel="0" collapsed="false">
      <c r="A204" s="10" t="s">
        <v>520</v>
      </c>
      <c r="B204" s="10" t="str">
        <f aca="false">IFERROR(VLOOKUP(A204,Pedido!$A:$B,2,0),"")</f>
        <v/>
      </c>
      <c r="C204" s="10" t="str">
        <f aca="false">IF(B204="","NÃO COMPRA","COMPRA")</f>
        <v>NÃO COMPRA</v>
      </c>
      <c r="D204" s="1" t="n">
        <f aca="false">IFERROR(VLOOKUP(A204,Pedido!$A:$C,3,0),0)</f>
        <v>0</v>
      </c>
      <c r="E204" s="5" t="n">
        <f aca="false">IFERROR(VLOOKUP(A204,Pedido!$A:$E,5,0),0)</f>
        <v>0</v>
      </c>
      <c r="F204" s="1" t="s">
        <v>7</v>
      </c>
      <c r="G204" s="1" t="s">
        <v>336</v>
      </c>
      <c r="H204" s="1" t="s">
        <v>88</v>
      </c>
      <c r="I204" s="1" t="s">
        <v>215</v>
      </c>
      <c r="J204" s="1" t="s">
        <v>521</v>
      </c>
      <c r="K204" s="1" t="n">
        <v>766</v>
      </c>
      <c r="L204" s="11" t="n">
        <v>0.592429870913588</v>
      </c>
      <c r="M204" s="1" t="n">
        <f aca="false">SUMIF(Relatorio_AK!$A:$A,A204,Relatorio_AK!$B:$B)</f>
        <v>766</v>
      </c>
      <c r="N204" s="1" t="str">
        <f aca="false">IF(M204=K204,"OK","DIF")</f>
        <v>OK</v>
      </c>
      <c r="O204" s="13" t="str">
        <f aca="false">IFERROR(VLOOKUP($A204,Lista_Starke!$A:$E,3,0),"NÃO ESTÁ NA LISTA")</f>
        <v>NISSAN: Frontier 2.3 16V 16/...
NISSAN: Frontier 2.5 16V Turbo Diesel YD25 08/…</v>
      </c>
      <c r="P204" s="12" t="str">
        <f aca="false">IFERROR(VLOOKUP($A204,Lista_Starke!$A:$E,2,0),"NÃO ESTÁ NA LISTA")</f>
        <v>CILINDRO DE RODA LE/LD</v>
      </c>
    </row>
    <row r="205" customFormat="false" ht="15" hidden="false" customHeight="true" outlineLevel="0" collapsed="false">
      <c r="A205" s="10" t="s">
        <v>522</v>
      </c>
      <c r="B205" s="10" t="str">
        <f aca="false">IFERROR(VLOOKUP(A205,Pedido!$A:$B,2,0),"")</f>
        <v>SCC 2063</v>
      </c>
      <c r="C205" s="10" t="str">
        <f aca="false">IF(B205="","NÃO COMPRA","COMPRA")</f>
        <v>COMPRA</v>
      </c>
      <c r="D205" s="1" t="n">
        <f aca="false">IFERROR(VLOOKUP(A205,Pedido!$A:$C,3,0),0)</f>
        <v>8</v>
      </c>
      <c r="E205" s="5" t="n">
        <f aca="false">IFERROR(VLOOKUP(A205,Pedido!$A:$E,5,0),0)</f>
        <v>660.24</v>
      </c>
      <c r="F205" s="1" t="s">
        <v>7</v>
      </c>
      <c r="G205" s="1" t="s">
        <v>297</v>
      </c>
      <c r="H205" s="1" t="s">
        <v>32</v>
      </c>
      <c r="I205" s="1" t="s">
        <v>255</v>
      </c>
      <c r="J205" s="1" t="s">
        <v>523</v>
      </c>
      <c r="K205" s="1" t="n">
        <v>764</v>
      </c>
      <c r="L205" s="11" t="n">
        <v>0.593735949821952</v>
      </c>
      <c r="M205" s="1" t="n">
        <f aca="false">SUMIF(Relatorio_AK!$A:$A,A205,Relatorio_AK!$B:$B)</f>
        <v>764</v>
      </c>
      <c r="N205" s="1" t="str">
        <f aca="false">IF(M205=K205,"OK","DIF")</f>
        <v>OK</v>
      </c>
      <c r="O205" s="12" t="str">
        <f aca="false">IFERROR(VLOOKUP($A205,Lista_Starke!$A:$E,3,0),"NÃO ESTÁ NA LISTA")</f>
        <v>MITSUBISHI: L200 2.5 8V Turbo 92/07</v>
      </c>
      <c r="P205" s="12" t="str">
        <f aca="false">IFERROR(VLOOKUP($A205,Lista_Starke!$A:$E,2,0),"NÃO ESTÁ NA LISTA")</f>
        <v>CILINDRO MESTRE DE EMBREAGEM</v>
      </c>
    </row>
    <row r="206" customFormat="false" ht="15" hidden="false" customHeight="true" outlineLevel="0" collapsed="false">
      <c r="A206" s="10" t="s">
        <v>524</v>
      </c>
      <c r="B206" s="10" t="str">
        <f aca="false">IFERROR(VLOOKUP(A206,Pedido!$A:$B,2,0),"")</f>
        <v/>
      </c>
      <c r="C206" s="10" t="str">
        <f aca="false">IF(B206="","NÃO COMPRA","COMPRA")</f>
        <v>NÃO COMPRA</v>
      </c>
      <c r="D206" s="1" t="n">
        <f aca="false">IFERROR(VLOOKUP(A206,Pedido!$A:$C,3,0),0)</f>
        <v>0</v>
      </c>
      <c r="E206" s="5" t="n">
        <f aca="false">IFERROR(VLOOKUP(A206,Pedido!$A:$E,5,0),0)</f>
        <v>0</v>
      </c>
      <c r="F206" s="1" t="s">
        <v>7</v>
      </c>
      <c r="G206" s="1" t="s">
        <v>525</v>
      </c>
      <c r="H206" s="1" t="s">
        <v>88</v>
      </c>
      <c r="I206" s="1" t="s">
        <v>29</v>
      </c>
      <c r="J206" s="1" t="s">
        <v>526</v>
      </c>
      <c r="K206" s="1" t="n">
        <v>758</v>
      </c>
      <c r="L206" s="11" t="n">
        <v>0.595031771566115</v>
      </c>
      <c r="M206" s="1" t="n">
        <f aca="false">SUMIF(Relatorio_AK!$A:$A,A206,Relatorio_AK!$B:$B)</f>
        <v>758</v>
      </c>
      <c r="N206" s="1" t="str">
        <f aca="false">IF(M206=K206,"OK","DIF")</f>
        <v>OK</v>
      </c>
      <c r="O206" s="13" t="str">
        <f aca="false">IFERROR(VLOOKUP($A206,Lista_Starke!$A:$E,3,0),"NÃO ESTÁ NA LISTA")</f>
        <v>HYUNDAI: HB20 1.0 12V 3 cil 12/...
HYUNDAI: HB20 1.6 16V 12/...</v>
      </c>
      <c r="P206" s="12" t="str">
        <f aca="false">IFERROR(VLOOKUP($A206,Lista_Starke!$A:$E,2,0),"NÃO ESTÁ NA LISTA")</f>
        <v>CILINDRO DE RODA LE/LD</v>
      </c>
    </row>
    <row r="207" customFormat="false" ht="15" hidden="false" customHeight="true" outlineLevel="0" collapsed="false">
      <c r="A207" s="10" t="s">
        <v>527</v>
      </c>
      <c r="B207" s="10" t="str">
        <f aca="false">IFERROR(VLOOKUP(A207,Pedido!$A:$B,2,0),"")</f>
        <v/>
      </c>
      <c r="C207" s="10" t="str">
        <f aca="false">IF(B207="","NÃO COMPRA","COMPRA")</f>
        <v>NÃO COMPRA</v>
      </c>
      <c r="D207" s="1" t="n">
        <f aca="false">IFERROR(VLOOKUP(A207,Pedido!$A:$C,3,0),0)</f>
        <v>0</v>
      </c>
      <c r="E207" s="5" t="n">
        <f aca="false">IFERROR(VLOOKUP(A207,Pedido!$A:$E,5,0),0)</f>
        <v>0</v>
      </c>
      <c r="F207" s="1" t="s">
        <v>7</v>
      </c>
      <c r="G207" s="1" t="s">
        <v>314</v>
      </c>
      <c r="H207" s="1" t="s">
        <v>131</v>
      </c>
      <c r="I207" s="1" t="s">
        <v>42</v>
      </c>
      <c r="J207" s="1" t="s">
        <v>528</v>
      </c>
      <c r="K207" s="1" t="n">
        <v>756</v>
      </c>
      <c r="L207" s="11" t="n">
        <v>0.596324174255543</v>
      </c>
      <c r="M207" s="1" t="n">
        <f aca="false">SUMIF(Relatorio_AK!$A:$A,A207,Relatorio_AK!$B:$B)</f>
        <v>756</v>
      </c>
      <c r="N207" s="1" t="str">
        <f aca="false">IF(M207=K207,"OK","DIF")</f>
        <v>OK</v>
      </c>
      <c r="O207" s="13" t="str">
        <f aca="false">IFERROR(VLOOKUP($A207,Lista_Starke!$A:$E,3,0),"NÃO ESTÁ NA LISTA")</f>
        <v>RENAULT: Logan 1.0 12V 3 cil 17/...
RENAULT: Logan 1.0 16V 07/13
RENAULT: Logan 1.0 16V 14/...
RENAULT: Logan 1.6 8V / 1.6 16V 14/...
RENAULT: Sandero 1.0 12V 3 cil 17/...
RENAULT: Sandero 1.0 16V 15/...
RENAULT: Sandero 1.6 8V / 1.6 16V 14/...</v>
      </c>
      <c r="P207" s="12" t="str">
        <f aca="false">IFERROR(VLOOKUP($A207,Lista_Starke!$A:$E,2,0),"NÃO ESTÁ NA LISTA")</f>
        <v>SAPATA DE FREIO</v>
      </c>
    </row>
    <row r="208" customFormat="false" ht="15" hidden="false" customHeight="true" outlineLevel="0" collapsed="false">
      <c r="A208" s="10" t="s">
        <v>529</v>
      </c>
      <c r="B208" s="10" t="str">
        <f aca="false">IFERROR(VLOOKUP(A208,Pedido!$A:$B,2,0),"")</f>
        <v/>
      </c>
      <c r="C208" s="10" t="str">
        <f aca="false">IF(B208="","NÃO COMPRA","COMPRA")</f>
        <v>NÃO COMPRA</v>
      </c>
      <c r="D208" s="1" t="n">
        <f aca="false">IFERROR(VLOOKUP(A208,Pedido!$A:$C,3,0),0)</f>
        <v>0</v>
      </c>
      <c r="E208" s="5" t="n">
        <f aca="false">IFERROR(VLOOKUP(A208,Pedido!$A:$E,5,0),0)</f>
        <v>0</v>
      </c>
      <c r="F208" s="1" t="s">
        <v>7</v>
      </c>
      <c r="G208" s="1" t="s">
        <v>530</v>
      </c>
      <c r="H208" s="1" t="s">
        <v>28</v>
      </c>
      <c r="I208" s="1" t="s">
        <v>373</v>
      </c>
      <c r="J208" s="1" t="s">
        <v>531</v>
      </c>
      <c r="K208" s="1" t="n">
        <v>746</v>
      </c>
      <c r="L208" s="11" t="n">
        <v>0.597599481671302</v>
      </c>
      <c r="M208" s="1" t="n">
        <f aca="false">SUMIF(Relatorio_AK!$A:$A,A208,Relatorio_AK!$B:$B)</f>
        <v>746</v>
      </c>
      <c r="N208" s="1" t="str">
        <f aca="false">IF(M208=K208,"OK","DIF")</f>
        <v>OK</v>
      </c>
      <c r="O208" s="13" t="str">
        <f aca="false">IFERROR(VLOOKUP($A208,Lista_Starke!$A:$E,3,0),"NÃO ESTÁ NA LISTA")</f>
        <v>MERCEDES-BENZ: Sprinter 310  97/00
MERCEDES-BENZ: Sprinter 311  01/04
MERCEDES-BENZ: Sprinter 311  02/04
MERCEDES-BENZ: Sprinter 311  09/16
MERCEDES-BENZ: Sprinter 312  00/02
MERCEDES-BENZ: Sprinter 313  05/12
MERCEDES-BENZ: Sprinter 313  17/18
MERCEDES-BENZ: Sprinter 412  00/02
MERCEDES-BENZ: Sprinter 413  03/12
MERCEDES-BENZ: Sprinter 415  12/18
MERCEDES-BENZ: Sprinter 416  05/16
MERCEDES-BENZ: Sprinter 515  12/18</v>
      </c>
      <c r="P208" s="12" t="str">
        <f aca="false">IFERROR(VLOOKUP($A208,Lista_Starke!$A:$E,2,0),"NÃO ESTÁ NA LISTA")</f>
        <v>CILINDRO AUXILIAR DE EMBREAGEM</v>
      </c>
    </row>
    <row r="209" customFormat="false" ht="15" hidden="false" customHeight="true" outlineLevel="0" collapsed="false">
      <c r="A209" s="10" t="s">
        <v>532</v>
      </c>
      <c r="B209" s="10" t="str">
        <f aca="false">IFERROR(VLOOKUP(A209,Pedido!$A:$B,2,0),"")</f>
        <v/>
      </c>
      <c r="C209" s="10" t="str">
        <f aca="false">IF(B209="","NÃO COMPRA","COMPRA")</f>
        <v>NÃO COMPRA</v>
      </c>
      <c r="D209" s="1" t="n">
        <f aca="false">IFERROR(VLOOKUP(A209,Pedido!$A:$C,3,0),0)</f>
        <v>0</v>
      </c>
      <c r="E209" s="5" t="n">
        <f aca="false">IFERROR(VLOOKUP(A209,Pedido!$A:$E,5,0),0)</f>
        <v>0</v>
      </c>
      <c r="F209" s="1" t="s">
        <v>7</v>
      </c>
      <c r="G209" s="1" t="s">
        <v>377</v>
      </c>
      <c r="H209" s="1" t="s">
        <v>197</v>
      </c>
      <c r="I209" s="1" t="s">
        <v>53</v>
      </c>
      <c r="K209" s="1" t="n">
        <v>743</v>
      </c>
      <c r="L209" s="11" t="n">
        <v>0.59886966050496</v>
      </c>
      <c r="M209" s="1" t="n">
        <f aca="false">SUMIF(Relatorio_AK!$A:$A,A209,Relatorio_AK!$B:$B)</f>
        <v>743</v>
      </c>
      <c r="N209" s="1" t="str">
        <f aca="false">IF(M209=K209,"OK","DIF")</f>
        <v>OK</v>
      </c>
      <c r="O209" s="13" t="str">
        <f aca="false">IFERROR(VLOOKUP($A209,Lista_Starke!$A:$E,3,0),"NÃO ESTÁ NA LISTA")</f>
        <v>FORD: Ecosport 1.5 12V Dragon 18/...
FORD: Ka 1.5 12V Dragon 19/...</v>
      </c>
      <c r="P209" s="12" t="str">
        <f aca="false">IFERROR(VLOOKUP($A209,Lista_Starke!$A:$E,2,0),"NÃO ESTÁ NA LISTA")</f>
        <v>BOMBA D'ÁGUA</v>
      </c>
    </row>
    <row r="210" customFormat="false" ht="15" hidden="false" customHeight="true" outlineLevel="0" collapsed="false">
      <c r="A210" s="10" t="s">
        <v>533</v>
      </c>
      <c r="B210" s="10" t="str">
        <f aca="false">IFERROR(VLOOKUP(A210,Pedido!$A:$B,2,0),"")</f>
        <v/>
      </c>
      <c r="C210" s="10" t="str">
        <f aca="false">IF(B210="","NÃO COMPRA","COMPRA")</f>
        <v>NÃO COMPRA</v>
      </c>
      <c r="D210" s="1" t="n">
        <f aca="false">IFERROR(VLOOKUP(A210,Pedido!$A:$C,3,0),0)</f>
        <v>0</v>
      </c>
      <c r="E210" s="5" t="n">
        <f aca="false">IFERROR(VLOOKUP(A210,Pedido!$A:$E,5,0),0)</f>
        <v>0</v>
      </c>
      <c r="F210" s="1" t="s">
        <v>7</v>
      </c>
      <c r="G210" s="1" t="s">
        <v>52</v>
      </c>
      <c r="H210" s="1" t="s">
        <v>35</v>
      </c>
      <c r="I210" s="1" t="s">
        <v>53</v>
      </c>
      <c r="J210" s="1" t="s">
        <v>534</v>
      </c>
      <c r="K210" s="1" t="n">
        <v>733</v>
      </c>
      <c r="L210" s="11" t="n">
        <v>0.600122744064948</v>
      </c>
      <c r="M210" s="1" t="n">
        <f aca="false">SUMIF(Relatorio_AK!$A:$A,A210,Relatorio_AK!$B:$B)</f>
        <v>733</v>
      </c>
      <c r="N210" s="1" t="str">
        <f aca="false">IF(M210=K210,"OK","DIF")</f>
        <v>OK</v>
      </c>
      <c r="O210" s="13" t="str">
        <f aca="false">IFERROR(VLOOKUP($A210,Lista_Starke!$A:$E,3,0),"NÃO ESTÁ NA LISTA")</f>
        <v>FORD: Ecosport 1.0 8V Zetec Rocam 07/12
FORD: Ecosport 1.6 8V Zetec Rocam 07/12
FORD: Fiesta 1.0 8V Zetec Rocam 07/12
FORD: Fiesta 1.6 8V Zetec Rocam 07/12</v>
      </c>
      <c r="P210" s="12" t="str">
        <f aca="false">IFERROR(VLOOKUP($A210,Lista_Starke!$A:$E,2,0),"NÃO ESTÁ NA LISTA")</f>
        <v>CILINDRO MESTRE DE FREIO</v>
      </c>
    </row>
    <row r="211" customFormat="false" ht="15" hidden="false" customHeight="true" outlineLevel="0" collapsed="false">
      <c r="A211" s="10" t="s">
        <v>535</v>
      </c>
      <c r="B211" s="10" t="str">
        <f aca="false">IFERROR(VLOOKUP(A211,Pedido!$A:$B,2,0),"")</f>
        <v/>
      </c>
      <c r="C211" s="10" t="str">
        <f aca="false">IF(B211="","NÃO COMPRA","COMPRA")</f>
        <v>NÃO COMPRA</v>
      </c>
      <c r="D211" s="1" t="n">
        <f aca="false">IFERROR(VLOOKUP(A211,Pedido!$A:$C,3,0),0)</f>
        <v>0</v>
      </c>
      <c r="E211" s="5" t="n">
        <f aca="false">IFERROR(VLOOKUP(A211,Pedido!$A:$E,5,0),0)</f>
        <v>0</v>
      </c>
      <c r="F211" s="1" t="s">
        <v>7</v>
      </c>
      <c r="G211" s="1" t="s">
        <v>536</v>
      </c>
      <c r="H211" s="1" t="s">
        <v>131</v>
      </c>
      <c r="I211" s="1" t="s">
        <v>215</v>
      </c>
      <c r="J211" s="1" t="s">
        <v>537</v>
      </c>
      <c r="K211" s="1" t="n">
        <v>727</v>
      </c>
      <c r="L211" s="11" t="n">
        <v>0.601365570460734</v>
      </c>
      <c r="M211" s="1" t="n">
        <f aca="false">SUMIF(Relatorio_AK!$A:$A,A211,Relatorio_AK!$B:$B)</f>
        <v>727</v>
      </c>
      <c r="N211" s="1" t="str">
        <f aca="false">IF(M211=K211,"OK","DIF")</f>
        <v>OK</v>
      </c>
      <c r="O211" s="13" t="str">
        <f aca="false">IFERROR(VLOOKUP($A211,Lista_Starke!$A:$E,3,0),"NÃO ESTÁ NA LISTA")</f>
        <v>NISSAN: March 1.0 16V 11/...
NISSAN: March 1.6 16V 11/...
NISSAN: Versa 1.6 16V 11/...</v>
      </c>
      <c r="P211" s="12" t="str">
        <f aca="false">IFERROR(VLOOKUP($A211,Lista_Starke!$A:$E,2,0),"NÃO ESTÁ NA LISTA")</f>
        <v>SAPATA DE FREIO</v>
      </c>
    </row>
    <row r="212" customFormat="false" ht="15" hidden="false" customHeight="true" outlineLevel="0" collapsed="false">
      <c r="A212" s="10" t="s">
        <v>538</v>
      </c>
      <c r="B212" s="10" t="str">
        <f aca="false">IFERROR(VLOOKUP(A212,Pedido!$A:$B,2,0),"")</f>
        <v/>
      </c>
      <c r="C212" s="10" t="str">
        <f aca="false">IF(B212="","NÃO COMPRA","COMPRA")</f>
        <v>NÃO COMPRA</v>
      </c>
      <c r="D212" s="1" t="n">
        <f aca="false">IFERROR(VLOOKUP(A212,Pedido!$A:$C,3,0),0)</f>
        <v>0</v>
      </c>
      <c r="E212" s="5" t="n">
        <f aca="false">IFERROR(VLOOKUP(A212,Pedido!$A:$E,5,0),0)</f>
        <v>0</v>
      </c>
      <c r="F212" s="1" t="s">
        <v>7</v>
      </c>
      <c r="G212" s="1" t="s">
        <v>176</v>
      </c>
      <c r="H212" s="1" t="s">
        <v>35</v>
      </c>
      <c r="I212" s="1" t="s">
        <v>177</v>
      </c>
      <c r="K212" s="1" t="n">
        <v>722</v>
      </c>
      <c r="L212" s="11" t="n">
        <v>0.602599849219686</v>
      </c>
      <c r="M212" s="1" t="n">
        <f aca="false">SUMIF(Relatorio_AK!$A:$A,A212,Relatorio_AK!$B:$B)</f>
        <v>722</v>
      </c>
      <c r="N212" s="1" t="str">
        <f aca="false">IF(M212=K212,"OK","DIF")</f>
        <v>OK</v>
      </c>
      <c r="O212" s="12" t="str">
        <f aca="false">IFERROR(VLOOKUP($A212,Lista_Starke!$A:$E,3,0),"NÃO ESTÁ NA LISTA")</f>
        <v>TOYOTA: Corolla 1.6 16V / 1.8 16V 93/02</v>
      </c>
      <c r="P212" s="12" t="str">
        <f aca="false">IFERROR(VLOOKUP($A212,Lista_Starke!$A:$E,2,0),"NÃO ESTÁ NA LISTA")</f>
        <v>CILINDRO MESTRE DE FREIO</v>
      </c>
    </row>
    <row r="213" customFormat="false" ht="15" hidden="false" customHeight="true" outlineLevel="0" collapsed="false">
      <c r="A213" s="10" t="s">
        <v>539</v>
      </c>
      <c r="B213" s="10" t="str">
        <f aca="false">IFERROR(VLOOKUP(A213,Pedido!$A:$B,2,0),"")</f>
        <v/>
      </c>
      <c r="C213" s="10" t="str">
        <f aca="false">IF(B213="","NÃO COMPRA","COMPRA")</f>
        <v>NÃO COMPRA</v>
      </c>
      <c r="D213" s="1" t="n">
        <f aca="false">IFERROR(VLOOKUP(A213,Pedido!$A:$C,3,0),0)</f>
        <v>0</v>
      </c>
      <c r="E213" s="5" t="n">
        <f aca="false">IFERROR(VLOOKUP(A213,Pedido!$A:$E,5,0),0)</f>
        <v>0</v>
      </c>
      <c r="F213" s="1" t="s">
        <v>7</v>
      </c>
      <c r="G213" s="1" t="s">
        <v>168</v>
      </c>
      <c r="H213" s="1" t="s">
        <v>131</v>
      </c>
      <c r="I213" s="1" t="s">
        <v>57</v>
      </c>
      <c r="J213" s="1" t="s">
        <v>540</v>
      </c>
      <c r="K213" s="1" t="n">
        <v>720</v>
      </c>
      <c r="L213" s="11" t="n">
        <v>0.603830708923903</v>
      </c>
      <c r="M213" s="1" t="n">
        <f aca="false">SUMIF(Relatorio_AK!$A:$A,A213,Relatorio_AK!$B:$B)</f>
        <v>720</v>
      </c>
      <c r="N213" s="1" t="str">
        <f aca="false">IF(M213=K213,"OK","DIF")</f>
        <v>OK</v>
      </c>
      <c r="O213" s="13" t="str">
        <f aca="false">IFERROR(VLOOKUP($A213,Lista_Starke!$A:$E,3,0),"NÃO ESTÁ NA LISTA")</f>
        <v>GM: Cobalt 1.4 8V 17/...
GM: Cobalt 1.8 8V 17/...
GM: Spin 1.4 8V 12/...
GM: Spin 1.8 8V 12/...
GM: Tracker 1.4 Turbo 16/...
GM: Tracker 1.8 16V 14/20</v>
      </c>
      <c r="P213" s="12" t="str">
        <f aca="false">IFERROR(VLOOKUP($A213,Lista_Starke!$A:$E,2,0),"NÃO ESTÁ NA LISTA")</f>
        <v>SAPATA DE FREIO</v>
      </c>
    </row>
    <row r="214" customFormat="false" ht="15" hidden="false" customHeight="true" outlineLevel="0" collapsed="false">
      <c r="A214" s="10" t="s">
        <v>541</v>
      </c>
      <c r="B214" s="10" t="str">
        <f aca="false">IFERROR(VLOOKUP(A214,Pedido!$A:$B,2,0),"")</f>
        <v/>
      </c>
      <c r="C214" s="10" t="str">
        <f aca="false">IF(B214="","NÃO COMPRA","COMPRA")</f>
        <v>NÃO COMPRA</v>
      </c>
      <c r="D214" s="1" t="n">
        <f aca="false">IFERROR(VLOOKUP(A214,Pedido!$A:$C,3,0),0)</f>
        <v>0</v>
      </c>
      <c r="E214" s="5" t="n">
        <f aca="false">IFERROR(VLOOKUP(A214,Pedido!$A:$E,5,0),0)</f>
        <v>0</v>
      </c>
      <c r="F214" s="1" t="s">
        <v>7</v>
      </c>
      <c r="G214" s="1" t="s">
        <v>542</v>
      </c>
      <c r="H214" s="1" t="s">
        <v>35</v>
      </c>
      <c r="I214" s="1" t="s">
        <v>281</v>
      </c>
      <c r="J214" s="1" t="s">
        <v>543</v>
      </c>
      <c r="K214" s="1" t="n">
        <v>717</v>
      </c>
      <c r="L214" s="11" t="n">
        <v>0.60505644004602</v>
      </c>
      <c r="M214" s="1" t="n">
        <f aca="false">SUMIF(Relatorio_AK!$A:$A,A214,Relatorio_AK!$B:$B)</f>
        <v>717</v>
      </c>
      <c r="N214" s="1" t="str">
        <f aca="false">IF(M214=K214,"OK","DIF")</f>
        <v>OK</v>
      </c>
      <c r="O214" s="12" t="str">
        <f aca="false">IFERROR(VLOOKUP($A214,Lista_Starke!$A:$E,3,0),"NÃO ESTÁ NA LISTA")</f>
        <v>CITROEN: C3 1.0 / 1.4 / 1.6 02/...</v>
      </c>
      <c r="P214" s="12" t="str">
        <f aca="false">IFERROR(VLOOKUP($A214,Lista_Starke!$A:$E,2,0),"NÃO ESTÁ NA LISTA")</f>
        <v>CILINDRO MESTRE DE FREIO</v>
      </c>
    </row>
    <row r="215" customFormat="false" ht="15" hidden="false" customHeight="true" outlineLevel="0" collapsed="false">
      <c r="A215" s="10" t="s">
        <v>544</v>
      </c>
      <c r="B215" s="10" t="str">
        <f aca="false">IFERROR(VLOOKUP(A215,Pedido!$A:$B,2,0),"")</f>
        <v/>
      </c>
      <c r="C215" s="10" t="str">
        <f aca="false">IF(B215="","NÃO COMPRA","COMPRA")</f>
        <v>NÃO COMPRA</v>
      </c>
      <c r="D215" s="1" t="n">
        <f aca="false">IFERROR(VLOOKUP(A215,Pedido!$A:$C,3,0),0)</f>
        <v>0</v>
      </c>
      <c r="E215" s="5" t="n">
        <f aca="false">IFERROR(VLOOKUP(A215,Pedido!$A:$E,5,0),0)</f>
        <v>0</v>
      </c>
      <c r="F215" s="1" t="s">
        <v>7</v>
      </c>
      <c r="G215" s="1" t="s">
        <v>254</v>
      </c>
      <c r="H215" s="1" t="s">
        <v>35</v>
      </c>
      <c r="I215" s="1" t="s">
        <v>255</v>
      </c>
      <c r="K215" s="1" t="n">
        <v>716</v>
      </c>
      <c r="L215" s="11" t="n">
        <v>0.60628046164077</v>
      </c>
      <c r="M215" s="1" t="n">
        <f aca="false">SUMIF(Relatorio_AK!$A:$A,A215,Relatorio_AK!$B:$B)</f>
        <v>716</v>
      </c>
      <c r="N215" s="1" t="str">
        <f aca="false">IF(M215=K215,"OK","DIF")</f>
        <v>OK</v>
      </c>
      <c r="O215" s="13" t="str">
        <f aca="false">IFERROR(VLOOKUP($A215,Lista_Starke!$A:$E,3,0),"NÃO ESTÁ NA LISTA")</f>
        <v>MITSUBISHI: Pajero 2.4 16V Diesel 4N15 19/...
MITSUBISHI: Triton 2.4 16V Diesel 4N15 17/...
MITSUBISHI: Triton 2.4 16V Flex 4G64 13/…</v>
      </c>
      <c r="P215" s="12" t="str">
        <f aca="false">IFERROR(VLOOKUP($A215,Lista_Starke!$A:$E,2,0),"NÃO ESTÁ NA LISTA")</f>
        <v>CILINDRO MESTRE DE FREIO</v>
      </c>
    </row>
    <row r="216" customFormat="false" ht="15" hidden="false" customHeight="true" outlineLevel="0" collapsed="false">
      <c r="A216" s="10" t="s">
        <v>545</v>
      </c>
      <c r="B216" s="10" t="str">
        <f aca="false">IFERROR(VLOOKUP(A216,Pedido!$A:$B,2,0),"")</f>
        <v/>
      </c>
      <c r="C216" s="10" t="str">
        <f aca="false">IF(B216="","NÃO COMPRA","COMPRA")</f>
        <v>NÃO COMPRA</v>
      </c>
      <c r="D216" s="1" t="n">
        <f aca="false">IFERROR(VLOOKUP(A216,Pedido!$A:$C,3,0),0)</f>
        <v>0</v>
      </c>
      <c r="E216" s="5" t="n">
        <f aca="false">IFERROR(VLOOKUP(A216,Pedido!$A:$E,5,0),0)</f>
        <v>0</v>
      </c>
      <c r="F216" s="1" t="s">
        <v>7</v>
      </c>
      <c r="G216" s="1" t="s">
        <v>117</v>
      </c>
      <c r="H216" s="1" t="s">
        <v>32</v>
      </c>
      <c r="I216" s="1" t="s">
        <v>57</v>
      </c>
      <c r="J216" s="1" t="s">
        <v>546</v>
      </c>
      <c r="K216" s="1" t="n">
        <v>712</v>
      </c>
      <c r="L216" s="11" t="n">
        <v>0.607497645126052</v>
      </c>
      <c r="M216" s="1" t="n">
        <f aca="false">SUMIF(Relatorio_AK!$A:$A,A216,Relatorio_AK!$B:$B)</f>
        <v>712</v>
      </c>
      <c r="N216" s="1" t="str">
        <f aca="false">IF(M216=K216,"OK","DIF")</f>
        <v>OK</v>
      </c>
      <c r="O216" s="13" t="str">
        <f aca="false">IFERROR(VLOOKUP($A216,Lista_Starke!$A:$E,3,0),"NÃO ESTÁ NA LISTA")</f>
        <v>GM: S10 2.4 8V 12/16
GM: S10 2.5 16V 15/...
GM: S10 2.8 16V TDI 12/...</v>
      </c>
      <c r="P216" s="12" t="str">
        <f aca="false">IFERROR(VLOOKUP($A216,Lista_Starke!$A:$E,2,0),"NÃO ESTÁ NA LISTA")</f>
        <v>CILINDRO MESTRE DE EMBREAGEM</v>
      </c>
    </row>
    <row r="217" customFormat="false" ht="15" hidden="false" customHeight="true" outlineLevel="0" collapsed="false">
      <c r="A217" s="10" t="s">
        <v>547</v>
      </c>
      <c r="B217" s="10" t="str">
        <f aca="false">IFERROR(VLOOKUP(A217,Pedido!$A:$B,2,0),"")</f>
        <v/>
      </c>
      <c r="C217" s="10" t="str">
        <f aca="false">IF(B217="","NÃO COMPRA","COMPRA")</f>
        <v>NÃO COMPRA</v>
      </c>
      <c r="D217" s="1" t="n">
        <f aca="false">IFERROR(VLOOKUP(A217,Pedido!$A:$C,3,0),0)</f>
        <v>0</v>
      </c>
      <c r="E217" s="5" t="n">
        <f aca="false">IFERROR(VLOOKUP(A217,Pedido!$A:$E,5,0),0)</f>
        <v>0</v>
      </c>
      <c r="F217" s="1" t="s">
        <v>7</v>
      </c>
      <c r="G217" s="1" t="s">
        <v>548</v>
      </c>
      <c r="H217" s="1" t="s">
        <v>157</v>
      </c>
      <c r="I217" s="1" t="s">
        <v>53</v>
      </c>
      <c r="K217" s="1" t="n">
        <v>711</v>
      </c>
      <c r="L217" s="11" t="n">
        <v>0.608713119083966</v>
      </c>
      <c r="M217" s="1" t="n">
        <f aca="false">SUMIF(Relatorio_AK!$A:$A,A217,Relatorio_AK!$B:$B)</f>
        <v>711</v>
      </c>
      <c r="N217" s="1" t="str">
        <f aca="false">IF(M217=K217,"OK","DIF")</f>
        <v>OK</v>
      </c>
      <c r="O217" s="13" t="str">
        <f aca="false">IFERROR(VLOOKUP($A217,Lista_Starke!$A:$E,3,0),"NÃO ESTÁ NA LISTA")</f>
        <v>FORD: Ecosport 1.5 12V 3 cil 18/21
FORD: Ka 1.0 12V 3 cil 18/21
FORD: Ka 1.5 12V 3 cil 18/21</v>
      </c>
      <c r="P217" s="12" t="str">
        <f aca="false">IFERROR(VLOOKUP($A217,Lista_Starke!$A:$E,2,0),"NÃO ESTÁ NA LISTA")</f>
        <v>ATUADOR DE EMBREAGEM</v>
      </c>
    </row>
    <row r="218" customFormat="false" ht="15" hidden="false" customHeight="true" outlineLevel="0" collapsed="false">
      <c r="A218" s="10" t="s">
        <v>549</v>
      </c>
      <c r="B218" s="10" t="str">
        <f aca="false">IFERROR(VLOOKUP(A218,Pedido!$A:$B,2,0),"")</f>
        <v/>
      </c>
      <c r="C218" s="10" t="str">
        <f aca="false">IF(B218="","NÃO COMPRA","COMPRA")</f>
        <v>NÃO COMPRA</v>
      </c>
      <c r="D218" s="1" t="n">
        <f aca="false">IFERROR(VLOOKUP(A218,Pedido!$A:$C,3,0),0)</f>
        <v>0</v>
      </c>
      <c r="E218" s="5" t="n">
        <f aca="false">IFERROR(VLOOKUP(A218,Pedido!$A:$E,5,0),0)</f>
        <v>0</v>
      </c>
      <c r="F218" s="1" t="s">
        <v>7</v>
      </c>
      <c r="G218" s="1" t="s">
        <v>176</v>
      </c>
      <c r="H218" s="1" t="s">
        <v>35</v>
      </c>
      <c r="I218" s="1" t="s">
        <v>177</v>
      </c>
      <c r="J218" s="1" t="s">
        <v>550</v>
      </c>
      <c r="K218" s="1" t="n">
        <v>710</v>
      </c>
      <c r="L218" s="11" t="n">
        <v>0.609926883514514</v>
      </c>
      <c r="M218" s="1" t="n">
        <f aca="false">SUMIF(Relatorio_AK!$A:$A,A218,Relatorio_AK!$B:$B)</f>
        <v>710</v>
      </c>
      <c r="N218" s="1" t="str">
        <f aca="false">IF(M218=K218,"OK","DIF")</f>
        <v>OK</v>
      </c>
      <c r="O218" s="13" t="str">
        <f aca="false">IFERROR(VLOOKUP($A218,Lista_Starke!$A:$E,3,0),"NÃO ESTÁ NA LISTA")</f>
        <v>TOYOTA: Hilux 2.5 / 2.7 / 3.0 05/15
TOYOTA: SW4 2.5 / 2.7 / 3.0 05/15</v>
      </c>
      <c r="P218" s="12" t="str">
        <f aca="false">IFERROR(VLOOKUP($A218,Lista_Starke!$A:$E,2,0),"NÃO ESTÁ NA LISTA")</f>
        <v>CILINDRO MESTRE DE FREIO</v>
      </c>
    </row>
    <row r="219" customFormat="false" ht="15" hidden="false" customHeight="true" outlineLevel="0" collapsed="false">
      <c r="A219" s="10" t="s">
        <v>551</v>
      </c>
      <c r="B219" s="10" t="str">
        <f aca="false">IFERROR(VLOOKUP(A219,Pedido!$A:$B,2,0),"")</f>
        <v/>
      </c>
      <c r="C219" s="10" t="str">
        <f aca="false">IF(B219="","NÃO COMPRA","COMPRA")</f>
        <v>NÃO COMPRA</v>
      </c>
      <c r="D219" s="1" t="n">
        <f aca="false">IFERROR(VLOOKUP(A219,Pedido!$A:$C,3,0),0)</f>
        <v>0</v>
      </c>
      <c r="E219" s="5" t="n">
        <f aca="false">IFERROR(VLOOKUP(A219,Pedido!$A:$E,5,0),0)</f>
        <v>0</v>
      </c>
      <c r="F219" s="1" t="s">
        <v>7</v>
      </c>
      <c r="G219" s="1" t="s">
        <v>552</v>
      </c>
      <c r="H219" s="1" t="s">
        <v>197</v>
      </c>
      <c r="I219" s="1" t="s">
        <v>172</v>
      </c>
      <c r="J219" s="1" t="s">
        <v>553</v>
      </c>
      <c r="K219" s="1" t="n">
        <v>707</v>
      </c>
      <c r="L219" s="11" t="n">
        <v>0.611135519362961</v>
      </c>
      <c r="M219" s="1" t="n">
        <f aca="false">SUMIF(Relatorio_AK!$A:$A,A219,Relatorio_AK!$B:$B)</f>
        <v>707</v>
      </c>
      <c r="N219" s="1" t="str">
        <f aca="false">IF(M219=K219,"OK","DIF")</f>
        <v>OK</v>
      </c>
      <c r="O219" s="13" t="str">
        <f aca="false">IFERROR(VLOOKUP($A219,Lista_Starke!$A:$E,3,0),"NÃO ESTÁ NA LISTA")</f>
        <v>HYUNDAI: Azera 3.0 24V V6 12/…
HYUNDAI: Azera 3.3 24V V6   G6DB 07/11
HYUNDAI: Equus 3.8 24V V6   G6DA 09/…
HYUNDAI: Genesis 3.8 24V V6   G6DA 09/…
HYUNDAI: Santa Fe 3.3 24V V6   G6DB 13/…
HYUNDAI: Santa Fe 3.5 24V V6   G6CU 10/…
HYUNDAI: Vera Cruz 3.8 24V V6   G6DA 07/12
KIA: Cadenza 3.5 24V V6   G6CU 11/…
KIA: Mohave 3.0 24V V6 10/…
KIA: Mohave 3.8 24V V6   G6DA 10/…
KIA: Sorento 3.3 24V V6   G6DG 07/…
KIA: Sorento 3.5 24V V6   G6CU 07/…</v>
      </c>
      <c r="P219" s="12" t="str">
        <f aca="false">IFERROR(VLOOKUP($A219,Lista_Starke!$A:$E,2,0),"NÃO ESTÁ NA LISTA")</f>
        <v>BOMBA D'ÁGUA</v>
      </c>
    </row>
    <row r="220" customFormat="false" ht="15" hidden="false" customHeight="true" outlineLevel="0" collapsed="false">
      <c r="A220" s="10" t="s">
        <v>554</v>
      </c>
      <c r="B220" s="10" t="str">
        <f aca="false">IFERROR(VLOOKUP(A220,Pedido!$A:$B,2,0),"")</f>
        <v/>
      </c>
      <c r="C220" s="10" t="str">
        <f aca="false">IF(B220="","NÃO COMPRA","COMPRA")</f>
        <v>NÃO COMPRA</v>
      </c>
      <c r="D220" s="1" t="n">
        <f aca="false">IFERROR(VLOOKUP(A220,Pedido!$A:$C,3,0),0)</f>
        <v>0</v>
      </c>
      <c r="E220" s="5" t="n">
        <f aca="false">IFERROR(VLOOKUP(A220,Pedido!$A:$E,5,0),0)</f>
        <v>0</v>
      </c>
      <c r="F220" s="1" t="s">
        <v>7</v>
      </c>
      <c r="G220" s="1" t="s">
        <v>62</v>
      </c>
      <c r="H220" s="1" t="s">
        <v>32</v>
      </c>
      <c r="I220" s="1" t="s">
        <v>42</v>
      </c>
      <c r="J220" s="1" t="s">
        <v>555</v>
      </c>
      <c r="K220" s="1" t="n">
        <v>704</v>
      </c>
      <c r="L220" s="11" t="n">
        <v>0.612339026629307</v>
      </c>
      <c r="M220" s="1" t="n">
        <f aca="false">SUMIF(Relatorio_AK!$A:$A,A220,Relatorio_AK!$B:$B)</f>
        <v>704</v>
      </c>
      <c r="N220" s="1" t="str">
        <f aca="false">IF(M220=K220,"OK","DIF")</f>
        <v>OK</v>
      </c>
      <c r="O220" s="12" t="str">
        <f aca="false">IFERROR(VLOOKUP($A220,Lista_Starke!$A:$E,3,0),"NÃO ESTÁ NA LISTA")</f>
        <v>RENAULT: Master 2.5 / 2.8 .../12</v>
      </c>
      <c r="P220" s="12" t="str">
        <f aca="false">IFERROR(VLOOKUP($A220,Lista_Starke!$A:$E,2,0),"NÃO ESTÁ NA LISTA")</f>
        <v>CILINDRO MESTRE DE EMBREAGEM</v>
      </c>
    </row>
    <row r="221" customFormat="false" ht="15" hidden="false" customHeight="true" outlineLevel="0" collapsed="false">
      <c r="A221" s="10" t="s">
        <v>556</v>
      </c>
      <c r="B221" s="10" t="str">
        <f aca="false">IFERROR(VLOOKUP(A221,Pedido!$A:$B,2,0),"")</f>
        <v/>
      </c>
      <c r="C221" s="10" t="str">
        <f aca="false">IF(B221="","NÃO COMPRA","COMPRA")</f>
        <v>NÃO COMPRA</v>
      </c>
      <c r="D221" s="1" t="n">
        <f aca="false">IFERROR(VLOOKUP(A221,Pedido!$A:$C,3,0),0)</f>
        <v>0</v>
      </c>
      <c r="E221" s="5" t="n">
        <f aca="false">IFERROR(VLOOKUP(A221,Pedido!$A:$E,5,0),0)</f>
        <v>0</v>
      </c>
      <c r="F221" s="1" t="s">
        <v>7</v>
      </c>
      <c r="G221" s="1" t="s">
        <v>557</v>
      </c>
      <c r="H221" s="1" t="s">
        <v>88</v>
      </c>
      <c r="I221" s="1" t="s">
        <v>50</v>
      </c>
      <c r="J221" s="1" t="s">
        <v>558</v>
      </c>
      <c r="K221" s="1" t="n">
        <v>698</v>
      </c>
      <c r="L221" s="11" t="n">
        <v>0.613532276731452</v>
      </c>
      <c r="M221" s="1" t="n">
        <f aca="false">SUMIF(Relatorio_AK!$A:$A,A221,Relatorio_AK!$B:$B)</f>
        <v>698</v>
      </c>
      <c r="N221" s="1" t="str">
        <f aca="false">IF(M221=K221,"OK","DIF")</f>
        <v>OK</v>
      </c>
      <c r="O221" s="13" t="str">
        <f aca="false">IFERROR(VLOOKUP($A221,Lista_Starke!$A:$E,3,0),"NÃO ESTÁ NA LISTA")</f>
        <v>HONDA: City 1.5 16V 09/14
HONDA: Fit 1.4 16V / 1.5 16V 09/14</v>
      </c>
      <c r="P221" s="12" t="str">
        <f aca="false">IFERROR(VLOOKUP($A221,Lista_Starke!$A:$E,2,0),"NÃO ESTÁ NA LISTA")</f>
        <v>CILINDRO DE RODA LE/LD</v>
      </c>
    </row>
    <row r="222" customFormat="false" ht="15" hidden="false" customHeight="true" outlineLevel="0" collapsed="false">
      <c r="A222" s="10" t="s">
        <v>559</v>
      </c>
      <c r="B222" s="10" t="str">
        <f aca="false">IFERROR(VLOOKUP(A222,Pedido!$A:$B,2,0),"")</f>
        <v>SSC 3042</v>
      </c>
      <c r="C222" s="10" t="str">
        <f aca="false">IF(B222="","NÃO COMPRA","COMPRA")</f>
        <v>COMPRA</v>
      </c>
      <c r="D222" s="1" t="n">
        <f aca="false">IFERROR(VLOOKUP(A222,Pedido!$A:$C,3,0),0)</f>
        <v>8</v>
      </c>
      <c r="E222" s="5" t="n">
        <f aca="false">IFERROR(VLOOKUP(A222,Pedido!$A:$E,5,0),0)</f>
        <v>479.92</v>
      </c>
      <c r="F222" s="1" t="s">
        <v>7</v>
      </c>
      <c r="G222" s="1" t="s">
        <v>332</v>
      </c>
      <c r="H222" s="1" t="s">
        <v>28</v>
      </c>
      <c r="I222" s="1" t="s">
        <v>177</v>
      </c>
      <c r="K222" s="1" t="n">
        <v>692</v>
      </c>
      <c r="L222" s="11" t="n">
        <v>0.614715269669394</v>
      </c>
      <c r="M222" s="1" t="n">
        <f aca="false">SUMIF(Relatorio_AK!$A:$A,A222,Relatorio_AK!$B:$B)</f>
        <v>692</v>
      </c>
      <c r="N222" s="1" t="str">
        <f aca="false">IF(M222=K222,"OK","DIF")</f>
        <v>OK</v>
      </c>
      <c r="O222" s="13" t="str">
        <f aca="false">IFERROR(VLOOKUP($A222,Lista_Starke!$A:$E,3,0),"NÃO ESTÁ NA LISTA")</f>
        <v>TOYOTA: Hilux 2.7 16V Flex 12/...
TOYOTA: Hilux 2.8 Diesel 16/...</v>
      </c>
      <c r="P222" s="12" t="str">
        <f aca="false">IFERROR(VLOOKUP($A222,Lista_Starke!$A:$E,2,0),"NÃO ESTÁ NA LISTA")</f>
        <v>CILINDRO AUXILIAR DE EMBREAGEM</v>
      </c>
    </row>
    <row r="223" customFormat="false" ht="15" hidden="false" customHeight="true" outlineLevel="0" collapsed="false">
      <c r="A223" s="10" t="s">
        <v>560</v>
      </c>
      <c r="B223" s="10" t="str">
        <f aca="false">IFERROR(VLOOKUP(A223,Pedido!$A:$B,2,0),"")</f>
        <v/>
      </c>
      <c r="C223" s="10" t="str">
        <f aca="false">IF(B223="","NÃO COMPRA","COMPRA")</f>
        <v>NÃO COMPRA</v>
      </c>
      <c r="D223" s="1" t="n">
        <f aca="false">IFERROR(VLOOKUP(A223,Pedido!$A:$C,3,0),0)</f>
        <v>0</v>
      </c>
      <c r="E223" s="5" t="n">
        <f aca="false">IFERROR(VLOOKUP(A223,Pedido!$A:$E,5,0),0)</f>
        <v>0</v>
      </c>
      <c r="F223" s="1" t="s">
        <v>7</v>
      </c>
      <c r="G223" s="1" t="s">
        <v>561</v>
      </c>
      <c r="H223" s="1" t="s">
        <v>88</v>
      </c>
      <c r="I223" s="1" t="s">
        <v>46</v>
      </c>
      <c r="J223" s="1" t="s">
        <v>562</v>
      </c>
      <c r="K223" s="1" t="n">
        <v>690</v>
      </c>
      <c r="L223" s="11" t="n">
        <v>0.615894843552603</v>
      </c>
      <c r="M223" s="1" t="n">
        <f aca="false">SUMIF(Relatorio_AK!$A:$A,A223,Relatorio_AK!$B:$B)</f>
        <v>690</v>
      </c>
      <c r="N223" s="1" t="str">
        <f aca="false">IF(M223=K223,"OK","DIF")</f>
        <v>OK</v>
      </c>
      <c r="O223" s="13" t="str">
        <f aca="false">IFERROR(VLOOKUP($A223,Lista_Starke!$A:$E,3,0),"NÃO ESTÁ NA LISTA")</f>
        <v>FIAT: Toro 1.3 16V Turbo 21/...
FIAT: Toro 1.8 16V 16/...
FIAT: Toro 2.0 16V Diesel 16/...</v>
      </c>
      <c r="P223" s="12" t="str">
        <f aca="false">IFERROR(VLOOKUP($A223,Lista_Starke!$A:$E,2,0),"NÃO ESTÁ NA LISTA")</f>
        <v>CILINDRO DE RODA LE/LD</v>
      </c>
    </row>
    <row r="224" customFormat="false" ht="15" hidden="false" customHeight="true" outlineLevel="0" collapsed="false">
      <c r="A224" s="10" t="s">
        <v>563</v>
      </c>
      <c r="B224" s="10" t="str">
        <f aca="false">IFERROR(VLOOKUP(A224,Pedido!$A:$B,2,0),"")</f>
        <v/>
      </c>
      <c r="C224" s="10" t="str">
        <f aca="false">IF(B224="","NÃO COMPRA","COMPRA")</f>
        <v>NÃO COMPRA</v>
      </c>
      <c r="D224" s="1" t="n">
        <f aca="false">IFERROR(VLOOKUP(A224,Pedido!$A:$C,3,0),0)</f>
        <v>0</v>
      </c>
      <c r="E224" s="5" t="n">
        <f aca="false">IFERROR(VLOOKUP(A224,Pedido!$A:$E,5,0),0)</f>
        <v>0</v>
      </c>
      <c r="F224" s="1" t="s">
        <v>7</v>
      </c>
      <c r="G224" s="1" t="s">
        <v>49</v>
      </c>
      <c r="H224" s="1" t="s">
        <v>32</v>
      </c>
      <c r="I224" s="1" t="s">
        <v>50</v>
      </c>
      <c r="K224" s="1" t="n">
        <v>686</v>
      </c>
      <c r="L224" s="11" t="n">
        <v>0.617067579326343</v>
      </c>
      <c r="M224" s="1" t="n">
        <f aca="false">SUMIF(Relatorio_AK!$A:$A,A224,Relatorio_AK!$B:$B)</f>
        <v>686</v>
      </c>
      <c r="N224" s="1" t="str">
        <f aca="false">IF(M224=K224,"OK","DIF")</f>
        <v>OK</v>
      </c>
      <c r="O224" s="12" t="str">
        <f aca="false">IFERROR(VLOOKUP($A224,Lista_Starke!$A:$E,3,0),"NÃO ESTÁ NA LISTA")</f>
        <v>HONDA: New Civic 1.8 16V 12/16</v>
      </c>
      <c r="P224" s="12" t="str">
        <f aca="false">IFERROR(VLOOKUP($A224,Lista_Starke!$A:$E,2,0),"NÃO ESTÁ NA LISTA")</f>
        <v>CILINDRO MESTRE DE EMBREAGEM</v>
      </c>
    </row>
    <row r="225" customFormat="false" ht="15" hidden="false" customHeight="true" outlineLevel="0" collapsed="false">
      <c r="A225" s="10" t="s">
        <v>564</v>
      </c>
      <c r="B225" s="10" t="str">
        <f aca="false">IFERROR(VLOOKUP(A225,Pedido!$A:$B,2,0),"")</f>
        <v>SBC 1149</v>
      </c>
      <c r="C225" s="10" t="str">
        <f aca="false">IF(B225="","NÃO COMPRA","COMPRA")</f>
        <v>COMPRA</v>
      </c>
      <c r="D225" s="1" t="n">
        <f aca="false">IFERROR(VLOOKUP(A225,Pedido!$A:$C,3,0),0)</f>
        <v>6</v>
      </c>
      <c r="E225" s="5" t="n">
        <f aca="false">IFERROR(VLOOKUP(A225,Pedido!$A:$E,5,0),0)</f>
        <v>863.94</v>
      </c>
      <c r="F225" s="1" t="s">
        <v>7</v>
      </c>
      <c r="G225" s="1" t="s">
        <v>65</v>
      </c>
      <c r="H225" s="1" t="s">
        <v>35</v>
      </c>
      <c r="I225" s="1" t="s">
        <v>137</v>
      </c>
      <c r="K225" s="1" t="n">
        <v>683</v>
      </c>
      <c r="L225" s="11" t="n">
        <v>0.618235186517983</v>
      </c>
      <c r="M225" s="1" t="n">
        <f aca="false">SUMIF(Relatorio_AK!$A:$A,A225,Relatorio_AK!$B:$B)</f>
        <v>683</v>
      </c>
      <c r="N225" s="1" t="str">
        <f aca="false">IF(M225=K225,"OK","DIF")</f>
        <v>OK</v>
      </c>
      <c r="O225" s="13" t="str">
        <f aca="false">IFERROR(VLOOKUP($A225,Lista_Starke!$A:$E,3,0),"NÃO ESTÁ NA LISTA")</f>
        <v>CITROEN: Jumper  03/...
FIAT: Ducato  03/...
FIAT: Ducato 2.3 16V 13/...
PEUGEOT: Boxer  03/...</v>
      </c>
      <c r="P225" s="12" t="str">
        <f aca="false">IFERROR(VLOOKUP($A225,Lista_Starke!$A:$E,2,0),"NÃO ESTÁ NA LISTA")</f>
        <v>CILINDRO MESTRE DE FREIO</v>
      </c>
    </row>
    <row r="226" customFormat="false" ht="15" hidden="false" customHeight="true" outlineLevel="0" collapsed="false">
      <c r="A226" s="10" t="s">
        <v>565</v>
      </c>
      <c r="B226" s="10" t="str">
        <f aca="false">IFERROR(VLOOKUP(A226,Pedido!$A:$B,2,0),"")</f>
        <v/>
      </c>
      <c r="C226" s="10" t="str">
        <f aca="false">IF(B226="","NÃO COMPRA","COMPRA")</f>
        <v>NÃO COMPRA</v>
      </c>
      <c r="D226" s="1" t="n">
        <f aca="false">IFERROR(VLOOKUP(A226,Pedido!$A:$C,3,0),0)</f>
        <v>0</v>
      </c>
      <c r="E226" s="5" t="n">
        <f aca="false">IFERROR(VLOOKUP(A226,Pedido!$A:$E,5,0),0)</f>
        <v>0</v>
      </c>
      <c r="F226" s="1" t="s">
        <v>7</v>
      </c>
      <c r="G226" s="1" t="s">
        <v>314</v>
      </c>
      <c r="H226" s="1" t="s">
        <v>131</v>
      </c>
      <c r="I226" s="1" t="s">
        <v>42</v>
      </c>
      <c r="J226" s="1" t="s">
        <v>566</v>
      </c>
      <c r="K226" s="1" t="n">
        <v>682</v>
      </c>
      <c r="L226" s="11" t="n">
        <v>0.619401084182256</v>
      </c>
      <c r="M226" s="1" t="n">
        <f aca="false">SUMIF(Relatorio_AK!$A:$A,A226,Relatorio_AK!$B:$B)</f>
        <v>682</v>
      </c>
      <c r="N226" s="1" t="str">
        <f aca="false">IF(M226=K226,"OK","DIF")</f>
        <v>OK</v>
      </c>
      <c r="O226" s="12" t="str">
        <f aca="false">IFERROR(VLOOKUP($A226,Lista_Starke!$A:$E,3,0),"NÃO ESTÁ NA LISTA")</f>
        <v>RENAULT: Kwid 1.0 12V 3 cil 17/...</v>
      </c>
      <c r="P226" s="12" t="str">
        <f aca="false">IFERROR(VLOOKUP($A226,Lista_Starke!$A:$E,2,0),"NÃO ESTÁ NA LISTA")</f>
        <v>SAPATA DE FREIO</v>
      </c>
    </row>
    <row r="227" customFormat="false" ht="15" hidden="false" customHeight="true" outlineLevel="0" collapsed="false">
      <c r="A227" s="10" t="s">
        <v>567</v>
      </c>
      <c r="B227" s="10" t="str">
        <f aca="false">IFERROR(VLOOKUP(A227,Pedido!$A:$B,2,0),"")</f>
        <v/>
      </c>
      <c r="C227" s="10" t="str">
        <f aca="false">IF(B227="","NÃO COMPRA","COMPRA")</f>
        <v>NÃO COMPRA</v>
      </c>
      <c r="D227" s="1" t="n">
        <f aca="false">IFERROR(VLOOKUP(A227,Pedido!$A:$C,3,0),0)</f>
        <v>0</v>
      </c>
      <c r="E227" s="5" t="n">
        <f aca="false">IFERROR(VLOOKUP(A227,Pedido!$A:$E,5,0),0)</f>
        <v>0</v>
      </c>
      <c r="F227" s="1" t="s">
        <v>7</v>
      </c>
      <c r="G227" s="1" t="s">
        <v>363</v>
      </c>
      <c r="H227" s="1" t="s">
        <v>32</v>
      </c>
      <c r="I227" s="1" t="s">
        <v>177</v>
      </c>
      <c r="K227" s="1" t="n">
        <v>681</v>
      </c>
      <c r="L227" s="11" t="n">
        <v>0.620565272319162</v>
      </c>
      <c r="M227" s="1" t="n">
        <f aca="false">SUMIF(Relatorio_AK!$A:$A,A227,Relatorio_AK!$B:$B)</f>
        <v>681</v>
      </c>
      <c r="N227" s="1" t="str">
        <f aca="false">IF(M227=K227,"OK","DIF")</f>
        <v>OK</v>
      </c>
      <c r="O227" s="13" t="str">
        <f aca="false">IFERROR(VLOOKUP($A227,Lista_Starke!$A:$E,3,0),"NÃO ESTÁ NA LISTA")</f>
        <v>TOYOTA: Hilux 2.5 16V 2KD 06/12
TOYOTA: Hilux 3.0 16V 1KD 06/11
TOYOTA: SW4 3.0 16V 1KD 06/11</v>
      </c>
      <c r="P227" s="12" t="str">
        <f aca="false">IFERROR(VLOOKUP($A227,Lista_Starke!$A:$E,2,0),"NÃO ESTÁ NA LISTA")</f>
        <v>CILINDRO MESTRE DE EMBREAGEM</v>
      </c>
    </row>
    <row r="228" customFormat="false" ht="15" hidden="false" customHeight="true" outlineLevel="0" collapsed="false">
      <c r="A228" s="10" t="s">
        <v>568</v>
      </c>
      <c r="B228" s="10" t="str">
        <f aca="false">IFERROR(VLOOKUP(A228,Pedido!$A:$B,2,0),"")</f>
        <v/>
      </c>
      <c r="C228" s="10" t="str">
        <f aca="false">IF(B228="","NÃO COMPRA","COMPRA")</f>
        <v>NÃO COMPRA</v>
      </c>
      <c r="D228" s="1" t="n">
        <f aca="false">IFERROR(VLOOKUP(A228,Pedido!$A:$C,3,0),0)</f>
        <v>0</v>
      </c>
      <c r="E228" s="5" t="n">
        <f aca="false">IFERROR(VLOOKUP(A228,Pedido!$A:$E,5,0),0)</f>
        <v>0</v>
      </c>
      <c r="F228" s="1" t="s">
        <v>7</v>
      </c>
      <c r="G228" s="1" t="s">
        <v>41</v>
      </c>
      <c r="H228" s="1" t="s">
        <v>35</v>
      </c>
      <c r="I228" s="1" t="s">
        <v>42</v>
      </c>
      <c r="K228" s="1" t="n">
        <v>680</v>
      </c>
      <c r="L228" s="11" t="n">
        <v>0.6217277509287</v>
      </c>
      <c r="M228" s="1" t="n">
        <f aca="false">SUMIF(Relatorio_AK!$A:$A,A228,Relatorio_AK!$B:$B)</f>
        <v>680</v>
      </c>
      <c r="N228" s="1" t="str">
        <f aca="false">IF(M228=K228,"OK","DIF")</f>
        <v>OK</v>
      </c>
      <c r="O228" s="12" t="str">
        <f aca="false">IFERROR(VLOOKUP($A228,Lista_Starke!$A:$E,3,0),"NÃO ESTÁ NA LISTA")</f>
        <v>RENAULT: Kwid 1.0 12V 3 cil 17/20</v>
      </c>
      <c r="P228" s="12" t="str">
        <f aca="false">IFERROR(VLOOKUP($A228,Lista_Starke!$A:$E,2,0),"NÃO ESTÁ NA LISTA")</f>
        <v>CILINDRO MESTRE DE FREIO</v>
      </c>
    </row>
    <row r="229" customFormat="false" ht="15" hidden="false" customHeight="true" outlineLevel="0" collapsed="false">
      <c r="A229" s="10" t="s">
        <v>569</v>
      </c>
      <c r="B229" s="10" t="str">
        <f aca="false">IFERROR(VLOOKUP(A229,Pedido!$A:$B,2,0),"")</f>
        <v/>
      </c>
      <c r="C229" s="10" t="str">
        <f aca="false">IF(B229="","NÃO COMPRA","COMPRA")</f>
        <v>NÃO COMPRA</v>
      </c>
      <c r="D229" s="1" t="n">
        <f aca="false">IFERROR(VLOOKUP(A229,Pedido!$A:$C,3,0),0)</f>
        <v>0</v>
      </c>
      <c r="E229" s="5" t="n">
        <f aca="false">IFERROR(VLOOKUP(A229,Pedido!$A:$E,5,0),0)</f>
        <v>0</v>
      </c>
      <c r="F229" s="1" t="s">
        <v>7</v>
      </c>
      <c r="G229" s="1" t="s">
        <v>56</v>
      </c>
      <c r="H229" s="1" t="s">
        <v>35</v>
      </c>
      <c r="I229" s="1" t="s">
        <v>57</v>
      </c>
      <c r="J229" s="1" t="s">
        <v>570</v>
      </c>
      <c r="K229" s="1" t="n">
        <v>678</v>
      </c>
      <c r="L229" s="11" t="n">
        <v>0.622886810483505</v>
      </c>
      <c r="M229" s="1" t="n">
        <f aca="false">SUMIF(Relatorio_AK!$A:$A,A229,Relatorio_AK!$B:$B)</f>
        <v>678</v>
      </c>
      <c r="N229" s="1" t="str">
        <f aca="false">IF(M229=K229,"OK","DIF")</f>
        <v>OK</v>
      </c>
      <c r="O229" s="13" t="str">
        <f aca="false">IFERROR(VLOOKUP($A229,Lista_Starke!$A:$E,3,0),"NÃO ESTÁ NA LISTA")</f>
        <v>GM: Astra  02/11
GM: Astra  99/01</v>
      </c>
      <c r="P229" s="12" t="str">
        <f aca="false">IFERROR(VLOOKUP($A229,Lista_Starke!$A:$E,2,0),"NÃO ESTÁ NA LISTA")</f>
        <v>CILINDRO MESTRE DE FREIO</v>
      </c>
    </row>
    <row r="230" customFormat="false" ht="15" hidden="false" customHeight="true" outlineLevel="0" collapsed="false">
      <c r="A230" s="10" t="s">
        <v>571</v>
      </c>
      <c r="B230" s="10" t="str">
        <f aca="false">IFERROR(VLOOKUP(A230,Pedido!$A:$B,2,0),"")</f>
        <v/>
      </c>
      <c r="C230" s="10" t="str">
        <f aca="false">IF(B230="","NÃO COMPRA","COMPRA")</f>
        <v>NÃO COMPRA</v>
      </c>
      <c r="D230" s="1" t="n">
        <f aca="false">IFERROR(VLOOKUP(A230,Pedido!$A:$C,3,0),0)</f>
        <v>0</v>
      </c>
      <c r="E230" s="5" t="n">
        <f aca="false">IFERROR(VLOOKUP(A230,Pedido!$A:$E,5,0),0)</f>
        <v>0</v>
      </c>
      <c r="F230" s="1" t="s">
        <v>7</v>
      </c>
      <c r="G230" s="1" t="s">
        <v>56</v>
      </c>
      <c r="H230" s="1" t="s">
        <v>35</v>
      </c>
      <c r="I230" s="1" t="s">
        <v>57</v>
      </c>
      <c r="J230" s="1" t="s">
        <v>572</v>
      </c>
      <c r="K230" s="1" t="n">
        <v>676</v>
      </c>
      <c r="L230" s="11" t="n">
        <v>0.624042450983576</v>
      </c>
      <c r="M230" s="1" t="n">
        <f aca="false">SUMIF(Relatorio_AK!$A:$A,A230,Relatorio_AK!$B:$B)</f>
        <v>676</v>
      </c>
      <c r="N230" s="1" t="str">
        <f aca="false">IF(M230=K230,"OK","DIF")</f>
        <v>OK</v>
      </c>
      <c r="O230" s="13" t="str">
        <f aca="false">IFERROR(VLOOKUP($A230,Lista_Starke!$A:$E,3,0),"NÃO ESTÁ NA LISTA")</f>
        <v>GM: Cobalt 1.8 8V 13/...
GM: Cobalt 1.8 8V 17/...
GM: Onix 1.0 8V / 1.4 8V 13/...
GM: Onix 1.0 8V / 1.4 8V 17/...
GM: Prisma 1.0 8V / 1.4 8V 13/...
GM: Prisma 1.0 8V / 1.4 8V 17/...</v>
      </c>
      <c r="P230" s="12" t="str">
        <f aca="false">IFERROR(VLOOKUP($A230,Lista_Starke!$A:$E,2,0),"NÃO ESTÁ NA LISTA")</f>
        <v>CILINDRO MESTRE DE FREIO</v>
      </c>
    </row>
    <row r="231" customFormat="false" ht="15" hidden="false" customHeight="true" outlineLevel="0" collapsed="false">
      <c r="A231" s="10" t="s">
        <v>573</v>
      </c>
      <c r="B231" s="10" t="str">
        <f aca="false">IFERROR(VLOOKUP(A231,Pedido!$A:$B,2,0),"")</f>
        <v/>
      </c>
      <c r="C231" s="10" t="str">
        <f aca="false">IF(B231="","NÃO COMPRA","COMPRA")</f>
        <v>NÃO COMPRA</v>
      </c>
      <c r="D231" s="1" t="n">
        <f aca="false">IFERROR(VLOOKUP(A231,Pedido!$A:$C,3,0),0)</f>
        <v>0</v>
      </c>
      <c r="E231" s="5" t="n">
        <f aca="false">IFERROR(VLOOKUP(A231,Pedido!$A:$E,5,0),0)</f>
        <v>0</v>
      </c>
      <c r="F231" s="1" t="s">
        <v>7</v>
      </c>
      <c r="G231" s="1" t="s">
        <v>35</v>
      </c>
      <c r="H231" s="1" t="s">
        <v>35</v>
      </c>
      <c r="I231" s="1" t="s">
        <v>172</v>
      </c>
      <c r="K231" s="1" t="n">
        <v>674</v>
      </c>
      <c r="L231" s="11" t="n">
        <v>0.625194672428913</v>
      </c>
      <c r="M231" s="1" t="n">
        <f aca="false">SUMIF(Relatorio_AK!$A:$A,A231,Relatorio_AK!$B:$B)</f>
        <v>674</v>
      </c>
      <c r="N231" s="1" t="str">
        <f aca="false">IF(M231=K231,"OK","DIF")</f>
        <v>OK</v>
      </c>
      <c r="O231" s="13" t="str">
        <f aca="false">IFERROR(VLOOKUP($A231,Lista_Starke!$A:$E,3,0),"NÃO ESTÁ NA LISTA")</f>
        <v>HYUNDAI: HR 2.5 16V Diesel 13/...
KIA: Bongo K2500 2.5 16V Diesel 13/...</v>
      </c>
      <c r="P231" s="12" t="str">
        <f aca="false">IFERROR(VLOOKUP($A231,Lista_Starke!$A:$E,2,0),"NÃO ESTÁ NA LISTA")</f>
        <v>CILINDRO MESTRE DE FREIO</v>
      </c>
    </row>
    <row r="232" customFormat="false" ht="15" hidden="false" customHeight="true" outlineLevel="0" collapsed="false">
      <c r="A232" s="10" t="s">
        <v>574</v>
      </c>
      <c r="B232" s="10" t="str">
        <f aca="false">IFERROR(VLOOKUP(A232,Pedido!$A:$B,2,0),"")</f>
        <v/>
      </c>
      <c r="C232" s="10" t="str">
        <f aca="false">IF(B232="","NÃO COMPRA","COMPRA")</f>
        <v>NÃO COMPRA</v>
      </c>
      <c r="D232" s="1" t="n">
        <f aca="false">IFERROR(VLOOKUP(A232,Pedido!$A:$C,3,0),0)</f>
        <v>0</v>
      </c>
      <c r="E232" s="5" t="n">
        <f aca="false">IFERROR(VLOOKUP(A232,Pedido!$A:$E,5,0),0)</f>
        <v>0</v>
      </c>
      <c r="F232" s="1" t="s">
        <v>7</v>
      </c>
      <c r="G232" s="1" t="s">
        <v>139</v>
      </c>
      <c r="H232" s="1" t="s">
        <v>88</v>
      </c>
      <c r="I232" s="1" t="s">
        <v>36</v>
      </c>
      <c r="J232" s="1" t="s">
        <v>575</v>
      </c>
      <c r="K232" s="1" t="n">
        <v>670</v>
      </c>
      <c r="L232" s="11" t="n">
        <v>0.626340055764782</v>
      </c>
      <c r="M232" s="1" t="n">
        <f aca="false">SUMIF(Relatorio_AK!$A:$A,A232,Relatorio_AK!$B:$B)</f>
        <v>670</v>
      </c>
      <c r="N232" s="1" t="str">
        <f aca="false">IF(M232=K232,"OK","DIF")</f>
        <v>OK</v>
      </c>
      <c r="O232" s="13" t="str">
        <f aca="false">IFERROR(VLOOKUP($A232,Lista_Starke!$A:$E,3,0),"NÃO ESTÁ NA LISTA")</f>
        <v>VOLKSWAGEN: Fusca 1300 67/86
VOLKSWAGEN: Fusca 1600 74/96</v>
      </c>
      <c r="P232" s="12" t="str">
        <f aca="false">IFERROR(VLOOKUP($A232,Lista_Starke!$A:$E,2,0),"NÃO ESTÁ NA LISTA")</f>
        <v>CILINDRO DE RODA LE/LD</v>
      </c>
    </row>
    <row r="233" customFormat="false" ht="15" hidden="false" customHeight="true" outlineLevel="0" collapsed="false">
      <c r="A233" s="10" t="s">
        <v>576</v>
      </c>
      <c r="B233" s="10" t="str">
        <f aca="false">IFERROR(VLOOKUP(A233,Pedido!$A:$B,2,0),"")</f>
        <v/>
      </c>
      <c r="C233" s="10" t="str">
        <f aca="false">IF(B233="","NÃO COMPRA","COMPRA")</f>
        <v>NÃO COMPRA</v>
      </c>
      <c r="D233" s="1" t="n">
        <f aca="false">IFERROR(VLOOKUP(A233,Pedido!$A:$C,3,0),0)</f>
        <v>0</v>
      </c>
      <c r="E233" s="5" t="n">
        <f aca="false">IFERROR(VLOOKUP(A233,Pedido!$A:$E,5,0),0)</f>
        <v>0</v>
      </c>
      <c r="F233" s="1" t="s">
        <v>7</v>
      </c>
      <c r="G233" s="1" t="s">
        <v>34</v>
      </c>
      <c r="H233" s="1" t="s">
        <v>35</v>
      </c>
      <c r="I233" s="1" t="s">
        <v>36</v>
      </c>
      <c r="K233" s="1" t="n">
        <v>666</v>
      </c>
      <c r="L233" s="11" t="n">
        <v>0.627478600991184</v>
      </c>
      <c r="M233" s="1" t="n">
        <f aca="false">SUMIF(Relatorio_AK!$A:$A,A233,Relatorio_AK!$B:$B)</f>
        <v>666</v>
      </c>
      <c r="N233" s="1" t="str">
        <f aca="false">IF(M233=K233,"OK","DIF")</f>
        <v>OK</v>
      </c>
      <c r="O233" s="13" t="str">
        <f aca="false">IFERROR(VLOOKUP($A233,Lista_Starke!$A:$E,3,0),"NÃO ESTÁ NA LISTA")</f>
        <v>VOLKSWAGEN: Amarok 2.0 16V Diesel 10/...
VOLKSWAGEN: Amarok 3.0 V6 TDI DDXB/DDXE 17/...</v>
      </c>
      <c r="P233" s="12" t="str">
        <f aca="false">IFERROR(VLOOKUP($A233,Lista_Starke!$A:$E,2,0),"NÃO ESTÁ NA LISTA")</f>
        <v>CILINDRO MESTRE DE FREIO</v>
      </c>
    </row>
    <row r="234" customFormat="false" ht="15" hidden="false" customHeight="true" outlineLevel="0" collapsed="false">
      <c r="A234" s="10" t="s">
        <v>577</v>
      </c>
      <c r="B234" s="10" t="str">
        <f aca="false">IFERROR(VLOOKUP(A234,Pedido!$A:$B,2,0),"")</f>
        <v/>
      </c>
      <c r="C234" s="10" t="str">
        <f aca="false">IF(B234="","NÃO COMPRA","COMPRA")</f>
        <v>NÃO COMPRA</v>
      </c>
      <c r="D234" s="1" t="n">
        <f aca="false">IFERROR(VLOOKUP(A234,Pedido!$A:$C,3,0),0)</f>
        <v>0</v>
      </c>
      <c r="E234" s="5" t="n">
        <f aca="false">IFERROR(VLOOKUP(A234,Pedido!$A:$E,5,0),0)</f>
        <v>0</v>
      </c>
      <c r="F234" s="1" t="s">
        <v>7</v>
      </c>
      <c r="G234" s="1" t="s">
        <v>435</v>
      </c>
      <c r="H234" s="1" t="s">
        <v>235</v>
      </c>
      <c r="I234" s="1" t="s">
        <v>57</v>
      </c>
      <c r="J234" s="1" t="s">
        <v>578</v>
      </c>
      <c r="K234" s="1" t="n">
        <v>666</v>
      </c>
      <c r="L234" s="11" t="n">
        <v>0.628617146217585</v>
      </c>
      <c r="M234" s="1" t="n">
        <f aca="false">SUMIF(Relatorio_AK!$A:$A,A234,Relatorio_AK!$B:$B)</f>
        <v>666</v>
      </c>
      <c r="N234" s="1" t="str">
        <f aca="false">IF(M234=K234,"OK","DIF")</f>
        <v>OK</v>
      </c>
      <c r="O234" s="13" t="str">
        <f aca="false">IFERROR(VLOOKUP($A234,Lista_Starke!$A:$E,3,0),"NÃO ESTÁ NA LISTA")</f>
        <v>GM: S10 2.8 Turbodiedel Duramax 12/...
GM: Trailblazer 2.8 Turbodiesel Duramax 12/...</v>
      </c>
      <c r="P234" s="12" t="str">
        <f aca="false">IFERROR(VLOOKUP($A234,Lista_Starke!$A:$E,2,0),"NÃO ESTÁ NA LISTA")</f>
        <v>RESFRIADOR DE ÓLEO MOTOR</v>
      </c>
    </row>
    <row r="235" customFormat="false" ht="15" hidden="false" customHeight="true" outlineLevel="0" collapsed="false">
      <c r="A235" s="10" t="s">
        <v>579</v>
      </c>
      <c r="B235" s="10" t="str">
        <f aca="false">IFERROR(VLOOKUP(A235,Pedido!$A:$B,2,0),"")</f>
        <v/>
      </c>
      <c r="C235" s="10" t="str">
        <f aca="false">IF(B235="","NÃO COMPRA","COMPRA")</f>
        <v>NÃO COMPRA</v>
      </c>
      <c r="D235" s="1" t="n">
        <f aca="false">IFERROR(VLOOKUP(A235,Pedido!$A:$C,3,0),0)</f>
        <v>0</v>
      </c>
      <c r="E235" s="5" t="n">
        <f aca="false">IFERROR(VLOOKUP(A235,Pedido!$A:$E,5,0),0)</f>
        <v>0</v>
      </c>
      <c r="F235" s="1" t="s">
        <v>7</v>
      </c>
      <c r="G235" s="1" t="s">
        <v>580</v>
      </c>
      <c r="H235" s="1" t="s">
        <v>235</v>
      </c>
      <c r="I235" s="1" t="s">
        <v>581</v>
      </c>
      <c r="J235" s="1" t="s">
        <v>582</v>
      </c>
      <c r="K235" s="1" t="n">
        <v>666</v>
      </c>
      <c r="L235" s="11" t="n">
        <v>0.629755691443986</v>
      </c>
      <c r="M235" s="1" t="n">
        <f aca="false">SUMIF(Relatorio_AK!$A:$A,A235,Relatorio_AK!$B:$B)</f>
        <v>666</v>
      </c>
      <c r="N235" s="1" t="str">
        <f aca="false">IF(M235=K235,"OK","DIF")</f>
        <v>OK</v>
      </c>
      <c r="O235" s="13" t="str">
        <f aca="false">IFERROR(VLOOKUP($A235,Lista_Starke!$A:$E,3,0),"NÃO ESTÁ NA LISTA")</f>
        <v>DODGE: Journey 2.4 16V 4 cil    ED3 / EDG3 08/…
FIAT: Freemont 2.4 16V 11/…
FIAT: Toro 2.4 16V 16/…
JEEP: Compass 2.0 16V   ECN 11/…
JEEP: Compass 2.0 16V 16/…
JEEP: Compass 2.4 16V   ERZ 07/…</v>
      </c>
      <c r="P235" s="12" t="str">
        <f aca="false">IFERROR(VLOOKUP($A235,Lista_Starke!$A:$E,2,0),"NÃO ESTÁ NA LISTA")</f>
        <v>RESFRIADOR DE ÓLEO MOTOR</v>
      </c>
    </row>
    <row r="236" customFormat="false" ht="15" hidden="false" customHeight="true" outlineLevel="0" collapsed="false">
      <c r="A236" s="10" t="s">
        <v>583</v>
      </c>
      <c r="B236" s="10" t="str">
        <f aca="false">IFERROR(VLOOKUP(A236,Pedido!$A:$B,2,0),"")</f>
        <v/>
      </c>
      <c r="C236" s="10" t="str">
        <f aca="false">IF(B236="","NÃO COMPRA","COMPRA")</f>
        <v>NÃO COMPRA</v>
      </c>
      <c r="D236" s="1" t="n">
        <f aca="false">IFERROR(VLOOKUP(A236,Pedido!$A:$C,3,0),0)</f>
        <v>0</v>
      </c>
      <c r="E236" s="5" t="n">
        <f aca="false">IFERROR(VLOOKUP(A236,Pedido!$A:$E,5,0),0)</f>
        <v>0</v>
      </c>
      <c r="F236" s="1" t="s">
        <v>7</v>
      </c>
      <c r="G236" s="1" t="s">
        <v>584</v>
      </c>
      <c r="H236" s="1" t="s">
        <v>32</v>
      </c>
      <c r="I236" s="1" t="s">
        <v>172</v>
      </c>
      <c r="K236" s="1" t="n">
        <v>665</v>
      </c>
      <c r="L236" s="11" t="n">
        <v>0.63089252714302</v>
      </c>
      <c r="M236" s="1" t="n">
        <f aca="false">SUMIF(Relatorio_AK!$A:$A,A236,Relatorio_AK!$B:$B)</f>
        <v>665</v>
      </c>
      <c r="N236" s="1" t="str">
        <f aca="false">IF(M236=K236,"OK","DIF")</f>
        <v>OK</v>
      </c>
      <c r="O236" s="13" t="str">
        <f aca="false">IFERROR(VLOOKUP($A236,Lista_Starke!$A:$E,3,0),"NÃO ESTÁ NA LISTA")</f>
        <v>HYUNDAI: Creta 1.6 16V Flex G4FC 17/...
HYUNDAI: iX35 2.0 16V 10/…
HYUNDAI: Tucson 2.0 16V 04/…
KIA: Sportage 2.0 16V 07/…</v>
      </c>
      <c r="P236" s="12" t="str">
        <f aca="false">IFERROR(VLOOKUP($A236,Lista_Starke!$A:$E,2,0),"NÃO ESTÁ NA LISTA")</f>
        <v>CILINDRO MESTRE DE EMBREAGEM</v>
      </c>
    </row>
    <row r="237" customFormat="false" ht="15" hidden="false" customHeight="true" outlineLevel="0" collapsed="false">
      <c r="A237" s="10" t="s">
        <v>585</v>
      </c>
      <c r="B237" s="10" t="str">
        <f aca="false">IFERROR(VLOOKUP(A237,Pedido!$A:$B,2,0),"")</f>
        <v/>
      </c>
      <c r="C237" s="10" t="str">
        <f aca="false">IF(B237="","NÃO COMPRA","COMPRA")</f>
        <v>NÃO COMPRA</v>
      </c>
      <c r="D237" s="1" t="n">
        <f aca="false">IFERROR(VLOOKUP(A237,Pedido!$A:$C,3,0),0)</f>
        <v>0</v>
      </c>
      <c r="E237" s="5" t="n">
        <f aca="false">IFERROR(VLOOKUP(A237,Pedido!$A:$E,5,0),0)</f>
        <v>0</v>
      </c>
      <c r="F237" s="1" t="s">
        <v>7</v>
      </c>
      <c r="G237" s="1" t="s">
        <v>440</v>
      </c>
      <c r="H237" s="1" t="s">
        <v>131</v>
      </c>
      <c r="I237" s="1" t="s">
        <v>77</v>
      </c>
      <c r="J237" s="1" t="s">
        <v>586</v>
      </c>
      <c r="K237" s="1" t="n">
        <v>659</v>
      </c>
      <c r="L237" s="11" t="n">
        <v>0.632019105677853</v>
      </c>
      <c r="M237" s="1" t="n">
        <f aca="false">SUMIF(Relatorio_AK!$A:$A,A237,Relatorio_AK!$B:$B)</f>
        <v>659</v>
      </c>
      <c r="N237" s="1" t="str">
        <f aca="false">IF(M237=K237,"OK","DIF")</f>
        <v>OK</v>
      </c>
      <c r="O237" s="13" t="str">
        <f aca="false">IFERROR(VLOOKUP($A237,Lista_Starke!$A:$E,3,0),"NÃO ESTÁ NA LISTA")</f>
        <v>CITROEN: C3 1.5 8V 12/16
CITROEN: C3 1.6 16V 12/17
PEUGEOT: 208 1.5 8V 13/16
PEUGEOT: 208 1.6 16V 13/18</v>
      </c>
      <c r="P237" s="12" t="str">
        <f aca="false">IFERROR(VLOOKUP($A237,Lista_Starke!$A:$E,2,0),"NÃO ESTÁ NA LISTA")</f>
        <v>SAPATA DE FREIO</v>
      </c>
    </row>
    <row r="238" customFormat="false" ht="15" hidden="false" customHeight="true" outlineLevel="0" collapsed="false">
      <c r="A238" s="10" t="s">
        <v>587</v>
      </c>
      <c r="B238" s="10" t="str">
        <f aca="false">IFERROR(VLOOKUP(A238,Pedido!$A:$B,2,0),"")</f>
        <v/>
      </c>
      <c r="C238" s="10" t="str">
        <f aca="false">IF(B238="","NÃO COMPRA","COMPRA")</f>
        <v>NÃO COMPRA</v>
      </c>
      <c r="D238" s="1" t="n">
        <f aca="false">IFERROR(VLOOKUP(A238,Pedido!$A:$C,3,0),0)</f>
        <v>0</v>
      </c>
      <c r="E238" s="5" t="n">
        <f aca="false">IFERROR(VLOOKUP(A238,Pedido!$A:$E,5,0),0)</f>
        <v>0</v>
      </c>
      <c r="F238" s="1" t="s">
        <v>7</v>
      </c>
      <c r="G238" s="1" t="s">
        <v>588</v>
      </c>
      <c r="H238" s="1" t="s">
        <v>235</v>
      </c>
      <c r="I238" s="1" t="s">
        <v>589</v>
      </c>
      <c r="J238" s="1" t="s">
        <v>590</v>
      </c>
      <c r="K238" s="1" t="n">
        <v>657</v>
      </c>
      <c r="L238" s="11" t="n">
        <v>0.633142265157951</v>
      </c>
      <c r="M238" s="1" t="n">
        <f aca="false">SUMIF(Relatorio_AK!$A:$A,A238,Relatorio_AK!$B:$B)</f>
        <v>657</v>
      </c>
      <c r="N238" s="1" t="str">
        <f aca="false">IF(M238=K238,"OK","DIF")</f>
        <v>OK</v>
      </c>
      <c r="O238" s="13" t="str">
        <f aca="false">IFERROR(VLOOKUP($A238,Lista_Starke!$A:$E,3,0),"NÃO ESTÁ NA LISTA")</f>
        <v>AUDI: A3 1.8 20V 150 cv 99/06
AUDI: A3 1.8 20V Turbo 180 cv 99/06
AUDI: A4 1.8 20V Turbo 180 cv AWT / AEB / AJL 95/01
AUDI: A4 1.8 20V Turbo 8E2 / B6 / 8H7 02/…
AUDI: A4 1.8 20V Turbo AVJ / BFB 00/04
AUDI: A4 Avant 1.8 20V Turbo 180 cv AJL / AEB 94/00
AUDI: A6 1.8 20V Turbo 180 cv AFY / AJL 97/04
AUDI: A6 1.8 20V Turbo AWT 95/01
AUDI: A6 Avant 1.8 20V Turbo 180 cv AEB / AJL 94/00
AUDI: TT 1.8 20V Turbo 98/…
FORD: Royale 1.8 / 2.0 MI AP 91/96
FORD: Versailles 1.8 / 2.0 MI AP 91/96
VOLKSWAGEN: Bora 1.8 20V Turbo Higline 99/05
VOLKSWAGEN: Bora 2.0 8V APK / AZG / AZH / AQYAZJ / BER / CBPA 00/02
VOLKSWAGEN: Gol 1.6 / 1.8 / 2.0 MI AP 94/02
VOLKSWAGEN: Gol 1.6 / 1.8 / 2.0 MI AP Flex 05/09
VOLKSWAGEN: Gol GTI 2.0 MI AP 94/97
VOLKSWAGEN: Golf 1.6 8V 99/01
VOLKSWAGEN: Golf 1.8 20V Turbo AUM / AGU / AGN / AUQ 98/…
VOLKSWAGEN: Golf 1.8 8V Flex / 2.0 20V Flex Black Edition 10/…
VOLKSWAGEN: Golf 2.0 8V APK AQY AZG AZJ 99/…
VOLKSWAGEN: New Beetle 1.8 20V Turbo 98/…
VOLKSWAGEN: New Beetle 2.0 8V AWV / AWU / AQY 99/…
VOLKSWAGEN: Parati 1.6 / 1.8 / 2.0 MI AP 03/...
VOLKSWAGEN: Parati 1.6 / 1.8 / 2.0 MI AP 88/99
VOLKSWAGEN: Parati 1.6 / 1.8 / 2.0 MI AP Flex 00/...
VOLKSWAGEN: Passat 1.8 01/05
VOLKSWAGEN: Passat 2.0 AZM 01/05
VOLKSWAGEN: Pointer 1.6 / 1.8 / 2.0 MI AP 94/96
VOLKSWAGEN: Polo 2.0 8V 02/…
VOLKSWAGEN: Polo GTI 1.8 20V Turbo 06/08
VOLKSWAGEN: Quantum 1.6 / 1.8 / 2.0 MI AP 94/03
VOLKSWAGEN: Santana 1.6 / 1.8 / 2.0 MI AP 94/06
VOLKSWAGEN: Saveiro 1.6 / 1.8 / 2.0 MI AP 94/02
VOLKSWAGEN: Saveiro 1.6 / 1.8 / 2.0 MI AP Flex 03/...
VOLKSWAGEN: Variant 1.8 01/05
VOLKSWAGEN: Variant 2.0 AZM 01/05</v>
      </c>
      <c r="P238" s="12" t="str">
        <f aca="false">IFERROR(VLOOKUP($A238,Lista_Starke!$A:$E,2,0),"NÃO ESTÁ NA LISTA")</f>
        <v>RESFRIADOR DE ÓLEO MOTOR</v>
      </c>
    </row>
    <row r="239" customFormat="false" ht="15" hidden="false" customHeight="true" outlineLevel="0" collapsed="false">
      <c r="A239" s="10" t="s">
        <v>591</v>
      </c>
      <c r="B239" s="10" t="str">
        <f aca="false">IFERROR(VLOOKUP(A239,Pedido!$A:$B,2,0),"")</f>
        <v/>
      </c>
      <c r="C239" s="10" t="str">
        <f aca="false">IF(B239="","NÃO COMPRA","COMPRA")</f>
        <v>NÃO COMPRA</v>
      </c>
      <c r="D239" s="1" t="n">
        <f aca="false">IFERROR(VLOOKUP(A239,Pedido!$A:$C,3,0),0)</f>
        <v>0</v>
      </c>
      <c r="E239" s="5" t="n">
        <f aca="false">IFERROR(VLOOKUP(A239,Pedido!$A:$E,5,0),0)</f>
        <v>0</v>
      </c>
      <c r="F239" s="1" t="s">
        <v>7</v>
      </c>
      <c r="G239" s="1" t="s">
        <v>34</v>
      </c>
      <c r="H239" s="1" t="s">
        <v>35</v>
      </c>
      <c r="I239" s="1" t="s">
        <v>36</v>
      </c>
      <c r="K239" s="1" t="n">
        <v>656</v>
      </c>
      <c r="L239" s="11" t="n">
        <v>0.634263715110683</v>
      </c>
      <c r="M239" s="1" t="n">
        <f aca="false">SUMIF(Relatorio_AK!$A:$A,A239,Relatorio_AK!$B:$B)</f>
        <v>656</v>
      </c>
      <c r="N239" s="1" t="str">
        <f aca="false">IF(M239=K239,"OK","DIF")</f>
        <v>OK</v>
      </c>
      <c r="O239" s="13" t="str">
        <f aca="false">IFERROR(VLOOKUP($A239,Lista_Starke!$A:$E,3,0),"NÃO ESTÁ NA LISTA")</f>
        <v>VOLKSWAGEN: Delivery 4.150 Express Euro V 18/...
VOLKSWAGEN: Delivery 4.170 Express Euro VI 18/...
VOLKSWAGEN: Delivery 6.160 Express Euro V / Euro VI 18/...
VOLKSWAGEN: Delivery 6.170 Express Euro VI 18/...</v>
      </c>
      <c r="P239" s="12" t="str">
        <f aca="false">IFERROR(VLOOKUP($A239,Lista_Starke!$A:$E,2,0),"NÃO ESTÁ NA LISTA")</f>
        <v>CILINDRO MESTRE DE FREIO</v>
      </c>
    </row>
    <row r="240" customFormat="false" ht="15" hidden="false" customHeight="true" outlineLevel="0" collapsed="false">
      <c r="A240" s="10" t="s">
        <v>592</v>
      </c>
      <c r="B240" s="10" t="str">
        <f aca="false">IFERROR(VLOOKUP(A240,Pedido!$A:$B,2,0),"")</f>
        <v/>
      </c>
      <c r="C240" s="10" t="str">
        <f aca="false">IF(B240="","NÃO COMPRA","COMPRA")</f>
        <v>NÃO COMPRA</v>
      </c>
      <c r="D240" s="1" t="n">
        <f aca="false">IFERROR(VLOOKUP(A240,Pedido!$A:$C,3,0),0)</f>
        <v>0</v>
      </c>
      <c r="E240" s="5" t="n">
        <f aca="false">IFERROR(VLOOKUP(A240,Pedido!$A:$E,5,0),0)</f>
        <v>0</v>
      </c>
      <c r="F240" s="1" t="s">
        <v>7</v>
      </c>
      <c r="G240" s="1" t="s">
        <v>191</v>
      </c>
      <c r="H240" s="1" t="s">
        <v>35</v>
      </c>
      <c r="I240" s="1" t="s">
        <v>50</v>
      </c>
      <c r="K240" s="1" t="n">
        <v>654</v>
      </c>
      <c r="L240" s="11" t="n">
        <v>0.635381746008681</v>
      </c>
      <c r="M240" s="1" t="n">
        <f aca="false">SUMIF(Relatorio_AK!$A:$A,A240,Relatorio_AK!$B:$B)</f>
        <v>654</v>
      </c>
      <c r="N240" s="1" t="str">
        <f aca="false">IF(M240=K240,"OK","DIF")</f>
        <v>OK</v>
      </c>
      <c r="O240" s="12" t="str">
        <f aca="false">IFERROR(VLOOKUP($A240,Lista_Starke!$A:$E,3,0),"NÃO ESTÁ NA LISTA")</f>
        <v>HONDA: New Civic 1.8 16V 12/16</v>
      </c>
      <c r="P240" s="12" t="str">
        <f aca="false">IFERROR(VLOOKUP($A240,Lista_Starke!$A:$E,2,0),"NÃO ESTÁ NA LISTA")</f>
        <v>CILINDRO MESTRE DE FREIO</v>
      </c>
    </row>
    <row r="241" customFormat="false" ht="15" hidden="false" customHeight="true" outlineLevel="0" collapsed="false">
      <c r="A241" s="10" t="s">
        <v>593</v>
      </c>
      <c r="B241" s="10" t="str">
        <f aca="false">IFERROR(VLOOKUP(A241,Pedido!$A:$B,2,0),"")</f>
        <v/>
      </c>
      <c r="C241" s="10" t="str">
        <f aca="false">IF(B241="","NÃO COMPRA","COMPRA")</f>
        <v>NÃO COMPRA</v>
      </c>
      <c r="D241" s="1" t="n">
        <f aca="false">IFERROR(VLOOKUP(A241,Pedido!$A:$C,3,0),0)</f>
        <v>0</v>
      </c>
      <c r="E241" s="5" t="n">
        <f aca="false">IFERROR(VLOOKUP(A241,Pedido!$A:$E,5,0),0)</f>
        <v>0</v>
      </c>
      <c r="F241" s="1" t="s">
        <v>7</v>
      </c>
      <c r="G241" s="1" t="s">
        <v>191</v>
      </c>
      <c r="H241" s="1" t="s">
        <v>35</v>
      </c>
      <c r="I241" s="1" t="s">
        <v>50</v>
      </c>
      <c r="K241" s="1" t="n">
        <v>652</v>
      </c>
      <c r="L241" s="11" t="n">
        <v>0.636496357851944</v>
      </c>
      <c r="M241" s="1" t="n">
        <f aca="false">SUMIF(Relatorio_AK!$A:$A,A241,Relatorio_AK!$B:$B)</f>
        <v>652</v>
      </c>
      <c r="N241" s="1" t="str">
        <f aca="false">IF(M241=K241,"OK","DIF")</f>
        <v>OK</v>
      </c>
      <c r="O241" s="13" t="str">
        <f aca="false">IFERROR(VLOOKUP($A241,Lista_Starke!$A:$E,3,0),"NÃO ESTÁ NA LISTA")</f>
        <v>HONDA: City 1.5 16V 15/20
HONDA: Fit 1.5 16V 15/...
HONDA: WRV 1.5 16V 18/19</v>
      </c>
      <c r="P241" s="12" t="str">
        <f aca="false">IFERROR(VLOOKUP($A241,Lista_Starke!$A:$E,2,0),"NÃO ESTÁ NA LISTA")</f>
        <v>CILINDRO MESTRE DE FREIO</v>
      </c>
    </row>
    <row r="242" customFormat="false" ht="15" hidden="false" customHeight="true" outlineLevel="0" collapsed="false">
      <c r="A242" s="10" t="s">
        <v>594</v>
      </c>
      <c r="B242" s="10" t="str">
        <f aca="false">IFERROR(VLOOKUP(A242,Pedido!$A:$B,2,0),"")</f>
        <v/>
      </c>
      <c r="C242" s="10" t="str">
        <f aca="false">IF(B242="","NÃO COMPRA","COMPRA")</f>
        <v>NÃO COMPRA</v>
      </c>
      <c r="D242" s="1" t="n">
        <f aca="false">IFERROR(VLOOKUP(A242,Pedido!$A:$C,3,0),0)</f>
        <v>0</v>
      </c>
      <c r="E242" s="5" t="n">
        <f aca="false">IFERROR(VLOOKUP(A242,Pedido!$A:$E,5,0),0)</f>
        <v>0</v>
      </c>
      <c r="F242" s="1" t="s">
        <v>7</v>
      </c>
      <c r="G242" s="1" t="s">
        <v>193</v>
      </c>
      <c r="H242" s="1" t="s">
        <v>32</v>
      </c>
      <c r="I242" s="1" t="s">
        <v>53</v>
      </c>
      <c r="K242" s="1" t="n">
        <v>651</v>
      </c>
      <c r="L242" s="11" t="n">
        <v>0.637609260167841</v>
      </c>
      <c r="M242" s="1" t="n">
        <f aca="false">SUMIF(Relatorio_AK!$A:$A,A242,Relatorio_AK!$B:$B)</f>
        <v>651</v>
      </c>
      <c r="N242" s="1" t="str">
        <f aca="false">IF(M242=K242,"OK","DIF")</f>
        <v>OK</v>
      </c>
      <c r="O242" s="13" t="str">
        <f aca="false">IFERROR(VLOOKUP($A242,Lista_Starke!$A:$E,3,0),"NÃO ESTÁ NA LISTA")</f>
        <v>FORD: Ecosport 1.6 16V Sigma 13/...
FORD: New Fiesta 1.5 16V / 1.6 16V Sigma 13/...</v>
      </c>
      <c r="P242" s="12" t="str">
        <f aca="false">IFERROR(VLOOKUP($A242,Lista_Starke!$A:$E,2,0),"NÃO ESTÁ NA LISTA")</f>
        <v>CILINDRO MESTRE DE EMBREAGEM</v>
      </c>
    </row>
    <row r="243" customFormat="false" ht="15" hidden="false" customHeight="true" outlineLevel="0" collapsed="false">
      <c r="A243" s="10" t="s">
        <v>595</v>
      </c>
      <c r="B243" s="10" t="str">
        <f aca="false">IFERROR(VLOOKUP(A243,Pedido!$A:$B,2,0),"")</f>
        <v/>
      </c>
      <c r="C243" s="10" t="str">
        <f aca="false">IF(B243="","NÃO COMPRA","COMPRA")</f>
        <v>NÃO COMPRA</v>
      </c>
      <c r="D243" s="1" t="n">
        <f aca="false">IFERROR(VLOOKUP(A243,Pedido!$A:$C,3,0),0)</f>
        <v>0</v>
      </c>
      <c r="E243" s="5" t="n">
        <f aca="false">IFERROR(VLOOKUP(A243,Pedido!$A:$E,5,0),0)</f>
        <v>0</v>
      </c>
      <c r="F243" s="1" t="s">
        <v>7</v>
      </c>
      <c r="G243" s="1" t="s">
        <v>52</v>
      </c>
      <c r="H243" s="1" t="s">
        <v>35</v>
      </c>
      <c r="I243" s="1" t="s">
        <v>53</v>
      </c>
      <c r="J243" s="1" t="s">
        <v>596</v>
      </c>
      <c r="K243" s="1" t="n">
        <v>650</v>
      </c>
      <c r="L243" s="11" t="n">
        <v>0.638720452956371</v>
      </c>
      <c r="M243" s="1" t="n">
        <f aca="false">SUMIF(Relatorio_AK!$A:$A,A243,Relatorio_AK!$B:$B)</f>
        <v>650</v>
      </c>
      <c r="N243" s="1" t="str">
        <f aca="false">IF(M243=K243,"OK","DIF")</f>
        <v>OK</v>
      </c>
      <c r="O243" s="13" t="str">
        <f aca="false">IFERROR(VLOOKUP($A243,Lista_Starke!$A:$E,3,0),"NÃO ESTÁ NA LISTA")</f>
        <v>FORD: Ecosport 1.6 16V Sigma 4x2 12/...
FORD: Ecosport 2.0 16V 4x4 12/...</v>
      </c>
      <c r="P243" s="12" t="str">
        <f aca="false">IFERROR(VLOOKUP($A243,Lista_Starke!$A:$E,2,0),"NÃO ESTÁ NA LISTA")</f>
        <v>CILINDRO MESTRE DE FREIO</v>
      </c>
    </row>
    <row r="244" customFormat="false" ht="15" hidden="false" customHeight="true" outlineLevel="0" collapsed="false">
      <c r="A244" s="10" t="s">
        <v>597</v>
      </c>
      <c r="B244" s="10" t="str">
        <f aca="false">IFERROR(VLOOKUP(A244,Pedido!$A:$B,2,0),"")</f>
        <v/>
      </c>
      <c r="C244" s="10" t="str">
        <f aca="false">IF(B244="","NÃO COMPRA","COMPRA")</f>
        <v>NÃO COMPRA</v>
      </c>
      <c r="D244" s="1" t="n">
        <f aca="false">IFERROR(VLOOKUP(A244,Pedido!$A:$C,3,0),0)</f>
        <v>0</v>
      </c>
      <c r="E244" s="5" t="n">
        <f aca="false">IFERROR(VLOOKUP(A244,Pedido!$A:$E,5,0),0)</f>
        <v>0</v>
      </c>
      <c r="F244" s="1" t="s">
        <v>7</v>
      </c>
      <c r="G244" s="1" t="s">
        <v>557</v>
      </c>
      <c r="H244" s="1" t="s">
        <v>88</v>
      </c>
      <c r="I244" s="1" t="s">
        <v>50</v>
      </c>
      <c r="J244" s="1" t="s">
        <v>598</v>
      </c>
      <c r="K244" s="1" t="n">
        <v>639</v>
      </c>
      <c r="L244" s="11" t="n">
        <v>0.639812840943864</v>
      </c>
      <c r="M244" s="1" t="n">
        <f aca="false">SUMIF(Relatorio_AK!$A:$A,A244,Relatorio_AK!$B:$B)</f>
        <v>639</v>
      </c>
      <c r="N244" s="1" t="str">
        <f aca="false">IF(M244=K244,"OK","DIF")</f>
        <v>OK</v>
      </c>
      <c r="O244" s="13" t="str">
        <f aca="false">IFERROR(VLOOKUP($A244,Lista_Starke!$A:$E,3,0),"NÃO ESTÁ NA LISTA")</f>
        <v>HONDA: City 1.5 16V 15/...
HONDA: Fit 1.5 16V 15/...
HONDA: WRV 1.5 16V 18/...</v>
      </c>
      <c r="P244" s="12" t="str">
        <f aca="false">IFERROR(VLOOKUP($A244,Lista_Starke!$A:$E,2,0),"NÃO ESTÁ NA LISTA")</f>
        <v>CILINDRO DE RODA LE/LD</v>
      </c>
    </row>
    <row r="245" customFormat="false" ht="15" hidden="false" customHeight="true" outlineLevel="0" collapsed="false">
      <c r="A245" s="10" t="s">
        <v>599</v>
      </c>
      <c r="B245" s="10" t="str">
        <f aca="false">IFERROR(VLOOKUP(A245,Pedido!$A:$B,2,0),"")</f>
        <v/>
      </c>
      <c r="C245" s="10" t="str">
        <f aca="false">IF(B245="","NÃO COMPRA","COMPRA")</f>
        <v>NÃO COMPRA</v>
      </c>
      <c r="D245" s="1" t="n">
        <f aca="false">IFERROR(VLOOKUP(A245,Pedido!$A:$C,3,0),0)</f>
        <v>0</v>
      </c>
      <c r="E245" s="5" t="n">
        <f aca="false">IFERROR(VLOOKUP(A245,Pedido!$A:$E,5,0),0)</f>
        <v>0</v>
      </c>
      <c r="F245" s="1" t="s">
        <v>7</v>
      </c>
      <c r="G245" s="1" t="s">
        <v>325</v>
      </c>
      <c r="H245" s="1" t="s">
        <v>600</v>
      </c>
      <c r="I245" s="1" t="s">
        <v>286</v>
      </c>
      <c r="K245" s="1" t="n">
        <v>636</v>
      </c>
      <c r="L245" s="11" t="n">
        <v>0.640900100349256</v>
      </c>
      <c r="M245" s="1" t="n">
        <f aca="false">SUMIF(Relatorio_AK!$A:$A,A245,Relatorio_AK!$B:$B)</f>
        <v>636</v>
      </c>
      <c r="N245" s="1" t="str">
        <f aca="false">IF(M245=K245,"OK","DIF")</f>
        <v>OK</v>
      </c>
      <c r="O245" s="13" t="str">
        <f aca="false">IFERROR(VLOOKUP($A245,Lista_Starke!$A:$E,3,0),"NÃO ESTÁ NA LISTA")</f>
        <v>FORD: Ranger 3.0 Turbo Diesel  NGD 05/…
TROLLER: T4 3.0 Turbo Diesel  NGD 07/…</v>
      </c>
      <c r="P245" s="12" t="str">
        <f aca="false">IFERROR(VLOOKUP($A245,Lista_Starke!$A:$E,2,0),"NÃO ESTÁ NA LISTA")</f>
        <v>BOMBA DE VÁCUO FREIO</v>
      </c>
    </row>
    <row r="246" customFormat="false" ht="15" hidden="false" customHeight="true" outlineLevel="0" collapsed="false">
      <c r="A246" s="10" t="s">
        <v>601</v>
      </c>
      <c r="B246" s="10" t="str">
        <f aca="false">IFERROR(VLOOKUP(A246,Pedido!$A:$B,2,0),"")</f>
        <v/>
      </c>
      <c r="C246" s="10" t="str">
        <f aca="false">IF(B246="","NÃO COMPRA","COMPRA")</f>
        <v>NÃO COMPRA</v>
      </c>
      <c r="D246" s="1" t="n">
        <f aca="false">IFERROR(VLOOKUP(A246,Pedido!$A:$C,3,0),0)</f>
        <v>0</v>
      </c>
      <c r="E246" s="5" t="n">
        <f aca="false">IFERROR(VLOOKUP(A246,Pedido!$A:$E,5,0),0)</f>
        <v>0</v>
      </c>
      <c r="F246" s="1" t="s">
        <v>7</v>
      </c>
      <c r="G246" s="1" t="s">
        <v>602</v>
      </c>
      <c r="H246" s="1" t="s">
        <v>35</v>
      </c>
      <c r="I246" s="1" t="s">
        <v>172</v>
      </c>
      <c r="K246" s="1" t="n">
        <v>634</v>
      </c>
      <c r="L246" s="11" t="n">
        <v>0.641983940699914</v>
      </c>
      <c r="M246" s="1" t="n">
        <f aca="false">SUMIF(Relatorio_AK!$A:$A,A246,Relatorio_AK!$B:$B)</f>
        <v>634</v>
      </c>
      <c r="N246" s="1" t="str">
        <f aca="false">IF(M246=K246,"OK","DIF")</f>
        <v>OK</v>
      </c>
      <c r="O246" s="13" t="str">
        <f aca="false">IFERROR(VLOOKUP($A246,Lista_Starke!$A:$E,3,0),"NÃO ESTÁ NA LISTA")</f>
        <v>HYUNDAI: HR 2.5 8V Diesel 05/12
KIA: Bongo K2500 2.5 8V Diesel 05/12</v>
      </c>
      <c r="P246" s="12" t="str">
        <f aca="false">IFERROR(VLOOKUP($A246,Lista_Starke!$A:$E,2,0),"NÃO ESTÁ NA LISTA")</f>
        <v>CILINDRO MESTRE DE FREIO</v>
      </c>
    </row>
    <row r="247" customFormat="false" ht="15" hidden="false" customHeight="true" outlineLevel="0" collapsed="false">
      <c r="A247" s="10" t="s">
        <v>603</v>
      </c>
      <c r="B247" s="10" t="str">
        <f aca="false">IFERROR(VLOOKUP(A247,Pedido!$A:$B,2,0),"")</f>
        <v/>
      </c>
      <c r="C247" s="10" t="str">
        <f aca="false">IF(B247="","NÃO COMPRA","COMPRA")</f>
        <v>NÃO COMPRA</v>
      </c>
      <c r="D247" s="1" t="n">
        <f aca="false">IFERROR(VLOOKUP(A247,Pedido!$A:$C,3,0),0)</f>
        <v>0</v>
      </c>
      <c r="E247" s="5" t="n">
        <f aca="false">IFERROR(VLOOKUP(A247,Pedido!$A:$E,5,0),0)</f>
        <v>0</v>
      </c>
      <c r="F247" s="1" t="s">
        <v>7</v>
      </c>
      <c r="G247" s="1" t="s">
        <v>56</v>
      </c>
      <c r="H247" s="1" t="s">
        <v>35</v>
      </c>
      <c r="I247" s="1" t="s">
        <v>57</v>
      </c>
      <c r="J247" s="1" t="s">
        <v>604</v>
      </c>
      <c r="K247" s="1" t="n">
        <v>632</v>
      </c>
      <c r="L247" s="11" t="n">
        <v>0.643064361995839</v>
      </c>
      <c r="M247" s="1" t="n">
        <f aca="false">SUMIF(Relatorio_AK!$A:$A,A247,Relatorio_AK!$B:$B)</f>
        <v>632</v>
      </c>
      <c r="N247" s="1" t="str">
        <f aca="false">IF(M247=K247,"OK","DIF")</f>
        <v>OK</v>
      </c>
      <c r="O247" s="13" t="str">
        <f aca="false">IFERROR(VLOOKUP($A247,Lista_Starke!$A:$E,3,0),"NÃO ESTÁ NA LISTA")</f>
        <v>GM: Corsa 1.8 8V / 1.8 16V 02/12
GM: Montana 1.8 8V 02/10</v>
      </c>
      <c r="P247" s="12" t="str">
        <f aca="false">IFERROR(VLOOKUP($A247,Lista_Starke!$A:$E,2,0),"NÃO ESTÁ NA LISTA")</f>
        <v>CILINDRO MESTRE DE FREIO</v>
      </c>
    </row>
    <row r="248" customFormat="false" ht="15" hidden="false" customHeight="true" outlineLevel="0" collapsed="false">
      <c r="A248" s="10" t="s">
        <v>605</v>
      </c>
      <c r="B248" s="10" t="str">
        <f aca="false">IFERROR(VLOOKUP(A248,Pedido!$A:$B,2,0),"")</f>
        <v/>
      </c>
      <c r="C248" s="10" t="str">
        <f aca="false">IF(B248="","NÃO COMPRA","COMPRA")</f>
        <v>NÃO COMPRA</v>
      </c>
      <c r="D248" s="1" t="n">
        <f aca="false">IFERROR(VLOOKUP(A248,Pedido!$A:$C,3,0),0)</f>
        <v>0</v>
      </c>
      <c r="E248" s="5" t="n">
        <f aca="false">IFERROR(VLOOKUP(A248,Pedido!$A:$E,5,0),0)</f>
        <v>0</v>
      </c>
      <c r="F248" s="1" t="s">
        <v>7</v>
      </c>
      <c r="G248" s="1" t="s">
        <v>147</v>
      </c>
      <c r="H248" s="1" t="s">
        <v>600</v>
      </c>
      <c r="I248" s="1" t="s">
        <v>606</v>
      </c>
      <c r="J248" s="1" t="s">
        <v>607</v>
      </c>
      <c r="K248" s="1" t="n">
        <v>630</v>
      </c>
      <c r="L248" s="11" t="n">
        <v>0.644141364237029</v>
      </c>
      <c r="M248" s="1" t="n">
        <f aca="false">SUMIF(Relatorio_AK!$A:$A,A248,Relatorio_AK!$B:$B)</f>
        <v>630</v>
      </c>
      <c r="N248" s="1" t="str">
        <f aca="false">IF(M248=K248,"OK","DIF")</f>
        <v>OK</v>
      </c>
      <c r="O248" s="13" t="str">
        <f aca="false">IFERROR(VLOOKUP($A248,Lista_Starke!$A:$E,3,0),"NÃO ESTÁ NA LISTA")</f>
        <v>GM: Blazer 2.8 4 cil Turbo Diesel MWM 4.07T / 4.07TCA 00/12
GM: S10 2.8 4 cil Turbo Diesel MWM 4.07T / 4.07TCA 00/12
NISSAN: Frontier 2.8 4 cil Turbo Diesel MWM 4.07T / 4.07TCA 02/…
NISSAN: X Terra 2.8 4 cil Turbo Diesel MWM 4.07T / 4.07TCA 02/…
TROLLER: T4 2.8 4 cil Diesel MWM 4.07T / 4.07TCA 98/…</v>
      </c>
      <c r="P248" s="12" t="str">
        <f aca="false">IFERROR(VLOOKUP($A248,Lista_Starke!$A:$E,2,0),"NÃO ESTÁ NA LISTA")</f>
        <v>BOMBA DE VÁCUO FREIO</v>
      </c>
    </row>
    <row r="249" customFormat="false" ht="15" hidden="false" customHeight="true" outlineLevel="0" collapsed="false">
      <c r="A249" s="10" t="s">
        <v>608</v>
      </c>
      <c r="B249" s="10" t="str">
        <f aca="false">IFERROR(VLOOKUP(A249,Pedido!$A:$B,2,0),"")</f>
        <v/>
      </c>
      <c r="C249" s="10" t="str">
        <f aca="false">IF(B249="","NÃO COMPRA","COMPRA")</f>
        <v>NÃO COMPRA</v>
      </c>
      <c r="D249" s="1" t="n">
        <f aca="false">IFERROR(VLOOKUP(A249,Pedido!$A:$C,3,0),0)</f>
        <v>0</v>
      </c>
      <c r="E249" s="5" t="n">
        <f aca="false">IFERROR(VLOOKUP(A249,Pedido!$A:$E,5,0),0)</f>
        <v>0</v>
      </c>
      <c r="F249" s="1" t="s">
        <v>7</v>
      </c>
      <c r="G249" s="1" t="s">
        <v>349</v>
      </c>
      <c r="H249" s="1" t="s">
        <v>197</v>
      </c>
      <c r="I249" s="1" t="s">
        <v>57</v>
      </c>
      <c r="J249" s="1" t="s">
        <v>609</v>
      </c>
      <c r="K249" s="1" t="n">
        <v>630</v>
      </c>
      <c r="L249" s="11" t="n">
        <v>0.645218366478219</v>
      </c>
      <c r="M249" s="1" t="n">
        <f aca="false">SUMIF(Relatorio_AK!$A:$A,A249,Relatorio_AK!$B:$B)</f>
        <v>630</v>
      </c>
      <c r="N249" s="1" t="str">
        <f aca="false">IF(M249=K249,"OK","DIF")</f>
        <v>OK</v>
      </c>
      <c r="O249" s="13" t="str">
        <f aca="false">IFERROR(VLOOKUP($A249,Lista_Starke!$A:$E,3,0),"NÃO ESTÁ NA LISTA")</f>
        <v>GM: Montana 1.2 12V 3 cil Turbo 23/...
GM: Onix 1.0 12V 3 cil Turbo 20/...
GM: Onix Plus 1.0.12V 3 cil Turbo 20/...
GM: Tracker 1.0 12V 3 cil Turbo 20/...
GM: Tracker 1.2 12V 3 cil Turbo 20/...</v>
      </c>
      <c r="P249" s="12" t="str">
        <f aca="false">IFERROR(VLOOKUP($A249,Lista_Starke!$A:$E,2,0),"NÃO ESTÁ NA LISTA")</f>
        <v>BOMBA D'ÁGUA</v>
      </c>
    </row>
    <row r="250" customFormat="false" ht="15" hidden="false" customHeight="true" outlineLevel="0" collapsed="false">
      <c r="A250" s="10" t="s">
        <v>610</v>
      </c>
      <c r="B250" s="10" t="str">
        <f aca="false">IFERROR(VLOOKUP(A250,Pedido!$A:$B,2,0),"")</f>
        <v/>
      </c>
      <c r="C250" s="10" t="str">
        <f aca="false">IF(B250="","NÃO COMPRA","COMPRA")</f>
        <v>NÃO COMPRA</v>
      </c>
      <c r="D250" s="1" t="n">
        <f aca="false">IFERROR(VLOOKUP(A250,Pedido!$A:$C,3,0),0)</f>
        <v>0</v>
      </c>
      <c r="E250" s="5" t="n">
        <f aca="false">IFERROR(VLOOKUP(A250,Pedido!$A:$E,5,0),0)</f>
        <v>0</v>
      </c>
      <c r="F250" s="1" t="s">
        <v>7</v>
      </c>
      <c r="G250" s="1" t="s">
        <v>314</v>
      </c>
      <c r="H250" s="1" t="s">
        <v>131</v>
      </c>
      <c r="I250" s="1" t="s">
        <v>42</v>
      </c>
      <c r="J250" s="1" t="s">
        <v>611</v>
      </c>
      <c r="K250" s="1" t="n">
        <v>626</v>
      </c>
      <c r="L250" s="11" t="n">
        <v>0.646288530609942</v>
      </c>
      <c r="M250" s="1" t="n">
        <f aca="false">SUMIF(Relatorio_AK!$A:$A,A250,Relatorio_AK!$B:$B)</f>
        <v>626</v>
      </c>
      <c r="N250" s="1" t="str">
        <f aca="false">IF(M250=K250,"OK","DIF")</f>
        <v>OK</v>
      </c>
      <c r="O250" s="13" t="str">
        <f aca="false">IFERROR(VLOOKUP($A250,Lista_Starke!$A:$E,3,0),"NÃO ESTÁ NA LISTA")</f>
        <v>RENAULT: Clio 1.2 98/...
RENAULT: Clio 1.4 16V 00/08
RENAULT: Logan 1.0 / 1.6 08/...
RENAULT: Sandero 1.0 / 1.6 08/13</v>
      </c>
      <c r="P250" s="12" t="str">
        <f aca="false">IFERROR(VLOOKUP($A250,Lista_Starke!$A:$E,2,0),"NÃO ESTÁ NA LISTA")</f>
        <v>SAPATA DE FREIO</v>
      </c>
    </row>
    <row r="251" customFormat="false" ht="15" hidden="false" customHeight="true" outlineLevel="0" collapsed="false">
      <c r="A251" s="10" t="s">
        <v>612</v>
      </c>
      <c r="B251" s="10" t="str">
        <f aca="false">IFERROR(VLOOKUP(A251,Pedido!$A:$B,2,0),"")</f>
        <v/>
      </c>
      <c r="C251" s="10" t="str">
        <f aca="false">IF(B251="","NÃO COMPRA","COMPRA")</f>
        <v>NÃO COMPRA</v>
      </c>
      <c r="D251" s="1" t="n">
        <f aca="false">IFERROR(VLOOKUP(A251,Pedido!$A:$C,3,0),0)</f>
        <v>0</v>
      </c>
      <c r="E251" s="5" t="n">
        <f aca="false">IFERROR(VLOOKUP(A251,Pedido!$A:$E,5,0),0)</f>
        <v>0</v>
      </c>
      <c r="F251" s="1" t="s">
        <v>7</v>
      </c>
      <c r="G251" s="1" t="s">
        <v>130</v>
      </c>
      <c r="H251" s="1" t="s">
        <v>131</v>
      </c>
      <c r="I251" s="1" t="s">
        <v>613</v>
      </c>
      <c r="J251" s="1" t="s">
        <v>614</v>
      </c>
      <c r="K251" s="1" t="n">
        <v>625</v>
      </c>
      <c r="L251" s="11" t="n">
        <v>0.647356985214297</v>
      </c>
      <c r="M251" s="1" t="n">
        <f aca="false">SUMIF(Relatorio_AK!$A:$A,A251,Relatorio_AK!$B:$B)</f>
        <v>625</v>
      </c>
      <c r="N251" s="1" t="str">
        <f aca="false">IF(M251=K251,"OK","DIF")</f>
        <v>OK</v>
      </c>
      <c r="O251" s="13" t="str">
        <f aca="false">IFERROR(VLOOKUP($A251,Lista_Starke!$A:$E,3,0),"NÃO ESTÁ NA LISTA")</f>
        <v>FIAT: Doblo 1.3 8V Fire 01/06
FIAT: Doblo 1.4 8V Fire 09/...
FIAT: Doblo 1.6 16V 01/03
FIAT: Doblo 1.8 16V Etorq 10/...
FIAT: Doblo 1.8 8V Adventure Locker 09/10
FIAT: Strada 1.4 8V Fire 09/...
FIAT: Strada 1.8 16V Adventure Locker 08/15
FIAT: Strada 1.8 16V Etorq 10/...
FIAT: Strada 1.8 8V Powertrain 08/...
GM: Doblo 1.8 8V Powertrain 03/10</v>
      </c>
      <c r="P251" s="12" t="str">
        <f aca="false">IFERROR(VLOOKUP($A251,Lista_Starke!$A:$E,2,0),"NÃO ESTÁ NA LISTA")</f>
        <v>SAPATA DE FREIO</v>
      </c>
    </row>
    <row r="252" customFormat="false" ht="15" hidden="false" customHeight="true" outlineLevel="0" collapsed="false">
      <c r="A252" s="10" t="s">
        <v>615</v>
      </c>
      <c r="B252" s="10" t="str">
        <f aca="false">IFERROR(VLOOKUP(A252,Pedido!$A:$B,2,0),"")</f>
        <v/>
      </c>
      <c r="C252" s="10" t="str">
        <f aca="false">IF(B252="","NÃO COMPRA","COMPRA")</f>
        <v>NÃO COMPRA</v>
      </c>
      <c r="D252" s="1" t="n">
        <f aca="false">IFERROR(VLOOKUP(A252,Pedido!$A:$C,3,0),0)</f>
        <v>0</v>
      </c>
      <c r="E252" s="5" t="n">
        <f aca="false">IFERROR(VLOOKUP(A252,Pedido!$A:$E,5,0),0)</f>
        <v>0</v>
      </c>
      <c r="F252" s="1" t="s">
        <v>7</v>
      </c>
      <c r="G252" s="1" t="s">
        <v>616</v>
      </c>
      <c r="H252" s="1" t="s">
        <v>197</v>
      </c>
      <c r="I252" s="1" t="s">
        <v>226</v>
      </c>
      <c r="K252" s="1" t="n">
        <v>624</v>
      </c>
      <c r="L252" s="11" t="n">
        <v>0.648423730291286</v>
      </c>
      <c r="M252" s="1" t="n">
        <f aca="false">SUMIF(Relatorio_AK!$A:$A,A252,Relatorio_AK!$B:$B)</f>
        <v>624</v>
      </c>
      <c r="N252" s="1" t="str">
        <f aca="false">IF(M252=K252,"OK","DIF")</f>
        <v>OK</v>
      </c>
      <c r="O252" s="13" t="str">
        <f aca="false">IFERROR(VLOOKUP($A252,Lista_Starke!$A:$E,3,0),"NÃO ESTÁ NA LISTA")</f>
        <v>AUDI: A1 1.4 16V TFSI 10/21
AUDI: A3 1.4 16V TFSI 12/21
AUDI: A3 Sedan 1.4 16V TFSI 13/…
AUDI: Q3 1.4 16V TFSI 14/21
VOLKSWAGEN: Crossfox 1.6 16V 14/18
VOLKSWAGEN: Fox 1.0 12V 3cil 14/19
VOLKSWAGEN: Fox 1.6 16V 15/19
VOLKSWAGEN: Gol 1.0 12V 3cil 16/19
VOLKSWAGEN: Gol 1.6 16V 15/21
VOLKSWAGEN: Golf 1.0 12V TSI 16/18
VOLKSWAGEN: Golf 1.4 16V TSI 13/…
VOLKSWAGEN: Golf 1.4 16V TSI 14/18
VOLKSWAGEN: Golf 1.6 16V 16/18
VOLKSWAGEN: Golf Variant 1.4 16V TSI 15/18
VOLKSWAGEN: Jetta 1.4 16V TSI 15/...
VOLKSWAGEN: Jetta TSI 1.4 16V TSI 16/…
VOLKSWAGEN: Nivus 1.0 12V TSI 20/...
VOLKSWAGEN: Polo 1.0 12V TSI 17/...
VOLKSWAGEN: Polo 1.6 16V 17/...
VOLKSWAGEN: Polo GTS 1.4 16V TSI 20/...
VOLKSWAGEN: Saveiro 1.6 16V 14/21
VOLKSWAGEN: Space Cross 1.6 16V 15/17
VOLKSWAGEN: Spacefox 1.6 16V 14/18
VOLKSWAGEN: T-Cross 1.0 12V TSI 19/...
VOLKSWAGEN: T-Cross 1.4 16V TSI 19/...
VOLKSWAGEN: Tiguan 1.4 16V TSI 16/…
VOLKSWAGEN: Up 1.0 12V 3cil 14/21
VOLKSWAGEN: Up 1.0 12V TSI 14/21
VOLKSWAGEN: Virtus 1.0 12V TSI 18/...
VOLKSWAGEN: Virtus 1.6 16V 18/...
VOLKSWAGEN: Voyage 1.0 12V 3cil 16/19
VOLKSWAGEN: Voyage 1.6 16V 16/21</v>
      </c>
      <c r="P252" s="12" t="str">
        <f aca="false">IFERROR(VLOOKUP($A252,Lista_Starke!$A:$E,2,0),"NÃO ESTÁ NA LISTA")</f>
        <v>BOMBA D'ÁGUA</v>
      </c>
    </row>
    <row r="253" customFormat="false" ht="15" hidden="false" customHeight="true" outlineLevel="0" collapsed="false">
      <c r="A253" s="10" t="s">
        <v>617</v>
      </c>
      <c r="B253" s="10" t="str">
        <f aca="false">IFERROR(VLOOKUP(A253,Pedido!$A:$B,2,0),"")</f>
        <v/>
      </c>
      <c r="C253" s="10" t="str">
        <f aca="false">IF(B253="","NÃO COMPRA","COMPRA")</f>
        <v>NÃO COMPRA</v>
      </c>
      <c r="D253" s="1" t="n">
        <f aca="false">IFERROR(VLOOKUP(A253,Pedido!$A:$C,3,0),0)</f>
        <v>0</v>
      </c>
      <c r="E253" s="5" t="n">
        <f aca="false">IFERROR(VLOOKUP(A253,Pedido!$A:$E,5,0),0)</f>
        <v>0</v>
      </c>
      <c r="F253" s="1" t="s">
        <v>7</v>
      </c>
      <c r="G253" s="1" t="s">
        <v>52</v>
      </c>
      <c r="H253" s="1" t="s">
        <v>35</v>
      </c>
      <c r="I253" s="1" t="s">
        <v>53</v>
      </c>
      <c r="J253" s="1" t="s">
        <v>618</v>
      </c>
      <c r="K253" s="1" t="n">
        <v>620</v>
      </c>
      <c r="L253" s="11" t="n">
        <v>0.649483637258807</v>
      </c>
      <c r="M253" s="1" t="n">
        <f aca="false">SUMIF(Relatorio_AK!$A:$A,A253,Relatorio_AK!$B:$B)</f>
        <v>620</v>
      </c>
      <c r="N253" s="1" t="str">
        <f aca="false">IF(M253=K253,"OK","DIF")</f>
        <v>OK</v>
      </c>
      <c r="O253" s="13" t="str">
        <f aca="false">IFERROR(VLOOKUP($A253,Lista_Starke!$A:$E,3,0),"NÃO ESTÁ NA LISTA")</f>
        <v>FORD: Belina II  78/91
FORD: Corcel II  78/86
FORD: Del Rey  81/91
FORD: Pampa  82/97</v>
      </c>
      <c r="P253" s="12" t="str">
        <f aca="false">IFERROR(VLOOKUP($A253,Lista_Starke!$A:$E,2,0),"NÃO ESTÁ NA LISTA")</f>
        <v>CILINDRO MESTRE DE FREIO</v>
      </c>
    </row>
    <row r="254" customFormat="false" ht="15" hidden="false" customHeight="true" outlineLevel="0" collapsed="false">
      <c r="A254" s="10" t="s">
        <v>619</v>
      </c>
      <c r="B254" s="10" t="str">
        <f aca="false">IFERROR(VLOOKUP(A254,Pedido!$A:$B,2,0),"")</f>
        <v/>
      </c>
      <c r="C254" s="10" t="str">
        <f aca="false">IF(B254="","NÃO COMPRA","COMPRA")</f>
        <v>NÃO COMPRA</v>
      </c>
      <c r="D254" s="1" t="n">
        <f aca="false">IFERROR(VLOOKUP(A254,Pedido!$A:$C,3,0),0)</f>
        <v>0</v>
      </c>
      <c r="E254" s="5" t="n">
        <f aca="false">IFERROR(VLOOKUP(A254,Pedido!$A:$E,5,0),0)</f>
        <v>0</v>
      </c>
      <c r="F254" s="1" t="s">
        <v>7</v>
      </c>
      <c r="G254" s="1" t="s">
        <v>620</v>
      </c>
      <c r="H254" s="1" t="s">
        <v>451</v>
      </c>
      <c r="I254" s="1" t="s">
        <v>36</v>
      </c>
      <c r="K254" s="1" t="n">
        <v>618</v>
      </c>
      <c r="L254" s="11" t="n">
        <v>0.650540125171593</v>
      </c>
      <c r="M254" s="1" t="n">
        <f aca="false">SUMIF(Relatorio_AK!$A:$A,A254,Relatorio_AK!$B:$B)</f>
        <v>618</v>
      </c>
      <c r="N254" s="1" t="str">
        <f aca="false">IF(M254=K254,"OK","DIF")</f>
        <v>OK</v>
      </c>
      <c r="O254" s="12" t="str">
        <f aca="false">IFERROR(VLOOKUP($A254,Lista_Starke!$A:$E,3,0),"NÃO ESTÁ NA LISTA")</f>
        <v>VOLKSWAGEN: Amarok 2.0 16V TDI 10/…</v>
      </c>
      <c r="P254" s="12" t="str">
        <f aca="false">IFERROR(VLOOKUP($A254,Lista_Starke!$A:$E,2,0),"NÃO ESTÁ NA LISTA")</f>
        <v>RESPIRO ATUADOR EMBREAGEM</v>
      </c>
    </row>
    <row r="255" customFormat="false" ht="15" hidden="false" customHeight="true" outlineLevel="0" collapsed="false">
      <c r="A255" s="10" t="s">
        <v>621</v>
      </c>
      <c r="B255" s="10" t="str">
        <f aca="false">IFERROR(VLOOKUP(A255,Pedido!$A:$B,2,0),"")</f>
        <v/>
      </c>
      <c r="C255" s="10" t="str">
        <f aca="false">IF(B255="","NÃO COMPRA","COMPRA")</f>
        <v>NÃO COMPRA</v>
      </c>
      <c r="D255" s="1" t="n">
        <f aca="false">IFERROR(VLOOKUP(A255,Pedido!$A:$C,3,0),0)</f>
        <v>0</v>
      </c>
      <c r="E255" s="5" t="n">
        <f aca="false">IFERROR(VLOOKUP(A255,Pedido!$A:$E,5,0),0)</f>
        <v>0</v>
      </c>
      <c r="F255" s="1" t="s">
        <v>7</v>
      </c>
      <c r="G255" s="1" t="s">
        <v>56</v>
      </c>
      <c r="H255" s="1" t="s">
        <v>35</v>
      </c>
      <c r="I255" s="1" t="s">
        <v>57</v>
      </c>
      <c r="J255" s="1" t="s">
        <v>622</v>
      </c>
      <c r="K255" s="1" t="n">
        <v>615</v>
      </c>
      <c r="L255" s="11" t="n">
        <v>0.651591484502279</v>
      </c>
      <c r="M255" s="1" t="n">
        <f aca="false">SUMIF(Relatorio_AK!$A:$A,A255,Relatorio_AK!$B:$B)</f>
        <v>615</v>
      </c>
      <c r="N255" s="1" t="str">
        <f aca="false">IF(M255=K255,"OK","DIF")</f>
        <v>OK</v>
      </c>
      <c r="O255" s="13" t="str">
        <f aca="false">IFERROR(VLOOKUP($A255,Lista_Starke!$A:$E,3,0),"NÃO ESTÁ NA LISTA")</f>
        <v>GM: Corsa  02/12
GM: Montana  04/10</v>
      </c>
      <c r="P255" s="12" t="str">
        <f aca="false">IFERROR(VLOOKUP($A255,Lista_Starke!$A:$E,2,0),"NÃO ESTÁ NA LISTA")</f>
        <v>CILINDRO MESTRE DE FREIO</v>
      </c>
    </row>
    <row r="256" customFormat="false" ht="15" hidden="false" customHeight="true" outlineLevel="0" collapsed="false">
      <c r="A256" s="10" t="s">
        <v>623</v>
      </c>
      <c r="B256" s="10" t="str">
        <f aca="false">IFERROR(VLOOKUP(A256,Pedido!$A:$B,2,0),"")</f>
        <v/>
      </c>
      <c r="C256" s="10" t="str">
        <f aca="false">IF(B256="","NÃO COMPRA","COMPRA")</f>
        <v>NÃO COMPRA</v>
      </c>
      <c r="D256" s="1" t="n">
        <f aca="false">IFERROR(VLOOKUP(A256,Pedido!$A:$C,3,0),0)</f>
        <v>0</v>
      </c>
      <c r="E256" s="5" t="n">
        <f aca="false">IFERROR(VLOOKUP(A256,Pedido!$A:$E,5,0),0)</f>
        <v>0</v>
      </c>
      <c r="F256" s="1" t="s">
        <v>7</v>
      </c>
      <c r="G256" s="1" t="s">
        <v>387</v>
      </c>
      <c r="H256" s="1" t="s">
        <v>28</v>
      </c>
      <c r="I256" s="1" t="s">
        <v>215</v>
      </c>
      <c r="K256" s="1" t="n">
        <v>615</v>
      </c>
      <c r="L256" s="11" t="n">
        <v>0.652642843832965</v>
      </c>
      <c r="M256" s="1" t="n">
        <f aca="false">SUMIF(Relatorio_AK!$A:$A,A256,Relatorio_AK!$B:$B)</f>
        <v>615</v>
      </c>
      <c r="N256" s="1" t="str">
        <f aca="false">IF(M256=K256,"OK","DIF")</f>
        <v>OK</v>
      </c>
      <c r="O256" s="12" t="str">
        <f aca="false">IFERROR(VLOOKUP($A256,Lista_Starke!$A:$E,3,0),"NÃO ESTÁ NA LISTA")</f>
        <v>NISSAN: Frontier 2.5 16V QR25DR 13/...</v>
      </c>
      <c r="P256" s="12" t="str">
        <f aca="false">IFERROR(VLOOKUP($A256,Lista_Starke!$A:$E,2,0),"NÃO ESTÁ NA LISTA")</f>
        <v>CILINDRO AUXILIAR DE EMBREAGEM</v>
      </c>
    </row>
    <row r="257" customFormat="false" ht="15" hidden="false" customHeight="true" outlineLevel="0" collapsed="false">
      <c r="A257" s="10" t="s">
        <v>624</v>
      </c>
      <c r="B257" s="10" t="str">
        <f aca="false">IFERROR(VLOOKUP(A257,Pedido!$A:$B,2,0),"")</f>
        <v/>
      </c>
      <c r="C257" s="10" t="str">
        <f aca="false">IF(B257="","NÃO COMPRA","COMPRA")</f>
        <v>NÃO COMPRA</v>
      </c>
      <c r="D257" s="1" t="n">
        <f aca="false">IFERROR(VLOOKUP(A257,Pedido!$A:$C,3,0),0)</f>
        <v>0</v>
      </c>
      <c r="E257" s="5" t="n">
        <f aca="false">IFERROR(VLOOKUP(A257,Pedido!$A:$E,5,0),0)</f>
        <v>0</v>
      </c>
      <c r="F257" s="1" t="s">
        <v>7</v>
      </c>
      <c r="G257" s="1" t="s">
        <v>240</v>
      </c>
      <c r="H257" s="1" t="s">
        <v>157</v>
      </c>
      <c r="I257" s="1" t="s">
        <v>57</v>
      </c>
      <c r="J257" s="1" t="s">
        <v>625</v>
      </c>
      <c r="K257" s="1" t="n">
        <v>614</v>
      </c>
      <c r="L257" s="11" t="n">
        <v>0.653692493636284</v>
      </c>
      <c r="M257" s="1" t="n">
        <f aca="false">SUMIF(Relatorio_AK!$A:$A,A257,Relatorio_AK!$B:$B)</f>
        <v>614</v>
      </c>
      <c r="N257" s="1" t="str">
        <f aca="false">IF(M257=K257,"OK","DIF")</f>
        <v>OK</v>
      </c>
      <c r="O257" s="13" t="str">
        <f aca="false">IFERROR(VLOOKUP($A257,Lista_Starke!$A:$E,3,0),"NÃO ESTÁ NA LISTA")</f>
        <v>GM: Blazer 2.8 Diesel MWM 01/...
GM: Blazer 4.3 V6 96/12
GM: S10 2.8 Diesel MWM 01/...
GM: S10 4.3 V6 96/12</v>
      </c>
      <c r="P257" s="12" t="str">
        <f aca="false">IFERROR(VLOOKUP($A257,Lista_Starke!$A:$E,2,0),"NÃO ESTÁ NA LISTA")</f>
        <v>ATUADOR DE EMBREAGEM</v>
      </c>
    </row>
    <row r="258" customFormat="false" ht="15" hidden="false" customHeight="true" outlineLevel="0" collapsed="false">
      <c r="A258" s="10" t="s">
        <v>626</v>
      </c>
      <c r="B258" s="10" t="str">
        <f aca="false">IFERROR(VLOOKUP(A258,Pedido!$A:$B,2,0),"")</f>
        <v/>
      </c>
      <c r="C258" s="10" t="str">
        <f aca="false">IF(B258="","NÃO COMPRA","COMPRA")</f>
        <v>NÃO COMPRA</v>
      </c>
      <c r="D258" s="1" t="n">
        <f aca="false">IFERROR(VLOOKUP(A258,Pedido!$A:$C,3,0),0)</f>
        <v>0</v>
      </c>
      <c r="E258" s="5" t="n">
        <f aca="false">IFERROR(VLOOKUP(A258,Pedido!$A:$E,5,0),0)</f>
        <v>0</v>
      </c>
      <c r="F258" s="1" t="s">
        <v>7</v>
      </c>
      <c r="G258" s="1" t="s">
        <v>627</v>
      </c>
      <c r="H258" s="1" t="s">
        <v>235</v>
      </c>
      <c r="I258" s="1" t="s">
        <v>97</v>
      </c>
      <c r="J258" s="1" t="s">
        <v>628</v>
      </c>
      <c r="K258" s="1" t="n">
        <v>614</v>
      </c>
      <c r="L258" s="11" t="n">
        <v>0.654742143439603</v>
      </c>
      <c r="M258" s="1" t="n">
        <f aca="false">SUMIF(Relatorio_AK!$A:$A,A258,Relatorio_AK!$B:$B)</f>
        <v>614</v>
      </c>
      <c r="N258" s="1" t="str">
        <f aca="false">IF(M258=K258,"OK","DIF")</f>
        <v>OK</v>
      </c>
      <c r="O258" s="13" t="str">
        <f aca="false">IFERROR(VLOOKUP($A258,Lista_Starke!$A:$E,3,0),"NÃO ESTÁ NA LISTA")</f>
        <v>FIAT: Toro 2.0 16V JTD Diesel 16/…
JEEP: Commander 2.0 16V Turbo Diesel 21/...
JEEP: Compass 2.0 16V JTD Diesel 16/…
JEEP: Renegade 2.0 16V JTD Diesel 16/…</v>
      </c>
      <c r="P258" s="12" t="str">
        <f aca="false">IFERROR(VLOOKUP($A258,Lista_Starke!$A:$E,2,0),"NÃO ESTÁ NA LISTA")</f>
        <v>RESFRIADOR DE ÓLEO MOTOR</v>
      </c>
    </row>
    <row r="259" customFormat="false" ht="15" hidden="false" customHeight="true" outlineLevel="0" collapsed="false">
      <c r="A259" s="10" t="s">
        <v>629</v>
      </c>
      <c r="B259" s="10" t="str">
        <f aca="false">IFERROR(VLOOKUP(A259,Pedido!$A:$B,2,0),"")</f>
        <v/>
      </c>
      <c r="C259" s="10" t="str">
        <f aca="false">IF(B259="","NÃO COMPRA","COMPRA")</f>
        <v>NÃO COMPRA</v>
      </c>
      <c r="D259" s="1" t="n">
        <f aca="false">IFERROR(VLOOKUP(A259,Pedido!$A:$C,3,0),0)</f>
        <v>0</v>
      </c>
      <c r="E259" s="5" t="n">
        <f aca="false">IFERROR(VLOOKUP(A259,Pedido!$A:$E,5,0),0)</f>
        <v>0</v>
      </c>
      <c r="F259" s="1" t="s">
        <v>7</v>
      </c>
      <c r="G259" s="1" t="s">
        <v>139</v>
      </c>
      <c r="H259" s="1" t="s">
        <v>88</v>
      </c>
      <c r="I259" s="1" t="s">
        <v>36</v>
      </c>
      <c r="J259" s="1" t="s">
        <v>630</v>
      </c>
      <c r="K259" s="1" t="n">
        <v>610</v>
      </c>
      <c r="L259" s="11" t="n">
        <v>0.655784955133454</v>
      </c>
      <c r="M259" s="1" t="n">
        <f aca="false">SUMIF(Relatorio_AK!$A:$A,A259,Relatorio_AK!$B:$B)</f>
        <v>610</v>
      </c>
      <c r="N259" s="1" t="str">
        <f aca="false">IF(M259=K259,"OK","DIF")</f>
        <v>OK</v>
      </c>
      <c r="O259" s="13" t="str">
        <f aca="false">IFERROR(VLOOKUP($A259,Lista_Starke!$A:$E,3,0),"NÃO ESTÁ NA LISTA")</f>
        <v>VOLKSWAGEN: Kombi 1.4 8V Flex 06/12
VOLKSWAGEN: Kombi 1600 Ar 76/05</v>
      </c>
      <c r="P259" s="12" t="str">
        <f aca="false">IFERROR(VLOOKUP($A259,Lista_Starke!$A:$E,2,0),"NÃO ESTÁ NA LISTA")</f>
        <v>CILINDRO DE RODA LE/LD</v>
      </c>
    </row>
    <row r="260" customFormat="false" ht="15" hidden="false" customHeight="true" outlineLevel="0" collapsed="false">
      <c r="A260" s="10" t="s">
        <v>631</v>
      </c>
      <c r="B260" s="10" t="str">
        <f aca="false">IFERROR(VLOOKUP(A260,Pedido!$A:$B,2,0),"")</f>
        <v/>
      </c>
      <c r="C260" s="10" t="str">
        <f aca="false">IF(B260="","NÃO COMPRA","COMPRA")</f>
        <v>NÃO COMPRA</v>
      </c>
      <c r="D260" s="1" t="n">
        <f aca="false">IFERROR(VLOOKUP(A260,Pedido!$A:$C,3,0),0)</f>
        <v>0</v>
      </c>
      <c r="E260" s="5" t="n">
        <f aca="false">IFERROR(VLOOKUP(A260,Pedido!$A:$E,5,0),0)</f>
        <v>0</v>
      </c>
      <c r="F260" s="1" t="s">
        <v>7</v>
      </c>
      <c r="G260" s="1" t="s">
        <v>34</v>
      </c>
      <c r="H260" s="1" t="s">
        <v>35</v>
      </c>
      <c r="I260" s="1" t="s">
        <v>36</v>
      </c>
      <c r="J260" s="1" t="s">
        <v>632</v>
      </c>
      <c r="K260" s="1" t="n">
        <v>609</v>
      </c>
      <c r="L260" s="11" t="n">
        <v>0.656826057299938</v>
      </c>
      <c r="M260" s="1" t="n">
        <f aca="false">SUMIF(Relatorio_AK!$A:$A,A260,Relatorio_AK!$B:$B)</f>
        <v>609</v>
      </c>
      <c r="N260" s="1" t="str">
        <f aca="false">IF(M260=K260,"OK","DIF")</f>
        <v>OK</v>
      </c>
      <c r="O260" s="13" t="str">
        <f aca="false">IFERROR(VLOOKUP($A260,Lista_Starke!$A:$E,3,0),"NÃO ESTÁ NA LISTA")</f>
        <v>VOLKSWAGEN: Brasilia  77/96
VOLKSWAGEN: Fusca  77/96</v>
      </c>
      <c r="P260" s="12" t="str">
        <f aca="false">IFERROR(VLOOKUP($A260,Lista_Starke!$A:$E,2,0),"NÃO ESTÁ NA LISTA")</f>
        <v>CILINDRO MESTRE DE FREIO</v>
      </c>
    </row>
    <row r="261" customFormat="false" ht="15" hidden="false" customHeight="true" outlineLevel="0" collapsed="false">
      <c r="A261" s="10" t="s">
        <v>633</v>
      </c>
      <c r="B261" s="10" t="str">
        <f aca="false">IFERROR(VLOOKUP(A261,Pedido!$A:$B,2,0),"")</f>
        <v/>
      </c>
      <c r="C261" s="10" t="str">
        <f aca="false">IF(B261="","NÃO COMPRA","COMPRA")</f>
        <v>NÃO COMPRA</v>
      </c>
      <c r="D261" s="1" t="n">
        <f aca="false">IFERROR(VLOOKUP(A261,Pedido!$A:$C,3,0),0)</f>
        <v>0</v>
      </c>
      <c r="E261" s="5" t="n">
        <f aca="false">IFERROR(VLOOKUP(A261,Pedido!$A:$E,5,0),0)</f>
        <v>0</v>
      </c>
      <c r="F261" s="1" t="s">
        <v>7</v>
      </c>
      <c r="G261" s="1" t="s">
        <v>432</v>
      </c>
      <c r="H261" s="1" t="s">
        <v>131</v>
      </c>
      <c r="I261" s="1" t="s">
        <v>634</v>
      </c>
      <c r="J261" s="1" t="s">
        <v>635</v>
      </c>
      <c r="K261" s="1" t="n">
        <v>606</v>
      </c>
      <c r="L261" s="11" t="n">
        <v>0.657862030884321</v>
      </c>
      <c r="M261" s="1" t="n">
        <f aca="false">SUMIF(Relatorio_AK!$A:$A,A261,Relatorio_AK!$B:$B)</f>
        <v>606</v>
      </c>
      <c r="N261" s="1" t="str">
        <f aca="false">IF(M261=K261,"OK","DIF")</f>
        <v>OK</v>
      </c>
      <c r="O261" s="13" t="str">
        <f aca="false">IFERROR(VLOOKUP($A261,Lista_Starke!$A:$E,3,0),"NÃO ESTÁ NA LISTA")</f>
        <v>CHERY: Celer 1.5 16V 11/...
VOLKSWAGEN: Gol G5 1.0 / 1.6 08/...
VOLKSWAGEN: Parati G5 1.0 / 1.6 08/...
VOLKSWAGEN: Quantum 1.8 / 2.0 Todos
VOLKSWAGEN: Santana 1.8 / 2.0 Todos
VOLKSWAGEN: Voyage G5 1.0 / 1.6 08/...</v>
      </c>
      <c r="P261" s="12" t="str">
        <f aca="false">IFERROR(VLOOKUP($A261,Lista_Starke!$A:$E,2,0),"NÃO ESTÁ NA LISTA")</f>
        <v>SAPATA DE FREIO</v>
      </c>
    </row>
    <row r="262" customFormat="false" ht="15" hidden="false" customHeight="true" outlineLevel="0" collapsed="false">
      <c r="A262" s="10" t="s">
        <v>636</v>
      </c>
      <c r="B262" s="10" t="str">
        <f aca="false">IFERROR(VLOOKUP(A262,Pedido!$A:$B,2,0),"")</f>
        <v/>
      </c>
      <c r="C262" s="10" t="str">
        <f aca="false">IF(B262="","NÃO COMPRA","COMPRA")</f>
        <v>NÃO COMPRA</v>
      </c>
      <c r="D262" s="1" t="n">
        <f aca="false">IFERROR(VLOOKUP(A262,Pedido!$A:$C,3,0),0)</f>
        <v>0</v>
      </c>
      <c r="E262" s="5" t="n">
        <f aca="false">IFERROR(VLOOKUP(A262,Pedido!$A:$E,5,0),0)</f>
        <v>0</v>
      </c>
      <c r="F262" s="1" t="s">
        <v>7</v>
      </c>
      <c r="G262" s="1" t="s">
        <v>168</v>
      </c>
      <c r="H262" s="1" t="s">
        <v>131</v>
      </c>
      <c r="I262" s="1" t="s">
        <v>637</v>
      </c>
      <c r="J262" s="1" t="s">
        <v>638</v>
      </c>
      <c r="K262" s="1" t="n">
        <v>596</v>
      </c>
      <c r="L262" s="11" t="n">
        <v>0.658880909195035</v>
      </c>
      <c r="M262" s="1" t="n">
        <f aca="false">SUMIF(Relatorio_AK!$A:$A,A262,Relatorio_AK!$B:$B)</f>
        <v>596</v>
      </c>
      <c r="N262" s="1" t="str">
        <f aca="false">IF(M262=K262,"OK","DIF")</f>
        <v>OK</v>
      </c>
      <c r="O262" s="13" t="str">
        <f aca="false">IFERROR(VLOOKUP($A262,Lista_Starke!$A:$E,3,0),"NÃO ESTÁ NA LISTA")</f>
        <v>GM: S10 2.4 / 2.8 12/...
MITSUBISHI: Pajero Sport 3.2 16V Diesel 08/...
MITSUBISHI: Pajero Sport 3.5 V6 24V 08/...
MITSUBISHI: Triton 3.2 16V Diesel 4M41 DI-D 07/...
MITSUBISHI: Triton 3.5 V6 24V Flex 6G74 10/...
MITSUBISHI: Triton 3.5 V6 24V Gasolina 6G74 07/...</v>
      </c>
      <c r="P262" s="12" t="str">
        <f aca="false">IFERROR(VLOOKUP($A262,Lista_Starke!$A:$E,2,0),"NÃO ESTÁ NA LISTA")</f>
        <v>SAPATA DE FREIO</v>
      </c>
    </row>
    <row r="263" customFormat="false" ht="15" hidden="false" customHeight="true" outlineLevel="0" collapsed="false">
      <c r="A263" s="10" t="s">
        <v>639</v>
      </c>
      <c r="B263" s="10" t="str">
        <f aca="false">IFERROR(VLOOKUP(A263,Pedido!$A:$B,2,0),"")</f>
        <v/>
      </c>
      <c r="C263" s="10" t="str">
        <f aca="false">IF(B263="","NÃO COMPRA","COMPRA")</f>
        <v>NÃO COMPRA</v>
      </c>
      <c r="D263" s="1" t="n">
        <f aca="false">IFERROR(VLOOKUP(A263,Pedido!$A:$C,3,0),0)</f>
        <v>0</v>
      </c>
      <c r="E263" s="5" t="n">
        <f aca="false">IFERROR(VLOOKUP(A263,Pedido!$A:$E,5,0),0)</f>
        <v>0</v>
      </c>
      <c r="F263" s="1" t="s">
        <v>7</v>
      </c>
      <c r="G263" s="1" t="s">
        <v>640</v>
      </c>
      <c r="H263" s="1" t="s">
        <v>131</v>
      </c>
      <c r="I263" s="1" t="s">
        <v>641</v>
      </c>
      <c r="J263" s="1" t="s">
        <v>642</v>
      </c>
      <c r="K263" s="1" t="n">
        <v>593</v>
      </c>
      <c r="L263" s="11" t="n">
        <v>0.659894658923647</v>
      </c>
      <c r="M263" s="1" t="n">
        <f aca="false">SUMIF(Relatorio_AK!$A:$A,A263,Relatorio_AK!$B:$B)</f>
        <v>593</v>
      </c>
      <c r="N263" s="1" t="str">
        <f aca="false">IF(M263=K263,"OK","DIF")</f>
        <v>OK</v>
      </c>
      <c r="O263" s="13" t="str">
        <f aca="false">IFERROR(VLOOKUP($A263,Lista_Starke!$A:$E,3,0),"NÃO ESTÁ NA LISTA")</f>
        <v>JAC MOTORS: J2 1.4 16V 11/...
TOYOTA: Etios 1.3 16V 12/...
TOYOTA: Etios 1.5 16V 12/...
TOYOTA: Yaris 1.3 16V 18/...
TOYOTA: Yaris 1.5 16V 18/...</v>
      </c>
      <c r="P263" s="12" t="str">
        <f aca="false">IFERROR(VLOOKUP($A263,Lista_Starke!$A:$E,2,0),"NÃO ESTÁ NA LISTA")</f>
        <v>SAPATA DE FREIO</v>
      </c>
    </row>
    <row r="264" customFormat="false" ht="15" hidden="false" customHeight="true" outlineLevel="0" collapsed="false">
      <c r="A264" s="10" t="s">
        <v>643</v>
      </c>
      <c r="B264" s="10" t="str">
        <f aca="false">IFERROR(VLOOKUP(A264,Pedido!$A:$B,2,0),"")</f>
        <v/>
      </c>
      <c r="C264" s="10" t="str">
        <f aca="false">IF(B264="","NÃO COMPRA","COMPRA")</f>
        <v>NÃO COMPRA</v>
      </c>
      <c r="D264" s="1" t="n">
        <f aca="false">IFERROR(VLOOKUP(A264,Pedido!$A:$C,3,0),0)</f>
        <v>0</v>
      </c>
      <c r="E264" s="5" t="n">
        <f aca="false">IFERROR(VLOOKUP(A264,Pedido!$A:$E,5,0),0)</f>
        <v>0</v>
      </c>
      <c r="F264" s="1" t="s">
        <v>7</v>
      </c>
      <c r="G264" s="1" t="s">
        <v>644</v>
      </c>
      <c r="H264" s="1" t="s">
        <v>131</v>
      </c>
      <c r="I264" s="1" t="s">
        <v>71</v>
      </c>
      <c r="J264" s="1" t="s">
        <v>645</v>
      </c>
      <c r="K264" s="1" t="n">
        <v>592</v>
      </c>
      <c r="L264" s="11" t="n">
        <v>0.660906699124893</v>
      </c>
      <c r="M264" s="1" t="n">
        <f aca="false">SUMIF(Relatorio_AK!$A:$A,A264,Relatorio_AK!$B:$B)</f>
        <v>592</v>
      </c>
      <c r="N264" s="1" t="str">
        <f aca="false">IF(M264=K264,"OK","DIF")</f>
        <v>OK</v>
      </c>
      <c r="O264" s="13" t="str">
        <f aca="false">IFERROR(VLOOKUP($A264,Lista_Starke!$A:$E,3,0),"NÃO ESTÁ NA LISTA")</f>
        <v>PEUGEOT: 206 1.0 / 1.4 / 1.6 98/...
PEUGEOT: 207 1.4 / 1.6 09/...</v>
      </c>
      <c r="P264" s="12" t="str">
        <f aca="false">IFERROR(VLOOKUP($A264,Lista_Starke!$A:$E,2,0),"NÃO ESTÁ NA LISTA")</f>
        <v>SAPATA DE FREIO</v>
      </c>
    </row>
    <row r="265" customFormat="false" ht="15" hidden="false" customHeight="true" outlineLevel="0" collapsed="false">
      <c r="A265" s="10" t="s">
        <v>646</v>
      </c>
      <c r="B265" s="10" t="str">
        <f aca="false">IFERROR(VLOOKUP(A265,Pedido!$A:$B,2,0),"")</f>
        <v/>
      </c>
      <c r="C265" s="10" t="str">
        <f aca="false">IF(B265="","NÃO COMPRA","COMPRA")</f>
        <v>NÃO COMPRA</v>
      </c>
      <c r="D265" s="1" t="n">
        <f aca="false">IFERROR(VLOOKUP(A265,Pedido!$A:$C,3,0),0)</f>
        <v>0</v>
      </c>
      <c r="E265" s="5" t="n">
        <f aca="false">IFERROR(VLOOKUP(A265,Pedido!$A:$E,5,0),0)</f>
        <v>0</v>
      </c>
      <c r="F265" s="1" t="s">
        <v>7</v>
      </c>
      <c r="G265" s="1" t="s">
        <v>52</v>
      </c>
      <c r="H265" s="1" t="s">
        <v>35</v>
      </c>
      <c r="I265" s="1" t="s">
        <v>184</v>
      </c>
      <c r="J265" s="1" t="s">
        <v>647</v>
      </c>
      <c r="K265" s="1" t="n">
        <v>588</v>
      </c>
      <c r="L265" s="11" t="n">
        <v>0.66191190121667</v>
      </c>
      <c r="M265" s="1" t="n">
        <f aca="false">SUMIF(Relatorio_AK!$A:$A,A265,Relatorio_AK!$B:$B)</f>
        <v>588</v>
      </c>
      <c r="N265" s="1" t="str">
        <f aca="false">IF(M265=K265,"OK","DIF")</f>
        <v>OK</v>
      </c>
      <c r="O265" s="13" t="str">
        <f aca="false">IFERROR(VLOOKUP($A265,Lista_Starke!$A:$E,3,0),"NÃO ESTÁ NA LISTA")</f>
        <v>FORD: Escort  93/96
FORD: Verona  94/96
VOLKSWAGEN: Logus  93/96
VOLKSWAGEN: Pointer  94/96</v>
      </c>
      <c r="P265" s="12" t="str">
        <f aca="false">IFERROR(VLOOKUP($A265,Lista_Starke!$A:$E,2,0),"NÃO ESTÁ NA LISTA")</f>
        <v>CILINDRO MESTRE DE FREIO</v>
      </c>
    </row>
    <row r="266" customFormat="false" ht="15" hidden="false" customHeight="true" outlineLevel="0" collapsed="false">
      <c r="A266" s="10" t="s">
        <v>648</v>
      </c>
      <c r="B266" s="10" t="str">
        <f aca="false">IFERROR(VLOOKUP(A266,Pedido!$A:$B,2,0),"")</f>
        <v/>
      </c>
      <c r="C266" s="10" t="str">
        <f aca="false">IF(B266="","NÃO COMPRA","COMPRA")</f>
        <v>NÃO COMPRA</v>
      </c>
      <c r="D266" s="1" t="n">
        <f aca="false">IFERROR(VLOOKUP(A266,Pedido!$A:$C,3,0),0)</f>
        <v>0</v>
      </c>
      <c r="E266" s="5" t="n">
        <f aca="false">IFERROR(VLOOKUP(A266,Pedido!$A:$E,5,0),0)</f>
        <v>0</v>
      </c>
      <c r="F266" s="1" t="s">
        <v>7</v>
      </c>
      <c r="G266" s="1" t="s">
        <v>649</v>
      </c>
      <c r="H266" s="1" t="s">
        <v>35</v>
      </c>
      <c r="I266" s="1" t="s">
        <v>215</v>
      </c>
      <c r="K266" s="1" t="n">
        <v>579</v>
      </c>
      <c r="L266" s="11" t="n">
        <v>0.662901717562145</v>
      </c>
      <c r="M266" s="1" t="n">
        <f aca="false">SUMIF(Relatorio_AK!$A:$A,A266,Relatorio_AK!$B:$B)</f>
        <v>579</v>
      </c>
      <c r="N266" s="1" t="str">
        <f aca="false">IF(M266=K266,"OK","DIF")</f>
        <v>OK</v>
      </c>
      <c r="O266" s="13" t="str">
        <f aca="false">IFERROR(VLOOKUP($A266,Lista_Starke!$A:$E,3,0),"NÃO ESTÁ NA LISTA")</f>
        <v>NISSAN: Frontier 2.8 Diesel 03/07
NISSAN: X Terra 2.8 Diesel 03/07</v>
      </c>
      <c r="P266" s="12" t="str">
        <f aca="false">IFERROR(VLOOKUP($A266,Lista_Starke!$A:$E,2,0),"NÃO ESTÁ NA LISTA")</f>
        <v>CILINDRO MESTRE DE FREIO</v>
      </c>
    </row>
    <row r="267" customFormat="false" ht="15" hidden="false" customHeight="true" outlineLevel="0" collapsed="false">
      <c r="A267" s="10" t="s">
        <v>650</v>
      </c>
      <c r="B267" s="10" t="str">
        <f aca="false">IFERROR(VLOOKUP(A267,Pedido!$A:$B,2,0),"")</f>
        <v/>
      </c>
      <c r="C267" s="10" t="str">
        <f aca="false">IF(B267="","NÃO COMPRA","COMPRA")</f>
        <v>NÃO COMPRA</v>
      </c>
      <c r="D267" s="1" t="n">
        <f aca="false">IFERROR(VLOOKUP(A267,Pedido!$A:$C,3,0),0)</f>
        <v>0</v>
      </c>
      <c r="E267" s="5" t="n">
        <f aca="false">IFERROR(VLOOKUP(A267,Pedido!$A:$E,5,0),0)</f>
        <v>0</v>
      </c>
      <c r="F267" s="1" t="s">
        <v>7</v>
      </c>
      <c r="G267" s="1" t="s">
        <v>332</v>
      </c>
      <c r="H267" s="1" t="s">
        <v>28</v>
      </c>
      <c r="I267" s="1" t="s">
        <v>177</v>
      </c>
      <c r="K267" s="1" t="n">
        <v>579</v>
      </c>
      <c r="L267" s="11" t="n">
        <v>0.66389153390762</v>
      </c>
      <c r="M267" s="1" t="n">
        <f aca="false">SUMIF(Relatorio_AK!$A:$A,A267,Relatorio_AK!$B:$B)</f>
        <v>579</v>
      </c>
      <c r="N267" s="1" t="str">
        <f aca="false">IF(M267=K267,"OK","DIF")</f>
        <v>OK</v>
      </c>
      <c r="O267" s="13" t="str">
        <f aca="false">IFERROR(VLOOKUP($A267,Lista_Starke!$A:$E,3,0),"NÃO ESTÁ NA LISTA")</f>
        <v>TOYOTA: Corolla 1.8 16V   2ZZFE 03/08
TOYOTA: Fielder 1.8 16V   2ZZFE 04/08</v>
      </c>
      <c r="P267" s="12" t="str">
        <f aca="false">IFERROR(VLOOKUP($A267,Lista_Starke!$A:$E,2,0),"NÃO ESTÁ NA LISTA")</f>
        <v>CILINDRO AUXILIAR DE EMBREAGEM</v>
      </c>
    </row>
    <row r="268" customFormat="false" ht="15" hidden="false" customHeight="true" outlineLevel="0" collapsed="false">
      <c r="A268" s="10" t="s">
        <v>651</v>
      </c>
      <c r="B268" s="10" t="str">
        <f aca="false">IFERROR(VLOOKUP(A268,Pedido!$A:$B,2,0),"")</f>
        <v/>
      </c>
      <c r="C268" s="10" t="str">
        <f aca="false">IF(B268="","NÃO COMPRA","COMPRA")</f>
        <v>NÃO COMPRA</v>
      </c>
      <c r="D268" s="1" t="n">
        <f aca="false">IFERROR(VLOOKUP(A268,Pedido!$A:$C,3,0),0)</f>
        <v>0</v>
      </c>
      <c r="E268" s="5" t="n">
        <f aca="false">IFERROR(VLOOKUP(A268,Pedido!$A:$E,5,0),0)</f>
        <v>0</v>
      </c>
      <c r="F268" s="1" t="s">
        <v>7</v>
      </c>
      <c r="G268" s="1" t="s">
        <v>49</v>
      </c>
      <c r="H268" s="1" t="s">
        <v>32</v>
      </c>
      <c r="I268" s="1" t="s">
        <v>50</v>
      </c>
      <c r="J268" s="1" t="s">
        <v>652</v>
      </c>
      <c r="K268" s="1" t="n">
        <v>576</v>
      </c>
      <c r="L268" s="11" t="n">
        <v>0.664876221670994</v>
      </c>
      <c r="M268" s="1" t="n">
        <f aca="false">SUMIF(Relatorio_AK!$A:$A,A268,Relatorio_AK!$B:$B)</f>
        <v>576</v>
      </c>
      <c r="N268" s="1" t="str">
        <f aca="false">IF(M268=K268,"OK","DIF")</f>
        <v>OK</v>
      </c>
      <c r="O268" s="12" t="str">
        <f aca="false">IFERROR(VLOOKUP($A268,Lista_Starke!$A:$E,3,0),"NÃO ESTÁ NA LISTA")</f>
        <v>HONDA: Civic 1.7 16V VTEC 01/05</v>
      </c>
      <c r="P268" s="12" t="str">
        <f aca="false">IFERROR(VLOOKUP($A268,Lista_Starke!$A:$E,2,0),"NÃO ESTÁ NA LISTA")</f>
        <v>CILINDRO MESTRE DE EMBREAGEM</v>
      </c>
    </row>
    <row r="269" customFormat="false" ht="15" hidden="false" customHeight="true" outlineLevel="0" collapsed="false">
      <c r="A269" s="10" t="s">
        <v>653</v>
      </c>
      <c r="B269" s="10" t="str">
        <f aca="false">IFERROR(VLOOKUP(A269,Pedido!$A:$B,2,0),"")</f>
        <v/>
      </c>
      <c r="C269" s="10" t="str">
        <f aca="false">IF(B269="","NÃO COMPRA","COMPRA")</f>
        <v>NÃO COMPRA</v>
      </c>
      <c r="D269" s="1" t="n">
        <f aca="false">IFERROR(VLOOKUP(A269,Pedido!$A:$C,3,0),0)</f>
        <v>0</v>
      </c>
      <c r="E269" s="5" t="n">
        <f aca="false">IFERROR(VLOOKUP(A269,Pedido!$A:$E,5,0),0)</f>
        <v>0</v>
      </c>
      <c r="F269" s="1" t="s">
        <v>7</v>
      </c>
      <c r="G269" s="1" t="s">
        <v>289</v>
      </c>
      <c r="H269" s="1" t="s">
        <v>28</v>
      </c>
      <c r="I269" s="1" t="s">
        <v>77</v>
      </c>
      <c r="K269" s="1" t="n">
        <v>574</v>
      </c>
      <c r="L269" s="11" t="n">
        <v>0.665857490379634</v>
      </c>
      <c r="M269" s="1" t="n">
        <f aca="false">SUMIF(Relatorio_AK!$A:$A,A269,Relatorio_AK!$B:$B)</f>
        <v>574</v>
      </c>
      <c r="N269" s="1" t="str">
        <f aca="false">IF(M269=K269,"OK","DIF")</f>
        <v>OK</v>
      </c>
      <c r="O269" s="13" t="str">
        <f aca="false">IFERROR(VLOOKUP($A269,Lista_Starke!$A:$E,3,0),"NÃO ESTÁ NA LISTA")</f>
        <v>CITROEN: Jumpy 1.5 16V HDI 22/...
CITROEN: Jumpy 1.6 8V Diesel DV6 16/...
FIAT: Scudo 1.5 16V Diesel 22/...
PEUGEOT: Expert 1.5 16V HDI 22/...
PEUGEOT: Expert 1.6 8V Diesel DV6 16/...</v>
      </c>
      <c r="P269" s="12" t="str">
        <f aca="false">IFERROR(VLOOKUP($A269,Lista_Starke!$A:$E,2,0),"NÃO ESTÁ NA LISTA")</f>
        <v>CILINDRO AUXILIAR DE EMBREAGEM</v>
      </c>
    </row>
    <row r="270" customFormat="false" ht="15" hidden="false" customHeight="true" outlineLevel="0" collapsed="false">
      <c r="A270" s="10" t="s">
        <v>654</v>
      </c>
      <c r="B270" s="10" t="str">
        <f aca="false">IFERROR(VLOOKUP(A270,Pedido!$A:$B,2,0),"")</f>
        <v>SBC 1188</v>
      </c>
      <c r="C270" s="10" t="str">
        <f aca="false">IF(B270="","NÃO COMPRA","COMPRA")</f>
        <v>COMPRA</v>
      </c>
      <c r="D270" s="1" t="n">
        <f aca="false">IFERROR(VLOOKUP(A270,Pedido!$A:$C,3,0),0)</f>
        <v>8</v>
      </c>
      <c r="E270" s="5" t="n">
        <f aca="false">IFERROR(VLOOKUP(A270,Pedido!$A:$E,5,0),0)</f>
        <v>2134</v>
      </c>
      <c r="F270" s="1" t="s">
        <v>7</v>
      </c>
      <c r="G270" s="1" t="s">
        <v>176</v>
      </c>
      <c r="H270" s="1" t="s">
        <v>35</v>
      </c>
      <c r="I270" s="1" t="s">
        <v>177</v>
      </c>
      <c r="K270" s="1" t="n">
        <v>572</v>
      </c>
      <c r="L270" s="11" t="n">
        <v>0.666835340033541</v>
      </c>
      <c r="M270" s="1" t="n">
        <f aca="false">SUMIF(Relatorio_AK!$A:$A,A270,Relatorio_AK!$B:$B)</f>
        <v>572</v>
      </c>
      <c r="N270" s="1" t="str">
        <f aca="false">IF(M270=K270,"OK","DIF")</f>
        <v>OK</v>
      </c>
      <c r="O270" s="13" t="str">
        <f aca="false">IFERROR(VLOOKUP($A270,Lista_Starke!$A:$E,3,0),"NÃO ESTÁ NA LISTA")</f>
        <v>TOYOTA: Hilux 2.7 16V Flex 11/15
TOYOTA: Hilux 3.0 16V Turbo Diesel 12/15
TOYOTA: SW4 2.7 16V Flex 12/15
TOYOTA: SW4 3.0 16V Turbo Diesel 11/15</v>
      </c>
      <c r="P270" s="12" t="str">
        <f aca="false">IFERROR(VLOOKUP($A270,Lista_Starke!$A:$E,2,0),"NÃO ESTÁ NA LISTA")</f>
        <v>CILINDRO MESTRE DE FREIO</v>
      </c>
    </row>
    <row r="271" customFormat="false" ht="15" hidden="false" customHeight="true" outlineLevel="0" collapsed="false">
      <c r="A271" s="10" t="s">
        <v>655</v>
      </c>
      <c r="B271" s="10" t="str">
        <f aca="false">IFERROR(VLOOKUP(A271,Pedido!$A:$B,2,0),"")</f>
        <v/>
      </c>
      <c r="C271" s="10" t="str">
        <f aca="false">IF(B271="","NÃO COMPRA","COMPRA")</f>
        <v>NÃO COMPRA</v>
      </c>
      <c r="D271" s="1" t="n">
        <f aca="false">IFERROR(VLOOKUP(A271,Pedido!$A:$C,3,0),0)</f>
        <v>0</v>
      </c>
      <c r="E271" s="5" t="n">
        <f aca="false">IFERROR(VLOOKUP(A271,Pedido!$A:$E,5,0),0)</f>
        <v>0</v>
      </c>
      <c r="F271" s="1" t="s">
        <v>7</v>
      </c>
      <c r="G271" s="1" t="s">
        <v>656</v>
      </c>
      <c r="H271" s="1" t="s">
        <v>600</v>
      </c>
      <c r="I271" s="1" t="s">
        <v>657</v>
      </c>
      <c r="J271" s="1" t="s">
        <v>658</v>
      </c>
      <c r="K271" s="1" t="n">
        <v>570</v>
      </c>
      <c r="L271" s="11" t="n">
        <v>0.667809770632713</v>
      </c>
      <c r="M271" s="1" t="n">
        <f aca="false">SUMIF(Relatorio_AK!$A:$A,A271,Relatorio_AK!$B:$B)</f>
        <v>570</v>
      </c>
      <c r="N271" s="1" t="str">
        <f aca="false">IF(M271=K271,"OK","DIF")</f>
        <v>OK</v>
      </c>
      <c r="O271" s="13" t="str">
        <f aca="false">IFERROR(VLOOKUP($A271,Lista_Starke!$A:$E,3,0),"NÃO ESTÁ NA LISTA")</f>
        <v>FORD: Fusion 2.0 16V Turbo Ecoboost 13/...
JAGUAR: F-Pace 2.0 Turbo Gasolina 204PT 16/...
LAND ROVER: Discovery Sport 2.0 Turbo Gasolina 204PT 14/...
LAND ROVER: Evoque 2.0 Turbo Gasolina 204PT 11/...
LAND ROVER: Freelander 2 2.0 Turbo Gasolina 204PT 11/14
VOLVO: S60 2.0 T5 B4204T7 10/15
VOLVO: S80 2.0 T5 B4207T7 10/16
VOLVO: XC60 T5 2.0 20V Turbo 5 cil B4204T7 10/17</v>
      </c>
      <c r="P271" s="12" t="str">
        <f aca="false">IFERROR(VLOOKUP($A271,Lista_Starke!$A:$E,2,0),"NÃO ESTÁ NA LISTA")</f>
        <v>BOMBA DE VÁCUO FREIO</v>
      </c>
    </row>
    <row r="272" customFormat="false" ht="15" hidden="false" customHeight="true" outlineLevel="0" collapsed="false">
      <c r="A272" s="10" t="s">
        <v>659</v>
      </c>
      <c r="B272" s="10" t="str">
        <f aca="false">IFERROR(VLOOKUP(A272,Pedido!$A:$B,2,0),"")</f>
        <v/>
      </c>
      <c r="C272" s="10" t="str">
        <f aca="false">IF(B272="","NÃO COMPRA","COMPRA")</f>
        <v>NÃO COMPRA</v>
      </c>
      <c r="D272" s="1" t="n">
        <f aca="false">IFERROR(VLOOKUP(A272,Pedido!$A:$C,3,0),0)</f>
        <v>0</v>
      </c>
      <c r="E272" s="5" t="n">
        <f aca="false">IFERROR(VLOOKUP(A272,Pedido!$A:$E,5,0),0)</f>
        <v>0</v>
      </c>
      <c r="F272" s="1" t="s">
        <v>7</v>
      </c>
      <c r="G272" s="1" t="s">
        <v>130</v>
      </c>
      <c r="H272" s="1" t="s">
        <v>131</v>
      </c>
      <c r="I272" s="1" t="s">
        <v>46</v>
      </c>
      <c r="J272" s="1" t="s">
        <v>660</v>
      </c>
      <c r="K272" s="1" t="n">
        <v>569</v>
      </c>
      <c r="L272" s="11" t="n">
        <v>0.668782491704518</v>
      </c>
      <c r="M272" s="1" t="n">
        <f aca="false">SUMIF(Relatorio_AK!$A:$A,A272,Relatorio_AK!$B:$B)</f>
        <v>569</v>
      </c>
      <c r="N272" s="1" t="str">
        <f aca="false">IF(M272=K272,"OK","DIF")</f>
        <v>OK</v>
      </c>
      <c r="O272" s="12" t="str">
        <f aca="false">IFERROR(VLOOKUP($A272,Lista_Starke!$A:$E,3,0),"NÃO ESTÁ NA LISTA")</f>
        <v>FIAT: Mobi 1.0 12V 3 cil 20/...</v>
      </c>
      <c r="P272" s="12" t="str">
        <f aca="false">IFERROR(VLOOKUP($A272,Lista_Starke!$A:$E,2,0),"NÃO ESTÁ NA LISTA")</f>
        <v>SAPATA DE FREIO</v>
      </c>
    </row>
    <row r="273" customFormat="false" ht="15" hidden="false" customHeight="true" outlineLevel="0" collapsed="false">
      <c r="A273" s="10" t="s">
        <v>661</v>
      </c>
      <c r="B273" s="10" t="str">
        <f aca="false">IFERROR(VLOOKUP(A273,Pedido!$A:$B,2,0),"")</f>
        <v/>
      </c>
      <c r="C273" s="10" t="str">
        <f aca="false">IF(B273="","NÃO COMPRA","COMPRA")</f>
        <v>NÃO COMPRA</v>
      </c>
      <c r="D273" s="1" t="n">
        <f aca="false">IFERROR(VLOOKUP(A273,Pedido!$A:$C,3,0),0)</f>
        <v>0</v>
      </c>
      <c r="E273" s="5" t="n">
        <f aca="false">IFERROR(VLOOKUP(A273,Pedido!$A:$E,5,0),0)</f>
        <v>0</v>
      </c>
      <c r="F273" s="1" t="s">
        <v>7</v>
      </c>
      <c r="G273" s="1" t="s">
        <v>168</v>
      </c>
      <c r="H273" s="1" t="s">
        <v>131</v>
      </c>
      <c r="I273" s="1" t="s">
        <v>57</v>
      </c>
      <c r="J273" s="1" t="s">
        <v>662</v>
      </c>
      <c r="K273" s="1" t="n">
        <v>569</v>
      </c>
      <c r="L273" s="11" t="n">
        <v>0.669755212776323</v>
      </c>
      <c r="M273" s="1" t="n">
        <f aca="false">SUMIF(Relatorio_AK!$A:$A,A273,Relatorio_AK!$B:$B)</f>
        <v>569</v>
      </c>
      <c r="N273" s="1" t="str">
        <f aca="false">IF(M273=K273,"OK","DIF")</f>
        <v>OK</v>
      </c>
      <c r="O273" s="13" t="str">
        <f aca="false">IFERROR(VLOOKUP($A273,Lista_Starke!$A:$E,3,0),"NÃO ESTÁ NA LISTA")</f>
        <v>GM: Onix 1.0 12V 3 cil Aspirado 20/...
GM: Onix 1.0 12V 3 cil Turbo 20/...
GM: Onix Plus 1.0 12V 3 cil Aspirado 20/...
GM: Onix Plus 1.0.12V 3 cil Turbo 20/...</v>
      </c>
      <c r="P273" s="12" t="str">
        <f aca="false">IFERROR(VLOOKUP($A273,Lista_Starke!$A:$E,2,0),"NÃO ESTÁ NA LISTA")</f>
        <v>SAPATA DE FREIO</v>
      </c>
    </row>
    <row r="274" customFormat="false" ht="15" hidden="false" customHeight="true" outlineLevel="0" collapsed="false">
      <c r="A274" s="10" t="s">
        <v>663</v>
      </c>
      <c r="B274" s="10" t="str">
        <f aca="false">IFERROR(VLOOKUP(A274,Pedido!$A:$B,2,0),"")</f>
        <v/>
      </c>
      <c r="C274" s="10" t="str">
        <f aca="false">IF(B274="","NÃO COMPRA","COMPRA")</f>
        <v>NÃO COMPRA</v>
      </c>
      <c r="D274" s="1" t="n">
        <f aca="false">IFERROR(VLOOKUP(A274,Pedido!$A:$C,3,0),0)</f>
        <v>0</v>
      </c>
      <c r="E274" s="5" t="n">
        <f aca="false">IFERROR(VLOOKUP(A274,Pedido!$A:$E,5,0),0)</f>
        <v>0</v>
      </c>
      <c r="F274" s="1" t="s">
        <v>7</v>
      </c>
      <c r="G274" s="1" t="s">
        <v>136</v>
      </c>
      <c r="H274" s="1" t="s">
        <v>32</v>
      </c>
      <c r="I274" s="1" t="s">
        <v>97</v>
      </c>
      <c r="J274" s="1" t="s">
        <v>664</v>
      </c>
      <c r="K274" s="1" t="n">
        <v>568</v>
      </c>
      <c r="L274" s="11" t="n">
        <v>0.670726224320762</v>
      </c>
      <c r="M274" s="1" t="n">
        <f aca="false">SUMIF(Relatorio_AK!$A:$A,A274,Relatorio_AK!$B:$B)</f>
        <v>568</v>
      </c>
      <c r="N274" s="1" t="str">
        <f aca="false">IF(M274=K274,"OK","DIF")</f>
        <v>OK</v>
      </c>
      <c r="O274" s="13" t="str">
        <f aca="false">IFERROR(VLOOKUP($A274,Lista_Starke!$A:$E,3,0),"NÃO ESTÁ NA LISTA")</f>
        <v>FIAT: Toro 1.8 16V / 2.0 16V / 2.4 16V 16/...
JEEP: Renegade 1.8 16V / 2.0 16V 15/...</v>
      </c>
      <c r="P274" s="12" t="str">
        <f aca="false">IFERROR(VLOOKUP($A274,Lista_Starke!$A:$E,2,0),"NÃO ESTÁ NA LISTA")</f>
        <v>CILINDRO MESTRE DE EMBREAGEM</v>
      </c>
    </row>
    <row r="275" customFormat="false" ht="15" hidden="false" customHeight="true" outlineLevel="0" collapsed="false">
      <c r="A275" s="10" t="s">
        <v>665</v>
      </c>
      <c r="B275" s="10" t="str">
        <f aca="false">IFERROR(VLOOKUP(A275,Pedido!$A:$B,2,0),"")</f>
        <v/>
      </c>
      <c r="C275" s="10" t="str">
        <f aca="false">IF(B275="","NÃO COMPRA","COMPRA")</f>
        <v>NÃO COMPRA</v>
      </c>
      <c r="D275" s="1" t="n">
        <f aca="false">IFERROR(VLOOKUP(A275,Pedido!$A:$C,3,0),0)</f>
        <v>0</v>
      </c>
      <c r="E275" s="5" t="n">
        <f aca="false">IFERROR(VLOOKUP(A275,Pedido!$A:$E,5,0),0)</f>
        <v>0</v>
      </c>
      <c r="F275" s="1" t="s">
        <v>7</v>
      </c>
      <c r="G275" s="1" t="s">
        <v>65</v>
      </c>
      <c r="H275" s="1" t="s">
        <v>35</v>
      </c>
      <c r="I275" s="1" t="s">
        <v>137</v>
      </c>
      <c r="K275" s="1" t="n">
        <v>564</v>
      </c>
      <c r="L275" s="11" t="n">
        <v>0.671690397755732</v>
      </c>
      <c r="M275" s="1" t="n">
        <f aca="false">SUMIF(Relatorio_AK!$A:$A,A275,Relatorio_AK!$B:$B)</f>
        <v>564</v>
      </c>
      <c r="N275" s="1" t="str">
        <f aca="false">IF(M275=K275,"OK","DIF")</f>
        <v>OK</v>
      </c>
      <c r="O275" s="13" t="str">
        <f aca="false">IFERROR(VLOOKUP($A275,Lista_Starke!$A:$E,3,0),"NÃO ESTÁ NA LISTA")</f>
        <v>CITROEN: Jumper 2.0 16V Blue HDI Euro V 18/...
FIAT: Ducato 2.3 16V Multijet Euro V 18/...
PEUGEOT: Boxer 2.0 16V Blue HDI Euro V 18/...</v>
      </c>
      <c r="P275" s="12" t="str">
        <f aca="false">IFERROR(VLOOKUP($A275,Lista_Starke!$A:$E,2,0),"NÃO ESTÁ NA LISTA")</f>
        <v>CILINDRO MESTRE DE FREIO</v>
      </c>
    </row>
    <row r="276" customFormat="false" ht="15" hidden="false" customHeight="true" outlineLevel="0" collapsed="false">
      <c r="A276" s="10" t="s">
        <v>666</v>
      </c>
      <c r="B276" s="10" t="str">
        <f aca="false">IFERROR(VLOOKUP(A276,Pedido!$A:$B,2,0),"")</f>
        <v/>
      </c>
      <c r="C276" s="10" t="str">
        <f aca="false">IF(B276="","NÃO COMPRA","COMPRA")</f>
        <v>NÃO COMPRA</v>
      </c>
      <c r="D276" s="1" t="n">
        <f aca="false">IFERROR(VLOOKUP(A276,Pedido!$A:$C,3,0),0)</f>
        <v>0</v>
      </c>
      <c r="E276" s="5" t="n">
        <f aca="false">IFERROR(VLOOKUP(A276,Pedido!$A:$E,5,0),0)</f>
        <v>0</v>
      </c>
      <c r="F276" s="1" t="s">
        <v>7</v>
      </c>
      <c r="G276" s="1" t="s">
        <v>356</v>
      </c>
      <c r="H276" s="1" t="s">
        <v>131</v>
      </c>
      <c r="I276" s="1" t="s">
        <v>29</v>
      </c>
      <c r="J276" s="1" t="s">
        <v>667</v>
      </c>
      <c r="K276" s="1" t="n">
        <v>562</v>
      </c>
      <c r="L276" s="11" t="n">
        <v>0.672651152135969</v>
      </c>
      <c r="M276" s="1" t="n">
        <f aca="false">SUMIF(Relatorio_AK!$A:$A,A276,Relatorio_AK!$B:$B)</f>
        <v>562</v>
      </c>
      <c r="N276" s="1" t="str">
        <f aca="false">IF(M276=K276,"OK","DIF")</f>
        <v>OK</v>
      </c>
      <c r="O276" s="13" t="str">
        <f aca="false">IFERROR(VLOOKUP($A276,Lista_Starke!$A:$E,3,0),"NÃO ESTÁ NA LISTA")</f>
        <v>HYUNDAI: HB20 1.0 Turbo 20/...
HYUNDAI: HB20 1.616V 20/...</v>
      </c>
      <c r="P276" s="12" t="str">
        <f aca="false">IFERROR(VLOOKUP($A276,Lista_Starke!$A:$E,2,0),"NÃO ESTÁ NA LISTA")</f>
        <v>SAPATA DE FREIO</v>
      </c>
    </row>
    <row r="277" customFormat="false" ht="15" hidden="false" customHeight="true" outlineLevel="0" collapsed="false">
      <c r="A277" s="10" t="s">
        <v>668</v>
      </c>
      <c r="B277" s="10" t="str">
        <f aca="false">IFERROR(VLOOKUP(A277,Pedido!$A:$B,2,0),"")</f>
        <v/>
      </c>
      <c r="C277" s="10" t="str">
        <f aca="false">IF(B277="","NÃO COMPRA","COMPRA")</f>
        <v>NÃO COMPRA</v>
      </c>
      <c r="D277" s="1" t="n">
        <f aca="false">IFERROR(VLOOKUP(A277,Pedido!$A:$C,3,0),0)</f>
        <v>0</v>
      </c>
      <c r="E277" s="5" t="n">
        <f aca="false">IFERROR(VLOOKUP(A277,Pedido!$A:$E,5,0),0)</f>
        <v>0</v>
      </c>
      <c r="F277" s="1" t="s">
        <v>7</v>
      </c>
      <c r="G277" s="1" t="s">
        <v>307</v>
      </c>
      <c r="H277" s="1" t="s">
        <v>197</v>
      </c>
      <c r="I277" s="1" t="s">
        <v>97</v>
      </c>
      <c r="K277" s="1" t="n">
        <v>558</v>
      </c>
      <c r="L277" s="11" t="n">
        <v>0.673605068406737</v>
      </c>
      <c r="M277" s="1" t="n">
        <f aca="false">SUMIF(Relatorio_AK!$A:$A,A277,Relatorio_AK!$B:$B)</f>
        <v>558</v>
      </c>
      <c r="N277" s="1" t="str">
        <f aca="false">IF(M277=K277,"OK","DIF")</f>
        <v>OK</v>
      </c>
      <c r="O277" s="13" t="str">
        <f aca="false">IFERROR(VLOOKUP($A277,Lista_Starke!$A:$E,3,0),"NÃO ESTÁ NA LISTA")</f>
        <v>FIAT: Fastback 1.3 16V Turbo 23/...
FIAT: Pulse 1.3 16V Turbo 22/...
FIAT: Toro 1.3 16V Turbo 21/...
JEEP: Commander 1.3 16V Turbo 22/...
JEEP: Compass 1.3 16V Turbo 21/...
JEEP: Renegade 1.3 16V Turbo 21/...</v>
      </c>
      <c r="P277" s="12" t="str">
        <f aca="false">IFERROR(VLOOKUP($A277,Lista_Starke!$A:$E,2,0),"NÃO ESTÁ NA LISTA")</f>
        <v>BOMBA D'ÁGUA</v>
      </c>
    </row>
    <row r="278" customFormat="false" ht="15" hidden="false" customHeight="true" outlineLevel="0" collapsed="false">
      <c r="A278" s="10" t="s">
        <v>669</v>
      </c>
      <c r="B278" s="10" t="str">
        <f aca="false">IFERROR(VLOOKUP(A278,Pedido!$A:$B,2,0),"")</f>
        <v/>
      </c>
      <c r="C278" s="10" t="str">
        <f aca="false">IF(B278="","NÃO COMPRA","COMPRA")</f>
        <v>NÃO COMPRA</v>
      </c>
      <c r="D278" s="1" t="n">
        <f aca="false">IFERROR(VLOOKUP(A278,Pedido!$A:$C,3,0),0)</f>
        <v>0</v>
      </c>
      <c r="E278" s="5" t="n">
        <f aca="false">IFERROR(VLOOKUP(A278,Pedido!$A:$E,5,0),0)</f>
        <v>0</v>
      </c>
      <c r="F278" s="1" t="s">
        <v>7</v>
      </c>
      <c r="G278" s="1" t="s">
        <v>117</v>
      </c>
      <c r="H278" s="1" t="s">
        <v>32</v>
      </c>
      <c r="I278" s="1" t="s">
        <v>57</v>
      </c>
      <c r="J278" s="1" t="s">
        <v>670</v>
      </c>
      <c r="K278" s="1" t="n">
        <v>556</v>
      </c>
      <c r="L278" s="11" t="n">
        <v>0.674555565622772</v>
      </c>
      <c r="M278" s="1" t="n">
        <f aca="false">SUMIF(Relatorio_AK!$A:$A,A278,Relatorio_AK!$B:$B)</f>
        <v>556</v>
      </c>
      <c r="N278" s="1" t="str">
        <f aca="false">IF(M278=K278,"OK","DIF")</f>
        <v>OK</v>
      </c>
      <c r="O278" s="13" t="str">
        <f aca="false">IFERROR(VLOOKUP($A278,Lista_Starke!$A:$E,3,0),"NÃO ESTÁ NA LISTA")</f>
        <v>GM: Astra  99/11
GM: Vectra  06/11</v>
      </c>
      <c r="P278" s="12" t="str">
        <f aca="false">IFERROR(VLOOKUP($A278,Lista_Starke!$A:$E,2,0),"NÃO ESTÁ NA LISTA")</f>
        <v>CILINDRO MESTRE DE EMBREAGEM</v>
      </c>
    </row>
    <row r="279" customFormat="false" ht="15" hidden="false" customHeight="true" outlineLevel="0" collapsed="false">
      <c r="A279" s="10" t="s">
        <v>671</v>
      </c>
      <c r="B279" s="10" t="str">
        <f aca="false">IFERROR(VLOOKUP(A279,Pedido!$A:$B,2,0),"")</f>
        <v/>
      </c>
      <c r="C279" s="10" t="str">
        <f aca="false">IF(B279="","NÃO COMPRA","COMPRA")</f>
        <v>NÃO COMPRA</v>
      </c>
      <c r="D279" s="1" t="n">
        <f aca="false">IFERROR(VLOOKUP(A279,Pedido!$A:$C,3,0),0)</f>
        <v>0</v>
      </c>
      <c r="E279" s="5" t="n">
        <f aca="false">IFERROR(VLOOKUP(A279,Pedido!$A:$E,5,0),0)</f>
        <v>0</v>
      </c>
      <c r="F279" s="1" t="s">
        <v>7</v>
      </c>
      <c r="G279" s="1" t="s">
        <v>214</v>
      </c>
      <c r="H279" s="1" t="s">
        <v>35</v>
      </c>
      <c r="I279" s="1" t="s">
        <v>215</v>
      </c>
      <c r="K279" s="1" t="n">
        <v>553</v>
      </c>
      <c r="L279" s="11" t="n">
        <v>0.675500934256706</v>
      </c>
      <c r="M279" s="1" t="n">
        <f aca="false">SUMIF(Relatorio_AK!$A:$A,A279,Relatorio_AK!$B:$B)</f>
        <v>553</v>
      </c>
      <c r="N279" s="1" t="str">
        <f aca="false">IF(M279=K279,"OK","DIF")</f>
        <v>OK</v>
      </c>
      <c r="O279" s="12" t="str">
        <f aca="false">IFERROR(VLOOKUP($A279,Lista_Starke!$A:$E,3,0),"NÃO ESTÁ NA LISTA")</f>
        <v>NISSAN: Kicks 1.6 16V 16/...</v>
      </c>
      <c r="P279" s="12" t="str">
        <f aca="false">IFERROR(VLOOKUP($A279,Lista_Starke!$A:$E,2,0),"NÃO ESTÁ NA LISTA")</f>
        <v>CILINDRO MESTRE DE FREIO</v>
      </c>
    </row>
    <row r="280" customFormat="false" ht="15" hidden="false" customHeight="true" outlineLevel="0" collapsed="false">
      <c r="A280" s="10" t="s">
        <v>672</v>
      </c>
      <c r="B280" s="10" t="str">
        <f aca="false">IFERROR(VLOOKUP(A280,Pedido!$A:$B,2,0),"")</f>
        <v/>
      </c>
      <c r="C280" s="10" t="str">
        <f aca="false">IF(B280="","NÃO COMPRA","COMPRA")</f>
        <v>NÃO COMPRA</v>
      </c>
      <c r="D280" s="1" t="n">
        <f aca="false">IFERROR(VLOOKUP(A280,Pedido!$A:$C,3,0),0)</f>
        <v>0</v>
      </c>
      <c r="E280" s="5" t="n">
        <f aca="false">IFERROR(VLOOKUP(A280,Pedido!$A:$E,5,0),0)</f>
        <v>0</v>
      </c>
      <c r="F280" s="1" t="s">
        <v>7</v>
      </c>
      <c r="G280" s="1" t="s">
        <v>536</v>
      </c>
      <c r="H280" s="1" t="s">
        <v>131</v>
      </c>
      <c r="I280" s="1" t="s">
        <v>673</v>
      </c>
      <c r="J280" s="1" t="s">
        <v>674</v>
      </c>
      <c r="K280" s="1" t="n">
        <v>552</v>
      </c>
      <c r="L280" s="11" t="n">
        <v>0.676444593363273</v>
      </c>
      <c r="M280" s="1" t="n">
        <f aca="false">SUMIF(Relatorio_AK!$A:$A,A280,Relatorio_AK!$B:$B)</f>
        <v>552</v>
      </c>
      <c r="N280" s="1" t="str">
        <f aca="false">IF(M280=K280,"OK","DIF")</f>
        <v>OK</v>
      </c>
      <c r="O280" s="13" t="str">
        <f aca="false">IFERROR(VLOOKUP($A280,Lista_Starke!$A:$E,3,0),"NÃO ESTÁ NA LISTA")</f>
        <v>FORD: Ranger 2.2 16V TDCi 12/...
FORD: Ranger 3.2 20V TDCi 12/...
NISSAN: Frontier 2.5 16V 08/...</v>
      </c>
      <c r="P280" s="12" t="str">
        <f aca="false">IFERROR(VLOOKUP($A280,Lista_Starke!$A:$E,2,0),"NÃO ESTÁ NA LISTA")</f>
        <v>SAPATA DE FREIO</v>
      </c>
    </row>
    <row r="281" customFormat="false" ht="15" hidden="false" customHeight="true" outlineLevel="0" collapsed="false">
      <c r="A281" s="10" t="s">
        <v>675</v>
      </c>
      <c r="B281" s="10" t="str">
        <f aca="false">IFERROR(VLOOKUP(A281,Pedido!$A:$B,2,0),"")</f>
        <v>SBC 1148</v>
      </c>
      <c r="C281" s="10" t="str">
        <f aca="false">IF(B281="","NÃO COMPRA","COMPRA")</f>
        <v>COMPRA</v>
      </c>
      <c r="D281" s="1" t="n">
        <f aca="false">IFERROR(VLOOKUP(A281,Pedido!$A:$C,3,0),0)</f>
        <v>6</v>
      </c>
      <c r="E281" s="5" t="n">
        <f aca="false">IFERROR(VLOOKUP(A281,Pedido!$A:$E,5,0),0)</f>
        <v>1173.78</v>
      </c>
      <c r="F281" s="1" t="s">
        <v>7</v>
      </c>
      <c r="G281" s="1" t="s">
        <v>372</v>
      </c>
      <c r="H281" s="1" t="s">
        <v>35</v>
      </c>
      <c r="I281" s="1" t="s">
        <v>373</v>
      </c>
      <c r="K281" s="1" t="n">
        <v>551</v>
      </c>
      <c r="L281" s="11" t="n">
        <v>0.677386542942472</v>
      </c>
      <c r="M281" s="1" t="n">
        <f aca="false">SUMIF(Relatorio_AK!$A:$A,A281,Relatorio_AK!$B:$B)</f>
        <v>551</v>
      </c>
      <c r="N281" s="1" t="str">
        <f aca="false">IF(M281=K281,"OK","DIF")</f>
        <v>OK</v>
      </c>
      <c r="O281" s="12" t="str">
        <f aca="false">IFERROR(VLOOKUP($A281,Lista_Starke!$A:$E,3,0),"NÃO ESTÁ NA LISTA")</f>
        <v>MERCEDES-BENZ: Sprinter 415 2.2 CDI Eletrônico OM651 12/...</v>
      </c>
      <c r="P281" s="12" t="str">
        <f aca="false">IFERROR(VLOOKUP($A281,Lista_Starke!$A:$E,2,0),"NÃO ESTÁ NA LISTA")</f>
        <v>CILINDRO MESTRE DE FREIO</v>
      </c>
    </row>
    <row r="282" customFormat="false" ht="15" hidden="false" customHeight="true" outlineLevel="0" collapsed="false">
      <c r="A282" s="10" t="s">
        <v>676</v>
      </c>
      <c r="B282" s="10" t="str">
        <f aca="false">IFERROR(VLOOKUP(A282,Pedido!$A:$B,2,0),"")</f>
        <v/>
      </c>
      <c r="C282" s="10" t="str">
        <f aca="false">IF(B282="","NÃO COMPRA","COMPRA")</f>
        <v>NÃO COMPRA</v>
      </c>
      <c r="D282" s="1" t="n">
        <f aca="false">IFERROR(VLOOKUP(A282,Pedido!$A:$C,3,0),0)</f>
        <v>0</v>
      </c>
      <c r="E282" s="5" t="n">
        <f aca="false">IFERROR(VLOOKUP(A282,Pedido!$A:$E,5,0),0)</f>
        <v>0</v>
      </c>
      <c r="F282" s="1" t="s">
        <v>7</v>
      </c>
      <c r="G282" s="1" t="s">
        <v>125</v>
      </c>
      <c r="H282" s="1" t="s">
        <v>235</v>
      </c>
      <c r="I282" s="1" t="s">
        <v>677</v>
      </c>
      <c r="J282" s="1" t="s">
        <v>678</v>
      </c>
      <c r="K282" s="1" t="n">
        <v>550</v>
      </c>
      <c r="L282" s="11" t="n">
        <v>0.678326782994305</v>
      </c>
      <c r="M282" s="1" t="n">
        <f aca="false">SUMIF(Relatorio_AK!$A:$A,A282,Relatorio_AK!$B:$B)</f>
        <v>550</v>
      </c>
      <c r="N282" s="1" t="str">
        <f aca="false">IF(M282=K282,"OK","DIF")</f>
        <v>OK</v>
      </c>
      <c r="O282" s="13" t="str">
        <f aca="false">IFERROR(VLOOKUP($A282,Lista_Starke!$A:$E,3,0),"NÃO ESTÁ NA LISTA")</f>
        <v>CITROEN: Jumper 2.3 16V Diesel   F1 06/
FIAT: Ducato 2.3 16V Multijet Diesel   F1 10/…
IVECO: Daily 35 C 10 2.3 16v Diesel   F1 06/…
IVECO: Daily 35 C 15 2.3 16v Diesel   F1 06/…
IVECO: Daily 35 C 18 2.3 16v Diesel   F1 06/…
IVECO: Daily 35 S 14 2.3 16v Diesel   F1 06/…
IVECO: Daily 35 S 15 2.3 16v Diesel   F1 06/…
IVECO: Daily 35 S 18 2.3 16v Diesel   F1 06/…
IVECO: Daily 40 C 12 2.3 16v Diesel   F1 06/…
IVECO: Daily 40 C 15 2.3 16v Diesel   F1 06/…
IVECO: Daily 40 C 18 2.3 16v Diesel   F1 06/…
IVECO: Daily 40 S 14 2.3 16v Diesel   F1 06/…
IVECO: Daily 50 C 15 2.3 16v Diesel   F1 06/…
IVECO: Daily 50 C 18 2.3 16v Diesel   F1 06/…
IVECO: Daily 55 C 16 2.3 16v Diesel   F1 06/…
IVECO: Daily 60 C 15 2.3 16v Diesel   F1 06/…
IVECO: Daily 60 C 18 2.3 16v Diesel   F1 06/…
IVECO: Daily 65 C 15 2.3 16v Diesel   F1 06/…
IVECO: Daily 65 C 18 2.3 16v Diesel   F1 06/…
PEUGEOT: Boxer 2.3 16V Diesel   F1 06/…</v>
      </c>
      <c r="P282" s="12" t="str">
        <f aca="false">IFERROR(VLOOKUP($A282,Lista_Starke!$A:$E,2,0),"NÃO ESTÁ NA LISTA")</f>
        <v>RESFRIADOR DE ÓLEO MOTOR</v>
      </c>
    </row>
    <row r="283" customFormat="false" ht="15" hidden="false" customHeight="true" outlineLevel="0" collapsed="false">
      <c r="A283" s="10" t="s">
        <v>679</v>
      </c>
      <c r="B283" s="10" t="str">
        <f aca="false">IFERROR(VLOOKUP(A283,Pedido!$A:$B,2,0),"")</f>
        <v/>
      </c>
      <c r="C283" s="10" t="str">
        <f aca="false">IF(B283="","NÃO COMPRA","COMPRA")</f>
        <v>NÃO COMPRA</v>
      </c>
      <c r="D283" s="1" t="n">
        <f aca="false">IFERROR(VLOOKUP(A283,Pedido!$A:$C,3,0),0)</f>
        <v>0</v>
      </c>
      <c r="E283" s="5" t="n">
        <f aca="false">IFERROR(VLOOKUP(A283,Pedido!$A:$E,5,0),0)</f>
        <v>0</v>
      </c>
      <c r="F283" s="1" t="s">
        <v>7</v>
      </c>
      <c r="G283" s="1" t="s">
        <v>432</v>
      </c>
      <c r="H283" s="1" t="s">
        <v>131</v>
      </c>
      <c r="I283" s="1" t="s">
        <v>36</v>
      </c>
      <c r="J283" s="1" t="s">
        <v>680</v>
      </c>
      <c r="K283" s="1" t="n">
        <v>549</v>
      </c>
      <c r="L283" s="11" t="n">
        <v>0.679265313518771</v>
      </c>
      <c r="M283" s="1" t="n">
        <f aca="false">SUMIF(Relatorio_AK!$A:$A,A283,Relatorio_AK!$B:$B)</f>
        <v>549</v>
      </c>
      <c r="N283" s="1" t="str">
        <f aca="false">IF(M283=K283,"OK","DIF")</f>
        <v>OK</v>
      </c>
      <c r="O283" s="13" t="str">
        <f aca="false">IFERROR(VLOOKUP($A283,Lista_Starke!$A:$E,3,0),"NÃO ESTÁ NA LISTA")</f>
        <v>VOLKSWAGEN: Polo 1.0 12V MPI 18/23
VOLKSWAGEN: Polo Track 1.0 12V MPI 23/...</v>
      </c>
      <c r="P283" s="12" t="str">
        <f aca="false">IFERROR(VLOOKUP($A283,Lista_Starke!$A:$E,2,0),"NÃO ESTÁ NA LISTA")</f>
        <v>SAPATA DE FREIO</v>
      </c>
    </row>
    <row r="284" customFormat="false" ht="15" hidden="false" customHeight="true" outlineLevel="0" collapsed="false">
      <c r="A284" s="10" t="s">
        <v>681</v>
      </c>
      <c r="B284" s="10" t="str">
        <f aca="false">IFERROR(VLOOKUP(A284,Pedido!$A:$B,2,0),"")</f>
        <v/>
      </c>
      <c r="C284" s="10" t="str">
        <f aca="false">IF(B284="","NÃO COMPRA","COMPRA")</f>
        <v>NÃO COMPRA</v>
      </c>
      <c r="D284" s="1" t="n">
        <f aca="false">IFERROR(VLOOKUP(A284,Pedido!$A:$C,3,0),0)</f>
        <v>0</v>
      </c>
      <c r="E284" s="5" t="n">
        <f aca="false">IFERROR(VLOOKUP(A284,Pedido!$A:$E,5,0),0)</f>
        <v>0</v>
      </c>
      <c r="F284" s="1" t="s">
        <v>7</v>
      </c>
      <c r="G284" s="1" t="s">
        <v>602</v>
      </c>
      <c r="H284" s="1" t="s">
        <v>35</v>
      </c>
      <c r="I284" s="1" t="s">
        <v>172</v>
      </c>
      <c r="K284" s="1" t="n">
        <v>548</v>
      </c>
      <c r="L284" s="11" t="n">
        <v>0.68020213451587</v>
      </c>
      <c r="M284" s="1" t="n">
        <f aca="false">SUMIF(Relatorio_AK!$A:$A,A284,Relatorio_AK!$B:$B)</f>
        <v>548</v>
      </c>
      <c r="N284" s="1" t="str">
        <f aca="false">IF(M284=K284,"OK","DIF")</f>
        <v>OK</v>
      </c>
      <c r="O284" s="13" t="str">
        <f aca="false">IFERROR(VLOOKUP($A284,Lista_Starke!$A:$E,3,0),"NÃO ESTÁ NA LISTA")</f>
        <v>HYUNDAI: Tucson 2.0 16V 04/11
HYUNDAI: Tucson 2.0 16V Flex 12/...
HYUNDAI: Tucson 2.7 V6 04/11
KIA: Sportage 2.0 16V 05/10
KIA: Sportage 2.0 16V Diesel 05/10</v>
      </c>
      <c r="P284" s="12" t="str">
        <f aca="false">IFERROR(VLOOKUP($A284,Lista_Starke!$A:$E,2,0),"NÃO ESTÁ NA LISTA")</f>
        <v>CILINDRO MESTRE DE FREIO</v>
      </c>
    </row>
    <row r="285" customFormat="false" ht="15" hidden="false" customHeight="true" outlineLevel="0" collapsed="false">
      <c r="A285" s="10" t="s">
        <v>682</v>
      </c>
      <c r="B285" s="10" t="str">
        <f aca="false">IFERROR(VLOOKUP(A285,Pedido!$A:$B,2,0),"")</f>
        <v/>
      </c>
      <c r="C285" s="10" t="str">
        <f aca="false">IF(B285="","NÃO COMPRA","COMPRA")</f>
        <v>NÃO COMPRA</v>
      </c>
      <c r="D285" s="1" t="n">
        <f aca="false">IFERROR(VLOOKUP(A285,Pedido!$A:$C,3,0),0)</f>
        <v>0</v>
      </c>
      <c r="E285" s="5" t="n">
        <f aca="false">IFERROR(VLOOKUP(A285,Pedido!$A:$E,5,0),0)</f>
        <v>0</v>
      </c>
      <c r="F285" s="1" t="s">
        <v>7</v>
      </c>
      <c r="G285" s="1" t="s">
        <v>683</v>
      </c>
      <c r="H285" s="1" t="s">
        <v>32</v>
      </c>
      <c r="I285" s="1" t="s">
        <v>684</v>
      </c>
      <c r="J285" s="1" t="s">
        <v>685</v>
      </c>
      <c r="K285" s="1" t="n">
        <v>547</v>
      </c>
      <c r="L285" s="11" t="n">
        <v>0.681137245985602</v>
      </c>
      <c r="M285" s="1" t="n">
        <f aca="false">SUMIF(Relatorio_AK!$A:$A,A285,Relatorio_AK!$B:$B)</f>
        <v>547</v>
      </c>
      <c r="N285" s="1" t="str">
        <f aca="false">IF(M285=K285,"OK","DIF")</f>
        <v>OK</v>
      </c>
      <c r="O285" s="13" t="str">
        <f aca="false">IFERROR(VLOOKUP($A285,Lista_Starke!$A:$E,3,0),"NÃO ESTÁ NA LISTA")</f>
        <v>LAND ROVER: Defender 90/110/130 2.5 90/07
LAND ROVER: Discovery I 3.0 TDI Todas</v>
      </c>
      <c r="P285" s="12" t="str">
        <f aca="false">IFERROR(VLOOKUP($A285,Lista_Starke!$A:$E,2,0),"NÃO ESTÁ NA LISTA")</f>
        <v>CILINDRO MESTRE DE EMBREAGEM</v>
      </c>
    </row>
    <row r="286" customFormat="false" ht="15" hidden="false" customHeight="true" outlineLevel="0" collapsed="false">
      <c r="A286" s="10" t="s">
        <v>686</v>
      </c>
      <c r="B286" s="10" t="str">
        <f aca="false">IFERROR(VLOOKUP(A286,Pedido!$A:$B,2,0),"")</f>
        <v/>
      </c>
      <c r="C286" s="10" t="str">
        <f aca="false">IF(B286="","NÃO COMPRA","COMPRA")</f>
        <v>NÃO COMPRA</v>
      </c>
      <c r="D286" s="1" t="n">
        <f aca="false">IFERROR(VLOOKUP(A286,Pedido!$A:$C,3,0),0)</f>
        <v>0</v>
      </c>
      <c r="E286" s="5" t="n">
        <f aca="false">IFERROR(VLOOKUP(A286,Pedido!$A:$E,5,0),0)</f>
        <v>0</v>
      </c>
      <c r="F286" s="1" t="s">
        <v>7</v>
      </c>
      <c r="G286" s="1" t="s">
        <v>687</v>
      </c>
      <c r="H286" s="1" t="s">
        <v>32</v>
      </c>
      <c r="I286" s="1" t="s">
        <v>373</v>
      </c>
      <c r="J286" s="1" t="s">
        <v>688</v>
      </c>
      <c r="K286" s="1" t="n">
        <v>546</v>
      </c>
      <c r="L286" s="11" t="n">
        <v>0.682070647927967</v>
      </c>
      <c r="M286" s="1" t="n">
        <f aca="false">SUMIF(Relatorio_AK!$A:$A,A286,Relatorio_AK!$B:$B)</f>
        <v>546</v>
      </c>
      <c r="N286" s="1" t="str">
        <f aca="false">IF(M286=K286,"OK","DIF")</f>
        <v>OK</v>
      </c>
      <c r="O286" s="12" t="str">
        <f aca="false">IFERROR(VLOOKUP($A286,Lista_Starke!$A:$E,3,0),"NÃO ESTÁ NA LISTA")</f>
        <v>MERCEDES-BENZ: Sprinter  97/12</v>
      </c>
      <c r="P286" s="12" t="str">
        <f aca="false">IFERROR(VLOOKUP($A286,Lista_Starke!$A:$E,2,0),"NÃO ESTÁ NA LISTA")</f>
        <v>CILINDRO MESTRE DE EMBREAGEM</v>
      </c>
    </row>
    <row r="287" customFormat="false" ht="15" hidden="false" customHeight="true" outlineLevel="0" collapsed="false">
      <c r="A287" s="10" t="s">
        <v>689</v>
      </c>
      <c r="B287" s="10" t="str">
        <f aca="false">IFERROR(VLOOKUP(A287,Pedido!$A:$B,2,0),"")</f>
        <v/>
      </c>
      <c r="C287" s="10" t="str">
        <f aca="false">IF(B287="","NÃO COMPRA","COMPRA")</f>
        <v>NÃO COMPRA</v>
      </c>
      <c r="D287" s="1" t="n">
        <f aca="false">IFERROR(VLOOKUP(A287,Pedido!$A:$C,3,0),0)</f>
        <v>0</v>
      </c>
      <c r="E287" s="5" t="n">
        <f aca="false">IFERROR(VLOOKUP(A287,Pedido!$A:$E,5,0),0)</f>
        <v>0</v>
      </c>
      <c r="F287" s="1" t="s">
        <v>7</v>
      </c>
      <c r="G287" s="1" t="s">
        <v>690</v>
      </c>
      <c r="H287" s="1" t="s">
        <v>131</v>
      </c>
      <c r="I287" s="1" t="s">
        <v>50</v>
      </c>
      <c r="J287" s="1" t="s">
        <v>691</v>
      </c>
      <c r="K287" s="1" t="n">
        <v>545</v>
      </c>
      <c r="L287" s="11" t="n">
        <v>0.683002340342965</v>
      </c>
      <c r="M287" s="1" t="n">
        <f aca="false">SUMIF(Relatorio_AK!$A:$A,A287,Relatorio_AK!$B:$B)</f>
        <v>545</v>
      </c>
      <c r="N287" s="1" t="str">
        <f aca="false">IF(M287=K287,"OK","DIF")</f>
        <v>OK</v>
      </c>
      <c r="O287" s="13" t="str">
        <f aca="false">IFERROR(VLOOKUP($A287,Lista_Starke!$A:$E,3,0),"NÃO ESTÁ NA LISTA")</f>
        <v>HONDA: City 1.5 16V 15/19
HONDA: Fit 1.5 16V 15/20
HONDA: WRV 1.5 16V 18/19</v>
      </c>
      <c r="P287" s="12" t="str">
        <f aca="false">IFERROR(VLOOKUP($A287,Lista_Starke!$A:$E,2,0),"NÃO ESTÁ NA LISTA")</f>
        <v>SAPATA DE FREIO</v>
      </c>
    </row>
    <row r="288" customFormat="false" ht="15" hidden="false" customHeight="true" outlineLevel="0" collapsed="false">
      <c r="A288" s="10" t="s">
        <v>692</v>
      </c>
      <c r="B288" s="10" t="str">
        <f aca="false">IFERROR(VLOOKUP(A288,Pedido!$A:$B,2,0),"")</f>
        <v/>
      </c>
      <c r="C288" s="10" t="str">
        <f aca="false">IF(B288="","NÃO COMPRA","COMPRA")</f>
        <v>NÃO COMPRA</v>
      </c>
      <c r="D288" s="1" t="n">
        <f aca="false">IFERROR(VLOOKUP(A288,Pedido!$A:$C,3,0),0)</f>
        <v>0</v>
      </c>
      <c r="E288" s="5" t="n">
        <f aca="false">IFERROR(VLOOKUP(A288,Pedido!$A:$E,5,0),0)</f>
        <v>0</v>
      </c>
      <c r="F288" s="1" t="s">
        <v>7</v>
      </c>
      <c r="G288" s="1" t="s">
        <v>325</v>
      </c>
      <c r="H288" s="1" t="s">
        <v>600</v>
      </c>
      <c r="I288" s="1" t="s">
        <v>286</v>
      </c>
      <c r="J288" s="1" t="s">
        <v>693</v>
      </c>
      <c r="K288" s="1" t="n">
        <v>545</v>
      </c>
      <c r="L288" s="11" t="n">
        <v>0.683934032757963</v>
      </c>
      <c r="M288" s="1" t="n">
        <f aca="false">SUMIF(Relatorio_AK!$A:$A,A288,Relatorio_AK!$B:$B)</f>
        <v>545</v>
      </c>
      <c r="N288" s="1" t="str">
        <f aca="false">IF(M288=K288,"OK","DIF")</f>
        <v>OK</v>
      </c>
      <c r="O288" s="13" t="str">
        <f aca="false">IFERROR(VLOOKUP($A288,Lista_Starke!$A:$E,3,0),"NÃO ESTÁ NA LISTA")</f>
        <v>FORD: Ranger 2.2 16V TDCi 13/...
FORD: Ranger 3.2 20V TDCi 13/...
TROLLER: T4 3.2 20V TDCi 14/...</v>
      </c>
      <c r="P288" s="12" t="str">
        <f aca="false">IFERROR(VLOOKUP($A288,Lista_Starke!$A:$E,2,0),"NÃO ESTÁ NA LISTA")</f>
        <v>BOMBA DE VÁCUO FREIO</v>
      </c>
    </row>
    <row r="289" customFormat="false" ht="15" hidden="false" customHeight="true" outlineLevel="0" collapsed="false">
      <c r="A289" s="10" t="s">
        <v>694</v>
      </c>
      <c r="B289" s="10" t="str">
        <f aca="false">IFERROR(VLOOKUP(A289,Pedido!$A:$B,2,0),"")</f>
        <v/>
      </c>
      <c r="C289" s="10" t="str">
        <f aca="false">IF(B289="","NÃO COMPRA","COMPRA")</f>
        <v>NÃO COMPRA</v>
      </c>
      <c r="D289" s="1" t="n">
        <f aca="false">IFERROR(VLOOKUP(A289,Pedido!$A:$C,3,0),0)</f>
        <v>0</v>
      </c>
      <c r="E289" s="5" t="n">
        <f aca="false">IFERROR(VLOOKUP(A289,Pedido!$A:$E,5,0),0)</f>
        <v>0</v>
      </c>
      <c r="F289" s="1" t="s">
        <v>7</v>
      </c>
      <c r="G289" s="1" t="s">
        <v>695</v>
      </c>
      <c r="H289" s="1" t="s">
        <v>197</v>
      </c>
      <c r="I289" s="1" t="s">
        <v>295</v>
      </c>
      <c r="K289" s="1" t="n">
        <v>545</v>
      </c>
      <c r="L289" s="11" t="n">
        <v>0.684865725172961</v>
      </c>
      <c r="M289" s="1" t="n">
        <f aca="false">SUMIF(Relatorio_AK!$A:$A,A289,Relatorio_AK!$B:$B)</f>
        <v>545</v>
      </c>
      <c r="N289" s="1" t="str">
        <f aca="false">IF(M289=K289,"OK","DIF")</f>
        <v>OK</v>
      </c>
      <c r="O289" s="13" t="str">
        <f aca="false">IFERROR(VLOOKUP($A289,Lista_Starke!$A:$E,3,0),"NÃO ESTÁ NA LISTA")</f>
        <v>CHERY: A5 1.6 16V   SQR481F 07/…
CHERY: A5 1.8 16V   SQR481FC 07/…
CHERY: A5 2.0 16V   SQR484F 07/…
CHERY: Cielo 1.6 16V   SQR481F 10/…
CHERY: Tiggo 2.0 16V   SQR484F 10/…</v>
      </c>
      <c r="P289" s="12" t="str">
        <f aca="false">IFERROR(VLOOKUP($A289,Lista_Starke!$A:$E,2,0),"NÃO ESTÁ NA LISTA")</f>
        <v>BOMBA D'ÁGUA</v>
      </c>
    </row>
    <row r="290" customFormat="false" ht="15" hidden="false" customHeight="true" outlineLevel="0" collapsed="false">
      <c r="A290" s="10" t="s">
        <v>696</v>
      </c>
      <c r="B290" s="10" t="str">
        <f aca="false">IFERROR(VLOOKUP(A290,Pedido!$A:$B,2,0),"")</f>
        <v/>
      </c>
      <c r="C290" s="10" t="str">
        <f aca="false">IF(B290="","NÃO COMPRA","COMPRA")</f>
        <v>NÃO COMPRA</v>
      </c>
      <c r="D290" s="1" t="n">
        <f aca="false">IFERROR(VLOOKUP(A290,Pedido!$A:$C,3,0),0)</f>
        <v>0</v>
      </c>
      <c r="E290" s="5" t="n">
        <f aca="false">IFERROR(VLOOKUP(A290,Pedido!$A:$E,5,0),0)</f>
        <v>0</v>
      </c>
      <c r="F290" s="1" t="s">
        <v>7</v>
      </c>
      <c r="G290" s="1" t="s">
        <v>180</v>
      </c>
      <c r="H290" s="1" t="s">
        <v>28</v>
      </c>
      <c r="I290" s="1" t="s">
        <v>50</v>
      </c>
      <c r="J290" s="1" t="s">
        <v>697</v>
      </c>
      <c r="K290" s="1" t="n">
        <v>543</v>
      </c>
      <c r="L290" s="11" t="n">
        <v>0.685793998533225</v>
      </c>
      <c r="M290" s="1" t="n">
        <f aca="false">SUMIF(Relatorio_AK!$A:$A,A290,Relatorio_AK!$B:$B)</f>
        <v>543</v>
      </c>
      <c r="N290" s="1" t="str">
        <f aca="false">IF(M290=K290,"OK","DIF")</f>
        <v>OK</v>
      </c>
      <c r="O290" s="13" t="str">
        <f aca="false">IFERROR(VLOOKUP($A290,Lista_Starke!$A:$E,3,0),"NÃO ESTÁ NA LISTA")</f>
        <v>HONDA: Fit 1.4 16V 03/08
HONDA: Fit 1.5 16V 03/08</v>
      </c>
      <c r="P290" s="12" t="str">
        <f aca="false">IFERROR(VLOOKUP($A290,Lista_Starke!$A:$E,2,0),"NÃO ESTÁ NA LISTA")</f>
        <v>CILINDRO AUXILIAR DE EMBREAGEM</v>
      </c>
    </row>
    <row r="291" customFormat="false" ht="15" hidden="false" customHeight="true" outlineLevel="0" collapsed="false">
      <c r="A291" s="10" t="s">
        <v>698</v>
      </c>
      <c r="B291" s="10" t="str">
        <f aca="false">IFERROR(VLOOKUP(A291,Pedido!$A:$B,2,0),"")</f>
        <v/>
      </c>
      <c r="C291" s="10" t="str">
        <f aca="false">IF(B291="","NÃO COMPRA","COMPRA")</f>
        <v>NÃO COMPRA</v>
      </c>
      <c r="D291" s="1" t="n">
        <f aca="false">IFERROR(VLOOKUP(A291,Pedido!$A:$C,3,0),0)</f>
        <v>0</v>
      </c>
      <c r="E291" s="5" t="n">
        <f aca="false">IFERROR(VLOOKUP(A291,Pedido!$A:$E,5,0),0)</f>
        <v>0</v>
      </c>
      <c r="F291" s="1" t="s">
        <v>7</v>
      </c>
      <c r="G291" s="1" t="s">
        <v>314</v>
      </c>
      <c r="H291" s="1" t="s">
        <v>131</v>
      </c>
      <c r="I291" s="1" t="s">
        <v>42</v>
      </c>
      <c r="J291" s="1" t="s">
        <v>699</v>
      </c>
      <c r="K291" s="1" t="n">
        <v>543</v>
      </c>
      <c r="L291" s="11" t="n">
        <v>0.686722271893489</v>
      </c>
      <c r="M291" s="1" t="n">
        <f aca="false">SUMIF(Relatorio_AK!$A:$A,A291,Relatorio_AK!$B:$B)</f>
        <v>543</v>
      </c>
      <c r="N291" s="1" t="str">
        <f aca="false">IF(M291=K291,"OK","DIF")</f>
        <v>OK</v>
      </c>
      <c r="O291" s="13" t="str">
        <f aca="false">IFERROR(VLOOKUP($A291,Lista_Starke!$A:$E,3,0),"NÃO ESTÁ NA LISTA")</f>
        <v>RENAULT: Clio 1.0 / 1.6 99/...
RENAULT: Clio 1.2 16V 01/...
RENAULT: Laguna 1.8 / 2.0 93/...
RENAULT: Symbol 1.6 12/...
RENAULT: Twingo 1.0 01/03</v>
      </c>
      <c r="P291" s="12" t="str">
        <f aca="false">IFERROR(VLOOKUP($A291,Lista_Starke!$A:$E,2,0),"NÃO ESTÁ NA LISTA")</f>
        <v>SAPATA DE FREIO</v>
      </c>
    </row>
    <row r="292" customFormat="false" ht="15" hidden="false" customHeight="true" outlineLevel="0" collapsed="false">
      <c r="A292" s="10" t="s">
        <v>700</v>
      </c>
      <c r="B292" s="10" t="str">
        <f aca="false">IFERROR(VLOOKUP(A292,Pedido!$A:$B,2,0),"")</f>
        <v/>
      </c>
      <c r="C292" s="10" t="str">
        <f aca="false">IF(B292="","NÃO COMPRA","COMPRA")</f>
        <v>NÃO COMPRA</v>
      </c>
      <c r="D292" s="1" t="n">
        <f aca="false">IFERROR(VLOOKUP(A292,Pedido!$A:$C,3,0),0)</f>
        <v>0</v>
      </c>
      <c r="E292" s="5" t="n">
        <f aca="false">IFERROR(VLOOKUP(A292,Pedido!$A:$E,5,0),0)</f>
        <v>0</v>
      </c>
      <c r="F292" s="1" t="s">
        <v>7</v>
      </c>
      <c r="G292" s="1" t="s">
        <v>27</v>
      </c>
      <c r="H292" s="1" t="s">
        <v>28</v>
      </c>
      <c r="I292" s="1" t="s">
        <v>172</v>
      </c>
      <c r="J292" s="1" t="s">
        <v>701</v>
      </c>
      <c r="K292" s="1" t="n">
        <v>541</v>
      </c>
      <c r="L292" s="11" t="n">
        <v>0.687647126199019</v>
      </c>
      <c r="M292" s="1" t="n">
        <f aca="false">SUMIF(Relatorio_AK!$A:$A,A292,Relatorio_AK!$B:$B)</f>
        <v>541</v>
      </c>
      <c r="N292" s="1" t="str">
        <f aca="false">IF(M292=K292,"OK","DIF")</f>
        <v>OK</v>
      </c>
      <c r="O292" s="13" t="str">
        <f aca="false">IFERROR(VLOOKUP($A292,Lista_Starke!$A:$E,3,0),"NÃO ESTÁ NA LISTA")</f>
        <v>HYUNDAI: Cerato  06/...
HYUNDAI: Elantra 2.0 16V .../96
HYUNDAI: iX35 2.0 16V   GKD 11/…
HYUNDAI: Santa Fe  02/10
HYUNDAI: Tucson 2.0 16V G4GC 04/16
HYUNDAI: Tucson 2.7 24V V6 06/11
KIA: Sportage 2.0 16V   GKD 11/…
KIA: Sportage 2.0 16V 04/16
KIA: Sportage 2.7 24V V6 04/11</v>
      </c>
      <c r="P292" s="12" t="str">
        <f aca="false">IFERROR(VLOOKUP($A292,Lista_Starke!$A:$E,2,0),"NÃO ESTÁ NA LISTA")</f>
        <v>CILINDRO AUXILIAR DE EMBREAGEM</v>
      </c>
    </row>
    <row r="293" customFormat="false" ht="15" hidden="false" customHeight="true" outlineLevel="0" collapsed="false">
      <c r="A293" s="10" t="s">
        <v>702</v>
      </c>
      <c r="B293" s="10" t="str">
        <f aca="false">IFERROR(VLOOKUP(A293,Pedido!$A:$B,2,0),"")</f>
        <v/>
      </c>
      <c r="C293" s="10" t="str">
        <f aca="false">IF(B293="","NÃO COMPRA","COMPRA")</f>
        <v>NÃO COMPRA</v>
      </c>
      <c r="D293" s="1" t="n">
        <f aca="false">IFERROR(VLOOKUP(A293,Pedido!$A:$C,3,0),0)</f>
        <v>0</v>
      </c>
      <c r="E293" s="5" t="n">
        <f aca="false">IFERROR(VLOOKUP(A293,Pedido!$A:$E,5,0),0)</f>
        <v>0</v>
      </c>
      <c r="F293" s="1" t="s">
        <v>7</v>
      </c>
      <c r="G293" s="1" t="s">
        <v>56</v>
      </c>
      <c r="H293" s="1" t="s">
        <v>35</v>
      </c>
      <c r="I293" s="1" t="s">
        <v>57</v>
      </c>
      <c r="J293" s="1" t="s">
        <v>703</v>
      </c>
      <c r="K293" s="1" t="n">
        <v>540</v>
      </c>
      <c r="L293" s="11" t="n">
        <v>0.688570270977183</v>
      </c>
      <c r="M293" s="1" t="n">
        <f aca="false">SUMIF(Relatorio_AK!$A:$A,A293,Relatorio_AK!$B:$B)</f>
        <v>540</v>
      </c>
      <c r="N293" s="1" t="str">
        <f aca="false">IF(M293=K293,"OK","DIF")</f>
        <v>OK</v>
      </c>
      <c r="O293" s="13" t="str">
        <f aca="false">IFERROR(VLOOKUP($A293,Lista_Starke!$A:$E,3,0),"NÃO ESTÁ NA LISTA")</f>
        <v>GM: Caravan 2.5 8V 81/92
GM: Caravan 4.1 12V 6cc 84/92
GM: Diplomata 2.5 8V 81/92
GM: Diplomata 4.1 12V 6cc 84/92
GM: Opala 2.5 8V 81/92</v>
      </c>
      <c r="P293" s="12" t="str">
        <f aca="false">IFERROR(VLOOKUP($A293,Lista_Starke!$A:$E,2,0),"NÃO ESTÁ NA LISTA")</f>
        <v>CILINDRO MESTRE DE FREIO</v>
      </c>
    </row>
    <row r="294" customFormat="false" ht="15" hidden="false" customHeight="true" outlineLevel="0" collapsed="false">
      <c r="A294" s="10" t="s">
        <v>704</v>
      </c>
      <c r="B294" s="10" t="str">
        <f aca="false">IFERROR(VLOOKUP(A294,Pedido!$A:$B,2,0),"")</f>
        <v/>
      </c>
      <c r="C294" s="10" t="str">
        <f aca="false">IF(B294="","NÃO COMPRA","COMPRA")</f>
        <v>NÃO COMPRA</v>
      </c>
      <c r="D294" s="1" t="n">
        <f aca="false">IFERROR(VLOOKUP(A294,Pedido!$A:$C,3,0),0)</f>
        <v>0</v>
      </c>
      <c r="E294" s="5" t="n">
        <f aca="false">IFERROR(VLOOKUP(A294,Pedido!$A:$E,5,0),0)</f>
        <v>0</v>
      </c>
      <c r="F294" s="1" t="s">
        <v>7</v>
      </c>
      <c r="G294" s="1" t="s">
        <v>705</v>
      </c>
      <c r="H294" s="1" t="s">
        <v>88</v>
      </c>
      <c r="I294" s="1" t="s">
        <v>77</v>
      </c>
      <c r="J294" s="1" t="s">
        <v>706</v>
      </c>
      <c r="K294" s="1" t="n">
        <v>540</v>
      </c>
      <c r="L294" s="11" t="n">
        <v>0.689493415755346</v>
      </c>
      <c r="M294" s="1" t="n">
        <f aca="false">SUMIF(Relatorio_AK!$A:$A,A294,Relatorio_AK!$B:$B)</f>
        <v>540</v>
      </c>
      <c r="N294" s="1" t="str">
        <f aca="false">IF(M294=K294,"OK","DIF")</f>
        <v>OK</v>
      </c>
      <c r="O294" s="13" t="str">
        <f aca="false">IFERROR(VLOOKUP($A294,Lista_Starke!$A:$E,3,0),"NÃO ESTÁ NA LISTA")</f>
        <v>CITROEN: C3 1.6 16V 06/12
PEUGEOT: 207 1.4 8V 08/14
PEUGEOT: 207 1.6 16V 08/14</v>
      </c>
      <c r="P294" s="12" t="str">
        <f aca="false">IFERROR(VLOOKUP($A294,Lista_Starke!$A:$E,2,0),"NÃO ESTÁ NA LISTA")</f>
        <v>CILINDRO DE RODA LE/LD</v>
      </c>
    </row>
    <row r="295" customFormat="false" ht="15" hidden="false" customHeight="true" outlineLevel="0" collapsed="false">
      <c r="A295" s="10" t="s">
        <v>707</v>
      </c>
      <c r="B295" s="10" t="str">
        <f aca="false">IFERROR(VLOOKUP(A295,Pedido!$A:$B,2,0),"")</f>
        <v/>
      </c>
      <c r="C295" s="10" t="str">
        <f aca="false">IF(B295="","NÃO COMPRA","COMPRA")</f>
        <v>NÃO COMPRA</v>
      </c>
      <c r="D295" s="1" t="n">
        <f aca="false">IFERROR(VLOOKUP(A295,Pedido!$A:$C,3,0),0)</f>
        <v>0</v>
      </c>
      <c r="E295" s="5" t="n">
        <f aca="false">IFERROR(VLOOKUP(A295,Pedido!$A:$E,5,0),0)</f>
        <v>0</v>
      </c>
      <c r="F295" s="1" t="s">
        <v>7</v>
      </c>
      <c r="G295" s="1" t="s">
        <v>708</v>
      </c>
      <c r="H295" s="1" t="s">
        <v>197</v>
      </c>
      <c r="I295" s="1" t="s">
        <v>709</v>
      </c>
      <c r="K295" s="1" t="n">
        <v>538</v>
      </c>
      <c r="L295" s="11" t="n">
        <v>0.690413141478775</v>
      </c>
      <c r="M295" s="1" t="n">
        <f aca="false">SUMIF(Relatorio_AK!$A:$A,A295,Relatorio_AK!$B:$B)</f>
        <v>538</v>
      </c>
      <c r="N295" s="1" t="str">
        <f aca="false">IF(M295=K295,"OK","DIF")</f>
        <v>OK</v>
      </c>
      <c r="O295" s="13" t="str">
        <f aca="false">IFERROR(VLOOKUP($A295,Lista_Starke!$A:$E,3,0),"NÃO ESTÁ NA LISTA")</f>
        <v>LAND ROVER: Freelander 2 3.2 6 cil. B6324S 06/14
VOLVO: S8 AWD 3.2 6 cil B6324S 07/10
VOLVO: S8 AWD 3.2 6 cil. B6324S5 10/...
VOLVO: S8 AWD 3.2 6 cil. B6324S5 10/12
VOLVO: S8 T6 AWD 3.0 6 cil. B6304T2 07/10
VOLVO: S8 T6 AWD 3.0 6 cil. B6304T4 10/16
VOLVO: XC60 AWD 3.2 6 cil. B6324S 09/10
VOLVO: XC60 AWD 3.2 6 cil. B6324S5 10/15
VOLVO: XC60 T6 AWD 3.0 6 cil B6304T2 08/10
VOLVO: XC60 T6 AWD 3.0 6 cil B6304T4 / B6304T3 14/15
VOLVO: XC60 T6 AWD 3.0 6 cil. B6304T4 10/15
VOLVO: XC70 AWD 3.2 6 cil. B6324S 07/...
VOLVO: XC70 AWD 3.2 6 cil. B6324S5 10/...
VOLVO: XC70 T6 AWD 3.0 6 cil. B6304T2 08/...
VOLVO: XC70 T6 AWD 3.0 6 cil. B6304T4 10/...
VOLVO: XC90 AWD 3.2 6 cil. B6324S 06/10
VOLVO: XC90 AWD 3.2 6 cil. B6324S5 10/12</v>
      </c>
      <c r="P295" s="12" t="str">
        <f aca="false">IFERROR(VLOOKUP($A295,Lista_Starke!$A:$E,2,0),"NÃO ESTÁ NA LISTA")</f>
        <v>BOMBA D'ÁGUA</v>
      </c>
    </row>
    <row r="296" customFormat="false" ht="15" hidden="false" customHeight="true" outlineLevel="0" collapsed="false">
      <c r="A296" s="10" t="s">
        <v>710</v>
      </c>
      <c r="B296" s="10" t="str">
        <f aca="false">IFERROR(VLOOKUP(A296,Pedido!$A:$B,2,0),"")</f>
        <v/>
      </c>
      <c r="C296" s="10" t="str">
        <f aca="false">IF(B296="","NÃO COMPRA","COMPRA")</f>
        <v>NÃO COMPRA</v>
      </c>
      <c r="D296" s="1" t="n">
        <f aca="false">IFERROR(VLOOKUP(A296,Pedido!$A:$C,3,0),0)</f>
        <v>0</v>
      </c>
      <c r="E296" s="5" t="n">
        <f aca="false">IFERROR(VLOOKUP(A296,Pedido!$A:$E,5,0),0)</f>
        <v>0</v>
      </c>
      <c r="F296" s="1" t="s">
        <v>7</v>
      </c>
      <c r="G296" s="1" t="s">
        <v>711</v>
      </c>
      <c r="H296" s="1" t="s">
        <v>126</v>
      </c>
      <c r="I296" s="1" t="s">
        <v>50</v>
      </c>
      <c r="J296" s="1" t="s">
        <v>712</v>
      </c>
      <c r="K296" s="1" t="n">
        <v>537</v>
      </c>
      <c r="L296" s="11" t="n">
        <v>0.691331157674837</v>
      </c>
      <c r="M296" s="1" t="n">
        <f aca="false">SUMIF(Relatorio_AK!$A:$A,A296,Relatorio_AK!$B:$B)</f>
        <v>537</v>
      </c>
      <c r="N296" s="1" t="str">
        <f aca="false">IF(M296=K296,"OK","DIF")</f>
        <v>OK</v>
      </c>
      <c r="O296" s="13" t="str">
        <f aca="false">IFERROR(VLOOKUP($A296,Lista_Starke!$A:$E,3,0),"NÃO ESTÁ NA LISTA")</f>
        <v>HONDA: Accord 2.4 16V KA24A8 06/...
HONDA: CRV 2.4 16V K24Z1 06/...
HONDA: New Civic 1.8 16V 06/…</v>
      </c>
      <c r="P296" s="12" t="str">
        <f aca="false">IFERROR(VLOOKUP($A296,Lista_Starke!$A:$E,2,0),"NÃO ESTÁ NA LISTA")</f>
        <v>RESFRIADOR DE ÓLEO CÂMBIO</v>
      </c>
    </row>
    <row r="297" customFormat="false" ht="15" hidden="false" customHeight="true" outlineLevel="0" collapsed="false">
      <c r="A297" s="10" t="s">
        <v>713</v>
      </c>
      <c r="B297" s="10" t="str">
        <f aca="false">IFERROR(VLOOKUP(A297,Pedido!$A:$B,2,0),"")</f>
        <v/>
      </c>
      <c r="C297" s="10" t="str">
        <f aca="false">IF(B297="","NÃO COMPRA","COMPRA")</f>
        <v>NÃO COMPRA</v>
      </c>
      <c r="D297" s="1" t="n">
        <f aca="false">IFERROR(VLOOKUP(A297,Pedido!$A:$C,3,0),0)</f>
        <v>0</v>
      </c>
      <c r="E297" s="5" t="n">
        <f aca="false">IFERROR(VLOOKUP(A297,Pedido!$A:$E,5,0),0)</f>
        <v>0</v>
      </c>
      <c r="F297" s="1" t="s">
        <v>7</v>
      </c>
      <c r="G297" s="1" t="s">
        <v>714</v>
      </c>
      <c r="H297" s="1" t="s">
        <v>88</v>
      </c>
      <c r="I297" s="1" t="s">
        <v>172</v>
      </c>
      <c r="J297" s="1" t="s">
        <v>715</v>
      </c>
      <c r="K297" s="1" t="n">
        <v>535</v>
      </c>
      <c r="L297" s="11" t="n">
        <v>0.692245754816166</v>
      </c>
      <c r="M297" s="1" t="n">
        <f aca="false">SUMIF(Relatorio_AK!$A:$A,A297,Relatorio_AK!$B:$B)</f>
        <v>535</v>
      </c>
      <c r="N297" s="1" t="str">
        <f aca="false">IF(M297=K297,"OK","DIF")</f>
        <v>OK</v>
      </c>
      <c r="O297" s="13" t="str">
        <f aca="false">IFERROR(VLOOKUP($A297,Lista_Starke!$A:$E,3,0),"NÃO ESTÁ NA LISTA")</f>
        <v>HYUNDAI: HR 2.5 16V Diesel 13/...
HYUNDAI: HR 2.5 8V Diesel 05/12
KIA: Bongo K2500 2.5 16V Diesel 13/...
KIA: Bongo K2500 2.5 8V Diesel 05/12</v>
      </c>
      <c r="P297" s="12" t="str">
        <f aca="false">IFERROR(VLOOKUP($A297,Lista_Starke!$A:$E,2,0),"NÃO ESTÁ NA LISTA")</f>
        <v>CILINDRO DE RODA LD</v>
      </c>
    </row>
    <row r="298" customFormat="false" ht="15" hidden="false" customHeight="true" outlineLevel="0" collapsed="false">
      <c r="A298" s="10" t="s">
        <v>716</v>
      </c>
      <c r="B298" s="10" t="str">
        <f aca="false">IFERROR(VLOOKUP(A298,Pedido!$A:$B,2,0),"")</f>
        <v/>
      </c>
      <c r="C298" s="10" t="str">
        <f aca="false">IF(B298="","NÃO COMPRA","COMPRA")</f>
        <v>NÃO COMPRA</v>
      </c>
      <c r="D298" s="1" t="n">
        <f aca="false">IFERROR(VLOOKUP(A298,Pedido!$A:$C,3,0),0)</f>
        <v>0</v>
      </c>
      <c r="E298" s="5" t="n">
        <f aca="false">IFERROR(VLOOKUP(A298,Pedido!$A:$E,5,0),0)</f>
        <v>0</v>
      </c>
      <c r="F298" s="1" t="s">
        <v>7</v>
      </c>
      <c r="G298" s="1" t="s">
        <v>52</v>
      </c>
      <c r="H298" s="1" t="s">
        <v>35</v>
      </c>
      <c r="I298" s="1" t="s">
        <v>53</v>
      </c>
      <c r="K298" s="1" t="n">
        <v>535</v>
      </c>
      <c r="L298" s="11" t="n">
        <v>0.693160351957494</v>
      </c>
      <c r="M298" s="1" t="n">
        <f aca="false">SUMIF(Relatorio_AK!$A:$A,A298,Relatorio_AK!$B:$B)</f>
        <v>535</v>
      </c>
      <c r="N298" s="1" t="str">
        <f aca="false">IF(M298=K298,"OK","DIF")</f>
        <v>OK</v>
      </c>
      <c r="O298" s="13" t="str">
        <f aca="false">IFERROR(VLOOKUP($A298,Lista_Starke!$A:$E,3,0),"NÃO ESTÁ NA LISTA")</f>
        <v>FORD: Fusion 2.3 16V Duratec 06/08
FORD: Fusion 2.5 16V Duratec 09/12
FORD: Fusion 3.0 V6 Duratec 09/12</v>
      </c>
      <c r="P298" s="12" t="str">
        <f aca="false">IFERROR(VLOOKUP($A298,Lista_Starke!$A:$E,2,0),"NÃO ESTÁ NA LISTA")</f>
        <v>CILINDRO MESTRE DE FREIO</v>
      </c>
    </row>
    <row r="299" customFormat="false" ht="15" hidden="false" customHeight="true" outlineLevel="0" collapsed="false">
      <c r="A299" s="10" t="s">
        <v>717</v>
      </c>
      <c r="B299" s="10" t="str">
        <f aca="false">IFERROR(VLOOKUP(A299,Pedido!$A:$B,2,0),"")</f>
        <v/>
      </c>
      <c r="C299" s="10" t="str">
        <f aca="false">IF(B299="","NÃO COMPRA","COMPRA")</f>
        <v>NÃO COMPRA</v>
      </c>
      <c r="D299" s="1" t="n">
        <f aca="false">IFERROR(VLOOKUP(A299,Pedido!$A:$C,3,0),0)</f>
        <v>0</v>
      </c>
      <c r="E299" s="5" t="n">
        <f aca="false">IFERROR(VLOOKUP(A299,Pedido!$A:$E,5,0),0)</f>
        <v>0</v>
      </c>
      <c r="F299" s="1" t="s">
        <v>7</v>
      </c>
      <c r="G299" s="1" t="s">
        <v>180</v>
      </c>
      <c r="H299" s="1" t="s">
        <v>28</v>
      </c>
      <c r="I299" s="1" t="s">
        <v>50</v>
      </c>
      <c r="J299" s="1" t="s">
        <v>718</v>
      </c>
      <c r="K299" s="1" t="n">
        <v>534</v>
      </c>
      <c r="L299" s="11" t="n">
        <v>0.694073239571455</v>
      </c>
      <c r="M299" s="1" t="n">
        <f aca="false">SUMIF(Relatorio_AK!$A:$A,A299,Relatorio_AK!$B:$B)</f>
        <v>534</v>
      </c>
      <c r="N299" s="1" t="str">
        <f aca="false">IF(M299=K299,"OK","DIF")</f>
        <v>OK</v>
      </c>
      <c r="O299" s="12" t="str">
        <f aca="false">IFERROR(VLOOKUP($A299,Lista_Starke!$A:$E,3,0),"NÃO ESTÁ NA LISTA")</f>
        <v>HONDA: New Civic 1.8 16V 12/16</v>
      </c>
      <c r="P299" s="12" t="str">
        <f aca="false">IFERROR(VLOOKUP($A299,Lista_Starke!$A:$E,2,0),"NÃO ESTÁ NA LISTA")</f>
        <v>CILINDRO AUXILIAR DE EMBREAGEM</v>
      </c>
    </row>
    <row r="300" customFormat="false" ht="15" hidden="false" customHeight="true" outlineLevel="0" collapsed="false">
      <c r="A300" s="10" t="s">
        <v>719</v>
      </c>
      <c r="B300" s="10" t="str">
        <f aca="false">IFERROR(VLOOKUP(A300,Pedido!$A:$B,2,0),"")</f>
        <v/>
      </c>
      <c r="C300" s="10" t="str">
        <f aca="false">IF(B300="","NÃO COMPRA","COMPRA")</f>
        <v>NÃO COMPRA</v>
      </c>
      <c r="D300" s="1" t="n">
        <f aca="false">IFERROR(VLOOKUP(A300,Pedido!$A:$C,3,0),0)</f>
        <v>0</v>
      </c>
      <c r="E300" s="5" t="n">
        <f aca="false">IFERROR(VLOOKUP(A300,Pedido!$A:$E,5,0),0)</f>
        <v>0</v>
      </c>
      <c r="F300" s="1" t="s">
        <v>7</v>
      </c>
      <c r="G300" s="1" t="s">
        <v>720</v>
      </c>
      <c r="H300" s="1" t="s">
        <v>197</v>
      </c>
      <c r="I300" s="1" t="s">
        <v>721</v>
      </c>
      <c r="K300" s="1" t="n">
        <v>532</v>
      </c>
      <c r="L300" s="11" t="n">
        <v>0.694982708130683</v>
      </c>
      <c r="M300" s="1" t="n">
        <f aca="false">SUMIF(Relatorio_AK!$A:$A,A300,Relatorio_AK!$B:$B)</f>
        <v>532</v>
      </c>
      <c r="N300" s="1" t="str">
        <f aca="false">IF(M300=K300,"OK","DIF")</f>
        <v>OK</v>
      </c>
      <c r="O300" s="13" t="str">
        <f aca="false">IFERROR(VLOOKUP($A300,Lista_Starke!$A:$E,3,0),"NÃO ESTÁ NA LISTA")</f>
        <v>DODGE: Journey 2.4 16V 4 cil    ED3 / EDG3 08/…
DODGE: Journey 2.7 V6   EER 09/…
FIAT: Freemont 2.4 16V 11/…
FIAT: Toro 2.4 16V 16/…
JEEP: Compass 2.0 16V   ECN 11/…
JEEP: Compass 2.0 16V 16/…
JEEP: Compass 2.4 16V   ERZ 07/…
KIA: Carens 2.0 16V 09/…
MITSUBISHI: ASX 2.0 16V   4B11 10/…
MITSUBISHI: Lancer 1.8 16V   4B10 08/…
MITSUBISHI: Lancer EVO 2.0 16V   4B11T/C 08/…
MITSUBISHI: Outlander 2.0 16V   4B11 06/12
MITSUBISHI: Outlander 2.0 16V   4J11 12/…
MITSUBISHI: Outlander 2.4 16V   4B12 06/12</v>
      </c>
      <c r="P300" s="12" t="str">
        <f aca="false">IFERROR(VLOOKUP($A300,Lista_Starke!$A:$E,2,0),"NÃO ESTÁ NA LISTA")</f>
        <v>BOMBA D'ÁGUA</v>
      </c>
    </row>
    <row r="301" customFormat="false" ht="15" hidden="false" customHeight="true" outlineLevel="0" collapsed="false">
      <c r="A301" s="10" t="s">
        <v>722</v>
      </c>
      <c r="B301" s="10" t="str">
        <f aca="false">IFERROR(VLOOKUP(A301,Pedido!$A:$B,2,0),"")</f>
        <v/>
      </c>
      <c r="C301" s="10" t="str">
        <f aca="false">IF(B301="","NÃO COMPRA","COMPRA")</f>
        <v>NÃO COMPRA</v>
      </c>
      <c r="D301" s="1" t="n">
        <f aca="false">IFERROR(VLOOKUP(A301,Pedido!$A:$C,3,0),0)</f>
        <v>0</v>
      </c>
      <c r="E301" s="5" t="n">
        <f aca="false">IFERROR(VLOOKUP(A301,Pedido!$A:$E,5,0),0)</f>
        <v>0</v>
      </c>
      <c r="F301" s="1" t="s">
        <v>7</v>
      </c>
      <c r="G301" s="1" t="s">
        <v>56</v>
      </c>
      <c r="H301" s="1" t="s">
        <v>35</v>
      </c>
      <c r="I301" s="1" t="s">
        <v>57</v>
      </c>
      <c r="J301" s="1" t="s">
        <v>723</v>
      </c>
      <c r="K301" s="1" t="n">
        <v>529</v>
      </c>
      <c r="L301" s="11" t="n">
        <v>0.695887048107809</v>
      </c>
      <c r="M301" s="1" t="n">
        <f aca="false">SUMIF(Relatorio_AK!$A:$A,A301,Relatorio_AK!$B:$B)</f>
        <v>529</v>
      </c>
      <c r="N301" s="1" t="str">
        <f aca="false">IF(M301=K301,"OK","DIF")</f>
        <v>OK</v>
      </c>
      <c r="O301" s="13" t="str">
        <f aca="false">IFERROR(VLOOKUP($A301,Lista_Starke!$A:$E,3,0),"NÃO ESTÁ NA LISTA")</f>
        <v>GM: Onix 1.0 12V 3 cil Aspirado 20/...
GM: Onix 1.0 12V 3 cil Turbo 20/...
GM: Onix Plus 1.0 12V 3 cil Aspirado 20/...
GM: Onix Plus 1.0.12V 3 cil Turbo 20/...</v>
      </c>
      <c r="P301" s="12" t="str">
        <f aca="false">IFERROR(VLOOKUP($A301,Lista_Starke!$A:$E,2,0),"NÃO ESTÁ NA LISTA")</f>
        <v>CILINDRO MESTRE DE FREIO</v>
      </c>
    </row>
    <row r="302" customFormat="false" ht="15" hidden="false" customHeight="true" outlineLevel="0" collapsed="false">
      <c r="A302" s="10" t="s">
        <v>724</v>
      </c>
      <c r="B302" s="10" t="str">
        <f aca="false">IFERROR(VLOOKUP(A302,Pedido!$A:$B,2,0),"")</f>
        <v/>
      </c>
      <c r="C302" s="10" t="str">
        <f aca="false">IF(B302="","NÃO COMPRA","COMPRA")</f>
        <v>NÃO COMPRA</v>
      </c>
      <c r="D302" s="1" t="n">
        <f aca="false">IFERROR(VLOOKUP(A302,Pedido!$A:$C,3,0),0)</f>
        <v>0</v>
      </c>
      <c r="E302" s="5" t="n">
        <f aca="false">IFERROR(VLOOKUP(A302,Pedido!$A:$E,5,0),0)</f>
        <v>0</v>
      </c>
      <c r="F302" s="1" t="s">
        <v>7</v>
      </c>
      <c r="G302" s="1" t="s">
        <v>725</v>
      </c>
      <c r="H302" s="1" t="s">
        <v>197</v>
      </c>
      <c r="I302" s="1" t="s">
        <v>396</v>
      </c>
      <c r="J302" s="1" t="s">
        <v>726</v>
      </c>
      <c r="K302" s="1" t="n">
        <v>528</v>
      </c>
      <c r="L302" s="11" t="n">
        <v>0.696789678557569</v>
      </c>
      <c r="M302" s="1" t="n">
        <f aca="false">SUMIF(Relatorio_AK!$A:$A,A302,Relatorio_AK!$B:$B)</f>
        <v>528</v>
      </c>
      <c r="N302" s="1" t="str">
        <f aca="false">IF(M302=K302,"OK","DIF")</f>
        <v>OK</v>
      </c>
      <c r="O302" s="13" t="str">
        <f aca="false">IFERROR(VLOOKUP($A302,Lista_Starke!$A:$E,3,0),"NÃO ESTÁ NA LISTA")</f>
        <v>GM: Tracker 2.0 16V J20A gasolina 99/…
SUZUKI: Baleno 1.8 16V    J18A gasolina 96/…
SUZUKI: Grand Vitara 2.0 16V    J20A gasolina 06/…
SUZUKI: Grand Vitara 2.0 16V    J20A gasolina 98/…
SUZUKI: Vitara 2.0 16V    J20A gasolina 97/…</v>
      </c>
      <c r="P302" s="12" t="str">
        <f aca="false">IFERROR(VLOOKUP($A302,Lista_Starke!$A:$E,2,0),"NÃO ESTÁ NA LISTA")</f>
        <v>BOMBA D'ÁGUA</v>
      </c>
    </row>
    <row r="303" customFormat="false" ht="15" hidden="false" customHeight="true" outlineLevel="0" collapsed="false">
      <c r="A303" s="10" t="s">
        <v>727</v>
      </c>
      <c r="B303" s="10" t="str">
        <f aca="false">IFERROR(VLOOKUP(A303,Pedido!$A:$B,2,0),"")</f>
        <v/>
      </c>
      <c r="C303" s="10" t="str">
        <f aca="false">IF(B303="","NÃO COMPRA","COMPRA")</f>
        <v>NÃO COMPRA</v>
      </c>
      <c r="D303" s="1" t="n">
        <f aca="false">IFERROR(VLOOKUP(A303,Pedido!$A:$C,3,0),0)</f>
        <v>0</v>
      </c>
      <c r="E303" s="5" t="n">
        <f aca="false">IFERROR(VLOOKUP(A303,Pedido!$A:$E,5,0),0)</f>
        <v>0</v>
      </c>
      <c r="F303" s="1" t="s">
        <v>7</v>
      </c>
      <c r="G303" s="1" t="s">
        <v>616</v>
      </c>
      <c r="H303" s="1" t="s">
        <v>197</v>
      </c>
      <c r="I303" s="1" t="s">
        <v>226</v>
      </c>
      <c r="J303" s="1" t="s">
        <v>728</v>
      </c>
      <c r="K303" s="1" t="n">
        <v>527</v>
      </c>
      <c r="L303" s="11" t="n">
        <v>0.697690599479961</v>
      </c>
      <c r="M303" s="1" t="n">
        <f aca="false">SUMIF(Relatorio_AK!$A:$A,A303,Relatorio_AK!$B:$B)</f>
        <v>527</v>
      </c>
      <c r="N303" s="1" t="str">
        <f aca="false">IF(M303=K303,"OK","DIF")</f>
        <v>OK</v>
      </c>
      <c r="O303" s="13" t="str">
        <f aca="false">IFERROR(VLOOKUP($A303,Lista_Starke!$A:$E,3,0),"NÃO ESTÁ NA LISTA")</f>
        <v>AUDI: A3 1.8 16V TFSI CJSA/CJSB 12/16
AUDI: A3 2.0 16V TFSI CZPB/DKZA 16/22
AUDI: A4 1.8 16V TFSI CJEB 15/...
AUDI: A4 2.0 16V TFSI CNCD 15/...
AUDI: A5 1.8 16V TFSI CABD/CJEB/CJEE 07/17
AUDI: A5 2.0 16V TFSI CNCD/CNCE 13/17
AUDI: Q3 2.0 16V TFSI CULB/CCTA 14/...
AUDI: Q5 2.0 16V TFSI CDNB/CNCB/CNCD/CNCE 17/...
AUDI: Q7 2.0 16V TFSI CYRB/CYMC/DMFB 15/...
PORSCHE: Macan 2.0 16V Turbo DKNA 18/...
PORSCHE: Macan 2.0 16V Turbo MCNCC / MCYNA / CNCC / CYNA 14/18
VOLKSWAGEN: Golf 2.0 16V TSI CULC 13/...
VOLKSWAGEN: Golf GTI 2.0 16V TSI DLBA/DNPA/DRNA 13/...
VOLKSWAGEN: Jetta GLI 2.0 16V TSI 19/...
VOLKSWAGEN: Passat 2.0 16V TSI CZPB/DKZA/DRFA/DNNA/DUNA 18/...
VOLKSWAGEN: Tiguan 2.0 16V TSI CZPA/CHHB 16/...
VOLKSWAGEN: Tiguan R Line 2.0 16V 18/...</v>
      </c>
      <c r="P303" s="12" t="str">
        <f aca="false">IFERROR(VLOOKUP($A303,Lista_Starke!$A:$E,2,0),"NÃO ESTÁ NA LISTA")</f>
        <v>BOMBA D'ÁGUA</v>
      </c>
    </row>
    <row r="304" customFormat="false" ht="15" hidden="false" customHeight="true" outlineLevel="0" collapsed="false">
      <c r="A304" s="10" t="s">
        <v>729</v>
      </c>
      <c r="B304" s="10" t="str">
        <f aca="false">IFERROR(VLOOKUP(A304,Pedido!$A:$B,2,0),"")</f>
        <v/>
      </c>
      <c r="C304" s="10" t="str">
        <f aca="false">IF(B304="","NÃO COMPRA","COMPRA")</f>
        <v>NÃO COMPRA</v>
      </c>
      <c r="D304" s="1" t="n">
        <f aca="false">IFERROR(VLOOKUP(A304,Pedido!$A:$C,3,0),0)</f>
        <v>0</v>
      </c>
      <c r="E304" s="5" t="n">
        <f aca="false">IFERROR(VLOOKUP(A304,Pedido!$A:$E,5,0),0)</f>
        <v>0</v>
      </c>
      <c r="F304" s="1" t="s">
        <v>7</v>
      </c>
      <c r="G304" s="1" t="s">
        <v>730</v>
      </c>
      <c r="H304" s="1" t="s">
        <v>88</v>
      </c>
      <c r="I304" s="1" t="s">
        <v>215</v>
      </c>
      <c r="J304" s="1" t="s">
        <v>731</v>
      </c>
      <c r="K304" s="1" t="n">
        <v>524</v>
      </c>
      <c r="L304" s="11" t="n">
        <v>0.698586391820253</v>
      </c>
      <c r="M304" s="1" t="n">
        <f aca="false">SUMIF(Relatorio_AK!$A:$A,A304,Relatorio_AK!$B:$B)</f>
        <v>524</v>
      </c>
      <c r="N304" s="1" t="str">
        <f aca="false">IF(M304=K304,"OK","DIF")</f>
        <v>OK</v>
      </c>
      <c r="O304" s="12" t="str">
        <f aca="false">IFERROR(VLOOKUP($A304,Lista_Starke!$A:$E,3,0),"NÃO ESTÁ NA LISTA")</f>
        <v>NISSAN: Kicks 1.6 16V 16/...</v>
      </c>
      <c r="P304" s="12" t="str">
        <f aca="false">IFERROR(VLOOKUP($A304,Lista_Starke!$A:$E,2,0),"NÃO ESTÁ NA LISTA")</f>
        <v>CILINDRO DE RODA LE</v>
      </c>
    </row>
    <row r="305" customFormat="false" ht="15" hidden="false" customHeight="true" outlineLevel="0" collapsed="false">
      <c r="A305" s="10" t="s">
        <v>732</v>
      </c>
      <c r="B305" s="10" t="str">
        <f aca="false">IFERROR(VLOOKUP(A305,Pedido!$A:$B,2,0),"")</f>
        <v>SCC 2067</v>
      </c>
      <c r="C305" s="10" t="str">
        <f aca="false">IF(B305="","NÃO COMPRA","COMPRA")</f>
        <v>COMPRA</v>
      </c>
      <c r="D305" s="1" t="n">
        <f aca="false">IFERROR(VLOOKUP(A305,Pedido!$A:$C,3,0),0)</f>
        <v>4</v>
      </c>
      <c r="E305" s="5" t="n">
        <f aca="false">IFERROR(VLOOKUP(A305,Pedido!$A:$E,5,0),0)</f>
        <v>312.76</v>
      </c>
      <c r="F305" s="1" t="s">
        <v>7</v>
      </c>
      <c r="G305" s="1" t="s">
        <v>363</v>
      </c>
      <c r="H305" s="1" t="s">
        <v>32</v>
      </c>
      <c r="I305" s="1" t="s">
        <v>177</v>
      </c>
      <c r="J305" s="1" t="s">
        <v>733</v>
      </c>
      <c r="K305" s="1" t="n">
        <v>518</v>
      </c>
      <c r="L305" s="11" t="n">
        <v>0.699471926996343</v>
      </c>
      <c r="M305" s="1" t="n">
        <f aca="false">SUMIF(Relatorio_AK!$A:$A,A305,Relatorio_AK!$B:$B)</f>
        <v>518</v>
      </c>
      <c r="N305" s="1" t="str">
        <f aca="false">IF(M305=K305,"OK","DIF")</f>
        <v>OK</v>
      </c>
      <c r="O305" s="13" t="str">
        <f aca="false">IFERROR(VLOOKUP($A305,Lista_Starke!$A:$E,3,0),"NÃO ESTÁ NA LISTA")</f>
        <v>TOYOTA: Corolla 1.8 16V   2ZZFE 03/08
TOYOTA: Fielder 1.8 16V   2ZZFE 04/08</v>
      </c>
      <c r="P305" s="12" t="str">
        <f aca="false">IFERROR(VLOOKUP($A305,Lista_Starke!$A:$E,2,0),"NÃO ESTÁ NA LISTA")</f>
        <v>CILINDRO MESTRE DE EMBREAGEM</v>
      </c>
    </row>
    <row r="306" customFormat="false" ht="15" hidden="false" customHeight="true" outlineLevel="0" collapsed="false">
      <c r="A306" s="10" t="s">
        <v>734</v>
      </c>
      <c r="B306" s="10" t="str">
        <f aca="false">IFERROR(VLOOKUP(A306,Pedido!$A:$B,2,0),"")</f>
        <v/>
      </c>
      <c r="C306" s="10" t="str">
        <f aca="false">IF(B306="","NÃO COMPRA","COMPRA")</f>
        <v>NÃO COMPRA</v>
      </c>
      <c r="D306" s="1" t="n">
        <f aca="false">IFERROR(VLOOKUP(A306,Pedido!$A:$C,3,0),0)</f>
        <v>0</v>
      </c>
      <c r="E306" s="5" t="n">
        <f aca="false">IFERROR(VLOOKUP(A306,Pedido!$A:$E,5,0),0)</f>
        <v>0</v>
      </c>
      <c r="F306" s="1" t="s">
        <v>8</v>
      </c>
      <c r="G306" s="1" t="s">
        <v>735</v>
      </c>
      <c r="H306" s="1" t="s">
        <v>197</v>
      </c>
      <c r="I306" s="1" t="s">
        <v>172</v>
      </c>
      <c r="J306" s="1" t="s">
        <v>736</v>
      </c>
      <c r="K306" s="1" t="n">
        <v>516</v>
      </c>
      <c r="L306" s="11" t="n">
        <v>0.700354043117699</v>
      </c>
      <c r="M306" s="1" t="n">
        <f aca="false">SUMIF(Relatorio_AK!$A:$A,A306,Relatorio_AK!$B:$B)</f>
        <v>516</v>
      </c>
      <c r="N306" s="1" t="str">
        <f aca="false">IF(M306=K306,"OK","DIF")</f>
        <v>OK</v>
      </c>
      <c r="O306" s="13" t="str">
        <f aca="false">IFERROR(VLOOKUP($A306,Lista_Starke!$A:$E,3,0),"NÃO ESTÁ NA LISTA")</f>
        <v>HYUNDAI: HB20 1.0 12V 3 cil   B3LA / G3LA 12/…
HYUNDAI: HB20 1.0 12V Turbo 18/...
KIA: Picanto 1.0 12V 3 cil   B3LA / G3LA / F3LAB 12/…</v>
      </c>
      <c r="P306" s="12" t="str">
        <f aca="false">IFERROR(VLOOKUP($A306,Lista_Starke!$A:$E,2,0),"NÃO ESTÁ NA LISTA")</f>
        <v>BOMBA D'ÁGUA</v>
      </c>
    </row>
    <row r="307" customFormat="false" ht="15" hidden="false" customHeight="true" outlineLevel="0" collapsed="false">
      <c r="A307" s="10" t="s">
        <v>737</v>
      </c>
      <c r="B307" s="10" t="str">
        <f aca="false">IFERROR(VLOOKUP(A307,Pedido!$A:$B,2,0),"")</f>
        <v/>
      </c>
      <c r="C307" s="10" t="str">
        <f aca="false">IF(B307="","NÃO COMPRA","COMPRA")</f>
        <v>NÃO COMPRA</v>
      </c>
      <c r="D307" s="1" t="n">
        <f aca="false">IFERROR(VLOOKUP(A307,Pedido!$A:$C,3,0),0)</f>
        <v>0</v>
      </c>
      <c r="E307" s="5" t="n">
        <f aca="false">IFERROR(VLOOKUP(A307,Pedido!$A:$E,5,0),0)</f>
        <v>0</v>
      </c>
      <c r="F307" s="1" t="s">
        <v>8</v>
      </c>
      <c r="G307" s="1" t="s">
        <v>264</v>
      </c>
      <c r="H307" s="1" t="s">
        <v>88</v>
      </c>
      <c r="I307" s="1" t="s">
        <v>53</v>
      </c>
      <c r="J307" s="1" t="s">
        <v>738</v>
      </c>
      <c r="K307" s="1" t="n">
        <v>513</v>
      </c>
      <c r="L307" s="11" t="n">
        <v>0.701231030656954</v>
      </c>
      <c r="M307" s="1" t="n">
        <f aca="false">SUMIF(Relatorio_AK!$A:$A,A307,Relatorio_AK!$B:$B)</f>
        <v>513</v>
      </c>
      <c r="N307" s="1" t="str">
        <f aca="false">IF(M307=K307,"OK","DIF")</f>
        <v>OK</v>
      </c>
      <c r="O307" s="13" t="str">
        <f aca="false">IFERROR(VLOOKUP($A307,Lista_Starke!$A:$E,3,0),"NÃO ESTÁ NA LISTA")</f>
        <v>FORD: Ecosport 1.5 12V Dragon 18/...
FORD: Ecosport 1.6 16V Sigma 4x2 12/...
FORD: Ecosport 2.0 16V 4x4 12/...
FORD: Ecosport 2.0 16V Duratec 18/...</v>
      </c>
      <c r="P307" s="12" t="str">
        <f aca="false">IFERROR(VLOOKUP($A307,Lista_Starke!$A:$E,2,0),"NÃO ESTÁ NA LISTA")</f>
        <v>CILINDRO DE RODA LE/LD</v>
      </c>
    </row>
    <row r="308" customFormat="false" ht="15" hidden="false" customHeight="true" outlineLevel="0" collapsed="false">
      <c r="A308" s="10" t="s">
        <v>739</v>
      </c>
      <c r="B308" s="10" t="str">
        <f aca="false">IFERROR(VLOOKUP(A308,Pedido!$A:$B,2,0),"")</f>
        <v/>
      </c>
      <c r="C308" s="10" t="str">
        <f aca="false">IF(B308="","NÃO COMPRA","COMPRA")</f>
        <v>NÃO COMPRA</v>
      </c>
      <c r="D308" s="1" t="n">
        <f aca="false">IFERROR(VLOOKUP(A308,Pedido!$A:$C,3,0),0)</f>
        <v>0</v>
      </c>
      <c r="E308" s="5" t="n">
        <f aca="false">IFERROR(VLOOKUP(A308,Pedido!$A:$E,5,0),0)</f>
        <v>0</v>
      </c>
      <c r="F308" s="1" t="s">
        <v>8</v>
      </c>
      <c r="G308" s="1" t="s">
        <v>56</v>
      </c>
      <c r="H308" s="1" t="s">
        <v>35</v>
      </c>
      <c r="I308" s="1" t="s">
        <v>57</v>
      </c>
      <c r="J308" s="1" t="s">
        <v>740</v>
      </c>
      <c r="K308" s="1" t="n">
        <v>511</v>
      </c>
      <c r="L308" s="11" t="n">
        <v>0.702104599141475</v>
      </c>
      <c r="M308" s="1" t="n">
        <f aca="false">SUMIF(Relatorio_AK!$A:$A,A308,Relatorio_AK!$B:$B)</f>
        <v>511</v>
      </c>
      <c r="N308" s="1" t="str">
        <f aca="false">IF(M308=K308,"OK","DIF")</f>
        <v>OK</v>
      </c>
      <c r="O308" s="12" t="str">
        <f aca="false">IFERROR(VLOOKUP($A308,Lista_Starke!$A:$E,3,0),"NÃO ESTÁ NA LISTA")</f>
        <v>GM: Cruze 1.8 16V Ecotec 11/...</v>
      </c>
      <c r="P308" s="12" t="str">
        <f aca="false">IFERROR(VLOOKUP($A308,Lista_Starke!$A:$E,2,0),"NÃO ESTÁ NA LISTA")</f>
        <v>CILINDRO MESTRE DE FREIO</v>
      </c>
    </row>
    <row r="309" customFormat="false" ht="15" hidden="false" customHeight="true" outlineLevel="0" collapsed="false">
      <c r="A309" s="10" t="s">
        <v>741</v>
      </c>
      <c r="B309" s="10" t="str">
        <f aca="false">IFERROR(VLOOKUP(A309,Pedido!$A:$B,2,0),"")</f>
        <v/>
      </c>
      <c r="C309" s="10" t="str">
        <f aca="false">IF(B309="","NÃO COMPRA","COMPRA")</f>
        <v>NÃO COMPRA</v>
      </c>
      <c r="D309" s="1" t="n">
        <f aca="false">IFERROR(VLOOKUP(A309,Pedido!$A:$C,3,0),0)</f>
        <v>0</v>
      </c>
      <c r="E309" s="5" t="n">
        <f aca="false">IFERROR(VLOOKUP(A309,Pedido!$A:$E,5,0),0)</f>
        <v>0</v>
      </c>
      <c r="F309" s="1" t="s">
        <v>8</v>
      </c>
      <c r="G309" s="1" t="s">
        <v>742</v>
      </c>
      <c r="H309" s="1" t="s">
        <v>88</v>
      </c>
      <c r="I309" s="1" t="s">
        <v>172</v>
      </c>
      <c r="J309" s="1" t="s">
        <v>743</v>
      </c>
      <c r="K309" s="1" t="n">
        <v>510</v>
      </c>
      <c r="L309" s="11" t="n">
        <v>0.702976458098629</v>
      </c>
      <c r="M309" s="1" t="n">
        <f aca="false">SUMIF(Relatorio_AK!$A:$A,A309,Relatorio_AK!$B:$B)</f>
        <v>510</v>
      </c>
      <c r="N309" s="1" t="str">
        <f aca="false">IF(M309=K309,"OK","DIF")</f>
        <v>OK</v>
      </c>
      <c r="O309" s="13" t="str">
        <f aca="false">IFERROR(VLOOKUP($A309,Lista_Starke!$A:$E,3,0),"NÃO ESTÁ NA LISTA")</f>
        <v>HYUNDAI: HR 2.5 16V Diesel 13/...
HYUNDAI: HR 2.5 8V Diesel 05/12
KIA: Bongo K2500 2.5 16V Diesel 13/...
KIA: Bongo K2500 2.5 8V Diesel 05/12</v>
      </c>
      <c r="P309" s="12" t="str">
        <f aca="false">IFERROR(VLOOKUP($A309,Lista_Starke!$A:$E,2,0),"NÃO ESTÁ NA LISTA")</f>
        <v>CILINDRO DE RODA LE</v>
      </c>
    </row>
    <row r="310" customFormat="false" ht="15" hidden="false" customHeight="true" outlineLevel="0" collapsed="false">
      <c r="A310" s="10" t="s">
        <v>744</v>
      </c>
      <c r="B310" s="10" t="str">
        <f aca="false">IFERROR(VLOOKUP(A310,Pedido!$A:$B,2,0),"")</f>
        <v/>
      </c>
      <c r="C310" s="10" t="str">
        <f aca="false">IF(B310="","NÃO COMPRA","COMPRA")</f>
        <v>NÃO COMPRA</v>
      </c>
      <c r="D310" s="1" t="n">
        <f aca="false">IFERROR(VLOOKUP(A310,Pedido!$A:$C,3,0),0)</f>
        <v>0</v>
      </c>
      <c r="E310" s="5" t="n">
        <f aca="false">IFERROR(VLOOKUP(A310,Pedido!$A:$E,5,0),0)</f>
        <v>0</v>
      </c>
      <c r="F310" s="1" t="s">
        <v>8</v>
      </c>
      <c r="G310" s="1" t="s">
        <v>251</v>
      </c>
      <c r="H310" s="1" t="s">
        <v>28</v>
      </c>
      <c r="I310" s="1" t="s">
        <v>46</v>
      </c>
      <c r="J310" s="1" t="s">
        <v>745</v>
      </c>
      <c r="K310" s="1" t="n">
        <v>508</v>
      </c>
      <c r="L310" s="11" t="n">
        <v>0.703844898001049</v>
      </c>
      <c r="M310" s="1" t="n">
        <f aca="false">SUMIF(Relatorio_AK!$A:$A,A310,Relatorio_AK!$B:$B)</f>
        <v>508</v>
      </c>
      <c r="N310" s="1" t="str">
        <f aca="false">IF(M310=K310,"OK","DIF")</f>
        <v>OK</v>
      </c>
      <c r="O310" s="13" t="str">
        <f aca="false">IFERROR(VLOOKUP($A310,Lista_Starke!$A:$E,3,0),"NÃO ESTÁ NA LISTA")</f>
        <v>FIAT: Argo 1.0 6V 3 cil. 17/...
FIAT: Argo 1.3 8V 17/...
FIAT: Argo 1.8 16V 17/...
FIAT: Cronos 1.3 8V 18/...
FIAT: Cronos 1.8 16V 18/...
FIAT: Fiorino 1.4 8V 13/...
FIAT: Grand Siena 1.4 8V 12/...
FIAT: Grand Siena 1.6 16V 12/...
FIAT: Idea 1.4 05/...
FIAT: Mobi 1.0 8V 16/...
FIAT: Palio 1.0 / 1.3 / 1.4 / 1.6 00/06
FIAT: Palio 1.0 / 1.4 12/...
FIAT: Palio 1.0 8V / 16V Fire 01/20
FIAT: Palio 1.4 8V Fire 05/20
FIAT: Palio 1.6 01/20
FIAT: Palio 1.6 Etorq 12/...
FIAT: Palio Weekend 1.0 / 1.3 / 1.4 / 1.6 00/06
FIAT: Punto 1.4 8V Fire 07/20
FIAT: Punto 1.5 08/...
FIAT: Siena 1.0 / 1.3 / 1.4 / 1.6 00/06
FIAT: Siena 1.0 8V / 16V Fire 01/20
FIAT: Siena 1.4 8V Fire 05/20
FIAT: Siena 1.6 01/20
FIAT: Strada 1.3 / 1.4 / 1.6 00/06
FIAT: Uno 1.0 8V 13/...
FIAT: Uno 1.4 8V 13/...</v>
      </c>
      <c r="P310" s="12" t="str">
        <f aca="false">IFERROR(VLOOKUP($A310,Lista_Starke!$A:$E,2,0),"NÃO ESTÁ NA LISTA")</f>
        <v>CILINDRO AUXILIAR DE EMBREAGEM</v>
      </c>
    </row>
    <row r="311" customFormat="false" ht="15" hidden="false" customHeight="true" outlineLevel="0" collapsed="false">
      <c r="A311" s="10" t="s">
        <v>746</v>
      </c>
      <c r="B311" s="10" t="str">
        <f aca="false">IFERROR(VLOOKUP(A311,Pedido!$A:$B,2,0),"")</f>
        <v/>
      </c>
      <c r="C311" s="10" t="str">
        <f aca="false">IF(B311="","NÃO COMPRA","COMPRA")</f>
        <v>NÃO COMPRA</v>
      </c>
      <c r="D311" s="1" t="n">
        <f aca="false">IFERROR(VLOOKUP(A311,Pedido!$A:$C,3,0),0)</f>
        <v>0</v>
      </c>
      <c r="E311" s="5" t="n">
        <f aca="false">IFERROR(VLOOKUP(A311,Pedido!$A:$E,5,0),0)</f>
        <v>0</v>
      </c>
      <c r="F311" s="1" t="s">
        <v>8</v>
      </c>
      <c r="G311" s="1" t="s">
        <v>695</v>
      </c>
      <c r="H311" s="1" t="s">
        <v>197</v>
      </c>
      <c r="I311" s="1" t="s">
        <v>295</v>
      </c>
      <c r="K311" s="1" t="n">
        <v>508</v>
      </c>
      <c r="L311" s="11" t="n">
        <v>0.70471333790347</v>
      </c>
      <c r="M311" s="1" t="n">
        <f aca="false">SUMIF(Relatorio_AK!$A:$A,A311,Relatorio_AK!$B:$B)</f>
        <v>508</v>
      </c>
      <c r="N311" s="1" t="str">
        <f aca="false">IF(M311=K311,"OK","DIF")</f>
        <v>OK</v>
      </c>
      <c r="O311" s="12" t="str">
        <f aca="false">IFERROR(VLOOKUP($A311,Lista_Starke!$A:$E,3,0),"NÃO ESTÁ NA LISTA")</f>
        <v>CHERY: Tiggo 2 1.5 16V Flex 4G15B 16/...</v>
      </c>
      <c r="P311" s="12" t="str">
        <f aca="false">IFERROR(VLOOKUP($A311,Lista_Starke!$A:$E,2,0),"NÃO ESTÁ NA LISTA")</f>
        <v>BOMBA D'ÁGUA</v>
      </c>
    </row>
    <row r="312" customFormat="false" ht="15" hidden="false" customHeight="true" outlineLevel="0" collapsed="false">
      <c r="A312" s="10" t="s">
        <v>747</v>
      </c>
      <c r="B312" s="10" t="str">
        <f aca="false">IFERROR(VLOOKUP(A312,Pedido!$A:$B,2,0),"")</f>
        <v/>
      </c>
      <c r="C312" s="10" t="str">
        <f aca="false">IF(B312="","NÃO COMPRA","COMPRA")</f>
        <v>NÃO COMPRA</v>
      </c>
      <c r="D312" s="1" t="n">
        <f aca="false">IFERROR(VLOOKUP(A312,Pedido!$A:$C,3,0),0)</f>
        <v>0</v>
      </c>
      <c r="E312" s="5" t="n">
        <f aca="false">IFERROR(VLOOKUP(A312,Pedido!$A:$E,5,0),0)</f>
        <v>0</v>
      </c>
      <c r="F312" s="1" t="s">
        <v>8</v>
      </c>
      <c r="G312" s="1" t="s">
        <v>748</v>
      </c>
      <c r="H312" s="1" t="s">
        <v>600</v>
      </c>
      <c r="I312" s="1" t="s">
        <v>510</v>
      </c>
      <c r="J312" s="1" t="s">
        <v>749</v>
      </c>
      <c r="K312" s="1" t="n">
        <v>506</v>
      </c>
      <c r="L312" s="11" t="n">
        <v>0.705578358751156</v>
      </c>
      <c r="M312" s="1" t="n">
        <f aca="false">SUMIF(Relatorio_AK!$A:$A,A312,Relatorio_AK!$B:$B)</f>
        <v>506</v>
      </c>
      <c r="N312" s="1" t="str">
        <f aca="false">IF(M312=K312,"OK","DIF")</f>
        <v>OK</v>
      </c>
      <c r="O312" s="13" t="str">
        <f aca="false">IFERROR(VLOOKUP($A312,Lista_Starke!$A:$E,3,0),"NÃO ESTÁ NA LISTA")</f>
        <v>BMW: 116i (F20) 1.6 N13B16A 11/...
BMW: 116i (F21) 1.6 N13B16A 11/...
BMW: 118i (F20) 1.6 N13B16A 10/...
BMW: 118i (F20) 1.6 N13B16A 15/...
BMW: 118i (F21) 1.6 N13B16A 12/...
BMW: 118i (F21) 1.6 N13B16A 15/...
BMW: 120i (F20) 1.6 N13B16A 15/...
BMW: 120i (F21) 1.6 N13B16A 15/...
BMW: 316i (F30/F80) 1.6 N13B16A 12/16
BMW: 320i (F30/F80) 1.6 N13B16A 12/16
CITROEN: C4 / C4 Picasso 1.6 16V / 1.6 16V THP EP6 / EP6DT 09/…
CITROEN: C4 Lounge 1.6 16V THP EP6DT / EP6DTS 13/…
CITROEN: DS3 1.6 16V THP EP6DT / EP6DTS 12/…
CITROEN: DS4 1.6 16V THP EP6DT / EP6DTS 12/…
CITROEN: DS5 1.6 16V THP EP6DT / EP6DTS 12/…
MINI: Cooper 1.6 16V N12B16A / N16B16AM 06/09
MINI: Cooper 1.6 16V N16B16AU 10/…
MINI: Cooper S 1.6 16V Turbo N12B16A / N14B16C 06/…
MINI: Cooper S 1.6 16V Turbo N16B16AM 10/…
MINI: Cooper S 1.6 16V Turbo N18B16AMO 09/…
MINI: Cooper S 1.6 16V W11B16A-163 07/09
MINI: One 1.4 16V N12B14A 07/09
MINI: One 1.6 16V N16B16K / N16B16AU 09/…
MINI: One 1.6 16V N16BAU 10/…
PEUGEOT: 2008 1.6 16V THP EP6DT / EPDDTS 15/…
PEUGEOT: 207 1.6 16V THP EP6DT / EPDDTS 07/…
PEUGEOT: 3008 1.6 16V THP EP6DT / EPDDTS 11/…
PEUGEOT: 308 1.6 16V THP EP6DT / EPDDTS 07/…
PEUGEOT: 408 1.6 16V THP EP6DT / EPDDTS 11/…
PEUGEOT: 508 1.6 16V THP EP6DT / EPDDTS 11/…
PEUGEOT: RCZ 1.6 16V THP EP6DT / EPDDTS 11/…</v>
      </c>
      <c r="P312" s="12" t="str">
        <f aca="false">IFERROR(VLOOKUP($A312,Lista_Starke!$A:$E,2,0),"NÃO ESTÁ NA LISTA")</f>
        <v>BOMBA DE VÁCUO FREIO</v>
      </c>
    </row>
    <row r="313" customFormat="false" ht="15" hidden="false" customHeight="true" outlineLevel="0" collapsed="false">
      <c r="A313" s="10" t="s">
        <v>750</v>
      </c>
      <c r="B313" s="10" t="str">
        <f aca="false">IFERROR(VLOOKUP(A313,Pedido!$A:$B,2,0),"")</f>
        <v/>
      </c>
      <c r="C313" s="10" t="str">
        <f aca="false">IF(B313="","NÃO COMPRA","COMPRA")</f>
        <v>NÃO COMPRA</v>
      </c>
      <c r="D313" s="1" t="n">
        <f aca="false">IFERROR(VLOOKUP(A313,Pedido!$A:$C,3,0),0)</f>
        <v>0</v>
      </c>
      <c r="E313" s="5" t="n">
        <f aca="false">IFERROR(VLOOKUP(A313,Pedido!$A:$E,5,0),0)</f>
        <v>0</v>
      </c>
      <c r="F313" s="1" t="s">
        <v>8</v>
      </c>
      <c r="G313" s="1" t="s">
        <v>65</v>
      </c>
      <c r="H313" s="1" t="s">
        <v>35</v>
      </c>
      <c r="I313" s="1" t="s">
        <v>46</v>
      </c>
      <c r="J313" s="1" t="s">
        <v>751</v>
      </c>
      <c r="K313" s="1" t="n">
        <v>504</v>
      </c>
      <c r="L313" s="11" t="n">
        <v>0.706439960544108</v>
      </c>
      <c r="M313" s="1" t="n">
        <f aca="false">SUMIF(Relatorio_AK!$A:$A,A313,Relatorio_AK!$B:$B)</f>
        <v>504</v>
      </c>
      <c r="N313" s="1" t="str">
        <f aca="false">IF(M313=K313,"OK","DIF")</f>
        <v>OK</v>
      </c>
      <c r="O313" s="13" t="str">
        <f aca="false">IFERROR(VLOOKUP($A313,Lista_Starke!$A:$E,3,0),"NÃO ESTÁ NA LISTA")</f>
        <v>FIAT: Idea 1.4 06/10
FIAT: Idea 1.6 11/16
FIAT: Idea Dualogic 10/16
FIAT: Palio Weekend 1.4 08/12
FIAT: Palio Weekend Adventure 1.8 Dualogic 09/17
FIAT: Strada 1.4 09/13
FIAT: Strada 1.4 14/...</v>
      </c>
      <c r="P313" s="12" t="str">
        <f aca="false">IFERROR(VLOOKUP($A313,Lista_Starke!$A:$E,2,0),"NÃO ESTÁ NA LISTA")</f>
        <v>CILINDRO MESTRE DE FREIO</v>
      </c>
    </row>
    <row r="314" customFormat="false" ht="15" hidden="false" customHeight="true" outlineLevel="0" collapsed="false">
      <c r="A314" s="10" t="s">
        <v>752</v>
      </c>
      <c r="B314" s="10" t="str">
        <f aca="false">IFERROR(VLOOKUP(A314,Pedido!$A:$B,2,0),"")</f>
        <v/>
      </c>
      <c r="C314" s="10" t="str">
        <f aca="false">IF(B314="","NÃO COMPRA","COMPRA")</f>
        <v>NÃO COMPRA</v>
      </c>
      <c r="D314" s="1" t="n">
        <f aca="false">IFERROR(VLOOKUP(A314,Pedido!$A:$C,3,0),0)</f>
        <v>0</v>
      </c>
      <c r="E314" s="5" t="n">
        <f aca="false">IFERROR(VLOOKUP(A314,Pedido!$A:$E,5,0),0)</f>
        <v>0</v>
      </c>
      <c r="F314" s="1" t="s">
        <v>8</v>
      </c>
      <c r="G314" s="1" t="s">
        <v>753</v>
      </c>
      <c r="H314" s="1" t="s">
        <v>28</v>
      </c>
      <c r="I314" s="1" t="s">
        <v>53</v>
      </c>
      <c r="J314" s="1" t="s">
        <v>754</v>
      </c>
      <c r="K314" s="1" t="n">
        <v>499</v>
      </c>
      <c r="L314" s="11" t="n">
        <v>0.707293014700226</v>
      </c>
      <c r="M314" s="1" t="n">
        <f aca="false">SUMIF(Relatorio_AK!$A:$A,A314,Relatorio_AK!$B:$B)</f>
        <v>499</v>
      </c>
      <c r="N314" s="1" t="str">
        <f aca="false">IF(M314=K314,"OK","DIF")</f>
        <v>OK</v>
      </c>
      <c r="O314" s="13" t="str">
        <f aca="false">IFERROR(VLOOKUP($A314,Lista_Starke!$A:$E,3,0),"NÃO ESTÁ NA LISTA")</f>
        <v>FORD: Ranger 2.2 16V Duratorq 13/...
FORD: Ranger 2.5 16V Duratorq 13/...
FORD: Ranger 3.2 20V Duratorq 13/...</v>
      </c>
      <c r="P314" s="12" t="str">
        <f aca="false">IFERROR(VLOOKUP($A314,Lista_Starke!$A:$E,2,0),"NÃO ESTÁ NA LISTA")</f>
        <v>CILINDRO AUXILIAR DE EMBREAGEM</v>
      </c>
    </row>
    <row r="315" customFormat="false" ht="15" hidden="false" customHeight="true" outlineLevel="0" collapsed="false">
      <c r="A315" s="10" t="s">
        <v>755</v>
      </c>
      <c r="B315" s="10" t="str">
        <f aca="false">IFERROR(VLOOKUP(A315,Pedido!$A:$B,2,0),"")</f>
        <v/>
      </c>
      <c r="C315" s="10" t="str">
        <f aca="false">IF(B315="","NÃO COMPRA","COMPRA")</f>
        <v>NÃO COMPRA</v>
      </c>
      <c r="D315" s="1" t="n">
        <f aca="false">IFERROR(VLOOKUP(A315,Pedido!$A:$C,3,0),0)</f>
        <v>0</v>
      </c>
      <c r="E315" s="5" t="n">
        <f aca="false">IFERROR(VLOOKUP(A315,Pedido!$A:$E,5,0),0)</f>
        <v>0</v>
      </c>
      <c r="F315" s="1" t="s">
        <v>8</v>
      </c>
      <c r="G315" s="1" t="s">
        <v>756</v>
      </c>
      <c r="H315" s="1" t="s">
        <v>88</v>
      </c>
      <c r="I315" s="1" t="s">
        <v>215</v>
      </c>
      <c r="J315" s="1" t="s">
        <v>757</v>
      </c>
      <c r="K315" s="1" t="n">
        <v>498</v>
      </c>
      <c r="L315" s="11" t="n">
        <v>0.708144359328976</v>
      </c>
      <c r="M315" s="1" t="n">
        <f aca="false">SUMIF(Relatorio_AK!$A:$A,A315,Relatorio_AK!$B:$B)</f>
        <v>498</v>
      </c>
      <c r="N315" s="1" t="str">
        <f aca="false">IF(M315=K315,"OK","DIF")</f>
        <v>OK</v>
      </c>
      <c r="O315" s="12" t="str">
        <f aca="false">IFERROR(VLOOKUP($A315,Lista_Starke!$A:$E,3,0),"NÃO ESTÁ NA LISTA")</f>
        <v>NISSAN: Kicks 1.6 16V 16/...</v>
      </c>
      <c r="P315" s="12" t="str">
        <f aca="false">IFERROR(VLOOKUP($A315,Lista_Starke!$A:$E,2,0),"NÃO ESTÁ NA LISTA")</f>
        <v>CILINDRO DE RODA LD</v>
      </c>
    </row>
    <row r="316" customFormat="false" ht="15" hidden="false" customHeight="true" outlineLevel="0" collapsed="false">
      <c r="A316" s="10" t="s">
        <v>758</v>
      </c>
      <c r="B316" s="10" t="str">
        <f aca="false">IFERROR(VLOOKUP(A316,Pedido!$A:$B,2,0),"")</f>
        <v/>
      </c>
      <c r="C316" s="10" t="str">
        <f aca="false">IF(B316="","NÃO COMPRA","COMPRA")</f>
        <v>NÃO COMPRA</v>
      </c>
      <c r="D316" s="1" t="n">
        <f aca="false">IFERROR(VLOOKUP(A316,Pedido!$A:$C,3,0),0)</f>
        <v>0</v>
      </c>
      <c r="E316" s="5" t="n">
        <f aca="false">IFERROR(VLOOKUP(A316,Pedido!$A:$E,5,0),0)</f>
        <v>0</v>
      </c>
      <c r="F316" s="1" t="s">
        <v>8</v>
      </c>
      <c r="G316" s="1" t="s">
        <v>536</v>
      </c>
      <c r="H316" s="1" t="s">
        <v>131</v>
      </c>
      <c r="I316" s="1" t="s">
        <v>215</v>
      </c>
      <c r="J316" s="1" t="s">
        <v>759</v>
      </c>
      <c r="K316" s="1" t="n">
        <v>493</v>
      </c>
      <c r="L316" s="11" t="n">
        <v>0.708987156320892</v>
      </c>
      <c r="M316" s="1" t="n">
        <f aca="false">SUMIF(Relatorio_AK!$A:$A,A316,Relatorio_AK!$B:$B)</f>
        <v>493</v>
      </c>
      <c r="N316" s="1" t="str">
        <f aca="false">IF(M316=K316,"OK","DIF")</f>
        <v>OK</v>
      </c>
      <c r="O316" s="13" t="str">
        <f aca="false">IFERROR(VLOOKUP($A316,Lista_Starke!$A:$E,3,0),"NÃO ESTÁ NA LISTA")</f>
        <v>NISSAN: Kicks 1.6 16V 16/...
NISSAN: Versa 1.0 12V 3 cil 19/...
NISSAN: Versa 1.6 16V 19/...</v>
      </c>
      <c r="P316" s="12" t="str">
        <f aca="false">IFERROR(VLOOKUP($A316,Lista_Starke!$A:$E,2,0),"NÃO ESTÁ NA LISTA")</f>
        <v>SAPATA DE FREIO</v>
      </c>
    </row>
    <row r="317" customFormat="false" ht="15" hidden="false" customHeight="true" outlineLevel="0" collapsed="false">
      <c r="A317" s="10" t="s">
        <v>760</v>
      </c>
      <c r="B317" s="10" t="str">
        <f aca="false">IFERROR(VLOOKUP(A317,Pedido!$A:$B,2,0),"")</f>
        <v/>
      </c>
      <c r="C317" s="10" t="str">
        <f aca="false">IF(B317="","NÃO COMPRA","COMPRA")</f>
        <v>NÃO COMPRA</v>
      </c>
      <c r="D317" s="1" t="n">
        <f aca="false">IFERROR(VLOOKUP(A317,Pedido!$A:$C,3,0),0)</f>
        <v>0</v>
      </c>
      <c r="E317" s="5" t="n">
        <f aca="false">IFERROR(VLOOKUP(A317,Pedido!$A:$E,5,0),0)</f>
        <v>0</v>
      </c>
      <c r="F317" s="1" t="s">
        <v>8</v>
      </c>
      <c r="G317" s="1" t="s">
        <v>125</v>
      </c>
      <c r="H317" s="1" t="s">
        <v>235</v>
      </c>
      <c r="I317" s="1" t="s">
        <v>97</v>
      </c>
      <c r="J317" s="1" t="s">
        <v>761</v>
      </c>
      <c r="K317" s="1" t="n">
        <v>488</v>
      </c>
      <c r="L317" s="11" t="n">
        <v>0.709821405675973</v>
      </c>
      <c r="M317" s="1" t="n">
        <f aca="false">SUMIF(Relatorio_AK!$A:$A,A317,Relatorio_AK!$B:$B)</f>
        <v>488</v>
      </c>
      <c r="N317" s="1" t="str">
        <f aca="false">IF(M317=K317,"OK","DIF")</f>
        <v>OK</v>
      </c>
      <c r="O317" s="13" t="str">
        <f aca="false">IFERROR(VLOOKUP($A317,Lista_Starke!$A:$E,3,0),"NÃO ESTÁ NA LISTA")</f>
        <v>FIAT: Toro 1.8 16V Etorq 16/22
JEEP: Renegade 1.8 16V Etorq 15/22</v>
      </c>
      <c r="P317" s="12" t="str">
        <f aca="false">IFERROR(VLOOKUP($A317,Lista_Starke!$A:$E,2,0),"NÃO ESTÁ NA LISTA")</f>
        <v>RESFRIADOR DE ÓLEO MOTOR</v>
      </c>
    </row>
    <row r="318" customFormat="false" ht="15" hidden="false" customHeight="true" outlineLevel="0" collapsed="false">
      <c r="A318" s="10" t="s">
        <v>762</v>
      </c>
      <c r="B318" s="10" t="str">
        <f aca="false">IFERROR(VLOOKUP(A318,Pedido!$A:$B,2,0),"")</f>
        <v/>
      </c>
      <c r="C318" s="10" t="str">
        <f aca="false">IF(B318="","NÃO COMPRA","COMPRA")</f>
        <v>NÃO COMPRA</v>
      </c>
      <c r="D318" s="1" t="n">
        <f aca="false">IFERROR(VLOOKUP(A318,Pedido!$A:$C,3,0),0)</f>
        <v>0</v>
      </c>
      <c r="E318" s="5" t="n">
        <f aca="false">IFERROR(VLOOKUP(A318,Pedido!$A:$E,5,0),0)</f>
        <v>0</v>
      </c>
      <c r="F318" s="1" t="s">
        <v>8</v>
      </c>
      <c r="G318" s="1" t="s">
        <v>763</v>
      </c>
      <c r="H318" s="1" t="s">
        <v>197</v>
      </c>
      <c r="I318" s="1" t="s">
        <v>373</v>
      </c>
      <c r="K318" s="1" t="n">
        <v>486</v>
      </c>
      <c r="L318" s="11" t="n">
        <v>0.710652235976319</v>
      </c>
      <c r="M318" s="1" t="n">
        <f aca="false">SUMIF(Relatorio_AK!$A:$A,A318,Relatorio_AK!$B:$B)</f>
        <v>486</v>
      </c>
      <c r="N318" s="1" t="str">
        <f aca="false">IF(M318=K318,"OK","DIF")</f>
        <v>OK</v>
      </c>
      <c r="O318" s="13" t="str">
        <f aca="false">IFERROR(VLOOKUP($A318,Lista_Starke!$A:$E,3,0),"NÃO ESTÁ NA LISTA")</f>
        <v>MERCEDES-BENZ: A160 (W176) 1.6 4cil M270.910 15/...
MERCEDES-BENZ: A180 (W176) 1.8 4cil M.270.910 12/...
MERCEDES-BENZ: A200 (W176) 1.6 4cil M270.910 14/...
MERCEDES-BENZ: A220 (W176) 2.0 4cil M270.920 14/...
MERCEDES-BENZ: A250 (W176) 2.0 4cil M270.920 12/...
MERCEDES-BENZ: B180 (W242/W246) 1.6 4cil M270.910 11/...
MERCEDES-BENZ: B200 (W242/W246) 1.6 4cil M270.910 11/...
MERCEDES-BENZ: B220 (W242/W246) 2.0 4cil M270.920 13/...
MERCEDES-BENZ: B250 (W242/W246) 2.0 4cil M270.920 12/...
MERCEDES-BENZ: CLA180 (X117) 1.6 4cil M270.910 15/...
MERCEDES-BENZ: CLA200 (X117) 1.6 4cil M270.910 15/...
MERCEDES-BENZ: CLA220 (X117) 2.0 4cil M270.920 15/...
MERCEDES-BENZ: CLA250 (X117) 2.0 4cil M270.920 15/...
MERCEDES-BENZ: GLA180 (X156) 1.6 4cil M270.910 15/...
MERCEDES-BENZ: GLA200 (X156) 1.6 4cil M270.910 13/...
MERCEDES-BENZ: GLA220 (X156) 2.0 4cil M270.920 17/...
MERCEDES-BENZ: GLA250 (X156) 2.0 4cil M270.920 13/...</v>
      </c>
      <c r="P318" s="12" t="str">
        <f aca="false">IFERROR(VLOOKUP($A318,Lista_Starke!$A:$E,2,0),"NÃO ESTÁ NA LISTA")</f>
        <v>BOMBA D'ÁGUA</v>
      </c>
    </row>
    <row r="319" customFormat="false" ht="15" hidden="false" customHeight="true" outlineLevel="0" collapsed="false">
      <c r="A319" s="10" t="s">
        <v>764</v>
      </c>
      <c r="B319" s="10" t="str">
        <f aca="false">IFERROR(VLOOKUP(A319,Pedido!$A:$B,2,0),"")</f>
        <v/>
      </c>
      <c r="C319" s="10" t="str">
        <f aca="false">IF(B319="","NÃO COMPRA","COMPRA")</f>
        <v>NÃO COMPRA</v>
      </c>
      <c r="D319" s="1" t="n">
        <f aca="false">IFERROR(VLOOKUP(A319,Pedido!$A:$C,3,0),0)</f>
        <v>0</v>
      </c>
      <c r="E319" s="5" t="n">
        <f aca="false">IFERROR(VLOOKUP(A319,Pedido!$A:$E,5,0),0)</f>
        <v>0</v>
      </c>
      <c r="F319" s="1" t="s">
        <v>8</v>
      </c>
      <c r="G319" s="1" t="s">
        <v>92</v>
      </c>
      <c r="H319" s="1" t="s">
        <v>88</v>
      </c>
      <c r="I319" s="1" t="s">
        <v>57</v>
      </c>
      <c r="J319" s="1" t="s">
        <v>765</v>
      </c>
      <c r="K319" s="1" t="n">
        <v>484</v>
      </c>
      <c r="L319" s="11" t="n">
        <v>0.711479647221932</v>
      </c>
      <c r="M319" s="1" t="n">
        <f aca="false">SUMIF(Relatorio_AK!$A:$A,A319,Relatorio_AK!$B:$B)</f>
        <v>484</v>
      </c>
      <c r="N319" s="1" t="str">
        <f aca="false">IF(M319=K319,"OK","DIF")</f>
        <v>OK</v>
      </c>
      <c r="O319" s="13" t="str">
        <f aca="false">IFERROR(VLOOKUP($A319,Lista_Starke!$A:$E,3,0),"NÃO ESTÁ NA LISTA")</f>
        <v>GM: Agile 1.4 8V 09/15
GM: Astra 1.8 8V 98/04
GM: Astra 2.0 16V 99/04
GM: Astra 2.0 16V c/ abs 99/06
GM: Astra 2.0 8V 98/04
GM: Calibra 2.0 16V 93/95
GM: Celta 1.0 8V 14/16
GM: Classic 1.0 8V 05/17
GM: Corsa 1.0 16V 94/02
GM: Corsa 1.0 8V 94/09
GM: Corsa 1.4 8V 07/12
GM: Corsa 1.6 16V 94/02
GM: Corsa 1.6 8V 94/02
GM: Corsa 1.8 8V 05/09
GM: Corsa Sedan 1.8 8V 02/03
GM: Corsa Sedan / Wagon 1.0 16V 95/02
GM: Corsa Sedan / Wagon 1.0 8V 95/02
GM: Corsa Sedan / Wagon 1.6 16V 95/02
GM: Corsa Sedan / Wagon 1.6 8V 95/02
GM: Meriva 1.4 8V 07/12
GM: Meriva 1.8 8V 03/12
GM: Vectra 2.0 8V 98/05
GM: Vectra 2.2 8V 98/05
GM: Zafira 2.0 8V 01/05</v>
      </c>
      <c r="P319" s="12" t="str">
        <f aca="false">IFERROR(VLOOKUP($A319,Lista_Starke!$A:$E,2,0),"NÃO ESTÁ NA LISTA")</f>
        <v>CILINDRO DE RODA LE/LD</v>
      </c>
    </row>
    <row r="320" customFormat="false" ht="15" hidden="false" customHeight="true" outlineLevel="0" collapsed="false">
      <c r="A320" s="10" t="s">
        <v>766</v>
      </c>
      <c r="B320" s="10" t="str">
        <f aca="false">IFERROR(VLOOKUP(A320,Pedido!$A:$B,2,0),"")</f>
        <v/>
      </c>
      <c r="C320" s="10" t="str">
        <f aca="false">IF(B320="","NÃO COMPRA","COMPRA")</f>
        <v>NÃO COMPRA</v>
      </c>
      <c r="D320" s="1" t="n">
        <f aca="false">IFERROR(VLOOKUP(A320,Pedido!$A:$C,3,0),0)</f>
        <v>0</v>
      </c>
      <c r="E320" s="5" t="n">
        <f aca="false">IFERROR(VLOOKUP(A320,Pedido!$A:$E,5,0),0)</f>
        <v>0</v>
      </c>
      <c r="F320" s="1" t="s">
        <v>8</v>
      </c>
      <c r="G320" s="1" t="s">
        <v>62</v>
      </c>
      <c r="H320" s="1" t="s">
        <v>32</v>
      </c>
      <c r="I320" s="1" t="s">
        <v>42</v>
      </c>
      <c r="J320" s="1" t="s">
        <v>767</v>
      </c>
      <c r="K320" s="1" t="n">
        <v>482</v>
      </c>
      <c r="L320" s="11" t="n">
        <v>0.712303639412811</v>
      </c>
      <c r="M320" s="1" t="n">
        <f aca="false">SUMIF(Relatorio_AK!$A:$A,A320,Relatorio_AK!$B:$B)</f>
        <v>482</v>
      </c>
      <c r="N320" s="1" t="str">
        <f aca="false">IF(M320=K320,"OK","DIF")</f>
        <v>OK</v>
      </c>
      <c r="O320" s="12" t="str">
        <f aca="false">IFERROR(VLOOKUP($A320,Lista_Starke!$A:$E,3,0),"NÃO ESTÁ NA LISTA")</f>
        <v>RENAULT: Fluence 2.0 16V 11/...</v>
      </c>
      <c r="P320" s="12" t="str">
        <f aca="false">IFERROR(VLOOKUP($A320,Lista_Starke!$A:$E,2,0),"NÃO ESTÁ NA LISTA")</f>
        <v>CILINDRO MESTRE DE EMBREAGEM</v>
      </c>
    </row>
    <row r="321" customFormat="false" ht="15" hidden="false" customHeight="true" outlineLevel="0" collapsed="false">
      <c r="A321" s="10" t="s">
        <v>768</v>
      </c>
      <c r="B321" s="10" t="str">
        <f aca="false">IFERROR(VLOOKUP(A321,Pedido!$A:$B,2,0),"")</f>
        <v/>
      </c>
      <c r="C321" s="10" t="str">
        <f aca="false">IF(B321="","NÃO COMPRA","COMPRA")</f>
        <v>NÃO COMPRA</v>
      </c>
      <c r="D321" s="1" t="n">
        <f aca="false">IFERROR(VLOOKUP(A321,Pedido!$A:$C,3,0),0)</f>
        <v>0</v>
      </c>
      <c r="E321" s="5" t="n">
        <f aca="false">IFERROR(VLOOKUP(A321,Pedido!$A:$E,5,0),0)</f>
        <v>0</v>
      </c>
      <c r="F321" s="1" t="s">
        <v>8</v>
      </c>
      <c r="G321" s="1" t="s">
        <v>105</v>
      </c>
      <c r="H321" s="1" t="s">
        <v>88</v>
      </c>
      <c r="I321" s="1" t="s">
        <v>46</v>
      </c>
      <c r="J321" s="1" t="s">
        <v>769</v>
      </c>
      <c r="K321" s="1" t="n">
        <v>481</v>
      </c>
      <c r="L321" s="11" t="n">
        <v>0.713125922076323</v>
      </c>
      <c r="M321" s="1" t="n">
        <f aca="false">SUMIF(Relatorio_AK!$A:$A,A321,Relatorio_AK!$B:$B)</f>
        <v>481</v>
      </c>
      <c r="N321" s="1" t="str">
        <f aca="false">IF(M321=K321,"OK","DIF")</f>
        <v>OK</v>
      </c>
      <c r="O321" s="13" t="str">
        <f aca="false">IFERROR(VLOOKUP($A321,Lista_Starke!$A:$E,3,0),"NÃO ESTÁ NA LISTA")</f>
        <v>FIAT: Argo 1.0 3 cil 17/...
FIAT: Argo 1.3 8V 17/...
FIAT: Argo 1.8 16V 17/...
FIAT: Cronos 1.3 8V Firefly 17/...
FIAT: Cronos 1.8 16V 18/23
FIAT: Pulse 1.0 12V 3 cil. 21/...
FIAT: Pulse 1.3 8V Firefly 21/...
FIAT: Uno 1.0 3 cil. Firefly 16/17
FIAT: Uno 1.0 8V 14/21
FIAT: Uno 1.3 8V Firefly 16/19
FIAT: Uno 1.4 8V EVO 13/16
FIAT: Uno Way 1.0 8V Fire 05/13
FIAT: Uno Way 1.4 8V Fire 14/16</v>
      </c>
      <c r="P321" s="12" t="str">
        <f aca="false">IFERROR(VLOOKUP($A321,Lista_Starke!$A:$E,2,0),"NÃO ESTÁ NA LISTA")</f>
        <v>CILINDRO DE RODA LE/LD</v>
      </c>
    </row>
    <row r="322" customFormat="false" ht="15" hidden="false" customHeight="true" outlineLevel="0" collapsed="false">
      <c r="A322" s="10" t="s">
        <v>770</v>
      </c>
      <c r="B322" s="10" t="str">
        <f aca="false">IFERROR(VLOOKUP(A322,Pedido!$A:$B,2,0),"")</f>
        <v/>
      </c>
      <c r="C322" s="10" t="str">
        <f aca="false">IF(B322="","NÃO COMPRA","COMPRA")</f>
        <v>NÃO COMPRA</v>
      </c>
      <c r="D322" s="1" t="n">
        <f aca="false">IFERROR(VLOOKUP(A322,Pedido!$A:$C,3,0),0)</f>
        <v>0</v>
      </c>
      <c r="E322" s="5" t="n">
        <f aca="false">IFERROR(VLOOKUP(A322,Pedido!$A:$E,5,0),0)</f>
        <v>0</v>
      </c>
      <c r="F322" s="1" t="s">
        <v>8</v>
      </c>
      <c r="G322" s="1" t="s">
        <v>65</v>
      </c>
      <c r="H322" s="1" t="s">
        <v>35</v>
      </c>
      <c r="I322" s="1" t="s">
        <v>46</v>
      </c>
      <c r="J322" s="1" t="s">
        <v>771</v>
      </c>
      <c r="K322" s="1" t="n">
        <v>477</v>
      </c>
      <c r="L322" s="11" t="n">
        <v>0.713941366630368</v>
      </c>
      <c r="M322" s="1" t="n">
        <f aca="false">SUMIF(Relatorio_AK!$A:$A,A322,Relatorio_AK!$B:$B)</f>
        <v>477</v>
      </c>
      <c r="N322" s="1" t="str">
        <f aca="false">IF(M322=K322,"OK","DIF")</f>
        <v>OK</v>
      </c>
      <c r="O322" s="13" t="str">
        <f aca="false">IFERROR(VLOOKUP($A322,Lista_Starke!$A:$E,3,0),"NÃO ESTÁ NA LISTA")</f>
        <v>FIAT: Doblo 1.3 16V / 1.6 16V 02/...
FIAT: Doblo 1.8 16V 14/...</v>
      </c>
      <c r="P322" s="12" t="str">
        <f aca="false">IFERROR(VLOOKUP($A322,Lista_Starke!$A:$E,2,0),"NÃO ESTÁ NA LISTA")</f>
        <v>CILINDRO MESTRE DE FREIO</v>
      </c>
    </row>
    <row r="323" customFormat="false" ht="15" hidden="false" customHeight="true" outlineLevel="0" collapsed="false">
      <c r="A323" s="10" t="s">
        <v>772</v>
      </c>
      <c r="B323" s="10" t="str">
        <f aca="false">IFERROR(VLOOKUP(A323,Pedido!$A:$B,2,0),"")</f>
        <v/>
      </c>
      <c r="C323" s="10" t="str">
        <f aca="false">IF(B323="","NÃO COMPRA","COMPRA")</f>
        <v>NÃO COMPRA</v>
      </c>
      <c r="D323" s="1" t="n">
        <f aca="false">IFERROR(VLOOKUP(A323,Pedido!$A:$C,3,0),0)</f>
        <v>0</v>
      </c>
      <c r="E323" s="5" t="n">
        <f aca="false">IFERROR(VLOOKUP(A323,Pedido!$A:$E,5,0),0)</f>
        <v>0</v>
      </c>
      <c r="F323" s="1" t="s">
        <v>8</v>
      </c>
      <c r="G323" s="1" t="s">
        <v>56</v>
      </c>
      <c r="H323" s="1" t="s">
        <v>35</v>
      </c>
      <c r="I323" s="1" t="s">
        <v>57</v>
      </c>
      <c r="J323" s="1" t="s">
        <v>773</v>
      </c>
      <c r="K323" s="1" t="n">
        <v>475</v>
      </c>
      <c r="L323" s="11" t="n">
        <v>0.714753392129678</v>
      </c>
      <c r="M323" s="1" t="n">
        <f aca="false">SUMIF(Relatorio_AK!$A:$A,A323,Relatorio_AK!$B:$B)</f>
        <v>475</v>
      </c>
      <c r="N323" s="1" t="str">
        <f aca="false">IF(M323=K323,"OK","DIF")</f>
        <v>OK</v>
      </c>
      <c r="O323" s="13" t="str">
        <f aca="false">IFERROR(VLOOKUP($A323,Lista_Starke!$A:$E,3,0),"NÃO ESTÁ NA LISTA")</f>
        <v>GM: Ipanema  90/98
GM: Kadett  89/98
GM: Monza  88/96</v>
      </c>
      <c r="P323" s="12" t="str">
        <f aca="false">IFERROR(VLOOKUP($A323,Lista_Starke!$A:$E,2,0),"NÃO ESTÁ NA LISTA")</f>
        <v>CILINDRO MESTRE DE FREIO</v>
      </c>
    </row>
    <row r="324" customFormat="false" ht="15" hidden="false" customHeight="true" outlineLevel="0" collapsed="false">
      <c r="A324" s="10" t="s">
        <v>774</v>
      </c>
      <c r="B324" s="10" t="str">
        <f aca="false">IFERROR(VLOOKUP(A324,Pedido!$A:$B,2,0),"")</f>
        <v>SBC 1124</v>
      </c>
      <c r="C324" s="10" t="str">
        <f aca="false">IF(B324="","NÃO COMPRA","COMPRA")</f>
        <v>COMPRA</v>
      </c>
      <c r="D324" s="1" t="n">
        <f aca="false">IFERROR(VLOOKUP(A324,Pedido!$A:$C,3,0),0)</f>
        <v>6</v>
      </c>
      <c r="E324" s="5" t="n">
        <f aca="false">IFERROR(VLOOKUP(A324,Pedido!$A:$E,5,0),0)</f>
        <v>1320</v>
      </c>
      <c r="F324" s="1" t="s">
        <v>8</v>
      </c>
      <c r="G324" s="1" t="s">
        <v>775</v>
      </c>
      <c r="H324" s="1" t="s">
        <v>35</v>
      </c>
      <c r="I324" s="1" t="s">
        <v>97</v>
      </c>
      <c r="J324" s="1" t="s">
        <v>776</v>
      </c>
      <c r="K324" s="1" t="n">
        <v>473</v>
      </c>
      <c r="L324" s="11" t="n">
        <v>0.715561998574254</v>
      </c>
      <c r="M324" s="1" t="n">
        <f aca="false">SUMIF(Relatorio_AK!$A:$A,A324,Relatorio_AK!$B:$B)</f>
        <v>473</v>
      </c>
      <c r="N324" s="1" t="str">
        <f aca="false">IF(M324=K324,"OK","DIF")</f>
        <v>OK</v>
      </c>
      <c r="O324" s="13" t="str">
        <f aca="false">IFERROR(VLOOKUP($A324,Lista_Starke!$A:$E,3,0),"NÃO ESTÁ NA LISTA")</f>
        <v>FIAT: Toro 2.0 16V Turbo Diesel 16/...
JEEP: Compass 2.0 16V Flex 16/...
JEEP: Renegade 1.8 16V Flex 15/...
JEEP: Renegade 2.0 16V Turbo Diesel 15/...</v>
      </c>
      <c r="P324" s="12" t="str">
        <f aca="false">IFERROR(VLOOKUP($A324,Lista_Starke!$A:$E,2,0),"NÃO ESTÁ NA LISTA")</f>
        <v>CILINDRO MESTRE DE FREIO</v>
      </c>
    </row>
    <row r="325" customFormat="false" ht="15" hidden="false" customHeight="true" outlineLevel="0" collapsed="false">
      <c r="A325" s="10" t="s">
        <v>777</v>
      </c>
      <c r="B325" s="10" t="str">
        <f aca="false">IFERROR(VLOOKUP(A325,Pedido!$A:$B,2,0),"")</f>
        <v/>
      </c>
      <c r="C325" s="10" t="str">
        <f aca="false">IF(B325="","NÃO COMPRA","COMPRA")</f>
        <v>NÃO COMPRA</v>
      </c>
      <c r="D325" s="1" t="n">
        <f aca="false">IFERROR(VLOOKUP(A325,Pedido!$A:$C,3,0),0)</f>
        <v>0</v>
      </c>
      <c r="E325" s="5" t="n">
        <f aca="false">IFERROR(VLOOKUP(A325,Pedido!$A:$E,5,0),0)</f>
        <v>0</v>
      </c>
      <c r="F325" s="1" t="s">
        <v>8</v>
      </c>
      <c r="G325" s="1" t="s">
        <v>273</v>
      </c>
      <c r="H325" s="1" t="s">
        <v>32</v>
      </c>
      <c r="I325" s="1" t="s">
        <v>215</v>
      </c>
      <c r="K325" s="1" t="n">
        <v>473</v>
      </c>
      <c r="L325" s="11" t="n">
        <v>0.71637060501883</v>
      </c>
      <c r="M325" s="1" t="n">
        <f aca="false">SUMIF(Relatorio_AK!$A:$A,A325,Relatorio_AK!$B:$B)</f>
        <v>473</v>
      </c>
      <c r="N325" s="1" t="str">
        <f aca="false">IF(M325=K325,"OK","DIF")</f>
        <v>OK</v>
      </c>
      <c r="O325" s="13" t="str">
        <f aca="false">IFERROR(VLOOKUP($A325,Lista_Starke!$A:$E,3,0),"NÃO ESTÁ NA LISTA")</f>
        <v>NISSAN: Frontier 2.8 4 cil Turbo Diesel MWM 4.07T / 4.07TCA 02/07
NISSAN: X Terra 2.8 4 cil Turbo Diesel MWM 4.07T / 4.07TCA 02/07</v>
      </c>
      <c r="P325" s="12" t="str">
        <f aca="false">IFERROR(VLOOKUP($A325,Lista_Starke!$A:$E,2,0),"NÃO ESTÁ NA LISTA")</f>
        <v>CILINDRO MESTRE DE EMBREAGEM</v>
      </c>
    </row>
    <row r="326" customFormat="false" ht="15" hidden="false" customHeight="true" outlineLevel="0" collapsed="false">
      <c r="A326" s="10" t="s">
        <v>778</v>
      </c>
      <c r="B326" s="10" t="str">
        <f aca="false">IFERROR(VLOOKUP(A326,Pedido!$A:$B,2,0),"")</f>
        <v/>
      </c>
      <c r="C326" s="10" t="str">
        <f aca="false">IF(B326="","NÃO COMPRA","COMPRA")</f>
        <v>NÃO COMPRA</v>
      </c>
      <c r="D326" s="1" t="n">
        <f aca="false">IFERROR(VLOOKUP(A326,Pedido!$A:$C,3,0),0)</f>
        <v>0</v>
      </c>
      <c r="E326" s="5" t="n">
        <f aca="false">IFERROR(VLOOKUP(A326,Pedido!$A:$E,5,0),0)</f>
        <v>0</v>
      </c>
      <c r="F326" s="1" t="s">
        <v>8</v>
      </c>
      <c r="G326" s="1" t="s">
        <v>616</v>
      </c>
      <c r="H326" s="1" t="s">
        <v>197</v>
      </c>
      <c r="I326" s="1" t="s">
        <v>36</v>
      </c>
      <c r="K326" s="1" t="n">
        <v>471</v>
      </c>
      <c r="L326" s="11" t="n">
        <v>0.717175792408673</v>
      </c>
      <c r="M326" s="1" t="n">
        <f aca="false">SUMIF(Relatorio_AK!$A:$A,A326,Relatorio_AK!$B:$B)</f>
        <v>471</v>
      </c>
      <c r="N326" s="1" t="str">
        <f aca="false">IF(M326=K326,"OK","DIF")</f>
        <v>OK</v>
      </c>
      <c r="O326" s="13" t="str">
        <f aca="false">IFERROR(VLOOKUP($A326,Lista_Starke!$A:$E,3,0),"NÃO ESTÁ NA LISTA")</f>
        <v>VOLKSWAGEN: Jetta 2.0 16V TSI 211cv 13/17
VOLKSWAGEN: New Beetle 2.0 16V TSI 211cv 12/16</v>
      </c>
      <c r="P326" s="12" t="str">
        <f aca="false">IFERROR(VLOOKUP($A326,Lista_Starke!$A:$E,2,0),"NÃO ESTÁ NA LISTA")</f>
        <v>BOMBA D'ÁGUA</v>
      </c>
    </row>
    <row r="327" customFormat="false" ht="15" hidden="false" customHeight="true" outlineLevel="0" collapsed="false">
      <c r="A327" s="10" t="s">
        <v>779</v>
      </c>
      <c r="B327" s="10" t="str">
        <f aca="false">IFERROR(VLOOKUP(A327,Pedido!$A:$B,2,0),"")</f>
        <v/>
      </c>
      <c r="C327" s="10" t="str">
        <f aca="false">IF(B327="","NÃO COMPRA","COMPRA")</f>
        <v>NÃO COMPRA</v>
      </c>
      <c r="D327" s="1" t="n">
        <f aca="false">IFERROR(VLOOKUP(A327,Pedido!$A:$C,3,0),0)</f>
        <v>0</v>
      </c>
      <c r="E327" s="5" t="n">
        <f aca="false">IFERROR(VLOOKUP(A327,Pedido!$A:$E,5,0),0)</f>
        <v>0</v>
      </c>
      <c r="F327" s="1" t="s">
        <v>8</v>
      </c>
      <c r="G327" s="1" t="s">
        <v>168</v>
      </c>
      <c r="H327" s="1" t="s">
        <v>131</v>
      </c>
      <c r="I327" s="1" t="s">
        <v>57</v>
      </c>
      <c r="J327" s="1" t="s">
        <v>780</v>
      </c>
      <c r="K327" s="1" t="n">
        <v>470</v>
      </c>
      <c r="L327" s="11" t="n">
        <v>0.717979270271148</v>
      </c>
      <c r="M327" s="1" t="n">
        <f aca="false">SUMIF(Relatorio_AK!$A:$A,A327,Relatorio_AK!$B:$B)</f>
        <v>470</v>
      </c>
      <c r="N327" s="1" t="str">
        <f aca="false">IF(M327=K327,"OK","DIF")</f>
        <v>OK</v>
      </c>
      <c r="O327" s="13" t="str">
        <f aca="false">IFERROR(VLOOKUP($A327,Lista_Starke!$A:$E,3,0),"NÃO ESTÁ NA LISTA")</f>
        <v>GM: Cobalt 1.4 / 1.8 12/...
GM: Sonic 1.6 12/14
GM: Spin 1.8 8V 12/16</v>
      </c>
      <c r="P327" s="12" t="str">
        <f aca="false">IFERROR(VLOOKUP($A327,Lista_Starke!$A:$E,2,0),"NÃO ESTÁ NA LISTA")</f>
        <v>SAPATA DE FREIO</v>
      </c>
    </row>
    <row r="328" customFormat="false" ht="15" hidden="false" customHeight="true" outlineLevel="0" collapsed="false">
      <c r="A328" s="10" t="s">
        <v>781</v>
      </c>
      <c r="B328" s="10" t="str">
        <f aca="false">IFERROR(VLOOKUP(A328,Pedido!$A:$B,2,0),"")</f>
        <v/>
      </c>
      <c r="C328" s="10" t="str">
        <f aca="false">IF(B328="","NÃO COMPRA","COMPRA")</f>
        <v>NÃO COMPRA</v>
      </c>
      <c r="D328" s="1" t="n">
        <f aca="false">IFERROR(VLOOKUP(A328,Pedido!$A:$C,3,0),0)</f>
        <v>0</v>
      </c>
      <c r="E328" s="5" t="n">
        <f aca="false">IFERROR(VLOOKUP(A328,Pedido!$A:$E,5,0),0)</f>
        <v>0</v>
      </c>
      <c r="F328" s="1" t="s">
        <v>8</v>
      </c>
      <c r="G328" s="1" t="s">
        <v>782</v>
      </c>
      <c r="H328" s="1" t="s">
        <v>600</v>
      </c>
      <c r="I328" s="1" t="s">
        <v>36</v>
      </c>
      <c r="J328" s="1" t="s">
        <v>783</v>
      </c>
      <c r="K328" s="1" t="n">
        <v>470</v>
      </c>
      <c r="L328" s="11" t="n">
        <v>0.718782748133623</v>
      </c>
      <c r="M328" s="1" t="n">
        <f aca="false">SUMIF(Relatorio_AK!$A:$A,A328,Relatorio_AK!$B:$B)</f>
        <v>470</v>
      </c>
      <c r="N328" s="1" t="str">
        <f aca="false">IF(M328=K328,"OK","DIF")</f>
        <v>OK</v>
      </c>
      <c r="O328" s="13" t="str">
        <f aca="false">IFERROR(VLOOKUP($A328,Lista_Starke!$A:$E,3,0),"NÃO ESTÁ NA LISTA")</f>
        <v>VOLKSWAGEN: Amarok 2.0 16V TDI   CDBA / CNFA 10/…
VOLKSWAGEN: Amarok 3.0 V6 TDI DDXB/DDXE 17/...</v>
      </c>
      <c r="P328" s="12" t="str">
        <f aca="false">IFERROR(VLOOKUP($A328,Lista_Starke!$A:$E,2,0),"NÃO ESTÁ NA LISTA")</f>
        <v>BOMBA DE VÁCUO FREIO</v>
      </c>
    </row>
    <row r="329" customFormat="false" ht="15" hidden="false" customHeight="true" outlineLevel="0" collapsed="false">
      <c r="A329" s="10" t="s">
        <v>784</v>
      </c>
      <c r="B329" s="10" t="str">
        <f aca="false">IFERROR(VLOOKUP(A329,Pedido!$A:$B,2,0),"")</f>
        <v/>
      </c>
      <c r="C329" s="10" t="str">
        <f aca="false">IF(B329="","NÃO COMPRA","COMPRA")</f>
        <v>NÃO COMPRA</v>
      </c>
      <c r="D329" s="1" t="n">
        <f aca="false">IFERROR(VLOOKUP(A329,Pedido!$A:$C,3,0),0)</f>
        <v>0</v>
      </c>
      <c r="E329" s="5" t="n">
        <f aca="false">IFERROR(VLOOKUP(A329,Pedido!$A:$E,5,0),0)</f>
        <v>0</v>
      </c>
      <c r="F329" s="1" t="s">
        <v>8</v>
      </c>
      <c r="G329" s="1" t="s">
        <v>785</v>
      </c>
      <c r="H329" s="1" t="s">
        <v>235</v>
      </c>
      <c r="I329" s="1" t="s">
        <v>77</v>
      </c>
      <c r="J329" s="1" t="s">
        <v>786</v>
      </c>
      <c r="K329" s="1" t="n">
        <v>469</v>
      </c>
      <c r="L329" s="11" t="n">
        <v>0.719584516468732</v>
      </c>
      <c r="M329" s="1" t="n">
        <f aca="false">SUMIF(Relatorio_AK!$A:$A,A329,Relatorio_AK!$B:$B)</f>
        <v>469</v>
      </c>
      <c r="N329" s="1" t="str">
        <f aca="false">IF(M329=K329,"OK","DIF")</f>
        <v>OK</v>
      </c>
      <c r="O329" s="13" t="str">
        <f aca="false">IFERROR(VLOOKUP($A329,Lista_Starke!$A:$E,3,0),"NÃO ESTÁ NA LISTA")</f>
        <v>CITROEN: C4 2.0 16V EW10A 09/...
CITROEN: C4 Grand Picasso 2.0 16V EW10A 08/…
CITROEN: C4 Lounge 2.0 16V EW10A 13/17
CITROEN: C4 Pallas 2.0 16V EW10A 09/...
CITROEN: C4 Picasso 2.0 16V EW10A 08/…
PEUGEOT: 307 / SW 2.0 16V EW10A 09/...
PEUGEOT: 407 2.0 16V EW10A 09/...
PEUGEOT: 408 2.0 16V EW10A 09/...</v>
      </c>
      <c r="P329" s="12" t="str">
        <f aca="false">IFERROR(VLOOKUP($A329,Lista_Starke!$A:$E,2,0),"NÃO ESTÁ NA LISTA")</f>
        <v>RESFRIADOR DE ÓLEO MOTOR</v>
      </c>
    </row>
    <row r="330" customFormat="false" ht="15" hidden="false" customHeight="true" outlineLevel="0" collapsed="false">
      <c r="A330" s="10" t="s">
        <v>787</v>
      </c>
      <c r="B330" s="10" t="str">
        <f aca="false">IFERROR(VLOOKUP(A330,Pedido!$A:$B,2,0),"")</f>
        <v/>
      </c>
      <c r="C330" s="10" t="str">
        <f aca="false">IF(B330="","NÃO COMPRA","COMPRA")</f>
        <v>NÃO COMPRA</v>
      </c>
      <c r="D330" s="1" t="n">
        <f aca="false">IFERROR(VLOOKUP(A330,Pedido!$A:$C,3,0),0)</f>
        <v>0</v>
      </c>
      <c r="E330" s="5" t="n">
        <f aca="false">IFERROR(VLOOKUP(A330,Pedido!$A:$E,5,0),0)</f>
        <v>0</v>
      </c>
      <c r="F330" s="1" t="s">
        <v>8</v>
      </c>
      <c r="G330" s="1" t="s">
        <v>509</v>
      </c>
      <c r="H330" s="1" t="s">
        <v>197</v>
      </c>
      <c r="I330" s="1" t="s">
        <v>77</v>
      </c>
      <c r="K330" s="1" t="n">
        <v>465</v>
      </c>
      <c r="L330" s="11" t="n">
        <v>0.720379446694372</v>
      </c>
      <c r="M330" s="1" t="n">
        <f aca="false">SUMIF(Relatorio_AK!$A:$A,A330,Relatorio_AK!$B:$B)</f>
        <v>465</v>
      </c>
      <c r="N330" s="1" t="str">
        <f aca="false">IF(M330=K330,"OK","DIF")</f>
        <v>OK</v>
      </c>
      <c r="O330" s="13" t="str">
        <f aca="false">IFERROR(VLOOKUP($A330,Lista_Starke!$A:$E,3,0),"NÃO ESTÁ NA LISTA")</f>
        <v>CITROEN: Jumpy 1.6 8V Diesel DV6 16/...
PEUGEOT: Expert 1.6 8V Diesel DV6 16/...</v>
      </c>
      <c r="P330" s="12" t="str">
        <f aca="false">IFERROR(VLOOKUP($A330,Lista_Starke!$A:$E,2,0),"NÃO ESTÁ NA LISTA")</f>
        <v>BOMBA D'ÁGUA</v>
      </c>
    </row>
    <row r="331" customFormat="false" ht="15" hidden="false" customHeight="true" outlineLevel="0" collapsed="false">
      <c r="A331" s="10" t="s">
        <v>788</v>
      </c>
      <c r="B331" s="10" t="str">
        <f aca="false">IFERROR(VLOOKUP(A331,Pedido!$A:$B,2,0),"")</f>
        <v/>
      </c>
      <c r="C331" s="10" t="str">
        <f aca="false">IF(B331="","NÃO COMPRA","COMPRA")</f>
        <v>NÃO COMPRA</v>
      </c>
      <c r="D331" s="1" t="n">
        <f aca="false">IFERROR(VLOOKUP(A331,Pedido!$A:$C,3,0),0)</f>
        <v>0</v>
      </c>
      <c r="E331" s="5" t="n">
        <f aca="false">IFERROR(VLOOKUP(A331,Pedido!$A:$E,5,0),0)</f>
        <v>0</v>
      </c>
      <c r="F331" s="1" t="s">
        <v>8</v>
      </c>
      <c r="G331" s="1" t="s">
        <v>789</v>
      </c>
      <c r="H331" s="1" t="s">
        <v>790</v>
      </c>
      <c r="I331" s="1" t="s">
        <v>510</v>
      </c>
      <c r="K331" s="1" t="n">
        <v>465</v>
      </c>
      <c r="L331" s="11" t="n">
        <v>0.721174376920013</v>
      </c>
      <c r="M331" s="1" t="n">
        <f aca="false">SUMIF(Relatorio_AK!$A:$A,A331,Relatorio_AK!$B:$B)</f>
        <v>465</v>
      </c>
      <c r="N331" s="1" t="str">
        <f aca="false">IF(M331=K331,"OK","DIF")</f>
        <v>OK</v>
      </c>
      <c r="O331" s="13" t="str">
        <f aca="false">IFERROR(VLOOKUP($A331,Lista_Starke!$A:$E,3,0),"NÃO ESTÁ NA LISTA")</f>
        <v>BMW: 116i (F20) 1.6 N13B16A 11/...
BMW: 116i (F21) 1.6 N13B16A 11/...
BMW: 118i (F20) 1.6 N13B16A 10/...
BMW: 118i (F20) 1.6 N13B16A 15/...
BMW: 118i (F21) 1.6 N13B16A 12/...
BMW: 118i (F21) 1.6 N13B16A 15/...
BMW: 120i (F20) 1.6 N13B16A 15/...
BMW: 120i (F21) 1.6 N13B16A 15/...
BMW: 316i (F30/F80) 1.6 N13B16A 12/16
BMW: 320i (F30/F80) 1.6 N13B16A 12/16
CITROEN: C4 / C4 Picasso 1.6 16V / 1.6 16V THP EP6 / EP6DT 09/…
CITROEN: C4 Lounge 1.6 16V THP EP6DT / EP6DTS 13/…
CITROEN: DS3 1.6 16V THP EP6DT / EP6DTS 12/…
CITROEN: DS4 1.6 16V THP EP6DT / EP6DTS 12/…
CITROEN: DS5 1.6 16V THP EP6DT / EP6DTS 12/…
MINI: Cooper 1.6 16V N12B16A / N16B16AM 06/09
MINI: Cooper 1.6 16V N16B16AU 10/…
MINI: Cooper S 1.6 16V Turbo N12B16A / N14B16C 06/…
MINI: Cooper S 1.6 16V Turbo N16B16AM 10/…
MINI: Cooper S 1.6 16V Turbo N18B16AMO 09/…
MINI: Cooper S 1.6 16V W11B16A-163 07/09
MINI: One 1.4 16V N12B14A 07/09
MINI: One 1.6 16V N16B16K / N16B16AU 09/…
MINI: One 1.6 16V N16BAU 10/…
PEUGEOT: 2008 1.6 16V THP EP6DT / EPDDTS 15/…
PEUGEOT: 3008 1.6 16V THP EP6DT / EPDDTS 11/…
PEUGEOT: 308 1.6 16V THP EP6DT / EPDDTS 07/…
PEUGEOT: 408 1.6 16V THP EP6DT / EPDDTS 11/…
PEUGEOT: 508 1.6 16V THP EP6DT / EPDDTS 11/…
PEUGEOT: RCZ 1.6 16V THP EP6DT / EPDDTS 11/…</v>
      </c>
      <c r="P331" s="12" t="str">
        <f aca="false">IFERROR(VLOOKUP($A331,Lista_Starke!$A:$E,2,0),"NÃO ESTÁ NA LISTA")</f>
        <v>BOMBA D'ÁGUA ELÉTRICA</v>
      </c>
    </row>
    <row r="332" customFormat="false" ht="15" hidden="false" customHeight="true" outlineLevel="0" collapsed="false">
      <c r="A332" s="10" t="s">
        <v>791</v>
      </c>
      <c r="B332" s="10" t="str">
        <f aca="false">IFERROR(VLOOKUP(A332,Pedido!$A:$B,2,0),"")</f>
        <v/>
      </c>
      <c r="C332" s="10" t="str">
        <f aca="false">IF(B332="","NÃO COMPRA","COMPRA")</f>
        <v>NÃO COMPRA</v>
      </c>
      <c r="D332" s="1" t="n">
        <f aca="false">IFERROR(VLOOKUP(A332,Pedido!$A:$C,3,0),0)</f>
        <v>0</v>
      </c>
      <c r="E332" s="5" t="n">
        <f aca="false">IFERROR(VLOOKUP(A332,Pedido!$A:$E,5,0),0)</f>
        <v>0</v>
      </c>
      <c r="F332" s="1" t="s">
        <v>8</v>
      </c>
      <c r="G332" s="1" t="s">
        <v>792</v>
      </c>
      <c r="H332" s="1" t="s">
        <v>96</v>
      </c>
      <c r="I332" s="1" t="s">
        <v>172</v>
      </c>
      <c r="K332" s="1" t="n">
        <v>464</v>
      </c>
      <c r="L332" s="11" t="n">
        <v>0.721967597618286</v>
      </c>
      <c r="M332" s="1" t="n">
        <f aca="false">SUMIF(Relatorio_AK!$A:$A,A332,Relatorio_AK!$B:$B)</f>
        <v>464</v>
      </c>
      <c r="N332" s="1" t="str">
        <f aca="false">IF(M332=K332,"OK","DIF")</f>
        <v>OK</v>
      </c>
      <c r="O332" s="13" t="str">
        <f aca="false">IFERROR(VLOOKUP($A332,Lista_Starke!$A:$E,3,0),"NÃO ESTÁ NA LISTA")</f>
        <v>HYUNDAI: HR 2.5 16V CRDi Diesel D4CB 13/...
KIA: Bongo K2500 2.5 16V CRDi Diesel D4CB 13/...
KIA: Sorento 2.5 16V CRDi D4CB 02/08</v>
      </c>
      <c r="P332" s="12" t="str">
        <f aca="false">IFERROR(VLOOKUP($A332,Lista_Starke!$A:$E,2,0),"NÃO ESTÁ NA LISTA")</f>
        <v>BOMBA DE VÁCUO</v>
      </c>
    </row>
    <row r="333" customFormat="false" ht="15" hidden="false" customHeight="true" outlineLevel="0" collapsed="false">
      <c r="A333" s="10" t="s">
        <v>793</v>
      </c>
      <c r="B333" s="10" t="str">
        <f aca="false">IFERROR(VLOOKUP(A333,Pedido!$A:$B,2,0),"")</f>
        <v/>
      </c>
      <c r="C333" s="10" t="str">
        <f aca="false">IF(B333="","NÃO COMPRA","COMPRA")</f>
        <v>NÃO COMPRA</v>
      </c>
      <c r="D333" s="1" t="n">
        <f aca="false">IFERROR(VLOOKUP(A333,Pedido!$A:$C,3,0),0)</f>
        <v>0</v>
      </c>
      <c r="E333" s="5" t="n">
        <f aca="false">IFERROR(VLOOKUP(A333,Pedido!$A:$E,5,0),0)</f>
        <v>0</v>
      </c>
      <c r="F333" s="1" t="s">
        <v>8</v>
      </c>
      <c r="G333" s="1" t="s">
        <v>794</v>
      </c>
      <c r="H333" s="1" t="s">
        <v>88</v>
      </c>
      <c r="I333" s="1" t="s">
        <v>373</v>
      </c>
      <c r="K333" s="1" t="n">
        <v>458</v>
      </c>
      <c r="L333" s="11" t="n">
        <v>0.722750561152358</v>
      </c>
      <c r="M333" s="1" t="n">
        <f aca="false">SUMIF(Relatorio_AK!$A:$A,A333,Relatorio_AK!$B:$B)</f>
        <v>458</v>
      </c>
      <c r="N333" s="1" t="str">
        <f aca="false">IF(M333=K333,"OK","DIF")</f>
        <v>OK</v>
      </c>
      <c r="O333" s="13" t="str">
        <f aca="false">IFERROR(VLOOKUP($A333,Lista_Starke!$A:$E,3,0),"NÃO ESTÁ NA LISTA")</f>
        <v>MERCEDES-BENZ: Classe A 160 1.6 97/…
MERCEDES-BENZ: Classe A 190 1.9 98/…</v>
      </c>
      <c r="P333" s="12" t="str">
        <f aca="false">IFERROR(VLOOKUP($A333,Lista_Starke!$A:$E,2,0),"NÃO ESTÁ NA LISTA")</f>
        <v>CILINDRO DE RODA LE/LD</v>
      </c>
    </row>
    <row r="334" customFormat="false" ht="15" hidden="false" customHeight="true" outlineLevel="0" collapsed="false">
      <c r="A334" s="10" t="s">
        <v>795</v>
      </c>
      <c r="B334" s="10" t="str">
        <f aca="false">IFERROR(VLOOKUP(A334,Pedido!$A:$B,2,0),"")</f>
        <v/>
      </c>
      <c r="C334" s="10" t="str">
        <f aca="false">IF(B334="","NÃO COMPRA","COMPRA")</f>
        <v>NÃO COMPRA</v>
      </c>
      <c r="D334" s="1" t="n">
        <f aca="false">IFERROR(VLOOKUP(A334,Pedido!$A:$C,3,0),0)</f>
        <v>0</v>
      </c>
      <c r="E334" s="5" t="n">
        <f aca="false">IFERROR(VLOOKUP(A334,Pedido!$A:$E,5,0),0)</f>
        <v>0</v>
      </c>
      <c r="F334" s="1" t="s">
        <v>8</v>
      </c>
      <c r="G334" s="1" t="s">
        <v>130</v>
      </c>
      <c r="H334" s="1" t="s">
        <v>131</v>
      </c>
      <c r="I334" s="1" t="s">
        <v>46</v>
      </c>
      <c r="J334" s="1" t="s">
        <v>796</v>
      </c>
      <c r="K334" s="1" t="n">
        <v>458</v>
      </c>
      <c r="L334" s="11" t="n">
        <v>0.72353352468643</v>
      </c>
      <c r="M334" s="1" t="n">
        <f aca="false">SUMIF(Relatorio_AK!$A:$A,A334,Relatorio_AK!$B:$B)</f>
        <v>458</v>
      </c>
      <c r="N334" s="1" t="str">
        <f aca="false">IF(M334=K334,"OK","DIF")</f>
        <v>OK</v>
      </c>
      <c r="O334" s="13" t="str">
        <f aca="false">IFERROR(VLOOKUP($A334,Lista_Starke!$A:$E,3,0),"NÃO ESTÁ NA LISTA")</f>
        <v>FIAT: Grand Siena 1.4 8V 12/...
FIAT: Grand Siena 1.6 16V 12/...
FIAT: Mobi 1.0 8V 16/...
FIAT: Palio 1.0 / 1.4 12/...
FIAT: Palio 1.6 Etorq 12/...</v>
      </c>
      <c r="P334" s="12" t="str">
        <f aca="false">IFERROR(VLOOKUP($A334,Lista_Starke!$A:$E,2,0),"NÃO ESTÁ NA LISTA")</f>
        <v>SAPATA DE FREIO</v>
      </c>
    </row>
    <row r="335" customFormat="false" ht="15" hidden="false" customHeight="true" outlineLevel="0" collapsed="false">
      <c r="A335" s="10" t="s">
        <v>797</v>
      </c>
      <c r="B335" s="10" t="str">
        <f aca="false">IFERROR(VLOOKUP(A335,Pedido!$A:$B,2,0),"")</f>
        <v/>
      </c>
      <c r="C335" s="10" t="str">
        <f aca="false">IF(B335="","NÃO COMPRA","COMPRA")</f>
        <v>NÃO COMPRA</v>
      </c>
      <c r="D335" s="1" t="n">
        <f aca="false">IFERROR(VLOOKUP(A335,Pedido!$A:$C,3,0),0)</f>
        <v>0</v>
      </c>
      <c r="E335" s="5" t="n">
        <f aca="false">IFERROR(VLOOKUP(A335,Pedido!$A:$E,5,0),0)</f>
        <v>0</v>
      </c>
      <c r="F335" s="1" t="s">
        <v>8</v>
      </c>
      <c r="G335" s="1" t="s">
        <v>168</v>
      </c>
      <c r="H335" s="1" t="s">
        <v>131</v>
      </c>
      <c r="I335" s="1" t="s">
        <v>396</v>
      </c>
      <c r="J335" s="1" t="s">
        <v>798</v>
      </c>
      <c r="K335" s="1" t="n">
        <v>458</v>
      </c>
      <c r="L335" s="11" t="n">
        <v>0.724316488220501</v>
      </c>
      <c r="M335" s="1" t="n">
        <f aca="false">SUMIF(Relatorio_AK!$A:$A,A335,Relatorio_AK!$B:$B)</f>
        <v>458</v>
      </c>
      <c r="N335" s="1" t="str">
        <f aca="false">IF(M335=K335,"OK","DIF")</f>
        <v>OK</v>
      </c>
      <c r="O335" s="13" t="str">
        <f aca="false">IFERROR(VLOOKUP($A335,Lista_Starke!$A:$E,3,0),"NÃO ESTÁ NA LISTA")</f>
        <v>GM: Tracker 2.0 16V 06/09
GM: Tracker 2.0 8V 02/04
GM: Tracker 2.0 8V Diesel 01
SUZUKI: Grand Vitara 2.0 16V 98/05
SUZUKI: Grand Vitara 2.5 V6 24V 98/05</v>
      </c>
      <c r="P335" s="12" t="str">
        <f aca="false">IFERROR(VLOOKUP($A335,Lista_Starke!$A:$E,2,0),"NÃO ESTÁ NA LISTA")</f>
        <v>SAPATA DE FREIO</v>
      </c>
    </row>
    <row r="336" customFormat="false" ht="15" hidden="false" customHeight="true" outlineLevel="0" collapsed="false">
      <c r="A336" s="10" t="s">
        <v>799</v>
      </c>
      <c r="B336" s="10" t="str">
        <f aca="false">IFERROR(VLOOKUP(A336,Pedido!$A:$B,2,0),"")</f>
        <v/>
      </c>
      <c r="C336" s="10" t="str">
        <f aca="false">IF(B336="","NÃO COMPRA","COMPRA")</f>
        <v>NÃO COMPRA</v>
      </c>
      <c r="D336" s="1" t="n">
        <f aca="false">IFERROR(VLOOKUP(A336,Pedido!$A:$C,3,0),0)</f>
        <v>0</v>
      </c>
      <c r="E336" s="5" t="n">
        <f aca="false">IFERROR(VLOOKUP(A336,Pedido!$A:$E,5,0),0)</f>
        <v>0</v>
      </c>
      <c r="F336" s="1" t="s">
        <v>8</v>
      </c>
      <c r="G336" s="1" t="s">
        <v>800</v>
      </c>
      <c r="H336" s="1" t="s">
        <v>126</v>
      </c>
      <c r="I336" s="1" t="s">
        <v>42</v>
      </c>
      <c r="J336" s="1" t="s">
        <v>801</v>
      </c>
      <c r="K336" s="1" t="n">
        <v>457</v>
      </c>
      <c r="L336" s="11" t="n">
        <v>0.725097742227206</v>
      </c>
      <c r="M336" s="1" t="n">
        <f aca="false">SUMIF(Relatorio_AK!$A:$A,A336,Relatorio_AK!$B:$B)</f>
        <v>457</v>
      </c>
      <c r="N336" s="1" t="str">
        <f aca="false">IF(M336=K336,"OK","DIF")</f>
        <v>OK</v>
      </c>
      <c r="O336" s="13" t="str">
        <f aca="false">IFERROR(VLOOKUP($A336,Lista_Starke!$A:$E,3,0),"NÃO ESTÁ NA LISTA")</f>
        <v>RENAULT: Captur 1.6 16V SCE 16/...
RENAULT: Duster 1.6 16V SCE 16/...
RENAULT: Duster 2.0 16V F4R830 12/…
RENAULT: Logan 1.6 16V SCE 16/...
RENAULT: Megane Grand Tour 2.0 16V F4R830 07/…
RENAULT: Oroch 1.6 16V SCE 16/...
RENAULT: Oroch 2.0 16V F4R830 15/...
RENAULT: Sandero 1.6 16V SCE 16/...</v>
      </c>
      <c r="P336" s="12" t="str">
        <f aca="false">IFERROR(VLOOKUP($A336,Lista_Starke!$A:$E,2,0),"NÃO ESTÁ NA LISTA")</f>
        <v>RESFRIADOR DE ÓLEO CÂMBIO</v>
      </c>
    </row>
    <row r="337" customFormat="false" ht="15" hidden="false" customHeight="true" outlineLevel="0" collapsed="false">
      <c r="A337" s="10" t="s">
        <v>802</v>
      </c>
      <c r="B337" s="10" t="str">
        <f aca="false">IFERROR(VLOOKUP(A337,Pedido!$A:$B,2,0),"")</f>
        <v/>
      </c>
      <c r="C337" s="10" t="str">
        <f aca="false">IF(B337="","NÃO COMPRA","COMPRA")</f>
        <v>NÃO COMPRA</v>
      </c>
      <c r="D337" s="1" t="n">
        <f aca="false">IFERROR(VLOOKUP(A337,Pedido!$A:$C,3,0),0)</f>
        <v>0</v>
      </c>
      <c r="E337" s="5" t="n">
        <f aca="false">IFERROR(VLOOKUP(A337,Pedido!$A:$E,5,0),0)</f>
        <v>0</v>
      </c>
      <c r="F337" s="1" t="s">
        <v>8</v>
      </c>
      <c r="G337" s="1" t="s">
        <v>542</v>
      </c>
      <c r="H337" s="1" t="s">
        <v>35</v>
      </c>
      <c r="I337" s="1" t="s">
        <v>281</v>
      </c>
      <c r="K337" s="1" t="n">
        <v>456</v>
      </c>
      <c r="L337" s="11" t="n">
        <v>0.725877286706544</v>
      </c>
      <c r="M337" s="1" t="n">
        <f aca="false">SUMIF(Relatorio_AK!$A:$A,A337,Relatorio_AK!$B:$B)</f>
        <v>456</v>
      </c>
      <c r="N337" s="1" t="str">
        <f aca="false">IF(M337=K337,"OK","DIF")</f>
        <v>OK</v>
      </c>
      <c r="O337" s="12" t="str">
        <f aca="false">IFERROR(VLOOKUP($A337,Lista_Starke!$A:$E,3,0),"NÃO ESTÁ NA LISTA")</f>
        <v>CITROEN: C3 1.0 / 1.4 / 1.6 02/...</v>
      </c>
      <c r="P337" s="12" t="str">
        <f aca="false">IFERROR(VLOOKUP($A337,Lista_Starke!$A:$E,2,0),"NÃO ESTÁ NA LISTA")</f>
        <v>CILINDRO MESTRE DE FREIO</v>
      </c>
    </row>
    <row r="338" customFormat="false" ht="15" hidden="false" customHeight="true" outlineLevel="0" collapsed="false">
      <c r="A338" s="10" t="s">
        <v>803</v>
      </c>
      <c r="B338" s="10" t="str">
        <f aca="false">IFERROR(VLOOKUP(A338,Pedido!$A:$B,2,0),"")</f>
        <v/>
      </c>
      <c r="C338" s="10" t="str">
        <f aca="false">IF(B338="","NÃO COMPRA","COMPRA")</f>
        <v>NÃO COMPRA</v>
      </c>
      <c r="D338" s="1" t="n">
        <f aca="false">IFERROR(VLOOKUP(A338,Pedido!$A:$C,3,0),0)</f>
        <v>0</v>
      </c>
      <c r="E338" s="5" t="n">
        <f aca="false">IFERROR(VLOOKUP(A338,Pedido!$A:$E,5,0),0)</f>
        <v>0</v>
      </c>
      <c r="F338" s="1" t="s">
        <v>8</v>
      </c>
      <c r="G338" s="1" t="s">
        <v>273</v>
      </c>
      <c r="H338" s="1" t="s">
        <v>32</v>
      </c>
      <c r="I338" s="1" t="s">
        <v>215</v>
      </c>
      <c r="K338" s="1" t="n">
        <v>454</v>
      </c>
      <c r="L338" s="11" t="n">
        <v>0.726653412131148</v>
      </c>
      <c r="M338" s="1" t="n">
        <f aca="false">SUMIF(Relatorio_AK!$A:$A,A338,Relatorio_AK!$B:$B)</f>
        <v>454</v>
      </c>
      <c r="N338" s="1" t="str">
        <f aca="false">IF(M338=K338,"OK","DIF")</f>
        <v>OK</v>
      </c>
      <c r="O338" s="12" t="str">
        <f aca="false">IFERROR(VLOOKUP($A338,Lista_Starke!$A:$E,3,0),"NÃO ESTÁ NA LISTA")</f>
        <v>NISSAN: Sentra 2.0 16V 07/13</v>
      </c>
      <c r="P338" s="12" t="str">
        <f aca="false">IFERROR(VLOOKUP($A338,Lista_Starke!$A:$E,2,0),"NÃO ESTÁ NA LISTA")</f>
        <v>CILINDRO MESTRE DE EMBREAGEM</v>
      </c>
    </row>
    <row r="339" customFormat="false" ht="15" hidden="false" customHeight="true" outlineLevel="0" collapsed="false">
      <c r="A339" s="10" t="s">
        <v>804</v>
      </c>
      <c r="B339" s="10" t="str">
        <f aca="false">IFERROR(VLOOKUP(A339,Pedido!$A:$B,2,0),"")</f>
        <v/>
      </c>
      <c r="C339" s="10" t="str">
        <f aca="false">IF(B339="","NÃO COMPRA","COMPRA")</f>
        <v>NÃO COMPRA</v>
      </c>
      <c r="D339" s="1" t="n">
        <f aca="false">IFERROR(VLOOKUP(A339,Pedido!$A:$C,3,0),0)</f>
        <v>0</v>
      </c>
      <c r="E339" s="5" t="n">
        <f aca="false">IFERROR(VLOOKUP(A339,Pedido!$A:$E,5,0),0)</f>
        <v>0</v>
      </c>
      <c r="F339" s="1" t="s">
        <v>8</v>
      </c>
      <c r="G339" s="1" t="s">
        <v>214</v>
      </c>
      <c r="H339" s="1" t="s">
        <v>35</v>
      </c>
      <c r="I339" s="1" t="s">
        <v>215</v>
      </c>
      <c r="K339" s="1" t="n">
        <v>453</v>
      </c>
      <c r="L339" s="11" t="n">
        <v>0.727427828028385</v>
      </c>
      <c r="M339" s="1" t="n">
        <f aca="false">SUMIF(Relatorio_AK!$A:$A,A339,Relatorio_AK!$B:$B)</f>
        <v>453</v>
      </c>
      <c r="N339" s="1" t="str">
        <f aca="false">IF(M339=K339,"OK","DIF")</f>
        <v>OK</v>
      </c>
      <c r="O339" s="12" t="str">
        <f aca="false">IFERROR(VLOOKUP($A339,Lista_Starke!$A:$E,3,0),"NÃO ESTÁ NA LISTA")</f>
        <v>NISSAN: Frontier 2.5 16V QR25DR 190HP 13/...</v>
      </c>
      <c r="P339" s="12" t="str">
        <f aca="false">IFERROR(VLOOKUP($A339,Lista_Starke!$A:$E,2,0),"NÃO ESTÁ NA LISTA")</f>
        <v>CILINDRO MESTRE DE FREIO</v>
      </c>
    </row>
    <row r="340" customFormat="false" ht="15" hidden="false" customHeight="true" outlineLevel="0" collapsed="false">
      <c r="A340" s="10" t="s">
        <v>805</v>
      </c>
      <c r="B340" s="10" t="str">
        <f aca="false">IFERROR(VLOOKUP(A340,Pedido!$A:$B,2,0),"")</f>
        <v/>
      </c>
      <c r="C340" s="10" t="str">
        <f aca="false">IF(B340="","NÃO COMPRA","COMPRA")</f>
        <v>NÃO COMPRA</v>
      </c>
      <c r="D340" s="1" t="n">
        <f aca="false">IFERROR(VLOOKUP(A340,Pedido!$A:$C,3,0),0)</f>
        <v>0</v>
      </c>
      <c r="E340" s="5" t="n">
        <f aca="false">IFERROR(VLOOKUP(A340,Pedido!$A:$E,5,0),0)</f>
        <v>0</v>
      </c>
      <c r="F340" s="1" t="s">
        <v>8</v>
      </c>
      <c r="G340" s="1" t="s">
        <v>440</v>
      </c>
      <c r="H340" s="1" t="s">
        <v>131</v>
      </c>
      <c r="I340" s="1" t="s">
        <v>281</v>
      </c>
      <c r="J340" s="1" t="s">
        <v>806</v>
      </c>
      <c r="K340" s="1" t="n">
        <v>453</v>
      </c>
      <c r="L340" s="11" t="n">
        <v>0.728202243925622</v>
      </c>
      <c r="M340" s="1" t="n">
        <f aca="false">SUMIF(Relatorio_AK!$A:$A,A340,Relatorio_AK!$B:$B)</f>
        <v>453</v>
      </c>
      <c r="N340" s="1" t="str">
        <f aca="false">IF(M340=K340,"OK","DIF")</f>
        <v>OK</v>
      </c>
      <c r="O340" s="13" t="str">
        <f aca="false">IFERROR(VLOOKUP($A340,Lista_Starke!$A:$E,3,0),"NÃO ESTÁ NA LISTA")</f>
        <v>CITROEN: C3 1.0 12V 3 cil. 21/...
CITROEN: C3 1.6 16V 21/...</v>
      </c>
      <c r="P340" s="12" t="str">
        <f aca="false">IFERROR(VLOOKUP($A340,Lista_Starke!$A:$E,2,0),"NÃO ESTÁ NA LISTA")</f>
        <v>SAPATA DE FREIO</v>
      </c>
    </row>
    <row r="341" customFormat="false" ht="15" hidden="false" customHeight="true" outlineLevel="0" collapsed="false">
      <c r="A341" s="10" t="s">
        <v>807</v>
      </c>
      <c r="B341" s="10" t="str">
        <f aca="false">IFERROR(VLOOKUP(A341,Pedido!$A:$B,2,0),"")</f>
        <v/>
      </c>
      <c r="C341" s="10" t="str">
        <f aca="false">IF(B341="","NÃO COMPRA","COMPRA")</f>
        <v>NÃO COMPRA</v>
      </c>
      <c r="D341" s="1" t="n">
        <f aca="false">IFERROR(VLOOKUP(A341,Pedido!$A:$C,3,0),0)</f>
        <v>0</v>
      </c>
      <c r="E341" s="5" t="n">
        <f aca="false">IFERROR(VLOOKUP(A341,Pedido!$A:$E,5,0),0)</f>
        <v>0</v>
      </c>
      <c r="F341" s="1" t="s">
        <v>8</v>
      </c>
      <c r="G341" s="1" t="s">
        <v>336</v>
      </c>
      <c r="H341" s="1" t="s">
        <v>88</v>
      </c>
      <c r="I341" s="1" t="s">
        <v>215</v>
      </c>
      <c r="J341" s="1" t="s">
        <v>808</v>
      </c>
      <c r="K341" s="1" t="n">
        <v>451</v>
      </c>
      <c r="L341" s="11" t="n">
        <v>0.728973240768125</v>
      </c>
      <c r="M341" s="1" t="n">
        <f aca="false">SUMIF(Relatorio_AK!$A:$A,A341,Relatorio_AK!$B:$B)</f>
        <v>451</v>
      </c>
      <c r="N341" s="1" t="str">
        <f aca="false">IF(M341=K341,"OK","DIF")</f>
        <v>OK</v>
      </c>
      <c r="O341" s="13" t="str">
        <f aca="false">IFERROR(VLOOKUP($A341,Lista_Starke!$A:$E,3,0),"NÃO ESTÁ NA LISTA")</f>
        <v>NISSAN: March 1.0 12V 3cil 15/...
NISSAN: March 1.0 16V 11/...
NISSAN: March 1.6 16V 11/...
NISSAN: Versa 1.0 12V 3cil c/ ABS 15/18
NISSAN: Versa 1.6 16V c/ ABS 11/...</v>
      </c>
      <c r="P341" s="12" t="str">
        <f aca="false">IFERROR(VLOOKUP($A341,Lista_Starke!$A:$E,2,0),"NÃO ESTÁ NA LISTA")</f>
        <v>CILINDRO DE RODA LE/LD</v>
      </c>
    </row>
    <row r="342" customFormat="false" ht="15" hidden="false" customHeight="true" outlineLevel="0" collapsed="false">
      <c r="A342" s="10" t="s">
        <v>809</v>
      </c>
      <c r="B342" s="10" t="str">
        <f aca="false">IFERROR(VLOOKUP(A342,Pedido!$A:$B,2,0),"")</f>
        <v/>
      </c>
      <c r="C342" s="10" t="str">
        <f aca="false">IF(B342="","NÃO COMPRA","COMPRA")</f>
        <v>NÃO COMPRA</v>
      </c>
      <c r="D342" s="1" t="n">
        <f aca="false">IFERROR(VLOOKUP(A342,Pedido!$A:$C,3,0),0)</f>
        <v>0</v>
      </c>
      <c r="E342" s="5" t="n">
        <f aca="false">IFERROR(VLOOKUP(A342,Pedido!$A:$E,5,0),0)</f>
        <v>0</v>
      </c>
      <c r="F342" s="1" t="s">
        <v>8</v>
      </c>
      <c r="G342" s="1" t="s">
        <v>34</v>
      </c>
      <c r="H342" s="1" t="s">
        <v>35</v>
      </c>
      <c r="I342" s="1" t="s">
        <v>36</v>
      </c>
      <c r="J342" s="1" t="s">
        <v>810</v>
      </c>
      <c r="K342" s="1" t="n">
        <v>450</v>
      </c>
      <c r="L342" s="11" t="n">
        <v>0.729742528083261</v>
      </c>
      <c r="M342" s="1" t="n">
        <f aca="false">SUMIF(Relatorio_AK!$A:$A,A342,Relatorio_AK!$B:$B)</f>
        <v>450</v>
      </c>
      <c r="N342" s="1" t="str">
        <f aca="false">IF(M342=K342,"OK","DIF")</f>
        <v>OK</v>
      </c>
      <c r="O342" s="13" t="str">
        <f aca="false">IFERROR(VLOOKUP($A342,Lista_Starke!$A:$E,3,0),"NÃO ESTÁ NA LISTA")</f>
        <v>VOLKSWAGEN: Jetta 2.0 8V CKJA 10/16
VOLKSWAGEN: Jetta 2.5 20V 5 cil   BTK 05/11
VOLKSWAGEN: Jetta Variant 2.5 20V 5 cil   BTK 07/14
VOLKSWAGEN: New Beetle 2.0 16V TSI 211cv 12/16</v>
      </c>
      <c r="P342" s="12" t="str">
        <f aca="false">IFERROR(VLOOKUP($A342,Lista_Starke!$A:$E,2,0),"NÃO ESTÁ NA LISTA")</f>
        <v>CILINDRO MESTRE DE FREIO</v>
      </c>
    </row>
    <row r="343" customFormat="false" ht="15" hidden="false" customHeight="true" outlineLevel="0" collapsed="false">
      <c r="A343" s="10" t="s">
        <v>811</v>
      </c>
      <c r="B343" s="10" t="str">
        <f aca="false">IFERROR(VLOOKUP(A343,Pedido!$A:$B,2,0),"")</f>
        <v/>
      </c>
      <c r="C343" s="10" t="str">
        <f aca="false">IF(B343="","NÃO COMPRA","COMPRA")</f>
        <v>NÃO COMPRA</v>
      </c>
      <c r="D343" s="1" t="n">
        <f aca="false">IFERROR(VLOOKUP(A343,Pedido!$A:$C,3,0),0)</f>
        <v>0</v>
      </c>
      <c r="E343" s="5" t="n">
        <f aca="false">IFERROR(VLOOKUP(A343,Pedido!$A:$E,5,0),0)</f>
        <v>0</v>
      </c>
      <c r="F343" s="1" t="s">
        <v>8</v>
      </c>
      <c r="G343" s="1" t="s">
        <v>372</v>
      </c>
      <c r="H343" s="1" t="s">
        <v>35</v>
      </c>
      <c r="I343" s="1" t="s">
        <v>373</v>
      </c>
      <c r="J343" s="1" t="s">
        <v>812</v>
      </c>
      <c r="K343" s="1" t="n">
        <v>450</v>
      </c>
      <c r="L343" s="11" t="n">
        <v>0.730511815398397</v>
      </c>
      <c r="M343" s="1" t="n">
        <f aca="false">SUMIF(Relatorio_AK!$A:$A,A343,Relatorio_AK!$B:$B)</f>
        <v>450</v>
      </c>
      <c r="N343" s="1" t="str">
        <f aca="false">IF(M343=K343,"OK","DIF")</f>
        <v>OK</v>
      </c>
      <c r="O343" s="13" t="str">
        <f aca="false">IFERROR(VLOOKUP($A343,Lista_Starke!$A:$E,3,0),"NÃO ESTÁ NA LISTA")</f>
        <v>MERCEDES-BENZ: Sprinter 311 CDI 2.2 16V Diesel OM611 02/11
MERCEDES-BENZ: Sprinter 313 CDI 2.2 16V Diesel OM611 02/11
MERCEDES-BENZ: Sprinter 411 CDI 2.2 16V Diesel OM611 02/11
MERCEDES-BENZ: Sprinter 413 CDI 2.2 16V Diesel OM611 02/11</v>
      </c>
      <c r="P343" s="12" t="str">
        <f aca="false">IFERROR(VLOOKUP($A343,Lista_Starke!$A:$E,2,0),"NÃO ESTÁ NA LISTA")</f>
        <v>CILINDRO MESTRE DE FREIO</v>
      </c>
    </row>
    <row r="344" customFormat="false" ht="15" hidden="false" customHeight="true" outlineLevel="0" collapsed="false">
      <c r="A344" s="10" t="s">
        <v>813</v>
      </c>
      <c r="B344" s="10" t="str">
        <f aca="false">IFERROR(VLOOKUP(A344,Pedido!$A:$B,2,0),"")</f>
        <v/>
      </c>
      <c r="C344" s="10" t="str">
        <f aca="false">IF(B344="","NÃO COMPRA","COMPRA")</f>
        <v>NÃO COMPRA</v>
      </c>
      <c r="D344" s="1" t="n">
        <f aca="false">IFERROR(VLOOKUP(A344,Pedido!$A:$C,3,0),0)</f>
        <v>0</v>
      </c>
      <c r="E344" s="5" t="n">
        <f aca="false">IFERROR(VLOOKUP(A344,Pedido!$A:$E,5,0),0)</f>
        <v>0</v>
      </c>
      <c r="F344" s="1" t="s">
        <v>8</v>
      </c>
      <c r="G344" s="1" t="s">
        <v>509</v>
      </c>
      <c r="H344" s="1" t="s">
        <v>197</v>
      </c>
      <c r="I344" s="1" t="s">
        <v>77</v>
      </c>
      <c r="J344" s="1" t="s">
        <v>814</v>
      </c>
      <c r="K344" s="1" t="n">
        <v>440</v>
      </c>
      <c r="L344" s="11" t="n">
        <v>0.731264007439863</v>
      </c>
      <c r="M344" s="1" t="n">
        <f aca="false">SUMIF(Relatorio_AK!$A:$A,A344,Relatorio_AK!$B:$B)</f>
        <v>440</v>
      </c>
      <c r="N344" s="1" t="str">
        <f aca="false">IF(M344=K344,"OK","DIF")</f>
        <v>OK</v>
      </c>
      <c r="O344" s="13" t="str">
        <f aca="false">IFERROR(VLOOKUP($A344,Lista_Starke!$A:$E,3,0),"NÃO ESTÁ NA LISTA")</f>
        <v>CITROEN: C3 1.4 8V TU1JP / TU3JP 03/…
PEUGEOT: 206 / SW 1.4 8V TU1JP / TU3JP 04/08
PEUGEOT: 207 / SW 1.4 8V TU1JP / TU3JP 04/08
PEUGEOT: Hoggar 1.4 8V TU3JP 10/...</v>
      </c>
      <c r="P344" s="12" t="str">
        <f aca="false">IFERROR(VLOOKUP($A344,Lista_Starke!$A:$E,2,0),"NÃO ESTÁ NA LISTA")</f>
        <v>BOMBA D'ÁGUA</v>
      </c>
    </row>
    <row r="345" customFormat="false" ht="15" hidden="false" customHeight="true" outlineLevel="0" collapsed="false">
      <c r="A345" s="10" t="s">
        <v>815</v>
      </c>
      <c r="B345" s="10" t="str">
        <f aca="false">IFERROR(VLOOKUP(A345,Pedido!$A:$B,2,0),"")</f>
        <v/>
      </c>
      <c r="C345" s="10" t="str">
        <f aca="false">IF(B345="","NÃO COMPRA","COMPRA")</f>
        <v>NÃO COMPRA</v>
      </c>
      <c r="D345" s="1" t="n">
        <f aca="false">IFERROR(VLOOKUP(A345,Pedido!$A:$C,3,0),0)</f>
        <v>0</v>
      </c>
      <c r="E345" s="5" t="n">
        <f aca="false">IFERROR(VLOOKUP(A345,Pedido!$A:$E,5,0),0)</f>
        <v>0</v>
      </c>
      <c r="F345" s="1" t="s">
        <v>8</v>
      </c>
      <c r="G345" s="1" t="s">
        <v>251</v>
      </c>
      <c r="H345" s="1" t="s">
        <v>28</v>
      </c>
      <c r="I345" s="1" t="s">
        <v>46</v>
      </c>
      <c r="J345" s="1" t="s">
        <v>816</v>
      </c>
      <c r="K345" s="1" t="n">
        <v>437</v>
      </c>
      <c r="L345" s="11" t="n">
        <v>0.732011070899228</v>
      </c>
      <c r="M345" s="1" t="n">
        <f aca="false">SUMIF(Relatorio_AK!$A:$A,A345,Relatorio_AK!$B:$B)</f>
        <v>437</v>
      </c>
      <c r="N345" s="1" t="str">
        <f aca="false">IF(M345=K345,"OK","DIF")</f>
        <v>OK</v>
      </c>
      <c r="O345" s="13" t="str">
        <f aca="false">IFERROR(VLOOKUP($A345,Lista_Starke!$A:$E,3,0),"NÃO ESTÁ NA LISTA")</f>
        <v>FIAT: Doblo 1.4 8V EVO 07/20
FIAT: Palio 1.4 8V EVO 12/20
FIAT: Punto 1.4 8V EVO 07/18</v>
      </c>
      <c r="P345" s="12" t="str">
        <f aca="false">IFERROR(VLOOKUP($A345,Lista_Starke!$A:$E,2,0),"NÃO ESTÁ NA LISTA")</f>
        <v>CILINDRO AUXILIAR DE EMBREAGEM</v>
      </c>
    </row>
    <row r="346" customFormat="false" ht="15" hidden="false" customHeight="true" outlineLevel="0" collapsed="false">
      <c r="A346" s="10" t="s">
        <v>817</v>
      </c>
      <c r="B346" s="10" t="str">
        <f aca="false">IFERROR(VLOOKUP(A346,Pedido!$A:$B,2,0),"")</f>
        <v/>
      </c>
      <c r="C346" s="10" t="str">
        <f aca="false">IF(B346="","NÃO COMPRA","COMPRA")</f>
        <v>NÃO COMPRA</v>
      </c>
      <c r="D346" s="1" t="n">
        <f aca="false">IFERROR(VLOOKUP(A346,Pedido!$A:$C,3,0),0)</f>
        <v>0</v>
      </c>
      <c r="E346" s="5" t="n">
        <f aca="false">IFERROR(VLOOKUP(A346,Pedido!$A:$E,5,0),0)</f>
        <v>0</v>
      </c>
      <c r="F346" s="1" t="s">
        <v>8</v>
      </c>
      <c r="G346" s="1" t="s">
        <v>627</v>
      </c>
      <c r="H346" s="1" t="s">
        <v>235</v>
      </c>
      <c r="I346" s="1" t="s">
        <v>97</v>
      </c>
      <c r="J346" s="1" t="s">
        <v>818</v>
      </c>
      <c r="K346" s="1" t="n">
        <v>437</v>
      </c>
      <c r="L346" s="11" t="n">
        <v>0.732758134358594</v>
      </c>
      <c r="M346" s="1" t="n">
        <f aca="false">SUMIF(Relatorio_AK!$A:$A,A346,Relatorio_AK!$B:$B)</f>
        <v>437</v>
      </c>
      <c r="N346" s="1" t="str">
        <f aca="false">IF(M346=K346,"OK","DIF")</f>
        <v>OK</v>
      </c>
      <c r="O346" s="13" t="str">
        <f aca="false">IFERROR(VLOOKUP($A346,Lista_Starke!$A:$E,3,0),"NÃO ESTÁ NA LISTA")</f>
        <v>FIAT: Fastback 1.3 16V Turbo 23/...
FIAT: Pulse 1.3 16V Turbo 22/...
FIAT: Toro 1.3 16V Turbo 21/...
JEEP: Commander 1.3 16V Turbo 22/...
JEEP: Compass 1.3 16V Turbo 21/...
JEEP: Renegade 1.3 16V Turbo 21/...</v>
      </c>
      <c r="P346" s="12" t="str">
        <f aca="false">IFERROR(VLOOKUP($A346,Lista_Starke!$A:$E,2,0),"NÃO ESTÁ NA LISTA")</f>
        <v>RESFRIADRO DE ÓLEO MOTOR</v>
      </c>
    </row>
    <row r="347" customFormat="false" ht="15" hidden="false" customHeight="true" outlineLevel="0" collapsed="false">
      <c r="A347" s="10" t="s">
        <v>819</v>
      </c>
      <c r="B347" s="10" t="str">
        <f aca="false">IFERROR(VLOOKUP(A347,Pedido!$A:$B,2,0),"")</f>
        <v/>
      </c>
      <c r="C347" s="10" t="str">
        <f aca="false">IF(B347="","NÃO COMPRA","COMPRA")</f>
        <v>NÃO COMPRA</v>
      </c>
      <c r="D347" s="1" t="n">
        <f aca="false">IFERROR(VLOOKUP(A347,Pedido!$A:$C,3,0),0)</f>
        <v>0</v>
      </c>
      <c r="E347" s="5" t="n">
        <f aca="false">IFERROR(VLOOKUP(A347,Pedido!$A:$E,5,0),0)</f>
        <v>0</v>
      </c>
      <c r="F347" s="1" t="s">
        <v>8</v>
      </c>
      <c r="G347" s="1" t="s">
        <v>52</v>
      </c>
      <c r="H347" s="1" t="s">
        <v>35</v>
      </c>
      <c r="I347" s="1" t="s">
        <v>53</v>
      </c>
      <c r="K347" s="1" t="n">
        <v>433</v>
      </c>
      <c r="L347" s="11" t="n">
        <v>0.733498359708491</v>
      </c>
      <c r="M347" s="1" t="n">
        <f aca="false">SUMIF(Relatorio_AK!$A:$A,A347,Relatorio_AK!$B:$B)</f>
        <v>433</v>
      </c>
      <c r="N347" s="1" t="str">
        <f aca="false">IF(M347=K347,"OK","DIF")</f>
        <v>OK</v>
      </c>
      <c r="O347" s="13" t="str">
        <f aca="false">IFERROR(VLOOKUP($A347,Lista_Starke!$A:$E,3,0),"NÃO ESTÁ NA LISTA")</f>
        <v>FORD: Focus 1.6 16V Sigma Automático 14/...
FORD: Focus 2.0 16V Duratec Automático 08/...</v>
      </c>
      <c r="P347" s="12" t="str">
        <f aca="false">IFERROR(VLOOKUP($A347,Lista_Starke!$A:$E,2,0),"NÃO ESTÁ NA LISTA")</f>
        <v>CILINDRO MESTRE DE FREIO</v>
      </c>
    </row>
    <row r="348" customFormat="false" ht="15" hidden="false" customHeight="true" outlineLevel="0" collapsed="false">
      <c r="A348" s="10" t="s">
        <v>820</v>
      </c>
      <c r="B348" s="10" t="str">
        <f aca="false">IFERROR(VLOOKUP(A348,Pedido!$A:$B,2,0),"")</f>
        <v/>
      </c>
      <c r="C348" s="10" t="str">
        <f aca="false">IF(B348="","NÃO COMPRA","COMPRA")</f>
        <v>NÃO COMPRA</v>
      </c>
      <c r="D348" s="1" t="n">
        <f aca="false">IFERROR(VLOOKUP(A348,Pedido!$A:$C,3,0),0)</f>
        <v>0</v>
      </c>
      <c r="E348" s="5" t="n">
        <f aca="false">IFERROR(VLOOKUP(A348,Pedido!$A:$E,5,0),0)</f>
        <v>0</v>
      </c>
      <c r="F348" s="1" t="s">
        <v>8</v>
      </c>
      <c r="G348" s="1" t="s">
        <v>821</v>
      </c>
      <c r="H348" s="1" t="s">
        <v>235</v>
      </c>
      <c r="I348" s="1" t="s">
        <v>373</v>
      </c>
      <c r="J348" s="1" t="s">
        <v>822</v>
      </c>
      <c r="K348" s="1" t="n">
        <v>431</v>
      </c>
      <c r="L348" s="11" t="n">
        <v>0.734235166003655</v>
      </c>
      <c r="M348" s="1" t="n">
        <f aca="false">SUMIF(Relatorio_AK!$A:$A,A348,Relatorio_AK!$B:$B)</f>
        <v>431</v>
      </c>
      <c r="N348" s="1" t="str">
        <f aca="false">IF(M348=K348,"OK","DIF")</f>
        <v>OK</v>
      </c>
      <c r="O348" s="12" t="str">
        <f aca="false">IFERROR(VLOOKUP($A348,Lista_Starke!$A:$E,3,0),"NÃO ESTÁ NA LISTA")</f>
        <v>MERCEDES-BENZ: Sprinter 311/313/415/515 2.1/2.2 CDI Eletrônico OM651 13/…</v>
      </c>
      <c r="P348" s="12" t="str">
        <f aca="false">IFERROR(VLOOKUP($A348,Lista_Starke!$A:$E,2,0),"NÃO ESTÁ NA LISTA")</f>
        <v>RESFRIADOR DE ÓLEO MOTOR</v>
      </c>
    </row>
    <row r="349" customFormat="false" ht="15" hidden="false" customHeight="true" outlineLevel="0" collapsed="false">
      <c r="A349" s="10" t="s">
        <v>823</v>
      </c>
      <c r="B349" s="10" t="str">
        <f aca="false">IFERROR(VLOOKUP(A349,Pedido!$A:$B,2,0),"")</f>
        <v/>
      </c>
      <c r="C349" s="10" t="str">
        <f aca="false">IF(B349="","NÃO COMPRA","COMPRA")</f>
        <v>NÃO COMPRA</v>
      </c>
      <c r="D349" s="1" t="n">
        <f aca="false">IFERROR(VLOOKUP(A349,Pedido!$A:$C,3,0),0)</f>
        <v>0</v>
      </c>
      <c r="E349" s="5" t="n">
        <f aca="false">IFERROR(VLOOKUP(A349,Pedido!$A:$E,5,0),0)</f>
        <v>0</v>
      </c>
      <c r="F349" s="1" t="s">
        <v>8</v>
      </c>
      <c r="G349" s="1" t="s">
        <v>193</v>
      </c>
      <c r="H349" s="1" t="s">
        <v>32</v>
      </c>
      <c r="I349" s="1" t="s">
        <v>53</v>
      </c>
      <c r="J349" s="1" t="s">
        <v>824</v>
      </c>
      <c r="K349" s="1" t="n">
        <v>430</v>
      </c>
      <c r="L349" s="11" t="n">
        <v>0.734970262771451</v>
      </c>
      <c r="M349" s="1" t="n">
        <f aca="false">SUMIF(Relatorio_AK!$A:$A,A349,Relatorio_AK!$B:$B)</f>
        <v>430</v>
      </c>
      <c r="N349" s="1" t="str">
        <f aca="false">IF(M349=K349,"OK","DIF")</f>
        <v>OK</v>
      </c>
      <c r="O349" s="13" t="str">
        <f aca="false">IFERROR(VLOOKUP($A349,Lista_Starke!$A:$E,3,0),"NÃO ESTÁ NA LISTA")</f>
        <v>FORD: Courier 1.3 8V Endura / 1.4 16V Zetec / 1.6 8V Zetec Rocam 99/...
FORD: Escort 1.6 8V Zetec Rocam 01/03
FORD: Escort SW 1.6 8V Zetec Rocam 01/03
FORD: Fiesta  01/07
FORD: Fiesta  99/02
FORD: Ka  99/...</v>
      </c>
      <c r="P349" s="12" t="str">
        <f aca="false">IFERROR(VLOOKUP($A349,Lista_Starke!$A:$E,2,0),"NÃO ESTÁ NA LISTA")</f>
        <v>CILINDRO MESTRE DE EMBREAGEM</v>
      </c>
    </row>
    <row r="350" customFormat="false" ht="15" hidden="false" customHeight="true" outlineLevel="0" collapsed="false">
      <c r="A350" s="10" t="s">
        <v>825</v>
      </c>
      <c r="B350" s="10" t="str">
        <f aca="false">IFERROR(VLOOKUP(A350,Pedido!$A:$B,2,0),"")</f>
        <v/>
      </c>
      <c r="C350" s="10" t="str">
        <f aca="false">IF(B350="","NÃO COMPRA","COMPRA")</f>
        <v>NÃO COMPRA</v>
      </c>
      <c r="D350" s="1" t="n">
        <f aca="false">IFERROR(VLOOKUP(A350,Pedido!$A:$C,3,0),0)</f>
        <v>0</v>
      </c>
      <c r="E350" s="5" t="n">
        <f aca="false">IFERROR(VLOOKUP(A350,Pedido!$A:$E,5,0),0)</f>
        <v>0</v>
      </c>
      <c r="F350" s="1" t="s">
        <v>8</v>
      </c>
      <c r="G350" s="1" t="s">
        <v>826</v>
      </c>
      <c r="H350" s="1" t="s">
        <v>197</v>
      </c>
      <c r="I350" s="1" t="s">
        <v>827</v>
      </c>
      <c r="K350" s="1" t="n">
        <v>429</v>
      </c>
      <c r="L350" s="11" t="n">
        <v>0.735703650011881</v>
      </c>
      <c r="M350" s="1" t="n">
        <f aca="false">SUMIF(Relatorio_AK!$A:$A,A350,Relatorio_AK!$B:$B)</f>
        <v>429</v>
      </c>
      <c r="N350" s="1" t="str">
        <f aca="false">IF(M350=K350,"OK","DIF")</f>
        <v>OK</v>
      </c>
      <c r="O350" s="13" t="str">
        <f aca="false">IFERROR(VLOOKUP($A350,Lista_Starke!$A:$E,3,0),"NÃO ESTÁ NA LISTA")</f>
        <v>BMW: 216i (F45/F46) 1.5 3 cil. B38A15A 15/18
BMW: 218i (F45/F46) 1.5 3 cil. B38A15A/B38A15F 15/...
BMW: 220i (F45/F46) 2.0 B48A20A 15/...
BMW: X1 sDrive18i (F48) 1.5 Turbo 3 cil B38A15A 14/17
BMW: X1 sDrive18i (F48) 1.5 Turbo 3 cil B38A15A 17/...
BMW: X1 sDrive20i (F48) 2.0 4 cil B48A20A 14/...
BMW: X1 sDrive25i (F48) 2.0 4 cil B48A20A / B48A20B 14/...
BMW: X2 sDrive18i (F39) 1.5 3 cil. B38A15A/B32S15A/B38A15F 18/23
BMW: X2 sDrive20i (F39) 2.0 B48A20A/B42S20A 17/23
MINI: Cooper 1.5 Turbo 3 cil B38A15A 13/...
MINI: Cooper S 2.0 4 cil B48A20A 14/...
MINI: John Cooper Works 2.0 4 cil B48 A20B 15/...
MINI: One 1.2 3 cil B38A12A 14/17
MINI: One 1.5 Turbo 3 cil B38 A15A 17/...
MINI: One First 1.2 3 cil B38 A12A 14/17
MINI: One First 1.5 Turbo 3 cil B38 A15A 17/...</v>
      </c>
      <c r="P350" s="12" t="str">
        <f aca="false">IFERROR(VLOOKUP($A350,Lista_Starke!$A:$E,2,0),"NÃO ESTÁ NA LISTA")</f>
        <v>BOMBA D'ÁGUA</v>
      </c>
    </row>
    <row r="351" customFormat="false" ht="15" hidden="false" customHeight="true" outlineLevel="0" collapsed="false">
      <c r="A351" s="10" t="s">
        <v>828</v>
      </c>
      <c r="B351" s="10" t="str">
        <f aca="false">IFERROR(VLOOKUP(A351,Pedido!$A:$B,2,0),"")</f>
        <v/>
      </c>
      <c r="C351" s="10" t="str">
        <f aca="false">IF(B351="","NÃO COMPRA","COMPRA")</f>
        <v>NÃO COMPRA</v>
      </c>
      <c r="D351" s="1" t="n">
        <f aca="false">IFERROR(VLOOKUP(A351,Pedido!$A:$C,3,0),0)</f>
        <v>0</v>
      </c>
      <c r="E351" s="5" t="n">
        <f aca="false">IFERROR(VLOOKUP(A351,Pedido!$A:$E,5,0),0)</f>
        <v>0</v>
      </c>
      <c r="F351" s="1" t="s">
        <v>8</v>
      </c>
      <c r="G351" s="1" t="s">
        <v>829</v>
      </c>
      <c r="H351" s="1" t="s">
        <v>28</v>
      </c>
      <c r="I351" s="1" t="s">
        <v>255</v>
      </c>
      <c r="K351" s="1" t="n">
        <v>428</v>
      </c>
      <c r="L351" s="11" t="n">
        <v>0.736435327724944</v>
      </c>
      <c r="M351" s="1" t="n">
        <f aca="false">SUMIF(Relatorio_AK!$A:$A,A351,Relatorio_AK!$B:$B)</f>
        <v>428</v>
      </c>
      <c r="N351" s="1" t="str">
        <f aca="false">IF(M351=K351,"OK","DIF")</f>
        <v>OK</v>
      </c>
      <c r="O351" s="13" t="str">
        <f aca="false">IFERROR(VLOOKUP($A351,Lista_Starke!$A:$E,3,0),"NÃO ESTÁ NA LISTA")</f>
        <v>MITSUBISHI: Triton 3.2 16V Diesel 4M41 DI-D 07/13
MITSUBISHI: Triton 3.5 V6 24V Flex 6G74 10/13
MITSUBISHI: Triton 3.5 V6 24V Gasolina 6G74 07/13</v>
      </c>
      <c r="P351" s="12" t="str">
        <f aca="false">IFERROR(VLOOKUP($A351,Lista_Starke!$A:$E,2,0),"NÃO ESTÁ NA LISTA")</f>
        <v>CILINDRO AUXILIAR DE EMBREAGEM</v>
      </c>
    </row>
    <row r="352" customFormat="false" ht="15" hidden="false" customHeight="true" outlineLevel="0" collapsed="false">
      <c r="A352" s="10" t="s">
        <v>830</v>
      </c>
      <c r="B352" s="10" t="str">
        <f aca="false">IFERROR(VLOOKUP(A352,Pedido!$A:$B,2,0),"")</f>
        <v/>
      </c>
      <c r="C352" s="10" t="str">
        <f aca="false">IF(B352="","NÃO COMPRA","COMPRA")</f>
        <v>NÃO COMPRA</v>
      </c>
      <c r="D352" s="1" t="n">
        <f aca="false">IFERROR(VLOOKUP(A352,Pedido!$A:$C,3,0),0)</f>
        <v>0</v>
      </c>
      <c r="E352" s="5" t="n">
        <f aca="false">IFERROR(VLOOKUP(A352,Pedido!$A:$E,5,0),0)</f>
        <v>0</v>
      </c>
      <c r="F352" s="1" t="s">
        <v>8</v>
      </c>
      <c r="G352" s="1" t="s">
        <v>193</v>
      </c>
      <c r="H352" s="1" t="s">
        <v>32</v>
      </c>
      <c r="I352" s="1" t="s">
        <v>53</v>
      </c>
      <c r="J352" s="1" t="s">
        <v>831</v>
      </c>
      <c r="K352" s="1" t="n">
        <v>427</v>
      </c>
      <c r="L352" s="11" t="n">
        <v>0.737165295910639</v>
      </c>
      <c r="M352" s="1" t="n">
        <f aca="false">SUMIF(Relatorio_AK!$A:$A,A352,Relatorio_AK!$B:$B)</f>
        <v>427</v>
      </c>
      <c r="N352" s="1" t="str">
        <f aca="false">IF(M352=K352,"OK","DIF")</f>
        <v>OK</v>
      </c>
      <c r="O352" s="13" t="str">
        <f aca="false">IFERROR(VLOOKUP($A352,Lista_Starke!$A:$E,3,0),"NÃO ESTÁ NA LISTA")</f>
        <v>FORD: Courier 1.3 8V Endura 96/99
FORD: Courier 1.4 16V Zetec 96/99
FORD: Courier 1.6 8V Zetec Rocam 96/99
FORD: Fiesta 1.0 8V / 1.3 8V Endura 96/99
FORD: Fiesta 1.0 8V / 1.6 8V Zetec Rocam 96/99
FORD: Fiesta 1.4 16V 96/99</v>
      </c>
      <c r="P352" s="12" t="str">
        <f aca="false">IFERROR(VLOOKUP($A352,Lista_Starke!$A:$E,2,0),"NÃO ESTÁ NA LISTA")</f>
        <v>CILINDRO MESTRE DE EMBREAGEM</v>
      </c>
    </row>
    <row r="353" customFormat="false" ht="15" hidden="false" customHeight="true" outlineLevel="0" collapsed="false">
      <c r="A353" s="10" t="s">
        <v>832</v>
      </c>
      <c r="B353" s="10" t="str">
        <f aca="false">IFERROR(VLOOKUP(A353,Pedido!$A:$B,2,0),"")</f>
        <v/>
      </c>
      <c r="C353" s="10" t="str">
        <f aca="false">IF(B353="","NÃO COMPRA","COMPRA")</f>
        <v>NÃO COMPRA</v>
      </c>
      <c r="D353" s="1" t="n">
        <f aca="false">IFERROR(VLOOKUP(A353,Pedido!$A:$C,3,0),0)</f>
        <v>0</v>
      </c>
      <c r="E353" s="5" t="n">
        <f aca="false">IFERROR(VLOOKUP(A353,Pedido!$A:$E,5,0),0)</f>
        <v>0</v>
      </c>
      <c r="F353" s="1" t="s">
        <v>8</v>
      </c>
      <c r="G353" s="1" t="s">
        <v>34</v>
      </c>
      <c r="H353" s="1" t="s">
        <v>35</v>
      </c>
      <c r="I353" s="1" t="s">
        <v>226</v>
      </c>
      <c r="K353" s="1" t="n">
        <v>426</v>
      </c>
      <c r="L353" s="11" t="n">
        <v>0.737893554568968</v>
      </c>
      <c r="M353" s="1" t="n">
        <f aca="false">SUMIF(Relatorio_AK!$A:$A,A353,Relatorio_AK!$B:$B)</f>
        <v>426</v>
      </c>
      <c r="N353" s="1" t="str">
        <f aca="false">IF(M353=K353,"OK","DIF")</f>
        <v>OK</v>
      </c>
      <c r="O353" s="13" t="str">
        <f aca="false">IFERROR(VLOOKUP($A353,Lista_Starke!$A:$E,3,0),"NÃO ESTÁ NA LISTA")</f>
        <v>AUDI: A3 1.4 TFSI CZCC 16/20
AUDI: A3 1.8 TSFI QUATTRO CJSB 12/16
AUDI: A3 2.0 TFSI CZPB 16/17
VOLKSWAGEN: Polo 1.0 12V TSI EA211 17/...
VOLKSWAGEN: T-Cross 1.0 12V TSI 19/...
VOLKSWAGEN: T-Cross 1.4 16V TSI 19/...
VOLKSWAGEN: Virtus 1.0 12V TSI EA211 17/...
VOLKSWAGEN: Virtus 1.4 16V TSI EA211 23/...
VOLKSWAGEN: Virtus GTS 1.4 16V TSI EA211 20/22</v>
      </c>
      <c r="P353" s="12" t="str">
        <f aca="false">IFERROR(VLOOKUP($A353,Lista_Starke!$A:$E,2,0),"NÃO ESTÁ NA LISTA")</f>
        <v>CILINDRO MESTRE DE FREIO</v>
      </c>
    </row>
    <row r="354" customFormat="false" ht="15" hidden="false" customHeight="true" outlineLevel="0" collapsed="false">
      <c r="A354" s="10" t="s">
        <v>833</v>
      </c>
      <c r="B354" s="10" t="str">
        <f aca="false">IFERROR(VLOOKUP(A354,Pedido!$A:$B,2,0),"")</f>
        <v/>
      </c>
      <c r="C354" s="10" t="str">
        <f aca="false">IF(B354="","NÃO COMPRA","COMPRA")</f>
        <v>NÃO COMPRA</v>
      </c>
      <c r="D354" s="1" t="n">
        <f aca="false">IFERROR(VLOOKUP(A354,Pedido!$A:$C,3,0),0)</f>
        <v>0</v>
      </c>
      <c r="E354" s="5" t="n">
        <f aca="false">IFERROR(VLOOKUP(A354,Pedido!$A:$E,5,0),0)</f>
        <v>0</v>
      </c>
      <c r="F354" s="1" t="s">
        <v>8</v>
      </c>
      <c r="G354" s="1" t="s">
        <v>130</v>
      </c>
      <c r="H354" s="1" t="s">
        <v>131</v>
      </c>
      <c r="I354" s="1" t="s">
        <v>46</v>
      </c>
      <c r="J354" s="1" t="s">
        <v>834</v>
      </c>
      <c r="K354" s="1" t="n">
        <v>421</v>
      </c>
      <c r="L354" s="11" t="n">
        <v>0.738613265590462</v>
      </c>
      <c r="M354" s="1" t="n">
        <f aca="false">SUMIF(Relatorio_AK!$A:$A,A354,Relatorio_AK!$B:$B)</f>
        <v>421</v>
      </c>
      <c r="N354" s="1" t="str">
        <f aca="false">IF(M354=K354,"OK","DIF")</f>
        <v>OK</v>
      </c>
      <c r="O354" s="13" t="str">
        <f aca="false">IFERROR(VLOOKUP($A354,Lista_Starke!$A:$E,3,0),"NÃO ESTÁ NA LISTA")</f>
        <v>FIAT: Toro 2.0 16V Diesel 4x2 16/...
FIAT: Toro 2.0 16V Diesel 4x4 16/...</v>
      </c>
      <c r="P354" s="12" t="str">
        <f aca="false">IFERROR(VLOOKUP($A354,Lista_Starke!$A:$E,2,0),"NÃO ESTÁ NA LISTA")</f>
        <v>SAPATA DE FREIO</v>
      </c>
    </row>
    <row r="355" customFormat="false" ht="15" hidden="false" customHeight="true" outlineLevel="0" collapsed="false">
      <c r="A355" s="10" t="s">
        <v>835</v>
      </c>
      <c r="B355" s="10" t="str">
        <f aca="false">IFERROR(VLOOKUP(A355,Pedido!$A:$B,2,0),"")</f>
        <v/>
      </c>
      <c r="C355" s="10" t="str">
        <f aca="false">IF(B355="","NÃO COMPRA","COMPRA")</f>
        <v>NÃO COMPRA</v>
      </c>
      <c r="D355" s="1" t="n">
        <f aca="false">IFERROR(VLOOKUP(A355,Pedido!$A:$C,3,0),0)</f>
        <v>0</v>
      </c>
      <c r="E355" s="5" t="n">
        <f aca="false">IFERROR(VLOOKUP(A355,Pedido!$A:$E,5,0),0)</f>
        <v>0</v>
      </c>
      <c r="F355" s="1" t="s">
        <v>8</v>
      </c>
      <c r="G355" s="1" t="s">
        <v>240</v>
      </c>
      <c r="H355" s="1" t="s">
        <v>157</v>
      </c>
      <c r="I355" s="1" t="s">
        <v>57</v>
      </c>
      <c r="J355" s="1" t="s">
        <v>836</v>
      </c>
      <c r="K355" s="1" t="n">
        <v>421</v>
      </c>
      <c r="L355" s="11" t="n">
        <v>0.739332976611956</v>
      </c>
      <c r="M355" s="1" t="n">
        <f aca="false">SUMIF(Relatorio_AK!$A:$A,A355,Relatorio_AK!$B:$B)</f>
        <v>421</v>
      </c>
      <c r="N355" s="1" t="str">
        <f aca="false">IF(M355=K355,"OK","DIF")</f>
        <v>OK</v>
      </c>
      <c r="O355" s="13" t="str">
        <f aca="false">IFERROR(VLOOKUP($A355,Lista_Starke!$A:$E,3,0),"NÃO ESTÁ NA LISTA")</f>
        <v>GM: Cobalt 1.8 8V 11/...
GM: Spin 1.8 8V 11/...</v>
      </c>
      <c r="P355" s="12" t="str">
        <f aca="false">IFERROR(VLOOKUP($A355,Lista_Starke!$A:$E,2,0),"NÃO ESTÁ NA LISTA")</f>
        <v>ATUADOR DE EMBREAGEM</v>
      </c>
    </row>
    <row r="356" customFormat="false" ht="15" hidden="false" customHeight="true" outlineLevel="0" collapsed="false">
      <c r="A356" s="10" t="s">
        <v>837</v>
      </c>
      <c r="B356" s="10" t="str">
        <f aca="false">IFERROR(VLOOKUP(A356,Pedido!$A:$B,2,0),"")</f>
        <v>SCC 2078</v>
      </c>
      <c r="C356" s="10" t="str">
        <f aca="false">IF(B356="","NÃO COMPRA","COMPRA")</f>
        <v>COMPRA</v>
      </c>
      <c r="D356" s="1" t="n">
        <f aca="false">IFERROR(VLOOKUP(A356,Pedido!$A:$C,3,0),0)</f>
        <v>4</v>
      </c>
      <c r="E356" s="5" t="n">
        <f aca="false">IFERROR(VLOOKUP(A356,Pedido!$A:$E,5,0),0)</f>
        <v>383.2</v>
      </c>
      <c r="F356" s="1" t="s">
        <v>8</v>
      </c>
      <c r="G356" s="1" t="s">
        <v>273</v>
      </c>
      <c r="H356" s="1" t="s">
        <v>32</v>
      </c>
      <c r="I356" s="1" t="s">
        <v>215</v>
      </c>
      <c r="K356" s="1" t="n">
        <v>420</v>
      </c>
      <c r="L356" s="11" t="n">
        <v>0.740050978106083</v>
      </c>
      <c r="M356" s="1" t="n">
        <f aca="false">SUMIF(Relatorio_AK!$A:$A,A356,Relatorio_AK!$B:$B)</f>
        <v>420</v>
      </c>
      <c r="N356" s="1" t="str">
        <f aca="false">IF(M356=K356,"OK","DIF")</f>
        <v>OK</v>
      </c>
      <c r="O356" s="12" t="str">
        <f aca="false">IFERROR(VLOOKUP($A356,Lista_Starke!$A:$E,3,0),"NÃO ESTÁ NA LISTA")</f>
        <v>NISSAN: Frontier 2.5 16V QR25DR 13/...</v>
      </c>
      <c r="P356" s="12" t="str">
        <f aca="false">IFERROR(VLOOKUP($A356,Lista_Starke!$A:$E,2,0),"NÃO ESTÁ NA LISTA")</f>
        <v>CILINDRO MESTRE DE EMBREAGEM</v>
      </c>
    </row>
    <row r="357" customFormat="false" ht="15" hidden="false" customHeight="true" outlineLevel="0" collapsed="false">
      <c r="A357" s="10" t="s">
        <v>838</v>
      </c>
      <c r="B357" s="10" t="str">
        <f aca="false">IFERROR(VLOOKUP(A357,Pedido!$A:$B,2,0),"")</f>
        <v/>
      </c>
      <c r="C357" s="10" t="str">
        <f aca="false">IF(B357="","NÃO COMPRA","COMPRA")</f>
        <v>NÃO COMPRA</v>
      </c>
      <c r="D357" s="1" t="n">
        <f aca="false">IFERROR(VLOOKUP(A357,Pedido!$A:$C,3,0),0)</f>
        <v>0</v>
      </c>
      <c r="E357" s="5" t="n">
        <f aca="false">IFERROR(VLOOKUP(A357,Pedido!$A:$E,5,0),0)</f>
        <v>0</v>
      </c>
      <c r="F357" s="1" t="s">
        <v>8</v>
      </c>
      <c r="G357" s="1" t="s">
        <v>839</v>
      </c>
      <c r="H357" s="1" t="s">
        <v>157</v>
      </c>
      <c r="I357" s="1" t="s">
        <v>36</v>
      </c>
      <c r="K357" s="1" t="n">
        <v>419</v>
      </c>
      <c r="L357" s="11" t="n">
        <v>0.740767270072843</v>
      </c>
      <c r="M357" s="1" t="n">
        <f aca="false">SUMIF(Relatorio_AK!$A:$A,A357,Relatorio_AK!$B:$B)</f>
        <v>419</v>
      </c>
      <c r="N357" s="1" t="str">
        <f aca="false">IF(M357=K357,"OK","DIF")</f>
        <v>OK</v>
      </c>
      <c r="O357" s="12" t="str">
        <f aca="false">IFERROR(VLOOKUP($A357,Lista_Starke!$A:$E,3,0),"NÃO ESTÁ NA LISTA")</f>
        <v>VOLKSWAGEN: Amarok 2.0 16V TDI   CDBA / CNFA 10/…</v>
      </c>
      <c r="P357" s="12" t="str">
        <f aca="false">IFERROR(VLOOKUP($A357,Lista_Starke!$A:$E,2,0),"NÃO ESTÁ NA LISTA")</f>
        <v>ATUADOR DE EMBREAGEM</v>
      </c>
    </row>
    <row r="358" customFormat="false" ht="15" hidden="false" customHeight="true" outlineLevel="0" collapsed="false">
      <c r="A358" s="10" t="s">
        <v>840</v>
      </c>
      <c r="B358" s="10" t="str">
        <f aca="false">IFERROR(VLOOKUP(A358,Pedido!$A:$B,2,0),"")</f>
        <v/>
      </c>
      <c r="C358" s="10" t="str">
        <f aca="false">IF(B358="","NÃO COMPRA","COMPRA")</f>
        <v>NÃO COMPRA</v>
      </c>
      <c r="D358" s="1" t="n">
        <f aca="false">IFERROR(VLOOKUP(A358,Pedido!$A:$C,3,0),0)</f>
        <v>0</v>
      </c>
      <c r="E358" s="5" t="n">
        <f aca="false">IFERROR(VLOOKUP(A358,Pedido!$A:$E,5,0),0)</f>
        <v>0</v>
      </c>
      <c r="F358" s="1" t="s">
        <v>8</v>
      </c>
      <c r="G358" s="1" t="s">
        <v>841</v>
      </c>
      <c r="H358" s="1" t="s">
        <v>197</v>
      </c>
      <c r="I358" s="1" t="s">
        <v>50</v>
      </c>
      <c r="J358" s="1" t="s">
        <v>842</v>
      </c>
      <c r="K358" s="1" t="n">
        <v>418</v>
      </c>
      <c r="L358" s="11" t="n">
        <v>0.741481852512236</v>
      </c>
      <c r="M358" s="1" t="n">
        <f aca="false">SUMIF(Relatorio_AK!$A:$A,A358,Relatorio_AK!$B:$B)</f>
        <v>418</v>
      </c>
      <c r="N358" s="1" t="str">
        <f aca="false">IF(M358=K358,"OK","DIF")</f>
        <v>OK</v>
      </c>
      <c r="O358" s="13" t="str">
        <f aca="false">IFERROR(VLOOKUP($A358,Lista_Starke!$A:$E,3,0),"NÃO ESTÁ NA LISTA")</f>
        <v>HONDA: HRV 1.8 16V Flex 15/…
HONDA: New Civic 1.8 16V 06/…</v>
      </c>
      <c r="P358" s="12" t="str">
        <f aca="false">IFERROR(VLOOKUP($A358,Lista_Starke!$A:$E,2,0),"NÃO ESTÁ NA LISTA")</f>
        <v>BOMBA D'ÁGUA</v>
      </c>
    </row>
    <row r="359" customFormat="false" ht="15" hidden="false" customHeight="true" outlineLevel="0" collapsed="false">
      <c r="A359" s="10" t="s">
        <v>843</v>
      </c>
      <c r="B359" s="10" t="str">
        <f aca="false">IFERROR(VLOOKUP(A359,Pedido!$A:$B,2,0),"")</f>
        <v/>
      </c>
      <c r="C359" s="10" t="str">
        <f aca="false">IF(B359="","NÃO COMPRA","COMPRA")</f>
        <v>NÃO COMPRA</v>
      </c>
      <c r="D359" s="1" t="n">
        <f aca="false">IFERROR(VLOOKUP(A359,Pedido!$A:$C,3,0),0)</f>
        <v>0</v>
      </c>
      <c r="E359" s="5" t="n">
        <f aca="false">IFERROR(VLOOKUP(A359,Pedido!$A:$E,5,0),0)</f>
        <v>0</v>
      </c>
      <c r="F359" s="1" t="s">
        <v>8</v>
      </c>
      <c r="G359" s="1" t="s">
        <v>789</v>
      </c>
      <c r="H359" s="1" t="s">
        <v>197</v>
      </c>
      <c r="I359" s="1" t="s">
        <v>77</v>
      </c>
      <c r="K359" s="1" t="n">
        <v>418</v>
      </c>
      <c r="L359" s="11" t="n">
        <v>0.742196434951629</v>
      </c>
      <c r="M359" s="1" t="n">
        <f aca="false">SUMIF(Relatorio_AK!$A:$A,A359,Relatorio_AK!$B:$B)</f>
        <v>418</v>
      </c>
      <c r="N359" s="1" t="str">
        <f aca="false">IF(M359=K359,"OK","DIF")</f>
        <v>OK</v>
      </c>
      <c r="O359" s="13" t="str">
        <f aca="false">IFERROR(VLOOKUP($A359,Lista_Starke!$A:$E,3,0),"NÃO ESTÁ NA LISTA")</f>
        <v>CITROEN: Aircross 1.2 3 cil EB2F/EB2FA 17/...
CITROEN: C3 1.2 3 cil EB2F/EB2FB/EBFAD 16/...
CITROEN: C4 Cactus 1.2 3 cil EB2D/EB2FD 17/...
PEUGEOT: 2008 1.2 3 cil EB2/EB2F/EB2FA 18/...
PEUGEOT: 208 1.2 3 cil EB2FAD 18/...</v>
      </c>
      <c r="P359" s="12" t="str">
        <f aca="false">IFERROR(VLOOKUP($A359,Lista_Starke!$A:$E,2,0),"NÃO ESTÁ NA LISTA")</f>
        <v>BOMBA D'ÁGUA</v>
      </c>
    </row>
    <row r="360" customFormat="false" ht="15" hidden="false" customHeight="true" outlineLevel="0" collapsed="false">
      <c r="A360" s="10" t="s">
        <v>844</v>
      </c>
      <c r="B360" s="10" t="str">
        <f aca="false">IFERROR(VLOOKUP(A360,Pedido!$A:$B,2,0),"")</f>
        <v/>
      </c>
      <c r="C360" s="10" t="str">
        <f aca="false">IF(B360="","NÃO COMPRA","COMPRA")</f>
        <v>NÃO COMPRA</v>
      </c>
      <c r="D360" s="1" t="n">
        <f aca="false">IFERROR(VLOOKUP(A360,Pedido!$A:$C,3,0),0)</f>
        <v>0</v>
      </c>
      <c r="E360" s="5" t="n">
        <f aca="false">IFERROR(VLOOKUP(A360,Pedido!$A:$E,5,0),0)</f>
        <v>0</v>
      </c>
      <c r="F360" s="1" t="s">
        <v>8</v>
      </c>
      <c r="G360" s="1" t="s">
        <v>640</v>
      </c>
      <c r="H360" s="1" t="s">
        <v>845</v>
      </c>
      <c r="I360" s="1" t="s">
        <v>177</v>
      </c>
      <c r="J360" s="1" t="s">
        <v>846</v>
      </c>
      <c r="K360" s="1" t="n">
        <v>417</v>
      </c>
      <c r="L360" s="11" t="n">
        <v>0.742909307863655</v>
      </c>
      <c r="M360" s="1" t="n">
        <f aca="false">SUMIF(Relatorio_AK!$A:$A,A360,Relatorio_AK!$B:$B)</f>
        <v>417</v>
      </c>
      <c r="N360" s="1" t="str">
        <f aca="false">IF(M360=K360,"OK","DIF")</f>
        <v>OK</v>
      </c>
      <c r="O360" s="13" t="str">
        <f aca="false">IFERROR(VLOOKUP($A360,Lista_Starke!$A:$E,3,0),"NÃO ESTÁ NA LISTA")</f>
        <v>TOYOTA: Hilux 2.7 16V Flex 16/...
TOYOTA: Hilux 2.8 16V Turbo Diesel 16/...
TOYOTA: SW4 2.8 16V Turbo Diesel 16/...</v>
      </c>
      <c r="P360" s="12" t="str">
        <f aca="false">IFERROR(VLOOKUP($A360,Lista_Starke!$A:$E,2,0),"NÃO ESTÁ NA LISTA")</f>
        <v>SAPATA DE FREIO DE MÃO</v>
      </c>
    </row>
    <row r="361" customFormat="false" ht="15" hidden="false" customHeight="true" outlineLevel="0" collapsed="false">
      <c r="A361" s="10" t="s">
        <v>847</v>
      </c>
      <c r="B361" s="10" t="str">
        <f aca="false">IFERROR(VLOOKUP(A361,Pedido!$A:$B,2,0),"")</f>
        <v/>
      </c>
      <c r="C361" s="10" t="str">
        <f aca="false">IF(B361="","NÃO COMPRA","COMPRA")</f>
        <v>NÃO COMPRA</v>
      </c>
      <c r="D361" s="1" t="n">
        <f aca="false">IFERROR(VLOOKUP(A361,Pedido!$A:$C,3,0),0)</f>
        <v>0</v>
      </c>
      <c r="E361" s="5" t="n">
        <f aca="false">IFERROR(VLOOKUP(A361,Pedido!$A:$E,5,0),0)</f>
        <v>0</v>
      </c>
      <c r="F361" s="1" t="s">
        <v>8</v>
      </c>
      <c r="G361" s="1" t="s">
        <v>65</v>
      </c>
      <c r="H361" s="1" t="s">
        <v>35</v>
      </c>
      <c r="I361" s="1" t="s">
        <v>46</v>
      </c>
      <c r="J361" s="1" t="s">
        <v>848</v>
      </c>
      <c r="K361" s="1" t="n">
        <v>415</v>
      </c>
      <c r="L361" s="11" t="n">
        <v>0.743618761720947</v>
      </c>
      <c r="M361" s="1" t="n">
        <f aca="false">SUMIF(Relatorio_AK!$A:$A,A361,Relatorio_AK!$B:$B)</f>
        <v>415</v>
      </c>
      <c r="N361" s="1" t="str">
        <f aca="false">IF(M361=K361,"OK","DIF")</f>
        <v>OK</v>
      </c>
      <c r="O361" s="13" t="str">
        <f aca="false">IFERROR(VLOOKUP($A361,Lista_Starke!$A:$E,3,0),"NÃO ESTÁ NA LISTA")</f>
        <v>FIAT: Linea 1.8 16V Etorq 10/16
FIAT: Linea 1.9 16V 08/10
FIAT: Punto 1.4 8V 07/10
FIAT: Punto 1.6 16V Etorq 10/12
FIAT: Punto 1.8 16V Etorq 10/12
FIAT: Punto 1.8 8V Powertrain 07/10</v>
      </c>
      <c r="P361" s="12" t="str">
        <f aca="false">IFERROR(VLOOKUP($A361,Lista_Starke!$A:$E,2,0),"NÃO ESTÁ NA LISTA")</f>
        <v>CILINDRO MESTRE DE FREIO</v>
      </c>
    </row>
    <row r="362" customFormat="false" ht="15" hidden="false" customHeight="true" outlineLevel="0" collapsed="false">
      <c r="A362" s="10" t="s">
        <v>849</v>
      </c>
      <c r="B362" s="10" t="str">
        <f aca="false">IFERROR(VLOOKUP(A362,Pedido!$A:$B,2,0),"")</f>
        <v/>
      </c>
      <c r="C362" s="10" t="str">
        <f aca="false">IF(B362="","NÃO COMPRA","COMPRA")</f>
        <v>NÃO COMPRA</v>
      </c>
      <c r="D362" s="1" t="n">
        <f aca="false">IFERROR(VLOOKUP(A362,Pedido!$A:$C,3,0),0)</f>
        <v>0</v>
      </c>
      <c r="E362" s="5" t="n">
        <f aca="false">IFERROR(VLOOKUP(A362,Pedido!$A:$E,5,0),0)</f>
        <v>0</v>
      </c>
      <c r="F362" s="1" t="s">
        <v>8</v>
      </c>
      <c r="G362" s="1" t="s">
        <v>542</v>
      </c>
      <c r="H362" s="1" t="s">
        <v>35</v>
      </c>
      <c r="I362" s="1" t="s">
        <v>77</v>
      </c>
      <c r="K362" s="1" t="n">
        <v>414</v>
      </c>
      <c r="L362" s="11" t="n">
        <v>0.744326506050872</v>
      </c>
      <c r="M362" s="1" t="n">
        <f aca="false">SUMIF(Relatorio_AK!$A:$A,A362,Relatorio_AK!$B:$B)</f>
        <v>414</v>
      </c>
      <c r="N362" s="1" t="str">
        <f aca="false">IF(M362=K362,"OK","DIF")</f>
        <v>OK</v>
      </c>
      <c r="O362" s="13" t="str">
        <f aca="false">IFERROR(VLOOKUP($A362,Lista_Starke!$A:$E,3,0),"NÃO ESTÁ NA LISTA")</f>
        <v>CITROEN: Picasso 1.8 16V / 2.0 16V 97/...
CITROEN: Xsara 1.8 16V / 2.0 16V 97/...
PEUGEOT: 306  97/09
PEUGEOT: Partner  96/08</v>
      </c>
      <c r="P362" s="12" t="str">
        <f aca="false">IFERROR(VLOOKUP($A362,Lista_Starke!$A:$E,2,0),"NÃO ESTÁ NA LISTA")</f>
        <v>CILINDRO MESTRE DE FREIO</v>
      </c>
    </row>
    <row r="363" customFormat="false" ht="15" hidden="false" customHeight="true" outlineLevel="0" collapsed="false">
      <c r="A363" s="10" t="s">
        <v>850</v>
      </c>
      <c r="B363" s="10" t="str">
        <f aca="false">IFERROR(VLOOKUP(A363,Pedido!$A:$B,2,0),"")</f>
        <v/>
      </c>
      <c r="C363" s="10" t="str">
        <f aca="false">IF(B363="","NÃO COMPRA","COMPRA")</f>
        <v>NÃO COMPRA</v>
      </c>
      <c r="D363" s="1" t="n">
        <f aca="false">IFERROR(VLOOKUP(A363,Pedido!$A:$C,3,0),0)</f>
        <v>0</v>
      </c>
      <c r="E363" s="5" t="n">
        <f aca="false">IFERROR(VLOOKUP(A363,Pedido!$A:$E,5,0),0)</f>
        <v>0</v>
      </c>
      <c r="F363" s="1" t="s">
        <v>8</v>
      </c>
      <c r="G363" s="1" t="s">
        <v>851</v>
      </c>
      <c r="H363" s="1" t="s">
        <v>32</v>
      </c>
      <c r="I363" s="1" t="s">
        <v>226</v>
      </c>
      <c r="J363" s="1" t="s">
        <v>852</v>
      </c>
      <c r="K363" s="1" t="n">
        <v>411</v>
      </c>
      <c r="L363" s="11" t="n">
        <v>0.745029121798696</v>
      </c>
      <c r="M363" s="1" t="n">
        <f aca="false">SUMIF(Relatorio_AK!$A:$A,A363,Relatorio_AK!$B:$B)</f>
        <v>411</v>
      </c>
      <c r="N363" s="1" t="str">
        <f aca="false">IF(M363=K363,"OK","DIF")</f>
        <v>OK</v>
      </c>
      <c r="O363" s="13" t="str">
        <f aca="false">IFERROR(VLOOKUP($A363,Lista_Starke!$A:$E,3,0),"NÃO ESTÁ NA LISTA")</f>
        <v>AUDI: A3 1.6 / 1.8 / 1.8T 96/...
VOLKSWAGEN: Golf 1.6 8V / 1.8 20V Turbo 98/...</v>
      </c>
      <c r="P363" s="12" t="str">
        <f aca="false">IFERROR(VLOOKUP($A363,Lista_Starke!$A:$E,2,0),"NÃO ESTÁ NA LISTA")</f>
        <v>CILINDRO MESTRE DE EMBREAGEM</v>
      </c>
    </row>
    <row r="364" customFormat="false" ht="15" hidden="false" customHeight="true" outlineLevel="0" collapsed="false">
      <c r="A364" s="10" t="s">
        <v>853</v>
      </c>
      <c r="B364" s="10" t="str">
        <f aca="false">IFERROR(VLOOKUP(A364,Pedido!$A:$B,2,0),"")</f>
        <v/>
      </c>
      <c r="C364" s="10" t="str">
        <f aca="false">IF(B364="","NÃO COMPRA","COMPRA")</f>
        <v>NÃO COMPRA</v>
      </c>
      <c r="D364" s="1" t="n">
        <f aca="false">IFERROR(VLOOKUP(A364,Pedido!$A:$C,3,0),0)</f>
        <v>0</v>
      </c>
      <c r="E364" s="5" t="n">
        <f aca="false">IFERROR(VLOOKUP(A364,Pedido!$A:$E,5,0),0)</f>
        <v>0</v>
      </c>
      <c r="F364" s="1" t="s">
        <v>8</v>
      </c>
      <c r="G364" s="1" t="s">
        <v>176</v>
      </c>
      <c r="H364" s="1" t="s">
        <v>35</v>
      </c>
      <c r="I364" s="1" t="s">
        <v>177</v>
      </c>
      <c r="K364" s="1" t="n">
        <v>410</v>
      </c>
      <c r="L364" s="11" t="n">
        <v>0.745730028019153</v>
      </c>
      <c r="M364" s="1" t="n">
        <f aca="false">SUMIF(Relatorio_AK!$A:$A,A364,Relatorio_AK!$B:$B)</f>
        <v>410</v>
      </c>
      <c r="N364" s="1" t="str">
        <f aca="false">IF(M364=K364,"OK","DIF")</f>
        <v>OK</v>
      </c>
      <c r="O364" s="13" t="str">
        <f aca="false">IFERROR(VLOOKUP($A364,Lista_Starke!$A:$E,3,0),"NÃO ESTÁ NA LISTA")</f>
        <v>TOYOTA: Hilux 2.8 3L 92/04
TOYOTA: SW4 2.8 3L 92/04</v>
      </c>
      <c r="P364" s="12" t="str">
        <f aca="false">IFERROR(VLOOKUP($A364,Lista_Starke!$A:$E,2,0),"NÃO ESTÁ NA LISTA")</f>
        <v>CILINDRO MESTRE DE FREIO</v>
      </c>
    </row>
    <row r="365" customFormat="false" ht="15" hidden="false" customHeight="true" outlineLevel="0" collapsed="false">
      <c r="A365" s="10" t="s">
        <v>854</v>
      </c>
      <c r="B365" s="10" t="str">
        <f aca="false">IFERROR(VLOOKUP(A365,Pedido!$A:$B,2,0),"")</f>
        <v/>
      </c>
      <c r="C365" s="10" t="str">
        <f aca="false">IF(B365="","NÃO COMPRA","COMPRA")</f>
        <v>NÃO COMPRA</v>
      </c>
      <c r="D365" s="1" t="n">
        <f aca="false">IFERROR(VLOOKUP(A365,Pedido!$A:$C,3,0),0)</f>
        <v>0</v>
      </c>
      <c r="E365" s="5" t="n">
        <f aca="false">IFERROR(VLOOKUP(A365,Pedido!$A:$E,5,0),0)</f>
        <v>0</v>
      </c>
      <c r="F365" s="1" t="s">
        <v>8</v>
      </c>
      <c r="G365" s="1" t="s">
        <v>139</v>
      </c>
      <c r="H365" s="1" t="s">
        <v>88</v>
      </c>
      <c r="I365" s="1" t="s">
        <v>36</v>
      </c>
      <c r="J365" s="1" t="s">
        <v>855</v>
      </c>
      <c r="K365" s="1" t="n">
        <v>408</v>
      </c>
      <c r="L365" s="11" t="n">
        <v>0.746427515184877</v>
      </c>
      <c r="M365" s="1" t="n">
        <f aca="false">SUMIF(Relatorio_AK!$A:$A,A365,Relatorio_AK!$B:$B)</f>
        <v>408</v>
      </c>
      <c r="N365" s="1" t="str">
        <f aca="false">IF(M365=K365,"OK","DIF")</f>
        <v>OK</v>
      </c>
      <c r="O365" s="13" t="str">
        <f aca="false">IFERROR(VLOOKUP($A365,Lista_Starke!$A:$E,3,0),"NÃO ESTÁ NA LISTA")</f>
        <v>VOLKSWAGEN: Amarok 2.0 16V TDI   CDBA / CNFA 10/…
VOLKSWAGEN: Amarok 3.0 V6 TDI DDXB/DDXE 17/...</v>
      </c>
      <c r="P365" s="12" t="str">
        <f aca="false">IFERROR(VLOOKUP($A365,Lista_Starke!$A:$E,2,0),"NÃO ESTÁ NA LISTA")</f>
        <v>CILINDRO DE RODA LE/LD</v>
      </c>
    </row>
    <row r="366" customFormat="false" ht="15" hidden="false" customHeight="true" outlineLevel="0" collapsed="false">
      <c r="A366" s="10" t="s">
        <v>856</v>
      </c>
      <c r="B366" s="10" t="str">
        <f aca="false">IFERROR(VLOOKUP(A366,Pedido!$A:$B,2,0),"")</f>
        <v/>
      </c>
      <c r="C366" s="10" t="str">
        <f aca="false">IF(B366="","NÃO COMPRA","COMPRA")</f>
        <v>NÃO COMPRA</v>
      </c>
      <c r="D366" s="1" t="n">
        <f aca="false">IFERROR(VLOOKUP(A366,Pedido!$A:$C,3,0),0)</f>
        <v>0</v>
      </c>
      <c r="E366" s="5" t="n">
        <f aca="false">IFERROR(VLOOKUP(A366,Pedido!$A:$E,5,0),0)</f>
        <v>0</v>
      </c>
      <c r="F366" s="1" t="s">
        <v>8</v>
      </c>
      <c r="G366" s="1" t="s">
        <v>56</v>
      </c>
      <c r="H366" s="1" t="s">
        <v>35</v>
      </c>
      <c r="I366" s="1" t="s">
        <v>57</v>
      </c>
      <c r="J366" s="1" t="s">
        <v>857</v>
      </c>
      <c r="K366" s="1" t="n">
        <v>407</v>
      </c>
      <c r="L366" s="11" t="n">
        <v>0.747123292823233</v>
      </c>
      <c r="M366" s="1" t="n">
        <f aca="false">SUMIF(Relatorio_AK!$A:$A,A366,Relatorio_AK!$B:$B)</f>
        <v>407</v>
      </c>
      <c r="N366" s="1" t="str">
        <f aca="false">IF(M366=K366,"OK","DIF")</f>
        <v>OK</v>
      </c>
      <c r="O366" s="12" t="str">
        <f aca="false">IFERROR(VLOOKUP($A366,Lista_Starke!$A:$E,3,0),"NÃO ESTÁ NA LISTA")</f>
        <v>GM: Montana 1.4 8V 12/...</v>
      </c>
      <c r="P366" s="12" t="str">
        <f aca="false">IFERROR(VLOOKUP($A366,Lista_Starke!$A:$E,2,0),"NÃO ESTÁ NA LISTA")</f>
        <v>CILINDRO MESTRE DE FREIO</v>
      </c>
    </row>
    <row r="367" customFormat="false" ht="15" hidden="false" customHeight="true" outlineLevel="0" collapsed="false">
      <c r="A367" s="10" t="s">
        <v>858</v>
      </c>
      <c r="B367" s="10" t="str">
        <f aca="false">IFERROR(VLOOKUP(A367,Pedido!$A:$B,2,0),"")</f>
        <v/>
      </c>
      <c r="C367" s="10" t="str">
        <f aca="false">IF(B367="","NÃO COMPRA","COMPRA")</f>
        <v>NÃO COMPRA</v>
      </c>
      <c r="D367" s="1" t="n">
        <f aca="false">IFERROR(VLOOKUP(A367,Pedido!$A:$C,3,0),0)</f>
        <v>0</v>
      </c>
      <c r="E367" s="5" t="n">
        <f aca="false">IFERROR(VLOOKUP(A367,Pedido!$A:$E,5,0),0)</f>
        <v>0</v>
      </c>
      <c r="F367" s="1" t="s">
        <v>8</v>
      </c>
      <c r="G367" s="1" t="s">
        <v>52</v>
      </c>
      <c r="H367" s="1" t="s">
        <v>35</v>
      </c>
      <c r="I367" s="1" t="s">
        <v>53</v>
      </c>
      <c r="J367" s="1" t="s">
        <v>859</v>
      </c>
      <c r="K367" s="1" t="n">
        <v>407</v>
      </c>
      <c r="L367" s="11" t="n">
        <v>0.747819070461589</v>
      </c>
      <c r="M367" s="1" t="n">
        <f aca="false">SUMIF(Relatorio_AK!$A:$A,A367,Relatorio_AK!$B:$B)</f>
        <v>407</v>
      </c>
      <c r="N367" s="1" t="str">
        <f aca="false">IF(M367=K367,"OK","DIF")</f>
        <v>OK</v>
      </c>
      <c r="O367" s="13" t="str">
        <f aca="false">IFERROR(VLOOKUP($A367,Lista_Starke!$A:$E,3,0),"NÃO ESTÁ NA LISTA")</f>
        <v>FORD: Explorer 4.0 12V V6 95/97
FORD: Ranger 2.3 8V Duratec 94/97
FORD: Ranger 4.0 12V V6 94/97</v>
      </c>
      <c r="P367" s="12" t="str">
        <f aca="false">IFERROR(VLOOKUP($A367,Lista_Starke!$A:$E,2,0),"NÃO ESTÁ NA LISTA")</f>
        <v>CILINDRO MESTRE DE FREIO</v>
      </c>
    </row>
    <row r="368" customFormat="false" ht="15" hidden="false" customHeight="true" outlineLevel="0" collapsed="false">
      <c r="A368" s="10" t="s">
        <v>860</v>
      </c>
      <c r="B368" s="10" t="str">
        <f aca="false">IFERROR(VLOOKUP(A368,Pedido!$A:$B,2,0),"")</f>
        <v/>
      </c>
      <c r="C368" s="10" t="str">
        <f aca="false">IF(B368="","NÃO COMPRA","COMPRA")</f>
        <v>NÃO COMPRA</v>
      </c>
      <c r="D368" s="1" t="n">
        <f aca="false">IFERROR(VLOOKUP(A368,Pedido!$A:$C,3,0),0)</f>
        <v>0</v>
      </c>
      <c r="E368" s="5" t="n">
        <f aca="false">IFERROR(VLOOKUP(A368,Pedido!$A:$E,5,0),0)</f>
        <v>0</v>
      </c>
      <c r="F368" s="1" t="s">
        <v>8</v>
      </c>
      <c r="G368" s="1" t="s">
        <v>214</v>
      </c>
      <c r="H368" s="1" t="s">
        <v>35</v>
      </c>
      <c r="I368" s="1" t="s">
        <v>215</v>
      </c>
      <c r="K368" s="1" t="n">
        <v>407</v>
      </c>
      <c r="L368" s="11" t="n">
        <v>0.748514848099946</v>
      </c>
      <c r="M368" s="1" t="n">
        <f aca="false">SUMIF(Relatorio_AK!$A:$A,A368,Relatorio_AK!$B:$B)</f>
        <v>407</v>
      </c>
      <c r="N368" s="1" t="str">
        <f aca="false">IF(M368=K368,"OK","DIF")</f>
        <v>OK</v>
      </c>
      <c r="O368" s="12" t="str">
        <f aca="false">IFERROR(VLOOKUP($A368,Lista_Starke!$A:$E,3,0),"NÃO ESTÁ NA LISTA")</f>
        <v>NISSAN: Sentra 2.0 16V 13/...</v>
      </c>
      <c r="P368" s="12" t="str">
        <f aca="false">IFERROR(VLOOKUP($A368,Lista_Starke!$A:$E,2,0),"NÃO ESTÁ NA LISTA")</f>
        <v>CILINDRO MESTRE DE FREIO</v>
      </c>
    </row>
    <row r="369" customFormat="false" ht="15" hidden="false" customHeight="true" outlineLevel="0" collapsed="false">
      <c r="A369" s="10" t="s">
        <v>861</v>
      </c>
      <c r="B369" s="10" t="str">
        <f aca="false">IFERROR(VLOOKUP(A369,Pedido!$A:$B,2,0),"")</f>
        <v/>
      </c>
      <c r="C369" s="10" t="str">
        <f aca="false">IF(B369="","NÃO COMPRA","COMPRA")</f>
        <v>NÃO COMPRA</v>
      </c>
      <c r="D369" s="1" t="n">
        <f aca="false">IFERROR(VLOOKUP(A369,Pedido!$A:$C,3,0),0)</f>
        <v>0</v>
      </c>
      <c r="E369" s="5" t="n">
        <f aca="false">IFERROR(VLOOKUP(A369,Pedido!$A:$E,5,0),0)</f>
        <v>0</v>
      </c>
      <c r="F369" s="1" t="s">
        <v>8</v>
      </c>
      <c r="G369" s="1" t="s">
        <v>207</v>
      </c>
      <c r="H369" s="1" t="s">
        <v>197</v>
      </c>
      <c r="I369" s="1" t="s">
        <v>63</v>
      </c>
      <c r="J369" s="1" t="s">
        <v>862</v>
      </c>
      <c r="K369" s="1" t="n">
        <v>405</v>
      </c>
      <c r="L369" s="11" t="n">
        <v>0.749207206683568</v>
      </c>
      <c r="M369" s="1" t="n">
        <f aca="false">SUMIF(Relatorio_AK!$A:$A,A369,Relatorio_AK!$B:$B)</f>
        <v>405</v>
      </c>
      <c r="N369" s="1" t="str">
        <f aca="false">IF(M369=K369,"OK","DIF")</f>
        <v>OK</v>
      </c>
      <c r="O369" s="13" t="str">
        <f aca="false">IFERROR(VLOOKUP($A369,Lista_Starke!$A:$E,3,0),"NÃO ESTÁ NA LISTA")</f>
        <v>NISSAN: March 1.0 16V 11/...
RENAULT: Clio 1.0 16V D4D 00/00
RENAULT: Kangoo 1.0 16V D4D 02/05
RENAULT: Logan 1.0 16V D4D 07/...
RENAULT: Sandero 1.0 16V D4D 07/...</v>
      </c>
      <c r="P369" s="12" t="str">
        <f aca="false">IFERROR(VLOOKUP($A369,Lista_Starke!$A:$E,2,0),"NÃO ESTÁ NA LISTA")</f>
        <v>BOMBA D'ÁGUA</v>
      </c>
    </row>
    <row r="370" customFormat="false" ht="15" hidden="false" customHeight="true" outlineLevel="0" collapsed="false">
      <c r="A370" s="10" t="s">
        <v>863</v>
      </c>
      <c r="B370" s="10" t="str">
        <f aca="false">IFERROR(VLOOKUP(A370,Pedido!$A:$B,2,0),"")</f>
        <v/>
      </c>
      <c r="C370" s="10" t="str">
        <f aca="false">IF(B370="","NÃO COMPRA","COMPRA")</f>
        <v>NÃO COMPRA</v>
      </c>
      <c r="D370" s="1" t="n">
        <f aca="false">IFERROR(VLOOKUP(A370,Pedido!$A:$C,3,0),0)</f>
        <v>0</v>
      </c>
      <c r="E370" s="5" t="n">
        <f aca="false">IFERROR(VLOOKUP(A370,Pedido!$A:$E,5,0),0)</f>
        <v>0</v>
      </c>
      <c r="F370" s="1" t="s">
        <v>8</v>
      </c>
      <c r="G370" s="1" t="s">
        <v>821</v>
      </c>
      <c r="H370" s="1" t="s">
        <v>235</v>
      </c>
      <c r="I370" s="1" t="s">
        <v>373</v>
      </c>
      <c r="J370" s="1" t="s">
        <v>864</v>
      </c>
      <c r="K370" s="1" t="n">
        <v>404</v>
      </c>
      <c r="L370" s="11" t="n">
        <v>0.749897855739823</v>
      </c>
      <c r="M370" s="1" t="n">
        <f aca="false">SUMIF(Relatorio_AK!$A:$A,A370,Relatorio_AK!$B:$B)</f>
        <v>404</v>
      </c>
      <c r="N370" s="1" t="str">
        <f aca="false">IF(M370=K370,"OK","DIF")</f>
        <v>OK</v>
      </c>
      <c r="O370" s="13" t="str">
        <f aca="false">IFERROR(VLOOKUP($A370,Lista_Starke!$A:$E,3,0),"NÃO ESTÁ NA LISTA")</f>
        <v>MERCEDES-BENZ: C180 (C204) 1.6   M274.910 13/…
MERCEDES-BENZ: C180 (C204) 1.8   M271.820 11/…
MERCEDES-BENZ: C180 (W203) 2.0   M111.951 00/02
MERCEDES-BENZ: C180 CGI (W204) 1.6   M274.910 08/…
MERCEDES-BENZ: C180 CGI (W204) 1.8   M271.820 07/…
MERCEDES-BENZ: C180 Kompressor (W203) 1.8   M271.976 02/07
MERCEDES-BENZ: C180 Kompressor (W204) 1.6   M271.910 08/…
MERCEDES-BENZ: C180 Kompressor (W204) 1.8   M271.952 07/08
MERCEDES-BENZ: C200 (W204) 1.8   M271.820 11/…
MERCEDES-BENZ: C200 CGI (C204) 1.8   M271.820 11/…
MERCEDES-BENZ: C200 CGI (W204) 1.8   M271.820 07/…
MERCEDES-BENZ: C200 CGI Kompressor (W203) 1.8   M271.942 03/07
MERCEDES-BENZ: C200 Kompressor (W203) 1.8   M271.940 02/07
MERCEDES-BENZ: C200 Kompressor (W203) 2.0   M111.955 00/02
MERCEDES-BENZ: C200 Kompressor (W204) 1.8   M271.950 07/08
MERCEDES-BENZ: C230 (W203) 2.5   M272.920 05/07
MERCEDES-BENZ: C230 (W204) 2.5   M272.921 07/08
MERCEDES-BENZ: C230 4 Matic (W204) 2.5   M272.911 07/…
MERCEDES-BENZ: C230 Kompressor (W203) 1.8   M271.948 04/07
MERCEDES-BENZ: C240 (W203) 2.5   M112.912 00/07
MERCEDES-BENZ: C240 4 Matic (W203) 2.5   M112.916 02/07
MERCEDES-BENZ: C250 (C204) 1.8   M271.860 11/…
MERCEDES-BENZ: C250 CGI (W204) 1.8   M272.820 09/…
MERCEDES-BENZ: C280 (W203) 3.0   M272.940 05/07
MERCEDES-BENZ: C280 (W204) 3.0   M272.947 07/08
MERCEDES-BENZ: C280 4 Matic (W203) 3.0   M272.941 05/07
MERCEDES-BENZ: C280 4 Matic (W204) 3.0   M272.948 07/…
MERCEDES-BENZ: C300 (W204) 3.0   M272.947 09/…
MERCEDES-BENZ: C300 (W204) 3.0   M276.957 11/…
MERCEDES-BENZ: C300 4 Matic (W204) 3.0   M272.948 07/…
MERCEDES-BENZ: C300 4 Matic (W204) 3.0   M276.957 11/…
MERCEDES-BENZ: C32 AMG 3.2   M112.961 01/07
MERCEDES-BENZ: C320 (W203) 3.2   M112.946 00/07
MERCEDES-BENZ: C320 4 Matic (W203) 3.2   M112.953 02/07
MERCEDES-BENZ: C350 (W203) 3.5   M272.960 05/07
MERCEDES-BENZ: C350 (W204) 3.5   M272.961 07/08
MERCEDES-BENZ: C350 (W204) 3.5   M276.957 11/…
MERCEDES-BENZ: C350 4 Matic (W203) 3.5   M272.960 / M272.970 05/07
MERCEDES-BENZ: C350 4 Matic (W204) 3.5   M272.972 / M276.957 07/…
MERCEDES-BENZ: C350 CGI (W204) 3.5   M272.982 08/…
MERCEDES-BENZ: C55 AMG (W203) 5.4   M113.988 04/07
MERCEDES-BENZ: C63 AMG (W204) 6.2   M156.985 08/…
MERCEDES-BENZ: CLK200 CGI (C209) 1.8   M271.942 03/09
MERCEDES-BENZ: CLK200 Kompressor (C209) 1.8   M271.940 02/09
MERCEDES-BENZ: CLK200 Kompressor (C209) 1.8   M271.955 06/…
MERCEDES-BENZ: CLK240 (C209) 2.5   M112.912 02/09
MERCEDES-BENZ: CLK280 (C209) 3.0   M272.940 05/09
MERCEDES-BENZ: CLK320 (C209) 3.2   M112.955 02/09
MERCEDES-BENZ: CLK350 (C209) 3.5   M272.960 05/09
MERCEDES-BENZ: E200 Kompressor (W211) 1.8   M271.941 02/08
MERCEDES-BENZ: E200 Kompressor (W211) 1.8   M271.956 06/…
MERCEDES-BENZ: E230 (W211) 2.5   M272.922 07/08
MERCEDES-BENZ: E240 (W211) 2.5   M112.913 / M112.917 02/08
MERCEDES-BENZ: E240 4 Matic (W211) 2.5   M112.917 03/08
MERCEDES-BENZ: E280 (W211) 3.0   M272.943 05/08
MERCEDES-BENZ: E280 4 Matic (W211) 3.0   M272.943 06/08
MERCEDES-BENZ: E320 (W211) 3.2   M112.949 02/08
MERCEDES-BENZ: E320 4 Matic (W211) 3.2   M112.954 03/08
MERCEDES-BENZ: E350 (W211) 3.5   M272.964 05/08
MERCEDES-BENZ: E350 4 matic (W211) 3.5   M272.972 05/08
MERCEDES-BENZ: E350 CGI (W211) 3.5   M272.985 08/…
MERCEDES-BENZ: SLK200 Kompressor (R171) 1.8   M271.944 / M271.954 04/11
MERCEDES-BENZ: SLK280 (R171) 3.0   M272.942 05/11
MERCEDES-BENZ: SLK300 (R171) 3.0   M272.942 09/11
MERCEDES-BENZ: SLK350 (R171) 3.5   M272.963 / M272.965 02/11</v>
      </c>
      <c r="P370" s="12" t="str">
        <f aca="false">IFERROR(VLOOKUP($A370,Lista_Starke!$A:$E,2,0),"NÃO ESTÁ NA LISTA")</f>
        <v>RESFRIADOR DE ÓLEO MOTOR</v>
      </c>
    </row>
    <row r="371" customFormat="false" ht="15" hidden="false" customHeight="true" outlineLevel="0" collapsed="false">
      <c r="A371" s="10" t="s">
        <v>865</v>
      </c>
      <c r="B371" s="10" t="str">
        <f aca="false">IFERROR(VLOOKUP(A371,Pedido!$A:$B,2,0),"")</f>
        <v/>
      </c>
      <c r="C371" s="10" t="str">
        <f aca="false">IF(B371="","NÃO COMPRA","COMPRA")</f>
        <v>NÃO COMPRA</v>
      </c>
      <c r="D371" s="1" t="n">
        <f aca="false">IFERROR(VLOOKUP(A371,Pedido!$A:$C,3,0),0)</f>
        <v>0</v>
      </c>
      <c r="E371" s="5" t="n">
        <f aca="false">IFERROR(VLOOKUP(A371,Pedido!$A:$E,5,0),0)</f>
        <v>0</v>
      </c>
      <c r="F371" s="1" t="s">
        <v>8</v>
      </c>
      <c r="G371" s="1" t="s">
        <v>314</v>
      </c>
      <c r="H371" s="1" t="s">
        <v>131</v>
      </c>
      <c r="I371" s="1" t="s">
        <v>42</v>
      </c>
      <c r="J371" s="1" t="s">
        <v>866</v>
      </c>
      <c r="K371" s="1" t="n">
        <v>403</v>
      </c>
      <c r="L371" s="11" t="n">
        <v>0.750586795268712</v>
      </c>
      <c r="M371" s="1" t="n">
        <f aca="false">SUMIF(Relatorio_AK!$A:$A,A371,Relatorio_AK!$B:$B)</f>
        <v>403</v>
      </c>
      <c r="N371" s="1" t="str">
        <f aca="false">IF(M371=K371,"OK","DIF")</f>
        <v>OK</v>
      </c>
      <c r="O371" s="13" t="str">
        <f aca="false">IFERROR(VLOOKUP($A371,Lista_Starke!$A:$E,3,0),"NÃO ESTÁ NA LISTA")</f>
        <v>RENAULT: Duster 2.0 16V 4x2 11/15
RENAULT: Duster 2.0 16V 4x4 13/19
RENAULT: Oroch 2.0 16V 4x2 13/...</v>
      </c>
      <c r="P371" s="12" t="str">
        <f aca="false">IFERROR(VLOOKUP($A371,Lista_Starke!$A:$E,2,0),"NÃO ESTÁ NA LISTA")</f>
        <v>SAPATA DE FREIO</v>
      </c>
    </row>
    <row r="372" customFormat="false" ht="15" hidden="false" customHeight="true" outlineLevel="0" collapsed="false">
      <c r="A372" s="10" t="s">
        <v>867</v>
      </c>
      <c r="B372" s="10" t="str">
        <f aca="false">IFERROR(VLOOKUP(A372,Pedido!$A:$B,2,0),"")</f>
        <v/>
      </c>
      <c r="C372" s="10" t="str">
        <f aca="false">IF(B372="","NÃO COMPRA","COMPRA")</f>
        <v>NÃO COMPRA</v>
      </c>
      <c r="D372" s="1" t="n">
        <f aca="false">IFERROR(VLOOKUP(A372,Pedido!$A:$C,3,0),0)</f>
        <v>0</v>
      </c>
      <c r="E372" s="5" t="n">
        <f aca="false">IFERROR(VLOOKUP(A372,Pedido!$A:$E,5,0),0)</f>
        <v>0</v>
      </c>
      <c r="F372" s="1" t="s">
        <v>8</v>
      </c>
      <c r="G372" s="1" t="s">
        <v>763</v>
      </c>
      <c r="H372" s="1" t="s">
        <v>197</v>
      </c>
      <c r="I372" s="1" t="s">
        <v>373</v>
      </c>
      <c r="K372" s="1" t="n">
        <v>403</v>
      </c>
      <c r="L372" s="11" t="n">
        <v>0.7512757347976</v>
      </c>
      <c r="M372" s="1" t="n">
        <f aca="false">SUMIF(Relatorio_AK!$A:$A,A372,Relatorio_AK!$B:$B)</f>
        <v>403</v>
      </c>
      <c r="N372" s="1" t="str">
        <f aca="false">IF(M372=K372,"OK","DIF")</f>
        <v>OK</v>
      </c>
      <c r="O372" s="13" t="str">
        <f aca="false">IFERROR(VLOOKUP($A372,Lista_Starke!$A:$E,3,0),"NÃO ESTÁ NA LISTA")</f>
        <v>MERCEDES-BENZ: C180 1.8 M271.820 11/...
MERCEDES-BENZ: C180 CGI 1.8 M271.820 07/14
MERCEDES-BENZ: C180 Kompressor 1.6 M271.910 08/14
MERCEDES-BENZ: C180 Kompressor 1.8 M271.952 07/14
MERCEDES-BENZ: C200 CGI 1.8 M271.820 11/...
MERCEDES-BENZ: C200 CGI 1.8 M271.860 / 271.820 07/14
MERCEDES-BENZ: C200 Kompressor 1.8 M271.950 07/14
MERCEDES-BENZ: C250 1.8 M271.860 11/...
MERCEDES-BENZ: C250 CGI 1.8 M271.860 09/14</v>
      </c>
      <c r="P372" s="12" t="str">
        <f aca="false">IFERROR(VLOOKUP($A372,Lista_Starke!$A:$E,2,0),"NÃO ESTÁ NA LISTA")</f>
        <v>BOMBA D'ÁGUA</v>
      </c>
    </row>
    <row r="373" customFormat="false" ht="15" hidden="false" customHeight="true" outlineLevel="0" collapsed="false">
      <c r="A373" s="10" t="s">
        <v>868</v>
      </c>
      <c r="B373" s="10" t="str">
        <f aca="false">IFERROR(VLOOKUP(A373,Pedido!$A:$B,2,0),"")</f>
        <v/>
      </c>
      <c r="C373" s="10" t="str">
        <f aca="false">IF(B373="","NÃO COMPRA","COMPRA")</f>
        <v>NÃO COMPRA</v>
      </c>
      <c r="D373" s="1" t="n">
        <f aca="false">IFERROR(VLOOKUP(A373,Pedido!$A:$C,3,0),0)</f>
        <v>0</v>
      </c>
      <c r="E373" s="5" t="n">
        <f aca="false">IFERROR(VLOOKUP(A373,Pedido!$A:$E,5,0),0)</f>
        <v>0</v>
      </c>
      <c r="F373" s="1" t="s">
        <v>8</v>
      </c>
      <c r="G373" s="1" t="s">
        <v>432</v>
      </c>
      <c r="H373" s="1" t="s">
        <v>131</v>
      </c>
      <c r="I373" s="1" t="s">
        <v>36</v>
      </c>
      <c r="J373" s="1" t="s">
        <v>869</v>
      </c>
      <c r="K373" s="1" t="n">
        <v>402</v>
      </c>
      <c r="L373" s="11" t="n">
        <v>0.751962964799122</v>
      </c>
      <c r="M373" s="1" t="n">
        <f aca="false">SUMIF(Relatorio_AK!$A:$A,A373,Relatorio_AK!$B:$B)</f>
        <v>402</v>
      </c>
      <c r="N373" s="1" t="str">
        <f aca="false">IF(M373=K373,"OK","DIF")</f>
        <v>OK</v>
      </c>
      <c r="O373" s="13" t="str">
        <f aca="false">IFERROR(VLOOKUP($A373,Lista_Starke!$A:$E,3,0),"NÃO ESTÁ NA LISTA")</f>
        <v>VOLKSWAGEN: Saveiro G5 Todas 10/...
VOLKSWAGEN: Saveiro Van Todas 99/...</v>
      </c>
      <c r="P373" s="12" t="str">
        <f aca="false">IFERROR(VLOOKUP($A373,Lista_Starke!$A:$E,2,0),"NÃO ESTÁ NA LISTA")</f>
        <v>SAPATA DE FREIO</v>
      </c>
    </row>
    <row r="374" customFormat="false" ht="15" hidden="false" customHeight="true" outlineLevel="0" collapsed="false">
      <c r="A374" s="10" t="s">
        <v>870</v>
      </c>
      <c r="B374" s="10" t="str">
        <f aca="false">IFERROR(VLOOKUP(A374,Pedido!$A:$B,2,0),"")</f>
        <v/>
      </c>
      <c r="C374" s="10" t="str">
        <f aca="false">IF(B374="","NÃO COMPRA","COMPRA")</f>
        <v>NÃO COMPRA</v>
      </c>
      <c r="D374" s="1" t="n">
        <f aca="false">IFERROR(VLOOKUP(A374,Pedido!$A:$C,3,0),0)</f>
        <v>0</v>
      </c>
      <c r="E374" s="5" t="n">
        <f aca="false">IFERROR(VLOOKUP(A374,Pedido!$A:$E,5,0),0)</f>
        <v>0</v>
      </c>
      <c r="F374" s="1" t="s">
        <v>8</v>
      </c>
      <c r="G374" s="1" t="s">
        <v>297</v>
      </c>
      <c r="H374" s="1" t="s">
        <v>32</v>
      </c>
      <c r="I374" s="1" t="s">
        <v>255</v>
      </c>
      <c r="K374" s="1" t="n">
        <v>401</v>
      </c>
      <c r="L374" s="11" t="n">
        <v>0.752648485273276</v>
      </c>
      <c r="M374" s="1" t="n">
        <f aca="false">SUMIF(Relatorio_AK!$A:$A,A374,Relatorio_AK!$B:$B)</f>
        <v>401</v>
      </c>
      <c r="N374" s="1" t="str">
        <f aca="false">IF(M374=K374,"OK","DIF")</f>
        <v>OK</v>
      </c>
      <c r="O374" s="13" t="str">
        <f aca="false">IFERROR(VLOOKUP($A374,Lista_Starke!$A:$E,3,0),"NÃO ESTÁ NA LISTA")</f>
        <v>MITSUBISHI: L200 2.5 4D56 / 4D56T 91/98
MITSUBISHI: L200 2.5 4D56 / 4D56T 99/12</v>
      </c>
      <c r="P374" s="12" t="str">
        <f aca="false">IFERROR(VLOOKUP($A374,Lista_Starke!$A:$E,2,0),"NÃO ESTÁ NA LISTA")</f>
        <v>CILINDRO MESTRE DE EMBREAGEM</v>
      </c>
    </row>
    <row r="375" customFormat="false" ht="15" hidden="false" customHeight="true" outlineLevel="0" collapsed="false">
      <c r="A375" s="10" t="s">
        <v>871</v>
      </c>
      <c r="B375" s="10" t="str">
        <f aca="false">IFERROR(VLOOKUP(A375,Pedido!$A:$B,2,0),"")</f>
        <v/>
      </c>
      <c r="C375" s="10" t="str">
        <f aca="false">IF(B375="","NÃO COMPRA","COMPRA")</f>
        <v>NÃO COMPRA</v>
      </c>
      <c r="D375" s="1" t="n">
        <f aca="false">IFERROR(VLOOKUP(A375,Pedido!$A:$C,3,0),0)</f>
        <v>0</v>
      </c>
      <c r="E375" s="5" t="n">
        <f aca="false">IFERROR(VLOOKUP(A375,Pedido!$A:$E,5,0),0)</f>
        <v>0</v>
      </c>
      <c r="F375" s="1" t="s">
        <v>8</v>
      </c>
      <c r="G375" s="1" t="s">
        <v>264</v>
      </c>
      <c r="H375" s="1" t="s">
        <v>88</v>
      </c>
      <c r="I375" s="1" t="s">
        <v>53</v>
      </c>
      <c r="J375" s="1" t="s">
        <v>872</v>
      </c>
      <c r="K375" s="1" t="n">
        <v>400</v>
      </c>
      <c r="L375" s="11" t="n">
        <v>0.753332296220064</v>
      </c>
      <c r="M375" s="1" t="n">
        <f aca="false">SUMIF(Relatorio_AK!$A:$A,A375,Relatorio_AK!$B:$B)</f>
        <v>400</v>
      </c>
      <c r="N375" s="1" t="str">
        <f aca="false">IF(M375=K375,"OK","DIF")</f>
        <v>OK</v>
      </c>
      <c r="O375" s="13" t="str">
        <f aca="false">IFERROR(VLOOKUP($A375,Lista_Starke!$A:$E,3,0),"NÃO ESTÁ NA LISTA")</f>
        <v>FORD: Courier 1.3 8V Endura 97/99
FORD: Courier 1.4 16V Zetec 97/99
FORD: Courier 1.6 8V Zetec Rocam 99/13
FORD: Ecosport 2.0 16V Duratec 4x4 04/08
FORD: Ecosport 2.0 16V Duratec 4x4 12/17
FORD: Mondeo 1.0 16V Zetec 96/00</v>
      </c>
      <c r="P375" s="12" t="str">
        <f aca="false">IFERROR(VLOOKUP($A375,Lista_Starke!$A:$E,2,0),"NÃO ESTÁ NA LISTA")</f>
        <v>CILINDRO DE RODA LE/LD</v>
      </c>
    </row>
    <row r="376" customFormat="false" ht="15" hidden="false" customHeight="true" outlineLevel="0" collapsed="false">
      <c r="A376" s="10" t="s">
        <v>873</v>
      </c>
      <c r="B376" s="10" t="str">
        <f aca="false">IFERROR(VLOOKUP(A376,Pedido!$A:$B,2,0),"")</f>
        <v/>
      </c>
      <c r="C376" s="10" t="str">
        <f aca="false">IF(B376="","NÃO COMPRA","COMPRA")</f>
        <v>NÃO COMPRA</v>
      </c>
      <c r="D376" s="1" t="n">
        <f aca="false">IFERROR(VLOOKUP(A376,Pedido!$A:$C,3,0),0)</f>
        <v>0</v>
      </c>
      <c r="E376" s="5" t="n">
        <f aca="false">IFERROR(VLOOKUP(A376,Pedido!$A:$E,5,0),0)</f>
        <v>0</v>
      </c>
      <c r="F376" s="1" t="s">
        <v>8</v>
      </c>
      <c r="G376" s="1" t="s">
        <v>229</v>
      </c>
      <c r="H376" s="1" t="s">
        <v>157</v>
      </c>
      <c r="I376" s="1" t="s">
        <v>63</v>
      </c>
      <c r="J376" s="1" t="s">
        <v>874</v>
      </c>
      <c r="K376" s="1" t="n">
        <v>399</v>
      </c>
      <c r="L376" s="11" t="n">
        <v>0.754014397639485</v>
      </c>
      <c r="M376" s="1" t="n">
        <f aca="false">SUMIF(Relatorio_AK!$A:$A,A376,Relatorio_AK!$B:$B)</f>
        <v>399</v>
      </c>
      <c r="N376" s="1" t="str">
        <f aca="false">IF(M376=K376,"OK","DIF")</f>
        <v>OK</v>
      </c>
      <c r="O376" s="13" t="str">
        <f aca="false">IFERROR(VLOOKUP($A376,Lista_Starke!$A:$E,3,0),"NÃO ESTÁ NA LISTA")</f>
        <v>NISSAN: Grand Livina 1.8 16V 10/...
NISSAN: Livina 1.8 16V 10/…
NISSAN: Sentra 2.0 16V 07/…
NISSAN: Tiida 1.6 16V 07/…
NISSAN: Tiida 1.8 16V 07/…
NISSAN: Versa 1.8 16V 11/…
RENAULT: Duster 2.0 16V 12/...
RENAULT: Fluence 2.0 16V 11/…
RENAULT: Megane 2.0 16V 07/...
RENAULT: Scenic 2.0 16V 07/...</v>
      </c>
      <c r="P376" s="12" t="str">
        <f aca="false">IFERROR(VLOOKUP($A376,Lista_Starke!$A:$E,2,0),"NÃO ESTÁ NA LISTA")</f>
        <v>ATUADOR DE EMBREAGEM</v>
      </c>
    </row>
    <row r="377" customFormat="false" ht="15" hidden="false" customHeight="true" outlineLevel="0" collapsed="false">
      <c r="A377" s="10" t="s">
        <v>875</v>
      </c>
      <c r="B377" s="10" t="str">
        <f aca="false">IFERROR(VLOOKUP(A377,Pedido!$A:$B,2,0),"")</f>
        <v/>
      </c>
      <c r="C377" s="10" t="str">
        <f aca="false">IF(B377="","NÃO COMPRA","COMPRA")</f>
        <v>NÃO COMPRA</v>
      </c>
      <c r="D377" s="1" t="n">
        <f aca="false">IFERROR(VLOOKUP(A377,Pedido!$A:$C,3,0),0)</f>
        <v>0</v>
      </c>
      <c r="E377" s="5" t="n">
        <f aca="false">IFERROR(VLOOKUP(A377,Pedido!$A:$E,5,0),0)</f>
        <v>0</v>
      </c>
      <c r="F377" s="1" t="s">
        <v>8</v>
      </c>
      <c r="G377" s="1" t="s">
        <v>325</v>
      </c>
      <c r="H377" s="1" t="s">
        <v>600</v>
      </c>
      <c r="I377" s="1" t="s">
        <v>876</v>
      </c>
      <c r="J377" s="1" t="s">
        <v>877</v>
      </c>
      <c r="K377" s="1" t="n">
        <v>399</v>
      </c>
      <c r="L377" s="11" t="n">
        <v>0.754696499058905</v>
      </c>
      <c r="M377" s="1" t="n">
        <f aca="false">SUMIF(Relatorio_AK!$A:$A,A377,Relatorio_AK!$B:$B)</f>
        <v>399</v>
      </c>
      <c r="N377" s="1" t="str">
        <f aca="false">IF(M377=K377,"OK","DIF")</f>
        <v>OK</v>
      </c>
      <c r="O377" s="13" t="str">
        <f aca="false">IFERROR(VLOOKUP($A377,Lista_Starke!$A:$E,3,0),"NÃO ESTÁ NA LISTA")</f>
        <v>FORD: Transit 2.4 16V 08/12
LAND ROVER: Defender 2.4 16V 08/...</v>
      </c>
      <c r="P377" s="12" t="str">
        <f aca="false">IFERROR(VLOOKUP($A377,Lista_Starke!$A:$E,2,0),"NÃO ESTÁ NA LISTA")</f>
        <v>BOMBA DE VÁCUO FREIO</v>
      </c>
    </row>
    <row r="378" customFormat="false" ht="15" hidden="false" customHeight="true" outlineLevel="0" collapsed="false">
      <c r="A378" s="10" t="s">
        <v>878</v>
      </c>
      <c r="B378" s="10" t="str">
        <f aca="false">IFERROR(VLOOKUP(A378,Pedido!$A:$B,2,0),"")</f>
        <v/>
      </c>
      <c r="C378" s="10" t="str">
        <f aca="false">IF(B378="","NÃO COMPRA","COMPRA")</f>
        <v>NÃO COMPRA</v>
      </c>
      <c r="D378" s="1" t="n">
        <f aca="false">IFERROR(VLOOKUP(A378,Pedido!$A:$C,3,0),0)</f>
        <v>0</v>
      </c>
      <c r="E378" s="5" t="n">
        <f aca="false">IFERROR(VLOOKUP(A378,Pedido!$A:$E,5,0),0)</f>
        <v>0</v>
      </c>
      <c r="F378" s="1" t="s">
        <v>8</v>
      </c>
      <c r="G378" s="1" t="s">
        <v>180</v>
      </c>
      <c r="H378" s="1" t="s">
        <v>28</v>
      </c>
      <c r="I378" s="1" t="s">
        <v>50</v>
      </c>
      <c r="J378" s="1" t="s">
        <v>879</v>
      </c>
      <c r="K378" s="1" t="n">
        <v>398</v>
      </c>
      <c r="L378" s="11" t="n">
        <v>0.755376890950959</v>
      </c>
      <c r="M378" s="1" t="n">
        <f aca="false">SUMIF(Relatorio_AK!$A:$A,A378,Relatorio_AK!$B:$B)</f>
        <v>398</v>
      </c>
      <c r="N378" s="1" t="str">
        <f aca="false">IF(M378=K378,"OK","DIF")</f>
        <v>OK</v>
      </c>
      <c r="O378" s="13" t="str">
        <f aca="false">IFERROR(VLOOKUP($A378,Lista_Starke!$A:$E,3,0),"NÃO ESTÁ NA LISTA")</f>
        <v>HONDA: Civic 1.7 16V 00
HONDA: Civic 1.7 16V 92/97
HONDA: Civic 2.0 16V 00/01</v>
      </c>
      <c r="P378" s="12" t="str">
        <f aca="false">IFERROR(VLOOKUP($A378,Lista_Starke!$A:$E,2,0),"NÃO ESTÁ NA LISTA")</f>
        <v>CILINDRO AUXILIAR DE EMBREAGEM</v>
      </c>
    </row>
    <row r="379" customFormat="false" ht="15" hidden="false" customHeight="true" outlineLevel="0" collapsed="false">
      <c r="A379" s="10" t="s">
        <v>880</v>
      </c>
      <c r="B379" s="10" t="str">
        <f aca="false">IFERROR(VLOOKUP(A379,Pedido!$A:$B,2,0),"")</f>
        <v/>
      </c>
      <c r="C379" s="10" t="str">
        <f aca="false">IF(B379="","NÃO COMPRA","COMPRA")</f>
        <v>NÃO COMPRA</v>
      </c>
      <c r="D379" s="1" t="n">
        <f aca="false">IFERROR(VLOOKUP(A379,Pedido!$A:$C,3,0),0)</f>
        <v>0</v>
      </c>
      <c r="E379" s="5" t="n">
        <f aca="false">IFERROR(VLOOKUP(A379,Pedido!$A:$E,5,0),0)</f>
        <v>0</v>
      </c>
      <c r="F379" s="1" t="s">
        <v>8</v>
      </c>
      <c r="G379" s="1" t="s">
        <v>509</v>
      </c>
      <c r="H379" s="1" t="s">
        <v>197</v>
      </c>
      <c r="I379" s="1" t="s">
        <v>137</v>
      </c>
      <c r="J379" s="1" t="s">
        <v>881</v>
      </c>
      <c r="K379" s="1" t="n">
        <v>396</v>
      </c>
      <c r="L379" s="11" t="n">
        <v>0.756053863788278</v>
      </c>
      <c r="M379" s="1" t="n">
        <f aca="false">SUMIF(Relatorio_AK!$A:$A,A379,Relatorio_AK!$B:$B)</f>
        <v>396</v>
      </c>
      <c r="N379" s="1" t="str">
        <f aca="false">IF(M379=K379,"OK","DIF")</f>
        <v>OK</v>
      </c>
      <c r="O379" s="13" t="str">
        <f aca="false">IFERROR(VLOOKUP($A379,Lista_Starke!$A:$E,3,0),"NÃO ESTÁ NA LISTA")</f>
        <v>CITROEN: Jumpy 1.5 16V HDI 22/...
FIAT: Scudo 1.5 16V Diesel 22/...
PEUGEOT: Expert 1.5 16V HDI 22/...</v>
      </c>
      <c r="P379" s="12" t="str">
        <f aca="false">IFERROR(VLOOKUP($A379,Lista_Starke!$A:$E,2,0),"NÃO ESTÁ NA LISTA")</f>
        <v>BOMBA D'ÁGUA</v>
      </c>
    </row>
    <row r="380" customFormat="false" ht="15" hidden="false" customHeight="true" outlineLevel="0" collapsed="false">
      <c r="A380" s="10" t="s">
        <v>882</v>
      </c>
      <c r="B380" s="10" t="str">
        <f aca="false">IFERROR(VLOOKUP(A380,Pedido!$A:$B,2,0),"")</f>
        <v/>
      </c>
      <c r="C380" s="10" t="str">
        <f aca="false">IF(B380="","NÃO COMPRA","COMPRA")</f>
        <v>NÃO COMPRA</v>
      </c>
      <c r="D380" s="1" t="n">
        <f aca="false">IFERROR(VLOOKUP(A380,Pedido!$A:$C,3,0),0)</f>
        <v>0</v>
      </c>
      <c r="E380" s="5" t="n">
        <f aca="false">IFERROR(VLOOKUP(A380,Pedido!$A:$E,5,0),0)</f>
        <v>0</v>
      </c>
      <c r="F380" s="1" t="s">
        <v>8</v>
      </c>
      <c r="G380" s="1" t="s">
        <v>254</v>
      </c>
      <c r="H380" s="1" t="s">
        <v>35</v>
      </c>
      <c r="I380" s="1" t="s">
        <v>255</v>
      </c>
      <c r="K380" s="1" t="n">
        <v>395</v>
      </c>
      <c r="L380" s="11" t="n">
        <v>0.756729127098231</v>
      </c>
      <c r="M380" s="1" t="n">
        <f aca="false">SUMIF(Relatorio_AK!$A:$A,A380,Relatorio_AK!$B:$B)</f>
        <v>395</v>
      </c>
      <c r="N380" s="1" t="str">
        <f aca="false">IF(M380=K380,"OK","DIF")</f>
        <v>OK</v>
      </c>
      <c r="O380" s="13" t="str">
        <f aca="false">IFERROR(VLOOKUP($A380,Lista_Starke!$A:$E,3,0),"NÃO ESTÁ NA LISTA")</f>
        <v>MITSUBISHI: Pajero 2.4 16V Diesel 4N15 19/...
MITSUBISHI: Triton 2.4 16V Diesel 4N15 17/...
MITSUBISHI: Triton 2.4 16V Flex 4G64 13/…</v>
      </c>
      <c r="P380" s="12" t="str">
        <f aca="false">IFERROR(VLOOKUP($A380,Lista_Starke!$A:$E,2,0),"NÃO ESTÁ NA LISTA")</f>
        <v>CILINDRO MESTRE DE FREIO</v>
      </c>
    </row>
    <row r="381" customFormat="false" ht="15" hidden="false" customHeight="true" outlineLevel="0" collapsed="false">
      <c r="A381" s="10" t="s">
        <v>883</v>
      </c>
      <c r="B381" s="10" t="str">
        <f aca="false">IFERROR(VLOOKUP(A381,Pedido!$A:$B,2,0),"")</f>
        <v/>
      </c>
      <c r="C381" s="10" t="str">
        <f aca="false">IF(B381="","NÃO COMPRA","COMPRA")</f>
        <v>NÃO COMPRA</v>
      </c>
      <c r="D381" s="1" t="n">
        <f aca="false">IFERROR(VLOOKUP(A381,Pedido!$A:$C,3,0),0)</f>
        <v>0</v>
      </c>
      <c r="E381" s="5" t="n">
        <f aca="false">IFERROR(VLOOKUP(A381,Pedido!$A:$E,5,0),0)</f>
        <v>0</v>
      </c>
      <c r="F381" s="1" t="s">
        <v>8</v>
      </c>
      <c r="G381" s="1" t="s">
        <v>720</v>
      </c>
      <c r="H381" s="1" t="s">
        <v>197</v>
      </c>
      <c r="I381" s="1" t="s">
        <v>255</v>
      </c>
      <c r="K381" s="1" t="n">
        <v>394</v>
      </c>
      <c r="L381" s="11" t="n">
        <v>0.757402680880817</v>
      </c>
      <c r="M381" s="1" t="n">
        <f aca="false">SUMIF(Relatorio_AK!$A:$A,A381,Relatorio_AK!$B:$B)</f>
        <v>394</v>
      </c>
      <c r="N381" s="1" t="str">
        <f aca="false">IF(M381=K381,"OK","DIF")</f>
        <v>OK</v>
      </c>
      <c r="O381" s="13" t="str">
        <f aca="false">IFERROR(VLOOKUP($A381,Lista_Starke!$A:$E,3,0),"NÃO ESTÁ NA LISTA")</f>
        <v>MITSUBISHI: Pajero 2.4 16V Diesel 4N15 19/...
MITSUBISHI: Triton 2.4 16V Diesel 4N15 17/...</v>
      </c>
      <c r="P381" s="12" t="str">
        <f aca="false">IFERROR(VLOOKUP($A381,Lista_Starke!$A:$E,2,0),"NÃO ESTÁ NA LISTA")</f>
        <v>BOMBA D'ÁGUA</v>
      </c>
    </row>
    <row r="382" customFormat="false" ht="15" hidden="false" customHeight="true" outlineLevel="0" collapsed="false">
      <c r="A382" s="10" t="s">
        <v>884</v>
      </c>
      <c r="B382" s="10" t="str">
        <f aca="false">IFERROR(VLOOKUP(A382,Pedido!$A:$B,2,0),"")</f>
        <v/>
      </c>
      <c r="C382" s="10" t="str">
        <f aca="false">IF(B382="","NÃO COMPRA","COMPRA")</f>
        <v>NÃO COMPRA</v>
      </c>
      <c r="D382" s="1" t="n">
        <f aca="false">IFERROR(VLOOKUP(A382,Pedido!$A:$C,3,0),0)</f>
        <v>0</v>
      </c>
      <c r="E382" s="5" t="n">
        <f aca="false">IFERROR(VLOOKUP(A382,Pedido!$A:$E,5,0),0)</f>
        <v>0</v>
      </c>
      <c r="F382" s="1" t="s">
        <v>8</v>
      </c>
      <c r="G382" s="1" t="s">
        <v>41</v>
      </c>
      <c r="H382" s="1" t="s">
        <v>35</v>
      </c>
      <c r="I382" s="1" t="s">
        <v>42</v>
      </c>
      <c r="K382" s="1" t="n">
        <v>393</v>
      </c>
      <c r="L382" s="11" t="n">
        <v>0.758074525136036</v>
      </c>
      <c r="M382" s="1" t="n">
        <f aca="false">SUMIF(Relatorio_AK!$A:$A,A382,Relatorio_AK!$B:$B)</f>
        <v>393</v>
      </c>
      <c r="N382" s="1" t="str">
        <f aca="false">IF(M382=K382,"OK","DIF")</f>
        <v>OK</v>
      </c>
      <c r="O382" s="13" t="str">
        <f aca="false">IFERROR(VLOOKUP($A382,Lista_Starke!$A:$E,3,0),"NÃO ESTÁ NA LISTA")</f>
        <v>RENAULT: Captur 1.6 16V SCE H4M 16/...
RENAULT: Captur 2.0 16V F4R 16/...
RENAULT: Duster 1.6 16V SCE H4M 16/...
RENAULT: Duster 2.0 16V F4R 16/...
RENAULT: Oroch 1.6 16V SCE H4M 16/...
RENAULT: Oroch 2.0 16V F4R 16/...</v>
      </c>
      <c r="P382" s="12" t="str">
        <f aca="false">IFERROR(VLOOKUP($A382,Lista_Starke!$A:$E,2,0),"NÃO ESTÁ NA LISTA")</f>
        <v>CILINDRO MESTRE DE FREIO</v>
      </c>
    </row>
    <row r="383" customFormat="false" ht="15" hidden="false" customHeight="true" outlineLevel="0" collapsed="false">
      <c r="A383" s="10" t="s">
        <v>885</v>
      </c>
      <c r="B383" s="10" t="str">
        <f aca="false">IFERROR(VLOOKUP(A383,Pedido!$A:$B,2,0),"")</f>
        <v/>
      </c>
      <c r="C383" s="10" t="str">
        <f aca="false">IF(B383="","NÃO COMPRA","COMPRA")</f>
        <v>NÃO COMPRA</v>
      </c>
      <c r="D383" s="1" t="n">
        <f aca="false">IFERROR(VLOOKUP(A383,Pedido!$A:$C,3,0),0)</f>
        <v>0</v>
      </c>
      <c r="E383" s="5" t="n">
        <f aca="false">IFERROR(VLOOKUP(A383,Pedido!$A:$E,5,0),0)</f>
        <v>0</v>
      </c>
      <c r="F383" s="1" t="s">
        <v>8</v>
      </c>
      <c r="G383" s="1" t="s">
        <v>886</v>
      </c>
      <c r="H383" s="1" t="s">
        <v>35</v>
      </c>
      <c r="I383" s="1" t="s">
        <v>42</v>
      </c>
      <c r="J383" s="1" t="s">
        <v>887</v>
      </c>
      <c r="K383" s="1" t="n">
        <v>393</v>
      </c>
      <c r="L383" s="11" t="n">
        <v>0.758746369391254</v>
      </c>
      <c r="M383" s="1" t="n">
        <f aca="false">SUMIF(Relatorio_AK!$A:$A,A383,Relatorio_AK!$B:$B)</f>
        <v>393</v>
      </c>
      <c r="N383" s="1" t="str">
        <f aca="false">IF(M383=K383,"OK","DIF")</f>
        <v>OK</v>
      </c>
      <c r="O383" s="13" t="str">
        <f aca="false">IFERROR(VLOOKUP($A383,Lista_Starke!$A:$E,3,0),"NÃO ESTÁ NA LISTA")</f>
        <v>RENAULT: Master 2.5 até 12
RENAULT: Master 2.8 até 2012</v>
      </c>
      <c r="P383" s="12" t="str">
        <f aca="false">IFERROR(VLOOKUP($A383,Lista_Starke!$A:$E,2,0),"NÃO ESTÁ NA LISTA")</f>
        <v>CILINDRO MESTRE DE FREIO</v>
      </c>
    </row>
    <row r="384" customFormat="false" ht="15" hidden="false" customHeight="true" outlineLevel="0" collapsed="false">
      <c r="A384" s="10" t="s">
        <v>888</v>
      </c>
      <c r="B384" s="10" t="str">
        <f aca="false">IFERROR(VLOOKUP(A384,Pedido!$A:$B,2,0),"")</f>
        <v/>
      </c>
      <c r="C384" s="10" t="str">
        <f aca="false">IF(B384="","NÃO COMPRA","COMPRA")</f>
        <v>NÃO COMPRA</v>
      </c>
      <c r="D384" s="1" t="n">
        <f aca="false">IFERROR(VLOOKUP(A384,Pedido!$A:$C,3,0),0)</f>
        <v>0</v>
      </c>
      <c r="E384" s="5" t="n">
        <f aca="false">IFERROR(VLOOKUP(A384,Pedido!$A:$E,5,0),0)</f>
        <v>0</v>
      </c>
      <c r="F384" s="1" t="s">
        <v>8</v>
      </c>
      <c r="G384" s="1" t="s">
        <v>70</v>
      </c>
      <c r="H384" s="1" t="s">
        <v>35</v>
      </c>
      <c r="I384" s="1" t="s">
        <v>71</v>
      </c>
      <c r="K384" s="1" t="n">
        <v>392</v>
      </c>
      <c r="L384" s="11" t="n">
        <v>0.759416504119106</v>
      </c>
      <c r="M384" s="1" t="n">
        <f aca="false">SUMIF(Relatorio_AK!$A:$A,A384,Relatorio_AK!$B:$B)</f>
        <v>392</v>
      </c>
      <c r="N384" s="1" t="str">
        <f aca="false">IF(M384=K384,"OK","DIF")</f>
        <v>OK</v>
      </c>
      <c r="O384" s="13" t="str">
        <f aca="false">IFERROR(VLOOKUP($A384,Lista_Starke!$A:$E,3,0),"NÃO ESTÁ NA LISTA")</f>
        <v>PEUGEOT: 206 1.6 16V 06/...
PEUGEOT: 207 1.6 16V 08/...</v>
      </c>
      <c r="P384" s="12" t="str">
        <f aca="false">IFERROR(VLOOKUP($A384,Lista_Starke!$A:$E,2,0),"NÃO ESTÁ NA LISTA")</f>
        <v>CILINDRO MESTRE DE FREIO</v>
      </c>
    </row>
    <row r="385" customFormat="false" ht="15" hidden="false" customHeight="true" outlineLevel="0" collapsed="false">
      <c r="A385" s="10" t="s">
        <v>889</v>
      </c>
      <c r="B385" s="10" t="str">
        <f aca="false">IFERROR(VLOOKUP(A385,Pedido!$A:$B,2,0),"")</f>
        <v/>
      </c>
      <c r="C385" s="10" t="str">
        <f aca="false">IF(B385="","NÃO COMPRA","COMPRA")</f>
        <v>NÃO COMPRA</v>
      </c>
      <c r="D385" s="1" t="n">
        <f aca="false">IFERROR(VLOOKUP(A385,Pedido!$A:$C,3,0),0)</f>
        <v>0</v>
      </c>
      <c r="E385" s="5" t="n">
        <f aca="false">IFERROR(VLOOKUP(A385,Pedido!$A:$E,5,0),0)</f>
        <v>0</v>
      </c>
      <c r="F385" s="1" t="s">
        <v>8</v>
      </c>
      <c r="G385" s="1" t="s">
        <v>890</v>
      </c>
      <c r="H385" s="1" t="s">
        <v>96</v>
      </c>
      <c r="I385" s="1" t="s">
        <v>97</v>
      </c>
      <c r="K385" s="1" t="n">
        <v>392</v>
      </c>
      <c r="L385" s="11" t="n">
        <v>0.760086638846958</v>
      </c>
      <c r="M385" s="1" t="n">
        <f aca="false">SUMIF(Relatorio_AK!$A:$A,A385,Relatorio_AK!$B:$B)</f>
        <v>392</v>
      </c>
      <c r="N385" s="1" t="str">
        <f aca="false">IF(M385=K385,"OK","DIF")</f>
        <v>OK</v>
      </c>
      <c r="O385" s="13" t="str">
        <f aca="false">IFERROR(VLOOKUP($A385,Lista_Starke!$A:$E,3,0),"NÃO ESTÁ NA LISTA")</f>
        <v>FIAT: Fastback 1.3 16V Turbo 23/...
FIAT: Pulse 1.3 16V Turbo 22/...
FIAT: Toro 1.3 16V Turbo 21/...
JEEP: Commander 1.3 16V Turbo 22/...
JEEP: Compass 1.3 16V Turbo 21/...
JEEP: Renegade 1.3 16V Turbo 21/...</v>
      </c>
      <c r="P385" s="12" t="str">
        <f aca="false">IFERROR(VLOOKUP($A385,Lista_Starke!$A:$E,2,0),"NÃO ESTÁ NA LISTA")</f>
        <v>BOMBA DE VÁCUO</v>
      </c>
    </row>
    <row r="386" customFormat="false" ht="15" hidden="false" customHeight="true" outlineLevel="0" collapsed="false">
      <c r="A386" s="10" t="s">
        <v>891</v>
      </c>
      <c r="B386" s="10" t="str">
        <f aca="false">IFERROR(VLOOKUP(A386,Pedido!$A:$B,2,0),"")</f>
        <v/>
      </c>
      <c r="C386" s="10" t="str">
        <f aca="false">IF(B386="","NÃO COMPRA","COMPRA")</f>
        <v>NÃO COMPRA</v>
      </c>
      <c r="D386" s="1" t="n">
        <f aca="false">IFERROR(VLOOKUP(A386,Pedido!$A:$C,3,0),0)</f>
        <v>0</v>
      </c>
      <c r="E386" s="5" t="n">
        <f aca="false">IFERROR(VLOOKUP(A386,Pedido!$A:$E,5,0),0)</f>
        <v>0</v>
      </c>
      <c r="F386" s="1" t="s">
        <v>8</v>
      </c>
      <c r="G386" s="1" t="s">
        <v>602</v>
      </c>
      <c r="H386" s="1" t="s">
        <v>35</v>
      </c>
      <c r="I386" s="1" t="s">
        <v>172</v>
      </c>
      <c r="K386" s="1" t="n">
        <v>391</v>
      </c>
      <c r="L386" s="11" t="n">
        <v>0.760755064047443</v>
      </c>
      <c r="M386" s="1" t="n">
        <f aca="false">SUMIF(Relatorio_AK!$A:$A,A386,Relatorio_AK!$B:$B)</f>
        <v>391</v>
      </c>
      <c r="N386" s="1" t="str">
        <f aca="false">IF(M386=K386,"OK","DIF")</f>
        <v>OK</v>
      </c>
      <c r="O386" s="13" t="str">
        <f aca="false">IFERROR(VLOOKUP($A386,Lista_Starke!$A:$E,3,0),"NÃO ESTÁ NA LISTA")</f>
        <v>HYUNDAI: iX35 2.0 16V 09/21
KIA: Sportage 2.0 16V 11/13</v>
      </c>
      <c r="P386" s="12" t="str">
        <f aca="false">IFERROR(VLOOKUP($A386,Lista_Starke!$A:$E,2,0),"NÃO ESTÁ NA LISTA")</f>
        <v>CILINDRO MESTRE DE FREIO</v>
      </c>
    </row>
    <row r="387" customFormat="false" ht="15" hidden="false" customHeight="true" outlineLevel="0" collapsed="false">
      <c r="A387" s="10" t="s">
        <v>892</v>
      </c>
      <c r="B387" s="10" t="str">
        <f aca="false">IFERROR(VLOOKUP(A387,Pedido!$A:$B,2,0),"")</f>
        <v/>
      </c>
      <c r="C387" s="10" t="str">
        <f aca="false">IF(B387="","NÃO COMPRA","COMPRA")</f>
        <v>NÃO COMPRA</v>
      </c>
      <c r="D387" s="1" t="n">
        <f aca="false">IFERROR(VLOOKUP(A387,Pedido!$A:$C,3,0),0)</f>
        <v>0</v>
      </c>
      <c r="E387" s="5" t="n">
        <f aca="false">IFERROR(VLOOKUP(A387,Pedido!$A:$E,5,0),0)</f>
        <v>0</v>
      </c>
      <c r="F387" s="1" t="s">
        <v>8</v>
      </c>
      <c r="G387" s="1" t="s">
        <v>254</v>
      </c>
      <c r="H387" s="1" t="s">
        <v>35</v>
      </c>
      <c r="I387" s="1" t="s">
        <v>893</v>
      </c>
      <c r="J387" s="1" t="s">
        <v>894</v>
      </c>
      <c r="K387" s="1" t="n">
        <v>391</v>
      </c>
      <c r="L387" s="11" t="n">
        <v>0.761423489247928</v>
      </c>
      <c r="M387" s="1" t="n">
        <f aca="false">SUMIF(Relatorio_AK!$A:$A,A387,Relatorio_AK!$B:$B)</f>
        <v>391</v>
      </c>
      <c r="N387" s="1" t="str">
        <f aca="false">IF(M387=K387,"OK","DIF")</f>
        <v>OK</v>
      </c>
      <c r="O387" s="13" t="str">
        <f aca="false">IFERROR(VLOOKUP($A387,Lista_Starke!$A:$E,3,0),"NÃO ESTÁ NA LISTA")</f>
        <v>HYUNDAI: Galloper 2.5 / 2.5 Turbo Diesel 98/99
MITSUBISHI: L200 2.5 / 2.5 Turbo Diesel 03/12
MITSUBISHI: L200 2.5 / 2.5 Turbo Diesel 92/06
MITSUBISHI: Pajero 2.5 / 2.5 Turbo Diesel 92/05</v>
      </c>
      <c r="P387" s="12" t="str">
        <f aca="false">IFERROR(VLOOKUP($A387,Lista_Starke!$A:$E,2,0),"NÃO ESTÁ NA LISTA")</f>
        <v>CILINDRO MESTRE DE FREIO</v>
      </c>
    </row>
    <row r="388" customFormat="false" ht="15" hidden="false" customHeight="true" outlineLevel="0" collapsed="false">
      <c r="A388" s="10" t="s">
        <v>895</v>
      </c>
      <c r="B388" s="10" t="str">
        <f aca="false">IFERROR(VLOOKUP(A388,Pedido!$A:$B,2,0),"")</f>
        <v/>
      </c>
      <c r="C388" s="10" t="str">
        <f aca="false">IF(B388="","NÃO COMPRA","COMPRA")</f>
        <v>NÃO COMPRA</v>
      </c>
      <c r="D388" s="1" t="n">
        <f aca="false">IFERROR(VLOOKUP(A388,Pedido!$A:$C,3,0),0)</f>
        <v>0</v>
      </c>
      <c r="E388" s="5" t="n">
        <f aca="false">IFERROR(VLOOKUP(A388,Pedido!$A:$E,5,0),0)</f>
        <v>0</v>
      </c>
      <c r="F388" s="1" t="s">
        <v>8</v>
      </c>
      <c r="G388" s="1" t="s">
        <v>277</v>
      </c>
      <c r="H388" s="1" t="s">
        <v>845</v>
      </c>
      <c r="I388" s="1" t="s">
        <v>896</v>
      </c>
      <c r="J388" s="1" t="s">
        <v>897</v>
      </c>
      <c r="K388" s="1" t="n">
        <v>391</v>
      </c>
      <c r="L388" s="11" t="n">
        <v>0.762091914448412</v>
      </c>
      <c r="M388" s="1" t="n">
        <f aca="false">SUMIF(Relatorio_AK!$A:$A,A388,Relatorio_AK!$B:$B)</f>
        <v>391</v>
      </c>
      <c r="N388" s="1" t="str">
        <f aca="false">IF(M388=K388,"OK","DIF")</f>
        <v>OK</v>
      </c>
      <c r="O388" s="13" t="str">
        <f aca="false">IFERROR(VLOOKUP($A388,Lista_Starke!$A:$E,3,0),"NÃO ESTÁ NA LISTA")</f>
        <v>FORD: Edge 3.5 V6 08/10
FORD: Edge 3.5 V6 11/...
SSANGYONG: Actyon 2.0 16V   D20DT 05/…
SSANGYONG: Actyon Sports 2.0 16V   D20DT 07/…
SSANGYONG: Actyon Sports 2.0 16V   D20DTR 11/…
SSANGYONG: Korando 2.0 16V   D20DTR 11/…
SSANGYONG: Kyron 2.0 16V   D20DT 05/…
SSANGYONG: Kyron 2.0 16V   D20DT 10/…
SSANGYONG: Kyron 2.7 20V   D27DT 06/…
SSANGYONG: Rexton 2.7 20V   D27DT 04/…
SSANGYONG: Rexton 2.7 20V Turbo   D27DTP 11/…</v>
      </c>
      <c r="P388" s="12" t="str">
        <f aca="false">IFERROR(VLOOKUP($A388,Lista_Starke!$A:$E,2,0),"NÃO ESTÁ NA LISTA")</f>
        <v>SAPATA DE FREIO DE MÃO</v>
      </c>
    </row>
    <row r="389" customFormat="false" ht="15" hidden="false" customHeight="true" outlineLevel="0" collapsed="false">
      <c r="A389" s="10" t="s">
        <v>898</v>
      </c>
      <c r="B389" s="10" t="str">
        <f aca="false">IFERROR(VLOOKUP(A389,Pedido!$A:$B,2,0),"")</f>
        <v/>
      </c>
      <c r="C389" s="10" t="str">
        <f aca="false">IF(B389="","NÃO COMPRA","COMPRA")</f>
        <v>NÃO COMPRA</v>
      </c>
      <c r="D389" s="1" t="n">
        <f aca="false">IFERROR(VLOOKUP(A389,Pedido!$A:$C,3,0),0)</f>
        <v>0</v>
      </c>
      <c r="E389" s="5" t="n">
        <f aca="false">IFERROR(VLOOKUP(A389,Pedido!$A:$E,5,0),0)</f>
        <v>0</v>
      </c>
      <c r="F389" s="1" t="s">
        <v>8</v>
      </c>
      <c r="G389" s="1" t="s">
        <v>432</v>
      </c>
      <c r="H389" s="1" t="s">
        <v>131</v>
      </c>
      <c r="I389" s="1" t="s">
        <v>36</v>
      </c>
      <c r="J389" s="1" t="s">
        <v>899</v>
      </c>
      <c r="K389" s="1" t="n">
        <v>390</v>
      </c>
      <c r="L389" s="11" t="n">
        <v>0.76275863012153</v>
      </c>
      <c r="M389" s="1" t="n">
        <f aca="false">SUMIF(Relatorio_AK!$A:$A,A389,Relatorio_AK!$B:$B)</f>
        <v>390</v>
      </c>
      <c r="N389" s="1" t="str">
        <f aca="false">IF(M389=K389,"OK","DIF")</f>
        <v>OK</v>
      </c>
      <c r="O389" s="13" t="str">
        <f aca="false">IFERROR(VLOOKUP($A389,Lista_Starke!$A:$E,3,0),"NÃO ESTÁ NA LISTA")</f>
        <v>VOLKSWAGEN: Amarok 2.0 16V TDI   CDBA / CNFA 10/…
VOLKSWAGEN: Amarok 3.0 V6 TDI DDXB/DDXE 17/...</v>
      </c>
      <c r="P389" s="12" t="str">
        <f aca="false">IFERROR(VLOOKUP($A389,Lista_Starke!$A:$E,2,0),"NÃO ESTÁ NA LISTA")</f>
        <v>SAPATA DE FREIO</v>
      </c>
    </row>
    <row r="390" customFormat="false" ht="15" hidden="false" customHeight="true" outlineLevel="0" collapsed="false">
      <c r="A390" s="10" t="s">
        <v>900</v>
      </c>
      <c r="B390" s="10" t="str">
        <f aca="false">IFERROR(VLOOKUP(A390,Pedido!$A:$B,2,0),"")</f>
        <v/>
      </c>
      <c r="C390" s="10" t="str">
        <f aca="false">IF(B390="","NÃO COMPRA","COMPRA")</f>
        <v>NÃO COMPRA</v>
      </c>
      <c r="D390" s="1" t="n">
        <f aca="false">IFERROR(VLOOKUP(A390,Pedido!$A:$C,3,0),0)</f>
        <v>0</v>
      </c>
      <c r="E390" s="5" t="n">
        <f aca="false">IFERROR(VLOOKUP(A390,Pedido!$A:$E,5,0),0)</f>
        <v>0</v>
      </c>
      <c r="F390" s="1" t="s">
        <v>8</v>
      </c>
      <c r="G390" s="1" t="s">
        <v>901</v>
      </c>
      <c r="H390" s="1" t="s">
        <v>131</v>
      </c>
      <c r="I390" s="1" t="s">
        <v>373</v>
      </c>
      <c r="J390" s="1" t="s">
        <v>902</v>
      </c>
      <c r="K390" s="1" t="n">
        <v>387</v>
      </c>
      <c r="L390" s="11" t="n">
        <v>0.763420217212547</v>
      </c>
      <c r="M390" s="1" t="n">
        <f aca="false">SUMIF(Relatorio_AK!$A:$A,A390,Relatorio_AK!$B:$B)</f>
        <v>387</v>
      </c>
      <c r="N390" s="1" t="str">
        <f aca="false">IF(M390=K390,"OK","DIF")</f>
        <v>OK</v>
      </c>
      <c r="O390" s="13" t="str">
        <f aca="false">IFERROR(VLOOKUP($A390,Lista_Starke!$A:$E,3,0),"NÃO ESTÁ NA LISTA")</f>
        <v>MERCEDES-BENZ: Classe A 160 1.6 97/…
MERCEDES-BENZ: Classe A 190 1.9 98/…</v>
      </c>
      <c r="P390" s="12" t="str">
        <f aca="false">IFERROR(VLOOKUP($A390,Lista_Starke!$A:$E,2,0),"NÃO ESTÁ NA LISTA")</f>
        <v>SAPATA DE FREIO</v>
      </c>
    </row>
    <row r="391" customFormat="false" ht="15" hidden="false" customHeight="true" outlineLevel="0" collapsed="false">
      <c r="A391" s="10" t="s">
        <v>903</v>
      </c>
      <c r="B391" s="10" t="str">
        <f aca="false">IFERROR(VLOOKUP(A391,Pedido!$A:$B,2,0),"")</f>
        <v/>
      </c>
      <c r="C391" s="10" t="str">
        <f aca="false">IF(B391="","NÃO COMPRA","COMPRA")</f>
        <v>NÃO COMPRA</v>
      </c>
      <c r="D391" s="1" t="n">
        <f aca="false">IFERROR(VLOOKUP(A391,Pedido!$A:$C,3,0),0)</f>
        <v>0</v>
      </c>
      <c r="E391" s="5" t="n">
        <f aca="false">IFERROR(VLOOKUP(A391,Pedido!$A:$E,5,0),0)</f>
        <v>0</v>
      </c>
      <c r="F391" s="1" t="s">
        <v>8</v>
      </c>
      <c r="G391" s="1" t="s">
        <v>31</v>
      </c>
      <c r="H391" s="1" t="s">
        <v>32</v>
      </c>
      <c r="I391" s="1" t="s">
        <v>29</v>
      </c>
      <c r="J391" s="1" t="s">
        <v>904</v>
      </c>
      <c r="K391" s="1" t="n">
        <v>386</v>
      </c>
      <c r="L391" s="11" t="n">
        <v>0.764080094776197</v>
      </c>
      <c r="M391" s="1" t="n">
        <f aca="false">SUMIF(Relatorio_AK!$A:$A,A391,Relatorio_AK!$B:$B)</f>
        <v>386</v>
      </c>
      <c r="N391" s="1" t="str">
        <f aca="false">IF(M391=K391,"OK","DIF")</f>
        <v>OK</v>
      </c>
      <c r="O391" s="13" t="str">
        <f aca="false">IFERROR(VLOOKUP($A391,Lista_Starke!$A:$E,3,0),"NÃO ESTÁ NA LISTA")</f>
        <v>HYUNDAI: Elantra 2.0 16V 00/06
HYUNDAI: i30 2.0 16V 09/13</v>
      </c>
      <c r="P391" s="12" t="str">
        <f aca="false">IFERROR(VLOOKUP($A391,Lista_Starke!$A:$E,2,0),"NÃO ESTÁ NA LISTA")</f>
        <v>CILINDRO MESTRE DE EMBREAGEM</v>
      </c>
    </row>
    <row r="392" customFormat="false" ht="15" hidden="false" customHeight="true" outlineLevel="0" collapsed="false">
      <c r="A392" s="10" t="s">
        <v>905</v>
      </c>
      <c r="B392" s="10" t="str">
        <f aca="false">IFERROR(VLOOKUP(A392,Pedido!$A:$B,2,0),"")</f>
        <v/>
      </c>
      <c r="C392" s="10" t="str">
        <f aca="false">IF(B392="","NÃO COMPRA","COMPRA")</f>
        <v>NÃO COMPRA</v>
      </c>
      <c r="D392" s="1" t="n">
        <f aca="false">IFERROR(VLOOKUP(A392,Pedido!$A:$C,3,0),0)</f>
        <v>0</v>
      </c>
      <c r="E392" s="5" t="n">
        <f aca="false">IFERROR(VLOOKUP(A392,Pedido!$A:$E,5,0),0)</f>
        <v>0</v>
      </c>
      <c r="F392" s="1" t="s">
        <v>8</v>
      </c>
      <c r="G392" s="1" t="s">
        <v>307</v>
      </c>
      <c r="H392" s="1" t="s">
        <v>906</v>
      </c>
      <c r="I392" s="1" t="s">
        <v>97</v>
      </c>
      <c r="J392" s="1" t="s">
        <v>907</v>
      </c>
      <c r="K392" s="1" t="n">
        <v>385</v>
      </c>
      <c r="L392" s="11" t="n">
        <v>0.76473826281248</v>
      </c>
      <c r="M392" s="1" t="n">
        <f aca="false">SUMIF(Relatorio_AK!$A:$A,A392,Relatorio_AK!$B:$B)</f>
        <v>385</v>
      </c>
      <c r="N392" s="1" t="str">
        <f aca="false">IF(M392=K392,"OK","DIF")</f>
        <v>OK</v>
      </c>
      <c r="O392" s="13" t="str">
        <f aca="false">IFERROR(VLOOKUP($A392,Lista_Starke!$A:$E,3,0),"NÃO ESTÁ NA LISTA")</f>
        <v>FIAT: Fastback 1.3 16V Turbo 23/...
FIAT: Pulse 1.3 16V Turbo 22/...
FIAT: Toro 1.3 16V Turbo 21/...
JEEP: Commander 1.3 16V Turbo 22/...
JEEP: Compass 1.3 16V Turbo 21/...
JEEP: Renegade 1.3 16V Turbo 21/...</v>
      </c>
      <c r="P392" s="12" t="str">
        <f aca="false">IFERROR(VLOOKUP($A392,Lista_Starke!$A:$E,2,0),"NÃO ESTÁ NA LISTA")</f>
        <v>BOMBA D'ÁGUA AUXILIAR</v>
      </c>
    </row>
    <row r="393" customFormat="false" ht="15" hidden="false" customHeight="true" outlineLevel="0" collapsed="false">
      <c r="A393" s="10" t="s">
        <v>908</v>
      </c>
      <c r="B393" s="10" t="str">
        <f aca="false">IFERROR(VLOOKUP(A393,Pedido!$A:$B,2,0),"")</f>
        <v/>
      </c>
      <c r="C393" s="10" t="str">
        <f aca="false">IF(B393="","NÃO COMPRA","COMPRA")</f>
        <v>NÃO COMPRA</v>
      </c>
      <c r="D393" s="1" t="n">
        <f aca="false">IFERROR(VLOOKUP(A393,Pedido!$A:$C,3,0),0)</f>
        <v>0</v>
      </c>
      <c r="E393" s="5" t="n">
        <f aca="false">IFERROR(VLOOKUP(A393,Pedido!$A:$E,5,0),0)</f>
        <v>0</v>
      </c>
      <c r="F393" s="1" t="s">
        <v>8</v>
      </c>
      <c r="G393" s="1" t="s">
        <v>105</v>
      </c>
      <c r="H393" s="1" t="s">
        <v>88</v>
      </c>
      <c r="I393" s="1" t="s">
        <v>909</v>
      </c>
      <c r="J393" s="1" t="s">
        <v>910</v>
      </c>
      <c r="K393" s="1" t="n">
        <v>385</v>
      </c>
      <c r="L393" s="11" t="n">
        <v>0.765396430848763</v>
      </c>
      <c r="M393" s="1" t="n">
        <f aca="false">SUMIF(Relatorio_AK!$A:$A,A393,Relatorio_AK!$B:$B)</f>
        <v>385</v>
      </c>
      <c r="N393" s="1" t="str">
        <f aca="false">IF(M393=K393,"OK","DIF")</f>
        <v>OK</v>
      </c>
      <c r="O393" s="13" t="str">
        <f aca="false">IFERROR(VLOOKUP($A393,Lista_Starke!$A:$E,3,0),"NÃO ESTÁ NA LISTA")</f>
        <v>CITROEN: C3 1.5 8V c/ ABS 12/16
CITROEN: C3 1.6 16V 12/...
FIAT: Palio 1.0 8V Fire c/ ABS 09/11
FIAT: Palio 1.6 16V Etorq c/ ABS 11/11
FIAT: Palio 1.8 8V c/ ABS 03/10
FIAT: Siena 1.0 8V Fire c/ ABS 12/16
FIAT: Siena 1.0 8V Fire c/ABS 05/10
FIAT: Siena 1.4 8V 07/12
FIAT: Siena 1.6 16V Etorq 01/04
FIAT: Siena 1.6 16V Etorq 17/18
FIAT: Siena 1.8 8V c/ ABS 04/10
FORD: Ecosport 1.0 8V Zetec Rocam 03/06
FORD: Ecosport 1.6 8V Zetec Rocam 03/12
FORD: Ecosport 2.0 16V Duratec 03/08
FORD: Fiesta 1.0 8V Zetec Rocam 04/06
FORD: Fiesta 1.6 8V Zetec Rocam 04/06
PEUGEOT: 208 Active 1.6 16V EC5 21/...
PEUGEOT: 208 Active Pack 1.2 12V 16/19
PEUGEOT: 208 Allure 1.2 12V 16/20
PEUGEOT: 208 Allure 1.6 16V EC5 16/18
PEUGEOT: 208 Griffe 1.6 16V EC5 13/16
PEUGEOT: 208 Griffe 1.6 16V EC5 16/20
PEUGEOT: 208 Griffe 1.6 16V EC5 21/...
PEUGEOT: 208 GT Turbo 1.6 16V 17/20</v>
      </c>
      <c r="P393" s="12" t="str">
        <f aca="false">IFERROR(VLOOKUP($A393,Lista_Starke!$A:$E,2,0),"NÃO ESTÁ NA LISTA")</f>
        <v>CILINDRO DE RODA LE/LD</v>
      </c>
    </row>
    <row r="394" customFormat="false" ht="15" hidden="false" customHeight="true" outlineLevel="0" collapsed="false">
      <c r="A394" s="10" t="s">
        <v>911</v>
      </c>
      <c r="B394" s="10" t="str">
        <f aca="false">IFERROR(VLOOKUP(A394,Pedido!$A:$B,2,0),"")</f>
        <v/>
      </c>
      <c r="C394" s="10" t="str">
        <f aca="false">IF(B394="","NÃO COMPRA","COMPRA")</f>
        <v>NÃO COMPRA</v>
      </c>
      <c r="D394" s="1" t="n">
        <f aca="false">IFERROR(VLOOKUP(A394,Pedido!$A:$C,3,0),0)</f>
        <v>0</v>
      </c>
      <c r="E394" s="5" t="n">
        <f aca="false">IFERROR(VLOOKUP(A394,Pedido!$A:$E,5,0),0)</f>
        <v>0</v>
      </c>
      <c r="F394" s="1" t="s">
        <v>8</v>
      </c>
      <c r="G394" s="1" t="s">
        <v>912</v>
      </c>
      <c r="H394" s="1" t="s">
        <v>197</v>
      </c>
      <c r="I394" s="1" t="s">
        <v>913</v>
      </c>
      <c r="J394" s="1" t="s">
        <v>914</v>
      </c>
      <c r="K394" s="1" t="n">
        <v>383</v>
      </c>
      <c r="L394" s="11" t="n">
        <v>0.766051179830312</v>
      </c>
      <c r="M394" s="1" t="n">
        <f aca="false">SUMIF(Relatorio_AK!$A:$A,A394,Relatorio_AK!$B:$B)</f>
        <v>383</v>
      </c>
      <c r="N394" s="1" t="str">
        <f aca="false">IF(M394=K394,"OK","DIF")</f>
        <v>OK</v>
      </c>
      <c r="O394" s="13" t="str">
        <f aca="false">IFERROR(VLOOKUP($A394,Lista_Starke!$A:$E,3,0),"NÃO ESTÁ NA LISTA")</f>
        <v>PORSCHE: Cayenne 3.6 V6 M55.02 / MCE.YA 10/...
VOLKSWAGEN: Touareg 3.6 V6 FSI CGRA 10/...</v>
      </c>
      <c r="P394" s="12" t="str">
        <f aca="false">IFERROR(VLOOKUP($A394,Lista_Starke!$A:$E,2,0),"NÃO ESTÁ NA LISTA")</f>
        <v>BOMBA D'ÁGUA</v>
      </c>
    </row>
    <row r="395" customFormat="false" ht="15" hidden="false" customHeight="true" outlineLevel="0" collapsed="false">
      <c r="A395" s="10" t="s">
        <v>915</v>
      </c>
      <c r="B395" s="10" t="str">
        <f aca="false">IFERROR(VLOOKUP(A395,Pedido!$A:$B,2,0),"")</f>
        <v/>
      </c>
      <c r="C395" s="10" t="str">
        <f aca="false">IF(B395="","NÃO COMPRA","COMPRA")</f>
        <v>NÃO COMPRA</v>
      </c>
      <c r="D395" s="1" t="n">
        <f aca="false">IFERROR(VLOOKUP(A395,Pedido!$A:$C,3,0),0)</f>
        <v>0</v>
      </c>
      <c r="E395" s="5" t="n">
        <f aca="false">IFERROR(VLOOKUP(A395,Pedido!$A:$E,5,0),0)</f>
        <v>0</v>
      </c>
      <c r="F395" s="1" t="s">
        <v>8</v>
      </c>
      <c r="G395" s="1" t="s">
        <v>548</v>
      </c>
      <c r="H395" s="1" t="s">
        <v>157</v>
      </c>
      <c r="I395" s="1" t="s">
        <v>53</v>
      </c>
      <c r="J395" s="1" t="s">
        <v>916</v>
      </c>
      <c r="K395" s="1" t="n">
        <v>382</v>
      </c>
      <c r="L395" s="11" t="n">
        <v>0.766704219284494</v>
      </c>
      <c r="M395" s="1" t="n">
        <f aca="false">SUMIF(Relatorio_AK!$A:$A,A395,Relatorio_AK!$B:$B)</f>
        <v>382</v>
      </c>
      <c r="N395" s="1" t="str">
        <f aca="false">IF(M395=K395,"OK","DIF")</f>
        <v>OK</v>
      </c>
      <c r="O395" s="13" t="str">
        <f aca="false">IFERROR(VLOOKUP($A395,Lista_Starke!$A:$E,3,0),"NÃO ESTÁ NA LISTA")</f>
        <v>FORD: Explorer 4.0 V6 91/97
FORD: F1000 4.9 V6 …/98
FORD: F1000 XL / XLT 2.5 Turbo Diesel Maxion HS …/98
FORD: F350 4.9 V6 …/98
FORD: Ranger 2.3 16V 93/...
FORD: Ranger 2.5 16V Duratec 07/…
FORD: Ranger 2.5 Turbo Diesel Maxion HS 96/06
FORD: Ranger 2.8 Turbo Diesel Maxion HS 98/06
FORD: Ranger 3.0 Turbo Diesel  NGD 05/…
FORD: Ranger 4.0 V6 90/98</v>
      </c>
      <c r="P395" s="12" t="str">
        <f aca="false">IFERROR(VLOOKUP($A395,Lista_Starke!$A:$E,2,0),"NÃO ESTÁ NA LISTA")</f>
        <v>ATUADOR DE EMBREAGEM</v>
      </c>
    </row>
    <row r="396" customFormat="false" ht="15" hidden="false" customHeight="true" outlineLevel="0" collapsed="false">
      <c r="A396" s="10" t="s">
        <v>917</v>
      </c>
      <c r="B396" s="10" t="str">
        <f aca="false">IFERROR(VLOOKUP(A396,Pedido!$A:$B,2,0),"")</f>
        <v/>
      </c>
      <c r="C396" s="10" t="str">
        <f aca="false">IF(B396="","NÃO COMPRA","COMPRA")</f>
        <v>NÃO COMPRA</v>
      </c>
      <c r="D396" s="1" t="n">
        <f aca="false">IFERROR(VLOOKUP(A396,Pedido!$A:$C,3,0),0)</f>
        <v>0</v>
      </c>
      <c r="E396" s="5" t="n">
        <f aca="false">IFERROR(VLOOKUP(A396,Pedido!$A:$E,5,0),0)</f>
        <v>0</v>
      </c>
      <c r="F396" s="1" t="s">
        <v>8</v>
      </c>
      <c r="G396" s="1" t="s">
        <v>918</v>
      </c>
      <c r="H396" s="1" t="s">
        <v>157</v>
      </c>
      <c r="I396" s="1" t="s">
        <v>215</v>
      </c>
      <c r="J396" s="1" t="s">
        <v>919</v>
      </c>
      <c r="K396" s="1" t="n">
        <v>382</v>
      </c>
      <c r="L396" s="11" t="n">
        <v>0.767357258738676</v>
      </c>
      <c r="M396" s="1" t="n">
        <f aca="false">SUMIF(Relatorio_AK!$A:$A,A396,Relatorio_AK!$B:$B)</f>
        <v>382</v>
      </c>
      <c r="N396" s="1" t="str">
        <f aca="false">IF(M396=K396,"OK","DIF")</f>
        <v>OK</v>
      </c>
      <c r="O396" s="13" t="str">
        <f aca="false">IFERROR(VLOOKUP($A396,Lista_Starke!$A:$E,3,0),"NÃO ESTÁ NA LISTA")</f>
        <v>NISSAN: Frontier 2.8 Turbo Diesel MWM 4.07TCA 03/…
NISSAN: X Terra 2.8 Turbo Diesel MWM 4.07TCA 03/…</v>
      </c>
      <c r="P396" s="12" t="str">
        <f aca="false">IFERROR(VLOOKUP($A396,Lista_Starke!$A:$E,2,0),"NÃO ESTÁ NA LISTA")</f>
        <v>ATUADOR DE EMBREAGEM</v>
      </c>
    </row>
    <row r="397" customFormat="false" ht="15" hidden="false" customHeight="true" outlineLevel="0" collapsed="false">
      <c r="A397" s="10" t="s">
        <v>920</v>
      </c>
      <c r="B397" s="10" t="str">
        <f aca="false">IFERROR(VLOOKUP(A397,Pedido!$A:$B,2,0),"")</f>
        <v/>
      </c>
      <c r="C397" s="10" t="str">
        <f aca="false">IF(B397="","NÃO COMPRA","COMPRA")</f>
        <v>NÃO COMPRA</v>
      </c>
      <c r="D397" s="1" t="n">
        <f aca="false">IFERROR(VLOOKUP(A397,Pedido!$A:$C,3,0),0)</f>
        <v>0</v>
      </c>
      <c r="E397" s="5" t="n">
        <f aca="false">IFERROR(VLOOKUP(A397,Pedido!$A:$E,5,0),0)</f>
        <v>0</v>
      </c>
      <c r="F397" s="1" t="s">
        <v>8</v>
      </c>
      <c r="G397" s="1" t="s">
        <v>344</v>
      </c>
      <c r="H397" s="1" t="s">
        <v>126</v>
      </c>
      <c r="I397" s="1" t="s">
        <v>36</v>
      </c>
      <c r="J397" s="1" t="s">
        <v>921</v>
      </c>
      <c r="K397" s="1" t="n">
        <v>382</v>
      </c>
      <c r="L397" s="11" t="n">
        <v>0.768010298192858</v>
      </c>
      <c r="M397" s="1" t="n">
        <f aca="false">SUMIF(Relatorio_AK!$A:$A,A397,Relatorio_AK!$B:$B)</f>
        <v>382</v>
      </c>
      <c r="N397" s="1" t="str">
        <f aca="false">IF(M397=K397,"OK","DIF")</f>
        <v>OK</v>
      </c>
      <c r="O397" s="13" t="str">
        <f aca="false">IFERROR(VLOOKUP($A397,Lista_Starke!$A:$E,3,0),"NÃO ESTÁ NA LISTA")</f>
        <v>VOLKSWAGEN: Golf 1.8 16V / 2.0 12V 06/...
VOLKSWAGEN: Jetta 2.5 20V 5 cil   BTK 07/12
VOLKSWAGEN: Jetta Variant 2.5 20V 5 cil   BTK 07/...
VOLKSWAGEN: New Beetle 1.8 20V Turbo 98/…
VOLKSWAGEN: New Beetle 2.0 8V AWV / AWU / AQY 99/…</v>
      </c>
      <c r="P397" s="12" t="str">
        <f aca="false">IFERROR(VLOOKUP($A397,Lista_Starke!$A:$E,2,0),"NÃO ESTÁ NA LISTA")</f>
        <v>RESFRIADOR DE ÓLEO CÂMBIO</v>
      </c>
    </row>
    <row r="398" customFormat="false" ht="15" hidden="false" customHeight="true" outlineLevel="0" collapsed="false">
      <c r="A398" s="10" t="s">
        <v>922</v>
      </c>
      <c r="B398" s="10" t="str">
        <f aca="false">IFERROR(VLOOKUP(A398,Pedido!$A:$B,2,0),"")</f>
        <v/>
      </c>
      <c r="C398" s="10" t="str">
        <f aca="false">IF(B398="","NÃO COMPRA","COMPRA")</f>
        <v>NÃO COMPRA</v>
      </c>
      <c r="D398" s="1" t="n">
        <f aca="false">IFERROR(VLOOKUP(A398,Pedido!$A:$C,3,0),0)</f>
        <v>0</v>
      </c>
      <c r="E398" s="5" t="n">
        <f aca="false">IFERROR(VLOOKUP(A398,Pedido!$A:$E,5,0),0)</f>
        <v>0</v>
      </c>
      <c r="F398" s="1" t="s">
        <v>8</v>
      </c>
      <c r="G398" s="1" t="s">
        <v>640</v>
      </c>
      <c r="H398" s="1" t="s">
        <v>845</v>
      </c>
      <c r="I398" s="1" t="s">
        <v>177</v>
      </c>
      <c r="J398" s="1" t="s">
        <v>923</v>
      </c>
      <c r="K398" s="1" t="n">
        <v>381</v>
      </c>
      <c r="L398" s="11" t="n">
        <v>0.768661628119674</v>
      </c>
      <c r="M398" s="1" t="n">
        <f aca="false">SUMIF(Relatorio_AK!$A:$A,A398,Relatorio_AK!$B:$B)</f>
        <v>381</v>
      </c>
      <c r="N398" s="1" t="str">
        <f aca="false">IF(M398=K398,"OK","DIF")</f>
        <v>OK</v>
      </c>
      <c r="O398" s="13" t="str">
        <f aca="false">IFERROR(VLOOKUP($A398,Lista_Starke!$A:$E,3,0),"NÃO ESTÁ NA LISTA")</f>
        <v>TOYOTA: Corolla 1.8 16V 03/08
TOYOTA: Fielder 1.8 16V 03/08</v>
      </c>
      <c r="P398" s="12" t="str">
        <f aca="false">IFERROR(VLOOKUP($A398,Lista_Starke!$A:$E,2,0),"NÃO ESTÁ NA LISTA")</f>
        <v>SAPATA DE FREIO DE MÃO</v>
      </c>
    </row>
    <row r="399" customFormat="false" ht="15" hidden="false" customHeight="true" outlineLevel="0" collapsed="false">
      <c r="A399" s="10" t="s">
        <v>924</v>
      </c>
      <c r="B399" s="10" t="str">
        <f aca="false">IFERROR(VLOOKUP(A399,Pedido!$A:$B,2,0),"")</f>
        <v/>
      </c>
      <c r="C399" s="10" t="str">
        <f aca="false">IF(B399="","NÃO COMPRA","COMPRA")</f>
        <v>NÃO COMPRA</v>
      </c>
      <c r="D399" s="1" t="n">
        <f aca="false">IFERROR(VLOOKUP(A399,Pedido!$A:$C,3,0),0)</f>
        <v>0</v>
      </c>
      <c r="E399" s="5" t="n">
        <f aca="false">IFERROR(VLOOKUP(A399,Pedido!$A:$E,5,0),0)</f>
        <v>0</v>
      </c>
      <c r="F399" s="1" t="s">
        <v>8</v>
      </c>
      <c r="G399" s="1" t="s">
        <v>214</v>
      </c>
      <c r="H399" s="1" t="s">
        <v>35</v>
      </c>
      <c r="I399" s="1" t="s">
        <v>215</v>
      </c>
      <c r="K399" s="1" t="n">
        <v>380</v>
      </c>
      <c r="L399" s="11" t="n">
        <v>0.769311248519122</v>
      </c>
      <c r="M399" s="1" t="n">
        <f aca="false">SUMIF(Relatorio_AK!$A:$A,A399,Relatorio_AK!$B:$B)</f>
        <v>380</v>
      </c>
      <c r="N399" s="1" t="str">
        <f aca="false">IF(M399=K399,"OK","DIF")</f>
        <v>OK</v>
      </c>
      <c r="O399" s="13" t="str">
        <f aca="false">IFERROR(VLOOKUP($A399,Lista_Starke!$A:$E,3,0),"NÃO ESTÁ NA LISTA")</f>
        <v>NISSAN: Grand Livina 1.8 16V 09/...
NISSAN: Livina 1.8 16V 09/...
NISSAN: Tiida 1.8 16V 07/...</v>
      </c>
      <c r="P399" s="12" t="str">
        <f aca="false">IFERROR(VLOOKUP($A399,Lista_Starke!$A:$E,2,0),"NÃO ESTÁ NA LISTA")</f>
        <v>CILINDRO MESTRE DE FREIO</v>
      </c>
    </row>
    <row r="400" customFormat="false" ht="15" hidden="false" customHeight="true" outlineLevel="0" collapsed="false">
      <c r="A400" s="10" t="s">
        <v>925</v>
      </c>
      <c r="B400" s="10" t="str">
        <f aca="false">IFERROR(VLOOKUP(A400,Pedido!$A:$B,2,0),"")</f>
        <v/>
      </c>
      <c r="C400" s="10" t="str">
        <f aca="false">IF(B400="","NÃO COMPRA","COMPRA")</f>
        <v>NÃO COMPRA</v>
      </c>
      <c r="D400" s="1" t="n">
        <f aca="false">IFERROR(VLOOKUP(A400,Pedido!$A:$C,3,0),0)</f>
        <v>0</v>
      </c>
      <c r="E400" s="5" t="n">
        <f aca="false">IFERROR(VLOOKUP(A400,Pedido!$A:$E,5,0),0)</f>
        <v>0</v>
      </c>
      <c r="F400" s="1" t="s">
        <v>8</v>
      </c>
      <c r="G400" s="1" t="s">
        <v>65</v>
      </c>
      <c r="H400" s="1" t="s">
        <v>35</v>
      </c>
      <c r="I400" s="1" t="s">
        <v>46</v>
      </c>
      <c r="J400" s="1" t="s">
        <v>926</v>
      </c>
      <c r="K400" s="1" t="n">
        <v>378</v>
      </c>
      <c r="L400" s="11" t="n">
        <v>0.769957449863836</v>
      </c>
      <c r="M400" s="1" t="n">
        <f aca="false">SUMIF(Relatorio_AK!$A:$A,A400,Relatorio_AK!$B:$B)</f>
        <v>378</v>
      </c>
      <c r="N400" s="1" t="str">
        <f aca="false">IF(M400=K400,"OK","DIF")</f>
        <v>OK</v>
      </c>
      <c r="O400" s="13" t="str">
        <f aca="false">IFERROR(VLOOKUP($A400,Lista_Starke!$A:$E,3,0),"NÃO ESTÁ NA LISTA")</f>
        <v>FIAT: Toro 1.8 16V Etorq 16/...
FIAT: Toro 2.4 16V Tigershark 16/20</v>
      </c>
      <c r="P400" s="12" t="str">
        <f aca="false">IFERROR(VLOOKUP($A400,Lista_Starke!$A:$E,2,0),"NÃO ESTÁ NA LISTA")</f>
        <v>CILINDRO MESTRE DE FREIO</v>
      </c>
    </row>
    <row r="401" customFormat="false" ht="15" hidden="false" customHeight="true" outlineLevel="0" collapsed="false">
      <c r="A401" s="10" t="s">
        <v>927</v>
      </c>
      <c r="B401" s="10" t="str">
        <f aca="false">IFERROR(VLOOKUP(A401,Pedido!$A:$B,2,0),"")</f>
        <v/>
      </c>
      <c r="C401" s="10" t="str">
        <f aca="false">IF(B401="","NÃO COMPRA","COMPRA")</f>
        <v>NÃO COMPRA</v>
      </c>
      <c r="D401" s="1" t="n">
        <f aca="false">IFERROR(VLOOKUP(A401,Pedido!$A:$C,3,0),0)</f>
        <v>0</v>
      </c>
      <c r="E401" s="5" t="n">
        <f aca="false">IFERROR(VLOOKUP(A401,Pedido!$A:$E,5,0),0)</f>
        <v>0</v>
      </c>
      <c r="F401" s="1" t="s">
        <v>8</v>
      </c>
      <c r="G401" s="1" t="s">
        <v>928</v>
      </c>
      <c r="H401" s="1" t="s">
        <v>131</v>
      </c>
      <c r="I401" s="1" t="s">
        <v>929</v>
      </c>
      <c r="J401" s="1" t="s">
        <v>930</v>
      </c>
      <c r="K401" s="1" t="n">
        <v>377</v>
      </c>
      <c r="L401" s="11" t="n">
        <v>0.770601941681183</v>
      </c>
      <c r="M401" s="1" t="n">
        <f aca="false">SUMIF(Relatorio_AK!$A:$A,A401,Relatorio_AK!$B:$B)</f>
        <v>377</v>
      </c>
      <c r="N401" s="1" t="str">
        <f aca="false">IF(M401=K401,"OK","DIF")</f>
        <v>OK</v>
      </c>
      <c r="O401" s="13" t="str">
        <f aca="false">IFERROR(VLOOKUP($A401,Lista_Starke!$A:$E,3,0),"NÃO ESTÁ NA LISTA")</f>
        <v>SUZUKI: Jimny 1.3 16V 14/...
SUZUKI: Jimny 1.3 16V 4WD 00/13
SUZUKI: Jimny 1.3 16V 98/08
SUZUKI: Jimny 1.5 16V 19/...</v>
      </c>
      <c r="P401" s="12" t="str">
        <f aca="false">IFERROR(VLOOKUP($A401,Lista_Starke!$A:$E,2,0),"NÃO ESTÁ NA LISTA")</f>
        <v>SAPATA DE FREIO</v>
      </c>
    </row>
    <row r="402" customFormat="false" ht="15" hidden="false" customHeight="true" outlineLevel="0" collapsed="false">
      <c r="A402" s="10" t="s">
        <v>931</v>
      </c>
      <c r="B402" s="10" t="str">
        <f aca="false">IFERROR(VLOOKUP(A402,Pedido!$A:$B,2,0),"")</f>
        <v/>
      </c>
      <c r="C402" s="10" t="str">
        <f aca="false">IF(B402="","NÃO COMPRA","COMPRA")</f>
        <v>NÃO COMPRA</v>
      </c>
      <c r="D402" s="1" t="n">
        <f aca="false">IFERROR(VLOOKUP(A402,Pedido!$A:$C,3,0),0)</f>
        <v>0</v>
      </c>
      <c r="E402" s="5" t="n">
        <f aca="false">IFERROR(VLOOKUP(A402,Pedido!$A:$E,5,0),0)</f>
        <v>0</v>
      </c>
      <c r="F402" s="1" t="s">
        <v>8</v>
      </c>
      <c r="G402" s="1" t="s">
        <v>225</v>
      </c>
      <c r="H402" s="1" t="s">
        <v>35</v>
      </c>
      <c r="I402" s="1" t="s">
        <v>226</v>
      </c>
      <c r="K402" s="1" t="n">
        <v>376</v>
      </c>
      <c r="L402" s="11" t="n">
        <v>0.771244723971164</v>
      </c>
      <c r="M402" s="1" t="n">
        <f aca="false">SUMIF(Relatorio_AK!$A:$A,A402,Relatorio_AK!$B:$B)</f>
        <v>376</v>
      </c>
      <c r="N402" s="1" t="str">
        <f aca="false">IF(M402=K402,"OK","DIF")</f>
        <v>OK</v>
      </c>
      <c r="O402" s="13" t="str">
        <f aca="false">IFERROR(VLOOKUP($A402,Lista_Starke!$A:$E,3,0),"NÃO ESTÁ NA LISTA")</f>
        <v>AUDI: A3 1.4 TFSI 13/...
AUDI: A3 1.6 08/13
AUDI: A3 1.8 TFSI 04/13
VOLKSWAGEN: Jetta 2.0 16V 10/...
VOLKSWAGEN: Jetta 2.5 20V 5 cil 05/09</v>
      </c>
      <c r="P402" s="12" t="str">
        <f aca="false">IFERROR(VLOOKUP($A402,Lista_Starke!$A:$E,2,0),"NÃO ESTÁ NA LISTA")</f>
        <v>CILINDRO MESTRE DE FREIO</v>
      </c>
    </row>
    <row r="403" customFormat="false" ht="15" hidden="false" customHeight="true" outlineLevel="0" collapsed="false">
      <c r="A403" s="10" t="s">
        <v>932</v>
      </c>
      <c r="B403" s="10" t="str">
        <f aca="false">IFERROR(VLOOKUP(A403,Pedido!$A:$B,2,0),"")</f>
        <v/>
      </c>
      <c r="C403" s="10" t="str">
        <f aca="false">IF(B403="","NÃO COMPRA","COMPRA")</f>
        <v>NÃO COMPRA</v>
      </c>
      <c r="D403" s="1" t="n">
        <f aca="false">IFERROR(VLOOKUP(A403,Pedido!$A:$C,3,0),0)</f>
        <v>0</v>
      </c>
      <c r="E403" s="5" t="n">
        <f aca="false">IFERROR(VLOOKUP(A403,Pedido!$A:$E,5,0),0)</f>
        <v>0</v>
      </c>
      <c r="F403" s="1" t="s">
        <v>8</v>
      </c>
      <c r="G403" s="1" t="s">
        <v>193</v>
      </c>
      <c r="H403" s="1" t="s">
        <v>32</v>
      </c>
      <c r="I403" s="1" t="s">
        <v>53</v>
      </c>
      <c r="J403" s="1" t="s">
        <v>933</v>
      </c>
      <c r="K403" s="1" t="n">
        <v>376</v>
      </c>
      <c r="L403" s="11" t="n">
        <v>0.771887506261144</v>
      </c>
      <c r="M403" s="1" t="n">
        <f aca="false">SUMIF(Relatorio_AK!$A:$A,A403,Relatorio_AK!$B:$B)</f>
        <v>376</v>
      </c>
      <c r="N403" s="1" t="str">
        <f aca="false">IF(M403=K403,"OK","DIF")</f>
        <v>OK</v>
      </c>
      <c r="O403" s="13" t="str">
        <f aca="false">IFERROR(VLOOKUP($A403,Lista_Starke!$A:$E,3,0),"NÃO ESTÁ NA LISTA")</f>
        <v>FORD: Ecosport 1.0 8V Supercharger 03/...
FORD: Ecosport 1.6 8V Zetec Rocam 03/...
FORD: Ecosport 2.0 16V Duratec 03/...
FORD: Fiesta 1.0 8V Supercharger 02/...
FORD: Fiesta 1.6 8V Zetec Rocam 02/...</v>
      </c>
      <c r="P403" s="12" t="str">
        <f aca="false">IFERROR(VLOOKUP($A403,Lista_Starke!$A:$E,2,0),"NÃO ESTÁ NA LISTA")</f>
        <v>CILINDRO MESTRE DE EMBREAGEM</v>
      </c>
    </row>
    <row r="404" customFormat="false" ht="15" hidden="false" customHeight="true" outlineLevel="0" collapsed="false">
      <c r="A404" s="10" t="s">
        <v>934</v>
      </c>
      <c r="B404" s="10" t="str">
        <f aca="false">IFERROR(VLOOKUP(A404,Pedido!$A:$B,2,0),"")</f>
        <v/>
      </c>
      <c r="C404" s="10" t="str">
        <f aca="false">IF(B404="","NÃO COMPRA","COMPRA")</f>
        <v>NÃO COMPRA</v>
      </c>
      <c r="D404" s="1" t="n">
        <f aca="false">IFERROR(VLOOKUP(A404,Pedido!$A:$C,3,0),0)</f>
        <v>0</v>
      </c>
      <c r="E404" s="5" t="n">
        <f aca="false">IFERROR(VLOOKUP(A404,Pedido!$A:$E,5,0),0)</f>
        <v>0</v>
      </c>
      <c r="F404" s="1" t="s">
        <v>8</v>
      </c>
      <c r="G404" s="1" t="s">
        <v>130</v>
      </c>
      <c r="H404" s="1" t="s">
        <v>131</v>
      </c>
      <c r="I404" s="1" t="s">
        <v>46</v>
      </c>
      <c r="J404" s="1" t="s">
        <v>935</v>
      </c>
      <c r="K404" s="1" t="n">
        <v>376</v>
      </c>
      <c r="L404" s="11" t="n">
        <v>0.772530288551124</v>
      </c>
      <c r="M404" s="1" t="n">
        <f aca="false">SUMIF(Relatorio_AK!$A:$A,A404,Relatorio_AK!$B:$B)</f>
        <v>376</v>
      </c>
      <c r="N404" s="1" t="str">
        <f aca="false">IF(M404=K404,"OK","DIF")</f>
        <v>OK</v>
      </c>
      <c r="O404" s="13" t="str">
        <f aca="false">IFERROR(VLOOKUP($A404,Lista_Starke!$A:$E,3,0),"NÃO ESTÁ NA LISTA")</f>
        <v>FIAT: Toro 1.3 16V Turbo 21/...
FIAT: Toro 1.8 16V 16/...
FIAT: Toro 2.4 16V 16/20</v>
      </c>
      <c r="P404" s="12" t="str">
        <f aca="false">IFERROR(VLOOKUP($A404,Lista_Starke!$A:$E,2,0),"NÃO ESTÁ NA LISTA")</f>
        <v>SAPATA DE FREIO</v>
      </c>
    </row>
    <row r="405" customFormat="false" ht="15" hidden="false" customHeight="true" outlineLevel="0" collapsed="false">
      <c r="A405" s="10" t="s">
        <v>936</v>
      </c>
      <c r="B405" s="10" t="str">
        <f aca="false">IFERROR(VLOOKUP(A405,Pedido!$A:$B,2,0),"")</f>
        <v/>
      </c>
      <c r="C405" s="10" t="str">
        <f aca="false">IF(B405="","NÃO COMPRA","COMPRA")</f>
        <v>NÃO COMPRA</v>
      </c>
      <c r="D405" s="1" t="n">
        <f aca="false">IFERROR(VLOOKUP(A405,Pedido!$A:$C,3,0),0)</f>
        <v>0</v>
      </c>
      <c r="E405" s="5" t="n">
        <f aca="false">IFERROR(VLOOKUP(A405,Pedido!$A:$E,5,0),0)</f>
        <v>0</v>
      </c>
      <c r="F405" s="1" t="s">
        <v>8</v>
      </c>
      <c r="G405" s="1" t="s">
        <v>937</v>
      </c>
      <c r="H405" s="1" t="s">
        <v>790</v>
      </c>
      <c r="I405" s="1" t="s">
        <v>938</v>
      </c>
      <c r="J405" s="1" t="s">
        <v>939</v>
      </c>
      <c r="K405" s="1" t="n">
        <v>376</v>
      </c>
      <c r="L405" s="11" t="n">
        <v>0.773173070841104</v>
      </c>
      <c r="M405" s="1" t="n">
        <f aca="false">SUMIF(Relatorio_AK!$A:$A,A405,Relatorio_AK!$B:$B)</f>
        <v>376</v>
      </c>
      <c r="N405" s="1" t="str">
        <f aca="false">IF(M405=K405,"OK","DIF")</f>
        <v>OK</v>
      </c>
      <c r="O405" s="13" t="str">
        <f aca="false">IFERROR(VLOOKUP($A405,Lista_Starke!$A:$E,3,0),"NÃO ESTÁ NA LISTA")</f>
        <v>JAGUAR: F-Pace 2.0 Ti4 AWD PT204 17/...
LAND ROVER: Defender 2.0 P300 MHEV 4x4 PT204 23/...
LAND ROVER: Defender 2.0 P300 Si4 4x4 PT204 19/...
LAND ROVER: Defender 2.0 P400e Hybrid 4x4 PT204 20/...
LAND ROVER: Discovery Sport 2.0 P200 4x4 PT204 20/...
LAND ROVER: Discovery Sport 2.0 P200 Flex MHEV 4x4 PT204 20/...
LAND ROVER: Discovery Sport 2.0 P250 4x4 PT204 19/...
LAND ROVER: Discovery Sport 2.0 P290 MHEV 4x4 PT204 20/...
LAND ROVER: Discovery Sport 2.0 S1i 4x4 PT204 17/...
LAND ROVER: Discovery V 2.0 S14 4x4 PT204 17/...
LAND ROVER: Evoque 2.0 4x4 PT204 17/19
LAND ROVER: Range Rover 2.0 P400e Hybrid 4x4 PT204 17/...
LAND ROVER: Range Rover Sport 2.0 P400e PHEV 4x4 PT204 17/...
LAND ROVER: Range Rover Sport 2.0 S14 4x4 PT204 17/...
LAND ROVER: Velar 2.0 P250 Si4 4x4 PT204 17/...
LAND ROVER: Velar 2.0 P300 Si4 4x4 17/...</v>
      </c>
      <c r="P405" s="12" t="str">
        <f aca="false">IFERROR(VLOOKUP($A405,Lista_Starke!$A:$E,2,0),"NÃO ESTÁ NA LISTA")</f>
        <v>BOMBA D'ÁGUA ELÉTRICA</v>
      </c>
    </row>
    <row r="406" customFormat="false" ht="15" hidden="false" customHeight="true" outlineLevel="0" collapsed="false">
      <c r="A406" s="10" t="s">
        <v>940</v>
      </c>
      <c r="B406" s="10" t="str">
        <f aca="false">IFERROR(VLOOKUP(A406,Pedido!$A:$B,2,0),"")</f>
        <v/>
      </c>
      <c r="C406" s="10" t="str">
        <f aca="false">IF(B406="","NÃO COMPRA","COMPRA")</f>
        <v>NÃO COMPRA</v>
      </c>
      <c r="D406" s="1" t="n">
        <f aca="false">IFERROR(VLOOKUP(A406,Pedido!$A:$C,3,0),0)</f>
        <v>0</v>
      </c>
      <c r="E406" s="5" t="n">
        <f aca="false">IFERROR(VLOOKUP(A406,Pedido!$A:$E,5,0),0)</f>
        <v>0</v>
      </c>
      <c r="F406" s="1" t="s">
        <v>8</v>
      </c>
      <c r="G406" s="1" t="s">
        <v>191</v>
      </c>
      <c r="H406" s="1" t="s">
        <v>35</v>
      </c>
      <c r="I406" s="1" t="s">
        <v>50</v>
      </c>
      <c r="K406" s="1" t="n">
        <v>375</v>
      </c>
      <c r="L406" s="11" t="n">
        <v>0.773814143603718</v>
      </c>
      <c r="M406" s="1" t="n">
        <f aca="false">SUMIF(Relatorio_AK!$A:$A,A406,Relatorio_AK!$B:$B)</f>
        <v>375</v>
      </c>
      <c r="N406" s="1" t="str">
        <f aca="false">IF(M406=K406,"OK","DIF")</f>
        <v>OK</v>
      </c>
      <c r="O406" s="12" t="str">
        <f aca="false">IFERROR(VLOOKUP($A406,Lista_Starke!$A:$E,3,0),"NÃO ESTÁ NA LISTA")</f>
        <v>HONDA: New Civic 2.0 16V 16/...</v>
      </c>
      <c r="P406" s="12" t="str">
        <f aca="false">IFERROR(VLOOKUP($A406,Lista_Starke!$A:$E,2,0),"NÃO ESTÁ NA LISTA")</f>
        <v>CILINDRO MESTRE DE FREIO</v>
      </c>
    </row>
    <row r="407" customFormat="false" ht="15" hidden="false" customHeight="true" outlineLevel="0" collapsed="false">
      <c r="A407" s="10" t="s">
        <v>941</v>
      </c>
      <c r="B407" s="10" t="str">
        <f aca="false">IFERROR(VLOOKUP(A407,Pedido!$A:$B,2,0),"")</f>
        <v/>
      </c>
      <c r="C407" s="10" t="str">
        <f aca="false">IF(B407="","NÃO COMPRA","COMPRA")</f>
        <v>NÃO COMPRA</v>
      </c>
      <c r="D407" s="1" t="n">
        <f aca="false">IFERROR(VLOOKUP(A407,Pedido!$A:$C,3,0),0)</f>
        <v>0</v>
      </c>
      <c r="E407" s="5" t="n">
        <f aca="false">IFERROR(VLOOKUP(A407,Pedido!$A:$E,5,0),0)</f>
        <v>0</v>
      </c>
      <c r="F407" s="1" t="s">
        <v>8</v>
      </c>
      <c r="G407" s="1" t="s">
        <v>180</v>
      </c>
      <c r="H407" s="1" t="s">
        <v>28</v>
      </c>
      <c r="I407" s="1" t="s">
        <v>50</v>
      </c>
      <c r="J407" s="1" t="s">
        <v>942</v>
      </c>
      <c r="K407" s="1" t="n">
        <v>374</v>
      </c>
      <c r="L407" s="11" t="n">
        <v>0.774453506838964</v>
      </c>
      <c r="M407" s="1" t="n">
        <f aca="false">SUMIF(Relatorio_AK!$A:$A,A407,Relatorio_AK!$B:$B)</f>
        <v>374</v>
      </c>
      <c r="N407" s="1" t="str">
        <f aca="false">IF(M407=K407,"OK","DIF")</f>
        <v>OK</v>
      </c>
      <c r="O407" s="12" t="str">
        <f aca="false">IFERROR(VLOOKUP($A407,Lista_Starke!$A:$E,3,0),"NÃO ESTÁ NA LISTA")</f>
        <v>HONDA: Civic 1.7 16V VTEC 01/05</v>
      </c>
      <c r="P407" s="12" t="str">
        <f aca="false">IFERROR(VLOOKUP($A407,Lista_Starke!$A:$E,2,0),"NÃO ESTÁ NA LISTA")</f>
        <v>CILINDRO AUXILIAR DE EMBREAGEM</v>
      </c>
    </row>
    <row r="408" customFormat="false" ht="15" hidden="false" customHeight="true" outlineLevel="0" collapsed="false">
      <c r="A408" s="10" t="s">
        <v>943</v>
      </c>
      <c r="B408" s="10" t="str">
        <f aca="false">IFERROR(VLOOKUP(A408,Pedido!$A:$B,2,0),"")</f>
        <v/>
      </c>
      <c r="C408" s="10" t="str">
        <f aca="false">IF(B408="","NÃO COMPRA","COMPRA")</f>
        <v>NÃO COMPRA</v>
      </c>
      <c r="D408" s="1" t="n">
        <f aca="false">IFERROR(VLOOKUP(A408,Pedido!$A:$C,3,0),0)</f>
        <v>0</v>
      </c>
      <c r="E408" s="5" t="n">
        <f aca="false">IFERROR(VLOOKUP(A408,Pedido!$A:$E,5,0),0)</f>
        <v>0</v>
      </c>
      <c r="F408" s="1" t="s">
        <v>8</v>
      </c>
      <c r="G408" s="1" t="s">
        <v>168</v>
      </c>
      <c r="H408" s="1" t="s">
        <v>131</v>
      </c>
      <c r="I408" s="1" t="s">
        <v>57</v>
      </c>
      <c r="J408" s="1" t="s">
        <v>944</v>
      </c>
      <c r="K408" s="1" t="n">
        <v>373</v>
      </c>
      <c r="L408" s="11" t="n">
        <v>0.775091160546843</v>
      </c>
      <c r="M408" s="1" t="n">
        <f aca="false">SUMIF(Relatorio_AK!$A:$A,A408,Relatorio_AK!$B:$B)</f>
        <v>373</v>
      </c>
      <c r="N408" s="1" t="str">
        <f aca="false">IF(M408=K408,"OK","DIF")</f>
        <v>OK</v>
      </c>
      <c r="O408" s="13" t="str">
        <f aca="false">IFERROR(VLOOKUP($A408,Lista_Starke!$A:$E,3,0),"NÃO ESTÁ NA LISTA")</f>
        <v>GM: Astra 2.0 16V 99/05
GM: Astra 2.0 8V 98/04
GM: Omega 3.0 12V V6 92/94
GM: Omega 4.1 12V 6 cil 94/98
GM: Vectra 2.0 8V / 2.0 16V 97/...
GM: Vectra 2.0 8V 94/97
GM: Zafira 2.0 8V / 2.0 16V 99/...</v>
      </c>
      <c r="P408" s="12" t="str">
        <f aca="false">IFERROR(VLOOKUP($A408,Lista_Starke!$A:$E,2,0),"NÃO ESTÁ NA LISTA")</f>
        <v>SAPATA DE FREIO</v>
      </c>
    </row>
    <row r="409" customFormat="false" ht="15" hidden="false" customHeight="true" outlineLevel="0" collapsed="false">
      <c r="A409" s="10" t="s">
        <v>945</v>
      </c>
      <c r="B409" s="10" t="str">
        <f aca="false">IFERROR(VLOOKUP(A409,Pedido!$A:$B,2,0),"")</f>
        <v/>
      </c>
      <c r="C409" s="10" t="str">
        <f aca="false">IF(B409="","NÃO COMPRA","COMPRA")</f>
        <v>NÃO COMPRA</v>
      </c>
      <c r="D409" s="1" t="n">
        <f aca="false">IFERROR(VLOOKUP(A409,Pedido!$A:$C,3,0),0)</f>
        <v>0</v>
      </c>
      <c r="E409" s="5" t="n">
        <f aca="false">IFERROR(VLOOKUP(A409,Pedido!$A:$E,5,0),0)</f>
        <v>0</v>
      </c>
      <c r="F409" s="1" t="s">
        <v>8</v>
      </c>
      <c r="G409" s="1" t="s">
        <v>946</v>
      </c>
      <c r="H409" s="1" t="s">
        <v>235</v>
      </c>
      <c r="I409" s="1" t="s">
        <v>827</v>
      </c>
      <c r="J409" s="1" t="s">
        <v>947</v>
      </c>
      <c r="K409" s="1" t="n">
        <v>373</v>
      </c>
      <c r="L409" s="11" t="n">
        <v>0.775728814254723</v>
      </c>
      <c r="M409" s="1" t="n">
        <f aca="false">SUMIF(Relatorio_AK!$A:$A,A409,Relatorio_AK!$B:$B)</f>
        <v>373</v>
      </c>
      <c r="N409" s="1" t="str">
        <f aca="false">IF(M409=K409,"OK","DIF")</f>
        <v>OK</v>
      </c>
      <c r="O409" s="13" t="str">
        <f aca="false">IFERROR(VLOOKUP($A409,Lista_Starke!$A:$E,3,0),"NÃO ESTÁ NA LISTA")</f>
        <v>BMW: X1 sDrive 18i 1.5 Turbo 3 cil B38 A15A 14/17
BMW: X1 sDrive 18i 1.5 Turbo 3 cil B38 A15A 17/...
BMW: X1 sDrive 20i 2.0 4 cil B48 A20A 14/...
BMW: X1 sDrive 25i 2.0 4 cil B48 A20A / B48 A20B 14/...
MINI: Cooper 1.5 Turbo 3 cil B38 A15A 13/...
MINI: Cooper S 2.0 4 cil B48 A20A 14/...
MINI: John Cooper Works 2.0 4 cil B48 A20B 15/...
MINI: One 1.2 3 cil B38 A12A 14/17
MINI: One 1.5 Turbo 3 cil B38 A15A 17/...
MINI: One First 1.2 3 cil B38 A12A 14/17
MINI: One First 1.5 Turbo 3 cil B38 A15A 17/...</v>
      </c>
      <c r="P409" s="12" t="str">
        <f aca="false">IFERROR(VLOOKUP($A409,Lista_Starke!$A:$E,2,0),"NÃO ESTÁ NA LISTA")</f>
        <v>RESFRIADOR DE ÓLEO MOTOR</v>
      </c>
    </row>
    <row r="410" customFormat="false" ht="15" hidden="false" customHeight="true" outlineLevel="0" collapsed="false">
      <c r="A410" s="10" t="s">
        <v>948</v>
      </c>
      <c r="B410" s="10" t="str">
        <f aca="false">IFERROR(VLOOKUP(A410,Pedido!$A:$B,2,0),"")</f>
        <v/>
      </c>
      <c r="C410" s="10" t="str">
        <f aca="false">IF(B410="","NÃO COMPRA","COMPRA")</f>
        <v>NÃO COMPRA</v>
      </c>
      <c r="D410" s="1" t="n">
        <f aca="false">IFERROR(VLOOKUP(A410,Pedido!$A:$C,3,0),0)</f>
        <v>0</v>
      </c>
      <c r="E410" s="5" t="n">
        <f aca="false">IFERROR(VLOOKUP(A410,Pedido!$A:$E,5,0),0)</f>
        <v>0</v>
      </c>
      <c r="F410" s="1" t="s">
        <v>8</v>
      </c>
      <c r="G410" s="1" t="s">
        <v>949</v>
      </c>
      <c r="H410" s="1" t="s">
        <v>126</v>
      </c>
      <c r="I410" s="1" t="s">
        <v>255</v>
      </c>
      <c r="J410" s="1" t="s">
        <v>950</v>
      </c>
      <c r="K410" s="1" t="n">
        <v>369</v>
      </c>
      <c r="L410" s="11" t="n">
        <v>0.776359629853134</v>
      </c>
      <c r="M410" s="1" t="n">
        <f aca="false">SUMIF(Relatorio_AK!$A:$A,A410,Relatorio_AK!$B:$B)</f>
        <v>369</v>
      </c>
      <c r="N410" s="1" t="str">
        <f aca="false">IF(M410=K410,"OK","DIF")</f>
        <v>OK</v>
      </c>
      <c r="O410" s="13" t="str">
        <f aca="false">IFERROR(VLOOKUP($A410,Lista_Starke!$A:$E,3,0),"NÃO ESTÁ NA LISTA")</f>
        <v>MITSUBISHI: ASX 2.0 16V   4B11 10/…
MITSUBISHI: Lancer 1.8 16V   4B10 08/…
MITSUBISHI: Lancer EVO 2.0 16V   4B11T/C 08/…
MITSUBISHI: Outlander 2.0 16V   4B11 06/12
MITSUBISHI: Outlander 2.0 16V   4J11 12/…</v>
      </c>
      <c r="P410" s="12" t="str">
        <f aca="false">IFERROR(VLOOKUP($A410,Lista_Starke!$A:$E,2,0),"NÃO ESTÁ NA LISTA")</f>
        <v>RESFRIADOR DE ÓLEO CÂMBIO</v>
      </c>
    </row>
    <row r="411" customFormat="false" ht="15" hidden="false" customHeight="true" outlineLevel="0" collapsed="false">
      <c r="A411" s="10" t="s">
        <v>951</v>
      </c>
      <c r="B411" s="10" t="str">
        <f aca="false">IFERROR(VLOOKUP(A411,Pedido!$A:$B,2,0),"")</f>
        <v/>
      </c>
      <c r="C411" s="10" t="str">
        <f aca="false">IF(B411="","NÃO COMPRA","COMPRA")</f>
        <v>NÃO COMPRA</v>
      </c>
      <c r="D411" s="1" t="n">
        <f aca="false">IFERROR(VLOOKUP(A411,Pedido!$A:$C,3,0),0)</f>
        <v>0</v>
      </c>
      <c r="E411" s="5" t="n">
        <f aca="false">IFERROR(VLOOKUP(A411,Pedido!$A:$E,5,0),0)</f>
        <v>0</v>
      </c>
      <c r="F411" s="1" t="s">
        <v>8</v>
      </c>
      <c r="G411" s="1" t="s">
        <v>136</v>
      </c>
      <c r="H411" s="1" t="s">
        <v>32</v>
      </c>
      <c r="I411" s="1" t="s">
        <v>46</v>
      </c>
      <c r="J411" s="1" t="s">
        <v>952</v>
      </c>
      <c r="K411" s="1" t="n">
        <v>366</v>
      </c>
      <c r="L411" s="11" t="n">
        <v>0.776985316869445</v>
      </c>
      <c r="M411" s="1" t="n">
        <f aca="false">SUMIF(Relatorio_AK!$A:$A,A411,Relatorio_AK!$B:$B)</f>
        <v>366</v>
      </c>
      <c r="N411" s="1" t="str">
        <f aca="false">IF(M411=K411,"OK","DIF")</f>
        <v>OK</v>
      </c>
      <c r="O411" s="13" t="str">
        <f aca="false">IFERROR(VLOOKUP($A411,Lista_Starke!$A:$E,3,0),"NÃO ESTÁ NA LISTA")</f>
        <v>FIAT: Doblo 1.8 06/21
FIAT: Idea 1.4 / 1.3 06/...
FIAT: Palio 1.0 / 1.3 / 1.4 / 1.6 01/...
FIAT: Palio 1.8 06/...
FIAT: Palio Weekend 1.0 / 1.3 / 1.4 / 1.6 01/...
FIAT: Palio Weekend 1.8 05/...
FIAT: Siena 1.0 / 1.3 / 1.4 / 1.6 01/...
FIAT: Siena 1.8 06/...
FIAT: Strada 1.3 / 1.4 / 1.6 01/...
FIAT: Strada 1.8 05/...</v>
      </c>
      <c r="P411" s="12" t="str">
        <f aca="false">IFERROR(VLOOKUP($A411,Lista_Starke!$A:$E,2,0),"NÃO ESTÁ NA LISTA")</f>
        <v>CILINDRO MESTRE DE EMBREAGEM</v>
      </c>
    </row>
    <row r="412" customFormat="false" ht="15" hidden="false" customHeight="true" outlineLevel="0" collapsed="false">
      <c r="A412" s="10" t="s">
        <v>953</v>
      </c>
      <c r="B412" s="10" t="str">
        <f aca="false">IFERROR(VLOOKUP(A412,Pedido!$A:$B,2,0),"")</f>
        <v/>
      </c>
      <c r="C412" s="10" t="str">
        <f aca="false">IF(B412="","NÃO COMPRA","COMPRA")</f>
        <v>NÃO COMPRA</v>
      </c>
      <c r="D412" s="1" t="n">
        <f aca="false">IFERROR(VLOOKUP(A412,Pedido!$A:$C,3,0),0)</f>
        <v>0</v>
      </c>
      <c r="E412" s="5" t="n">
        <f aca="false">IFERROR(VLOOKUP(A412,Pedido!$A:$E,5,0),0)</f>
        <v>0</v>
      </c>
      <c r="F412" s="1" t="s">
        <v>8</v>
      </c>
      <c r="G412" s="1" t="s">
        <v>356</v>
      </c>
      <c r="H412" s="1" t="s">
        <v>845</v>
      </c>
      <c r="I412" s="1" t="s">
        <v>172</v>
      </c>
      <c r="J412" s="1" t="s">
        <v>954</v>
      </c>
      <c r="K412" s="1" t="n">
        <v>364</v>
      </c>
      <c r="L412" s="11" t="n">
        <v>0.777607584831022</v>
      </c>
      <c r="M412" s="1" t="n">
        <f aca="false">SUMIF(Relatorio_AK!$A:$A,A412,Relatorio_AK!$B:$B)</f>
        <v>364</v>
      </c>
      <c r="N412" s="1" t="str">
        <f aca="false">IF(M412=K412,"OK","DIF")</f>
        <v>OK</v>
      </c>
      <c r="O412" s="13" t="str">
        <f aca="false">IFERROR(VLOOKUP($A412,Lista_Starke!$A:$E,3,0),"NÃO ESTÁ NA LISTA")</f>
        <v>HYUNDAI: i30 2.0 16V 07/…
HYUNDAI: i30 CW 2.0 16V 10
HYUNDAI: iX35 2.0 16V 10/…
KIA: Cerato 1.6 16V G4FC 10/...</v>
      </c>
      <c r="P412" s="12" t="str">
        <f aca="false">IFERROR(VLOOKUP($A412,Lista_Starke!$A:$E,2,0),"NÃO ESTÁ NA LISTA")</f>
        <v>SAPATA DE FREIO DE MÃO</v>
      </c>
    </row>
    <row r="413" customFormat="false" ht="15" hidden="false" customHeight="true" outlineLevel="0" collapsed="false">
      <c r="A413" s="10" t="s">
        <v>955</v>
      </c>
      <c r="B413" s="10" t="str">
        <f aca="false">IFERROR(VLOOKUP(A413,Pedido!$A:$B,2,0),"")</f>
        <v/>
      </c>
      <c r="C413" s="10" t="str">
        <f aca="false">IF(B413="","NÃO COMPRA","COMPRA")</f>
        <v>NÃO COMPRA</v>
      </c>
      <c r="D413" s="1" t="n">
        <f aca="false">IFERROR(VLOOKUP(A413,Pedido!$A:$C,3,0),0)</f>
        <v>0</v>
      </c>
      <c r="E413" s="5" t="n">
        <f aca="false">IFERROR(VLOOKUP(A413,Pedido!$A:$E,5,0),0)</f>
        <v>0</v>
      </c>
      <c r="F413" s="1" t="s">
        <v>8</v>
      </c>
      <c r="G413" s="1" t="s">
        <v>552</v>
      </c>
      <c r="H413" s="1" t="s">
        <v>197</v>
      </c>
      <c r="I413" s="1" t="s">
        <v>172</v>
      </c>
      <c r="J413" s="1" t="s">
        <v>956</v>
      </c>
      <c r="K413" s="1" t="n">
        <v>362</v>
      </c>
      <c r="L413" s="11" t="n">
        <v>0.778226433737864</v>
      </c>
      <c r="M413" s="1" t="n">
        <f aca="false">SUMIF(Relatorio_AK!$A:$A,A413,Relatorio_AK!$B:$B)</f>
        <v>362</v>
      </c>
      <c r="N413" s="1" t="str">
        <f aca="false">IF(M413=K413,"OK","DIF")</f>
        <v>OK</v>
      </c>
      <c r="O413" s="13" t="str">
        <f aca="false">IFERROR(VLOOKUP($A413,Lista_Starke!$A:$E,3,0),"NÃO ESTÁ NA LISTA")</f>
        <v>HYUNDAI: Creta 1.6 16V Flex G4FC 17/...
HYUNDAI: HB20 1.6 16V Flex G4FC 12/…
HYUNDAI: i30 1.6 16V Flex G4FC 13/…
HYUNDAI: Veloster 1.6 16V Flex G4FC 12/…
KIA: Cerato 1.6 16V G4FC 10/...
KIA: Soul 1.6 16V 09/...</v>
      </c>
      <c r="P413" s="12" t="str">
        <f aca="false">IFERROR(VLOOKUP($A413,Lista_Starke!$A:$E,2,0),"NÃO ESTÁ NA LISTA")</f>
        <v>BOMBA D'ÁGUA</v>
      </c>
    </row>
    <row r="414" customFormat="false" ht="15" hidden="false" customHeight="true" outlineLevel="0" collapsed="false">
      <c r="A414" s="10" t="s">
        <v>957</v>
      </c>
      <c r="B414" s="10" t="str">
        <f aca="false">IFERROR(VLOOKUP(A414,Pedido!$A:$B,2,0),"")</f>
        <v/>
      </c>
      <c r="C414" s="10" t="str">
        <f aca="false">IF(B414="","NÃO COMPRA","COMPRA")</f>
        <v>NÃO COMPRA</v>
      </c>
      <c r="D414" s="1" t="n">
        <f aca="false">IFERROR(VLOOKUP(A414,Pedido!$A:$C,3,0),0)</f>
        <v>0</v>
      </c>
      <c r="E414" s="5" t="n">
        <f aca="false">IFERROR(VLOOKUP(A414,Pedido!$A:$E,5,0),0)</f>
        <v>0</v>
      </c>
      <c r="F414" s="1" t="s">
        <v>8</v>
      </c>
      <c r="G414" s="1" t="s">
        <v>958</v>
      </c>
      <c r="H414" s="1" t="s">
        <v>96</v>
      </c>
      <c r="I414" s="1" t="s">
        <v>215</v>
      </c>
      <c r="K414" s="1" t="n">
        <v>362</v>
      </c>
      <c r="L414" s="11" t="n">
        <v>0.778845282644707</v>
      </c>
      <c r="M414" s="1" t="n">
        <f aca="false">SUMIF(Relatorio_AK!$A:$A,A414,Relatorio_AK!$B:$B)</f>
        <v>362</v>
      </c>
      <c r="N414" s="1" t="str">
        <f aca="false">IF(M414=K414,"OK","DIF")</f>
        <v>OK</v>
      </c>
      <c r="O414" s="13" t="str">
        <f aca="false">IFERROR(VLOOKUP($A414,Lista_Starke!$A:$E,3,0),"NÃO ESTÁ NA LISTA")</f>
        <v>NISSAN: Frontier 2.5 16V YD25ETI 190HP 12/17
NISSAN: Pathfinder 2.5 16V YD25ETI 190HP 12/17</v>
      </c>
      <c r="P414" s="12" t="str">
        <f aca="false">IFERROR(VLOOKUP($A414,Lista_Starke!$A:$E,2,0),"NÃO ESTÁ NA LISTA")</f>
        <v>BOMBA DE VÁCUO</v>
      </c>
    </row>
    <row r="415" customFormat="false" ht="15" hidden="false" customHeight="true" outlineLevel="0" collapsed="false">
      <c r="A415" s="10" t="s">
        <v>959</v>
      </c>
      <c r="B415" s="10" t="str">
        <f aca="false">IFERROR(VLOOKUP(A415,Pedido!$A:$B,2,0),"")</f>
        <v/>
      </c>
      <c r="C415" s="10" t="str">
        <f aca="false">IF(B415="","NÃO COMPRA","COMPRA")</f>
        <v>NÃO COMPRA</v>
      </c>
      <c r="D415" s="1" t="n">
        <f aca="false">IFERROR(VLOOKUP(A415,Pedido!$A:$C,3,0),0)</f>
        <v>0</v>
      </c>
      <c r="E415" s="5" t="n">
        <f aca="false">IFERROR(VLOOKUP(A415,Pedido!$A:$E,5,0),0)</f>
        <v>0</v>
      </c>
      <c r="F415" s="1" t="s">
        <v>8</v>
      </c>
      <c r="G415" s="1" t="s">
        <v>588</v>
      </c>
      <c r="H415" s="1" t="s">
        <v>126</v>
      </c>
      <c r="I415" s="1" t="s">
        <v>226</v>
      </c>
      <c r="J415" s="1" t="s">
        <v>960</v>
      </c>
      <c r="K415" s="1" t="n">
        <v>362</v>
      </c>
      <c r="L415" s="11" t="n">
        <v>0.77946413155155</v>
      </c>
      <c r="M415" s="1" t="n">
        <f aca="false">SUMIF(Relatorio_AK!$A:$A,A415,Relatorio_AK!$B:$B)</f>
        <v>362</v>
      </c>
      <c r="N415" s="1" t="str">
        <f aca="false">IF(M415=K415,"OK","DIF")</f>
        <v>OK</v>
      </c>
      <c r="O415" s="13" t="str">
        <f aca="false">IFERROR(VLOOKUP($A415,Lista_Starke!$A:$E,3,0),"NÃO ESTÁ NA LISTA")</f>
        <v>AUDI: A1 1.4 16V TFSI 10/21
AUDI: A3 1.4 16V TFSI 12/21
AUDI: A3 Sedan 1.4 16V TFSI 13/…
AUDI: Q3 1.4 16V TFSI 14/21
VOLKSWAGEN: Gol 1.0 12V 3cil 16/19
VOLKSWAGEN: Golf 1.0 12V TSI 16/18
VOLKSWAGEN: Golf 1.4 16V TSI 13/…
VOLKSWAGEN: Golf 1.4 16V TSI 14/18
VOLKSWAGEN: Golf Variant 1.4 16V TSI 15/18
VOLKSWAGEN: Jetta 1.4 16V TSI 15/...
VOLKSWAGEN: Jetta TSI 1.4 16V TSI 16/…
VOLKSWAGEN: Nivus 1.0 12V TSI 20/...
VOLKSWAGEN: Polo 1.0 12V TSI 17/...
VOLKSWAGEN: Polo GTS 1.4 16V TSI 20/...
VOLKSWAGEN: T-Cross 1.0 12V TSI 19/...
VOLKSWAGEN: T-Cross 1.4 16V TSI 19/...
VOLKSWAGEN: Taos 1.4 16V TSI 21/...
VOLKSWAGEN: Tiguan 1.4 16V TSI 16/…
VOLKSWAGEN: Up 1.0 12V TSI 14/21
VOLKSWAGEN: Virtus 1.0 12V TSI 18/...
VOLKSWAGEN: Voyage 1.0 12V 3cil 16/19</v>
      </c>
      <c r="P415" s="12" t="str">
        <f aca="false">IFERROR(VLOOKUP($A415,Lista_Starke!$A:$E,2,0),"NÃO ESTÁ NA LISTA")</f>
        <v>RESFRIADOR DE ÓLEO CÂMBIO</v>
      </c>
    </row>
    <row r="416" customFormat="false" ht="15" hidden="false" customHeight="true" outlineLevel="0" collapsed="false">
      <c r="A416" s="10" t="s">
        <v>961</v>
      </c>
      <c r="B416" s="10" t="str">
        <f aca="false">IFERROR(VLOOKUP(A416,Pedido!$A:$B,2,0),"")</f>
        <v/>
      </c>
      <c r="C416" s="10" t="str">
        <f aca="false">IF(B416="","NÃO COMPRA","COMPRA")</f>
        <v>NÃO COMPRA</v>
      </c>
      <c r="D416" s="1" t="n">
        <f aca="false">IFERROR(VLOOKUP(A416,Pedido!$A:$C,3,0),0)</f>
        <v>0</v>
      </c>
      <c r="E416" s="5" t="n">
        <f aca="false">IFERROR(VLOOKUP(A416,Pedido!$A:$E,5,0),0)</f>
        <v>0</v>
      </c>
      <c r="F416" s="1" t="s">
        <v>8</v>
      </c>
      <c r="G416" s="1" t="s">
        <v>130</v>
      </c>
      <c r="H416" s="1" t="s">
        <v>131</v>
      </c>
      <c r="I416" s="1" t="s">
        <v>46</v>
      </c>
      <c r="J416" s="1" t="s">
        <v>962</v>
      </c>
      <c r="K416" s="1" t="n">
        <v>361</v>
      </c>
      <c r="L416" s="11" t="n">
        <v>0.780081270931025</v>
      </c>
      <c r="M416" s="1" t="n">
        <f aca="false">SUMIF(Relatorio_AK!$A:$A,A416,Relatorio_AK!$B:$B)</f>
        <v>361</v>
      </c>
      <c r="N416" s="1" t="str">
        <f aca="false">IF(M416=K416,"OK","DIF")</f>
        <v>OK</v>
      </c>
      <c r="O416" s="13" t="str">
        <f aca="false">IFERROR(VLOOKUP($A416,Lista_Starke!$A:$E,3,0),"NÃO ESTÁ NA LISTA")</f>
        <v>FIAT: Doblo 1.8 16V 13/21
FIAT: Strada 1.3 8V 20/...
FIAT: Strada 1.4 8V 13/19
FIAT: Strada 1.4 8V 20/...
FIAT: Strada 1.8 16V Adventure Locker 13/15</v>
      </c>
      <c r="P416" s="12" t="str">
        <f aca="false">IFERROR(VLOOKUP($A416,Lista_Starke!$A:$E,2,0),"NÃO ESTÁ NA LISTA")</f>
        <v>SAPATA DE FREIO</v>
      </c>
    </row>
    <row r="417" customFormat="false" ht="15" hidden="false" customHeight="true" outlineLevel="0" collapsed="false">
      <c r="A417" s="10" t="s">
        <v>963</v>
      </c>
      <c r="B417" s="10" t="str">
        <f aca="false">IFERROR(VLOOKUP(A417,Pedido!$A:$B,2,0),"")</f>
        <v/>
      </c>
      <c r="C417" s="10" t="str">
        <f aca="false">IF(B417="","NÃO COMPRA","COMPRA")</f>
        <v>NÃO COMPRA</v>
      </c>
      <c r="D417" s="1" t="n">
        <f aca="false">IFERROR(VLOOKUP(A417,Pedido!$A:$C,3,0),0)</f>
        <v>0</v>
      </c>
      <c r="E417" s="5" t="n">
        <f aca="false">IFERROR(VLOOKUP(A417,Pedido!$A:$E,5,0),0)</f>
        <v>0</v>
      </c>
      <c r="F417" s="1" t="s">
        <v>8</v>
      </c>
      <c r="G417" s="1" t="s">
        <v>548</v>
      </c>
      <c r="H417" s="1" t="s">
        <v>157</v>
      </c>
      <c r="I417" s="1" t="s">
        <v>53</v>
      </c>
      <c r="J417" s="1" t="s">
        <v>964</v>
      </c>
      <c r="K417" s="1" t="n">
        <v>360</v>
      </c>
      <c r="L417" s="11" t="n">
        <v>0.780696700783134</v>
      </c>
      <c r="M417" s="1" t="n">
        <f aca="false">SUMIF(Relatorio_AK!$A:$A,A417,Relatorio_AK!$B:$B)</f>
        <v>360</v>
      </c>
      <c r="N417" s="1" t="str">
        <f aca="false">IF(M417=K417,"OK","DIF")</f>
        <v>OK</v>
      </c>
      <c r="O417" s="13" t="str">
        <f aca="false">IFERROR(VLOOKUP($A417,Lista_Starke!$A:$E,3,0),"NÃO ESTÁ NA LISTA")</f>
        <v>FORD: Courier 1.3 8V Endura 97/13
FORD: Courier 1.4 16V Zetec 97/99
FORD: Courier 1.6 8V Zetec Rocam 97/13
FORD: Ecosport 1.0 8V Supercharger 03/...
FORD: Ecosport 1.6 8V Zetec Rocam 03/...
FORD: Ecosport 2.0 16V 4X2 Duratec 03/...
FORD: Escort 1.6 16V Zetec 00/03
FORD: Fiesta 1.0 8V Endura 96/99
FORD: Fiesta 1.0 8V Zetec Rocam 99/...
FORD: Fiesta 1.3 8V Endura 96/99
FORD: Fiesta 1.4 16V Zetec 96/00
FORD: Fiesta 1.6 8V 02/14
FORD: Fiesta 1.6 8V Zetec Rocam 99/...
FORD: Focus 1.6 8V Zetec Rocam Câmbio IB5 03/...
FORD: Focus 1.8 16V Zetec 00/...
FORD: Ka 1.0 8V Endura 97/99
FORD: Ka 1.0 8V Zetec Rocam 99/...
FORD: Ka 1.3 8V Endura 97/99
FORD: Ka 1.6 8V Zetec Rocam 99/...</v>
      </c>
      <c r="P417" s="12" t="str">
        <f aca="false">IFERROR(VLOOKUP($A417,Lista_Starke!$A:$E,2,0),"NÃO ESTÁ NA LISTA")</f>
        <v>ATUADOR DE EMBREAGEM</v>
      </c>
    </row>
    <row r="418" customFormat="false" ht="15" hidden="false" customHeight="true" outlineLevel="0" collapsed="false">
      <c r="A418" s="10" t="s">
        <v>965</v>
      </c>
      <c r="B418" s="10" t="str">
        <f aca="false">IFERROR(VLOOKUP(A418,Pedido!$A:$B,2,0),"")</f>
        <v/>
      </c>
      <c r="C418" s="10" t="str">
        <f aca="false">IF(B418="","NÃO COMPRA","COMPRA")</f>
        <v>NÃO COMPRA</v>
      </c>
      <c r="D418" s="1" t="n">
        <f aca="false">IFERROR(VLOOKUP(A418,Pedido!$A:$C,3,0),0)</f>
        <v>0</v>
      </c>
      <c r="E418" s="5" t="n">
        <f aca="false">IFERROR(VLOOKUP(A418,Pedido!$A:$E,5,0),0)</f>
        <v>0</v>
      </c>
      <c r="F418" s="1" t="s">
        <v>8</v>
      </c>
      <c r="G418" s="1" t="s">
        <v>829</v>
      </c>
      <c r="H418" s="1" t="s">
        <v>28</v>
      </c>
      <c r="I418" s="1" t="s">
        <v>255</v>
      </c>
      <c r="J418" s="1" t="s">
        <v>966</v>
      </c>
      <c r="K418" s="1" t="n">
        <v>360</v>
      </c>
      <c r="L418" s="11" t="n">
        <v>0.781312130635243</v>
      </c>
      <c r="M418" s="1" t="n">
        <f aca="false">SUMIF(Relatorio_AK!$A:$A,A418,Relatorio_AK!$B:$B)</f>
        <v>360</v>
      </c>
      <c r="N418" s="1" t="str">
        <f aca="false">IF(M418=K418,"OK","DIF")</f>
        <v>OK</v>
      </c>
      <c r="O418" s="13" t="str">
        <f aca="false">IFERROR(VLOOKUP($A418,Lista_Starke!$A:$E,3,0),"NÃO ESTÁ NA LISTA")</f>
        <v>MITSUBISHI: L200 2.5 8V 4D56 04/20
MITSUBISHI: L200 2.5 8V Turbo 03/07</v>
      </c>
      <c r="P418" s="12" t="str">
        <f aca="false">IFERROR(VLOOKUP($A418,Lista_Starke!$A:$E,2,0),"NÃO ESTÁ NA LISTA")</f>
        <v>CILINDRO AUXILIAR DE EMBREAGEM</v>
      </c>
    </row>
    <row r="419" customFormat="false" ht="15" hidden="false" customHeight="true" outlineLevel="0" collapsed="false">
      <c r="A419" s="10" t="s">
        <v>967</v>
      </c>
      <c r="B419" s="10" t="str">
        <f aca="false">IFERROR(VLOOKUP(A419,Pedido!$A:$B,2,0),"")</f>
        <v/>
      </c>
      <c r="C419" s="10" t="str">
        <f aca="false">IF(B419="","NÃO COMPRA","COMPRA")</f>
        <v>NÃO COMPRA</v>
      </c>
      <c r="D419" s="1" t="n">
        <f aca="false">IFERROR(VLOOKUP(A419,Pedido!$A:$C,3,0),0)</f>
        <v>0</v>
      </c>
      <c r="E419" s="5" t="n">
        <f aca="false">IFERROR(VLOOKUP(A419,Pedido!$A:$E,5,0),0)</f>
        <v>0</v>
      </c>
      <c r="F419" s="1" t="s">
        <v>8</v>
      </c>
      <c r="G419" s="1" t="s">
        <v>968</v>
      </c>
      <c r="H419" s="1" t="s">
        <v>88</v>
      </c>
      <c r="I419" s="1" t="s">
        <v>893</v>
      </c>
      <c r="J419" s="1" t="s">
        <v>969</v>
      </c>
      <c r="K419" s="1" t="n">
        <v>359</v>
      </c>
      <c r="L419" s="11" t="n">
        <v>0.781925850959985</v>
      </c>
      <c r="M419" s="1" t="n">
        <f aca="false">SUMIF(Relatorio_AK!$A:$A,A419,Relatorio_AK!$B:$B)</f>
        <v>359</v>
      </c>
      <c r="N419" s="1" t="str">
        <f aca="false">IF(M419=K419,"OK","DIF")</f>
        <v>OK</v>
      </c>
      <c r="O419" s="13" t="str">
        <f aca="false">IFERROR(VLOOKUP($A419,Lista_Starke!$A:$E,3,0),"NÃO ESTÁ NA LISTA")</f>
        <v>HYUNDAI: Galloper 2.5 8V Turbo 98/...
MITSUBISHI: L200 2.5 8V Turbo HPE 4D56 04/07
MITSUBISHI: Pajero 2.8 16V Diesel 4M40 93/00
MITSUBISHI: Pajero Sport 2.8 16V Diesel 4M40 96/05
MITSUBISHI: Triton 3.2 16V Diesel 4M41 07/13
MITSUBISHI: Triton 3.5 V6 24V Flex 6G74 10/13</v>
      </c>
      <c r="P419" s="12" t="str">
        <f aca="false">IFERROR(VLOOKUP($A419,Lista_Starke!$A:$E,2,0),"NÃO ESTÁ NA LISTA")</f>
        <v>CILINDRO DE RODA LE</v>
      </c>
    </row>
    <row r="420" customFormat="false" ht="15" hidden="false" customHeight="true" outlineLevel="0" collapsed="false">
      <c r="A420" s="10" t="s">
        <v>970</v>
      </c>
      <c r="B420" s="10" t="str">
        <f aca="false">IFERROR(VLOOKUP(A420,Pedido!$A:$B,2,0),"")</f>
        <v/>
      </c>
      <c r="C420" s="10" t="str">
        <f aca="false">IF(B420="","NÃO COMPRA","COMPRA")</f>
        <v>NÃO COMPRA</v>
      </c>
      <c r="D420" s="1" t="n">
        <f aca="false">IFERROR(VLOOKUP(A420,Pedido!$A:$C,3,0),0)</f>
        <v>0</v>
      </c>
      <c r="E420" s="5" t="n">
        <f aca="false">IFERROR(VLOOKUP(A420,Pedido!$A:$E,5,0),0)</f>
        <v>0</v>
      </c>
      <c r="F420" s="1" t="s">
        <v>8</v>
      </c>
      <c r="G420" s="1" t="s">
        <v>971</v>
      </c>
      <c r="H420" s="1" t="s">
        <v>157</v>
      </c>
      <c r="I420" s="1" t="s">
        <v>137</v>
      </c>
      <c r="K420" s="1" t="n">
        <v>358</v>
      </c>
      <c r="L420" s="11" t="n">
        <v>0.78253786175736</v>
      </c>
      <c r="M420" s="1" t="n">
        <f aca="false">SUMIF(Relatorio_AK!$A:$A,A420,Relatorio_AK!$B:$B)</f>
        <v>358</v>
      </c>
      <c r="N420" s="1" t="str">
        <f aca="false">IF(M420=K420,"OK","DIF")</f>
        <v>OK</v>
      </c>
      <c r="O420" s="13" t="str">
        <f aca="false">IFERROR(VLOOKUP($A420,Lista_Starke!$A:$E,3,0),"NÃO ESTÁ NA LISTA")</f>
        <v>CITROEN: Jumper 2.0 16V Blue HDI Euro V 18/...
FIAT: Ducato 2.3 16V Multijet Euro V 18/...
PEUGEOT: Boxer 2.0 16V Blue HDI Euro V 18/...</v>
      </c>
      <c r="P420" s="12" t="str">
        <f aca="false">IFERROR(VLOOKUP($A420,Lista_Starke!$A:$E,2,0),"NÃO ESTÁ NA LISTA")</f>
        <v>ATUADOR DE EMBREAGEM</v>
      </c>
    </row>
    <row r="421" customFormat="false" ht="15" hidden="false" customHeight="true" outlineLevel="0" collapsed="false">
      <c r="A421" s="10" t="s">
        <v>972</v>
      </c>
      <c r="B421" s="10" t="str">
        <f aca="false">IFERROR(VLOOKUP(A421,Pedido!$A:$B,2,0),"")</f>
        <v/>
      </c>
      <c r="C421" s="10" t="str">
        <f aca="false">IF(B421="","NÃO COMPRA","COMPRA")</f>
        <v>NÃO COMPRA</v>
      </c>
      <c r="D421" s="1" t="n">
        <f aca="false">IFERROR(VLOOKUP(A421,Pedido!$A:$C,3,0),0)</f>
        <v>0</v>
      </c>
      <c r="E421" s="5" t="n">
        <f aca="false">IFERROR(VLOOKUP(A421,Pedido!$A:$E,5,0),0)</f>
        <v>0</v>
      </c>
      <c r="F421" s="1" t="s">
        <v>8</v>
      </c>
      <c r="G421" s="1" t="s">
        <v>130</v>
      </c>
      <c r="H421" s="1" t="s">
        <v>131</v>
      </c>
      <c r="I421" s="1" t="s">
        <v>46</v>
      </c>
      <c r="J421" s="1" t="s">
        <v>973</v>
      </c>
      <c r="K421" s="1" t="n">
        <v>355</v>
      </c>
      <c r="L421" s="11" t="n">
        <v>0.783144743972634</v>
      </c>
      <c r="M421" s="1" t="n">
        <f aca="false">SUMIF(Relatorio_AK!$A:$A,A421,Relatorio_AK!$B:$B)</f>
        <v>355</v>
      </c>
      <c r="N421" s="1" t="str">
        <f aca="false">IF(M421=K421,"OK","DIF")</f>
        <v>OK</v>
      </c>
      <c r="O421" s="13" t="str">
        <f aca="false">IFERROR(VLOOKUP($A421,Lista_Starke!$A:$E,3,0),"NÃO ESTÁ NA LISTA")</f>
        <v>FIAT: Fastback 1.0 Turbo 23/...
FIAT: Fastback 1.3 Turbo 23/...
FIAT: Pulse 1.0 Turbo 22/...
FIAT: Pulse 1.3 Turbo 22/...</v>
      </c>
      <c r="P421" s="12" t="str">
        <f aca="false">IFERROR(VLOOKUP($A421,Lista_Starke!$A:$E,2,0),"NÃO ESTÁ NA LISTA")</f>
        <v>SAPATA DE FREIO</v>
      </c>
    </row>
    <row r="422" customFormat="false" ht="15" hidden="false" customHeight="true" outlineLevel="0" collapsed="false">
      <c r="A422" s="10" t="s">
        <v>974</v>
      </c>
      <c r="B422" s="10" t="str">
        <f aca="false">IFERROR(VLOOKUP(A422,Pedido!$A:$B,2,0),"")</f>
        <v/>
      </c>
      <c r="C422" s="10" t="str">
        <f aca="false">IF(B422="","NÃO COMPRA","COMPRA")</f>
        <v>NÃO COMPRA</v>
      </c>
      <c r="D422" s="1" t="n">
        <f aca="false">IFERROR(VLOOKUP(A422,Pedido!$A:$C,3,0),0)</f>
        <v>0</v>
      </c>
      <c r="E422" s="5" t="n">
        <f aca="false">IFERROR(VLOOKUP(A422,Pedido!$A:$E,5,0),0)</f>
        <v>0</v>
      </c>
      <c r="F422" s="1" t="s">
        <v>8</v>
      </c>
      <c r="G422" s="1" t="s">
        <v>157</v>
      </c>
      <c r="H422" s="1" t="s">
        <v>157</v>
      </c>
      <c r="I422" s="1" t="s">
        <v>286</v>
      </c>
      <c r="J422" s="1" t="s">
        <v>975</v>
      </c>
      <c r="K422" s="1" t="n">
        <v>355</v>
      </c>
      <c r="L422" s="11" t="n">
        <v>0.783751626187908</v>
      </c>
      <c r="M422" s="1" t="n">
        <f aca="false">SUMIF(Relatorio_AK!$A:$A,A422,Relatorio_AK!$B:$B)</f>
        <v>355</v>
      </c>
      <c r="N422" s="1" t="str">
        <f aca="false">IF(M422=K422,"OK","DIF")</f>
        <v>OK</v>
      </c>
      <c r="O422" s="13" t="str">
        <f aca="false">IFERROR(VLOOKUP($A422,Lista_Starke!$A:$E,3,0),"NÃO ESTÁ NA LISTA")</f>
        <v>FORD: Ranger 2.2 16V TDCi 13/...
FORD: Ranger 3.2 20V TDCi 13/...
FORD: Transit 2.4 16V TDCi / TDE  Duratorq 09/…
TROLLER: T4 3.2 20V TDCi 14/...</v>
      </c>
      <c r="P422" s="12" t="str">
        <f aca="false">IFERROR(VLOOKUP($A422,Lista_Starke!$A:$E,2,0),"NÃO ESTÁ NA LISTA")</f>
        <v>ATUADOR DE EMBREAGEM</v>
      </c>
    </row>
    <row r="423" customFormat="false" ht="15" hidden="false" customHeight="true" outlineLevel="0" collapsed="false">
      <c r="A423" s="10" t="s">
        <v>976</v>
      </c>
      <c r="B423" s="10" t="str">
        <f aca="false">IFERROR(VLOOKUP(A423,Pedido!$A:$B,2,0),"")</f>
        <v/>
      </c>
      <c r="C423" s="10" t="str">
        <f aca="false">IF(B423="","NÃO COMPRA","COMPRA")</f>
        <v>NÃO COMPRA</v>
      </c>
      <c r="D423" s="1" t="n">
        <f aca="false">IFERROR(VLOOKUP(A423,Pedido!$A:$C,3,0),0)</f>
        <v>0</v>
      </c>
      <c r="E423" s="5" t="n">
        <f aca="false">IFERROR(VLOOKUP(A423,Pedido!$A:$E,5,0),0)</f>
        <v>0</v>
      </c>
      <c r="F423" s="1" t="s">
        <v>8</v>
      </c>
      <c r="G423" s="1" t="s">
        <v>34</v>
      </c>
      <c r="H423" s="1" t="s">
        <v>35</v>
      </c>
      <c r="I423" s="1" t="s">
        <v>226</v>
      </c>
      <c r="J423" s="1" t="s">
        <v>977</v>
      </c>
      <c r="K423" s="1" t="n">
        <v>354</v>
      </c>
      <c r="L423" s="11" t="n">
        <v>0.784356798875815</v>
      </c>
      <c r="M423" s="1" t="n">
        <f aca="false">SUMIF(Relatorio_AK!$A:$A,A423,Relatorio_AK!$B:$B)</f>
        <v>354</v>
      </c>
      <c r="N423" s="1" t="str">
        <f aca="false">IF(M423=K423,"OK","DIF")</f>
        <v>OK</v>
      </c>
      <c r="O423" s="13" t="str">
        <f aca="false">IFERROR(VLOOKUP($A423,Lista_Starke!$A:$E,3,0),"NÃO ESTÁ NA LISTA")</f>
        <v>AUDI: A3 1.6 03/12
AUDI: A3 1.8 TFSI 07/13
AUDI: A3 2.0 TFSI 04/13
VOLKSWAGEN: Jetta 2.0 16V 12/...
VOLKSWAGEN: Jetta 2.5 20V 5 cil 05/09
VOLKSWAGEN: Jetta Variant 2.5 20V 5 cil 08/...
VOLKSWAGEN: New Beetle 2.0 TSI 13/...</v>
      </c>
      <c r="P423" s="12" t="str">
        <f aca="false">IFERROR(VLOOKUP($A423,Lista_Starke!$A:$E,2,0),"NÃO ESTÁ NA LISTA")</f>
        <v>CILINDRO MESTRE DE FREIO</v>
      </c>
    </row>
    <row r="424" customFormat="false" ht="15" hidden="false" customHeight="true" outlineLevel="0" collapsed="false">
      <c r="A424" s="10" t="s">
        <v>978</v>
      </c>
      <c r="B424" s="10" t="str">
        <f aca="false">IFERROR(VLOOKUP(A424,Pedido!$A:$B,2,0),"")</f>
        <v/>
      </c>
      <c r="C424" s="10" t="str">
        <f aca="false">IF(B424="","NÃO COMPRA","COMPRA")</f>
        <v>NÃO COMPRA</v>
      </c>
      <c r="D424" s="1" t="n">
        <f aca="false">IFERROR(VLOOKUP(A424,Pedido!$A:$C,3,0),0)</f>
        <v>0</v>
      </c>
      <c r="E424" s="5" t="n">
        <f aca="false">IFERROR(VLOOKUP(A424,Pedido!$A:$E,5,0),0)</f>
        <v>0</v>
      </c>
      <c r="F424" s="1" t="s">
        <v>8</v>
      </c>
      <c r="G424" s="1" t="s">
        <v>979</v>
      </c>
      <c r="H424" s="1" t="s">
        <v>131</v>
      </c>
      <c r="I424" s="1" t="s">
        <v>295</v>
      </c>
      <c r="J424" s="1" t="s">
        <v>980</v>
      </c>
      <c r="K424" s="1" t="n">
        <v>354</v>
      </c>
      <c r="L424" s="11" t="n">
        <v>0.784961971563721</v>
      </c>
      <c r="M424" s="1" t="n">
        <f aca="false">SUMIF(Relatorio_AK!$A:$A,A424,Relatorio_AK!$B:$B)</f>
        <v>354</v>
      </c>
      <c r="N424" s="1" t="str">
        <f aca="false">IF(M424=K424,"OK","DIF")</f>
        <v>OK</v>
      </c>
      <c r="O424" s="12" t="str">
        <f aca="false">IFERROR(VLOOKUP($A424,Lista_Starke!$A:$E,3,0),"NÃO ESTÁ NA LISTA")</f>
        <v>CHERY: QQ 1.0 16V / 1.1 16V 10/...</v>
      </c>
      <c r="P424" s="12" t="str">
        <f aca="false">IFERROR(VLOOKUP($A424,Lista_Starke!$A:$E,2,0),"NÃO ESTÁ NA LISTA")</f>
        <v>SAPATA DE FREIO</v>
      </c>
    </row>
    <row r="425" customFormat="false" ht="15" hidden="false" customHeight="true" outlineLevel="0" collapsed="false">
      <c r="A425" s="10" t="s">
        <v>981</v>
      </c>
      <c r="B425" s="10" t="str">
        <f aca="false">IFERROR(VLOOKUP(A425,Pedido!$A:$B,2,0),"")</f>
        <v/>
      </c>
      <c r="C425" s="10" t="str">
        <f aca="false">IF(B425="","NÃO COMPRA","COMPRA")</f>
        <v>NÃO COMPRA</v>
      </c>
      <c r="D425" s="1" t="n">
        <f aca="false">IFERROR(VLOOKUP(A425,Pedido!$A:$C,3,0),0)</f>
        <v>0</v>
      </c>
      <c r="E425" s="5" t="n">
        <f aca="false">IFERROR(VLOOKUP(A425,Pedido!$A:$E,5,0),0)</f>
        <v>0</v>
      </c>
      <c r="F425" s="1" t="s">
        <v>8</v>
      </c>
      <c r="G425" s="1" t="s">
        <v>982</v>
      </c>
      <c r="H425" s="1" t="s">
        <v>790</v>
      </c>
      <c r="I425" s="1" t="s">
        <v>373</v>
      </c>
      <c r="K425" s="1" t="n">
        <v>354</v>
      </c>
      <c r="L425" s="11" t="n">
        <v>0.785567144251628</v>
      </c>
      <c r="M425" s="1" t="n">
        <f aca="false">SUMIF(Relatorio_AK!$A:$A,A425,Relatorio_AK!$B:$B)</f>
        <v>354</v>
      </c>
      <c r="N425" s="1" t="str">
        <f aca="false">IF(M425=K425,"OK","DIF")</f>
        <v>OK</v>
      </c>
      <c r="O425" s="13" t="str">
        <f aca="false">IFERROR(VLOOKUP($A425,Lista_Starke!$A:$E,3,0),"NÃO ESTÁ NA LISTA")</f>
        <v>MERCEDES-BENZ: C180 (W205) 1.6 16V Turbo M274.910 14/...
MERCEDES-BENZ: C200 (W205) 2.0 16V Turbo M274.920 13/18
MERCEDES-BENZ: C250 (W205) 2.0 16V Turbo M274.920 14/18
MERCEDES-BENZ: C300 (W205) 2.0 16V Turbo M274.920 13/...
MERCEDES-BENZ: C350 (W205) 2.0 16V Turbo M274.920 15/18
MERCEDES-BENZ: GLC250 (X253) 2.0 16V Turbo M274.920 15/19
MERCEDES-BENZ: GLC300 (X253) 2.0 16V Turbo M274.920 15/22</v>
      </c>
      <c r="P425" s="12" t="str">
        <f aca="false">IFERROR(VLOOKUP($A425,Lista_Starke!$A:$E,2,0),"NÃO ESTÁ NA LISTA")</f>
        <v>BOMBA D'ÁGUA ELÉTRICA</v>
      </c>
    </row>
    <row r="426" customFormat="false" ht="15" hidden="false" customHeight="true" outlineLevel="0" collapsed="false">
      <c r="A426" s="10" t="s">
        <v>983</v>
      </c>
      <c r="B426" s="10" t="str">
        <f aca="false">IFERROR(VLOOKUP(A426,Pedido!$A:$B,2,0),"")</f>
        <v/>
      </c>
      <c r="C426" s="10" t="str">
        <f aca="false">IF(B426="","NÃO COMPRA","COMPRA")</f>
        <v>NÃO COMPRA</v>
      </c>
      <c r="D426" s="1" t="n">
        <f aca="false">IFERROR(VLOOKUP(A426,Pedido!$A:$C,3,0),0)</f>
        <v>0</v>
      </c>
      <c r="E426" s="5" t="n">
        <f aca="false">IFERROR(VLOOKUP(A426,Pedido!$A:$E,5,0),0)</f>
        <v>0</v>
      </c>
      <c r="F426" s="1" t="s">
        <v>8</v>
      </c>
      <c r="G426" s="1" t="s">
        <v>984</v>
      </c>
      <c r="H426" s="1" t="s">
        <v>197</v>
      </c>
      <c r="I426" s="1" t="s">
        <v>115</v>
      </c>
      <c r="J426" s="1" t="s">
        <v>985</v>
      </c>
      <c r="K426" s="1" t="n">
        <v>354</v>
      </c>
      <c r="L426" s="11" t="n">
        <v>0.786172316939535</v>
      </c>
      <c r="M426" s="1" t="n">
        <f aca="false">SUMIF(Relatorio_AK!$A:$A,A426,Relatorio_AK!$B:$B)</f>
        <v>354</v>
      </c>
      <c r="N426" s="1" t="str">
        <f aca="false">IF(M426=K426,"OK","DIF")</f>
        <v>OK</v>
      </c>
      <c r="O426" s="13" t="str">
        <f aca="false">IFERROR(VLOOKUP($A426,Lista_Starke!$A:$E,3,0),"NÃO ESTÁ NA LISTA")</f>
        <v>JAC MOTORS: J2 1.4 16V 11/...
JAC MOTORS: J3 1.4 16V 11/...
JAC MOTORS: J5 1.4 16V 11/...</v>
      </c>
      <c r="P426" s="12" t="str">
        <f aca="false">IFERROR(VLOOKUP($A426,Lista_Starke!$A:$E,2,0),"NÃO ESTÁ NA LISTA")</f>
        <v>BOMBA D'ÁGUA</v>
      </c>
    </row>
    <row r="427" customFormat="false" ht="15" hidden="false" customHeight="true" outlineLevel="0" collapsed="false">
      <c r="A427" s="10" t="s">
        <v>986</v>
      </c>
      <c r="B427" s="10" t="str">
        <f aca="false">IFERROR(VLOOKUP(A427,Pedido!$A:$B,2,0),"")</f>
        <v/>
      </c>
      <c r="C427" s="10" t="str">
        <f aca="false">IF(B427="","NÃO COMPRA","COMPRA")</f>
        <v>NÃO COMPRA</v>
      </c>
      <c r="D427" s="1" t="n">
        <f aca="false">IFERROR(VLOOKUP(A427,Pedido!$A:$C,3,0),0)</f>
        <v>0</v>
      </c>
      <c r="E427" s="5" t="n">
        <f aca="false">IFERROR(VLOOKUP(A427,Pedido!$A:$E,5,0),0)</f>
        <v>0</v>
      </c>
      <c r="F427" s="1" t="s">
        <v>8</v>
      </c>
      <c r="G427" s="1" t="s">
        <v>105</v>
      </c>
      <c r="H427" s="1" t="s">
        <v>88</v>
      </c>
      <c r="I427" s="1" t="s">
        <v>987</v>
      </c>
      <c r="J427" s="1" t="s">
        <v>988</v>
      </c>
      <c r="K427" s="1" t="n">
        <v>354</v>
      </c>
      <c r="L427" s="11" t="n">
        <v>0.786777489627442</v>
      </c>
      <c r="M427" s="1" t="n">
        <f aca="false">SUMIF(Relatorio_AK!$A:$A,A427,Relatorio_AK!$B:$B)</f>
        <v>354</v>
      </c>
      <c r="N427" s="1" t="str">
        <f aca="false">IF(M427=K427,"OK","DIF")</f>
        <v>OK</v>
      </c>
      <c r="O427" s="13" t="str">
        <f aca="false">IFERROR(VLOOKUP($A427,Lista_Starke!$A:$E,3,0),"NÃO ESTÁ NA LISTA")</f>
        <v>FIAT: Palio 1.0 8V 98/11
FIAT: Palio 1.0 8V EVO 11/17
FIAT: Palio 1.3 16V Fire 00/11
FIAT: Palio 1.3 8V Fire 00/11
FIAT: Palio 1.4 8V EVO 11/17
FIAT: Palio 1.4 8V Fire 05/08
FIAT: Palio 1.5 8V 98/11
FIAT: Palio 1.6 16V 98/11
FIAT: Palio 1.6 16V Etorq 11/17
FIAT: Palio 1.6 8V 98/11
FIAT: Palio 1.8 8V 03/10
FIAT: Palio Economy 1.0 8V Fire 10/15
FIAT: Palio Weekend Adventure Locker 1.8 8V 04/09
FIAT: Siena 1.0 8V 98/00
FIAT: Siena 1.0 8V Fire 05/09
FIAT: Siena 1.3 8V Fire 02/04
FIAT: Siena 1.5 8V 98/00
FIAT: Siena 1.6 16V 98/00
FIAT: Siena 1.6 8V 98/00
FIAT: Uno 1.4 8V EVO 13/14
FORD: Fiesta 1.0 8V Zetec Rocam 02/14
FORD: Fiesta 1.6 8V Zetec Rocam 07/14
FORD: Fiesta Sedan 1.0 8V Zetec Rocam 06/10
FORD: Fiesta Sedan 1.6 8V Zetec Rocam 10/14</v>
      </c>
      <c r="P427" s="12" t="str">
        <f aca="false">IFERROR(VLOOKUP($A427,Lista_Starke!$A:$E,2,0),"NÃO ESTÁ NA LISTA")</f>
        <v>CILINDRO DE RODA LE/LD</v>
      </c>
    </row>
    <row r="428" customFormat="false" ht="15" hidden="false" customHeight="true" outlineLevel="0" collapsed="false">
      <c r="A428" s="10" t="s">
        <v>989</v>
      </c>
      <c r="B428" s="10" t="str">
        <f aca="false">IFERROR(VLOOKUP(A428,Pedido!$A:$B,2,0),"")</f>
        <v/>
      </c>
      <c r="C428" s="10" t="str">
        <f aca="false">IF(B428="","NÃO COMPRA","COMPRA")</f>
        <v>NÃO COMPRA</v>
      </c>
      <c r="D428" s="1" t="n">
        <f aca="false">IFERROR(VLOOKUP(A428,Pedido!$A:$C,3,0),0)</f>
        <v>0</v>
      </c>
      <c r="E428" s="5" t="n">
        <f aca="false">IFERROR(VLOOKUP(A428,Pedido!$A:$E,5,0),0)</f>
        <v>0</v>
      </c>
      <c r="F428" s="1" t="s">
        <v>8</v>
      </c>
      <c r="G428" s="1" t="s">
        <v>785</v>
      </c>
      <c r="H428" s="1" t="s">
        <v>126</v>
      </c>
      <c r="I428" s="1" t="s">
        <v>77</v>
      </c>
      <c r="J428" s="1" t="s">
        <v>990</v>
      </c>
      <c r="K428" s="1" t="n">
        <v>353</v>
      </c>
      <c r="L428" s="11" t="n">
        <v>0.787380952787982</v>
      </c>
      <c r="M428" s="1" t="n">
        <f aca="false">SUMIF(Relatorio_AK!$A:$A,A428,Relatorio_AK!$B:$B)</f>
        <v>353</v>
      </c>
      <c r="N428" s="1" t="str">
        <f aca="false">IF(M428=K428,"OK","DIF")</f>
        <v>OK</v>
      </c>
      <c r="O428" s="13" t="str">
        <f aca="false">IFERROR(VLOOKUP($A428,Lista_Starke!$A:$E,3,0),"NÃO ESTÁ NA LISTA")</f>
        <v>CITROEN: Aircross 1.6 16V EC5 12/...
CITROEN: C3 1.6 16V EC5 12/19
CITROEN: C3 Picasso 1.6 16V EC5 16/19
CITROEN: C4 Cactus  18/...
CITROEN: C4 Cactus 1.6 16V EC5 18/...
CITROEN: C4 Lounge 1.6 16V THP 13/...
CITROEN: C4 Picasso 1.6 16V EC5 16/...
CITROEN: C4 Picasso 1.6 16V THP 16/19
CITROEN: DS3 1.6 16V THP 14/...
CITROEN: DS4  14/...
CITROEN: DS5 1.6 16V THP 14/...
PEUGEOT: 2008 1.6 16V EC5 13/...
PEUGEOT: 2008 1.6 16V THP 16/...
PEUGEOT: 208 1.6 16V EC5 12/...
PEUGEOT: 208 1.6 16V THP 16/...
PEUGEOT: 3008 1.6 16V THP 16/...
PEUGEOT: 308 1.6 16V THP 16/...
PEUGEOT: 408 1.6 16V THP 16/...</v>
      </c>
      <c r="P428" s="12" t="str">
        <f aca="false">IFERROR(VLOOKUP($A428,Lista_Starke!$A:$E,2,0),"NÃO ESTÁ NA LISTA")</f>
        <v>RESFRIADOR DE ÓLEO CÂMBIO</v>
      </c>
    </row>
    <row r="429" customFormat="false" ht="15" hidden="false" customHeight="true" outlineLevel="0" collapsed="false">
      <c r="A429" s="10" t="s">
        <v>991</v>
      </c>
      <c r="B429" s="10" t="str">
        <f aca="false">IFERROR(VLOOKUP(A429,Pedido!$A:$B,2,0),"")</f>
        <v/>
      </c>
      <c r="C429" s="10" t="str">
        <f aca="false">IF(B429="","NÃO COMPRA","COMPRA")</f>
        <v>NÃO COMPRA</v>
      </c>
      <c r="D429" s="1" t="n">
        <f aca="false">IFERROR(VLOOKUP(A429,Pedido!$A:$C,3,0),0)</f>
        <v>0</v>
      </c>
      <c r="E429" s="5" t="n">
        <f aca="false">IFERROR(VLOOKUP(A429,Pedido!$A:$E,5,0),0)</f>
        <v>0</v>
      </c>
      <c r="F429" s="1" t="s">
        <v>8</v>
      </c>
      <c r="G429" s="1" t="s">
        <v>56</v>
      </c>
      <c r="H429" s="1" t="s">
        <v>35</v>
      </c>
      <c r="I429" s="1" t="s">
        <v>57</v>
      </c>
      <c r="J429" s="1" t="s">
        <v>992</v>
      </c>
      <c r="K429" s="1" t="n">
        <v>350</v>
      </c>
      <c r="L429" s="11" t="n">
        <v>0.787979287366421</v>
      </c>
      <c r="M429" s="1" t="n">
        <f aca="false">SUMIF(Relatorio_AK!$A:$A,A429,Relatorio_AK!$B:$B)</f>
        <v>350</v>
      </c>
      <c r="N429" s="1" t="str">
        <f aca="false">IF(M429=K429,"OK","DIF")</f>
        <v>OK</v>
      </c>
      <c r="O429" s="13" t="str">
        <f aca="false">IFERROR(VLOOKUP($A429,Lista_Starke!$A:$E,3,0),"NÃO ESTÁ NA LISTA")</f>
        <v>GM: Ipanema  90/98
GM: Kadett  89/98
GM: Monza  88/96</v>
      </c>
      <c r="P429" s="12" t="str">
        <f aca="false">IFERROR(VLOOKUP($A429,Lista_Starke!$A:$E,2,0),"NÃO ESTÁ NA LISTA")</f>
        <v>CILINDRO MESTRE DE FREIO</v>
      </c>
    </row>
    <row r="430" customFormat="false" ht="15" hidden="false" customHeight="true" outlineLevel="0" collapsed="false">
      <c r="A430" s="10" t="s">
        <v>993</v>
      </c>
      <c r="B430" s="10" t="str">
        <f aca="false">IFERROR(VLOOKUP(A430,Pedido!$A:$B,2,0),"")</f>
        <v/>
      </c>
      <c r="C430" s="10" t="str">
        <f aca="false">IF(B430="","NÃO COMPRA","COMPRA")</f>
        <v>NÃO COMPRA</v>
      </c>
      <c r="D430" s="1" t="n">
        <f aca="false">IFERROR(VLOOKUP(A430,Pedido!$A:$C,3,0),0)</f>
        <v>0</v>
      </c>
      <c r="E430" s="5" t="n">
        <f aca="false">IFERROR(VLOOKUP(A430,Pedido!$A:$E,5,0),0)</f>
        <v>0</v>
      </c>
      <c r="F430" s="1" t="s">
        <v>8</v>
      </c>
      <c r="G430" s="1" t="s">
        <v>379</v>
      </c>
      <c r="H430" s="1" t="s">
        <v>32</v>
      </c>
      <c r="I430" s="1" t="s">
        <v>36</v>
      </c>
      <c r="K430" s="1" t="n">
        <v>350</v>
      </c>
      <c r="L430" s="11" t="n">
        <v>0.78857762194486</v>
      </c>
      <c r="M430" s="1" t="n">
        <f aca="false">SUMIF(Relatorio_AK!$A:$A,A430,Relatorio_AK!$B:$B)</f>
        <v>350</v>
      </c>
      <c r="N430" s="1" t="str">
        <f aca="false">IF(M430=K430,"OK","DIF")</f>
        <v>OK</v>
      </c>
      <c r="O430" s="13" t="str">
        <f aca="false">IFERROR(VLOOKUP($A430,Lista_Starke!$A:$E,3,0),"NÃO ESTÁ NA LISTA")</f>
        <v>VOLKSWAGEN: Nivus 1.0 TSI 21/...
VOLKSWAGEN: Polo 1.0 TSI 18/...
VOLKSWAGEN: T-Cross 1.0 TSI 20/...
VOLKSWAGEN: T-Cross 1.4 TSI 18/21
VOLKSWAGEN: Virtus 1.0 TSI 18/...</v>
      </c>
      <c r="P430" s="12" t="str">
        <f aca="false">IFERROR(VLOOKUP($A430,Lista_Starke!$A:$E,2,0),"NÃO ESTÁ NA LISTA")</f>
        <v>CILINDRO MESTRE DE EMBREAGEM</v>
      </c>
    </row>
    <row r="431" customFormat="false" ht="15" hidden="false" customHeight="true" outlineLevel="0" collapsed="false">
      <c r="A431" s="10" t="s">
        <v>994</v>
      </c>
      <c r="B431" s="10" t="str">
        <f aca="false">IFERROR(VLOOKUP(A431,Pedido!$A:$B,2,0),"")</f>
        <v/>
      </c>
      <c r="C431" s="10" t="str">
        <f aca="false">IF(B431="","NÃO COMPRA","COMPRA")</f>
        <v>NÃO COMPRA</v>
      </c>
      <c r="D431" s="1" t="n">
        <f aca="false">IFERROR(VLOOKUP(A431,Pedido!$A:$C,3,0),0)</f>
        <v>0</v>
      </c>
      <c r="E431" s="5" t="n">
        <f aca="false">IFERROR(VLOOKUP(A431,Pedido!$A:$E,5,0),0)</f>
        <v>0</v>
      </c>
      <c r="F431" s="1" t="s">
        <v>8</v>
      </c>
      <c r="G431" s="1" t="s">
        <v>616</v>
      </c>
      <c r="H431" s="1" t="s">
        <v>197</v>
      </c>
      <c r="I431" s="1" t="s">
        <v>226</v>
      </c>
      <c r="J431" s="1" t="s">
        <v>995</v>
      </c>
      <c r="K431" s="1" t="n">
        <v>350</v>
      </c>
      <c r="L431" s="11" t="n">
        <v>0.7891759565233</v>
      </c>
      <c r="M431" s="1" t="n">
        <f aca="false">SUMIF(Relatorio_AK!$A:$A,A431,Relatorio_AK!$B:$B)</f>
        <v>350</v>
      </c>
      <c r="N431" s="1" t="str">
        <f aca="false">IF(M431=K431,"OK","DIF")</f>
        <v>OK</v>
      </c>
      <c r="O431" s="13" t="str">
        <f aca="false">IFERROR(VLOOKUP($A431,Lista_Starke!$A:$E,3,0),"NÃO ESTÁ NA LISTA")</f>
        <v>AUDI: A3 2.0 TFSI AXX / BWA / CAWB / CCZA / CBFA 04/13
AUDI: A3 2.0 TFSI AXX / BWA / CAWB / CCZA 04/12
AUDI: A3  Quattro 2.0 TFSI AXX / BWA / CCZA 04/12
AUDI: A4 2.0 TFSI CDNB / CAEA / CFKA 08/15
AUDI: A4 2.0 TFSI CDNC / CAEB 08/13
AUDI: A4 2.0 TFSI CFKA 09/15
AUDI: A4 Quattro 2.0 TFSI CDNC / CPMA 08/16
AUDI: A4 Quattro 2.0 TFSI CPMB / CAED 13/16
AUDI: A5 2.0 TFSI CDNB 09/14
AUDI: A5 2.0 TFSI CDNC / CAEB / CAED 09/14
AUDI: A5 Quattro 2.0 TFSI CDNC / CAEB / CPMA 09/17
AUDI: A6 2.0 TFSI CDNB / CAEB / CHJA / CAED 11/...
AUDI: A8 2.0 TFSI CHJA 12/...
AUDI: Q3 2.0 TFSI CCZC / CPSA / CULC 11/...
AUDI: Q5 2.0 TFSI CDNB / CNCB / CDNC / CAEB / CPMA 09/...
AUDI: Q5 2.0 TFSI CHJA 11/...
AUDI: Q5 2.0 TFSI CPMB 13/...
AUDI: Tiguan 2.0 TSI CCZD 11/...
AUDI: TT 2.0 TFSI BWA / CCZA / CESA / CETA 06/14
VOLKSWAGEN: Beetle 2.0 TSI CCTA / CBFA / CCZA 11/...
VOLKSWAGEN: Golf GTI 2.0 TSI CBFA / CCTA / CCZA / CCZB 13/...
VOLKSWAGEN: Jetta 2.0 TSI CCTA / CBFA / CCZA 10/...
VOLKSWAGEN: Passat 2.0 FSI AXX / BWA / BPY / CAWB / CCTA / CBFA / CCZA 05/10
VOLKSWAGEN: Passat 2.0 TSI CCZB 10/14
VOLKSWAGEN: Passat CC 2.0 TSI CCZB 11/16
VOLKSWAGEN: Tiguan 2.0 TFSI CAWA / CCZC / CAWB / CCTA / CCZA 07/...</v>
      </c>
      <c r="P431" s="12" t="str">
        <f aca="false">IFERROR(VLOOKUP($A431,Lista_Starke!$A:$E,2,0),"NÃO ESTÁ NA LISTA")</f>
        <v>BOMBA D'ÁGUA</v>
      </c>
    </row>
    <row r="432" customFormat="false" ht="15" hidden="false" customHeight="true" outlineLevel="0" collapsed="false">
      <c r="A432" s="10" t="s">
        <v>996</v>
      </c>
      <c r="B432" s="10" t="str">
        <f aca="false">IFERROR(VLOOKUP(A432,Pedido!$A:$B,2,0),"")</f>
        <v/>
      </c>
      <c r="C432" s="10" t="str">
        <f aca="false">IF(B432="","NÃO COMPRA","COMPRA")</f>
        <v>NÃO COMPRA</v>
      </c>
      <c r="D432" s="1" t="n">
        <f aca="false">IFERROR(VLOOKUP(A432,Pedido!$A:$C,3,0),0)</f>
        <v>0</v>
      </c>
      <c r="E432" s="5" t="n">
        <f aca="false">IFERROR(VLOOKUP(A432,Pedido!$A:$E,5,0),0)</f>
        <v>0</v>
      </c>
      <c r="F432" s="1" t="s">
        <v>8</v>
      </c>
      <c r="G432" s="1" t="s">
        <v>56</v>
      </c>
      <c r="H432" s="1" t="s">
        <v>35</v>
      </c>
      <c r="I432" s="1" t="s">
        <v>57</v>
      </c>
      <c r="J432" s="1" t="s">
        <v>997</v>
      </c>
      <c r="K432" s="1" t="n">
        <v>348</v>
      </c>
      <c r="L432" s="11" t="n">
        <v>0.789770872047005</v>
      </c>
      <c r="M432" s="1" t="n">
        <f aca="false">SUMIF(Relatorio_AK!$A:$A,A432,Relatorio_AK!$B:$B)</f>
        <v>348</v>
      </c>
      <c r="N432" s="1" t="str">
        <f aca="false">IF(M432=K432,"OK","DIF")</f>
        <v>OK</v>
      </c>
      <c r="O432" s="13" t="str">
        <f aca="false">IFERROR(VLOOKUP($A432,Lista_Starke!$A:$E,3,0),"NÃO ESTÁ NA LISTA")</f>
        <v>GM: Chevette  87/94
GM: Chevy  87/95
GM: Marajo  87/89</v>
      </c>
      <c r="P432" s="12" t="str">
        <f aca="false">IFERROR(VLOOKUP($A432,Lista_Starke!$A:$E,2,0),"NÃO ESTÁ NA LISTA")</f>
        <v>CILINDRO MESTRE DE FREIO</v>
      </c>
    </row>
    <row r="433" customFormat="false" ht="15" hidden="false" customHeight="true" outlineLevel="0" collapsed="false">
      <c r="A433" s="10" t="s">
        <v>998</v>
      </c>
      <c r="B433" s="10" t="str">
        <f aca="false">IFERROR(VLOOKUP(A433,Pedido!$A:$B,2,0),"")</f>
        <v/>
      </c>
      <c r="C433" s="10" t="str">
        <f aca="false">IF(B433="","NÃO COMPRA","COMPRA")</f>
        <v>NÃO COMPRA</v>
      </c>
      <c r="D433" s="1" t="n">
        <f aca="false">IFERROR(VLOOKUP(A433,Pedido!$A:$C,3,0),0)</f>
        <v>0</v>
      </c>
      <c r="E433" s="5" t="n">
        <f aca="false">IFERROR(VLOOKUP(A433,Pedido!$A:$E,5,0),0)</f>
        <v>0</v>
      </c>
      <c r="F433" s="1" t="s">
        <v>8</v>
      </c>
      <c r="G433" s="1" t="s">
        <v>225</v>
      </c>
      <c r="H433" s="1" t="s">
        <v>35</v>
      </c>
      <c r="I433" s="1" t="s">
        <v>226</v>
      </c>
      <c r="K433" s="1" t="n">
        <v>347</v>
      </c>
      <c r="L433" s="11" t="n">
        <v>0.790364078043343</v>
      </c>
      <c r="M433" s="1" t="n">
        <f aca="false">SUMIF(Relatorio_AK!$A:$A,A433,Relatorio_AK!$B:$B)</f>
        <v>347</v>
      </c>
      <c r="N433" s="1" t="str">
        <f aca="false">IF(M433=K433,"OK","DIF")</f>
        <v>OK</v>
      </c>
      <c r="O433" s="13" t="str">
        <f aca="false">IFERROR(VLOOKUP($A433,Lista_Starke!$A:$E,3,0),"NÃO ESTÁ NA LISTA")</f>
        <v>AUDI: A3 Sportback 1.4 16V TFSI 13/...
AUDI: A3 Sportback 2.0 16V TFSI 16/...
AUDI: S3 2.0 16V TFSI 13/...
VOLKSWAGEN: Golf 1.0 12V TSI 16/...
VOLKSWAGEN: Golf 1.4 16V TSI 13/...
VOLKSWAGEN: Golf 1.6 16V MSI 14/...
VOLKSWAGEN: Golf GTI 2.0 16V TSI 13/...
VOLKSWAGEN: Golf Variant 1.4 16V TSI 13/...</v>
      </c>
      <c r="P433" s="12" t="str">
        <f aca="false">IFERROR(VLOOKUP($A433,Lista_Starke!$A:$E,2,0),"NÃO ESTÁ NA LISTA")</f>
        <v>CILINDRO MESTRE DE FREIO</v>
      </c>
    </row>
    <row r="434" customFormat="false" ht="15" hidden="false" customHeight="true" outlineLevel="0" collapsed="false">
      <c r="A434" s="10" t="s">
        <v>999</v>
      </c>
      <c r="B434" s="10" t="str">
        <f aca="false">IFERROR(VLOOKUP(A434,Pedido!$A:$B,2,0),"")</f>
        <v/>
      </c>
      <c r="C434" s="10" t="str">
        <f aca="false">IF(B434="","NÃO COMPRA","COMPRA")</f>
        <v>NÃO COMPRA</v>
      </c>
      <c r="D434" s="1" t="n">
        <f aca="false">IFERROR(VLOOKUP(A434,Pedido!$A:$C,3,0),0)</f>
        <v>0</v>
      </c>
      <c r="E434" s="5" t="n">
        <f aca="false">IFERROR(VLOOKUP(A434,Pedido!$A:$E,5,0),0)</f>
        <v>0</v>
      </c>
      <c r="F434" s="1" t="s">
        <v>8</v>
      </c>
      <c r="G434" s="1" t="s">
        <v>1000</v>
      </c>
      <c r="H434" s="1" t="s">
        <v>126</v>
      </c>
      <c r="I434" s="1" t="s">
        <v>50</v>
      </c>
      <c r="J434" s="1" t="s">
        <v>1001</v>
      </c>
      <c r="K434" s="1" t="n">
        <v>346</v>
      </c>
      <c r="L434" s="11" t="n">
        <v>0.790955574512314</v>
      </c>
      <c r="M434" s="1" t="n">
        <f aca="false">SUMIF(Relatorio_AK!$A:$A,A434,Relatorio_AK!$B:$B)</f>
        <v>346</v>
      </c>
      <c r="N434" s="1" t="str">
        <f aca="false">IF(M434=K434,"OK","DIF")</f>
        <v>OK</v>
      </c>
      <c r="O434" s="13" t="str">
        <f aca="false">IFERROR(VLOOKUP($A434,Lista_Starke!$A:$E,3,0),"NÃO ESTÁ NA LISTA")</f>
        <v>HONDA: HRV 1.8 16V 15/...
HONDA: New Civic 1.8 16V 12/16
HONDA: New Civic 2.0 16V 16/...
HONDA: New Fit 1.5 16V L15B2 15/...</v>
      </c>
      <c r="P434" s="12" t="str">
        <f aca="false">IFERROR(VLOOKUP($A434,Lista_Starke!$A:$E,2,0),"NÃO ESTÁ NA LISTA")</f>
        <v>RESFRIADOR DE ÓLEO CÂMBIO</v>
      </c>
    </row>
    <row r="435" customFormat="false" ht="15" hidden="false" customHeight="true" outlineLevel="0" collapsed="false">
      <c r="A435" s="10" t="s">
        <v>1002</v>
      </c>
      <c r="B435" s="10" t="str">
        <f aca="false">IFERROR(VLOOKUP(A435,Pedido!$A:$B,2,0),"")</f>
        <v/>
      </c>
      <c r="C435" s="10" t="str">
        <f aca="false">IF(B435="","NÃO COMPRA","COMPRA")</f>
        <v>NÃO COMPRA</v>
      </c>
      <c r="D435" s="1" t="n">
        <f aca="false">IFERROR(VLOOKUP(A435,Pedido!$A:$C,3,0),0)</f>
        <v>0</v>
      </c>
      <c r="E435" s="5" t="n">
        <f aca="false">IFERROR(VLOOKUP(A435,Pedido!$A:$E,5,0),0)</f>
        <v>0</v>
      </c>
      <c r="F435" s="1" t="s">
        <v>8</v>
      </c>
      <c r="G435" s="1" t="s">
        <v>191</v>
      </c>
      <c r="H435" s="1" t="s">
        <v>35</v>
      </c>
      <c r="I435" s="1" t="s">
        <v>50</v>
      </c>
      <c r="K435" s="1" t="n">
        <v>345</v>
      </c>
      <c r="L435" s="11" t="n">
        <v>0.791545361453918</v>
      </c>
      <c r="M435" s="1" t="n">
        <f aca="false">SUMIF(Relatorio_AK!$A:$A,A435,Relatorio_AK!$B:$B)</f>
        <v>345</v>
      </c>
      <c r="N435" s="1" t="str">
        <f aca="false">IF(M435=K435,"OK","DIF")</f>
        <v>OK</v>
      </c>
      <c r="O435" s="12" t="str">
        <f aca="false">IFERROR(VLOOKUP($A435,Lista_Starke!$A:$E,3,0),"NÃO ESTÁ NA LISTA")</f>
        <v>HONDA: Civic 1.6 16V / 1.7 16V 01/05</v>
      </c>
      <c r="P435" s="12" t="str">
        <f aca="false">IFERROR(VLOOKUP($A435,Lista_Starke!$A:$E,2,0),"NÃO ESTÁ NA LISTA")</f>
        <v>CILINDRO MESTRE DE FREIO</v>
      </c>
    </row>
    <row r="436" customFormat="false" ht="15" hidden="false" customHeight="true" outlineLevel="0" collapsed="false">
      <c r="A436" s="10" t="s">
        <v>1003</v>
      </c>
      <c r="B436" s="10" t="str">
        <f aca="false">IFERROR(VLOOKUP(A436,Pedido!$A:$B,2,0),"")</f>
        <v/>
      </c>
      <c r="C436" s="10" t="str">
        <f aca="false">IF(B436="","NÃO COMPRA","COMPRA")</f>
        <v>NÃO COMPRA</v>
      </c>
      <c r="D436" s="1" t="n">
        <f aca="false">IFERROR(VLOOKUP(A436,Pedido!$A:$C,3,0),0)</f>
        <v>0</v>
      </c>
      <c r="E436" s="5" t="n">
        <f aca="false">IFERROR(VLOOKUP(A436,Pedido!$A:$E,5,0),0)</f>
        <v>0</v>
      </c>
      <c r="F436" s="1" t="s">
        <v>8</v>
      </c>
      <c r="G436" s="1" t="s">
        <v>1004</v>
      </c>
      <c r="H436" s="1" t="s">
        <v>197</v>
      </c>
      <c r="I436" s="1" t="s">
        <v>929</v>
      </c>
      <c r="K436" s="1" t="n">
        <v>344</v>
      </c>
      <c r="L436" s="11" t="n">
        <v>0.792133438868156</v>
      </c>
      <c r="M436" s="1" t="n">
        <f aca="false">SUMIF(Relatorio_AK!$A:$A,A436,Relatorio_AK!$B:$B)</f>
        <v>344</v>
      </c>
      <c r="N436" s="1" t="str">
        <f aca="false">IF(M436=K436,"OK","DIF")</f>
        <v>OK</v>
      </c>
      <c r="O436" s="13" t="str">
        <f aca="false">IFERROR(VLOOKUP($A436,Lista_Starke!$A:$E,3,0),"NÃO ESTÁ NA LISTA")</f>
        <v>SUZUKI: Grand Vitara 2.0 16V 4x4 JB416 05/...
SUZUKI: Jimny 1.3 16V G13BB 98/...
SUZUKI: Jimny 1.3 16V M13A 01/...
SUZUKI: Jimny 1.3 16V M13A 14/...
SUZUKI: SX4 1.6 16V M16A 06/...
SUZUKI: Vitara 1.6 16V M16A 15/...</v>
      </c>
      <c r="P436" s="12" t="str">
        <f aca="false">IFERROR(VLOOKUP($A436,Lista_Starke!$A:$E,2,0),"NÃO ESTÁ NA LISTA")</f>
        <v>BOMBA D´ÁGUA</v>
      </c>
    </row>
    <row r="437" customFormat="false" ht="15" hidden="false" customHeight="true" outlineLevel="0" collapsed="false">
      <c r="A437" s="10" t="s">
        <v>1005</v>
      </c>
      <c r="B437" s="10" t="str">
        <f aca="false">IFERROR(VLOOKUP(A437,Pedido!$A:$B,2,0),"")</f>
        <v/>
      </c>
      <c r="C437" s="10" t="str">
        <f aca="false">IF(B437="","NÃO COMPRA","COMPRA")</f>
        <v>NÃO COMPRA</v>
      </c>
      <c r="D437" s="1" t="n">
        <f aca="false">IFERROR(VLOOKUP(A437,Pedido!$A:$C,3,0),0)</f>
        <v>0</v>
      </c>
      <c r="E437" s="5" t="n">
        <f aca="false">IFERROR(VLOOKUP(A437,Pedido!$A:$E,5,0),0)</f>
        <v>0</v>
      </c>
      <c r="F437" s="1" t="s">
        <v>8</v>
      </c>
      <c r="G437" s="1" t="s">
        <v>695</v>
      </c>
      <c r="H437" s="1" t="s">
        <v>197</v>
      </c>
      <c r="I437" s="1" t="s">
        <v>295</v>
      </c>
      <c r="K437" s="1" t="n">
        <v>341</v>
      </c>
      <c r="L437" s="11" t="n">
        <v>0.792716387700292</v>
      </c>
      <c r="M437" s="1" t="n">
        <f aca="false">SUMIF(Relatorio_AK!$A:$A,A437,Relatorio_AK!$B:$B)</f>
        <v>341</v>
      </c>
      <c r="N437" s="1" t="str">
        <f aca="false">IF(M437=K437,"OK","DIF")</f>
        <v>OK</v>
      </c>
      <c r="O437" s="13" t="str">
        <f aca="false">IFERROR(VLOOKUP($A437,Lista_Starke!$A:$E,3,0),"NÃO ESTÁ NA LISTA")</f>
        <v>CHERY: Tiggo 7 Pro 1.6 16V Turbo SQRF4J16 21/...
CHERY: Tiggo 8 1.6 16V Turbo SQRF4J16 21/...</v>
      </c>
      <c r="P437" s="12" t="str">
        <f aca="false">IFERROR(VLOOKUP($A437,Lista_Starke!$A:$E,2,0),"NÃO ESTÁ NA LISTA")</f>
        <v>BOMBA D'ÁGUA</v>
      </c>
    </row>
    <row r="438" customFormat="false" ht="15" hidden="false" customHeight="true" outlineLevel="0" collapsed="false">
      <c r="A438" s="10" t="s">
        <v>1006</v>
      </c>
      <c r="B438" s="10" t="str">
        <f aca="false">IFERROR(VLOOKUP(A438,Pedido!$A:$B,2,0),"")</f>
        <v/>
      </c>
      <c r="C438" s="10" t="str">
        <f aca="false">IF(B438="","NÃO COMPRA","COMPRA")</f>
        <v>NÃO COMPRA</v>
      </c>
      <c r="D438" s="1" t="n">
        <f aca="false">IFERROR(VLOOKUP(A438,Pedido!$A:$C,3,0),0)</f>
        <v>0</v>
      </c>
      <c r="E438" s="5" t="n">
        <f aca="false">IFERROR(VLOOKUP(A438,Pedido!$A:$E,5,0),0)</f>
        <v>0</v>
      </c>
      <c r="F438" s="1" t="s">
        <v>8</v>
      </c>
      <c r="G438" s="1" t="s">
        <v>363</v>
      </c>
      <c r="H438" s="1" t="s">
        <v>32</v>
      </c>
      <c r="I438" s="1" t="s">
        <v>177</v>
      </c>
      <c r="K438" s="1" t="n">
        <v>339</v>
      </c>
      <c r="L438" s="11" t="n">
        <v>0.793295917477694</v>
      </c>
      <c r="M438" s="1" t="n">
        <f aca="false">SUMIF(Relatorio_AK!$A:$A,A438,Relatorio_AK!$B:$B)</f>
        <v>339</v>
      </c>
      <c r="N438" s="1" t="str">
        <f aca="false">IF(M438=K438,"OK","DIF")</f>
        <v>OK</v>
      </c>
      <c r="O438" s="13" t="str">
        <f aca="false">IFERROR(VLOOKUP($A438,Lista_Starke!$A:$E,3,0),"NÃO ESTÁ NA LISTA")</f>
        <v>TOYOTA: Corolla 1.8 16V   2ZZFE 08/14
TOYOTA: Corolla 2.0 16V   3ZR FAE 09/17</v>
      </c>
      <c r="P438" s="12" t="str">
        <f aca="false">IFERROR(VLOOKUP($A438,Lista_Starke!$A:$E,2,0),"NÃO ESTÁ NA LISTA")</f>
        <v>CILINDRO MESTRE DE EMBREAGEM</v>
      </c>
    </row>
    <row r="439" customFormat="false" ht="15" hidden="false" customHeight="true" outlineLevel="0" collapsed="false">
      <c r="A439" s="10" t="s">
        <v>1007</v>
      </c>
      <c r="B439" s="10" t="str">
        <f aca="false">IFERROR(VLOOKUP(A439,Pedido!$A:$B,2,0),"")</f>
        <v/>
      </c>
      <c r="C439" s="10" t="str">
        <f aca="false">IF(B439="","NÃO COMPRA","COMPRA")</f>
        <v>NÃO COMPRA</v>
      </c>
      <c r="D439" s="1" t="n">
        <f aca="false">IFERROR(VLOOKUP(A439,Pedido!$A:$C,3,0),0)</f>
        <v>0</v>
      </c>
      <c r="E439" s="5" t="n">
        <f aca="false">IFERROR(VLOOKUP(A439,Pedido!$A:$E,5,0),0)</f>
        <v>0</v>
      </c>
      <c r="F439" s="1" t="s">
        <v>8</v>
      </c>
      <c r="G439" s="1" t="s">
        <v>176</v>
      </c>
      <c r="H439" s="1" t="s">
        <v>35</v>
      </c>
      <c r="I439" s="1" t="s">
        <v>177</v>
      </c>
      <c r="J439" s="1" t="s">
        <v>1008</v>
      </c>
      <c r="K439" s="1" t="n">
        <v>336</v>
      </c>
      <c r="L439" s="11" t="n">
        <v>0.793870318672996</v>
      </c>
      <c r="M439" s="1" t="n">
        <f aca="false">SUMIF(Relatorio_AK!$A:$A,A439,Relatorio_AK!$B:$B)</f>
        <v>336</v>
      </c>
      <c r="N439" s="1" t="str">
        <f aca="false">IF(M439=K439,"OK","DIF")</f>
        <v>OK</v>
      </c>
      <c r="O439" s="13" t="str">
        <f aca="false">IFERROR(VLOOKUP($A439,Lista_Starke!$A:$E,3,0),"NÃO ESTÁ NA LISTA")</f>
        <v>TOYOTA: Hilux 2.5 / 2.7 / 3.0 05/15
TOYOTA: SW4 2.5 / 2.7 / 3.0 05/15</v>
      </c>
      <c r="P439" s="12" t="str">
        <f aca="false">IFERROR(VLOOKUP($A439,Lista_Starke!$A:$E,2,0),"NÃO ESTÁ NA LISTA")</f>
        <v>CILINDRO MESTRE DE FREIO</v>
      </c>
    </row>
    <row r="440" customFormat="false" ht="15" hidden="false" customHeight="true" outlineLevel="0" collapsed="false">
      <c r="A440" s="10" t="s">
        <v>1009</v>
      </c>
      <c r="B440" s="10" t="str">
        <f aca="false">IFERROR(VLOOKUP(A440,Pedido!$A:$B,2,0),"")</f>
        <v/>
      </c>
      <c r="C440" s="10" t="str">
        <f aca="false">IF(B440="","NÃO COMPRA","COMPRA")</f>
        <v>NÃO COMPRA</v>
      </c>
      <c r="D440" s="1" t="n">
        <f aca="false">IFERROR(VLOOKUP(A440,Pedido!$A:$C,3,0),0)</f>
        <v>0</v>
      </c>
      <c r="E440" s="5" t="n">
        <f aca="false">IFERROR(VLOOKUP(A440,Pedido!$A:$E,5,0),0)</f>
        <v>0</v>
      </c>
      <c r="F440" s="1" t="s">
        <v>8</v>
      </c>
      <c r="G440" s="1" t="s">
        <v>402</v>
      </c>
      <c r="H440" s="1" t="s">
        <v>35</v>
      </c>
      <c r="I440" s="1" t="s">
        <v>403</v>
      </c>
      <c r="K440" s="1" t="n">
        <v>336</v>
      </c>
      <c r="L440" s="11" t="n">
        <v>0.794444719868297</v>
      </c>
      <c r="M440" s="1" t="n">
        <f aca="false">SUMIF(Relatorio_AK!$A:$A,A440,Relatorio_AK!$B:$B)</f>
        <v>336</v>
      </c>
      <c r="N440" s="1" t="str">
        <f aca="false">IF(M440=K440,"OK","DIF")</f>
        <v>OK</v>
      </c>
      <c r="O440" s="13" t="str">
        <f aca="false">IFERROR(VLOOKUP($A440,Lista_Starke!$A:$E,3,0),"NÃO ESTÁ NA LISTA")</f>
        <v>IVECO: Daily 4910/4912/5912/6012/7012 2.8 8V 97/05
IVECO: Daily 9013/7012/7013 2.8 8V 06/07</v>
      </c>
      <c r="P440" s="12" t="str">
        <f aca="false">IFERROR(VLOOKUP($A440,Lista_Starke!$A:$E,2,0),"NÃO ESTÁ NA LISTA")</f>
        <v>CILINDRO MESTRE DE FREIO</v>
      </c>
    </row>
    <row r="441" customFormat="false" ht="15" hidden="false" customHeight="true" outlineLevel="0" collapsed="false">
      <c r="A441" s="10" t="s">
        <v>1010</v>
      </c>
      <c r="B441" s="10" t="str">
        <f aca="false">IFERROR(VLOOKUP(A441,Pedido!$A:$B,2,0),"")</f>
        <v/>
      </c>
      <c r="C441" s="10" t="str">
        <f aca="false">IF(B441="","NÃO COMPRA","COMPRA")</f>
        <v>NÃO COMPRA</v>
      </c>
      <c r="D441" s="1" t="n">
        <f aca="false">IFERROR(VLOOKUP(A441,Pedido!$A:$C,3,0),0)</f>
        <v>0</v>
      </c>
      <c r="E441" s="5" t="n">
        <f aca="false">IFERROR(VLOOKUP(A441,Pedido!$A:$E,5,0),0)</f>
        <v>0</v>
      </c>
      <c r="F441" s="1" t="s">
        <v>8</v>
      </c>
      <c r="G441" s="1" t="s">
        <v>70</v>
      </c>
      <c r="H441" s="1" t="s">
        <v>35</v>
      </c>
      <c r="I441" s="1" t="s">
        <v>77</v>
      </c>
      <c r="J441" s="1" t="s">
        <v>1011</v>
      </c>
      <c r="K441" s="1" t="n">
        <v>335</v>
      </c>
      <c r="L441" s="11" t="n">
        <v>0.795017411536232</v>
      </c>
      <c r="M441" s="1" t="n">
        <f aca="false">SUMIF(Relatorio_AK!$A:$A,A441,Relatorio_AK!$B:$B)</f>
        <v>335</v>
      </c>
      <c r="N441" s="1" t="str">
        <f aca="false">IF(M441=K441,"OK","DIF")</f>
        <v>OK</v>
      </c>
      <c r="O441" s="13" t="str">
        <f aca="false">IFERROR(VLOOKUP($A441,Lista_Starke!$A:$E,3,0),"NÃO ESTÁ NA LISTA")</f>
        <v>CITROEN: Xsara 1.6 16V 98/00
PEUGEOT: 206 / 206 SW 1.6 16V 01/08
PEUGEOT: 207 / SW 1.6 16V 09/...
PEUGEOT: 306 1.6 16V 98/02</v>
      </c>
      <c r="P441" s="12" t="str">
        <f aca="false">IFERROR(VLOOKUP($A441,Lista_Starke!$A:$E,2,0),"NÃO ESTÁ NA LISTA")</f>
        <v>CILINDRO MESTRE DE FREIO</v>
      </c>
    </row>
    <row r="442" customFormat="false" ht="15" hidden="false" customHeight="true" outlineLevel="0" collapsed="false">
      <c r="A442" s="10" t="s">
        <v>1012</v>
      </c>
      <c r="B442" s="10" t="str">
        <f aca="false">IFERROR(VLOOKUP(A442,Pedido!$A:$B,2,0),"")</f>
        <v/>
      </c>
      <c r="C442" s="10" t="str">
        <f aca="false">IF(B442="","NÃO COMPRA","COMPRA")</f>
        <v>NÃO COMPRA</v>
      </c>
      <c r="D442" s="1" t="n">
        <f aca="false">IFERROR(VLOOKUP(A442,Pedido!$A:$C,3,0),0)</f>
        <v>0</v>
      </c>
      <c r="E442" s="5" t="n">
        <f aca="false">IFERROR(VLOOKUP(A442,Pedido!$A:$E,5,0),0)</f>
        <v>0</v>
      </c>
      <c r="F442" s="1" t="s">
        <v>8</v>
      </c>
      <c r="G442" s="1" t="s">
        <v>117</v>
      </c>
      <c r="H442" s="1" t="s">
        <v>32</v>
      </c>
      <c r="I442" s="1" t="s">
        <v>57</v>
      </c>
      <c r="J442" s="1" t="s">
        <v>1013</v>
      </c>
      <c r="K442" s="1" t="n">
        <v>333</v>
      </c>
      <c r="L442" s="11" t="n">
        <v>0.795586684149433</v>
      </c>
      <c r="M442" s="1" t="n">
        <f aca="false">SUMIF(Relatorio_AK!$A:$A,A442,Relatorio_AK!$B:$B)</f>
        <v>333</v>
      </c>
      <c r="N442" s="1" t="str">
        <f aca="false">IF(M442=K442,"OK","DIF")</f>
        <v>OK</v>
      </c>
      <c r="O442" s="13" t="str">
        <f aca="false">IFERROR(VLOOKUP($A442,Lista_Starke!$A:$E,3,0),"NÃO ESTÁ NA LISTA")</f>
        <v>GM: Blazer 2.8 Turbo Diesel 01/...
GM: Blazer 4.3 V6 96/02
GM: S10 2.8 Turbo Diesel 01/...
GM: S10 4.3 V6 96/02</v>
      </c>
      <c r="P442" s="12" t="str">
        <f aca="false">IFERROR(VLOOKUP($A442,Lista_Starke!$A:$E,2,0),"NÃO ESTÁ NA LISTA")</f>
        <v>CILINDRO MESTRE DE EMBREAGEM</v>
      </c>
    </row>
    <row r="443" customFormat="false" ht="15" hidden="false" customHeight="true" outlineLevel="0" collapsed="false">
      <c r="A443" s="10" t="s">
        <v>1014</v>
      </c>
      <c r="B443" s="10" t="str">
        <f aca="false">IFERROR(VLOOKUP(A443,Pedido!$A:$B,2,0),"")</f>
        <v/>
      </c>
      <c r="C443" s="10" t="str">
        <f aca="false">IF(B443="","NÃO COMPRA","COMPRA")</f>
        <v>NÃO COMPRA</v>
      </c>
      <c r="D443" s="1" t="n">
        <f aca="false">IFERROR(VLOOKUP(A443,Pedido!$A:$C,3,0),0)</f>
        <v>0</v>
      </c>
      <c r="E443" s="5" t="n">
        <f aca="false">IFERROR(VLOOKUP(A443,Pedido!$A:$E,5,0),0)</f>
        <v>0</v>
      </c>
      <c r="F443" s="1" t="s">
        <v>8</v>
      </c>
      <c r="G443" s="1" t="s">
        <v>117</v>
      </c>
      <c r="H443" s="1" t="s">
        <v>32</v>
      </c>
      <c r="I443" s="1" t="s">
        <v>57</v>
      </c>
      <c r="J443" s="1" t="s">
        <v>1015</v>
      </c>
      <c r="K443" s="1" t="n">
        <v>333</v>
      </c>
      <c r="L443" s="11" t="n">
        <v>0.796155956762633</v>
      </c>
      <c r="M443" s="1" t="n">
        <f aca="false">SUMIF(Relatorio_AK!$A:$A,A443,Relatorio_AK!$B:$B)</f>
        <v>333</v>
      </c>
      <c r="N443" s="1" t="str">
        <f aca="false">IF(M443=K443,"OK","DIF")</f>
        <v>OK</v>
      </c>
      <c r="O443" s="13" t="str">
        <f aca="false">IFERROR(VLOOKUP($A443,Lista_Starke!$A:$E,3,0),"NÃO ESTÁ NA LISTA")</f>
        <v>GM: Grand Blazer 4.1 6 cil 97/20
GM: Grand Blazer 4.2 TD 97/20
GM: Silverado 4.1 6 cil 97/01</v>
      </c>
      <c r="P443" s="12" t="str">
        <f aca="false">IFERROR(VLOOKUP($A443,Lista_Starke!$A:$E,2,0),"NÃO ESTÁ NA LISTA")</f>
        <v>CILINDRO MESTRE DE EMBREAGEM</v>
      </c>
    </row>
    <row r="444" customFormat="false" ht="15" hidden="false" customHeight="true" outlineLevel="0" collapsed="false">
      <c r="A444" s="10" t="s">
        <v>1016</v>
      </c>
      <c r="B444" s="10" t="str">
        <f aca="false">IFERROR(VLOOKUP(A444,Pedido!$A:$B,2,0),"")</f>
        <v/>
      </c>
      <c r="C444" s="10" t="str">
        <f aca="false">IF(B444="","NÃO COMPRA","COMPRA")</f>
        <v>NÃO COMPRA</v>
      </c>
      <c r="D444" s="1" t="n">
        <f aca="false">IFERROR(VLOOKUP(A444,Pedido!$A:$C,3,0),0)</f>
        <v>0</v>
      </c>
      <c r="E444" s="5" t="n">
        <f aca="false">IFERROR(VLOOKUP(A444,Pedido!$A:$E,5,0),0)</f>
        <v>0</v>
      </c>
      <c r="F444" s="1" t="s">
        <v>8</v>
      </c>
      <c r="G444" s="1" t="s">
        <v>644</v>
      </c>
      <c r="H444" s="1" t="s">
        <v>131</v>
      </c>
      <c r="I444" s="1" t="s">
        <v>71</v>
      </c>
      <c r="J444" s="1" t="s">
        <v>1017</v>
      </c>
      <c r="K444" s="1" t="n">
        <v>333</v>
      </c>
      <c r="L444" s="11" t="n">
        <v>0.796725229375834</v>
      </c>
      <c r="M444" s="1" t="n">
        <f aca="false">SUMIF(Relatorio_AK!$A:$A,A444,Relatorio_AK!$B:$B)</f>
        <v>333</v>
      </c>
      <c r="N444" s="1" t="str">
        <f aca="false">IF(M444=K444,"OK","DIF")</f>
        <v>OK</v>
      </c>
      <c r="O444" s="13" t="str">
        <f aca="false">IFERROR(VLOOKUP($A444,Lista_Starke!$A:$E,3,0),"NÃO ESTÁ NA LISTA")</f>
        <v>PEUGEOT: 206 / SW / Sedan 1.4 / 1.6 05/09
PEUGEOT: 207 / SW / Sedan 1.4 09/...</v>
      </c>
      <c r="P444" s="12" t="str">
        <f aca="false">IFERROR(VLOOKUP($A444,Lista_Starke!$A:$E,2,0),"NÃO ESTÁ NA LISTA")</f>
        <v>SAPATA DE FREIO</v>
      </c>
    </row>
    <row r="445" customFormat="false" ht="15" hidden="false" customHeight="true" outlineLevel="0" collapsed="false">
      <c r="A445" s="10" t="s">
        <v>1018</v>
      </c>
      <c r="B445" s="10" t="str">
        <f aca="false">IFERROR(VLOOKUP(A445,Pedido!$A:$B,2,0),"")</f>
        <v/>
      </c>
      <c r="C445" s="10" t="str">
        <f aca="false">IF(B445="","NÃO COMPRA","COMPRA")</f>
        <v>NÃO COMPRA</v>
      </c>
      <c r="D445" s="1" t="n">
        <f aca="false">IFERROR(VLOOKUP(A445,Pedido!$A:$C,3,0),0)</f>
        <v>0</v>
      </c>
      <c r="E445" s="5" t="n">
        <f aca="false">IFERROR(VLOOKUP(A445,Pedido!$A:$E,5,0),0)</f>
        <v>0</v>
      </c>
      <c r="F445" s="1" t="s">
        <v>8</v>
      </c>
      <c r="G445" s="1" t="s">
        <v>1019</v>
      </c>
      <c r="H445" s="1" t="s">
        <v>600</v>
      </c>
      <c r="I445" s="1" t="s">
        <v>684</v>
      </c>
      <c r="K445" s="1" t="n">
        <v>332</v>
      </c>
      <c r="L445" s="11" t="n">
        <v>0.797292792461668</v>
      </c>
      <c r="M445" s="1" t="n">
        <f aca="false">SUMIF(Relatorio_AK!$A:$A,A445,Relatorio_AK!$B:$B)</f>
        <v>332</v>
      </c>
      <c r="N445" s="1" t="str">
        <f aca="false">IF(M445=K445,"OK","DIF")</f>
        <v>OK</v>
      </c>
      <c r="O445" s="13" t="str">
        <f aca="false">IFERROR(VLOOKUP($A445,Lista_Starke!$A:$E,3,0),"NÃO ESTÁ NA LISTA")</f>
        <v>LAND ROVER: Defender 90/110/130 2.5 90/07
LAND ROVER: Discovery I 3.0 TDI Todas</v>
      </c>
      <c r="P445" s="12" t="str">
        <f aca="false">IFERROR(VLOOKUP($A445,Lista_Starke!$A:$E,2,0),"NÃO ESTÁ NA LISTA")</f>
        <v>BOMBA DE VÁCUO FREIO</v>
      </c>
    </row>
    <row r="446" customFormat="false" ht="15" hidden="false" customHeight="true" outlineLevel="0" collapsed="false">
      <c r="A446" s="10" t="s">
        <v>1020</v>
      </c>
      <c r="B446" s="10" t="str">
        <f aca="false">IFERROR(VLOOKUP(A446,Pedido!$A:$B,2,0),"")</f>
        <v/>
      </c>
      <c r="C446" s="10" t="str">
        <f aca="false">IF(B446="","NÃO COMPRA","COMPRA")</f>
        <v>NÃO COMPRA</v>
      </c>
      <c r="D446" s="1" t="n">
        <f aca="false">IFERROR(VLOOKUP(A446,Pedido!$A:$C,3,0),0)</f>
        <v>0</v>
      </c>
      <c r="E446" s="5" t="n">
        <f aca="false">IFERROR(VLOOKUP(A446,Pedido!$A:$E,5,0),0)</f>
        <v>0</v>
      </c>
      <c r="F446" s="1" t="s">
        <v>8</v>
      </c>
      <c r="G446" s="1" t="s">
        <v>168</v>
      </c>
      <c r="H446" s="1" t="s">
        <v>131</v>
      </c>
      <c r="I446" s="1" t="s">
        <v>57</v>
      </c>
      <c r="J446" s="1" t="s">
        <v>1021</v>
      </c>
      <c r="K446" s="1" t="n">
        <v>330</v>
      </c>
      <c r="L446" s="11" t="n">
        <v>0.797856936492767</v>
      </c>
      <c r="M446" s="1" t="n">
        <f aca="false">SUMIF(Relatorio_AK!$A:$A,A446,Relatorio_AK!$B:$B)</f>
        <v>330</v>
      </c>
      <c r="N446" s="1" t="str">
        <f aca="false">IF(M446=K446,"OK","DIF")</f>
        <v>OK</v>
      </c>
      <c r="O446" s="13" t="str">
        <f aca="false">IFERROR(VLOOKUP($A446,Lista_Starke!$A:$E,3,0),"NÃO ESTÁ NA LISTA")</f>
        <v>GM: Blazer 2.2 8V 95/00
GM: Blazer 2.4 8V 95/12
GM: Blazer 2.5 8V Diesel 96/05
GM: Blazer 2.8 12V Diesel 95/09
GM: S10 2.2 8V 95/00
GM: S10 2.4 8V 95/12
GM: S10 2.5 8V Diesel 96/05
GM: S10 2.8 12V Diesel 95/09</v>
      </c>
      <c r="P446" s="12" t="str">
        <f aca="false">IFERROR(VLOOKUP($A446,Lista_Starke!$A:$E,2,0),"NÃO ESTÁ NA LISTA")</f>
        <v>SAPATA DE FREIO</v>
      </c>
    </row>
    <row r="447" customFormat="false" ht="15" hidden="false" customHeight="true" outlineLevel="0" collapsed="false">
      <c r="A447" s="10" t="s">
        <v>1022</v>
      </c>
      <c r="B447" s="10" t="str">
        <f aca="false">IFERROR(VLOOKUP(A447,Pedido!$A:$B,2,0),"")</f>
        <v/>
      </c>
      <c r="C447" s="10" t="str">
        <f aca="false">IF(B447="","NÃO COMPRA","COMPRA")</f>
        <v>NÃO COMPRA</v>
      </c>
      <c r="D447" s="1" t="n">
        <f aca="false">IFERROR(VLOOKUP(A447,Pedido!$A:$C,3,0),0)</f>
        <v>0</v>
      </c>
      <c r="E447" s="5" t="n">
        <f aca="false">IFERROR(VLOOKUP(A447,Pedido!$A:$E,5,0),0)</f>
        <v>0</v>
      </c>
      <c r="F447" s="1" t="s">
        <v>8</v>
      </c>
      <c r="G447" s="1" t="s">
        <v>176</v>
      </c>
      <c r="H447" s="1" t="s">
        <v>35</v>
      </c>
      <c r="I447" s="1" t="s">
        <v>177</v>
      </c>
      <c r="J447" s="1" t="s">
        <v>1023</v>
      </c>
      <c r="K447" s="1" t="n">
        <v>330</v>
      </c>
      <c r="L447" s="11" t="n">
        <v>0.798421080523867</v>
      </c>
      <c r="M447" s="1" t="n">
        <f aca="false">SUMIF(Relatorio_AK!$A:$A,A447,Relatorio_AK!$B:$B)</f>
        <v>330</v>
      </c>
      <c r="N447" s="1" t="str">
        <f aca="false">IF(M447=K447,"OK","DIF")</f>
        <v>OK</v>
      </c>
      <c r="O447" s="13" t="str">
        <f aca="false">IFERROR(VLOOKUP($A447,Lista_Starke!$A:$E,3,0),"NÃO ESTÁ NA LISTA")</f>
        <v>TOYOTA: Etios 1.3 16V 16/21
TOYOTA: Etios 1.5 16V 16/21</v>
      </c>
      <c r="P447" s="12" t="str">
        <f aca="false">IFERROR(VLOOKUP($A447,Lista_Starke!$A:$E,2,0),"NÃO ESTÁ NA LISTA")</f>
        <v>CILINDRO MESTRE DE FREIO</v>
      </c>
    </row>
    <row r="448" customFormat="false" ht="15" hidden="false" customHeight="true" outlineLevel="0" collapsed="false">
      <c r="A448" s="10" t="s">
        <v>1024</v>
      </c>
      <c r="B448" s="10" t="str">
        <f aca="false">IFERROR(VLOOKUP(A448,Pedido!$A:$B,2,0),"")</f>
        <v/>
      </c>
      <c r="C448" s="10" t="str">
        <f aca="false">IF(B448="","NÃO COMPRA","COMPRA")</f>
        <v>NÃO COMPRA</v>
      </c>
      <c r="D448" s="1" t="n">
        <f aca="false">IFERROR(VLOOKUP(A448,Pedido!$A:$C,3,0),0)</f>
        <v>0</v>
      </c>
      <c r="E448" s="5" t="n">
        <f aca="false">IFERROR(VLOOKUP(A448,Pedido!$A:$E,5,0),0)</f>
        <v>0</v>
      </c>
      <c r="F448" s="1" t="s">
        <v>8</v>
      </c>
      <c r="G448" s="1" t="s">
        <v>65</v>
      </c>
      <c r="H448" s="1" t="s">
        <v>35</v>
      </c>
      <c r="I448" s="1" t="s">
        <v>46</v>
      </c>
      <c r="J448" s="1" t="s">
        <v>1025</v>
      </c>
      <c r="K448" s="1" t="n">
        <v>328</v>
      </c>
      <c r="L448" s="11" t="n">
        <v>0.798981805500233</v>
      </c>
      <c r="M448" s="1" t="n">
        <f aca="false">SUMIF(Relatorio_AK!$A:$A,A448,Relatorio_AK!$B:$B)</f>
        <v>328</v>
      </c>
      <c r="N448" s="1" t="str">
        <f aca="false">IF(M448=K448,"OK","DIF")</f>
        <v>OK</v>
      </c>
      <c r="O448" s="12" t="str">
        <f aca="false">IFERROR(VLOOKUP($A448,Lista_Starke!$A:$E,3,0),"NÃO ESTÁ NA LISTA")</f>
        <v>FIAT: Uno Vivace 1.0 8V 10/...</v>
      </c>
      <c r="P448" s="12" t="str">
        <f aca="false">IFERROR(VLOOKUP($A448,Lista_Starke!$A:$E,2,0),"NÃO ESTÁ NA LISTA")</f>
        <v>CILINDRO MESTRE DE FREIO</v>
      </c>
    </row>
    <row r="449" customFormat="false" ht="15" hidden="false" customHeight="true" outlineLevel="0" collapsed="false">
      <c r="A449" s="10" t="s">
        <v>1026</v>
      </c>
      <c r="B449" s="10" t="str">
        <f aca="false">IFERROR(VLOOKUP(A449,Pedido!$A:$B,2,0),"")</f>
        <v/>
      </c>
      <c r="C449" s="10" t="str">
        <f aca="false">IF(B449="","NÃO COMPRA","COMPRA")</f>
        <v>NÃO COMPRA</v>
      </c>
      <c r="D449" s="1" t="n">
        <f aca="false">IFERROR(VLOOKUP(A449,Pedido!$A:$C,3,0),0)</f>
        <v>0</v>
      </c>
      <c r="E449" s="5" t="n">
        <f aca="false">IFERROR(VLOOKUP(A449,Pedido!$A:$E,5,0),0)</f>
        <v>0</v>
      </c>
      <c r="F449" s="1" t="s">
        <v>8</v>
      </c>
      <c r="G449" s="1" t="s">
        <v>640</v>
      </c>
      <c r="H449" s="1" t="s">
        <v>131</v>
      </c>
      <c r="I449" s="1" t="s">
        <v>1027</v>
      </c>
      <c r="J449" s="1" t="s">
        <v>1028</v>
      </c>
      <c r="K449" s="1" t="n">
        <v>328</v>
      </c>
      <c r="L449" s="11" t="n">
        <v>0.799542530476599</v>
      </c>
      <c r="M449" s="1" t="n">
        <f aca="false">SUMIF(Relatorio_AK!$A:$A,A449,Relatorio_AK!$B:$B)</f>
        <v>328</v>
      </c>
      <c r="N449" s="1" t="str">
        <f aca="false">IF(M449=K449,"OK","DIF")</f>
        <v>OK</v>
      </c>
      <c r="O449" s="13" t="str">
        <f aca="false">IFERROR(VLOOKUP($A449,Lista_Starke!$A:$E,3,0),"NÃO ESTÁ NA LISTA")</f>
        <v>MAHINDRA: Scorpio 2.2 / 2.6 08/...
TOYOTA: Hilux 2.5 16V 08/...
TOYOTA: Hilux 2.7 16V 16/...
TOYOTA: Hilux 2.8 16V 16/...
TOYOTA: Hilux 3.0 05/...
TOYOTA: SW4 3.0 05/...</v>
      </c>
      <c r="P449" s="12" t="str">
        <f aca="false">IFERROR(VLOOKUP($A449,Lista_Starke!$A:$E,2,0),"NÃO ESTÁ NA LISTA")</f>
        <v>SAPATA DE FREIO</v>
      </c>
    </row>
    <row r="450" customFormat="false" ht="15" hidden="false" customHeight="true" outlineLevel="0" collapsed="false">
      <c r="A450" s="10" t="s">
        <v>1029</v>
      </c>
      <c r="B450" s="10" t="str">
        <f aca="false">IFERROR(VLOOKUP(A450,Pedido!$A:$B,2,0),"")</f>
        <v>SOC 9002</v>
      </c>
      <c r="C450" s="10" t="str">
        <f aca="false">IF(B450="","NÃO COMPRA","COMPRA")</f>
        <v>COMPRA</v>
      </c>
      <c r="D450" s="1" t="n">
        <f aca="false">IFERROR(VLOOKUP(A450,Pedido!$A:$C,3,0),0)</f>
        <v>2</v>
      </c>
      <c r="E450" s="5" t="n">
        <f aca="false">IFERROR(VLOOKUP(A450,Pedido!$A:$E,5,0),0)</f>
        <v>710.88</v>
      </c>
      <c r="F450" s="1" t="s">
        <v>8</v>
      </c>
      <c r="G450" s="1" t="s">
        <v>580</v>
      </c>
      <c r="H450" s="1" t="s">
        <v>235</v>
      </c>
      <c r="I450" s="1" t="s">
        <v>1030</v>
      </c>
      <c r="J450" s="1" t="s">
        <v>1031</v>
      </c>
      <c r="K450" s="1" t="n">
        <v>327</v>
      </c>
      <c r="L450" s="11" t="n">
        <v>0.800101545925597</v>
      </c>
      <c r="M450" s="1" t="n">
        <f aca="false">SUMIF(Relatorio_AK!$A:$A,A450,Relatorio_AK!$B:$B)</f>
        <v>327</v>
      </c>
      <c r="N450" s="1" t="str">
        <f aca="false">IF(M450=K450,"OK","DIF")</f>
        <v>OK</v>
      </c>
      <c r="O450" s="13" t="str">
        <f aca="false">IFERROR(VLOOKUP($A450,Lista_Starke!$A:$E,3,0),"NÃO ESTÁ NA LISTA")</f>
        <v>DODGE: Grand Caravan 3.6 V6 11/17
DODGE: Journey 3.6 V6 11/17
JEEP: Grand Cherokee 3.0 V6 11/...
JEEP: Grand Cherokee 3.6 V6 11/17</v>
      </c>
      <c r="P450" s="12" t="str">
        <f aca="false">IFERROR(VLOOKUP($A450,Lista_Starke!$A:$E,2,0),"NÃO ESTÁ NA LISTA")</f>
        <v>RESFRIADOR DE ÓLEO MOTOR</v>
      </c>
    </row>
    <row r="451" customFormat="false" ht="15" hidden="false" customHeight="true" outlineLevel="0" collapsed="false">
      <c r="A451" s="10" t="s">
        <v>1032</v>
      </c>
      <c r="B451" s="10" t="str">
        <f aca="false">IFERROR(VLOOKUP(A451,Pedido!$A:$B,2,0),"")</f>
        <v/>
      </c>
      <c r="C451" s="10" t="str">
        <f aca="false">IF(B451="","NÃO COMPRA","COMPRA")</f>
        <v>NÃO COMPRA</v>
      </c>
      <c r="D451" s="1" t="n">
        <f aca="false">IFERROR(VLOOKUP(A451,Pedido!$A:$C,3,0),0)</f>
        <v>0</v>
      </c>
      <c r="E451" s="5" t="n">
        <f aca="false">IFERROR(VLOOKUP(A451,Pedido!$A:$E,5,0),0)</f>
        <v>0</v>
      </c>
      <c r="F451" s="1" t="s">
        <v>8</v>
      </c>
      <c r="G451" s="1" t="s">
        <v>41</v>
      </c>
      <c r="H451" s="1" t="s">
        <v>35</v>
      </c>
      <c r="I451" s="1" t="s">
        <v>42</v>
      </c>
      <c r="K451" s="1" t="n">
        <v>325</v>
      </c>
      <c r="L451" s="11" t="n">
        <v>0.800657142319862</v>
      </c>
      <c r="M451" s="1" t="n">
        <f aca="false">SUMIF(Relatorio_AK!$A:$A,A451,Relatorio_AK!$B:$B)</f>
        <v>325</v>
      </c>
      <c r="N451" s="1" t="str">
        <f aca="false">IF(M451=K451,"OK","DIF")</f>
        <v>OK</v>
      </c>
      <c r="O451" s="13" t="str">
        <f aca="false">IFERROR(VLOOKUP($A451,Lista_Starke!$A:$E,3,0),"NÃO ESTÁ NA LISTA")</f>
        <v>RENAULT: Captur 1.6 16V SCE H4M 16/...
RENAULT: Captur 2.0 16V F4R 16/...
RENAULT: Duster 1.6 16V SCE H4M 16/...
RENAULT: Duster 2.0 16V F4R 16/...
RENAULT: Oroch 1.6 16V SCE H4M 16/...
RENAULT: Oroch 2.0 16V F4R 16/...</v>
      </c>
      <c r="P451" s="12" t="str">
        <f aca="false">IFERROR(VLOOKUP($A451,Lista_Starke!$A:$E,2,0),"NÃO ESTÁ NA LISTA")</f>
        <v>CILINDRO MESTRE DE FREIO</v>
      </c>
    </row>
    <row r="452" customFormat="false" ht="15" hidden="false" customHeight="true" outlineLevel="0" collapsed="false">
      <c r="A452" s="10" t="s">
        <v>1033</v>
      </c>
      <c r="B452" s="10" t="str">
        <f aca="false">IFERROR(VLOOKUP(A452,Pedido!$A:$B,2,0),"")</f>
        <v/>
      </c>
      <c r="C452" s="10" t="str">
        <f aca="false">IF(B452="","NÃO COMPRA","COMPRA")</f>
        <v>NÃO COMPRA</v>
      </c>
      <c r="D452" s="1" t="n">
        <f aca="false">IFERROR(VLOOKUP(A452,Pedido!$A:$C,3,0),0)</f>
        <v>0</v>
      </c>
      <c r="E452" s="5" t="n">
        <f aca="false">IFERROR(VLOOKUP(A452,Pedido!$A:$E,5,0),0)</f>
        <v>0</v>
      </c>
      <c r="F452" s="1" t="s">
        <v>8</v>
      </c>
      <c r="G452" s="1" t="s">
        <v>277</v>
      </c>
      <c r="H452" s="1" t="s">
        <v>131</v>
      </c>
      <c r="I452" s="1" t="s">
        <v>53</v>
      </c>
      <c r="J452" s="1" t="s">
        <v>1034</v>
      </c>
      <c r="K452" s="1" t="n">
        <v>325</v>
      </c>
      <c r="L452" s="11" t="n">
        <v>0.801212738714127</v>
      </c>
      <c r="M452" s="1" t="n">
        <f aca="false">SUMIF(Relatorio_AK!$A:$A,A452,Relatorio_AK!$B:$B)</f>
        <v>325</v>
      </c>
      <c r="N452" s="1" t="str">
        <f aca="false">IF(M452=K452,"OK","DIF")</f>
        <v>OK</v>
      </c>
      <c r="O452" s="13" t="str">
        <f aca="false">IFERROR(VLOOKUP($A452,Lista_Starke!$A:$E,3,0),"NÃO ESTÁ NA LISTA")</f>
        <v>FORD: Focus 1.6 8V 03/09
FORD: Focus 1.8 16V 00/04</v>
      </c>
      <c r="P452" s="12" t="str">
        <f aca="false">IFERROR(VLOOKUP($A452,Lista_Starke!$A:$E,2,0),"NÃO ESTÁ NA LISTA")</f>
        <v>SAPATA DE FREIO</v>
      </c>
    </row>
    <row r="453" customFormat="false" ht="15" hidden="false" customHeight="true" outlineLevel="0" collapsed="false">
      <c r="A453" s="10" t="s">
        <v>1035</v>
      </c>
      <c r="B453" s="10" t="str">
        <f aca="false">IFERROR(VLOOKUP(A453,Pedido!$A:$B,2,0),"")</f>
        <v/>
      </c>
      <c r="C453" s="10" t="str">
        <f aca="false">IF(B453="","NÃO COMPRA","COMPRA")</f>
        <v>NÃO COMPRA</v>
      </c>
      <c r="D453" s="1" t="n">
        <f aca="false">IFERROR(VLOOKUP(A453,Pedido!$A:$C,3,0),0)</f>
        <v>0</v>
      </c>
      <c r="E453" s="5" t="n">
        <f aca="false">IFERROR(VLOOKUP(A453,Pedido!$A:$E,5,0),0)</f>
        <v>0</v>
      </c>
      <c r="F453" s="1" t="s">
        <v>8</v>
      </c>
      <c r="G453" s="1" t="s">
        <v>95</v>
      </c>
      <c r="H453" s="1" t="s">
        <v>96</v>
      </c>
      <c r="I453" s="1" t="s">
        <v>97</v>
      </c>
      <c r="K453" s="1" t="n">
        <v>324</v>
      </c>
      <c r="L453" s="11" t="n">
        <v>0.801766625581025</v>
      </c>
      <c r="M453" s="1" t="n">
        <f aca="false">SUMIF(Relatorio_AK!$A:$A,A453,Relatorio_AK!$B:$B)</f>
        <v>324</v>
      </c>
      <c r="N453" s="1" t="str">
        <f aca="false">IF(M453=K453,"OK","DIF")</f>
        <v>OK</v>
      </c>
      <c r="O453" s="13" t="str">
        <f aca="false">IFERROR(VLOOKUP($A453,Lista_Starke!$A:$E,3,0),"NÃO ESTÁ NA LISTA")</f>
        <v>FIAT: Toro 2.4 16V 16/…
JEEP: Compass 2.0 16V 16/…</v>
      </c>
      <c r="P453" s="12" t="str">
        <f aca="false">IFERROR(VLOOKUP($A453,Lista_Starke!$A:$E,2,0),"NÃO ESTÁ NA LISTA")</f>
        <v>BOMBA DE VÁCUO</v>
      </c>
    </row>
    <row r="454" customFormat="false" ht="15" hidden="false" customHeight="true" outlineLevel="0" collapsed="false">
      <c r="A454" s="10" t="s">
        <v>1036</v>
      </c>
      <c r="B454" s="10" t="str">
        <f aca="false">IFERROR(VLOOKUP(A454,Pedido!$A:$B,2,0),"")</f>
        <v/>
      </c>
      <c r="C454" s="10" t="str">
        <f aca="false">IF(B454="","NÃO COMPRA","COMPRA")</f>
        <v>NÃO COMPRA</v>
      </c>
      <c r="D454" s="1" t="n">
        <f aca="false">IFERROR(VLOOKUP(A454,Pedido!$A:$C,3,0),0)</f>
        <v>0</v>
      </c>
      <c r="E454" s="5" t="n">
        <f aca="false">IFERROR(VLOOKUP(A454,Pedido!$A:$E,5,0),0)</f>
        <v>0</v>
      </c>
      <c r="F454" s="1" t="s">
        <v>8</v>
      </c>
      <c r="G454" s="1" t="s">
        <v>1037</v>
      </c>
      <c r="H454" s="1" t="s">
        <v>197</v>
      </c>
      <c r="I454" s="1" t="s">
        <v>1038</v>
      </c>
      <c r="K454" s="1" t="n">
        <v>324</v>
      </c>
      <c r="L454" s="11" t="n">
        <v>0.802320512447923</v>
      </c>
      <c r="M454" s="1" t="n">
        <f aca="false">SUMIF(Relatorio_AK!$A:$A,A454,Relatorio_AK!$B:$B)</f>
        <v>324</v>
      </c>
      <c r="N454" s="1" t="str">
        <f aca="false">IF(M454=K454,"OK","DIF")</f>
        <v>OK</v>
      </c>
      <c r="O454" s="13" t="str">
        <f aca="false">IFERROR(VLOOKUP($A454,Lista_Starke!$A:$E,3,0),"NÃO ESTÁ NA LISTA")</f>
        <v>MERCEDES-BENZ: A160 (W177) 1.3 16V Turbo M282.914 18/...
MERCEDES-BENZ: A180 (W177) 1.3 13V Turbo M282.914 18/...
MERCEDES-BENZ: A200 (W177) 1.3 16V Turbo M282.914 18/...
MERCEDES-BENZ: B160 (W247) 1.3 16V Turbo M282.914 18/...
MERCEDES-BENZ: B180 (W247) 1.3 16V Turbo M282.914 18/...
MERCEDES-BENZ: B200 (W247) 1.3 16V Turbo M282.914 18/...
MERCEDES-BENZ: CLA180 (X118) 1.3 16V Turbo M282.914 19/...
MERCEDES-BENZ: CLA200 (X118) 1.3 16V Turbo M282.914 19/...
MERCEDES-BENZ: GLA180 (X247) 1.3 16V Turbo M282.914 20/...
MERCEDES-BENZ: GLA200 (X247) 1.3 16V Turbo M282.914 20/...
MERCEDES-BENZ: GLB180 (X247) 1.3 16V Turbo M282.914 19/...
MERCEDES-BENZ: GLB200 (X247) 1.3 16V Turbo M282.914 19/...
RENAULT: Captur 1.3 3cil Turbo H5H470 20/...</v>
      </c>
      <c r="P454" s="12" t="str">
        <f aca="false">IFERROR(VLOOKUP($A454,Lista_Starke!$A:$E,2,0),"NÃO ESTÁ NA LISTA")</f>
        <v>BOMBA D'ÁGUA</v>
      </c>
    </row>
    <row r="455" customFormat="false" ht="15" hidden="false" customHeight="true" outlineLevel="0" collapsed="false">
      <c r="A455" s="10" t="s">
        <v>1039</v>
      </c>
      <c r="B455" s="10" t="str">
        <f aca="false">IFERROR(VLOOKUP(A455,Pedido!$A:$B,2,0),"")</f>
        <v/>
      </c>
      <c r="C455" s="10" t="str">
        <f aca="false">IF(B455="","NÃO COMPRA","COMPRA")</f>
        <v>NÃO COMPRA</v>
      </c>
      <c r="D455" s="1" t="n">
        <f aca="false">IFERROR(VLOOKUP(A455,Pedido!$A:$C,3,0),0)</f>
        <v>0</v>
      </c>
      <c r="E455" s="5" t="n">
        <f aca="false">IFERROR(VLOOKUP(A455,Pedido!$A:$E,5,0),0)</f>
        <v>0</v>
      </c>
      <c r="F455" s="1" t="s">
        <v>8</v>
      </c>
      <c r="G455" s="1" t="s">
        <v>251</v>
      </c>
      <c r="H455" s="1" t="s">
        <v>28</v>
      </c>
      <c r="I455" s="1" t="s">
        <v>46</v>
      </c>
      <c r="J455" s="1" t="s">
        <v>1040</v>
      </c>
      <c r="K455" s="1" t="n">
        <v>323</v>
      </c>
      <c r="L455" s="11" t="n">
        <v>0.802872689787454</v>
      </c>
      <c r="M455" s="1" t="n">
        <f aca="false">SUMIF(Relatorio_AK!$A:$A,A455,Relatorio_AK!$B:$B)</f>
        <v>323</v>
      </c>
      <c r="N455" s="1" t="str">
        <f aca="false">IF(M455=K455,"OK","DIF")</f>
        <v>OK</v>
      </c>
      <c r="O455" s="13" t="str">
        <f aca="false">IFERROR(VLOOKUP($A455,Lista_Starke!$A:$E,3,0),"NÃO ESTÁ NA LISTA")</f>
        <v>FIAT: Grand Siena 1.4 8V EVO 12/...
FIAT: Palio 1.4 8V EVO 12/...
FIAT: Siena 1.4 8V EVO 12/...
FIAT: Strada 1.4 8V EVO 12/...</v>
      </c>
      <c r="P455" s="12" t="str">
        <f aca="false">IFERROR(VLOOKUP($A455,Lista_Starke!$A:$E,2,0),"NÃO ESTÁ NA LISTA")</f>
        <v>CILINDRO AUXILIAR DE EMBREAGEM</v>
      </c>
    </row>
    <row r="456" customFormat="false" ht="15" hidden="false" customHeight="true" outlineLevel="0" collapsed="false">
      <c r="A456" s="10" t="s">
        <v>1041</v>
      </c>
      <c r="B456" s="10" t="str">
        <f aca="false">IFERROR(VLOOKUP(A456,Pedido!$A:$B,2,0),"")</f>
        <v/>
      </c>
      <c r="C456" s="10" t="str">
        <f aca="false">IF(B456="","NÃO COMPRA","COMPRA")</f>
        <v>NÃO COMPRA</v>
      </c>
      <c r="D456" s="1" t="n">
        <f aca="false">IFERROR(VLOOKUP(A456,Pedido!$A:$C,3,0),0)</f>
        <v>0</v>
      </c>
      <c r="E456" s="5" t="n">
        <f aca="false">IFERROR(VLOOKUP(A456,Pedido!$A:$E,5,0),0)</f>
        <v>0</v>
      </c>
      <c r="F456" s="1" t="s">
        <v>8</v>
      </c>
      <c r="G456" s="1" t="s">
        <v>193</v>
      </c>
      <c r="H456" s="1" t="s">
        <v>32</v>
      </c>
      <c r="I456" s="1" t="s">
        <v>53</v>
      </c>
      <c r="J456" s="1" t="s">
        <v>1042</v>
      </c>
      <c r="K456" s="1" t="n">
        <v>319</v>
      </c>
      <c r="L456" s="11" t="n">
        <v>0.803418029017517</v>
      </c>
      <c r="M456" s="1" t="n">
        <f aca="false">SUMIF(Relatorio_AK!$A:$A,A456,Relatorio_AK!$B:$B)</f>
        <v>319</v>
      </c>
      <c r="N456" s="1" t="str">
        <f aca="false">IF(M456=K456,"OK","DIF")</f>
        <v>OK</v>
      </c>
      <c r="O456" s="13" t="str">
        <f aca="false">IFERROR(VLOOKUP($A456,Lista_Starke!$A:$E,3,0),"NÃO ESTÁ NA LISTA")</f>
        <v>FORD: Explorer 4.0 V6 95/05
FORD: Ranger 2.3 95/...
FORD: Ranger 2.5 95/...
FORD: Ranger 2.8 01/...
FORD: Ranger 3.0 05/...
FORD: Ranger 4.0 V6 95/...</v>
      </c>
      <c r="P456" s="12" t="str">
        <f aca="false">IFERROR(VLOOKUP($A456,Lista_Starke!$A:$E,2,0),"NÃO ESTÁ NA LISTA")</f>
        <v>CILINDRO MESTRE DE EMBREAGEM - DESCONTINUADO - USAR SCC2079</v>
      </c>
    </row>
    <row r="457" customFormat="false" ht="15" hidden="false" customHeight="true" outlineLevel="0" collapsed="false">
      <c r="A457" s="10" t="s">
        <v>1043</v>
      </c>
      <c r="B457" s="10" t="str">
        <f aca="false">IFERROR(VLOOKUP(A457,Pedido!$A:$B,2,0),"")</f>
        <v/>
      </c>
      <c r="C457" s="10" t="str">
        <f aca="false">IF(B457="","NÃO COMPRA","COMPRA")</f>
        <v>NÃO COMPRA</v>
      </c>
      <c r="D457" s="1" t="n">
        <f aca="false">IFERROR(VLOOKUP(A457,Pedido!$A:$C,3,0),0)</f>
        <v>0</v>
      </c>
      <c r="E457" s="5" t="n">
        <f aca="false">IFERROR(VLOOKUP(A457,Pedido!$A:$E,5,0),0)</f>
        <v>0</v>
      </c>
      <c r="F457" s="1" t="s">
        <v>8</v>
      </c>
      <c r="G457" s="1" t="s">
        <v>356</v>
      </c>
      <c r="H457" s="1" t="s">
        <v>845</v>
      </c>
      <c r="I457" s="1" t="s">
        <v>172</v>
      </c>
      <c r="J457" s="1" t="s">
        <v>1044</v>
      </c>
      <c r="K457" s="1" t="n">
        <v>319</v>
      </c>
      <c r="L457" s="11" t="n">
        <v>0.80396336824758</v>
      </c>
      <c r="M457" s="1" t="n">
        <f aca="false">SUMIF(Relatorio_AK!$A:$A,A457,Relatorio_AK!$B:$B)</f>
        <v>319</v>
      </c>
      <c r="N457" s="1" t="str">
        <f aca="false">IF(M457=K457,"OK","DIF")</f>
        <v>OK</v>
      </c>
      <c r="O457" s="13" t="str">
        <f aca="false">IFERROR(VLOOKUP($A457,Lista_Starke!$A:$E,3,0),"NÃO ESTÁ NA LISTA")</f>
        <v>HYUNDAI: Santa Fe 3.5 V6 10/12
KIA: Sorento 3.5 V6 09/15
KIA: Sportage 2.0 16V 15/19</v>
      </c>
      <c r="P457" s="12" t="str">
        <f aca="false">IFERROR(VLOOKUP($A457,Lista_Starke!$A:$E,2,0),"NÃO ESTÁ NA LISTA")</f>
        <v>SAPATA DE FREIO DE MÃO</v>
      </c>
    </row>
    <row r="458" customFormat="false" ht="15" hidden="false" customHeight="true" outlineLevel="0" collapsed="false">
      <c r="A458" s="10" t="s">
        <v>1045</v>
      </c>
      <c r="B458" s="10" t="str">
        <f aca="false">IFERROR(VLOOKUP(A458,Pedido!$A:$B,2,0),"")</f>
        <v/>
      </c>
      <c r="C458" s="10" t="str">
        <f aca="false">IF(B458="","NÃO COMPRA","COMPRA")</f>
        <v>NÃO COMPRA</v>
      </c>
      <c r="D458" s="1" t="n">
        <f aca="false">IFERROR(VLOOKUP(A458,Pedido!$A:$C,3,0),0)</f>
        <v>0</v>
      </c>
      <c r="E458" s="5" t="n">
        <f aca="false">IFERROR(VLOOKUP(A458,Pedido!$A:$E,5,0),0)</f>
        <v>0</v>
      </c>
      <c r="F458" s="1" t="s">
        <v>8</v>
      </c>
      <c r="G458" s="1" t="s">
        <v>35</v>
      </c>
      <c r="H458" s="1" t="s">
        <v>35</v>
      </c>
      <c r="K458" s="1" t="n">
        <v>316</v>
      </c>
      <c r="L458" s="11" t="n">
        <v>0.804503578895542</v>
      </c>
      <c r="M458" s="1" t="n">
        <f aca="false">SUMIF(Relatorio_AK!$A:$A,A458,Relatorio_AK!$B:$B)</f>
        <v>316</v>
      </c>
      <c r="N458" s="1" t="str">
        <f aca="false">IF(M458=K458,"OK","DIF")</f>
        <v>OK</v>
      </c>
      <c r="O458" s="12" t="str">
        <f aca="false">IFERROR(VLOOKUP($A458,Lista_Starke!$A:$E,3,0),"NÃO ESTÁ NA LISTA")</f>
        <v>NÃO ESTÁ NA LISTA</v>
      </c>
      <c r="P458" s="12" t="str">
        <f aca="false">IFERROR(VLOOKUP($A458,Lista_Starke!$A:$E,2,0),"NÃO ESTÁ NA LISTA")</f>
        <v>NÃO ESTÁ NA LISTA</v>
      </c>
    </row>
    <row r="459" customFormat="false" ht="15" hidden="false" customHeight="true" outlineLevel="0" collapsed="false">
      <c r="A459" s="10" t="s">
        <v>1046</v>
      </c>
      <c r="B459" s="10" t="str">
        <f aca="false">IFERROR(VLOOKUP(A459,Pedido!$A:$B,2,0),"")</f>
        <v/>
      </c>
      <c r="C459" s="10" t="str">
        <f aca="false">IF(B459="","NÃO COMPRA","COMPRA")</f>
        <v>NÃO COMPRA</v>
      </c>
      <c r="D459" s="1" t="n">
        <f aca="false">IFERROR(VLOOKUP(A459,Pedido!$A:$C,3,0),0)</f>
        <v>0</v>
      </c>
      <c r="E459" s="5" t="n">
        <f aca="false">IFERROR(VLOOKUP(A459,Pedido!$A:$E,5,0),0)</f>
        <v>0</v>
      </c>
      <c r="F459" s="1" t="s">
        <v>8</v>
      </c>
      <c r="G459" s="1" t="s">
        <v>273</v>
      </c>
      <c r="H459" s="1" t="s">
        <v>32</v>
      </c>
      <c r="I459" s="1" t="s">
        <v>215</v>
      </c>
      <c r="K459" s="1" t="n">
        <v>315</v>
      </c>
      <c r="L459" s="11" t="n">
        <v>0.805042080016137</v>
      </c>
      <c r="M459" s="1" t="n">
        <f aca="false">SUMIF(Relatorio_AK!$A:$A,A459,Relatorio_AK!$B:$B)</f>
        <v>315</v>
      </c>
      <c r="N459" s="1" t="str">
        <f aca="false">IF(M459=K459,"OK","DIF")</f>
        <v>OK</v>
      </c>
      <c r="O459" s="12" t="str">
        <f aca="false">IFERROR(VLOOKUP($A459,Lista_Starke!$A:$E,3,0),"NÃO ESTÁ NA LISTA")</f>
        <v>NISSAN: Kicks 1.6 16V 16/...</v>
      </c>
      <c r="P459" s="12" t="str">
        <f aca="false">IFERROR(VLOOKUP($A459,Lista_Starke!$A:$E,2,0),"NÃO ESTÁ NA LISTA")</f>
        <v>CILINDRO MESTRE DE EMBREAGEM</v>
      </c>
    </row>
    <row r="460" customFormat="false" ht="15" hidden="false" customHeight="true" outlineLevel="0" collapsed="false">
      <c r="A460" s="10" t="s">
        <v>1047</v>
      </c>
      <c r="B460" s="10" t="str">
        <f aca="false">IFERROR(VLOOKUP(A460,Pedido!$A:$B,2,0),"")</f>
        <v/>
      </c>
      <c r="C460" s="10" t="str">
        <f aca="false">IF(B460="","NÃO COMPRA","COMPRA")</f>
        <v>NÃO COMPRA</v>
      </c>
      <c r="D460" s="1" t="n">
        <f aca="false">IFERROR(VLOOKUP(A460,Pedido!$A:$C,3,0),0)</f>
        <v>0</v>
      </c>
      <c r="E460" s="5" t="n">
        <f aca="false">IFERROR(VLOOKUP(A460,Pedido!$A:$E,5,0),0)</f>
        <v>0</v>
      </c>
      <c r="F460" s="1" t="s">
        <v>8</v>
      </c>
      <c r="G460" s="1" t="s">
        <v>1048</v>
      </c>
      <c r="H460" s="1" t="s">
        <v>28</v>
      </c>
      <c r="I460" s="1" t="s">
        <v>177</v>
      </c>
      <c r="K460" s="1" t="n">
        <v>315</v>
      </c>
      <c r="L460" s="11" t="n">
        <v>0.805580581136733</v>
      </c>
      <c r="M460" s="1" t="n">
        <f aca="false">SUMIF(Relatorio_AK!$A:$A,A460,Relatorio_AK!$B:$B)</f>
        <v>315</v>
      </c>
      <c r="N460" s="1" t="str">
        <f aca="false">IF(M460=K460,"OK","DIF")</f>
        <v>OK</v>
      </c>
      <c r="O460" s="13" t="str">
        <f aca="false">IFERROR(VLOOKUP($A460,Lista_Starke!$A:$E,3,0),"NÃO ESTÁ NA LISTA")</f>
        <v>TOYOTA: Corolla 1.8 16V   2ZZFE 08/14
TOYOTA: Corolla 2.0 16V   3ZR FAE 09/17</v>
      </c>
      <c r="P460" s="12" t="str">
        <f aca="false">IFERROR(VLOOKUP($A460,Lista_Starke!$A:$E,2,0),"NÃO ESTÁ NA LISTA")</f>
        <v>CILINDRO AUXILIAR DE EMBREAGEM</v>
      </c>
    </row>
    <row r="461" customFormat="false" ht="15" hidden="false" customHeight="true" outlineLevel="0" collapsed="false">
      <c r="A461" s="10" t="s">
        <v>1049</v>
      </c>
      <c r="B461" s="10" t="str">
        <f aca="false">IFERROR(VLOOKUP(A461,Pedido!$A:$B,2,0),"")</f>
        <v/>
      </c>
      <c r="C461" s="10" t="str">
        <f aca="false">IF(B461="","NÃO COMPRA","COMPRA")</f>
        <v>NÃO COMPRA</v>
      </c>
      <c r="D461" s="1" t="n">
        <f aca="false">IFERROR(VLOOKUP(A461,Pedido!$A:$C,3,0),0)</f>
        <v>0</v>
      </c>
      <c r="E461" s="5" t="n">
        <f aca="false">IFERROR(VLOOKUP(A461,Pedido!$A:$E,5,0),0)</f>
        <v>0</v>
      </c>
      <c r="F461" s="1" t="s">
        <v>8</v>
      </c>
      <c r="G461" s="1" t="s">
        <v>191</v>
      </c>
      <c r="H461" s="1" t="s">
        <v>35</v>
      </c>
      <c r="I461" s="1" t="s">
        <v>50</v>
      </c>
      <c r="K461" s="1" t="n">
        <v>314</v>
      </c>
      <c r="L461" s="11" t="n">
        <v>0.806117372729961</v>
      </c>
      <c r="M461" s="1" t="n">
        <f aca="false">SUMIF(Relatorio_AK!$A:$A,A461,Relatorio_AK!$B:$B)</f>
        <v>314</v>
      </c>
      <c r="N461" s="1" t="str">
        <f aca="false">IF(M461=K461,"OK","DIF")</f>
        <v>OK</v>
      </c>
      <c r="O461" s="12" t="str">
        <f aca="false">IFERROR(VLOOKUP($A461,Lista_Starke!$A:$E,3,0),"NÃO ESTÁ NA LISTA")</f>
        <v>HONDA: HRV 1.8 16V 15/...</v>
      </c>
      <c r="P461" s="12" t="str">
        <f aca="false">IFERROR(VLOOKUP($A461,Lista_Starke!$A:$E,2,0),"NÃO ESTÁ NA LISTA")</f>
        <v>CILINDRO MESTRE DE FREIO</v>
      </c>
    </row>
    <row r="462" customFormat="false" ht="15" hidden="false" customHeight="true" outlineLevel="0" collapsed="false">
      <c r="A462" s="10" t="s">
        <v>1050</v>
      </c>
      <c r="B462" s="10" t="str">
        <f aca="false">IFERROR(VLOOKUP(A462,Pedido!$A:$B,2,0),"")</f>
        <v/>
      </c>
      <c r="C462" s="10" t="str">
        <f aca="false">IF(B462="","NÃO COMPRA","COMPRA")</f>
        <v>NÃO COMPRA</v>
      </c>
      <c r="D462" s="1" t="n">
        <f aca="false">IFERROR(VLOOKUP(A462,Pedido!$A:$C,3,0),0)</f>
        <v>0</v>
      </c>
      <c r="E462" s="5" t="n">
        <f aca="false">IFERROR(VLOOKUP(A462,Pedido!$A:$E,5,0),0)</f>
        <v>0</v>
      </c>
      <c r="F462" s="1" t="s">
        <v>8</v>
      </c>
      <c r="G462" s="1" t="s">
        <v>254</v>
      </c>
      <c r="H462" s="1" t="s">
        <v>35</v>
      </c>
      <c r="I462" s="1" t="s">
        <v>255</v>
      </c>
      <c r="K462" s="1" t="n">
        <v>313</v>
      </c>
      <c r="L462" s="11" t="n">
        <v>0.806652454795822</v>
      </c>
      <c r="M462" s="1" t="n">
        <f aca="false">SUMIF(Relatorio_AK!$A:$A,A462,Relatorio_AK!$B:$B)</f>
        <v>313</v>
      </c>
      <c r="N462" s="1" t="str">
        <f aca="false">IF(M462=K462,"OK","DIF")</f>
        <v>OK</v>
      </c>
      <c r="O462" s="13" t="str">
        <f aca="false">IFERROR(VLOOKUP($A462,Lista_Starke!$A:$E,3,0),"NÃO ESTÁ NA LISTA")</f>
        <v>MITSUBISHI: Pajero IO 1.8 16V 4G93 99/02
MITSUBISHI: Pajero TR4 2.0 16V 00/…
MITSUBISHI: Pajero TR4 2.0 20V 4G94 04/…</v>
      </c>
      <c r="P462" s="12" t="str">
        <f aca="false">IFERROR(VLOOKUP($A462,Lista_Starke!$A:$E,2,0),"NÃO ESTÁ NA LISTA")</f>
        <v>CILINDRO MESTRE DE FREIO</v>
      </c>
    </row>
    <row r="463" customFormat="false" ht="15" hidden="false" customHeight="true" outlineLevel="0" collapsed="false">
      <c r="A463" s="10" t="s">
        <v>1051</v>
      </c>
      <c r="B463" s="10" t="str">
        <f aca="false">IFERROR(VLOOKUP(A463,Pedido!$A:$B,2,0),"")</f>
        <v/>
      </c>
      <c r="C463" s="10" t="str">
        <f aca="false">IF(B463="","NÃO COMPRA","COMPRA")</f>
        <v>NÃO COMPRA</v>
      </c>
      <c r="D463" s="1" t="n">
        <f aca="false">IFERROR(VLOOKUP(A463,Pedido!$A:$C,3,0),0)</f>
        <v>0</v>
      </c>
      <c r="E463" s="5" t="n">
        <f aca="false">IFERROR(VLOOKUP(A463,Pedido!$A:$E,5,0),0)</f>
        <v>0</v>
      </c>
      <c r="F463" s="1" t="s">
        <v>8</v>
      </c>
      <c r="G463" s="1" t="s">
        <v>136</v>
      </c>
      <c r="H463" s="1" t="s">
        <v>32</v>
      </c>
      <c r="I463" s="1" t="s">
        <v>137</v>
      </c>
      <c r="J463" s="1" t="s">
        <v>1052</v>
      </c>
      <c r="K463" s="1" t="n">
        <v>310</v>
      </c>
      <c r="L463" s="11" t="n">
        <v>0.807182408279582</v>
      </c>
      <c r="M463" s="1" t="n">
        <f aca="false">SUMIF(Relatorio_AK!$A:$A,A463,Relatorio_AK!$B:$B)</f>
        <v>310</v>
      </c>
      <c r="N463" s="1" t="str">
        <f aca="false">IF(M463=K463,"OK","DIF")</f>
        <v>OK</v>
      </c>
      <c r="O463" s="13" t="str">
        <f aca="false">IFERROR(VLOOKUP($A463,Lista_Starke!$A:$E,3,0),"NÃO ESTÁ NA LISTA")</f>
        <v>CITROEN: Jumper 2.0 16V Blue HDI Euro V 18/...
FIAT: Ducato 2.3 16V 13/18
FIAT: Ducato 2.3 16V Multijet Euro V 18/...
PEUGEOT: Boxer 2.0 16V Blue HDI Euro V 18/...</v>
      </c>
      <c r="P463" s="12" t="str">
        <f aca="false">IFERROR(VLOOKUP($A463,Lista_Starke!$A:$E,2,0),"NÃO ESTÁ NA LISTA")</f>
        <v>CILINDRO MESTRE DE EMBREAGEM</v>
      </c>
    </row>
    <row r="464" customFormat="false" ht="15" hidden="false" customHeight="true" outlineLevel="0" collapsed="false">
      <c r="A464" s="10" t="s">
        <v>1053</v>
      </c>
      <c r="B464" s="10" t="str">
        <f aca="false">IFERROR(VLOOKUP(A464,Pedido!$A:$B,2,0),"")</f>
        <v/>
      </c>
      <c r="C464" s="10" t="str">
        <f aca="false">IF(B464="","NÃO COMPRA","COMPRA")</f>
        <v>NÃO COMPRA</v>
      </c>
      <c r="D464" s="1" t="n">
        <f aca="false">IFERROR(VLOOKUP(A464,Pedido!$A:$C,3,0),0)</f>
        <v>0</v>
      </c>
      <c r="E464" s="5" t="n">
        <f aca="false">IFERROR(VLOOKUP(A464,Pedido!$A:$E,5,0),0)</f>
        <v>0</v>
      </c>
      <c r="F464" s="1" t="s">
        <v>8</v>
      </c>
      <c r="G464" s="1" t="s">
        <v>377</v>
      </c>
      <c r="H464" s="1" t="s">
        <v>197</v>
      </c>
      <c r="I464" s="1" t="s">
        <v>53</v>
      </c>
      <c r="J464" s="1" t="s">
        <v>1054</v>
      </c>
      <c r="K464" s="1" t="n">
        <v>309</v>
      </c>
      <c r="L464" s="11" t="n">
        <v>0.807710652235976</v>
      </c>
      <c r="M464" s="1" t="n">
        <f aca="false">SUMIF(Relatorio_AK!$A:$A,A464,Relatorio_AK!$B:$B)</f>
        <v>309</v>
      </c>
      <c r="N464" s="1" t="str">
        <f aca="false">IF(M464=K464,"OK","DIF")</f>
        <v>OK</v>
      </c>
      <c r="O464" s="13" t="str">
        <f aca="false">IFERROR(VLOOKUP($A464,Lista_Starke!$A:$E,3,0),"NÃO ESTÁ NA LISTA")</f>
        <v>FORD: Ecosport 1.6 16V Sigma 12/…
FORD: Focus 1.6 16V Sigma 10/…
FORD: Ka / Ka+ 1.5 16V Sigma 14/…
FORD: New Fiesta 1.5 16V Sigma 13/…
FORD: New Fiesta 1.6 16V Sigma 10/…</v>
      </c>
      <c r="P464" s="12" t="str">
        <f aca="false">IFERROR(VLOOKUP($A464,Lista_Starke!$A:$E,2,0),"NÃO ESTÁ NA LISTA")</f>
        <v>BOMBA D'ÁGUA</v>
      </c>
    </row>
    <row r="465" customFormat="false" ht="15" hidden="false" customHeight="true" outlineLevel="0" collapsed="false">
      <c r="A465" s="10" t="s">
        <v>1055</v>
      </c>
      <c r="B465" s="10" t="str">
        <f aca="false">IFERROR(VLOOKUP(A465,Pedido!$A:$B,2,0),"")</f>
        <v/>
      </c>
      <c r="C465" s="10" t="str">
        <f aca="false">IF(B465="","NÃO COMPRA","COMPRA")</f>
        <v>NÃO COMPRA</v>
      </c>
      <c r="D465" s="1" t="n">
        <f aca="false">IFERROR(VLOOKUP(A465,Pedido!$A:$C,3,0),0)</f>
        <v>0</v>
      </c>
      <c r="E465" s="5" t="n">
        <f aca="false">IFERROR(VLOOKUP(A465,Pedido!$A:$E,5,0),0)</f>
        <v>0</v>
      </c>
      <c r="F465" s="1" t="s">
        <v>8</v>
      </c>
      <c r="G465" s="1" t="s">
        <v>483</v>
      </c>
      <c r="H465" s="1" t="s">
        <v>906</v>
      </c>
      <c r="I465" s="1" t="s">
        <v>36</v>
      </c>
      <c r="J465" s="1" t="s">
        <v>1056</v>
      </c>
      <c r="K465" s="1" t="n">
        <v>308</v>
      </c>
      <c r="L465" s="11" t="n">
        <v>0.808237186665002</v>
      </c>
      <c r="M465" s="1" t="n">
        <f aca="false">SUMIF(Relatorio_AK!$A:$A,A465,Relatorio_AK!$B:$B)</f>
        <v>308</v>
      </c>
      <c r="N465" s="1" t="str">
        <f aca="false">IF(M465=K465,"OK","DIF")</f>
        <v>OK</v>
      </c>
      <c r="O465" s="12" t="str">
        <f aca="false">IFERROR(VLOOKUP($A465,Lista_Starke!$A:$E,3,0),"NÃO ESTÁ NA LISTA")</f>
        <v>VOLKSWAGEN: Amarok 2.0 16V TDI   CDBA / CNFA 10/…</v>
      </c>
      <c r="P465" s="12" t="str">
        <f aca="false">IFERROR(VLOOKUP($A465,Lista_Starke!$A:$E,2,0),"NÃO ESTÁ NA LISTA")</f>
        <v>BOMBA D'ÁGUA AUXILIAR</v>
      </c>
    </row>
    <row r="466" customFormat="false" ht="15" hidden="false" customHeight="true" outlineLevel="0" collapsed="false">
      <c r="A466" s="10" t="s">
        <v>1057</v>
      </c>
      <c r="B466" s="10" t="str">
        <f aca="false">IFERROR(VLOOKUP(A466,Pedido!$A:$B,2,0),"")</f>
        <v/>
      </c>
      <c r="C466" s="10" t="str">
        <f aca="false">IF(B466="","NÃO COMPRA","COMPRA")</f>
        <v>NÃO COMPRA</v>
      </c>
      <c r="D466" s="1" t="n">
        <f aca="false">IFERROR(VLOOKUP(A466,Pedido!$A:$C,3,0),0)</f>
        <v>0</v>
      </c>
      <c r="E466" s="5" t="n">
        <f aca="false">IFERROR(VLOOKUP(A466,Pedido!$A:$E,5,0),0)</f>
        <v>0</v>
      </c>
      <c r="F466" s="1" t="s">
        <v>8</v>
      </c>
      <c r="G466" s="1" t="s">
        <v>130</v>
      </c>
      <c r="H466" s="1" t="s">
        <v>845</v>
      </c>
      <c r="I466" s="1" t="s">
        <v>137</v>
      </c>
      <c r="J466" s="1" t="s">
        <v>1058</v>
      </c>
      <c r="K466" s="1" t="n">
        <v>305</v>
      </c>
      <c r="L466" s="11" t="n">
        <v>0.808758592511928</v>
      </c>
      <c r="M466" s="1" t="n">
        <f aca="false">SUMIF(Relatorio_AK!$A:$A,A466,Relatorio_AK!$B:$B)</f>
        <v>305</v>
      </c>
      <c r="N466" s="1" t="str">
        <f aca="false">IF(M466=K466,"OK","DIF")</f>
        <v>OK</v>
      </c>
      <c r="O466" s="13" t="str">
        <f aca="false">IFERROR(VLOOKUP($A466,Lista_Starke!$A:$E,3,0),"NÃO ESTÁ NA LISTA")</f>
        <v>CITROEN: Jumper 2.3 16V 09/17
CITROEN: Jumper 2.8 8V 05/09
FIAT: Ducato 2.3 16V 09/17
FIAT: Ducato 2.8 8V 05/09
PEUGEOT: Boxer 2.3 16V 09/17
PEUGEOT: Boxer 2.8 8V 05/09</v>
      </c>
      <c r="P466" s="12" t="str">
        <f aca="false">IFERROR(VLOOKUP($A466,Lista_Starke!$A:$E,2,0),"NÃO ESTÁ NA LISTA")</f>
        <v>SAPATA DE FREIO DE MÃO</v>
      </c>
    </row>
    <row r="467" customFormat="false" ht="15" hidden="false" customHeight="true" outlineLevel="0" collapsed="false">
      <c r="A467" s="10" t="s">
        <v>1059</v>
      </c>
      <c r="B467" s="10" t="str">
        <f aca="false">IFERROR(VLOOKUP(A467,Pedido!$A:$B,2,0),"")</f>
        <v/>
      </c>
      <c r="C467" s="10" t="str">
        <f aca="false">IF(B467="","NÃO COMPRA","COMPRA")</f>
        <v>NÃO COMPRA</v>
      </c>
      <c r="D467" s="1" t="n">
        <f aca="false">IFERROR(VLOOKUP(A467,Pedido!$A:$C,3,0),0)</f>
        <v>0</v>
      </c>
      <c r="E467" s="5" t="n">
        <f aca="false">IFERROR(VLOOKUP(A467,Pedido!$A:$E,5,0),0)</f>
        <v>0</v>
      </c>
      <c r="F467" s="1" t="s">
        <v>8</v>
      </c>
      <c r="G467" s="1" t="s">
        <v>542</v>
      </c>
      <c r="H467" s="1" t="s">
        <v>35</v>
      </c>
      <c r="I467" s="1" t="s">
        <v>77</v>
      </c>
      <c r="K467" s="1" t="n">
        <v>305</v>
      </c>
      <c r="L467" s="11" t="n">
        <v>0.809279998358853</v>
      </c>
      <c r="M467" s="1" t="n">
        <f aca="false">SUMIF(Relatorio_AK!$A:$A,A467,Relatorio_AK!$B:$B)</f>
        <v>305</v>
      </c>
      <c r="N467" s="1" t="str">
        <f aca="false">IF(M467=K467,"OK","DIF")</f>
        <v>OK</v>
      </c>
      <c r="O467" s="13" t="str">
        <f aca="false">IFERROR(VLOOKUP($A467,Lista_Starke!$A:$E,3,0),"NÃO ESTÁ NA LISTA")</f>
        <v>CITROEN: C4 1.6 16V 05/11
CITROEN: C4 2.0 16V 05/11
PEUGEOT: 307 1.6 16V 05/11
PEUGEOT: 307 2.0 16V 05/11</v>
      </c>
      <c r="P467" s="12" t="str">
        <f aca="false">IFERROR(VLOOKUP($A467,Lista_Starke!$A:$E,2,0),"NÃO ESTÁ NA LISTA")</f>
        <v>CILINDRO MESTRE DE FREIO</v>
      </c>
    </row>
    <row r="468" customFormat="false" ht="15" hidden="false" customHeight="true" outlineLevel="0" collapsed="false">
      <c r="A468" s="10" t="s">
        <v>1060</v>
      </c>
      <c r="B468" s="10" t="str">
        <f aca="false">IFERROR(VLOOKUP(A468,Pedido!$A:$B,2,0),"")</f>
        <v/>
      </c>
      <c r="C468" s="10" t="str">
        <f aca="false">IF(B468="","NÃO COMPRA","COMPRA")</f>
        <v>NÃO COMPRA</v>
      </c>
      <c r="D468" s="1" t="n">
        <f aca="false">IFERROR(VLOOKUP(A468,Pedido!$A:$C,3,0),0)</f>
        <v>0</v>
      </c>
      <c r="E468" s="5" t="n">
        <f aca="false">IFERROR(VLOOKUP(A468,Pedido!$A:$E,5,0),0)</f>
        <v>0</v>
      </c>
      <c r="F468" s="1" t="s">
        <v>8</v>
      </c>
      <c r="G468" s="1" t="s">
        <v>644</v>
      </c>
      <c r="H468" s="1" t="s">
        <v>131</v>
      </c>
      <c r="I468" s="1" t="s">
        <v>71</v>
      </c>
      <c r="J468" s="1" t="s">
        <v>1061</v>
      </c>
      <c r="K468" s="1" t="n">
        <v>304</v>
      </c>
      <c r="L468" s="11" t="n">
        <v>0.809799694678412</v>
      </c>
      <c r="M468" s="1" t="n">
        <f aca="false">SUMIF(Relatorio_AK!$A:$A,A468,Relatorio_AK!$B:$B)</f>
        <v>304</v>
      </c>
      <c r="N468" s="1" t="str">
        <f aca="false">IF(M468=K468,"OK","DIF")</f>
        <v>OK</v>
      </c>
      <c r="O468" s="13" t="str">
        <f aca="false">IFERROR(VLOOKUP($A468,Lista_Starke!$A:$E,3,0),"NÃO ESTÁ NA LISTA")</f>
        <v>PEUGEOT: 208 1.0 12V Turbo 3 cil 23/...
PEUGEOT: 208 1.0 3 cil Firefly 22/22
PEUGEOT: 208 1.2 12V 3 cil 20/20
PEUGEOT: 208 1.6 16V EC5 20/...</v>
      </c>
      <c r="P468" s="12" t="str">
        <f aca="false">IFERROR(VLOOKUP($A468,Lista_Starke!$A:$E,2,0),"NÃO ESTÁ NA LISTA")</f>
        <v>SAPATA DE FREIO</v>
      </c>
    </row>
    <row r="469" customFormat="false" ht="15" hidden="false" customHeight="true" outlineLevel="0" collapsed="false">
      <c r="A469" s="10" t="s">
        <v>1062</v>
      </c>
      <c r="B469" s="10" t="str">
        <f aca="false">IFERROR(VLOOKUP(A469,Pedido!$A:$B,2,0),"")</f>
        <v/>
      </c>
      <c r="C469" s="10" t="str">
        <f aca="false">IF(B469="","NÃO COMPRA","COMPRA")</f>
        <v>NÃO COMPRA</v>
      </c>
      <c r="D469" s="1" t="n">
        <f aca="false">IFERROR(VLOOKUP(A469,Pedido!$A:$C,3,0),0)</f>
        <v>0</v>
      </c>
      <c r="E469" s="5" t="n">
        <f aca="false">IFERROR(VLOOKUP(A469,Pedido!$A:$E,5,0),0)</f>
        <v>0</v>
      </c>
      <c r="F469" s="1" t="s">
        <v>8</v>
      </c>
      <c r="G469" s="1" t="s">
        <v>1063</v>
      </c>
      <c r="H469" s="1" t="s">
        <v>88</v>
      </c>
      <c r="I469" s="1" t="s">
        <v>42</v>
      </c>
      <c r="J469" s="1" t="s">
        <v>1064</v>
      </c>
      <c r="K469" s="1" t="n">
        <v>303</v>
      </c>
      <c r="L469" s="11" t="n">
        <v>0.810317681470603</v>
      </c>
      <c r="M469" s="1" t="n">
        <f aca="false">SUMIF(Relatorio_AK!$A:$A,A469,Relatorio_AK!$B:$B)</f>
        <v>303</v>
      </c>
      <c r="N469" s="1" t="str">
        <f aca="false">IF(M469=K469,"OK","DIF")</f>
        <v>OK</v>
      </c>
      <c r="O469" s="12" t="str">
        <f aca="false">IFERROR(VLOOKUP($A469,Lista_Starke!$A:$E,3,0),"NÃO ESTÁ NA LISTA")</f>
        <v>RENAULT: Duster 2.0 16V 4x4 F4R 12/...</v>
      </c>
      <c r="P469" s="12" t="str">
        <f aca="false">IFERROR(VLOOKUP($A469,Lista_Starke!$A:$E,2,0),"NÃO ESTÁ NA LISTA")</f>
        <v>CILINDRO DE RODA LE</v>
      </c>
    </row>
    <row r="470" customFormat="false" ht="15" hidden="false" customHeight="true" outlineLevel="0" collapsed="false">
      <c r="A470" s="10" t="s">
        <v>1065</v>
      </c>
      <c r="B470" s="10" t="str">
        <f aca="false">IFERROR(VLOOKUP(A470,Pedido!$A:$B,2,0),"")</f>
        <v/>
      </c>
      <c r="C470" s="10" t="str">
        <f aca="false">IF(B470="","NÃO COMPRA","COMPRA")</f>
        <v>NÃO COMPRA</v>
      </c>
      <c r="D470" s="1" t="n">
        <f aca="false">IFERROR(VLOOKUP(A470,Pedido!$A:$C,3,0),0)</f>
        <v>0</v>
      </c>
      <c r="E470" s="5" t="n">
        <f aca="false">IFERROR(VLOOKUP(A470,Pedido!$A:$E,5,0),0)</f>
        <v>0</v>
      </c>
      <c r="F470" s="1" t="s">
        <v>8</v>
      </c>
      <c r="G470" s="1" t="s">
        <v>695</v>
      </c>
      <c r="H470" s="1" t="s">
        <v>197</v>
      </c>
      <c r="I470" s="1" t="s">
        <v>1066</v>
      </c>
      <c r="K470" s="1" t="n">
        <v>301</v>
      </c>
      <c r="L470" s="11" t="n">
        <v>0.810832249208061</v>
      </c>
      <c r="M470" s="1" t="n">
        <f aca="false">SUMIF(Relatorio_AK!$A:$A,A470,Relatorio_AK!$B:$B)</f>
        <v>301</v>
      </c>
      <c r="N470" s="1" t="str">
        <f aca="false">IF(M470=K470,"OK","DIF")</f>
        <v>OK</v>
      </c>
      <c r="O470" s="13" t="str">
        <f aca="false">IFERROR(VLOOKUP($A470,Lista_Starke!$A:$E,3,0),"NÃO ESTÁ NA LISTA")</f>
        <v>CHERY: QQ 0.8 12V   SQR372 07/…
CHERY: QQ 1.1 16V   SQR472 / SQR472F 07/…
RELY: Pick Up / Pick Up CD / Pick Up CE 1.0 16V    SQR472WC 13/…
RELY: Van 1.0 16V    SQR472WC 13/…</v>
      </c>
      <c r="P470" s="12" t="str">
        <f aca="false">IFERROR(VLOOKUP($A470,Lista_Starke!$A:$E,2,0),"NÃO ESTÁ NA LISTA")</f>
        <v>BOMBA D'ÁGUA</v>
      </c>
    </row>
    <row r="471" customFormat="false" ht="15" hidden="false" customHeight="true" outlineLevel="0" collapsed="false">
      <c r="A471" s="10" t="s">
        <v>1067</v>
      </c>
      <c r="B471" s="10" t="str">
        <f aca="false">IFERROR(VLOOKUP(A471,Pedido!$A:$B,2,0),"")</f>
        <v/>
      </c>
      <c r="C471" s="10" t="str">
        <f aca="false">IF(B471="","NÃO COMPRA","COMPRA")</f>
        <v>NÃO COMPRA</v>
      </c>
      <c r="D471" s="1" t="n">
        <f aca="false">IFERROR(VLOOKUP(A471,Pedido!$A:$C,3,0),0)</f>
        <v>0</v>
      </c>
      <c r="E471" s="5" t="n">
        <f aca="false">IFERROR(VLOOKUP(A471,Pedido!$A:$E,5,0),0)</f>
        <v>0</v>
      </c>
      <c r="F471" s="1" t="s">
        <v>8</v>
      </c>
      <c r="G471" s="1" t="s">
        <v>191</v>
      </c>
      <c r="H471" s="1" t="s">
        <v>35</v>
      </c>
      <c r="I471" s="1" t="s">
        <v>50</v>
      </c>
      <c r="K471" s="1" t="n">
        <v>301</v>
      </c>
      <c r="L471" s="11" t="n">
        <v>0.811346816945519</v>
      </c>
      <c r="M471" s="1" t="n">
        <f aca="false">SUMIF(Relatorio_AK!$A:$A,A471,Relatorio_AK!$B:$B)</f>
        <v>301</v>
      </c>
      <c r="N471" s="1" t="str">
        <f aca="false">IF(M471=K471,"OK","DIF")</f>
        <v>OK</v>
      </c>
      <c r="O471" s="13" t="str">
        <f aca="false">IFERROR(VLOOKUP($A471,Lista_Starke!$A:$E,3,0),"NÃO ESTÁ NA LISTA")</f>
        <v>HONDA: City 1.5 16V 15/20
HONDA: Fit 1.5 16V 15/...
HONDA: WRV 1.5 16V 18/19</v>
      </c>
      <c r="P471" s="12" t="str">
        <f aca="false">IFERROR(VLOOKUP($A471,Lista_Starke!$A:$E,2,0),"NÃO ESTÁ NA LISTA")</f>
        <v>CILINDRO MESTRE DE FREIO</v>
      </c>
    </row>
    <row r="472" customFormat="false" ht="15" hidden="false" customHeight="true" outlineLevel="0" collapsed="false">
      <c r="A472" s="10" t="s">
        <v>1068</v>
      </c>
      <c r="B472" s="10" t="str">
        <f aca="false">IFERROR(VLOOKUP(A472,Pedido!$A:$B,2,0),"")</f>
        <v/>
      </c>
      <c r="C472" s="10" t="str">
        <f aca="false">IF(B472="","NÃO COMPRA","COMPRA")</f>
        <v>NÃO COMPRA</v>
      </c>
      <c r="D472" s="1" t="n">
        <f aca="false">IFERROR(VLOOKUP(A472,Pedido!$A:$C,3,0),0)</f>
        <v>0</v>
      </c>
      <c r="E472" s="5" t="n">
        <f aca="false">IFERROR(VLOOKUP(A472,Pedido!$A:$E,5,0),0)</f>
        <v>0</v>
      </c>
      <c r="F472" s="1" t="s">
        <v>8</v>
      </c>
      <c r="G472" s="1" t="s">
        <v>1069</v>
      </c>
      <c r="H472" s="1" t="s">
        <v>235</v>
      </c>
      <c r="I472" s="1" t="s">
        <v>36</v>
      </c>
      <c r="J472" s="1" t="s">
        <v>1070</v>
      </c>
      <c r="K472" s="1" t="n">
        <v>300</v>
      </c>
      <c r="L472" s="11" t="n">
        <v>0.811859675155609</v>
      </c>
      <c r="M472" s="1" t="n">
        <f aca="false">SUMIF(Relatorio_AK!$A:$A,A472,Relatorio_AK!$B:$B)</f>
        <v>300</v>
      </c>
      <c r="N472" s="1" t="str">
        <f aca="false">IF(M472=K472,"OK","DIF")</f>
        <v>OK</v>
      </c>
      <c r="O472" s="12" t="str">
        <f aca="false">IFERROR(VLOOKUP($A472,Lista_Starke!$A:$E,3,0),"NÃO ESTÁ NA LISTA")</f>
        <v>VOLKSWAGEN: Amarok 3.0 V6 TDI DDXB/DDXE 17/...</v>
      </c>
      <c r="P472" s="12" t="str">
        <f aca="false">IFERROR(VLOOKUP($A472,Lista_Starke!$A:$E,2,0),"NÃO ESTÁ NA LISTA")</f>
        <v>RESFRIADOR DE ÓLEO MOTOR</v>
      </c>
    </row>
    <row r="473" customFormat="false" ht="15" hidden="false" customHeight="true" outlineLevel="0" collapsed="false">
      <c r="A473" s="10" t="s">
        <v>1071</v>
      </c>
      <c r="B473" s="10" t="str">
        <f aca="false">IFERROR(VLOOKUP(A473,Pedido!$A:$B,2,0),"")</f>
        <v/>
      </c>
      <c r="C473" s="10" t="str">
        <f aca="false">IF(B473="","NÃO COMPRA","COMPRA")</f>
        <v>NÃO COMPRA</v>
      </c>
      <c r="D473" s="1" t="n">
        <f aca="false">IFERROR(VLOOKUP(A473,Pedido!$A:$C,3,0),0)</f>
        <v>0</v>
      </c>
      <c r="E473" s="5" t="n">
        <f aca="false">IFERROR(VLOOKUP(A473,Pedido!$A:$E,5,0),0)</f>
        <v>0</v>
      </c>
      <c r="F473" s="1" t="s">
        <v>8</v>
      </c>
      <c r="G473" s="1" t="s">
        <v>1072</v>
      </c>
      <c r="H473" s="1" t="s">
        <v>1073</v>
      </c>
      <c r="I473" s="1" t="s">
        <v>46</v>
      </c>
      <c r="J473" s="1" t="s">
        <v>1074</v>
      </c>
      <c r="K473" s="1" t="n">
        <v>298</v>
      </c>
      <c r="L473" s="11" t="n">
        <v>0.812369114310966</v>
      </c>
      <c r="M473" s="1" t="n">
        <f aca="false">SUMIF(Relatorio_AK!$A:$A,A473,Relatorio_AK!$B:$B)</f>
        <v>298</v>
      </c>
      <c r="N473" s="1" t="str">
        <f aca="false">IF(M473=K473,"OK","DIF")</f>
        <v>OK</v>
      </c>
      <c r="O473" s="13" t="str">
        <f aca="false">IFERROR(VLOOKUP($A473,Lista_Starke!$A:$E,3,0),"NÃO ESTÁ NA LISTA")</f>
        <v>FIAT: 500 1.4 8V 09/…
FIAT: Grand Siena 1.4 8V EVO 12/…
FIAT: Mobi 1.0 8V EVO 16/…
FIAT: Palio 1.0 8V EVO / 1.4 8V EVO 10/…
FIAT: Uno 1.0 8V EVO / 1.4 8V EVO 10/…</v>
      </c>
      <c r="P473" s="12" t="str">
        <f aca="false">IFERROR(VLOOKUP($A473,Lista_Starke!$A:$E,2,0),"NÃO ESTÁ NA LISTA")</f>
        <v>VÁLVULA TERMOSTÁTICA</v>
      </c>
    </row>
    <row r="474" customFormat="false" ht="15" hidden="false" customHeight="true" outlineLevel="0" collapsed="false">
      <c r="A474" s="10" t="s">
        <v>1075</v>
      </c>
      <c r="B474" s="10" t="str">
        <f aca="false">IFERROR(VLOOKUP(A474,Pedido!$A:$B,2,0),"")</f>
        <v/>
      </c>
      <c r="C474" s="10" t="str">
        <f aca="false">IF(B474="","NÃO COMPRA","COMPRA")</f>
        <v>NÃO COMPRA</v>
      </c>
      <c r="D474" s="1" t="n">
        <f aca="false">IFERROR(VLOOKUP(A474,Pedido!$A:$C,3,0),0)</f>
        <v>0</v>
      </c>
      <c r="E474" s="5" t="n">
        <f aca="false">IFERROR(VLOOKUP(A474,Pedido!$A:$E,5,0),0)</f>
        <v>0</v>
      </c>
      <c r="F474" s="1" t="s">
        <v>8</v>
      </c>
      <c r="G474" s="1" t="s">
        <v>789</v>
      </c>
      <c r="H474" s="1" t="s">
        <v>197</v>
      </c>
      <c r="I474" s="1" t="s">
        <v>77</v>
      </c>
      <c r="J474" s="1" t="s">
        <v>1076</v>
      </c>
      <c r="K474" s="1" t="n">
        <v>296</v>
      </c>
      <c r="L474" s="11" t="n">
        <v>0.812875134411589</v>
      </c>
      <c r="M474" s="1" t="n">
        <f aca="false">SUMIF(Relatorio_AK!$A:$A,A474,Relatorio_AK!$B:$B)</f>
        <v>296</v>
      </c>
      <c r="N474" s="1" t="str">
        <f aca="false">IF(M474=K474,"OK","DIF")</f>
        <v>OK</v>
      </c>
      <c r="O474" s="13" t="str">
        <f aca="false">IFERROR(VLOOKUP($A474,Lista_Starke!$A:$E,3,0),"NÃO ESTÁ NA LISTA")</f>
        <v>CITROEN: Aircross 1.5 8V TU5 12/...
CITROEN: C3 1.5 8V TU5 12/...
PEUGEOT: 208 1.5 8V TU5 12/...</v>
      </c>
      <c r="P474" s="12" t="str">
        <f aca="false">IFERROR(VLOOKUP($A474,Lista_Starke!$A:$E,2,0),"NÃO ESTÁ NA LISTA")</f>
        <v>BOMBA D'ÁGUA</v>
      </c>
    </row>
    <row r="475" customFormat="false" ht="15" hidden="false" customHeight="true" outlineLevel="0" collapsed="false">
      <c r="A475" s="10" t="s">
        <v>1077</v>
      </c>
      <c r="B475" s="10" t="str">
        <f aca="false">IFERROR(VLOOKUP(A475,Pedido!$A:$B,2,0),"")</f>
        <v/>
      </c>
      <c r="C475" s="10" t="str">
        <f aca="false">IF(B475="","NÃO COMPRA","COMPRA")</f>
        <v>NÃO COMPRA</v>
      </c>
      <c r="D475" s="1" t="n">
        <f aca="false">IFERROR(VLOOKUP(A475,Pedido!$A:$C,3,0),0)</f>
        <v>0</v>
      </c>
      <c r="E475" s="5" t="n">
        <f aca="false">IFERROR(VLOOKUP(A475,Pedido!$A:$E,5,0),0)</f>
        <v>0</v>
      </c>
      <c r="F475" s="1" t="s">
        <v>8</v>
      </c>
      <c r="G475" s="1" t="s">
        <v>307</v>
      </c>
      <c r="H475" s="1" t="s">
        <v>906</v>
      </c>
      <c r="I475" s="1" t="s">
        <v>97</v>
      </c>
      <c r="J475" s="1" t="s">
        <v>1078</v>
      </c>
      <c r="K475" s="1" t="n">
        <v>296</v>
      </c>
      <c r="L475" s="11" t="n">
        <v>0.813381154512211</v>
      </c>
      <c r="M475" s="1" t="n">
        <f aca="false">SUMIF(Relatorio_AK!$A:$A,A475,Relatorio_AK!$B:$B)</f>
        <v>296</v>
      </c>
      <c r="N475" s="1" t="str">
        <f aca="false">IF(M475=K475,"OK","DIF")</f>
        <v>OK</v>
      </c>
      <c r="O475" s="13" t="str">
        <f aca="false">IFERROR(VLOOKUP($A475,Lista_Starke!$A:$E,3,0),"NÃO ESTÁ NA LISTA")</f>
        <v>FIAT: Toro 2.0 16V JTD Diesel 16/…
JEEP: Commander 2.0 16V Turbo Diesel 21/...
JEEP: Compass 2.0 16V JTD Diesel 16/…
JEEP: Renegade 2.0 16V JTD Diesel 16/…</v>
      </c>
      <c r="P475" s="12" t="str">
        <f aca="false">IFERROR(VLOOKUP($A475,Lista_Starke!$A:$E,2,0),"NÃO ESTÁ NA LISTA")</f>
        <v>BOMBA D'ÁGUA AUXILIAR</v>
      </c>
    </row>
    <row r="476" customFormat="false" ht="15" hidden="false" customHeight="true" outlineLevel="0" collapsed="false">
      <c r="A476" s="10" t="s">
        <v>1079</v>
      </c>
      <c r="B476" s="10" t="str">
        <f aca="false">IFERROR(VLOOKUP(A476,Pedido!$A:$B,2,0),"")</f>
        <v/>
      </c>
      <c r="C476" s="10" t="str">
        <f aca="false">IF(B476="","NÃO COMPRA","COMPRA")</f>
        <v>NÃO COMPRA</v>
      </c>
      <c r="D476" s="1" t="n">
        <f aca="false">IFERROR(VLOOKUP(A476,Pedido!$A:$C,3,0),0)</f>
        <v>0</v>
      </c>
      <c r="E476" s="5" t="n">
        <f aca="false">IFERROR(VLOOKUP(A476,Pedido!$A:$E,5,0),0)</f>
        <v>0</v>
      </c>
      <c r="F476" s="1" t="s">
        <v>8</v>
      </c>
      <c r="G476" s="1" t="s">
        <v>39</v>
      </c>
      <c r="H476" s="1" t="s">
        <v>35</v>
      </c>
      <c r="I476" s="1" t="s">
        <v>226</v>
      </c>
      <c r="K476" s="1" t="n">
        <v>293</v>
      </c>
      <c r="L476" s="11" t="n">
        <v>0.813882046030733</v>
      </c>
      <c r="M476" s="1" t="n">
        <f aca="false">SUMIF(Relatorio_AK!$A:$A,A476,Relatorio_AK!$B:$B)</f>
        <v>293</v>
      </c>
      <c r="N476" s="1" t="str">
        <f aca="false">IF(M476=K476,"OK","DIF")</f>
        <v>OK</v>
      </c>
      <c r="O476" s="13" t="str">
        <f aca="false">IFERROR(VLOOKUP($A476,Lista_Starke!$A:$E,3,0),"NÃO ESTÁ NA LISTA")</f>
        <v>AUDI: Q3 1.4 16V TFSI 17/...
AUDI: Q3 2.0 16V TFSI 17/...
VOLKSWAGEN: Passat 2.0 16V Turbo 07/...
VOLKSWAGEN: Passat 3.6 VR6 07/...
VOLKSWAGEN: Passat CC 2.0 16V Turbo 07/...
VOLKSWAGEN: Passat CC 3.6 V6 FSI 07/...
VOLKSWAGEN: Tiguan 1.4 16V TSI 13/...
VOLKSWAGEN: Tiguan 2.0 16V TSI 09/...</v>
      </c>
      <c r="P476" s="12" t="str">
        <f aca="false">IFERROR(VLOOKUP($A476,Lista_Starke!$A:$E,2,0),"NÃO ESTÁ NA LISTA")</f>
        <v>CILINDRO MESTRE DE FREIO</v>
      </c>
    </row>
    <row r="477" customFormat="false" ht="15" hidden="false" customHeight="true" outlineLevel="0" collapsed="false">
      <c r="A477" s="10" t="s">
        <v>1080</v>
      </c>
      <c r="B477" s="10" t="str">
        <f aca="false">IFERROR(VLOOKUP(A477,Pedido!$A:$B,2,0),"")</f>
        <v/>
      </c>
      <c r="C477" s="10" t="str">
        <f aca="false">IF(B477="","NÃO COMPRA","COMPRA")</f>
        <v>NÃO COMPRA</v>
      </c>
      <c r="D477" s="1" t="n">
        <f aca="false">IFERROR(VLOOKUP(A477,Pedido!$A:$C,3,0),0)</f>
        <v>0</v>
      </c>
      <c r="E477" s="5" t="n">
        <f aca="false">IFERROR(VLOOKUP(A477,Pedido!$A:$E,5,0),0)</f>
        <v>0</v>
      </c>
      <c r="F477" s="1" t="s">
        <v>8</v>
      </c>
      <c r="G477" s="1" t="s">
        <v>1081</v>
      </c>
      <c r="H477" s="1" t="s">
        <v>235</v>
      </c>
      <c r="I477" s="1" t="s">
        <v>373</v>
      </c>
      <c r="J477" s="1" t="s">
        <v>1082</v>
      </c>
      <c r="K477" s="1" t="n">
        <v>293</v>
      </c>
      <c r="L477" s="11" t="n">
        <v>0.814382937549255</v>
      </c>
      <c r="M477" s="1" t="n">
        <f aca="false">SUMIF(Relatorio_AK!$A:$A,A477,Relatorio_AK!$B:$B)</f>
        <v>293</v>
      </c>
      <c r="N477" s="1" t="str">
        <f aca="false">IF(M477=K477,"OK","DIF")</f>
        <v>OK</v>
      </c>
      <c r="O477" s="13" t="str">
        <f aca="false">IFERROR(VLOOKUP($A477,Lista_Starke!$A:$E,3,0),"NÃO ESTÁ NA LISTA")</f>
        <v>MERCEDES-BENZ: A200 (W176) 1.6 4cil M270.910 14/...
MERCEDES-BENZ: A220 (W176) 2.0 4cil M270.920 14/...
MERCEDES-BENZ: A250 (W176) 2.0 4cil M270.920 12/...
MERCEDES-BENZ: A35 (W177) AMG 2.0 16V Turbo 20/...
MERCEDES-BENZ: B180 (W242/W246) 1.6 4cil M270.910 11/...
MERCEDES-BENZ: B200 (W242/W246) 1.6 4cil M270.910 11/...
MERCEDES-BENZ: B220 (W242/W246) 2.0 4cil M270.920 13/...
MERCEDES-BENZ: B250 (W242/W246) 2.0 4cil M270.920 12/...
MERCEDES-BENZ: CLA200 (X117) 1.6 4cil M270.910 15/...
MERCEDES-BENZ: CLA220 (X117) 2.0 4cil M270.920 15/...
MERCEDES-BENZ: CLA250 (X117) 2.0 4cil M270.920 15/...
MERCEDES-BENZ: CLA35 (C118) AMG 2.0 16V Turbo 20/...
MERCEDES-BENZ: GLA200 (X156) 1.6 4cil M270.910 13/...
MERCEDES-BENZ: GLA220 (X156) 2.0 4cil M270.920 17/...
MERCEDES-BENZ: GLA250 (X156) 2.0 4cil M270.920 13/...
MERCEDES-BENZ: GLA35 (H247) AMG 2.0 16V Turbo 22/...
MERCEDES-BENZ: GLB35 (X247) AMG 2.0 16V Turbo 22/...</v>
      </c>
      <c r="P477" s="12" t="str">
        <f aca="false">IFERROR(VLOOKUP($A477,Lista_Starke!$A:$E,2,0),"NÃO ESTÁ NA LISTA")</f>
        <v>RESFRIADOR DE ÓLEO MOTOR</v>
      </c>
    </row>
    <row r="478" customFormat="false" ht="15" hidden="false" customHeight="true" outlineLevel="0" collapsed="false">
      <c r="A478" s="10" t="s">
        <v>1083</v>
      </c>
      <c r="B478" s="10" t="str">
        <f aca="false">IFERROR(VLOOKUP(A478,Pedido!$A:$B,2,0),"")</f>
        <v/>
      </c>
      <c r="C478" s="10" t="str">
        <f aca="false">IF(B478="","NÃO COMPRA","COMPRA")</f>
        <v>NÃO COMPRA</v>
      </c>
      <c r="D478" s="1" t="n">
        <f aca="false">IFERROR(VLOOKUP(A478,Pedido!$A:$C,3,0),0)</f>
        <v>0</v>
      </c>
      <c r="E478" s="5" t="n">
        <f aca="false">IFERROR(VLOOKUP(A478,Pedido!$A:$E,5,0),0)</f>
        <v>0</v>
      </c>
      <c r="F478" s="1" t="s">
        <v>8</v>
      </c>
      <c r="G478" s="1" t="s">
        <v>1084</v>
      </c>
      <c r="H478" s="1" t="s">
        <v>88</v>
      </c>
      <c r="I478" s="1" t="s">
        <v>57</v>
      </c>
      <c r="J478" s="1" t="s">
        <v>1085</v>
      </c>
      <c r="K478" s="1" t="n">
        <v>292</v>
      </c>
      <c r="L478" s="11" t="n">
        <v>0.81488211954041</v>
      </c>
      <c r="M478" s="1" t="n">
        <f aca="false">SUMIF(Relatorio_AK!$A:$A,A478,Relatorio_AK!$B:$B)</f>
        <v>292</v>
      </c>
      <c r="N478" s="1" t="str">
        <f aca="false">IF(M478=K478,"OK","DIF")</f>
        <v>OK</v>
      </c>
      <c r="O478" s="13" t="str">
        <f aca="false">IFERROR(VLOOKUP($A478,Lista_Starke!$A:$E,3,0),"NÃO ESTÁ NA LISTA")</f>
        <v>GM: Blazer 2.2 8V 96/07
GM: Blazer 2.4 8V 04/12
GM: Blazer 2.5 8V Maxion 97/02
GM: Blazer 4.3 V6 96/04
GM: S10 2.2 8V 96/07
GM: S10 2.4 8V 00/12
GM: S10 2.5 8V Maxion 97/02
GM: S10 2.8 16V Duramax 12/12
GM: S10 4.3 V6 96/04</v>
      </c>
      <c r="P478" s="12" t="str">
        <f aca="false">IFERROR(VLOOKUP($A478,Lista_Starke!$A:$E,2,0),"NÃO ESTÁ NA LISTA")</f>
        <v>CILINDRO DE RODA LD</v>
      </c>
    </row>
    <row r="479" customFormat="false" ht="15" hidden="false" customHeight="true" outlineLevel="0" collapsed="false">
      <c r="A479" s="10" t="s">
        <v>1086</v>
      </c>
      <c r="B479" s="10" t="str">
        <f aca="false">IFERROR(VLOOKUP(A479,Pedido!$A:$B,2,0),"")</f>
        <v/>
      </c>
      <c r="C479" s="10" t="str">
        <f aca="false">IF(B479="","NÃO COMPRA","COMPRA")</f>
        <v>NÃO COMPRA</v>
      </c>
      <c r="D479" s="1" t="n">
        <f aca="false">IFERROR(VLOOKUP(A479,Pedido!$A:$C,3,0),0)</f>
        <v>0</v>
      </c>
      <c r="E479" s="5" t="n">
        <f aca="false">IFERROR(VLOOKUP(A479,Pedido!$A:$E,5,0),0)</f>
        <v>0</v>
      </c>
      <c r="F479" s="1" t="s">
        <v>8</v>
      </c>
      <c r="G479" s="1" t="s">
        <v>52</v>
      </c>
      <c r="H479" s="1" t="s">
        <v>35</v>
      </c>
      <c r="I479" s="1" t="s">
        <v>53</v>
      </c>
      <c r="K479" s="1" t="n">
        <v>292</v>
      </c>
      <c r="L479" s="11" t="n">
        <v>0.815381301531565</v>
      </c>
      <c r="M479" s="1" t="n">
        <f aca="false">SUMIF(Relatorio_AK!$A:$A,A479,Relatorio_AK!$B:$B)</f>
        <v>292</v>
      </c>
      <c r="N479" s="1" t="str">
        <f aca="false">IF(M479=K479,"OK","DIF")</f>
        <v>OK</v>
      </c>
      <c r="O479" s="13" t="str">
        <f aca="false">IFERROR(VLOOKUP($A479,Lista_Starke!$A:$E,3,0),"NÃO ESTÁ NA LISTA")</f>
        <v>FORD: Ranger 2.2 16V TDCi 13/...
FORD: Ranger 2.3 16V Gasolina 13/...
FORD: Ranger 2.5 16V Gasolina 13/...
FORD: Ranger 3.0 Diesel 12/...
FORD: Ranger 3.2 20V TDCi 13/...</v>
      </c>
      <c r="P479" s="12" t="str">
        <f aca="false">IFERROR(VLOOKUP($A479,Lista_Starke!$A:$E,2,0),"NÃO ESTÁ NA LISTA")</f>
        <v>CILINDRO MESTRE DE FREIO</v>
      </c>
    </row>
    <row r="480" customFormat="false" ht="15" hidden="false" customHeight="true" outlineLevel="0" collapsed="false">
      <c r="A480" s="10" t="s">
        <v>1087</v>
      </c>
      <c r="B480" s="10" t="str">
        <f aca="false">IFERROR(VLOOKUP(A480,Pedido!$A:$B,2,0),"")</f>
        <v/>
      </c>
      <c r="C480" s="10" t="str">
        <f aca="false">IF(B480="","NÃO COMPRA","COMPRA")</f>
        <v>NÃO COMPRA</v>
      </c>
      <c r="D480" s="1" t="n">
        <f aca="false">IFERROR(VLOOKUP(A480,Pedido!$A:$C,3,0),0)</f>
        <v>0</v>
      </c>
      <c r="E480" s="5" t="n">
        <f aca="false">IFERROR(VLOOKUP(A480,Pedido!$A:$E,5,0),0)</f>
        <v>0</v>
      </c>
      <c r="F480" s="1" t="s">
        <v>8</v>
      </c>
      <c r="G480" s="1" t="s">
        <v>1088</v>
      </c>
      <c r="H480" s="1" t="s">
        <v>197</v>
      </c>
      <c r="I480" s="1" t="s">
        <v>286</v>
      </c>
      <c r="K480" s="1" t="n">
        <v>292</v>
      </c>
      <c r="L480" s="11" t="n">
        <v>0.81588048352272</v>
      </c>
      <c r="M480" s="1" t="n">
        <f aca="false">SUMIF(Relatorio_AK!$A:$A,A480,Relatorio_AK!$B:$B)</f>
        <v>292</v>
      </c>
      <c r="N480" s="1" t="str">
        <f aca="false">IF(M480=K480,"OK","DIF")</f>
        <v>OK</v>
      </c>
      <c r="O480" s="13" t="str">
        <f aca="false">IFERROR(VLOOKUP($A480,Lista_Starke!$A:$E,3,0),"NÃO ESTÁ NA LISTA")</f>
        <v>FORD: Ranger 3.2 20V TDCi 13/...
TROLLER: T4 3.2 20V TDCi 14/...</v>
      </c>
      <c r="P480" s="12" t="str">
        <f aca="false">IFERROR(VLOOKUP($A480,Lista_Starke!$A:$E,2,0),"NÃO ESTÁ NA LISTA")</f>
        <v>BOMBA D'ÁGUA</v>
      </c>
    </row>
    <row r="481" customFormat="false" ht="15" hidden="false" customHeight="true" outlineLevel="0" collapsed="false">
      <c r="A481" s="10" t="s">
        <v>1089</v>
      </c>
      <c r="B481" s="10" t="str">
        <f aca="false">IFERROR(VLOOKUP(A481,Pedido!$A:$B,2,0),"")</f>
        <v/>
      </c>
      <c r="C481" s="10" t="str">
        <f aca="false">IF(B481="","NÃO COMPRA","COMPRA")</f>
        <v>NÃO COMPRA</v>
      </c>
      <c r="D481" s="1" t="n">
        <f aca="false">IFERROR(VLOOKUP(A481,Pedido!$A:$C,3,0),0)</f>
        <v>0</v>
      </c>
      <c r="E481" s="5" t="n">
        <f aca="false">IFERROR(VLOOKUP(A481,Pedido!$A:$E,5,0),0)</f>
        <v>0</v>
      </c>
      <c r="F481" s="1" t="s">
        <v>8</v>
      </c>
      <c r="G481" s="1" t="s">
        <v>588</v>
      </c>
      <c r="H481" s="1" t="s">
        <v>235</v>
      </c>
      <c r="I481" s="1" t="s">
        <v>226</v>
      </c>
      <c r="J481" s="1" t="s">
        <v>1090</v>
      </c>
      <c r="K481" s="1" t="n">
        <v>289</v>
      </c>
      <c r="L481" s="11" t="n">
        <v>0.816374536931774</v>
      </c>
      <c r="M481" s="1" t="n">
        <f aca="false">SUMIF(Relatorio_AK!$A:$A,A481,Relatorio_AK!$B:$B)</f>
        <v>289</v>
      </c>
      <c r="N481" s="1" t="str">
        <f aca="false">IF(M481=K481,"OK","DIF")</f>
        <v>OK</v>
      </c>
      <c r="O481" s="13" t="str">
        <f aca="false">IFERROR(VLOOKUP($A481,Lista_Starke!$A:$E,3,0),"NÃO ESTÁ NA LISTA")</f>
        <v>AUDI: A3 2.0 16V TFSI   CCZA / CAWB 04/13
AUDI: A4 2.0 16V TFSI   CAEA / CDNB / CFKA 08/…
AUDI: A4 2.0 16V TFSI   CAED / CNCD 13/…
AUDI: A5 2.0 16V TFSI   CDNB / CDNC 08/…
AUDI: A5 2.0 16V TFSI   CNCD 13/…
AUDI: A6 2.0 16V TFSI   CAED 13/…
AUDI: A6 2.0 16V TFSI   CDNB 11/…
AUDI: Q3 2.0 16V TFSI   CCZC / CULB / CPSA 11/…
AUDI: Q5 2.0 16V TFSI   CDNB / CNCB / CAEB / CDNC 09/…
AUDI: TT 2.0 16V TFSI   BWA / CCZA / CESA / CCTA 09/…
VOLKSWAGEN: Beetle 2.0 16V TSI   CBFA / CCTA / CCZA 13/…
VOLKSWAGEN: Golf GTI 2.0 16V TSI   CBFA / CCTA / CCZA 13/…
VOLKSWAGEN: Jetta 2.0 16V TSI   CBFA / CCTA / CCZA / CPLA / CPPA 11/…
VOLKSWAGEN: Passat / Variant 2.0 16V TSI   CCZB 09/…
VOLKSWAGEN: Passat CC 2.0 16V TSI   CBFA / CCTA / CCZA / CPLA / CPPA 11/…
VOLKSWAGEN: Tiguan 2.0 16V TFSI CAWB / CCTA / CCZA 08/…</v>
      </c>
      <c r="P481" s="12" t="str">
        <f aca="false">IFERROR(VLOOKUP($A481,Lista_Starke!$A:$E,2,0),"NÃO ESTÁ NA LISTA")</f>
        <v>RESFRIADOR DE ÓLEO MOTOR</v>
      </c>
    </row>
    <row r="482" customFormat="false" ht="15" hidden="false" customHeight="true" outlineLevel="0" collapsed="false">
      <c r="A482" s="10" t="s">
        <v>1091</v>
      </c>
      <c r="B482" s="10" t="str">
        <f aca="false">IFERROR(VLOOKUP(A482,Pedido!$A:$B,2,0),"")</f>
        <v/>
      </c>
      <c r="C482" s="10" t="str">
        <f aca="false">IF(B482="","NÃO COMPRA","COMPRA")</f>
        <v>NÃO COMPRA</v>
      </c>
      <c r="D482" s="1" t="n">
        <f aca="false">IFERROR(VLOOKUP(A482,Pedido!$A:$C,3,0),0)</f>
        <v>0</v>
      </c>
      <c r="E482" s="5" t="n">
        <f aca="false">IFERROR(VLOOKUP(A482,Pedido!$A:$E,5,0),0)</f>
        <v>0</v>
      </c>
      <c r="F482" s="1" t="s">
        <v>8</v>
      </c>
      <c r="G482" s="1" t="s">
        <v>1092</v>
      </c>
      <c r="H482" s="1" t="s">
        <v>88</v>
      </c>
      <c r="I482" s="1" t="s">
        <v>42</v>
      </c>
      <c r="J482" s="1" t="s">
        <v>1093</v>
      </c>
      <c r="K482" s="1" t="n">
        <v>288</v>
      </c>
      <c r="L482" s="11" t="n">
        <v>0.816866880813461</v>
      </c>
      <c r="M482" s="1" t="n">
        <f aca="false">SUMIF(Relatorio_AK!$A:$A,A482,Relatorio_AK!$B:$B)</f>
        <v>288</v>
      </c>
      <c r="N482" s="1" t="str">
        <f aca="false">IF(M482=K482,"OK","DIF")</f>
        <v>OK</v>
      </c>
      <c r="O482" s="12" t="str">
        <f aca="false">IFERROR(VLOOKUP($A482,Lista_Starke!$A:$E,3,0),"NÃO ESTÁ NA LISTA")</f>
        <v>RENAULT: Duster 2.0 16V 4x4 F4R 12/...</v>
      </c>
      <c r="P482" s="12" t="str">
        <f aca="false">IFERROR(VLOOKUP($A482,Lista_Starke!$A:$E,2,0),"NÃO ESTÁ NA LISTA")</f>
        <v>CILINDRO DE RODA LD</v>
      </c>
    </row>
    <row r="483" customFormat="false" ht="15" hidden="false" customHeight="true" outlineLevel="0" collapsed="false">
      <c r="A483" s="10" t="s">
        <v>1094</v>
      </c>
      <c r="B483" s="10" t="str">
        <f aca="false">IFERROR(VLOOKUP(A483,Pedido!$A:$B,2,0),"")</f>
        <v/>
      </c>
      <c r="C483" s="10" t="str">
        <f aca="false">IF(B483="","NÃO COMPRA","COMPRA")</f>
        <v>NÃO COMPRA</v>
      </c>
      <c r="D483" s="1" t="n">
        <f aca="false">IFERROR(VLOOKUP(A483,Pedido!$A:$C,3,0),0)</f>
        <v>0</v>
      </c>
      <c r="E483" s="5" t="n">
        <f aca="false">IFERROR(VLOOKUP(A483,Pedido!$A:$E,5,0),0)</f>
        <v>0</v>
      </c>
      <c r="F483" s="1" t="s">
        <v>8</v>
      </c>
      <c r="G483" s="1" t="s">
        <v>41</v>
      </c>
      <c r="H483" s="1" t="s">
        <v>35</v>
      </c>
      <c r="I483" s="1" t="s">
        <v>42</v>
      </c>
      <c r="K483" s="1" t="n">
        <v>288</v>
      </c>
      <c r="L483" s="11" t="n">
        <v>0.817359224695148</v>
      </c>
      <c r="M483" s="1" t="n">
        <f aca="false">SUMIF(Relatorio_AK!$A:$A,A483,Relatorio_AK!$B:$B)</f>
        <v>288</v>
      </c>
      <c r="N483" s="1" t="str">
        <f aca="false">IF(M483=K483,"OK","DIF")</f>
        <v>OK</v>
      </c>
      <c r="O483" s="12" t="str">
        <f aca="false">IFERROR(VLOOKUP($A483,Lista_Starke!$A:$E,3,0),"NÃO ESTÁ NA LISTA")</f>
        <v>RENAULT: Duster 1.6 16V 12/14</v>
      </c>
      <c r="P483" s="12" t="str">
        <f aca="false">IFERROR(VLOOKUP($A483,Lista_Starke!$A:$E,2,0),"NÃO ESTÁ NA LISTA")</f>
        <v>CILINDRO MESTRE DE FREIO</v>
      </c>
    </row>
    <row r="484" customFormat="false" ht="15" hidden="false" customHeight="true" outlineLevel="0" collapsed="false">
      <c r="A484" s="10" t="s">
        <v>1095</v>
      </c>
      <c r="B484" s="10" t="str">
        <f aca="false">IFERROR(VLOOKUP(A484,Pedido!$A:$B,2,0),"")</f>
        <v/>
      </c>
      <c r="C484" s="10" t="str">
        <f aca="false">IF(B484="","NÃO COMPRA","COMPRA")</f>
        <v>NÃO COMPRA</v>
      </c>
      <c r="D484" s="1" t="n">
        <f aca="false">IFERROR(VLOOKUP(A484,Pedido!$A:$C,3,0),0)</f>
        <v>0</v>
      </c>
      <c r="E484" s="5" t="n">
        <f aca="false">IFERROR(VLOOKUP(A484,Pedido!$A:$E,5,0),0)</f>
        <v>0</v>
      </c>
      <c r="F484" s="1" t="s">
        <v>8</v>
      </c>
      <c r="G484" s="1" t="s">
        <v>1096</v>
      </c>
      <c r="H484" s="1" t="s">
        <v>197</v>
      </c>
      <c r="I484" s="1" t="s">
        <v>286</v>
      </c>
      <c r="J484" s="1" t="s">
        <v>1097</v>
      </c>
      <c r="K484" s="1" t="n">
        <v>288</v>
      </c>
      <c r="L484" s="11" t="n">
        <v>0.817851568576835</v>
      </c>
      <c r="M484" s="1" t="n">
        <f aca="false">SUMIF(Relatorio_AK!$A:$A,A484,Relatorio_AK!$B:$B)</f>
        <v>288</v>
      </c>
      <c r="N484" s="1" t="str">
        <f aca="false">IF(M484=K484,"OK","DIF")</f>
        <v>OK</v>
      </c>
      <c r="O484" s="13" t="str">
        <f aca="false">IFERROR(VLOOKUP($A484,Lista_Starke!$A:$E,3,0),"NÃO ESTÁ NA LISTA")</f>
        <v>FORD: Ranger 3.0 Turbo Diesel  NGD 05/…
TROLLER: T4 3.0 Turbo Diesel  NGD 07/…</v>
      </c>
      <c r="P484" s="12" t="str">
        <f aca="false">IFERROR(VLOOKUP($A484,Lista_Starke!$A:$E,2,0),"NÃO ESTÁ NA LISTA")</f>
        <v>BOMBA D'ÁGUA</v>
      </c>
    </row>
    <row r="485" customFormat="false" ht="15" hidden="false" customHeight="true" outlineLevel="0" collapsed="false">
      <c r="A485" s="10" t="s">
        <v>1098</v>
      </c>
      <c r="B485" s="10" t="str">
        <f aca="false">IFERROR(VLOOKUP(A485,Pedido!$A:$B,2,0),"")</f>
        <v/>
      </c>
      <c r="C485" s="10" t="str">
        <f aca="false">IF(B485="","NÃO COMPRA","COMPRA")</f>
        <v>NÃO COMPRA</v>
      </c>
      <c r="D485" s="1" t="n">
        <f aca="false">IFERROR(VLOOKUP(A485,Pedido!$A:$C,3,0),0)</f>
        <v>0</v>
      </c>
      <c r="E485" s="5" t="n">
        <f aca="false">IFERROR(VLOOKUP(A485,Pedido!$A:$E,5,0),0)</f>
        <v>0</v>
      </c>
      <c r="F485" s="1" t="s">
        <v>8</v>
      </c>
      <c r="G485" s="1" t="s">
        <v>1099</v>
      </c>
      <c r="H485" s="1" t="s">
        <v>28</v>
      </c>
      <c r="I485" s="1" t="s">
        <v>1100</v>
      </c>
      <c r="J485" s="1" t="s">
        <v>1101</v>
      </c>
      <c r="K485" s="1" t="n">
        <v>287</v>
      </c>
      <c r="L485" s="11" t="n">
        <v>0.818342202931155</v>
      </c>
      <c r="M485" s="1" t="n">
        <f aca="false">SUMIF(Relatorio_AK!$A:$A,A485,Relatorio_AK!$B:$B)</f>
        <v>287</v>
      </c>
      <c r="N485" s="1" t="str">
        <f aca="false">IF(M485=K485,"OK","DIF")</f>
        <v>OK</v>
      </c>
      <c r="O485" s="13" t="str">
        <f aca="false">IFERROR(VLOOKUP($A485,Lista_Starke!$A:$E,3,0),"NÃO ESTÁ NA LISTA")</f>
        <v>SCANIA: 114  03/06
SCANIA: 124  03/06
SCANIA: K114  03/05
SCANIA: K124  03/06
SCANIA: P94  03/06
SCANIA: S114  </v>
      </c>
      <c r="P485" s="12" t="str">
        <f aca="false">IFERROR(VLOOKUP($A485,Lista_Starke!$A:$E,2,0),"NÃO ESTÁ NA LISTA")</f>
        <v>CILINDRO AUXILIAR DE EMBREAGEM</v>
      </c>
    </row>
    <row r="486" customFormat="false" ht="15" hidden="false" customHeight="true" outlineLevel="0" collapsed="false">
      <c r="A486" s="10" t="s">
        <v>1102</v>
      </c>
      <c r="B486" s="10" t="str">
        <f aca="false">IFERROR(VLOOKUP(A486,Pedido!$A:$B,2,0),"")</f>
        <v/>
      </c>
      <c r="C486" s="10" t="str">
        <f aca="false">IF(B486="","NÃO COMPRA","COMPRA")</f>
        <v>NÃO COMPRA</v>
      </c>
      <c r="D486" s="1" t="n">
        <f aca="false">IFERROR(VLOOKUP(A486,Pedido!$A:$C,3,0),0)</f>
        <v>0</v>
      </c>
      <c r="E486" s="5" t="n">
        <f aca="false">IFERROR(VLOOKUP(A486,Pedido!$A:$E,5,0),0)</f>
        <v>0</v>
      </c>
      <c r="F486" s="1" t="s">
        <v>8</v>
      </c>
      <c r="G486" s="1" t="s">
        <v>602</v>
      </c>
      <c r="H486" s="1" t="s">
        <v>35</v>
      </c>
      <c r="I486" s="1" t="s">
        <v>29</v>
      </c>
      <c r="K486" s="1" t="n">
        <v>286</v>
      </c>
      <c r="L486" s="11" t="n">
        <v>0.818831127758108</v>
      </c>
      <c r="M486" s="1" t="n">
        <f aca="false">SUMIF(Relatorio_AK!$A:$A,A486,Relatorio_AK!$B:$B)</f>
        <v>286</v>
      </c>
      <c r="N486" s="1" t="str">
        <f aca="false">IF(M486=K486,"OK","DIF")</f>
        <v>OK</v>
      </c>
      <c r="O486" s="13" t="str">
        <f aca="false">IFERROR(VLOOKUP($A486,Lista_Starke!$A:$E,3,0),"NÃO ESTÁ NA LISTA")</f>
        <v>HYUNDAI: Creta 1.6 16V 17/...
HYUNDAI: Creta 2.0 16V 17/...</v>
      </c>
      <c r="P486" s="12" t="str">
        <f aca="false">IFERROR(VLOOKUP($A486,Lista_Starke!$A:$E,2,0),"NÃO ESTÁ NA LISTA")</f>
        <v>CILINDRO MESTRE DE FREIO</v>
      </c>
    </row>
    <row r="487" customFormat="false" ht="15" hidden="false" customHeight="true" outlineLevel="0" collapsed="false">
      <c r="A487" s="10" t="s">
        <v>1103</v>
      </c>
      <c r="B487" s="10" t="str">
        <f aca="false">IFERROR(VLOOKUP(A487,Pedido!$A:$B,2,0),"")</f>
        <v/>
      </c>
      <c r="C487" s="10" t="str">
        <f aca="false">IF(B487="","NÃO COMPRA","COMPRA")</f>
        <v>NÃO COMPRA</v>
      </c>
      <c r="D487" s="1" t="n">
        <f aca="false">IFERROR(VLOOKUP(A487,Pedido!$A:$C,3,0),0)</f>
        <v>0</v>
      </c>
      <c r="E487" s="5" t="n">
        <f aca="false">IFERROR(VLOOKUP(A487,Pedido!$A:$E,5,0),0)</f>
        <v>0</v>
      </c>
      <c r="F487" s="1" t="s">
        <v>8</v>
      </c>
      <c r="G487" s="1" t="s">
        <v>130</v>
      </c>
      <c r="H487" s="1" t="s">
        <v>131</v>
      </c>
      <c r="I487" s="1" t="s">
        <v>46</v>
      </c>
      <c r="J487" s="1" t="s">
        <v>1104</v>
      </c>
      <c r="K487" s="1" t="n">
        <v>286</v>
      </c>
      <c r="L487" s="11" t="n">
        <v>0.819320052585061</v>
      </c>
      <c r="M487" s="1" t="n">
        <f aca="false">SUMIF(Relatorio_AK!$A:$A,A487,Relatorio_AK!$B:$B)</f>
        <v>286</v>
      </c>
      <c r="N487" s="1" t="str">
        <f aca="false">IF(M487=K487,"OK","DIF")</f>
        <v>OK</v>
      </c>
      <c r="O487" s="13" t="str">
        <f aca="false">IFERROR(VLOOKUP($A487,Lista_Starke!$A:$E,3,0),"NÃO ESTÁ NA LISTA")</f>
        <v>FIAT: Linea 1.9 16V 08/...
FIAT: Palio Weekend 1.3 / 1.6 / 1.8 10/...
FIAT: Punto 1.8 8V 08/...</v>
      </c>
      <c r="P487" s="12" t="str">
        <f aca="false">IFERROR(VLOOKUP($A487,Lista_Starke!$A:$E,2,0),"NÃO ESTÁ NA LISTA")</f>
        <v>SAPATA DE FREIO</v>
      </c>
    </row>
    <row r="488" customFormat="false" ht="15" hidden="false" customHeight="true" outlineLevel="0" collapsed="false">
      <c r="A488" s="10" t="s">
        <v>1105</v>
      </c>
      <c r="B488" s="10" t="str">
        <f aca="false">IFERROR(VLOOKUP(A488,Pedido!$A:$B,2,0),"")</f>
        <v/>
      </c>
      <c r="C488" s="10" t="str">
        <f aca="false">IF(B488="","NÃO COMPRA","COMPRA")</f>
        <v>NÃO COMPRA</v>
      </c>
      <c r="D488" s="1" t="n">
        <f aca="false">IFERROR(VLOOKUP(A488,Pedido!$A:$C,3,0),0)</f>
        <v>0</v>
      </c>
      <c r="E488" s="5" t="n">
        <f aca="false">IFERROR(VLOOKUP(A488,Pedido!$A:$E,5,0),0)</f>
        <v>0</v>
      </c>
      <c r="F488" s="1" t="s">
        <v>8</v>
      </c>
      <c r="G488" s="1" t="s">
        <v>363</v>
      </c>
      <c r="H488" s="1" t="s">
        <v>32</v>
      </c>
      <c r="I488" s="1" t="s">
        <v>177</v>
      </c>
      <c r="J488" s="1" t="s">
        <v>1106</v>
      </c>
      <c r="K488" s="1" t="n">
        <v>284</v>
      </c>
      <c r="L488" s="11" t="n">
        <v>0.81980555835728</v>
      </c>
      <c r="M488" s="1" t="n">
        <f aca="false">SUMIF(Relatorio_AK!$A:$A,A488,Relatorio_AK!$B:$B)</f>
        <v>284</v>
      </c>
      <c r="N488" s="1" t="str">
        <f aca="false">IF(M488=K488,"OK","DIF")</f>
        <v>OK</v>
      </c>
      <c r="O488" s="12" t="str">
        <f aca="false">IFERROR(VLOOKUP($A488,Lista_Starke!$A:$E,3,0),"NÃO ESTÁ NA LISTA")</f>
        <v>TOYOTA: Corolla 1.6 16V   4AFE / 4AFEL 92/02</v>
      </c>
      <c r="P488" s="12" t="str">
        <f aca="false">IFERROR(VLOOKUP($A488,Lista_Starke!$A:$E,2,0),"NÃO ESTÁ NA LISTA")</f>
        <v>CILINDRO MESTRE DE EMBREAGEM</v>
      </c>
    </row>
    <row r="489" customFormat="false" ht="15" hidden="false" customHeight="true" outlineLevel="0" collapsed="false">
      <c r="A489" s="10" t="s">
        <v>1107</v>
      </c>
      <c r="B489" s="10" t="str">
        <f aca="false">IFERROR(VLOOKUP(A489,Pedido!$A:$B,2,0),"")</f>
        <v/>
      </c>
      <c r="C489" s="10" t="str">
        <f aca="false">IF(B489="","NÃO COMPRA","COMPRA")</f>
        <v>NÃO COMPRA</v>
      </c>
      <c r="D489" s="1" t="n">
        <f aca="false">IFERROR(VLOOKUP(A489,Pedido!$A:$C,3,0),0)</f>
        <v>0</v>
      </c>
      <c r="E489" s="5" t="n">
        <f aca="false">IFERROR(VLOOKUP(A489,Pedido!$A:$E,5,0),0)</f>
        <v>0</v>
      </c>
      <c r="F489" s="1" t="s">
        <v>8</v>
      </c>
      <c r="G489" s="1" t="s">
        <v>164</v>
      </c>
      <c r="H489" s="1" t="s">
        <v>131</v>
      </c>
      <c r="I489" s="1" t="s">
        <v>165</v>
      </c>
      <c r="J489" s="1" t="s">
        <v>1108</v>
      </c>
      <c r="K489" s="1" t="n">
        <v>283</v>
      </c>
      <c r="L489" s="11" t="n">
        <v>0.820289354602133</v>
      </c>
      <c r="M489" s="1" t="n">
        <f aca="false">SUMIF(Relatorio_AK!$A:$A,A489,Relatorio_AK!$B:$B)</f>
        <v>283</v>
      </c>
      <c r="N489" s="1" t="str">
        <f aca="false">IF(M489=K489,"OK","DIF")</f>
        <v>OK</v>
      </c>
      <c r="O489" s="13" t="str">
        <f aca="false">IFERROR(VLOOKUP($A489,Lista_Starke!$A:$E,3,0),"NÃO ESTÁ NA LISTA")</f>
        <v>FORD: Ranger 2.2 16V Duratorq 13/16
FORD: Ranger 2.3 16V Duratec 09/12
FORD: Ranger 3.0 16V Power Stroke 05/12
FORD: Ranger 3.2 20V Duratorq 13/16
GM: Blazer 4.3 V6 95/11
GM: S10 4.3 V6 95/11</v>
      </c>
      <c r="P489" s="12" t="str">
        <f aca="false">IFERROR(VLOOKUP($A489,Lista_Starke!$A:$E,2,0),"NÃO ESTÁ NA LISTA")</f>
        <v>SAPATA DE FREIO</v>
      </c>
    </row>
    <row r="490" customFormat="false" ht="15" hidden="false" customHeight="true" outlineLevel="0" collapsed="false">
      <c r="A490" s="10" t="s">
        <v>1109</v>
      </c>
      <c r="B490" s="10" t="str">
        <f aca="false">IFERROR(VLOOKUP(A490,Pedido!$A:$B,2,0),"")</f>
        <v/>
      </c>
      <c r="C490" s="10" t="str">
        <f aca="false">IF(B490="","NÃO COMPRA","COMPRA")</f>
        <v>NÃO COMPRA</v>
      </c>
      <c r="D490" s="1" t="n">
        <f aca="false">IFERROR(VLOOKUP(A490,Pedido!$A:$C,3,0),0)</f>
        <v>0</v>
      </c>
      <c r="E490" s="5" t="n">
        <f aca="false">IFERROR(VLOOKUP(A490,Pedido!$A:$E,5,0),0)</f>
        <v>0</v>
      </c>
      <c r="F490" s="1" t="s">
        <v>8</v>
      </c>
      <c r="G490" s="1" t="s">
        <v>690</v>
      </c>
      <c r="H490" s="1" t="s">
        <v>131</v>
      </c>
      <c r="I490" s="1" t="s">
        <v>50</v>
      </c>
      <c r="J490" s="1" t="s">
        <v>1110</v>
      </c>
      <c r="K490" s="1" t="n">
        <v>283</v>
      </c>
      <c r="L490" s="11" t="n">
        <v>0.820773150846985</v>
      </c>
      <c r="M490" s="1" t="n">
        <f aca="false">SUMIF(Relatorio_AK!$A:$A,A490,Relatorio_AK!$B:$B)</f>
        <v>283</v>
      </c>
      <c r="N490" s="1" t="str">
        <f aca="false">IF(M490=K490,"OK","DIF")</f>
        <v>OK</v>
      </c>
      <c r="O490" s="13" t="str">
        <f aca="false">IFERROR(VLOOKUP($A490,Lista_Starke!$A:$E,3,0),"NÃO ESTÁ NA LISTA")</f>
        <v>HONDA: City 1.5 16V 10/...
HONDA: Civic 1.7 16V 01/05
HONDA: Fit 1.5 16V 09/14</v>
      </c>
      <c r="P490" s="12" t="str">
        <f aca="false">IFERROR(VLOOKUP($A490,Lista_Starke!$A:$E,2,0),"NÃO ESTÁ NA LISTA")</f>
        <v>SAPATA DE FREIO</v>
      </c>
    </row>
    <row r="491" customFormat="false" ht="15" hidden="false" customHeight="true" outlineLevel="0" collapsed="false">
      <c r="A491" s="10" t="s">
        <v>1111</v>
      </c>
      <c r="B491" s="10" t="str">
        <f aca="false">IFERROR(VLOOKUP(A491,Pedido!$A:$B,2,0),"")</f>
        <v/>
      </c>
      <c r="C491" s="10" t="str">
        <f aca="false">IF(B491="","NÃO COMPRA","COMPRA")</f>
        <v>NÃO COMPRA</v>
      </c>
      <c r="D491" s="1" t="n">
        <f aca="false">IFERROR(VLOOKUP(A491,Pedido!$A:$C,3,0),0)</f>
        <v>0</v>
      </c>
      <c r="E491" s="5" t="n">
        <f aca="false">IFERROR(VLOOKUP(A491,Pedido!$A:$E,5,0),0)</f>
        <v>0</v>
      </c>
      <c r="F491" s="1" t="s">
        <v>8</v>
      </c>
      <c r="G491" s="1" t="s">
        <v>65</v>
      </c>
      <c r="H491" s="1" t="s">
        <v>35</v>
      </c>
      <c r="I491" s="1" t="s">
        <v>46</v>
      </c>
      <c r="J491" s="1" t="s">
        <v>1112</v>
      </c>
      <c r="K491" s="1" t="n">
        <v>282</v>
      </c>
      <c r="L491" s="11" t="n">
        <v>0.82125523756447</v>
      </c>
      <c r="M491" s="1" t="n">
        <f aca="false">SUMIF(Relatorio_AK!$A:$A,A491,Relatorio_AK!$B:$B)</f>
        <v>282</v>
      </c>
      <c r="N491" s="1" t="str">
        <f aca="false">IF(M491=K491,"OK","DIF")</f>
        <v>OK</v>
      </c>
      <c r="O491" s="13" t="str">
        <f aca="false">IFERROR(VLOOKUP($A491,Lista_Starke!$A:$E,3,0),"NÃO ESTÁ NA LISTA")</f>
        <v>FIAT: Uno 1.4 8V 10/14
FIAT: Uno Way 1.0 8V 05/13</v>
      </c>
      <c r="P491" s="12" t="str">
        <f aca="false">IFERROR(VLOOKUP($A491,Lista_Starke!$A:$E,2,0),"NÃO ESTÁ NA LISTA")</f>
        <v>CILINDRO MESTRE DE FREIO</v>
      </c>
    </row>
    <row r="492" customFormat="false" ht="15" hidden="false" customHeight="true" outlineLevel="0" collapsed="false">
      <c r="A492" s="10" t="s">
        <v>1113</v>
      </c>
      <c r="B492" s="10" t="str">
        <f aca="false">IFERROR(VLOOKUP(A492,Pedido!$A:$B,2,0),"")</f>
        <v/>
      </c>
      <c r="C492" s="10" t="str">
        <f aca="false">IF(B492="","NÃO COMPRA","COMPRA")</f>
        <v>NÃO COMPRA</v>
      </c>
      <c r="D492" s="1" t="n">
        <f aca="false">IFERROR(VLOOKUP(A492,Pedido!$A:$C,3,0),0)</f>
        <v>0</v>
      </c>
      <c r="E492" s="5" t="n">
        <f aca="false">IFERROR(VLOOKUP(A492,Pedido!$A:$E,5,0),0)</f>
        <v>0</v>
      </c>
      <c r="F492" s="1" t="s">
        <v>8</v>
      </c>
      <c r="G492" s="1" t="s">
        <v>1114</v>
      </c>
      <c r="H492" s="1" t="s">
        <v>88</v>
      </c>
      <c r="I492" s="1" t="s">
        <v>893</v>
      </c>
      <c r="J492" s="1" t="s">
        <v>1115</v>
      </c>
      <c r="K492" s="1" t="n">
        <v>282</v>
      </c>
      <c r="L492" s="11" t="n">
        <v>0.821737324281955</v>
      </c>
      <c r="M492" s="1" t="n">
        <f aca="false">SUMIF(Relatorio_AK!$A:$A,A492,Relatorio_AK!$B:$B)</f>
        <v>282</v>
      </c>
      <c r="N492" s="1" t="str">
        <f aca="false">IF(M492=K492,"OK","DIF")</f>
        <v>OK</v>
      </c>
      <c r="O492" s="13" t="str">
        <f aca="false">IFERROR(VLOOKUP($A492,Lista_Starke!$A:$E,3,0),"NÃO ESTÁ NA LISTA")</f>
        <v>HYUNDAI: Galloper 2.5 8V Turbo 98/...
MITSUBISHI: L200 2.5 8V Turbo HPE 4D56 04/07
MITSUBISHI: Pajero 2.8 16V Diesel 4M40 93/00
MITSUBISHI: Pajero Sport 2.8 16V Diesel 4M40 96/05
MITSUBISHI: Triton 3.2 16V Diesel 4M41 07/13
MITSUBISHI: Triton 3.5 V6 24V Flex 6G74 10/13</v>
      </c>
      <c r="P492" s="12" t="str">
        <f aca="false">IFERROR(VLOOKUP($A492,Lista_Starke!$A:$E,2,0),"NÃO ESTÁ NA LISTA")</f>
        <v>CILINDRO DE RODA LD</v>
      </c>
    </row>
    <row r="493" customFormat="false" ht="15" hidden="false" customHeight="true" outlineLevel="0" collapsed="false">
      <c r="A493" s="10" t="s">
        <v>1116</v>
      </c>
      <c r="B493" s="10" t="str">
        <f aca="false">IFERROR(VLOOKUP(A493,Pedido!$A:$B,2,0),"")</f>
        <v/>
      </c>
      <c r="C493" s="10" t="str">
        <f aca="false">IF(B493="","NÃO COMPRA","COMPRA")</f>
        <v>NÃO COMPRA</v>
      </c>
      <c r="D493" s="1" t="n">
        <f aca="false">IFERROR(VLOOKUP(A493,Pedido!$A:$C,3,0),0)</f>
        <v>0</v>
      </c>
      <c r="E493" s="5" t="n">
        <f aca="false">IFERROR(VLOOKUP(A493,Pedido!$A:$E,5,0),0)</f>
        <v>0</v>
      </c>
      <c r="F493" s="1" t="s">
        <v>8</v>
      </c>
      <c r="G493" s="1" t="s">
        <v>1117</v>
      </c>
      <c r="H493" s="1" t="s">
        <v>600</v>
      </c>
      <c r="I493" s="1" t="s">
        <v>177</v>
      </c>
      <c r="K493" s="1" t="n">
        <v>282</v>
      </c>
      <c r="L493" s="11" t="n">
        <v>0.82221941099944</v>
      </c>
      <c r="M493" s="1" t="n">
        <f aca="false">SUMIF(Relatorio_AK!$A:$A,A493,Relatorio_AK!$B:$B)</f>
        <v>282</v>
      </c>
      <c r="N493" s="1" t="str">
        <f aca="false">IF(M493=K493,"OK","DIF")</f>
        <v>OK</v>
      </c>
      <c r="O493" s="13" t="str">
        <f aca="false">IFERROR(VLOOKUP($A493,Lista_Starke!$A:$E,3,0),"NÃO ESTÁ NA LISTA")</f>
        <v>TOYOTA: Hilux 2.5 16V 2KD 05/12
TOYOTA: Hilux 3.0 16V 1KD 05/15
TOYOTA: SW4 3.0 16V 1KD 05/15</v>
      </c>
      <c r="P493" s="12" t="str">
        <f aca="false">IFERROR(VLOOKUP($A493,Lista_Starke!$A:$E,2,0),"NÃO ESTÁ NA LISTA")</f>
        <v>BOMBA DE VÁCUO FREIO</v>
      </c>
    </row>
    <row r="494" customFormat="false" ht="15" hidden="false" customHeight="true" outlineLevel="0" collapsed="false">
      <c r="A494" s="10" t="s">
        <v>1118</v>
      </c>
      <c r="B494" s="10" t="str">
        <f aca="false">IFERROR(VLOOKUP(A494,Pedido!$A:$B,2,0),"")</f>
        <v/>
      </c>
      <c r="C494" s="10" t="str">
        <f aca="false">IF(B494="","NÃO COMPRA","COMPRA")</f>
        <v>NÃO COMPRA</v>
      </c>
      <c r="D494" s="1" t="n">
        <f aca="false">IFERROR(VLOOKUP(A494,Pedido!$A:$C,3,0),0)</f>
        <v>0</v>
      </c>
      <c r="E494" s="5" t="n">
        <f aca="false">IFERROR(VLOOKUP(A494,Pedido!$A:$E,5,0),0)</f>
        <v>0</v>
      </c>
      <c r="F494" s="1" t="s">
        <v>8</v>
      </c>
      <c r="G494" s="1" t="s">
        <v>52</v>
      </c>
      <c r="H494" s="1" t="s">
        <v>35</v>
      </c>
      <c r="I494" s="1" t="s">
        <v>53</v>
      </c>
      <c r="K494" s="1" t="n">
        <v>281</v>
      </c>
      <c r="L494" s="11" t="n">
        <v>0.822699788189559</v>
      </c>
      <c r="M494" s="1" t="n">
        <f aca="false">SUMIF(Relatorio_AK!$A:$A,A494,Relatorio_AK!$B:$B)</f>
        <v>281</v>
      </c>
      <c r="N494" s="1" t="str">
        <f aca="false">IF(M494=K494,"OK","DIF")</f>
        <v>OK</v>
      </c>
      <c r="O494" s="12" t="str">
        <f aca="false">IFERROR(VLOOKUP($A494,Lista_Starke!$A:$E,3,0),"NÃO ESTÁ NA LISTA")</f>
        <v>FORD: Focus 1.6 16V Sigma Manual 14/...</v>
      </c>
      <c r="P494" s="12" t="str">
        <f aca="false">IFERROR(VLOOKUP($A494,Lista_Starke!$A:$E,2,0),"NÃO ESTÁ NA LISTA")</f>
        <v>CILINDRO MESTRE DE FREIO</v>
      </c>
    </row>
    <row r="495" customFormat="false" ht="15" hidden="false" customHeight="true" outlineLevel="0" collapsed="false">
      <c r="A495" s="10" t="s">
        <v>1119</v>
      </c>
      <c r="B495" s="10" t="str">
        <f aca="false">IFERROR(VLOOKUP(A495,Pedido!$A:$B,2,0),"")</f>
        <v/>
      </c>
      <c r="C495" s="10" t="str">
        <f aca="false">IF(B495="","NÃO COMPRA","COMPRA")</f>
        <v>NÃO COMPRA</v>
      </c>
      <c r="D495" s="1" t="n">
        <f aca="false">IFERROR(VLOOKUP(A495,Pedido!$A:$C,3,0),0)</f>
        <v>0</v>
      </c>
      <c r="E495" s="5" t="n">
        <f aca="false">IFERROR(VLOOKUP(A495,Pedido!$A:$E,5,0),0)</f>
        <v>0</v>
      </c>
      <c r="F495" s="1" t="s">
        <v>8</v>
      </c>
      <c r="G495" s="1" t="s">
        <v>207</v>
      </c>
      <c r="H495" s="1" t="s">
        <v>197</v>
      </c>
      <c r="I495" s="1" t="s">
        <v>63</v>
      </c>
      <c r="J495" s="1" t="s">
        <v>1120</v>
      </c>
      <c r="K495" s="1" t="n">
        <v>281</v>
      </c>
      <c r="L495" s="11" t="n">
        <v>0.823180165379677</v>
      </c>
      <c r="M495" s="1" t="n">
        <f aca="false">SUMIF(Relatorio_AK!$A:$A,A495,Relatorio_AK!$B:$B)</f>
        <v>281</v>
      </c>
      <c r="N495" s="1" t="str">
        <f aca="false">IF(M495=K495,"OK","DIF")</f>
        <v>OK</v>
      </c>
      <c r="O495" s="13" t="str">
        <f aca="false">IFERROR(VLOOKUP($A495,Lista_Starke!$A:$E,3,0),"NÃO ESTÁ NA LISTA")</f>
        <v>NISSAN: Xtrail 2.0 16V DCi 07/...
RENAULT: Master 2.5 16V Diesel G9U 05/…</v>
      </c>
      <c r="P495" s="12" t="str">
        <f aca="false">IFERROR(VLOOKUP($A495,Lista_Starke!$A:$E,2,0),"NÃO ESTÁ NA LISTA")</f>
        <v>BOMBA D'ÁGUA</v>
      </c>
    </row>
    <row r="496" customFormat="false" ht="15" hidden="false" customHeight="true" outlineLevel="0" collapsed="false">
      <c r="A496" s="10" t="s">
        <v>1121</v>
      </c>
      <c r="B496" s="10" t="str">
        <f aca="false">IFERROR(VLOOKUP(A496,Pedido!$A:$B,2,0),"")</f>
        <v/>
      </c>
      <c r="C496" s="10" t="str">
        <f aca="false">IF(B496="","NÃO COMPRA","COMPRA")</f>
        <v>NÃO COMPRA</v>
      </c>
      <c r="D496" s="1" t="n">
        <f aca="false">IFERROR(VLOOKUP(A496,Pedido!$A:$C,3,0),0)</f>
        <v>0</v>
      </c>
      <c r="E496" s="5" t="n">
        <f aca="false">IFERROR(VLOOKUP(A496,Pedido!$A:$E,5,0),0)</f>
        <v>0</v>
      </c>
      <c r="F496" s="1" t="s">
        <v>8</v>
      </c>
      <c r="G496" s="1" t="s">
        <v>1122</v>
      </c>
      <c r="H496" s="1" t="s">
        <v>126</v>
      </c>
      <c r="I496" s="1" t="s">
        <v>1123</v>
      </c>
      <c r="J496" s="1" t="s">
        <v>1124</v>
      </c>
      <c r="K496" s="1" t="n">
        <v>280</v>
      </c>
      <c r="L496" s="11" t="n">
        <v>0.823658833042428</v>
      </c>
      <c r="M496" s="1" t="n">
        <f aca="false">SUMIF(Relatorio_AK!$A:$A,A496,Relatorio_AK!$B:$B)</f>
        <v>280</v>
      </c>
      <c r="N496" s="1" t="str">
        <f aca="false">IF(M496=K496,"OK","DIF")</f>
        <v>OK</v>
      </c>
      <c r="O496" s="13" t="str">
        <f aca="false">IFERROR(VLOOKUP($A496,Lista_Starke!$A:$E,3,0),"NÃO ESTÁ NA LISTA")</f>
        <v>JAGUAR: F-Pace 2.0 Turbo Gasolina 204PT 16/...
LAND ROVER: Discovery Sport 2.0 Turbo Gasolina 204PT 14/...
LAND ROVER: Evoque 2.0 Turbo Gasolina 204PT 11/...
LAND ROVER: Freelander 2 2.0 Turbo Gasolina 204PT 11/14
LAND ROVER: Freelander 2 3.2 6 cil. B6324S 06/14
VOLVO: S80 AWD 3.2 6 cil B6304T5 07/10
VOLVO: XC60 AWD 3.2 6 cil. B6324S 09/10
VOLVO: XC60 AWD 3.2 6 cil. B6324S5 10/15
VOLVO: XC60 T5 2.0 20V Turbo 5 cil B4204T7 10/17
VOLVO: XC60 T6 AWD 3.0 6 cil B6304T2 08/10
VOLVO: XC60 T6 AWD 3.0 6 cil B6304T4 / B6304T3 14/15
VOLVO: XC60 T6 AWD 3.0 6 cil. B6304T4 10/15
VOLVO: XC70 AWD 3.2 6 cil. B6324S 07/...
VOLVO: XC70 AWD 3.2 6 cil. B6324S5 10/...
VOLVO: XC70 T6 AWD 3.0 6 cil. B6304T2 08/...
VOLVO: XC70 T6 AWD 3.0 6 cil. B6304T4 10/...
VOLVO: XC90 AWD 3.2 6 cil. B6324S 06/10
VOLVO: XC90 AWD 3.2 6 cil. B6324S5 10/12</v>
      </c>
      <c r="P496" s="12" t="str">
        <f aca="false">IFERROR(VLOOKUP($A496,Lista_Starke!$A:$E,2,0),"NÃO ESTÁ NA LISTA")</f>
        <v>RESFRIADOR DE ÓLEO CÂMBIO</v>
      </c>
    </row>
    <row r="497" customFormat="false" ht="15" hidden="false" customHeight="true" outlineLevel="0" collapsed="false">
      <c r="A497" s="10" t="s">
        <v>1125</v>
      </c>
      <c r="B497" s="10" t="str">
        <f aca="false">IFERROR(VLOOKUP(A497,Pedido!$A:$B,2,0),"")</f>
        <v/>
      </c>
      <c r="C497" s="10" t="str">
        <f aca="false">IF(B497="","NÃO COMPRA","COMPRA")</f>
        <v>NÃO COMPRA</v>
      </c>
      <c r="D497" s="1" t="n">
        <f aca="false">IFERROR(VLOOKUP(A497,Pedido!$A:$C,3,0),0)</f>
        <v>0</v>
      </c>
      <c r="E497" s="5" t="n">
        <f aca="false">IFERROR(VLOOKUP(A497,Pedido!$A:$E,5,0),0)</f>
        <v>0</v>
      </c>
      <c r="F497" s="1" t="s">
        <v>8</v>
      </c>
      <c r="G497" s="1" t="s">
        <v>92</v>
      </c>
      <c r="H497" s="1" t="s">
        <v>88</v>
      </c>
      <c r="I497" s="1" t="s">
        <v>57</v>
      </c>
      <c r="J497" s="1" t="s">
        <v>1126</v>
      </c>
      <c r="K497" s="1" t="n">
        <v>280</v>
      </c>
      <c r="L497" s="11" t="n">
        <v>0.824137500705179</v>
      </c>
      <c r="M497" s="1" t="n">
        <f aca="false">SUMIF(Relatorio_AK!$A:$A,A497,Relatorio_AK!$B:$B)</f>
        <v>280</v>
      </c>
      <c r="N497" s="1" t="str">
        <f aca="false">IF(M497=K497,"OK","DIF")</f>
        <v>OK</v>
      </c>
      <c r="O497" s="13" t="str">
        <f aca="false">IFERROR(VLOOKUP($A497,Lista_Starke!$A:$E,3,0),"NÃO ESTÁ NA LISTA")</f>
        <v>GM: Celta 1.0 8V 02/13
GM: Celta 1.4 8V 03/06
GM: Prisma 1.0 8V 09/...
GM: Prisma 1.4 8V 09/...</v>
      </c>
      <c r="P497" s="12" t="str">
        <f aca="false">IFERROR(VLOOKUP($A497,Lista_Starke!$A:$E,2,0),"NÃO ESTÁ NA LISTA")</f>
        <v>CILINDRO DE RODA LE/LD</v>
      </c>
    </row>
    <row r="498" customFormat="false" ht="15" hidden="false" customHeight="true" outlineLevel="0" collapsed="false">
      <c r="A498" s="10" t="s">
        <v>1127</v>
      </c>
      <c r="B498" s="10" t="str">
        <f aca="false">IFERROR(VLOOKUP(A498,Pedido!$A:$B,2,0),"")</f>
        <v/>
      </c>
      <c r="C498" s="10" t="str">
        <f aca="false">IF(B498="","NÃO COMPRA","COMPRA")</f>
        <v>NÃO COMPRA</v>
      </c>
      <c r="D498" s="1" t="n">
        <f aca="false">IFERROR(VLOOKUP(A498,Pedido!$A:$C,3,0),0)</f>
        <v>0</v>
      </c>
      <c r="E498" s="5" t="n">
        <f aca="false">IFERROR(VLOOKUP(A498,Pedido!$A:$E,5,0),0)</f>
        <v>0</v>
      </c>
      <c r="F498" s="1" t="s">
        <v>8</v>
      </c>
      <c r="G498" s="1" t="s">
        <v>193</v>
      </c>
      <c r="H498" s="1" t="s">
        <v>32</v>
      </c>
      <c r="I498" s="1" t="s">
        <v>53</v>
      </c>
      <c r="J498" s="1" t="s">
        <v>1128</v>
      </c>
      <c r="K498" s="1" t="n">
        <v>279</v>
      </c>
      <c r="L498" s="11" t="n">
        <v>0.824614458840564</v>
      </c>
      <c r="M498" s="1" t="n">
        <f aca="false">SUMIF(Relatorio_AK!$A:$A,A498,Relatorio_AK!$B:$B)</f>
        <v>279</v>
      </c>
      <c r="N498" s="1" t="str">
        <f aca="false">IF(M498=K498,"OK","DIF")</f>
        <v>OK</v>
      </c>
      <c r="O498" s="13" t="str">
        <f aca="false">IFERROR(VLOOKUP($A498,Lista_Starke!$A:$E,3,0),"NÃO ESTÁ NA LISTA")</f>
        <v>FORD: Ka 1.0 8V Endura 97/99
FORD: Ka 1.3 8V Endura 97/00</v>
      </c>
      <c r="P498" s="12" t="str">
        <f aca="false">IFERROR(VLOOKUP($A498,Lista_Starke!$A:$E,2,0),"NÃO ESTÁ NA LISTA")</f>
        <v>CILINDRO MESTRE DE EMBREAGEM</v>
      </c>
    </row>
    <row r="499" customFormat="false" ht="15" hidden="false" customHeight="true" outlineLevel="0" collapsed="false">
      <c r="A499" s="10" t="s">
        <v>1129</v>
      </c>
      <c r="B499" s="10" t="str">
        <f aca="false">IFERROR(VLOOKUP(A499,Pedido!$A:$B,2,0),"")</f>
        <v/>
      </c>
      <c r="C499" s="10" t="str">
        <f aca="false">IF(B499="","NÃO COMPRA","COMPRA")</f>
        <v>NÃO COMPRA</v>
      </c>
      <c r="D499" s="1" t="n">
        <f aca="false">IFERROR(VLOOKUP(A499,Pedido!$A:$C,3,0),0)</f>
        <v>0</v>
      </c>
      <c r="E499" s="5" t="n">
        <f aca="false">IFERROR(VLOOKUP(A499,Pedido!$A:$E,5,0),0)</f>
        <v>0</v>
      </c>
      <c r="F499" s="1" t="s">
        <v>8</v>
      </c>
      <c r="G499" s="1" t="s">
        <v>1130</v>
      </c>
      <c r="H499" s="1" t="s">
        <v>1131</v>
      </c>
      <c r="I499" s="1" t="s">
        <v>57</v>
      </c>
      <c r="J499" s="1" t="s">
        <v>1132</v>
      </c>
      <c r="K499" s="1" t="n">
        <v>279</v>
      </c>
      <c r="L499" s="11" t="n">
        <v>0.825091416975948</v>
      </c>
      <c r="M499" s="1" t="n">
        <f aca="false">SUMIF(Relatorio_AK!$A:$A,A499,Relatorio_AK!$B:$B)</f>
        <v>279</v>
      </c>
      <c r="N499" s="1" t="str">
        <f aca="false">IF(M499=K499,"OK","DIF")</f>
        <v>OK</v>
      </c>
      <c r="O499" s="12" t="str">
        <f aca="false">IFERROR(VLOOKUP($A499,Lista_Starke!$A:$E,3,0),"NÃO ESTÁ NA LISTA")</f>
        <v>GM: S10 2.5 Flex 15/...</v>
      </c>
      <c r="P499" s="12" t="str">
        <f aca="false">IFERROR(VLOOKUP($A499,Lista_Starke!$A:$E,2,0),"NÃO ESTÁ NA LISTA")</f>
        <v>BOMBA DE ALTA PRESSÃO GDI</v>
      </c>
    </row>
    <row r="500" customFormat="false" ht="15" hidden="false" customHeight="true" outlineLevel="0" collapsed="false">
      <c r="A500" s="10" t="s">
        <v>1133</v>
      </c>
      <c r="B500" s="10" t="str">
        <f aca="false">IFERROR(VLOOKUP(A500,Pedido!$A:$B,2,0),"")</f>
        <v/>
      </c>
      <c r="C500" s="10" t="str">
        <f aca="false">IF(B500="","NÃO COMPRA","COMPRA")</f>
        <v>NÃO COMPRA</v>
      </c>
      <c r="D500" s="1" t="n">
        <f aca="false">IFERROR(VLOOKUP(A500,Pedido!$A:$C,3,0),0)</f>
        <v>0</v>
      </c>
      <c r="E500" s="5" t="n">
        <f aca="false">IFERROR(VLOOKUP(A500,Pedido!$A:$E,5,0),0)</f>
        <v>0</v>
      </c>
      <c r="F500" s="1" t="s">
        <v>8</v>
      </c>
      <c r="G500" s="1" t="s">
        <v>377</v>
      </c>
      <c r="H500" s="1" t="s">
        <v>197</v>
      </c>
      <c r="I500" s="1" t="s">
        <v>53</v>
      </c>
      <c r="J500" s="1" t="s">
        <v>1134</v>
      </c>
      <c r="K500" s="1" t="n">
        <v>278</v>
      </c>
      <c r="L500" s="11" t="n">
        <v>0.825566665583965</v>
      </c>
      <c r="M500" s="1" t="n">
        <f aca="false">SUMIF(Relatorio_AK!$A:$A,A500,Relatorio_AK!$B:$B)</f>
        <v>278</v>
      </c>
      <c r="N500" s="1" t="str">
        <f aca="false">IF(M500=K500,"OK","DIF")</f>
        <v>OK</v>
      </c>
      <c r="O500" s="13" t="str">
        <f aca="false">IFERROR(VLOOKUP($A500,Lista_Starke!$A:$E,3,0),"NÃO ESTÁ NA LISTA")</f>
        <v>FORD: Ka / Ka Sedan 1.0 12V 3 cil 14/23
FORD: New Fiesta 1.0 12V 3 cil. Ecoboost 16/19</v>
      </c>
      <c r="P500" s="12" t="str">
        <f aca="false">IFERROR(VLOOKUP($A500,Lista_Starke!$A:$E,2,0),"NÃO ESTÁ NA LISTA")</f>
        <v>BOMBA D'ÁGUA</v>
      </c>
    </row>
    <row r="501" customFormat="false" ht="15" hidden="false" customHeight="true" outlineLevel="0" collapsed="false">
      <c r="A501" s="10" t="s">
        <v>1135</v>
      </c>
      <c r="B501" s="10" t="str">
        <f aca="false">IFERROR(VLOOKUP(A501,Pedido!$A:$B,2,0),"")</f>
        <v/>
      </c>
      <c r="C501" s="10" t="str">
        <f aca="false">IF(B501="","NÃO COMPRA","COMPRA")</f>
        <v>NÃO COMPRA</v>
      </c>
      <c r="D501" s="1" t="n">
        <f aca="false">IFERROR(VLOOKUP(A501,Pedido!$A:$C,3,0),0)</f>
        <v>0</v>
      </c>
      <c r="E501" s="5" t="n">
        <f aca="false">IFERROR(VLOOKUP(A501,Pedido!$A:$E,5,0),0)</f>
        <v>0</v>
      </c>
      <c r="F501" s="1" t="s">
        <v>8</v>
      </c>
      <c r="G501" s="1" t="s">
        <v>690</v>
      </c>
      <c r="H501" s="1" t="s">
        <v>131</v>
      </c>
      <c r="I501" s="1" t="s">
        <v>50</v>
      </c>
      <c r="J501" s="1" t="s">
        <v>1136</v>
      </c>
      <c r="K501" s="1" t="n">
        <v>277</v>
      </c>
      <c r="L501" s="11" t="n">
        <v>0.826040204664616</v>
      </c>
      <c r="M501" s="1" t="n">
        <f aca="false">SUMIF(Relatorio_AK!$A:$A,A501,Relatorio_AK!$B:$B)</f>
        <v>277</v>
      </c>
      <c r="N501" s="1" t="str">
        <f aca="false">IF(M501=K501,"OK","DIF")</f>
        <v>OK</v>
      </c>
      <c r="O501" s="13" t="str">
        <f aca="false">IFERROR(VLOOKUP($A501,Lista_Starke!$A:$E,3,0),"NÃO ESTÁ NA LISTA")</f>
        <v>HONDA: Fit 1.4 16V 03/08
HONDA: Fit 1.5 16V 03/08</v>
      </c>
      <c r="P501" s="12" t="str">
        <f aca="false">IFERROR(VLOOKUP($A501,Lista_Starke!$A:$E,2,0),"NÃO ESTÁ NA LISTA")</f>
        <v>SAPATA DE FREIO</v>
      </c>
    </row>
    <row r="502" customFormat="false" ht="15" hidden="false" customHeight="true" outlineLevel="0" collapsed="false">
      <c r="A502" s="10" t="s">
        <v>1137</v>
      </c>
      <c r="B502" s="10" t="str">
        <f aca="false">IFERROR(VLOOKUP(A502,Pedido!$A:$B,2,0),"")</f>
        <v/>
      </c>
      <c r="C502" s="10" t="str">
        <f aca="false">IF(B502="","NÃO COMPRA","COMPRA")</f>
        <v>NÃO COMPRA</v>
      </c>
      <c r="D502" s="1" t="n">
        <f aca="false">IFERROR(VLOOKUP(A502,Pedido!$A:$C,3,0),0)</f>
        <v>0</v>
      </c>
      <c r="E502" s="5" t="n">
        <f aca="false">IFERROR(VLOOKUP(A502,Pedido!$A:$E,5,0),0)</f>
        <v>0</v>
      </c>
      <c r="F502" s="1" t="s">
        <v>8</v>
      </c>
      <c r="G502" s="1" t="s">
        <v>234</v>
      </c>
      <c r="H502" s="1" t="s">
        <v>126</v>
      </c>
      <c r="I502" s="1" t="s">
        <v>63</v>
      </c>
      <c r="J502" s="1" t="s">
        <v>1138</v>
      </c>
      <c r="K502" s="1" t="n">
        <v>277</v>
      </c>
      <c r="L502" s="11" t="n">
        <v>0.826513743745266</v>
      </c>
      <c r="M502" s="1" t="n">
        <f aca="false">SUMIF(Relatorio_AK!$A:$A,A502,Relatorio_AK!$B:$B)</f>
        <v>277</v>
      </c>
      <c r="N502" s="1" t="str">
        <f aca="false">IF(M502=K502,"OK","DIF")</f>
        <v>OK</v>
      </c>
      <c r="O502" s="13" t="str">
        <f aca="false">IFERROR(VLOOKUP($A502,Lista_Starke!$A:$E,3,0),"NÃO ESTÁ NA LISTA")</f>
        <v>NISSAN: Sentra 2.0 16V   MR20DE 07/…
RENAULT: Fluence 2.0 16V   M4R 11/…</v>
      </c>
      <c r="P502" s="12" t="str">
        <f aca="false">IFERROR(VLOOKUP($A502,Lista_Starke!$A:$E,2,0),"NÃO ESTÁ NA LISTA")</f>
        <v>RESFRIADOR DE ÓLEO CÂMBIO</v>
      </c>
    </row>
    <row r="503" customFormat="false" ht="15" hidden="false" customHeight="true" outlineLevel="0" collapsed="false">
      <c r="A503" s="10" t="s">
        <v>1139</v>
      </c>
      <c r="B503" s="10" t="str">
        <f aca="false">IFERROR(VLOOKUP(A503,Pedido!$A:$B,2,0),"")</f>
        <v/>
      </c>
      <c r="C503" s="10" t="str">
        <f aca="false">IF(B503="","NÃO COMPRA","COMPRA")</f>
        <v>NÃO COMPRA</v>
      </c>
      <c r="D503" s="1" t="n">
        <f aca="false">IFERROR(VLOOKUP(A503,Pedido!$A:$C,3,0),0)</f>
        <v>0</v>
      </c>
      <c r="E503" s="5" t="n">
        <f aca="false">IFERROR(VLOOKUP(A503,Pedido!$A:$E,5,0),0)</f>
        <v>0</v>
      </c>
      <c r="F503" s="1" t="s">
        <v>8</v>
      </c>
      <c r="G503" s="1" t="s">
        <v>1140</v>
      </c>
      <c r="H503" s="1" t="s">
        <v>235</v>
      </c>
      <c r="I503" s="1" t="s">
        <v>226</v>
      </c>
      <c r="J503" s="1" t="s">
        <v>1141</v>
      </c>
      <c r="K503" s="1" t="n">
        <v>277</v>
      </c>
      <c r="L503" s="11" t="n">
        <v>0.826987282825916</v>
      </c>
      <c r="M503" s="1" t="n">
        <f aca="false">SUMIF(Relatorio_AK!$A:$A,A503,Relatorio_AK!$B:$B)</f>
        <v>277</v>
      </c>
      <c r="N503" s="1" t="str">
        <f aca="false">IF(M503=K503,"OK","DIF")</f>
        <v>OK</v>
      </c>
      <c r="O503" s="13" t="str">
        <f aca="false">IFERROR(VLOOKUP($A503,Lista_Starke!$A:$E,3,0),"NÃO ESTÁ NA LISTA")</f>
        <v>AUDI: A1 1.4 TFSI 11/19
AUDI: A3 1.4 TFSI 12/19
AUDI: Q3 1.4 TFSI 13/19
VOLKSWAGEN: Crossfox 1.6 MSI 15/19
VOLKSWAGEN: Fox 1.0 MPI 15/18
VOLKSWAGEN: Fox 1.6 MSI 15/19
VOLKSWAGEN: Gol 1.0 MPI 16/22
VOLKSWAGEN: Gol 1.6 MSI 16/22
VOLKSWAGEN: Golf 1.0 TSI 16/18
VOLKSWAGEN: Golf 1.4 TSI 16/18
VOLKSWAGEN: Golf 1.6 MSI 14/16
VOLKSWAGEN: Jetta 1.4 TSI 16/22
VOLKSWAGEN: Nivus 1.0 TSI 20/...
VOLKSWAGEN: Polo 1.0 MPI 17/...
VOLKSWAGEN: Polo 1.0 TSI 17/...
VOLKSWAGEN: Polo 1.6 MSI 17/...
VOLKSWAGEN: Saveiro 1.6 MSI 16/22
VOLKSWAGEN: T-Cross 1.0 TSI 19/...
VOLKSWAGEN: T-Cross 1.4 TSI 19/...
VOLKSWAGEN: Taos 1.4 TSI 22/...
VOLKSWAGEN: Tiguan 1.4 TSI 15/22
VOLKSWAGEN: Up 1.0 MPI 14/20
VOLKSWAGEN: Up 1.0 TSI 14/21
VOLKSWAGEN: Virtus 1.0 TSI 18/...
VOLKSWAGEN: Virtus 1.4 TSI 18/...
VOLKSWAGEN: Virtus 1.6 MSI 18/...
VOLKSWAGEN: Voyage 1.0 MPI 16/18
VOLKSWAGEN: Voyage 1.6 MSI 16/22</v>
      </c>
      <c r="P503" s="12" t="str">
        <f aca="false">IFERROR(VLOOKUP($A503,Lista_Starke!$A:$E,2,0),"NÃO ESTÁ NA LISTA")</f>
        <v>RESFRIADOR DE ÓLEO MOTOR</v>
      </c>
    </row>
    <row r="504" customFormat="false" ht="15" hidden="false" customHeight="true" outlineLevel="0" collapsed="false">
      <c r="A504" s="10" t="s">
        <v>1142</v>
      </c>
      <c r="B504" s="10" t="str">
        <f aca="false">IFERROR(VLOOKUP(A504,Pedido!$A:$B,2,0),"")</f>
        <v/>
      </c>
      <c r="C504" s="10" t="str">
        <f aca="false">IF(B504="","NÃO COMPRA","COMPRA")</f>
        <v>NÃO COMPRA</v>
      </c>
      <c r="D504" s="1" t="n">
        <f aca="false">IFERROR(VLOOKUP(A504,Pedido!$A:$C,3,0),0)</f>
        <v>0</v>
      </c>
      <c r="E504" s="5" t="n">
        <f aca="false">IFERROR(VLOOKUP(A504,Pedido!$A:$E,5,0),0)</f>
        <v>0</v>
      </c>
      <c r="F504" s="1" t="s">
        <v>8</v>
      </c>
      <c r="G504" s="1" t="s">
        <v>1143</v>
      </c>
      <c r="H504" s="1" t="s">
        <v>197</v>
      </c>
      <c r="I504" s="1" t="s">
        <v>29</v>
      </c>
      <c r="J504" s="1" t="s">
        <v>1144</v>
      </c>
      <c r="K504" s="1" t="n">
        <v>275</v>
      </c>
      <c r="L504" s="11" t="n">
        <v>0.827457402851833</v>
      </c>
      <c r="M504" s="1" t="n">
        <f aca="false">SUMIF(Relatorio_AK!$A:$A,A504,Relatorio_AK!$B:$B)</f>
        <v>275</v>
      </c>
      <c r="N504" s="1" t="str">
        <f aca="false">IF(M504=K504,"OK","DIF")</f>
        <v>OK</v>
      </c>
      <c r="O504" s="13" t="str">
        <f aca="false">IFERROR(VLOOKUP($A504,Lista_Starke!$A:$E,3,0),"NÃO ESTÁ NA LISTA")</f>
        <v>HYUNDAI: Creta 1.0 12V 3 cil TGDI 21/...
HYUNDAI: HB20 1.0 12V 3 cil TDGI 21/...</v>
      </c>
      <c r="P504" s="12" t="str">
        <f aca="false">IFERROR(VLOOKUP($A504,Lista_Starke!$A:$E,2,0),"NÃO ESTÁ NA LISTA")</f>
        <v>BOMBA D'ÁGUA</v>
      </c>
    </row>
    <row r="505" customFormat="false" ht="15" hidden="false" customHeight="true" outlineLevel="0" collapsed="false">
      <c r="A505" s="10" t="s">
        <v>1145</v>
      </c>
      <c r="B505" s="10" t="str">
        <f aca="false">IFERROR(VLOOKUP(A505,Pedido!$A:$B,2,0),"")</f>
        <v/>
      </c>
      <c r="C505" s="10" t="str">
        <f aca="false">IF(B505="","NÃO COMPRA","COMPRA")</f>
        <v>NÃO COMPRA</v>
      </c>
      <c r="D505" s="1" t="n">
        <f aca="false">IFERROR(VLOOKUP(A505,Pedido!$A:$C,3,0),0)</f>
        <v>0</v>
      </c>
      <c r="E505" s="5" t="n">
        <f aca="false">IFERROR(VLOOKUP(A505,Pedido!$A:$E,5,0),0)</f>
        <v>0</v>
      </c>
      <c r="F505" s="1" t="s">
        <v>8</v>
      </c>
      <c r="G505" s="1" t="s">
        <v>1146</v>
      </c>
      <c r="H505" s="1" t="s">
        <v>88</v>
      </c>
      <c r="I505" s="1" t="s">
        <v>50</v>
      </c>
      <c r="J505" s="1" t="s">
        <v>1147</v>
      </c>
      <c r="K505" s="1" t="n">
        <v>274</v>
      </c>
      <c r="L505" s="11" t="n">
        <v>0.827925813350382</v>
      </c>
      <c r="M505" s="1" t="n">
        <f aca="false">SUMIF(Relatorio_AK!$A:$A,A505,Relatorio_AK!$B:$B)</f>
        <v>274</v>
      </c>
      <c r="N505" s="1" t="str">
        <f aca="false">IF(M505=K505,"OK","DIF")</f>
        <v>OK</v>
      </c>
      <c r="O505" s="12" t="str">
        <f aca="false">IFERROR(VLOOKUP($A505,Lista_Starke!$A:$E,3,0),"NÃO ESTÁ NA LISTA")</f>
        <v>HONDA: Civic 1.7 16V 01/06</v>
      </c>
      <c r="P505" s="12" t="str">
        <f aca="false">IFERROR(VLOOKUP($A505,Lista_Starke!$A:$E,2,0),"NÃO ESTÁ NA LISTA")</f>
        <v>CILINDRO DE RODA LE</v>
      </c>
    </row>
    <row r="506" customFormat="false" ht="15" hidden="false" customHeight="true" outlineLevel="0" collapsed="false">
      <c r="A506" s="10" t="s">
        <v>1148</v>
      </c>
      <c r="B506" s="10" t="str">
        <f aca="false">IFERROR(VLOOKUP(A506,Pedido!$A:$B,2,0),"")</f>
        <v/>
      </c>
      <c r="C506" s="10" t="str">
        <f aca="false">IF(B506="","NÃO COMPRA","COMPRA")</f>
        <v>NÃO COMPRA</v>
      </c>
      <c r="D506" s="1" t="n">
        <f aca="false">IFERROR(VLOOKUP(A506,Pedido!$A:$C,3,0),0)</f>
        <v>0</v>
      </c>
      <c r="E506" s="5" t="n">
        <f aca="false">IFERROR(VLOOKUP(A506,Pedido!$A:$E,5,0),0)</f>
        <v>0</v>
      </c>
      <c r="F506" s="1" t="s">
        <v>8</v>
      </c>
      <c r="G506" s="1" t="s">
        <v>52</v>
      </c>
      <c r="H506" s="1" t="s">
        <v>35</v>
      </c>
      <c r="I506" s="1" t="s">
        <v>53</v>
      </c>
      <c r="J506" s="1" t="s">
        <v>1149</v>
      </c>
      <c r="K506" s="1" t="n">
        <v>274</v>
      </c>
      <c r="L506" s="11" t="n">
        <v>0.828394223848932</v>
      </c>
      <c r="M506" s="1" t="n">
        <f aca="false">SUMIF(Relatorio_AK!$A:$A,A506,Relatorio_AK!$B:$B)</f>
        <v>274</v>
      </c>
      <c r="N506" s="1" t="str">
        <f aca="false">IF(M506=K506,"OK","DIF")</f>
        <v>OK</v>
      </c>
      <c r="O506" s="12" t="str">
        <f aca="false">IFERROR(VLOOKUP($A506,Lista_Starke!$A:$E,3,0),"NÃO ESTÁ NA LISTA")</f>
        <v>FORD: Ka 1.6 01/07</v>
      </c>
      <c r="P506" s="12" t="str">
        <f aca="false">IFERROR(VLOOKUP($A506,Lista_Starke!$A:$E,2,0),"NÃO ESTÁ NA LISTA")</f>
        <v>CILINDRO MESTRE DE FREIO</v>
      </c>
    </row>
    <row r="507" customFormat="false" ht="15" hidden="false" customHeight="true" outlineLevel="0" collapsed="false">
      <c r="A507" s="10" t="s">
        <v>1150</v>
      </c>
      <c r="B507" s="10" t="str">
        <f aca="false">IFERROR(VLOOKUP(A507,Pedido!$A:$B,2,0),"")</f>
        <v/>
      </c>
      <c r="C507" s="10" t="str">
        <f aca="false">IF(B507="","NÃO COMPRA","COMPRA")</f>
        <v>NÃO COMPRA</v>
      </c>
      <c r="D507" s="1" t="n">
        <f aca="false">IFERROR(VLOOKUP(A507,Pedido!$A:$C,3,0),0)</f>
        <v>0</v>
      </c>
      <c r="E507" s="5" t="n">
        <f aca="false">IFERROR(VLOOKUP(A507,Pedido!$A:$E,5,0),0)</f>
        <v>0</v>
      </c>
      <c r="F507" s="1" t="s">
        <v>8</v>
      </c>
      <c r="G507" s="1" t="s">
        <v>1151</v>
      </c>
      <c r="H507" s="1" t="s">
        <v>88</v>
      </c>
      <c r="I507" s="1" t="s">
        <v>50</v>
      </c>
      <c r="J507" s="1" t="s">
        <v>1152</v>
      </c>
      <c r="K507" s="1" t="n">
        <v>272</v>
      </c>
      <c r="L507" s="11" t="n">
        <v>0.828859215292747</v>
      </c>
      <c r="M507" s="1" t="n">
        <f aca="false">SUMIF(Relatorio_AK!$A:$A,A507,Relatorio_AK!$B:$B)</f>
        <v>272</v>
      </c>
      <c r="N507" s="1" t="str">
        <f aca="false">IF(M507=K507,"OK","DIF")</f>
        <v>OK</v>
      </c>
      <c r="O507" s="12" t="str">
        <f aca="false">IFERROR(VLOOKUP($A507,Lista_Starke!$A:$E,3,0),"NÃO ESTÁ NA LISTA")</f>
        <v>HONDA: Civic 1.7 16V 01/06</v>
      </c>
      <c r="P507" s="12" t="str">
        <f aca="false">IFERROR(VLOOKUP($A507,Lista_Starke!$A:$E,2,0),"NÃO ESTÁ NA LISTA")</f>
        <v>CILINDRO DE RODA LD</v>
      </c>
    </row>
    <row r="508" customFormat="false" ht="15" hidden="false" customHeight="true" outlineLevel="0" collapsed="false">
      <c r="A508" s="10" t="s">
        <v>1153</v>
      </c>
      <c r="B508" s="10" t="str">
        <f aca="false">IFERROR(VLOOKUP(A508,Pedido!$A:$B,2,0),"")</f>
        <v/>
      </c>
      <c r="C508" s="10" t="str">
        <f aca="false">IF(B508="","NÃO COMPRA","COMPRA")</f>
        <v>NÃO COMPRA</v>
      </c>
      <c r="D508" s="1" t="n">
        <f aca="false">IFERROR(VLOOKUP(A508,Pedido!$A:$C,3,0),0)</f>
        <v>0</v>
      </c>
      <c r="E508" s="5" t="n">
        <f aca="false">IFERROR(VLOOKUP(A508,Pedido!$A:$E,5,0),0)</f>
        <v>0</v>
      </c>
      <c r="F508" s="1" t="s">
        <v>8</v>
      </c>
      <c r="G508" s="1" t="s">
        <v>440</v>
      </c>
      <c r="H508" s="1" t="s">
        <v>131</v>
      </c>
      <c r="I508" s="1" t="s">
        <v>281</v>
      </c>
      <c r="J508" s="1" t="s">
        <v>1154</v>
      </c>
      <c r="K508" s="1" t="n">
        <v>272</v>
      </c>
      <c r="L508" s="11" t="n">
        <v>0.829324206736563</v>
      </c>
      <c r="M508" s="1" t="n">
        <f aca="false">SUMIF(Relatorio_AK!$A:$A,A508,Relatorio_AK!$B:$B)</f>
        <v>272</v>
      </c>
      <c r="N508" s="1" t="str">
        <f aca="false">IF(M508=K508,"OK","DIF")</f>
        <v>OK</v>
      </c>
      <c r="O508" s="13" t="str">
        <f aca="false">IFERROR(VLOOKUP($A508,Lista_Starke!$A:$E,3,0),"NÃO ESTÁ NA LISTA")</f>
        <v>CITROEN: C3 1.4 8V 03/12
CITROEN: C3 1.6 16V 05/15
CITROEN: C3 Picasso 1.6 16V 11/12</v>
      </c>
      <c r="P508" s="12" t="str">
        <f aca="false">IFERROR(VLOOKUP($A508,Lista_Starke!$A:$E,2,0),"NÃO ESTÁ NA LISTA")</f>
        <v>SAPATA DE FREIO</v>
      </c>
    </row>
    <row r="509" customFormat="false" ht="15" hidden="false" customHeight="true" outlineLevel="0" collapsed="false">
      <c r="A509" s="10" t="s">
        <v>1155</v>
      </c>
      <c r="B509" s="10" t="str">
        <f aca="false">IFERROR(VLOOKUP(A509,Pedido!$A:$B,2,0),"")</f>
        <v/>
      </c>
      <c r="C509" s="10" t="str">
        <f aca="false">IF(B509="","NÃO COMPRA","COMPRA")</f>
        <v>NÃO COMPRA</v>
      </c>
      <c r="D509" s="1" t="n">
        <f aca="false">IFERROR(VLOOKUP(A509,Pedido!$A:$C,3,0),0)</f>
        <v>0</v>
      </c>
      <c r="E509" s="5" t="n">
        <f aca="false">IFERROR(VLOOKUP(A509,Pedido!$A:$E,5,0),0)</f>
        <v>0</v>
      </c>
      <c r="F509" s="1" t="s">
        <v>8</v>
      </c>
      <c r="G509" s="1" t="s">
        <v>147</v>
      </c>
      <c r="H509" s="1" t="s">
        <v>96</v>
      </c>
      <c r="I509" s="1" t="s">
        <v>57</v>
      </c>
      <c r="K509" s="1" t="n">
        <v>271</v>
      </c>
      <c r="L509" s="11" t="n">
        <v>0.829787488653011</v>
      </c>
      <c r="M509" s="1" t="n">
        <f aca="false">SUMIF(Relatorio_AK!$A:$A,A509,Relatorio_AK!$B:$B)</f>
        <v>271</v>
      </c>
      <c r="N509" s="1" t="str">
        <f aca="false">IF(M509=K509,"OK","DIF")</f>
        <v>OK</v>
      </c>
      <c r="O509" s="13" t="str">
        <f aca="false">IFERROR(VLOOKUP($A509,Lista_Starke!$A:$E,3,0),"NÃO ESTÁ NA LISTA")</f>
        <v>GM: Cruze 1.4 16V Turbo 16/...
GM: Equinox 1.5 Turbo 20/23
GM: Tracker 1.4 16V Turbo 17/20</v>
      </c>
      <c r="P509" s="12" t="str">
        <f aca="false">IFERROR(VLOOKUP($A509,Lista_Starke!$A:$E,2,0),"NÃO ESTÁ NA LISTA")</f>
        <v>BOMBA DE VÁCUO</v>
      </c>
    </row>
    <row r="510" customFormat="false" ht="15" hidden="false" customHeight="true" outlineLevel="0" collapsed="false">
      <c r="A510" s="10" t="s">
        <v>1156</v>
      </c>
      <c r="B510" s="10" t="str">
        <f aca="false">IFERROR(VLOOKUP(A510,Pedido!$A:$B,2,0),"")</f>
        <v/>
      </c>
      <c r="C510" s="10" t="str">
        <f aca="false">IF(B510="","NÃO COMPRA","COMPRA")</f>
        <v>NÃO COMPRA</v>
      </c>
      <c r="D510" s="1" t="n">
        <f aca="false">IFERROR(VLOOKUP(A510,Pedido!$A:$C,3,0),0)</f>
        <v>0</v>
      </c>
      <c r="E510" s="5" t="n">
        <f aca="false">IFERROR(VLOOKUP(A510,Pedido!$A:$E,5,0),0)</f>
        <v>0</v>
      </c>
      <c r="F510" s="1" t="s">
        <v>8</v>
      </c>
      <c r="G510" s="1" t="s">
        <v>826</v>
      </c>
      <c r="H510" s="1" t="s">
        <v>790</v>
      </c>
      <c r="I510" s="1" t="s">
        <v>1157</v>
      </c>
      <c r="K510" s="1" t="n">
        <v>270</v>
      </c>
      <c r="L510" s="11" t="n">
        <v>0.830249061042093</v>
      </c>
      <c r="M510" s="1" t="n">
        <f aca="false">SUMIF(Relatorio_AK!$A:$A,A510,Relatorio_AK!$B:$B)</f>
        <v>270</v>
      </c>
      <c r="N510" s="1" t="str">
        <f aca="false">IF(M510=K510,"OK","DIF")</f>
        <v>OK</v>
      </c>
      <c r="O510" s="13" t="str">
        <f aca="false">IFERROR(VLOOKUP($A510,Lista_Starke!$A:$E,3,0),"NÃO ESTÁ NA LISTA")</f>
        <v>BMW: 125 (F21) 2.0 16V N20B20A 13/...
BMW: 125i (F20) 2.0 16V N20B20A 12/17
BMW: 125i (F21) 2.0 16V N20B20A 11/19
BMW: 220i (F22) 2.0 16V N20B20A / N20B20B 13/21
BMW: 228i (F22) 2.0 16V N20B20A / N26B20B 14/16
BMW: 320i (F30/F80) 2.0 16V N20B20A / N20B20B / N20B20D 12/18
BMW: 420i (F32/F82) 2.0 16V N20B20A / N20B20B 13/17
BMW: 520i (F10) 2.0 16V N20B20A / N20B20B 11/16
BMW: X1 (E84) sDrive 16i 1.6 16V N20B16A 13/15
BMW: X1 (E84) sDrive 20i 2.0 16V N20B20A 11/15
BMW: X1 (E84) xDrive 20i 2.0 16V N20B20A 11/15
BMW: X3 (F25) sDrive 20i 1.6 16V N20B16A 14/17
BMW: X3 (F25) xDrive 20i 2.0 16V N20B20A 11/17
BMW: X3 (F25) xDrive 20i 2.0 16V N20B20A 14/17
BMW: X4 (F26) xDrive 20i 2.0 16V N20B20A 14/18
BMW: Z4 (E89) sDrive 18i 2.0 16V N20B20A 13/16
BMW: Z4 (E89) sDrive 20i 2.0 16V N20B20A 11/16</v>
      </c>
      <c r="P510" s="12" t="str">
        <f aca="false">IFERROR(VLOOKUP($A510,Lista_Starke!$A:$E,2,0),"NÃO ESTÁ NA LISTA")</f>
        <v>BOMBA D'ÁGUA ELÉTRICA</v>
      </c>
    </row>
    <row r="511" customFormat="false" ht="15" hidden="false" customHeight="true" outlineLevel="0" collapsed="false">
      <c r="A511" s="10" t="s">
        <v>1158</v>
      </c>
      <c r="B511" s="10" t="str">
        <f aca="false">IFERROR(VLOOKUP(A511,Pedido!$A:$B,2,0),"")</f>
        <v/>
      </c>
      <c r="C511" s="10" t="str">
        <f aca="false">IF(B511="","NÃO COMPRA","COMPRA")</f>
        <v>NÃO COMPRA</v>
      </c>
      <c r="D511" s="1" t="n">
        <f aca="false">IFERROR(VLOOKUP(A511,Pedido!$A:$C,3,0),0)</f>
        <v>0</v>
      </c>
      <c r="E511" s="5" t="n">
        <f aca="false">IFERROR(VLOOKUP(A511,Pedido!$A:$E,5,0),0)</f>
        <v>0</v>
      </c>
      <c r="F511" s="1" t="s">
        <v>8</v>
      </c>
      <c r="G511" s="1" t="s">
        <v>901</v>
      </c>
      <c r="H511" s="1" t="s">
        <v>845</v>
      </c>
      <c r="I511" s="1" t="s">
        <v>373</v>
      </c>
      <c r="J511" s="1" t="s">
        <v>1159</v>
      </c>
      <c r="K511" s="1" t="n">
        <v>269</v>
      </c>
      <c r="L511" s="11" t="n">
        <v>0.830708923903808</v>
      </c>
      <c r="M511" s="1" t="n">
        <f aca="false">SUMIF(Relatorio_AK!$A:$A,A511,Relatorio_AK!$B:$B)</f>
        <v>269</v>
      </c>
      <c r="N511" s="1" t="str">
        <f aca="false">IF(M511=K511,"OK","DIF")</f>
        <v>OK</v>
      </c>
      <c r="O511" s="13" t="str">
        <f aca="false">IFERROR(VLOOKUP($A511,Lista_Starke!$A:$E,3,0),"NÃO ESTÁ NA LISTA")</f>
        <v>MERCEDES-BENZ: Sprinter 311 CDI  11/18
MERCEDES-BENZ: Sprinter 313 CDI  06/16
MERCEDES-BENZ: Sprinter 314 CDI  18/...
MERCEDES-BENZ: Sprinter 315 CDI  20/...
MERCEDES-BENZ: Sprinter 415 CDI  06/20
MERCEDES-BENZ: Sprinter 417 CDI  20/...
MERCEDES-BENZ: Sprinter 515 CDI  06/20
MERCEDES-BENZ: Sprinter 516 CDI  18/...
MERCEDES-BENZ: Sprinter 517 CDI  23/...</v>
      </c>
      <c r="P511" s="12" t="str">
        <f aca="false">IFERROR(VLOOKUP($A511,Lista_Starke!$A:$E,2,0),"NÃO ESTÁ NA LISTA")</f>
        <v>SAPATA DE FREIO DE MÃO</v>
      </c>
    </row>
    <row r="512" customFormat="false" ht="15" hidden="false" customHeight="true" outlineLevel="0" collapsed="false">
      <c r="A512" s="10" t="s">
        <v>1160</v>
      </c>
      <c r="B512" s="10" t="str">
        <f aca="false">IFERROR(VLOOKUP(A512,Pedido!$A:$B,2,0),"")</f>
        <v/>
      </c>
      <c r="C512" s="10" t="str">
        <f aca="false">IF(B512="","NÃO COMPRA","COMPRA")</f>
        <v>NÃO COMPRA</v>
      </c>
      <c r="D512" s="1" t="n">
        <f aca="false">IFERROR(VLOOKUP(A512,Pedido!$A:$C,3,0),0)</f>
        <v>0</v>
      </c>
      <c r="E512" s="5" t="n">
        <f aca="false">IFERROR(VLOOKUP(A512,Pedido!$A:$E,5,0),0)</f>
        <v>0</v>
      </c>
      <c r="F512" s="1" t="s">
        <v>8</v>
      </c>
      <c r="G512" s="1" t="s">
        <v>1161</v>
      </c>
      <c r="H512" s="1" t="s">
        <v>235</v>
      </c>
      <c r="I512" s="1" t="s">
        <v>29</v>
      </c>
      <c r="J512" s="1" t="s">
        <v>1162</v>
      </c>
      <c r="K512" s="1" t="n">
        <v>269</v>
      </c>
      <c r="L512" s="11" t="n">
        <v>0.831168786765522</v>
      </c>
      <c r="M512" s="1" t="n">
        <f aca="false">SUMIF(Relatorio_AK!$A:$A,A512,Relatorio_AK!$B:$B)</f>
        <v>269</v>
      </c>
      <c r="N512" s="1" t="str">
        <f aca="false">IF(M512=K512,"OK","DIF")</f>
        <v>OK</v>
      </c>
      <c r="O512" s="12" t="str">
        <f aca="false">IFERROR(VLOOKUP($A512,Lista_Starke!$A:$E,3,0),"NÃO ESTÁ NA LISTA")</f>
        <v>HYUNDAI: HB20 1.0 12V Turbo 20/...</v>
      </c>
      <c r="P512" s="12" t="str">
        <f aca="false">IFERROR(VLOOKUP($A512,Lista_Starke!$A:$E,2,0),"NÃO ESTÁ NA LISTA")</f>
        <v>RESFRIADOR DE ÓLEO MOTOR</v>
      </c>
    </row>
    <row r="513" customFormat="false" ht="15" hidden="false" customHeight="true" outlineLevel="0" collapsed="false">
      <c r="A513" s="10" t="s">
        <v>1163</v>
      </c>
      <c r="B513" s="10" t="str">
        <f aca="false">IFERROR(VLOOKUP(A513,Pedido!$A:$B,2,0),"")</f>
        <v/>
      </c>
      <c r="C513" s="10" t="str">
        <f aca="false">IF(B513="","NÃO COMPRA","COMPRA")</f>
        <v>NÃO COMPRA</v>
      </c>
      <c r="D513" s="1" t="n">
        <f aca="false">IFERROR(VLOOKUP(A513,Pedido!$A:$C,3,0),0)</f>
        <v>0</v>
      </c>
      <c r="E513" s="5" t="n">
        <f aca="false">IFERROR(VLOOKUP(A513,Pedido!$A:$E,5,0),0)</f>
        <v>0</v>
      </c>
      <c r="F513" s="1" t="s">
        <v>8</v>
      </c>
      <c r="G513" s="1" t="s">
        <v>277</v>
      </c>
      <c r="H513" s="1" t="s">
        <v>131</v>
      </c>
      <c r="I513" s="1" t="s">
        <v>53</v>
      </c>
      <c r="J513" s="1" t="s">
        <v>1164</v>
      </c>
      <c r="K513" s="1" t="n">
        <v>266</v>
      </c>
      <c r="L513" s="11" t="n">
        <v>0.831623521045136</v>
      </c>
      <c r="M513" s="1" t="n">
        <f aca="false">SUMIF(Relatorio_AK!$A:$A,A513,Relatorio_AK!$B:$B)</f>
        <v>266</v>
      </c>
      <c r="N513" s="1" t="str">
        <f aca="false">IF(M513=K513,"OK","DIF")</f>
        <v>OK</v>
      </c>
      <c r="O513" s="13" t="str">
        <f aca="false">IFERROR(VLOOKUP($A513,Lista_Starke!$A:$E,3,0),"NÃO ESTÁ NA LISTA")</f>
        <v>FORD: Ecosport 1.6 16V 12/...
FORD: Ecosport 2.0 16V 12/...</v>
      </c>
      <c r="P513" s="12" t="str">
        <f aca="false">IFERROR(VLOOKUP($A513,Lista_Starke!$A:$E,2,0),"NÃO ESTÁ NA LISTA")</f>
        <v>SAPATA DE FREIO</v>
      </c>
    </row>
    <row r="514" customFormat="false" ht="15" hidden="false" customHeight="true" outlineLevel="0" collapsed="false">
      <c r="A514" s="10" t="s">
        <v>1165</v>
      </c>
      <c r="B514" s="10" t="str">
        <f aca="false">IFERROR(VLOOKUP(A514,Pedido!$A:$B,2,0),"")</f>
        <v/>
      </c>
      <c r="C514" s="10" t="str">
        <f aca="false">IF(B514="","NÃO COMPRA","COMPRA")</f>
        <v>NÃO COMPRA</v>
      </c>
      <c r="D514" s="1" t="n">
        <f aca="false">IFERROR(VLOOKUP(A514,Pedido!$A:$C,3,0),0)</f>
        <v>0</v>
      </c>
      <c r="E514" s="5" t="n">
        <f aca="false">IFERROR(VLOOKUP(A514,Pedido!$A:$E,5,0),0)</f>
        <v>0</v>
      </c>
      <c r="F514" s="1" t="s">
        <v>8</v>
      </c>
      <c r="G514" s="1" t="s">
        <v>687</v>
      </c>
      <c r="H514" s="1" t="s">
        <v>32</v>
      </c>
      <c r="I514" s="1" t="s">
        <v>373</v>
      </c>
      <c r="J514" s="1" t="s">
        <v>1166</v>
      </c>
      <c r="K514" s="1" t="n">
        <v>266</v>
      </c>
      <c r="L514" s="11" t="n">
        <v>0.83207825532475</v>
      </c>
      <c r="M514" s="1" t="n">
        <f aca="false">SUMIF(Relatorio_AK!$A:$A,A514,Relatorio_AK!$B:$B)</f>
        <v>266</v>
      </c>
      <c r="N514" s="1" t="str">
        <f aca="false">IF(M514=K514,"OK","DIF")</f>
        <v>OK</v>
      </c>
      <c r="O514" s="12" t="str">
        <f aca="false">IFERROR(VLOOKUP($A514,Lista_Starke!$A:$E,3,0),"NÃO ESTÁ NA LISTA")</f>
        <v>MERCEDES-BENZ: Sprinter 311 / 415 / 515  12/...</v>
      </c>
      <c r="P514" s="12" t="str">
        <f aca="false">IFERROR(VLOOKUP($A514,Lista_Starke!$A:$E,2,0),"NÃO ESTÁ NA LISTA")</f>
        <v>CILINDRO MESTRE DE EMBREAGEM</v>
      </c>
    </row>
    <row r="515" customFormat="false" ht="15" hidden="false" customHeight="true" outlineLevel="0" collapsed="false">
      <c r="A515" s="10" t="s">
        <v>1167</v>
      </c>
      <c r="B515" s="10" t="str">
        <f aca="false">IFERROR(VLOOKUP(A515,Pedido!$A:$B,2,0),"")</f>
        <v/>
      </c>
      <c r="C515" s="10" t="str">
        <f aca="false">IF(B515="","NÃO COMPRA","COMPRA")</f>
        <v>NÃO COMPRA</v>
      </c>
      <c r="D515" s="1" t="n">
        <f aca="false">IFERROR(VLOOKUP(A515,Pedido!$A:$C,3,0),0)</f>
        <v>0</v>
      </c>
      <c r="E515" s="5" t="n">
        <f aca="false">IFERROR(VLOOKUP(A515,Pedido!$A:$E,5,0),0)</f>
        <v>0</v>
      </c>
      <c r="F515" s="1" t="s">
        <v>8</v>
      </c>
      <c r="G515" s="1" t="s">
        <v>130</v>
      </c>
      <c r="H515" s="1" t="s">
        <v>131</v>
      </c>
      <c r="I515" s="1" t="s">
        <v>46</v>
      </c>
      <c r="J515" s="1" t="s">
        <v>1168</v>
      </c>
      <c r="K515" s="1" t="n">
        <v>266</v>
      </c>
      <c r="L515" s="11" t="n">
        <v>0.832532989604364</v>
      </c>
      <c r="M515" s="1" t="n">
        <f aca="false">SUMIF(Relatorio_AK!$A:$A,A515,Relatorio_AK!$B:$B)</f>
        <v>266</v>
      </c>
      <c r="N515" s="1" t="str">
        <f aca="false">IF(M515=K515,"OK","DIF")</f>
        <v>OK</v>
      </c>
      <c r="O515" s="13" t="str">
        <f aca="false">IFERROR(VLOOKUP($A515,Lista_Starke!$A:$E,3,0),"NÃO ESTÁ NA LISTA")</f>
        <v>FIAT: Mobi 1.0 6V 3 cil. 16/21
FIAT: Mobi 1.0 8V 16/23
FIAT: Mobi Drive GSR 1.0 6V 3 cil. 16/20
FIAT: Palio 1.0 8V 00/11
FIAT: Palio 1.0 8V 12/17
FIAT: Palio 1.0 8V 14/18
FIAT: Palio 1.0 8V 96/01
FIAT: Palio 1.3 8V 00/05
FIAT: Palio 1.4 8V 05/11
FIAT: Palio 1.5 8V 96/00
FIAT: Palio 1.6 16V 96/03
FIAT: Palio 1.6 16V Etorq 12/19
FIAT: Palio 1.6 8V 97/01
FIAT: Palio 1.8 8V 07/10
FIAT: Siena 1.0 16V 00/03
FIAT: Siena 1.0 8V 02/16
FIAT: Siena 1.0 8V 98/00
FIAT: Siena 1.3 16V 00/03
FIAT: Siena 1.3 8V 03/05
FIAT: Siena 1.4 8V 05/12
FIAT: Siena 1.5 8V 02/04
FIAT: Siena 1.6 16V 10/12
FIAT: Siena 1.6 16V 97/04
FIAT: Siena 1.6 8V 99/00
FIAT: Siena 1.8 8V 03/04
FIAT: Uno 1.0 8V 09/13
FIAT: Uno Way 1.0 6V 3 cil. 16/21
FIAT: Uno Way 1.0 8V 09/16</v>
      </c>
      <c r="P515" s="12" t="str">
        <f aca="false">IFERROR(VLOOKUP($A515,Lista_Starke!$A:$E,2,0),"NÃO ESTÁ NA LISTA")</f>
        <v>SAPATA DE FREIO</v>
      </c>
    </row>
    <row r="516" customFormat="false" ht="15" hidden="false" customHeight="true" outlineLevel="0" collapsed="false">
      <c r="A516" s="10" t="s">
        <v>1169</v>
      </c>
      <c r="B516" s="10" t="str">
        <f aca="false">IFERROR(VLOOKUP(A516,Pedido!$A:$B,2,0),"")</f>
        <v/>
      </c>
      <c r="C516" s="10" t="str">
        <f aca="false">IF(B516="","NÃO COMPRA","COMPRA")</f>
        <v>NÃO COMPRA</v>
      </c>
      <c r="D516" s="1" t="n">
        <f aca="false">IFERROR(VLOOKUP(A516,Pedido!$A:$C,3,0),0)</f>
        <v>0</v>
      </c>
      <c r="E516" s="5" t="n">
        <f aca="false">IFERROR(VLOOKUP(A516,Pedido!$A:$E,5,0),0)</f>
        <v>0</v>
      </c>
      <c r="F516" s="1" t="s">
        <v>8</v>
      </c>
      <c r="G516" s="1" t="s">
        <v>52</v>
      </c>
      <c r="H516" s="1" t="s">
        <v>35</v>
      </c>
      <c r="I516" s="1" t="s">
        <v>53</v>
      </c>
      <c r="K516" s="1" t="n">
        <v>265</v>
      </c>
      <c r="L516" s="11" t="n">
        <v>0.83298601435661</v>
      </c>
      <c r="M516" s="1" t="n">
        <f aca="false">SUMIF(Relatorio_AK!$A:$A,A516,Relatorio_AK!$B:$B)</f>
        <v>265</v>
      </c>
      <c r="N516" s="1" t="str">
        <f aca="false">IF(M516=K516,"OK","DIF")</f>
        <v>OK</v>
      </c>
      <c r="O516" s="12" t="str">
        <f aca="false">IFERROR(VLOOKUP($A516,Lista_Starke!$A:$E,3,0),"NÃO ESTÁ NA LISTA")</f>
        <v>FORD: Edge 3.5 V6 07/14</v>
      </c>
      <c r="P516" s="12" t="str">
        <f aca="false">IFERROR(VLOOKUP($A516,Lista_Starke!$A:$E,2,0),"NÃO ESTÁ NA LISTA")</f>
        <v>CILINDRO MESTRE DE FREIO</v>
      </c>
    </row>
    <row r="517" customFormat="false" ht="15" hidden="false" customHeight="true" outlineLevel="0" collapsed="false">
      <c r="A517" s="10" t="s">
        <v>1170</v>
      </c>
      <c r="B517" s="10" t="str">
        <f aca="false">IFERROR(VLOOKUP(A517,Pedido!$A:$B,2,0),"")</f>
        <v/>
      </c>
      <c r="C517" s="10" t="str">
        <f aca="false">IF(B517="","NÃO COMPRA","COMPRA")</f>
        <v>NÃO COMPRA</v>
      </c>
      <c r="D517" s="1" t="n">
        <f aca="false">IFERROR(VLOOKUP(A517,Pedido!$A:$C,3,0),0)</f>
        <v>0</v>
      </c>
      <c r="E517" s="5" t="n">
        <f aca="false">IFERROR(VLOOKUP(A517,Pedido!$A:$E,5,0),0)</f>
        <v>0</v>
      </c>
      <c r="F517" s="1" t="s">
        <v>8</v>
      </c>
      <c r="G517" s="1" t="s">
        <v>176</v>
      </c>
      <c r="H517" s="1" t="s">
        <v>35</v>
      </c>
      <c r="I517" s="1" t="s">
        <v>177</v>
      </c>
      <c r="K517" s="1" t="n">
        <v>261</v>
      </c>
      <c r="L517" s="11" t="n">
        <v>0.833432200999389</v>
      </c>
      <c r="M517" s="1" t="n">
        <f aca="false">SUMIF(Relatorio_AK!$A:$A,A517,Relatorio_AK!$B:$B)</f>
        <v>261</v>
      </c>
      <c r="N517" s="1" t="str">
        <f aca="false">IF(M517=K517,"OK","DIF")</f>
        <v>OK</v>
      </c>
      <c r="O517" s="13" t="str">
        <f aca="false">IFERROR(VLOOKUP($A517,Lista_Starke!$A:$E,3,0),"NÃO ESTÁ NA LISTA")</f>
        <v>TOYOTA: Hilux 2.7 16V Flex 16/...
TOYOTA: Hilux 2.8 16V Turbo Diesel 16/...</v>
      </c>
      <c r="P517" s="12" t="str">
        <f aca="false">IFERROR(VLOOKUP($A517,Lista_Starke!$A:$E,2,0),"NÃO ESTÁ NA LISTA")</f>
        <v>CILINDRO MESTRE DE FREIO</v>
      </c>
    </row>
    <row r="518" customFormat="false" ht="15" hidden="false" customHeight="true" outlineLevel="0" collapsed="false">
      <c r="A518" s="10" t="s">
        <v>1171</v>
      </c>
      <c r="B518" s="10" t="str">
        <f aca="false">IFERROR(VLOOKUP(A518,Pedido!$A:$B,2,0),"")</f>
        <v/>
      </c>
      <c r="C518" s="10" t="str">
        <f aca="false">IF(B518="","NÃO COMPRA","COMPRA")</f>
        <v>NÃO COMPRA</v>
      </c>
      <c r="D518" s="1" t="n">
        <f aca="false">IFERROR(VLOOKUP(A518,Pedido!$A:$C,3,0),0)</f>
        <v>0</v>
      </c>
      <c r="E518" s="5" t="n">
        <f aca="false">IFERROR(VLOOKUP(A518,Pedido!$A:$E,5,0),0)</f>
        <v>0</v>
      </c>
      <c r="F518" s="1" t="s">
        <v>8</v>
      </c>
      <c r="G518" s="1" t="s">
        <v>1172</v>
      </c>
      <c r="H518" s="1" t="s">
        <v>235</v>
      </c>
      <c r="I518" s="1" t="s">
        <v>77</v>
      </c>
      <c r="J518" s="1" t="s">
        <v>1173</v>
      </c>
      <c r="K518" s="1" t="n">
        <v>261</v>
      </c>
      <c r="L518" s="11" t="n">
        <v>0.833878387642168</v>
      </c>
      <c r="M518" s="1" t="n">
        <f aca="false">SUMIF(Relatorio_AK!$A:$A,A518,Relatorio_AK!$B:$B)</f>
        <v>261</v>
      </c>
      <c r="N518" s="1" t="str">
        <f aca="false">IF(M518=K518,"OK","DIF")</f>
        <v>OK</v>
      </c>
      <c r="O518" s="13" t="str">
        <f aca="false">IFERROR(VLOOKUP($A518,Lista_Starke!$A:$E,3,0),"NÃO ESTÁ NA LISTA")</f>
        <v>CITROEN: C4 1.816V EWJ4 99/05
CITROEN: C4 2.0 16V EW10J4 / EW10A 00/…
CITROEN: C4 Grand Picasso 2.0 16V EW10J4 / EW10A 08/…
CITROEN: C4 Pallas 2.0 16V EW10J4 / EW10A 05/…
CITROEN: C4 Picasso 2.0 16V EW10J4 / EW10A 08/…
CITROEN: C5 2.0 16V EW10J4 / EW10A 02/…
CITROEN: Xsara 2.0 16V EW10J4 / EW10A 02/…
CITROEN: Xsara Picasso 2.0 16V EW10J4 / EW10A 02/…
PEUGEOT: 307 / SW 2.0 16V EW10J4 / EW10A 02/…
PEUGEOT: 407 2.0 16V EW10J4 / EW10A 04/…
PEUGEOT: 408 2.0 16V RHE/RHH 09/14
PEUGEOT: 607 2.2 16V EW10J4 / EW10A 00/…
PEUGEOT: 807 2.2 16V EW10J4 / EW10A 02/…</v>
      </c>
      <c r="P518" s="12" t="str">
        <f aca="false">IFERROR(VLOOKUP($A518,Lista_Starke!$A:$E,2,0),"NÃO ESTÁ NA LISTA")</f>
        <v>RESFRIADOR DE ÓLEO MOTOR</v>
      </c>
    </row>
    <row r="519" customFormat="false" ht="15" hidden="false" customHeight="true" outlineLevel="0" collapsed="false">
      <c r="A519" s="10" t="s">
        <v>1174</v>
      </c>
      <c r="B519" s="10" t="str">
        <f aca="false">IFERROR(VLOOKUP(A519,Pedido!$A:$B,2,0),"")</f>
        <v/>
      </c>
      <c r="C519" s="10" t="str">
        <f aca="false">IF(B519="","NÃO COMPRA","COMPRA")</f>
        <v>NÃO COMPRA</v>
      </c>
      <c r="D519" s="1" t="n">
        <f aca="false">IFERROR(VLOOKUP(A519,Pedido!$A:$C,3,0),0)</f>
        <v>0</v>
      </c>
      <c r="E519" s="5" t="n">
        <f aca="false">IFERROR(VLOOKUP(A519,Pedido!$A:$E,5,0),0)</f>
        <v>0</v>
      </c>
      <c r="F519" s="1" t="s">
        <v>8</v>
      </c>
      <c r="G519" s="1" t="s">
        <v>1175</v>
      </c>
      <c r="H519" s="1" t="s">
        <v>197</v>
      </c>
      <c r="I519" s="1" t="s">
        <v>1030</v>
      </c>
      <c r="K519" s="1" t="n">
        <v>260</v>
      </c>
      <c r="L519" s="11" t="n">
        <v>0.83432286475758</v>
      </c>
      <c r="M519" s="1" t="n">
        <f aca="false">SUMIF(Relatorio_AK!$A:$A,A519,Relatorio_AK!$B:$B)</f>
        <v>260</v>
      </c>
      <c r="N519" s="1" t="str">
        <f aca="false">IF(M519=K519,"OK","DIF")</f>
        <v>OK</v>
      </c>
      <c r="O519" s="13" t="str">
        <f aca="false">IFERROR(VLOOKUP($A519,Lista_Starke!$A:$E,3,0),"NÃO ESTÁ NA LISTA")</f>
        <v>DODGE: Ram 1500 3.0 V6 Ecodiesel 14/19
JEEP: Grand Cherokee 3.0 V6 CRD Diesel 4x4 EXF 11/...</v>
      </c>
      <c r="P519" s="12" t="str">
        <f aca="false">IFERROR(VLOOKUP($A519,Lista_Starke!$A:$E,2,0),"NÃO ESTÁ NA LISTA")</f>
        <v>BOMBA D'ÁGUA</v>
      </c>
    </row>
    <row r="520" customFormat="false" ht="15" hidden="false" customHeight="true" outlineLevel="0" collapsed="false">
      <c r="A520" s="10" t="s">
        <v>1176</v>
      </c>
      <c r="B520" s="10" t="str">
        <f aca="false">IFERROR(VLOOKUP(A520,Pedido!$A:$B,2,0),"")</f>
        <v/>
      </c>
      <c r="C520" s="10" t="str">
        <f aca="false">IF(B520="","NÃO COMPRA","COMPRA")</f>
        <v>NÃO COMPRA</v>
      </c>
      <c r="D520" s="1" t="n">
        <f aca="false">IFERROR(VLOOKUP(A520,Pedido!$A:$C,3,0),0)</f>
        <v>0</v>
      </c>
      <c r="E520" s="5" t="n">
        <f aca="false">IFERROR(VLOOKUP(A520,Pedido!$A:$E,5,0),0)</f>
        <v>0</v>
      </c>
      <c r="F520" s="1" t="s">
        <v>8</v>
      </c>
      <c r="G520" s="1" t="s">
        <v>640</v>
      </c>
      <c r="H520" s="1" t="s">
        <v>131</v>
      </c>
      <c r="I520" s="1" t="s">
        <v>1027</v>
      </c>
      <c r="J520" s="1" t="s">
        <v>1177</v>
      </c>
      <c r="K520" s="1" t="n">
        <v>258</v>
      </c>
      <c r="L520" s="11" t="n">
        <v>0.834763922818258</v>
      </c>
      <c r="M520" s="1" t="n">
        <f aca="false">SUMIF(Relatorio_AK!$A:$A,A520,Relatorio_AK!$B:$B)</f>
        <v>258</v>
      </c>
      <c r="N520" s="1" t="str">
        <f aca="false">IF(M520=K520,"OK","DIF")</f>
        <v>OK</v>
      </c>
      <c r="O520" s="13" t="str">
        <f aca="false">IFERROR(VLOOKUP($A520,Lista_Starke!$A:$E,3,0),"NÃO ESTÁ NA LISTA")</f>
        <v>MAHINDRA: Scorpio 2.2 / 2.6 08/...
TOYOTA: Hilux 3.0 Turbo Diesel 1KD 05/…
TOYOTA: SW4 3.0 Turbo Diesel 1KD 05/…</v>
      </c>
      <c r="P520" s="12" t="str">
        <f aca="false">IFERROR(VLOOKUP($A520,Lista_Starke!$A:$E,2,0),"NÃO ESTÁ NA LISTA")</f>
        <v>SAPATA DE FREIO</v>
      </c>
    </row>
    <row r="521" customFormat="false" ht="15" hidden="false" customHeight="true" outlineLevel="0" collapsed="false">
      <c r="A521" s="10" t="s">
        <v>1178</v>
      </c>
      <c r="B521" s="10" t="str">
        <f aca="false">IFERROR(VLOOKUP(A521,Pedido!$A:$B,2,0),"")</f>
        <v/>
      </c>
      <c r="C521" s="10" t="str">
        <f aca="false">IF(B521="","NÃO COMPRA","COMPRA")</f>
        <v>NÃO COMPRA</v>
      </c>
      <c r="D521" s="1" t="n">
        <f aca="false">IFERROR(VLOOKUP(A521,Pedido!$A:$C,3,0),0)</f>
        <v>0</v>
      </c>
      <c r="E521" s="5" t="n">
        <f aca="false">IFERROR(VLOOKUP(A521,Pedido!$A:$E,5,0),0)</f>
        <v>0</v>
      </c>
      <c r="F521" s="1" t="s">
        <v>8</v>
      </c>
      <c r="G521" s="1" t="s">
        <v>402</v>
      </c>
      <c r="H521" s="1" t="s">
        <v>35</v>
      </c>
      <c r="I521" s="1" t="s">
        <v>403</v>
      </c>
      <c r="J521" s="1" t="s">
        <v>1179</v>
      </c>
      <c r="K521" s="1" t="n">
        <v>258</v>
      </c>
      <c r="L521" s="11" t="n">
        <v>0.835204980878936</v>
      </c>
      <c r="M521" s="1" t="n">
        <f aca="false">SUMIF(Relatorio_AK!$A:$A,A521,Relatorio_AK!$B:$B)</f>
        <v>258</v>
      </c>
      <c r="N521" s="1" t="str">
        <f aca="false">IF(M521=K521,"OK","DIF")</f>
        <v>OK</v>
      </c>
      <c r="O521" s="13" t="str">
        <f aca="false">IFERROR(VLOOKUP($A521,Lista_Starke!$A:$E,3,0),"NÃO ESTÁ NA LISTA")</f>
        <v>IVECO: Daily 35 S 14 3.0 16V Diesel F1C Euro III 08/12
IVECO: Daily 35 S 14 3.0 16V Diesel F1C EURO V 13/...
IVECO: Daily 35.10 2.8 8V Diesel SOFIN 97/07
IVECO: Daily 40 S 14 3.0 16V Deisel F1C Euro III 08/...</v>
      </c>
      <c r="P521" s="12" t="str">
        <f aca="false">IFERROR(VLOOKUP($A521,Lista_Starke!$A:$E,2,0),"NÃO ESTÁ NA LISTA")</f>
        <v>CILINDRO MESTRE DE FREIO</v>
      </c>
    </row>
    <row r="522" customFormat="false" ht="15" hidden="false" customHeight="true" outlineLevel="0" collapsed="false">
      <c r="A522" s="10" t="s">
        <v>1180</v>
      </c>
      <c r="B522" s="10" t="str">
        <f aca="false">IFERROR(VLOOKUP(A522,Pedido!$A:$B,2,0),"")</f>
        <v/>
      </c>
      <c r="C522" s="10" t="str">
        <f aca="false">IF(B522="","NÃO COMPRA","COMPRA")</f>
        <v>NÃO COMPRA</v>
      </c>
      <c r="D522" s="1" t="n">
        <f aca="false">IFERROR(VLOOKUP(A522,Pedido!$A:$C,3,0),0)</f>
        <v>0</v>
      </c>
      <c r="E522" s="5" t="n">
        <f aca="false">IFERROR(VLOOKUP(A522,Pedido!$A:$E,5,0),0)</f>
        <v>0</v>
      </c>
      <c r="F522" s="1" t="s">
        <v>8</v>
      </c>
      <c r="G522" s="1" t="s">
        <v>1181</v>
      </c>
      <c r="H522" s="1" t="s">
        <v>28</v>
      </c>
      <c r="I522" s="1" t="s">
        <v>1182</v>
      </c>
      <c r="J522" s="1" t="s">
        <v>1183</v>
      </c>
      <c r="K522" s="1" t="n">
        <v>257</v>
      </c>
      <c r="L522" s="11" t="n">
        <v>0.835644329412247</v>
      </c>
      <c r="M522" s="1" t="n">
        <f aca="false">SUMIF(Relatorio_AK!$A:$A,A522,Relatorio_AK!$B:$B)</f>
        <v>257</v>
      </c>
      <c r="N522" s="1" t="str">
        <f aca="false">IF(M522=K522,"OK","DIF")</f>
        <v>OK</v>
      </c>
      <c r="O522" s="13" t="str">
        <f aca="false">IFERROR(VLOOKUP($A522,Lista_Starke!$A:$E,3,0),"NÃO ESTÁ NA LISTA")</f>
        <v>KIA: Besta  93/05
KIA: Bongo K2400  93/04
KIA: Bongo K2700  93/04</v>
      </c>
      <c r="P522" s="12" t="str">
        <f aca="false">IFERROR(VLOOKUP($A522,Lista_Starke!$A:$E,2,0),"NÃO ESTÁ NA LISTA")</f>
        <v>CILINDRO AUXILIAR DE EMBREAGEM</v>
      </c>
    </row>
    <row r="523" customFormat="false" ht="15" hidden="false" customHeight="true" outlineLevel="0" collapsed="false">
      <c r="A523" s="10" t="s">
        <v>1184</v>
      </c>
      <c r="B523" s="10" t="str">
        <f aca="false">IFERROR(VLOOKUP(A523,Pedido!$A:$B,2,0),"")</f>
        <v/>
      </c>
      <c r="C523" s="10" t="str">
        <f aca="false">IF(B523="","NÃO COMPRA","COMPRA")</f>
        <v>NÃO COMPRA</v>
      </c>
      <c r="D523" s="1" t="n">
        <f aca="false">IFERROR(VLOOKUP(A523,Pedido!$A:$C,3,0),0)</f>
        <v>0</v>
      </c>
      <c r="E523" s="5" t="n">
        <f aca="false">IFERROR(VLOOKUP(A523,Pedido!$A:$E,5,0),0)</f>
        <v>0</v>
      </c>
      <c r="F523" s="1" t="s">
        <v>8</v>
      </c>
      <c r="G523" s="1" t="s">
        <v>432</v>
      </c>
      <c r="H523" s="1" t="s">
        <v>131</v>
      </c>
      <c r="I523" s="1" t="s">
        <v>36</v>
      </c>
      <c r="J523" s="1" t="s">
        <v>1185</v>
      </c>
      <c r="K523" s="1" t="n">
        <v>257</v>
      </c>
      <c r="L523" s="11" t="n">
        <v>0.836083677945558</v>
      </c>
      <c r="M523" s="1" t="n">
        <f aca="false">SUMIF(Relatorio_AK!$A:$A,A523,Relatorio_AK!$B:$B)</f>
        <v>257</v>
      </c>
      <c r="N523" s="1" t="str">
        <f aca="false">IF(M523=K523,"OK","DIF")</f>
        <v>OK</v>
      </c>
      <c r="O523" s="13" t="str">
        <f aca="false">IFERROR(VLOOKUP($A523,Lista_Starke!$A:$E,3,0),"NÃO ESTÁ NA LISTA")</f>
        <v>VOLKSWAGEN: Polo 1.0 12V MPI 17/22
VOLKSWAGEN: Polo 1.0 12V MPI 22/...
VOLKSWAGEN: Polo 1.6 16V MSI 17/22
VOLKSWAGEN: Virtus 1.6 16V MSI 18/...</v>
      </c>
      <c r="P523" s="12" t="str">
        <f aca="false">IFERROR(VLOOKUP($A523,Lista_Starke!$A:$E,2,0),"NÃO ESTÁ NA LISTA")</f>
        <v>SAPATA DE FREIO</v>
      </c>
    </row>
    <row r="524" customFormat="false" ht="15" hidden="false" customHeight="true" outlineLevel="0" collapsed="false">
      <c r="A524" s="10" t="s">
        <v>1186</v>
      </c>
      <c r="B524" s="10" t="str">
        <f aca="false">IFERROR(VLOOKUP(A524,Pedido!$A:$B,2,0),"")</f>
        <v/>
      </c>
      <c r="C524" s="10" t="str">
        <f aca="false">IF(B524="","NÃO COMPRA","COMPRA")</f>
        <v>NÃO COMPRA</v>
      </c>
      <c r="D524" s="1" t="n">
        <f aca="false">IFERROR(VLOOKUP(A524,Pedido!$A:$C,3,0),0)</f>
        <v>0</v>
      </c>
      <c r="E524" s="5" t="n">
        <f aca="false">IFERROR(VLOOKUP(A524,Pedido!$A:$E,5,0),0)</f>
        <v>0</v>
      </c>
      <c r="F524" s="1" t="s">
        <v>8</v>
      </c>
      <c r="G524" s="1" t="s">
        <v>130</v>
      </c>
      <c r="H524" s="1" t="s">
        <v>845</v>
      </c>
      <c r="I524" s="1" t="s">
        <v>137</v>
      </c>
      <c r="J524" s="1" t="s">
        <v>1187</v>
      </c>
      <c r="K524" s="1" t="n">
        <v>256</v>
      </c>
      <c r="L524" s="11" t="n">
        <v>0.836521316951502</v>
      </c>
      <c r="M524" s="1" t="n">
        <f aca="false">SUMIF(Relatorio_AK!$A:$A,A524,Relatorio_AK!$B:$B)</f>
        <v>256</v>
      </c>
      <c r="N524" s="1" t="str">
        <f aca="false">IF(M524=K524,"OK","DIF")</f>
        <v>OK</v>
      </c>
      <c r="O524" s="13" t="str">
        <f aca="false">IFERROR(VLOOKUP($A524,Lista_Starke!$A:$E,3,0),"NÃO ESTÁ NA LISTA")</f>
        <v>CITROEN: Jumper 2.3 16V Blue HDI Euro V 18/...
FIAT: Ducato 2.3 16V Multijet Euro V 18/...
PEUGEOT: Boxer 2.3 16V Blue HDI Euro V 18/...</v>
      </c>
      <c r="P524" s="12" t="str">
        <f aca="false">IFERROR(VLOOKUP($A524,Lista_Starke!$A:$E,2,0),"NÃO ESTÁ NA LISTA")</f>
        <v>SAPATA DE FREIO DE MÃO</v>
      </c>
    </row>
    <row r="525" customFormat="false" ht="15" hidden="false" customHeight="true" outlineLevel="0" collapsed="false">
      <c r="A525" s="10" t="s">
        <v>1188</v>
      </c>
      <c r="B525" s="10" t="str">
        <f aca="false">IFERROR(VLOOKUP(A525,Pedido!$A:$B,2,0),"")</f>
        <v/>
      </c>
      <c r="C525" s="10" t="str">
        <f aca="false">IF(B525="","NÃO COMPRA","COMPRA")</f>
        <v>NÃO COMPRA</v>
      </c>
      <c r="D525" s="1" t="n">
        <f aca="false">IFERROR(VLOOKUP(A525,Pedido!$A:$C,3,0),0)</f>
        <v>0</v>
      </c>
      <c r="E525" s="5" t="n">
        <f aca="false">IFERROR(VLOOKUP(A525,Pedido!$A:$E,5,0),0)</f>
        <v>0</v>
      </c>
      <c r="F525" s="1" t="s">
        <v>8</v>
      </c>
      <c r="G525" s="1" t="s">
        <v>1189</v>
      </c>
      <c r="H525" s="1" t="s">
        <v>88</v>
      </c>
      <c r="I525" s="1" t="s">
        <v>57</v>
      </c>
      <c r="J525" s="1" t="s">
        <v>1190</v>
      </c>
      <c r="K525" s="1" t="n">
        <v>255</v>
      </c>
      <c r="L525" s="11" t="n">
        <v>0.836957246430079</v>
      </c>
      <c r="M525" s="1" t="n">
        <f aca="false">SUMIF(Relatorio_AK!$A:$A,A525,Relatorio_AK!$B:$B)</f>
        <v>255</v>
      </c>
      <c r="N525" s="1" t="str">
        <f aca="false">IF(M525=K525,"OK","DIF")</f>
        <v>OK</v>
      </c>
      <c r="O525" s="13" t="str">
        <f aca="false">IFERROR(VLOOKUP($A525,Lista_Starke!$A:$E,3,0),"NÃO ESTÁ NA LISTA")</f>
        <v>GM: Blazer 2.2 8V 96/07
GM: Blazer 2.4 8V 04/12
GM: Blazer 2.5 8V Maxion 97/02
GM: Blazer 4.3 V6 96/04
GM: S10 2.2 8V 96/07
GM: S10 2.4 8V 00/12
GM: S10 2.5 8V Maxion 97/02
GM: S10 2.8 16V Duramax 12/12
GM: S10 4.3 V6 96/04</v>
      </c>
      <c r="P525" s="12" t="str">
        <f aca="false">IFERROR(VLOOKUP($A525,Lista_Starke!$A:$E,2,0),"NÃO ESTÁ NA LISTA")</f>
        <v>CILINDRO DE RODA LE</v>
      </c>
    </row>
    <row r="526" customFormat="false" ht="15" hidden="false" customHeight="true" outlineLevel="0" collapsed="false">
      <c r="A526" s="10" t="s">
        <v>1191</v>
      </c>
      <c r="B526" s="10" t="str">
        <f aca="false">IFERROR(VLOOKUP(A526,Pedido!$A:$B,2,0),"")</f>
        <v/>
      </c>
      <c r="C526" s="10" t="str">
        <f aca="false">IF(B526="","NÃO COMPRA","COMPRA")</f>
        <v>NÃO COMPRA</v>
      </c>
      <c r="D526" s="1" t="n">
        <f aca="false">IFERROR(VLOOKUP(A526,Pedido!$A:$C,3,0),0)</f>
        <v>0</v>
      </c>
      <c r="E526" s="5" t="n">
        <f aca="false">IFERROR(VLOOKUP(A526,Pedido!$A:$E,5,0),0)</f>
        <v>0</v>
      </c>
      <c r="F526" s="1" t="s">
        <v>8</v>
      </c>
      <c r="G526" s="1" t="s">
        <v>176</v>
      </c>
      <c r="H526" s="1" t="s">
        <v>35</v>
      </c>
      <c r="I526" s="1" t="s">
        <v>177</v>
      </c>
      <c r="K526" s="1" t="n">
        <v>253</v>
      </c>
      <c r="L526" s="11" t="n">
        <v>0.837389756853922</v>
      </c>
      <c r="M526" s="1" t="n">
        <f aca="false">SUMIF(Relatorio_AK!$A:$A,A526,Relatorio_AK!$B:$B)</f>
        <v>253</v>
      </c>
      <c r="N526" s="1" t="str">
        <f aca="false">IF(M526=K526,"OK","DIF")</f>
        <v>OK</v>
      </c>
      <c r="O526" s="13" t="str">
        <f aca="false">IFERROR(VLOOKUP($A526,Lista_Starke!$A:$E,3,0),"NÃO ESTÁ NA LISTA")</f>
        <v>TOYOTA: Hilux 2.7 16V Flex 16/...
TOYOTA: Hilux 2.8 16V Turbo Diesel 16/...
TOYOTA: SW4 2.8 16V Turbo Diesel 16/...</v>
      </c>
      <c r="P526" s="12" t="str">
        <f aca="false">IFERROR(VLOOKUP($A526,Lista_Starke!$A:$E,2,0),"NÃO ESTÁ NA LISTA")</f>
        <v>CILINDRO MESTRE DE FREIO</v>
      </c>
    </row>
    <row r="527" customFormat="false" ht="15" hidden="false" customHeight="true" outlineLevel="0" collapsed="false">
      <c r="A527" s="10" t="s">
        <v>1192</v>
      </c>
      <c r="B527" s="10" t="str">
        <f aca="false">IFERROR(VLOOKUP(A527,Pedido!$A:$B,2,0),"")</f>
        <v/>
      </c>
      <c r="C527" s="10" t="str">
        <f aca="false">IF(B527="","NÃO COMPRA","COMPRA")</f>
        <v>NÃO COMPRA</v>
      </c>
      <c r="D527" s="1" t="n">
        <f aca="false">IFERROR(VLOOKUP(A527,Pedido!$A:$C,3,0),0)</f>
        <v>0</v>
      </c>
      <c r="E527" s="5" t="n">
        <f aca="false">IFERROR(VLOOKUP(A527,Pedido!$A:$E,5,0),0)</f>
        <v>0</v>
      </c>
      <c r="F527" s="1" t="s">
        <v>8</v>
      </c>
      <c r="G527" s="1" t="s">
        <v>1193</v>
      </c>
      <c r="H527" s="1" t="s">
        <v>197</v>
      </c>
      <c r="I527" s="1" t="s">
        <v>1194</v>
      </c>
      <c r="K527" s="1" t="n">
        <v>253</v>
      </c>
      <c r="L527" s="11" t="n">
        <v>0.837822267277765</v>
      </c>
      <c r="M527" s="1" t="n">
        <f aca="false">SUMIF(Relatorio_AK!$A:$A,A527,Relatorio_AK!$B:$B)</f>
        <v>253</v>
      </c>
      <c r="N527" s="1" t="str">
        <f aca="false">IF(M527=K527,"OK","DIF")</f>
        <v>OK</v>
      </c>
      <c r="O527" s="13" t="str">
        <f aca="false">IFERROR(VLOOKUP($A527,Lista_Starke!$A:$E,3,0),"NÃO ESTÁ NA LISTA")</f>
        <v>CHANA: Cargo 1.0 8V 06/…
CHANA: Family 1.0 8V 06/…
CHANA: Utility 1.0 8V 06/…
EFFA MOTORS: K01 Pick Up Simples 1.0 8V 08/…
EFFA MOTORS: K02 Pick Up Dupla 1.0 8V 08/…
HAFEI: Towner Jr Pick Up 1.0 8V 07/…
HAFEI: Towner Jr Van 1.0 8V 07/…</v>
      </c>
      <c r="P527" s="12" t="str">
        <f aca="false">IFERROR(VLOOKUP($A527,Lista_Starke!$A:$E,2,0),"NÃO ESTÁ NA LISTA")</f>
        <v>BOMBA D'ÁGUA</v>
      </c>
    </row>
    <row r="528" customFormat="false" ht="15" hidden="false" customHeight="true" outlineLevel="0" collapsed="false">
      <c r="A528" s="10" t="s">
        <v>1195</v>
      </c>
      <c r="B528" s="10" t="str">
        <f aca="false">IFERROR(VLOOKUP(A528,Pedido!$A:$B,2,0),"")</f>
        <v/>
      </c>
      <c r="C528" s="10" t="str">
        <f aca="false">IF(B528="","NÃO COMPRA","COMPRA")</f>
        <v>NÃO COMPRA</v>
      </c>
      <c r="D528" s="1" t="n">
        <f aca="false">IFERROR(VLOOKUP(A528,Pedido!$A:$C,3,0),0)</f>
        <v>0</v>
      </c>
      <c r="E528" s="5" t="n">
        <f aca="false">IFERROR(VLOOKUP(A528,Pedido!$A:$E,5,0),0)</f>
        <v>0</v>
      </c>
      <c r="F528" s="1" t="s">
        <v>8</v>
      </c>
      <c r="G528" s="1" t="s">
        <v>1196</v>
      </c>
      <c r="H528" s="1" t="s">
        <v>235</v>
      </c>
      <c r="I528" s="1" t="s">
        <v>172</v>
      </c>
      <c r="J528" s="1" t="s">
        <v>1197</v>
      </c>
      <c r="K528" s="1" t="n">
        <v>253</v>
      </c>
      <c r="L528" s="11" t="n">
        <v>0.838254777701608</v>
      </c>
      <c r="M528" s="1" t="n">
        <f aca="false">SUMIF(Relatorio_AK!$A:$A,A528,Relatorio_AK!$B:$B)</f>
        <v>253</v>
      </c>
      <c r="N528" s="1" t="str">
        <f aca="false">IF(M528=K528,"OK","DIF")</f>
        <v>OK</v>
      </c>
      <c r="O528" s="13" t="str">
        <f aca="false">IFERROR(VLOOKUP($A528,Lista_Starke!$A:$E,3,0),"NÃO ESTÁ NA LISTA")</f>
        <v>HYUNDAI: HR 2.5 16V CRDi Diesel D4CB 13/...
KIA: Bongo K2500 2.5 16V CRDi Diesel D4CB 13/...
KIA: Sorento 2.5 16V CRDi Diesel D4CB 13/...</v>
      </c>
      <c r="P528" s="12" t="str">
        <f aca="false">IFERROR(VLOOKUP($A528,Lista_Starke!$A:$E,2,0),"NÃO ESTÁ NA LISTA")</f>
        <v>RESFRIADOR DE ÓLEO MOTOR</v>
      </c>
    </row>
    <row r="529" customFormat="false" ht="15" hidden="false" customHeight="true" outlineLevel="0" collapsed="false">
      <c r="A529" s="10" t="s">
        <v>1198</v>
      </c>
      <c r="B529" s="10" t="str">
        <f aca="false">IFERROR(VLOOKUP(A529,Pedido!$A:$B,2,0),"")</f>
        <v/>
      </c>
      <c r="C529" s="10" t="str">
        <f aca="false">IF(B529="","NÃO COMPRA","COMPRA")</f>
        <v>NÃO COMPRA</v>
      </c>
      <c r="D529" s="1" t="n">
        <f aca="false">IFERROR(VLOOKUP(A529,Pedido!$A:$C,3,0),0)</f>
        <v>0</v>
      </c>
      <c r="E529" s="5" t="n">
        <f aca="false">IFERROR(VLOOKUP(A529,Pedido!$A:$E,5,0),0)</f>
        <v>0</v>
      </c>
      <c r="F529" s="1" t="s">
        <v>8</v>
      </c>
      <c r="G529" s="1" t="s">
        <v>1088</v>
      </c>
      <c r="H529" s="1" t="s">
        <v>197</v>
      </c>
      <c r="I529" s="1" t="s">
        <v>286</v>
      </c>
      <c r="K529" s="1" t="n">
        <v>252</v>
      </c>
      <c r="L529" s="11" t="n">
        <v>0.838685578598084</v>
      </c>
      <c r="M529" s="1" t="n">
        <f aca="false">SUMIF(Relatorio_AK!$A:$A,A529,Relatorio_AK!$B:$B)</f>
        <v>252</v>
      </c>
      <c r="N529" s="1" t="str">
        <f aca="false">IF(M529=K529,"OK","DIF")</f>
        <v>OK</v>
      </c>
      <c r="O529" s="13" t="str">
        <f aca="false">IFERROR(VLOOKUP($A529,Lista_Starke!$A:$E,3,0),"NÃO ESTÁ NA LISTA")</f>
        <v>FORD: Ranger 3.2 20V TDCi 13/...
TROLLER: T4 3.2 20V TDCi 14/...</v>
      </c>
      <c r="P529" s="12" t="str">
        <f aca="false">IFERROR(VLOOKUP($A529,Lista_Starke!$A:$E,2,0),"NÃO ESTÁ NA LISTA")</f>
        <v>BOMBA D'ÁGUA</v>
      </c>
    </row>
    <row r="530" customFormat="false" ht="15" hidden="false" customHeight="true" outlineLevel="0" collapsed="false">
      <c r="A530" s="10" t="s">
        <v>1199</v>
      </c>
      <c r="B530" s="10" t="str">
        <f aca="false">IFERROR(VLOOKUP(A530,Pedido!$A:$B,2,0),"")</f>
        <v/>
      </c>
      <c r="C530" s="10" t="str">
        <f aca="false">IF(B530="","NÃO COMPRA","COMPRA")</f>
        <v>NÃO COMPRA</v>
      </c>
      <c r="D530" s="1" t="n">
        <f aca="false">IFERROR(VLOOKUP(A530,Pedido!$A:$C,3,0),0)</f>
        <v>0</v>
      </c>
      <c r="E530" s="5" t="n">
        <f aca="false">IFERROR(VLOOKUP(A530,Pedido!$A:$E,5,0),0)</f>
        <v>0</v>
      </c>
      <c r="F530" s="1" t="s">
        <v>8</v>
      </c>
      <c r="G530" s="1" t="s">
        <v>52</v>
      </c>
      <c r="H530" s="1" t="s">
        <v>35</v>
      </c>
      <c r="I530" s="1" t="s">
        <v>53</v>
      </c>
      <c r="K530" s="1" t="n">
        <v>251</v>
      </c>
      <c r="L530" s="11" t="n">
        <v>0.839114669967193</v>
      </c>
      <c r="M530" s="1" t="n">
        <f aca="false">SUMIF(Relatorio_AK!$A:$A,A530,Relatorio_AK!$B:$B)</f>
        <v>251</v>
      </c>
      <c r="N530" s="1" t="str">
        <f aca="false">IF(M530=K530,"OK","DIF")</f>
        <v>OK</v>
      </c>
      <c r="O530" s="12" t="str">
        <f aca="false">IFERROR(VLOOKUP($A530,Lista_Starke!$A:$E,3,0),"NÃO ESTÁ NA LISTA")</f>
        <v>FORD: Transit 2.4 16V 06/...</v>
      </c>
      <c r="P530" s="12" t="str">
        <f aca="false">IFERROR(VLOOKUP($A530,Lista_Starke!$A:$E,2,0),"NÃO ESTÁ NA LISTA")</f>
        <v>CILINDRO MESTRE DE FREIO</v>
      </c>
    </row>
    <row r="531" customFormat="false" ht="15" hidden="false" customHeight="true" outlineLevel="0" collapsed="false">
      <c r="A531" s="10" t="s">
        <v>1200</v>
      </c>
      <c r="B531" s="10" t="str">
        <f aca="false">IFERROR(VLOOKUP(A531,Pedido!$A:$B,2,0),"")</f>
        <v/>
      </c>
      <c r="C531" s="10" t="str">
        <f aca="false">IF(B531="","NÃO COMPRA","COMPRA")</f>
        <v>NÃO COMPRA</v>
      </c>
      <c r="D531" s="1" t="n">
        <f aca="false">IFERROR(VLOOKUP(A531,Pedido!$A:$C,3,0),0)</f>
        <v>0</v>
      </c>
      <c r="E531" s="5" t="n">
        <f aca="false">IFERROR(VLOOKUP(A531,Pedido!$A:$E,5,0),0)</f>
        <v>0</v>
      </c>
      <c r="F531" s="1" t="s">
        <v>8</v>
      </c>
      <c r="G531" s="1" t="s">
        <v>1201</v>
      </c>
      <c r="H531" s="1" t="s">
        <v>35</v>
      </c>
      <c r="I531" s="1" t="s">
        <v>709</v>
      </c>
      <c r="K531" s="1" t="n">
        <v>251</v>
      </c>
      <c r="L531" s="11" t="n">
        <v>0.839543761336303</v>
      </c>
      <c r="M531" s="1" t="n">
        <f aca="false">SUMIF(Relatorio_AK!$A:$A,A531,Relatorio_AK!$B:$B)</f>
        <v>251</v>
      </c>
      <c r="N531" s="1" t="str">
        <f aca="false">IF(M531=K531,"OK","DIF")</f>
        <v>OK</v>
      </c>
      <c r="O531" s="13" t="str">
        <f aca="false">IFERROR(VLOOKUP($A531,Lista_Starke!$A:$E,3,0),"NÃO ESTÁ NA LISTA")</f>
        <v>LAND ROVER: Evoque 2.0 Si4       204PT 11/…
LAND ROVER: Freelander 2 3.2 6 cil. B6324S 06/14
VOLVO: S60 2.0 20V Turbo 5 cil 05/…
VOLVO: S60 T5 2.0 20V Turbo 5 cil 05/…
VOLVO: V60 2.0 20V Turbo 5 cil 06/…
VOLVO: V60 T5 2.0 20V Turbo 5 cil 10/…
VOLVO: V70 2.0 16V 07/…
VOLVO: V70 2.0 20V Turbo 5 cil 10/…
VOLVO: V70 T5 2.0 20V Turbo 5 cil 10/…
VOLVO: XC60 2.0 20V Turbo 5 cil 10/…
VOLVO: XC60 2.5 5 Turbo 5 cil. 15/16
VOLVO: XC60 AWD 3.2 6 cil. B6324S 09/10
VOLVO: XC60 AWD 3.2 6 cil. B6324S5 10/15
VOLVO: XC60 T5 2.0 20V Turbo 5 cil 10/…
VOLVO: XC60 T6 AWD 3.0 6 cil B6304T2 08/10
VOLVO: XC60 T6 AWD 3.0 6 cil B6304T4 / B6304T3 14/15
VOLVO: XC60 T6 AWD 3.0 6 cil. B6304T4 10/15
VOLVO: XC70 AWD 3.2 6 cil. B6324S 07/...
VOLVO: XC70 AWD 3.2 6 cil. B6324S5 10/...
VOLVO: XC70 T6 AWD 3.0 6 cil. B6304T2 08/...
VOLVO: XC70 T6 AWD 3.0 6 cil. B6304T4 10/...</v>
      </c>
      <c r="P531" s="12" t="str">
        <f aca="false">IFERROR(VLOOKUP($A531,Lista_Starke!$A:$E,2,0),"NÃO ESTÁ NA LISTA")</f>
        <v>CILINDRO MESTRE DE FREIO</v>
      </c>
    </row>
    <row r="532" customFormat="false" ht="15" hidden="false" customHeight="true" outlineLevel="0" collapsed="false">
      <c r="A532" s="10" t="s">
        <v>1202</v>
      </c>
      <c r="B532" s="10" t="str">
        <f aca="false">IFERROR(VLOOKUP(A532,Pedido!$A:$B,2,0),"")</f>
        <v/>
      </c>
      <c r="C532" s="10" t="str">
        <f aca="false">IF(B532="","NÃO COMPRA","COMPRA")</f>
        <v>NÃO COMPRA</v>
      </c>
      <c r="D532" s="1" t="n">
        <f aca="false">IFERROR(VLOOKUP(A532,Pedido!$A:$C,3,0),0)</f>
        <v>0</v>
      </c>
      <c r="E532" s="5" t="n">
        <f aca="false">IFERROR(VLOOKUP(A532,Pedido!$A:$E,5,0),0)</f>
        <v>0</v>
      </c>
      <c r="F532" s="1" t="s">
        <v>8</v>
      </c>
      <c r="G532" s="1" t="s">
        <v>542</v>
      </c>
      <c r="H532" s="1" t="s">
        <v>35</v>
      </c>
      <c r="I532" s="1" t="s">
        <v>77</v>
      </c>
      <c r="K532" s="1" t="n">
        <v>250</v>
      </c>
      <c r="L532" s="11" t="n">
        <v>0.839971143178045</v>
      </c>
      <c r="M532" s="1" t="n">
        <f aca="false">SUMIF(Relatorio_AK!$A:$A,A532,Relatorio_AK!$B:$B)</f>
        <v>250</v>
      </c>
      <c r="N532" s="1" t="str">
        <f aca="false">IF(M532=K532,"OK","DIF")</f>
        <v>OK</v>
      </c>
      <c r="O532" s="13" t="str">
        <f aca="false">IFERROR(VLOOKUP($A532,Lista_Starke!$A:$E,3,0),"NÃO ESTÁ NA LISTA")</f>
        <v>CITROEN: Jumpy 1.6 8V Diesel DV6 16/...
PEUGEOT: Expert 1.6 8V Diesel DV6 16/...</v>
      </c>
      <c r="P532" s="12" t="str">
        <f aca="false">IFERROR(VLOOKUP($A532,Lista_Starke!$A:$E,2,0),"NÃO ESTÁ NA LISTA")</f>
        <v>CILINDRO MESTRE DE FREIO</v>
      </c>
    </row>
    <row r="533" customFormat="false" ht="15" hidden="false" customHeight="true" outlineLevel="0" collapsed="false">
      <c r="A533" s="10" t="s">
        <v>1203</v>
      </c>
      <c r="B533" s="10" t="str">
        <f aca="false">IFERROR(VLOOKUP(A533,Pedido!$A:$B,2,0),"")</f>
        <v/>
      </c>
      <c r="C533" s="10" t="str">
        <f aca="false">IF(B533="","NÃO COMPRA","COMPRA")</f>
        <v>NÃO COMPRA</v>
      </c>
      <c r="D533" s="1" t="n">
        <f aca="false">IFERROR(VLOOKUP(A533,Pedido!$A:$C,3,0),0)</f>
        <v>0</v>
      </c>
      <c r="E533" s="5" t="n">
        <f aca="false">IFERROR(VLOOKUP(A533,Pedido!$A:$E,5,0),0)</f>
        <v>0</v>
      </c>
      <c r="F533" s="1" t="s">
        <v>8</v>
      </c>
      <c r="G533" s="1" t="s">
        <v>735</v>
      </c>
      <c r="H533" s="1" t="s">
        <v>197</v>
      </c>
      <c r="I533" s="1" t="s">
        <v>172</v>
      </c>
      <c r="J533" s="1" t="s">
        <v>1204</v>
      </c>
      <c r="K533" s="1" t="n">
        <v>250</v>
      </c>
      <c r="L533" s="11" t="n">
        <v>0.840398525019787</v>
      </c>
      <c r="M533" s="1" t="n">
        <f aca="false">SUMIF(Relatorio_AK!$A:$A,A533,Relatorio_AK!$B:$B)</f>
        <v>250</v>
      </c>
      <c r="N533" s="1" t="str">
        <f aca="false">IF(M533=K533,"OK","DIF")</f>
        <v>OK</v>
      </c>
      <c r="O533" s="13" t="str">
        <f aca="false">IFERROR(VLOOKUP($A533,Lista_Starke!$A:$E,3,0),"NÃO ESTÁ NA LISTA")</f>
        <v>HYUNDAI: Elantra 1.6 16V 90/…
HYUNDAI: Elantra 1.8 16V 96/99
HYUNDAI: Elantra 2.0 16V 00/…
HYUNDAI: i30 2.0 16V 07/…
HYUNDAI: i30 CW 2.0 16V 10
HYUNDAI: iX35 2.0 16V 10/…
HYUNDAI: Tucson 2.0 16V 04/…
KIA: Carens 2.0 16V 04/06
KIA: Cerato 2.0 16V 06
KIA: Sportage 2.0 16V 07/…</v>
      </c>
      <c r="P533" s="12" t="str">
        <f aca="false">IFERROR(VLOOKUP($A533,Lista_Starke!$A:$E,2,0),"NÃO ESTÁ NA LISTA")</f>
        <v>BOMBA D'ÁGUA</v>
      </c>
    </row>
    <row r="534" customFormat="false" ht="15" hidden="false" customHeight="true" outlineLevel="0" collapsed="false">
      <c r="A534" s="10" t="s">
        <v>1205</v>
      </c>
      <c r="B534" s="10" t="str">
        <f aca="false">IFERROR(VLOOKUP(A534,Pedido!$A:$B,2,0),"")</f>
        <v/>
      </c>
      <c r="C534" s="10" t="str">
        <f aca="false">IF(B534="","NÃO COMPRA","COMPRA")</f>
        <v>NÃO COMPRA</v>
      </c>
      <c r="D534" s="1" t="n">
        <f aca="false">IFERROR(VLOOKUP(A534,Pedido!$A:$C,3,0),0)</f>
        <v>0</v>
      </c>
      <c r="E534" s="5" t="n">
        <f aca="false">IFERROR(VLOOKUP(A534,Pedido!$A:$E,5,0),0)</f>
        <v>0</v>
      </c>
      <c r="F534" s="1" t="s">
        <v>8</v>
      </c>
      <c r="G534" s="1" t="s">
        <v>536</v>
      </c>
      <c r="H534" s="1" t="s">
        <v>131</v>
      </c>
      <c r="I534" s="1" t="s">
        <v>215</v>
      </c>
      <c r="J534" s="1" t="s">
        <v>1206</v>
      </c>
      <c r="K534" s="1" t="n">
        <v>250</v>
      </c>
      <c r="L534" s="11" t="n">
        <v>0.840825906861529</v>
      </c>
      <c r="M534" s="1" t="n">
        <f aca="false">SUMIF(Relatorio_AK!$A:$A,A534,Relatorio_AK!$B:$B)</f>
        <v>250</v>
      </c>
      <c r="N534" s="1" t="str">
        <f aca="false">IF(M534=K534,"OK","DIF")</f>
        <v>OK</v>
      </c>
      <c r="O534" s="13" t="str">
        <f aca="false">IFERROR(VLOOKUP($A534,Lista_Starke!$A:$E,3,0),"NÃO ESTÁ NA LISTA")</f>
        <v>NISSAN: Grand Livina 1.8 16V 09/...
NISSAN: Livina 1.8 16V 09/...
NISSAN: Sentra 2.0 16V 07/...
NISSAN: Tiida 1.8 16V 07/...</v>
      </c>
      <c r="P534" s="12" t="str">
        <f aca="false">IFERROR(VLOOKUP($A534,Lista_Starke!$A:$E,2,0),"NÃO ESTÁ NA LISTA")</f>
        <v>SAPATA DE FREIO</v>
      </c>
    </row>
    <row r="535" customFormat="false" ht="15" hidden="false" customHeight="true" outlineLevel="0" collapsed="false">
      <c r="A535" s="10" t="s">
        <v>1207</v>
      </c>
      <c r="B535" s="10" t="str">
        <f aca="false">IFERROR(VLOOKUP(A535,Pedido!$A:$B,2,0),"")</f>
        <v/>
      </c>
      <c r="C535" s="10" t="str">
        <f aca="false">IF(B535="","NÃO COMPRA","COMPRA")</f>
        <v>NÃO COMPRA</v>
      </c>
      <c r="D535" s="1" t="n">
        <f aca="false">IFERROR(VLOOKUP(A535,Pedido!$A:$C,3,0),0)</f>
        <v>0</v>
      </c>
      <c r="E535" s="5" t="n">
        <f aca="false">IFERROR(VLOOKUP(A535,Pedido!$A:$E,5,0),0)</f>
        <v>0</v>
      </c>
      <c r="F535" s="1" t="s">
        <v>8</v>
      </c>
      <c r="G535" s="1" t="s">
        <v>536</v>
      </c>
      <c r="H535" s="1" t="s">
        <v>131</v>
      </c>
      <c r="I535" s="1" t="s">
        <v>215</v>
      </c>
      <c r="J535" s="1" t="s">
        <v>1208</v>
      </c>
      <c r="K535" s="1" t="n">
        <v>249</v>
      </c>
      <c r="L535" s="11" t="n">
        <v>0.841251579175904</v>
      </c>
      <c r="M535" s="1" t="n">
        <f aca="false">SUMIF(Relatorio_AK!$A:$A,A535,Relatorio_AK!$B:$B)</f>
        <v>249</v>
      </c>
      <c r="N535" s="1" t="str">
        <f aca="false">IF(M535=K535,"OK","DIF")</f>
        <v>OK</v>
      </c>
      <c r="O535" s="13" t="str">
        <f aca="false">IFERROR(VLOOKUP($A535,Lista_Starke!$A:$E,3,0),"NÃO ESTÁ NA LISTA")</f>
        <v>NISSAN: Frontier 2.3 16V 4x2 19/22
NISSAN: Frontier 2.3 16V 4x4 17/22</v>
      </c>
      <c r="P535" s="12" t="str">
        <f aca="false">IFERROR(VLOOKUP($A535,Lista_Starke!$A:$E,2,0),"NÃO ESTÁ NA LISTA")</f>
        <v>SAPATA DE FREIO</v>
      </c>
    </row>
    <row r="536" customFormat="false" ht="15" hidden="false" customHeight="true" outlineLevel="0" collapsed="false">
      <c r="A536" s="10" t="s">
        <v>1209</v>
      </c>
      <c r="B536" s="10" t="str">
        <f aca="false">IFERROR(VLOOKUP(A536,Pedido!$A:$B,2,0),"")</f>
        <v/>
      </c>
      <c r="C536" s="10" t="str">
        <f aca="false">IF(B536="","NÃO COMPRA","COMPRA")</f>
        <v>NÃO COMPRA</v>
      </c>
      <c r="D536" s="1" t="n">
        <f aca="false">IFERROR(VLOOKUP(A536,Pedido!$A:$C,3,0),0)</f>
        <v>0</v>
      </c>
      <c r="E536" s="5" t="n">
        <f aca="false">IFERROR(VLOOKUP(A536,Pedido!$A:$E,5,0),0)</f>
        <v>0</v>
      </c>
      <c r="F536" s="1" t="s">
        <v>8</v>
      </c>
      <c r="G536" s="1" t="s">
        <v>1210</v>
      </c>
      <c r="H536" s="1" t="s">
        <v>126</v>
      </c>
      <c r="I536" s="1" t="s">
        <v>53</v>
      </c>
      <c r="J536" s="1" t="s">
        <v>1211</v>
      </c>
      <c r="K536" s="1" t="n">
        <v>249</v>
      </c>
      <c r="L536" s="11" t="n">
        <v>0.84167725149028</v>
      </c>
      <c r="M536" s="1" t="n">
        <f aca="false">SUMIF(Relatorio_AK!$A:$A,A536,Relatorio_AK!$B:$B)</f>
        <v>249</v>
      </c>
      <c r="N536" s="1" t="str">
        <f aca="false">IF(M536=K536,"OK","DIF")</f>
        <v>OK</v>
      </c>
      <c r="O536" s="13" t="str">
        <f aca="false">IFERROR(VLOOKUP($A536,Lista_Starke!$A:$E,3,0),"NÃO ESTÁ NA LISTA")</f>
        <v>FORD: Ecosport 1.5 12V Dragon 18/...
FORD: Ka 1.5 12V Dragon 19/...</v>
      </c>
      <c r="P536" s="12" t="str">
        <f aca="false">IFERROR(VLOOKUP($A536,Lista_Starke!$A:$E,2,0),"NÃO ESTÁ NA LISTA")</f>
        <v>RESFRIADOR DE ÓLEO CÂMBIO</v>
      </c>
    </row>
    <row r="537" customFormat="false" ht="15" hidden="false" customHeight="true" outlineLevel="0" collapsed="false">
      <c r="A537" s="10" t="s">
        <v>1212</v>
      </c>
      <c r="B537" s="10" t="str">
        <f aca="false">IFERROR(VLOOKUP(A537,Pedido!$A:$B,2,0),"")</f>
        <v/>
      </c>
      <c r="C537" s="10" t="str">
        <f aca="false">IF(B537="","NÃO COMPRA","COMPRA")</f>
        <v>NÃO COMPRA</v>
      </c>
      <c r="D537" s="1" t="n">
        <f aca="false">IFERROR(VLOOKUP(A537,Pedido!$A:$C,3,0),0)</f>
        <v>0</v>
      </c>
      <c r="E537" s="5" t="n">
        <f aca="false">IFERROR(VLOOKUP(A537,Pedido!$A:$E,5,0),0)</f>
        <v>0</v>
      </c>
      <c r="F537" s="1" t="s">
        <v>8</v>
      </c>
      <c r="G537" s="1" t="s">
        <v>536</v>
      </c>
      <c r="H537" s="1" t="s">
        <v>131</v>
      </c>
      <c r="I537" s="1" t="s">
        <v>215</v>
      </c>
      <c r="J537" s="1" t="s">
        <v>1213</v>
      </c>
      <c r="K537" s="1" t="n">
        <v>247</v>
      </c>
      <c r="L537" s="11" t="n">
        <v>0.842099504749921</v>
      </c>
      <c r="M537" s="1" t="n">
        <f aca="false">SUMIF(Relatorio_AK!$A:$A,A537,Relatorio_AK!$B:$B)</f>
        <v>247</v>
      </c>
      <c r="N537" s="1" t="str">
        <f aca="false">IF(M537=K537,"OK","DIF")</f>
        <v>OK</v>
      </c>
      <c r="O537" s="13" t="str">
        <f aca="false">IFERROR(VLOOKUP($A537,Lista_Starke!$A:$E,3,0),"NÃO ESTÁ NA LISTA")</f>
        <v>NISSAN: Grand Livina 1.8 16V 09/...
NISSAN: Livina 1.8 16V 09/...
NISSAN: Tiida 1.8 16V 07/...</v>
      </c>
      <c r="P537" s="12" t="str">
        <f aca="false">IFERROR(VLOOKUP($A537,Lista_Starke!$A:$E,2,0),"NÃO ESTÁ NA LISTA")</f>
        <v>SAPATA DE FREIO</v>
      </c>
    </row>
    <row r="538" customFormat="false" ht="15" hidden="false" customHeight="true" outlineLevel="0" collapsed="false">
      <c r="A538" s="10" t="s">
        <v>1214</v>
      </c>
      <c r="B538" s="10" t="str">
        <f aca="false">IFERROR(VLOOKUP(A538,Pedido!$A:$B,2,0),"")</f>
        <v/>
      </c>
      <c r="C538" s="10" t="str">
        <f aca="false">IF(B538="","NÃO COMPRA","COMPRA")</f>
        <v>NÃO COMPRA</v>
      </c>
      <c r="D538" s="1" t="n">
        <f aca="false">IFERROR(VLOOKUP(A538,Pedido!$A:$C,3,0),0)</f>
        <v>0</v>
      </c>
      <c r="E538" s="5" t="n">
        <f aca="false">IFERROR(VLOOKUP(A538,Pedido!$A:$E,5,0),0)</f>
        <v>0</v>
      </c>
      <c r="F538" s="1" t="s">
        <v>8</v>
      </c>
      <c r="G538" s="1" t="s">
        <v>1215</v>
      </c>
      <c r="H538" s="1" t="s">
        <v>600</v>
      </c>
      <c r="I538" s="1" t="s">
        <v>373</v>
      </c>
      <c r="J538" s="1" t="s">
        <v>1216</v>
      </c>
      <c r="K538" s="1" t="n">
        <v>247</v>
      </c>
      <c r="L538" s="11" t="n">
        <v>0.842521758009562</v>
      </c>
      <c r="M538" s="1" t="n">
        <f aca="false">SUMIF(Relatorio_AK!$A:$A,A538,Relatorio_AK!$B:$B)</f>
        <v>247</v>
      </c>
      <c r="N538" s="1" t="str">
        <f aca="false">IF(M538=K538,"OK","DIF")</f>
        <v>OK</v>
      </c>
      <c r="O538" s="12" t="str">
        <f aca="false">IFERROR(VLOOKUP($A538,Lista_Starke!$A:$E,3,0),"NÃO ESTÁ NA LISTA")</f>
        <v>MERCEDES-BENZ: Sprinter 311/313/415/515 2.1/2.2 CDI Eletrônico OM651 13/…</v>
      </c>
      <c r="P538" s="12" t="str">
        <f aca="false">IFERROR(VLOOKUP($A538,Lista_Starke!$A:$E,2,0),"NÃO ESTÁ NA LISTA")</f>
        <v>BOMBA DE VÁCUO FREIO</v>
      </c>
    </row>
    <row r="539" customFormat="false" ht="15" hidden="false" customHeight="true" outlineLevel="0" collapsed="false">
      <c r="A539" s="10" t="s">
        <v>1217</v>
      </c>
      <c r="B539" s="10" t="str">
        <f aca="false">IFERROR(VLOOKUP(A539,Pedido!$A:$B,2,0),"")</f>
        <v/>
      </c>
      <c r="C539" s="10" t="str">
        <f aca="false">IF(B539="","NÃO COMPRA","COMPRA")</f>
        <v>NÃO COMPRA</v>
      </c>
      <c r="D539" s="1" t="n">
        <f aca="false">IFERROR(VLOOKUP(A539,Pedido!$A:$C,3,0),0)</f>
        <v>0</v>
      </c>
      <c r="E539" s="5" t="n">
        <f aca="false">IFERROR(VLOOKUP(A539,Pedido!$A:$E,5,0),0)</f>
        <v>0</v>
      </c>
      <c r="F539" s="1" t="s">
        <v>8</v>
      </c>
      <c r="G539" s="1" t="s">
        <v>627</v>
      </c>
      <c r="H539" s="1" t="s">
        <v>235</v>
      </c>
      <c r="I539" s="1" t="s">
        <v>97</v>
      </c>
      <c r="J539" s="1" t="s">
        <v>1218</v>
      </c>
      <c r="K539" s="1" t="n">
        <v>245</v>
      </c>
      <c r="L539" s="11" t="n">
        <v>0.84294059221447</v>
      </c>
      <c r="M539" s="1" t="n">
        <f aca="false">SUMIF(Relatorio_AK!$A:$A,A539,Relatorio_AK!$B:$B)</f>
        <v>245</v>
      </c>
      <c r="N539" s="1" t="str">
        <f aca="false">IF(M539=K539,"OK","DIF")</f>
        <v>OK</v>
      </c>
      <c r="O539" s="13" t="str">
        <f aca="false">IFERROR(VLOOKUP($A539,Lista_Starke!$A:$E,3,0),"NÃO ESTÁ NA LISTA")</f>
        <v>FIAT: Toro 2.0 16V JTD Diesel 16/…
JEEP: Commander 2.0 16V Turbo Diesel 21/...
JEEP: Compass 2.0 16V JTD Diesel 16/…
JEEP: Renegade 2.0 16V JTD Diesel 16/…</v>
      </c>
      <c r="P539" s="12" t="str">
        <f aca="false">IFERROR(VLOOKUP($A539,Lista_Starke!$A:$E,2,0),"NÃO ESTÁ NA LISTA")</f>
        <v>RESFRIADOR DE ÓLEO MOTOR</v>
      </c>
    </row>
    <row r="540" customFormat="false" ht="15" hidden="false" customHeight="true" outlineLevel="0" collapsed="false">
      <c r="A540" s="10" t="s">
        <v>1219</v>
      </c>
      <c r="B540" s="10" t="str">
        <f aca="false">IFERROR(VLOOKUP(A540,Pedido!$A:$B,2,0),"")</f>
        <v/>
      </c>
      <c r="C540" s="10" t="str">
        <f aca="false">IF(B540="","NÃO COMPRA","COMPRA")</f>
        <v>NÃO COMPRA</v>
      </c>
      <c r="D540" s="1" t="n">
        <f aca="false">IFERROR(VLOOKUP(A540,Pedido!$A:$C,3,0),0)</f>
        <v>0</v>
      </c>
      <c r="E540" s="5" t="n">
        <f aca="false">IFERROR(VLOOKUP(A540,Pedido!$A:$E,5,0),0)</f>
        <v>0</v>
      </c>
      <c r="F540" s="1" t="s">
        <v>8</v>
      </c>
      <c r="G540" s="1" t="s">
        <v>1220</v>
      </c>
      <c r="H540" s="1" t="s">
        <v>1073</v>
      </c>
      <c r="I540" s="1" t="s">
        <v>172</v>
      </c>
      <c r="J540" s="1" t="s">
        <v>1221</v>
      </c>
      <c r="K540" s="1" t="n">
        <v>245</v>
      </c>
      <c r="L540" s="11" t="n">
        <v>0.843359426419377</v>
      </c>
      <c r="M540" s="1" t="n">
        <f aca="false">SUMIF(Relatorio_AK!$A:$A,A540,Relatorio_AK!$B:$B)</f>
        <v>245</v>
      </c>
      <c r="N540" s="1" t="str">
        <f aca="false">IF(M540=K540,"OK","DIF")</f>
        <v>OK</v>
      </c>
      <c r="O540" s="13" t="str">
        <f aca="false">IFERROR(VLOOKUP($A540,Lista_Starke!$A:$E,3,0),"NÃO ESTÁ NA LISTA")</f>
        <v>HYUNDAI: Elantra 1.6 16V 90/…
HYUNDAI: Elantra 1.8 16V 96/99
HYUNDAI: Elantra 2.0 16V 00/…
HYUNDAI: i30 2.0 16V 07/…
HYUNDAI: i30 CW 2.0 16V 10
HYUNDAI: iX35 2.0 16V 10/…
HYUNDAI: Tucson 2.0 16V 04/…
KIA: Carens 2.0 16V 04/06
KIA: Cerato 1.6 16V G4FC 10/...
KIA: Cerato 2.0 16V 06
KIA: Soul 1.6 16V 09/...
KIA: Sportage 2.0 16V 07/…</v>
      </c>
      <c r="P540" s="12" t="str">
        <f aca="false">IFERROR(VLOOKUP($A540,Lista_Starke!$A:$E,2,0),"NÃO ESTÁ NA LISTA")</f>
        <v>VÁLVULA TERMOSTÁTICA</v>
      </c>
    </row>
    <row r="541" customFormat="false" ht="15" hidden="false" customHeight="true" outlineLevel="0" collapsed="false">
      <c r="A541" s="10" t="s">
        <v>1222</v>
      </c>
      <c r="B541" s="10" t="str">
        <f aca="false">IFERROR(VLOOKUP(A541,Pedido!$A:$B,2,0),"")</f>
        <v/>
      </c>
      <c r="C541" s="10" t="str">
        <f aca="false">IF(B541="","NÃO COMPRA","COMPRA")</f>
        <v>NÃO COMPRA</v>
      </c>
      <c r="D541" s="1" t="n">
        <f aca="false">IFERROR(VLOOKUP(A541,Pedido!$A:$C,3,0),0)</f>
        <v>0</v>
      </c>
      <c r="E541" s="5" t="n">
        <f aca="false">IFERROR(VLOOKUP(A541,Pedido!$A:$E,5,0),0)</f>
        <v>0</v>
      </c>
      <c r="F541" s="1" t="s">
        <v>8</v>
      </c>
      <c r="G541" s="1" t="s">
        <v>1223</v>
      </c>
      <c r="H541" s="1" t="s">
        <v>32</v>
      </c>
      <c r="I541" s="1" t="s">
        <v>71</v>
      </c>
      <c r="J541" s="1" t="s">
        <v>1224</v>
      </c>
      <c r="K541" s="1" t="n">
        <v>245</v>
      </c>
      <c r="L541" s="11" t="n">
        <v>0.843778260624285</v>
      </c>
      <c r="M541" s="1" t="n">
        <f aca="false">SUMIF(Relatorio_AK!$A:$A,A541,Relatorio_AK!$B:$B)</f>
        <v>245</v>
      </c>
      <c r="N541" s="1" t="str">
        <f aca="false">IF(M541=K541,"OK","DIF")</f>
        <v>OK</v>
      </c>
      <c r="O541" s="12" t="str">
        <f aca="false">IFERROR(VLOOKUP($A541,Lista_Starke!$A:$E,3,0),"NÃO ESTÁ NA LISTA")</f>
        <v>PEUGEOT: 208 1.0 3 cil. Firefly 23/...</v>
      </c>
      <c r="P541" s="12" t="str">
        <f aca="false">IFERROR(VLOOKUP($A541,Lista_Starke!$A:$E,2,0),"NÃO ESTÁ NA LISTA")</f>
        <v>CILINDRO MESTRE DE EMBREAGEM</v>
      </c>
    </row>
    <row r="542" customFormat="false" ht="15" hidden="false" customHeight="true" outlineLevel="0" collapsed="false">
      <c r="A542" s="10" t="s">
        <v>1225</v>
      </c>
      <c r="B542" s="10" t="str">
        <f aca="false">IFERROR(VLOOKUP(A542,Pedido!$A:$B,2,0),"")</f>
        <v/>
      </c>
      <c r="C542" s="10" t="str">
        <f aca="false">IF(B542="","NÃO COMPRA","COMPRA")</f>
        <v>NÃO COMPRA</v>
      </c>
      <c r="D542" s="1" t="n">
        <f aca="false">IFERROR(VLOOKUP(A542,Pedido!$A:$C,3,0),0)</f>
        <v>0</v>
      </c>
      <c r="E542" s="5" t="n">
        <f aca="false">IFERROR(VLOOKUP(A542,Pedido!$A:$E,5,0),0)</f>
        <v>0</v>
      </c>
      <c r="F542" s="1" t="s">
        <v>8</v>
      </c>
      <c r="G542" s="1" t="s">
        <v>297</v>
      </c>
      <c r="H542" s="1" t="s">
        <v>32</v>
      </c>
      <c r="I542" s="1" t="s">
        <v>255</v>
      </c>
      <c r="J542" s="1" t="s">
        <v>1226</v>
      </c>
      <c r="K542" s="1" t="n">
        <v>244</v>
      </c>
      <c r="L542" s="11" t="n">
        <v>0.844195385301825</v>
      </c>
      <c r="M542" s="1" t="n">
        <f aca="false">SUMIF(Relatorio_AK!$A:$A,A542,Relatorio_AK!$B:$B)</f>
        <v>244</v>
      </c>
      <c r="N542" s="1" t="str">
        <f aca="false">IF(M542=K542,"OK","DIF")</f>
        <v>OK</v>
      </c>
      <c r="O542" s="13" t="str">
        <f aca="false">IFERROR(VLOOKUP($A542,Lista_Starke!$A:$E,3,0),"NÃO ESTÁ NA LISTA")</f>
        <v>MITSUBISHI: Triton 3.2 16V Diesel 4M41 DI-D 07/13
MITSUBISHI: Triton 3.5 V6 24V Flex 6G74 10/13
MITSUBISHI: Triton 3.5 V6 24V Gasolina 6G74 07/13</v>
      </c>
      <c r="P542" s="12" t="str">
        <f aca="false">IFERROR(VLOOKUP($A542,Lista_Starke!$A:$E,2,0),"NÃO ESTÁ NA LISTA")</f>
        <v>CILINDRO MESTRE DE EMBREAGEM</v>
      </c>
    </row>
    <row r="543" customFormat="false" ht="15" hidden="false" customHeight="true" outlineLevel="0" collapsed="false">
      <c r="A543" s="10" t="s">
        <v>1227</v>
      </c>
      <c r="B543" s="10" t="str">
        <f aca="false">IFERROR(VLOOKUP(A543,Pedido!$A:$B,2,0),"")</f>
        <v/>
      </c>
      <c r="C543" s="10" t="str">
        <f aca="false">IF(B543="","NÃO COMPRA","COMPRA")</f>
        <v>NÃO COMPRA</v>
      </c>
      <c r="D543" s="1" t="n">
        <f aca="false">IFERROR(VLOOKUP(A543,Pedido!$A:$C,3,0),0)</f>
        <v>0</v>
      </c>
      <c r="E543" s="5" t="n">
        <f aca="false">IFERROR(VLOOKUP(A543,Pedido!$A:$E,5,0),0)</f>
        <v>0</v>
      </c>
      <c r="F543" s="1" t="s">
        <v>8</v>
      </c>
      <c r="G543" s="1" t="s">
        <v>65</v>
      </c>
      <c r="H543" s="1" t="s">
        <v>35</v>
      </c>
      <c r="I543" s="1" t="s">
        <v>137</v>
      </c>
      <c r="K543" s="1" t="n">
        <v>243</v>
      </c>
      <c r="L543" s="11" t="n">
        <v>0.844610800451998</v>
      </c>
      <c r="M543" s="1" t="n">
        <f aca="false">SUMIF(Relatorio_AK!$A:$A,A543,Relatorio_AK!$B:$B)</f>
        <v>243</v>
      </c>
      <c r="N543" s="1" t="str">
        <f aca="false">IF(M543=K543,"OK","DIF")</f>
        <v>OK</v>
      </c>
      <c r="O543" s="13" t="str">
        <f aca="false">IFERROR(VLOOKUP($A543,Lista_Starke!$A:$E,3,0),"NÃO ESTÁ NA LISTA")</f>
        <v>CITROEN: Jumper 2.0 16V Blue HDI Euro V 18/...
FIAT: Ducato 2.3 16V Multijet Euro V 18/...
PEUGEOT: Boxer 2.0 16V Blue HDI Euro V 18/...</v>
      </c>
      <c r="P543" s="12" t="str">
        <f aca="false">IFERROR(VLOOKUP($A543,Lista_Starke!$A:$E,2,0),"NÃO ESTÁ NA LISTA")</f>
        <v>CILINDRO MESTRE DE FREIO</v>
      </c>
    </row>
    <row r="544" customFormat="false" ht="15" hidden="false" customHeight="true" outlineLevel="0" collapsed="false">
      <c r="A544" s="10" t="s">
        <v>1228</v>
      </c>
      <c r="B544" s="10" t="str">
        <f aca="false">IFERROR(VLOOKUP(A544,Pedido!$A:$B,2,0),"")</f>
        <v/>
      </c>
      <c r="C544" s="10" t="str">
        <f aca="false">IF(B544="","NÃO COMPRA","COMPRA")</f>
        <v>NÃO COMPRA</v>
      </c>
      <c r="D544" s="1" t="n">
        <f aca="false">IFERROR(VLOOKUP(A544,Pedido!$A:$C,3,0),0)</f>
        <v>0</v>
      </c>
      <c r="E544" s="5" t="n">
        <f aca="false">IFERROR(VLOOKUP(A544,Pedido!$A:$E,5,0),0)</f>
        <v>0</v>
      </c>
      <c r="F544" s="1" t="s">
        <v>8</v>
      </c>
      <c r="G544" s="1" t="s">
        <v>56</v>
      </c>
      <c r="H544" s="1" t="s">
        <v>35</v>
      </c>
      <c r="I544" s="1" t="s">
        <v>57</v>
      </c>
      <c r="K544" s="1" t="n">
        <v>243</v>
      </c>
      <c r="L544" s="11" t="n">
        <v>0.845026215602172</v>
      </c>
      <c r="M544" s="1" t="n">
        <f aca="false">SUMIF(Relatorio_AK!$A:$A,A544,Relatorio_AK!$B:$B)</f>
        <v>243</v>
      </c>
      <c r="N544" s="1" t="str">
        <f aca="false">IF(M544=K544,"OK","DIF")</f>
        <v>OK</v>
      </c>
      <c r="O544" s="13" t="str">
        <f aca="false">IFERROR(VLOOKUP($A544,Lista_Starke!$A:$E,3,0),"NÃO ESTÁ NA LISTA")</f>
        <v>GM: Montana 1.2 12V 3 cil Turbo 23/...
GM: Tracker 1.0 12V 3 cil Turbo 20/...
GM: Tracker 1.2 12V 3 cil Turbo 20/...</v>
      </c>
      <c r="P544" s="12" t="str">
        <f aca="false">IFERROR(VLOOKUP($A544,Lista_Starke!$A:$E,2,0),"NÃO ESTÁ NA LISTA")</f>
        <v>CILINDRO MESTRE DE FREIO</v>
      </c>
    </row>
    <row r="545" customFormat="false" ht="15" hidden="false" customHeight="true" outlineLevel="0" collapsed="false">
      <c r="A545" s="10" t="s">
        <v>1229</v>
      </c>
      <c r="B545" s="10" t="str">
        <f aca="false">IFERROR(VLOOKUP(A545,Pedido!$A:$B,2,0),"")</f>
        <v/>
      </c>
      <c r="C545" s="10" t="str">
        <f aca="false">IF(B545="","NÃO COMPRA","COMPRA")</f>
        <v>NÃO COMPRA</v>
      </c>
      <c r="D545" s="1" t="n">
        <f aca="false">IFERROR(VLOOKUP(A545,Pedido!$A:$C,3,0),0)</f>
        <v>0</v>
      </c>
      <c r="E545" s="5" t="n">
        <f aca="false">IFERROR(VLOOKUP(A545,Pedido!$A:$E,5,0),0)</f>
        <v>0</v>
      </c>
      <c r="F545" s="1" t="s">
        <v>8</v>
      </c>
      <c r="G545" s="1" t="s">
        <v>297</v>
      </c>
      <c r="H545" s="1" t="s">
        <v>32</v>
      </c>
      <c r="I545" s="1" t="s">
        <v>255</v>
      </c>
      <c r="J545" s="1" t="s">
        <v>1230</v>
      </c>
      <c r="K545" s="1" t="n">
        <v>243</v>
      </c>
      <c r="L545" s="11" t="n">
        <v>0.845441630752345</v>
      </c>
      <c r="M545" s="1" t="n">
        <f aca="false">SUMIF(Relatorio_AK!$A:$A,A545,Relatorio_AK!$B:$B)</f>
        <v>243</v>
      </c>
      <c r="N545" s="1" t="str">
        <f aca="false">IF(M545=K545,"OK","DIF")</f>
        <v>OK</v>
      </c>
      <c r="O545" s="13" t="str">
        <f aca="false">IFERROR(VLOOKUP($A545,Lista_Starke!$A:$E,3,0),"NÃO ESTÁ NA LISTA")</f>
        <v>MITSUBISHI: L200 2.5 8V 4D56 97/03
MITSUBISHI: L200 Sport 2.5 HPE 03/12
MITSUBISHI: Pajero Sport 2.5 HPE 03/12</v>
      </c>
      <c r="P545" s="12" t="str">
        <f aca="false">IFERROR(VLOOKUP($A545,Lista_Starke!$A:$E,2,0),"NÃO ESTÁ NA LISTA")</f>
        <v>CILINDRO MESTRE DE EMBREAGEM</v>
      </c>
    </row>
    <row r="546" customFormat="false" ht="15" hidden="false" customHeight="true" outlineLevel="0" collapsed="false">
      <c r="A546" s="10" t="s">
        <v>1231</v>
      </c>
      <c r="B546" s="10" t="str">
        <f aca="false">IFERROR(VLOOKUP(A546,Pedido!$A:$B,2,0),"")</f>
        <v/>
      </c>
      <c r="C546" s="10" t="str">
        <f aca="false">IF(B546="","NÃO COMPRA","COMPRA")</f>
        <v>NÃO COMPRA</v>
      </c>
      <c r="D546" s="1" t="n">
        <f aca="false">IFERROR(VLOOKUP(A546,Pedido!$A:$C,3,0),0)</f>
        <v>0</v>
      </c>
      <c r="E546" s="5" t="n">
        <f aca="false">IFERROR(VLOOKUP(A546,Pedido!$A:$E,5,0),0)</f>
        <v>0</v>
      </c>
      <c r="F546" s="1" t="s">
        <v>8</v>
      </c>
      <c r="G546" s="1" t="s">
        <v>602</v>
      </c>
      <c r="H546" s="1" t="s">
        <v>35</v>
      </c>
      <c r="I546" s="1" t="s">
        <v>29</v>
      </c>
      <c r="J546" s="1" t="s">
        <v>1232</v>
      </c>
      <c r="K546" s="1" t="n">
        <v>242</v>
      </c>
      <c r="L546" s="11" t="n">
        <v>0.845855336375152</v>
      </c>
      <c r="M546" s="1" t="n">
        <f aca="false">SUMIF(Relatorio_AK!$A:$A,A546,Relatorio_AK!$B:$B)</f>
        <v>242</v>
      </c>
      <c r="N546" s="1" t="str">
        <f aca="false">IF(M546=K546,"OK","DIF")</f>
        <v>OK</v>
      </c>
      <c r="O546" s="12" t="str">
        <f aca="false">IFERROR(VLOOKUP($A546,Lista_Starke!$A:$E,3,0),"NÃO ESTÁ NA LISTA")</f>
        <v>HYUNDAI: H100 2.5 8V Diesel 95/04</v>
      </c>
      <c r="P546" s="12" t="str">
        <f aca="false">IFERROR(VLOOKUP($A546,Lista_Starke!$A:$E,2,0),"NÃO ESTÁ NA LISTA")</f>
        <v>CILINDRO MESTRE DE FREIO</v>
      </c>
    </row>
    <row r="547" customFormat="false" ht="15" hidden="false" customHeight="true" outlineLevel="0" collapsed="false">
      <c r="A547" s="10" t="s">
        <v>1233</v>
      </c>
      <c r="B547" s="10" t="str">
        <f aca="false">IFERROR(VLOOKUP(A547,Pedido!$A:$B,2,0),"")</f>
        <v/>
      </c>
      <c r="C547" s="10" t="str">
        <f aca="false">IF(B547="","NÃO COMPRA","COMPRA")</f>
        <v>NÃO COMPRA</v>
      </c>
      <c r="D547" s="1" t="n">
        <f aca="false">IFERROR(VLOOKUP(A547,Pedido!$A:$C,3,0),0)</f>
        <v>0</v>
      </c>
      <c r="E547" s="5" t="n">
        <f aca="false">IFERROR(VLOOKUP(A547,Pedido!$A:$E,5,0),0)</f>
        <v>0</v>
      </c>
      <c r="F547" s="1" t="s">
        <v>8</v>
      </c>
      <c r="G547" s="1" t="s">
        <v>1234</v>
      </c>
      <c r="H547" s="1" t="s">
        <v>131</v>
      </c>
      <c r="I547" s="1" t="s">
        <v>115</v>
      </c>
      <c r="J547" s="1" t="s">
        <v>1235</v>
      </c>
      <c r="K547" s="1" t="n">
        <v>240</v>
      </c>
      <c r="L547" s="11" t="n">
        <v>0.846265622943224</v>
      </c>
      <c r="M547" s="1" t="n">
        <f aca="false">SUMIF(Relatorio_AK!$A:$A,A547,Relatorio_AK!$B:$B)</f>
        <v>240</v>
      </c>
      <c r="N547" s="1" t="str">
        <f aca="false">IF(M547=K547,"OK","DIF")</f>
        <v>OK</v>
      </c>
      <c r="O547" s="12" t="str">
        <f aca="false">IFERROR(VLOOKUP($A547,Lista_Starke!$A:$E,3,0),"NÃO ESTÁ NA LISTA")</f>
        <v>JAC MOTORS: J3 1.4 16V 11/...</v>
      </c>
      <c r="P547" s="12" t="str">
        <f aca="false">IFERROR(VLOOKUP($A547,Lista_Starke!$A:$E,2,0),"NÃO ESTÁ NA LISTA")</f>
        <v>SAPATA DE FREIO</v>
      </c>
    </row>
    <row r="548" customFormat="false" ht="15" hidden="false" customHeight="true" outlineLevel="0" collapsed="false">
      <c r="A548" s="10" t="s">
        <v>1236</v>
      </c>
      <c r="B548" s="10" t="str">
        <f aca="false">IFERROR(VLOOKUP(A548,Pedido!$A:$B,2,0),"")</f>
        <v/>
      </c>
      <c r="C548" s="10" t="str">
        <f aca="false">IF(B548="","NÃO COMPRA","COMPRA")</f>
        <v>NÃO COMPRA</v>
      </c>
      <c r="D548" s="1" t="n">
        <f aca="false">IFERROR(VLOOKUP(A548,Pedido!$A:$C,3,0),0)</f>
        <v>0</v>
      </c>
      <c r="E548" s="5" t="n">
        <f aca="false">IFERROR(VLOOKUP(A548,Pedido!$A:$E,5,0),0)</f>
        <v>0</v>
      </c>
      <c r="F548" s="1" t="s">
        <v>8</v>
      </c>
      <c r="G548" s="1" t="s">
        <v>52</v>
      </c>
      <c r="H548" s="1" t="s">
        <v>35</v>
      </c>
      <c r="I548" s="1" t="s">
        <v>53</v>
      </c>
      <c r="K548" s="1" t="n">
        <v>239</v>
      </c>
      <c r="L548" s="11" t="n">
        <v>0.84667419998393</v>
      </c>
      <c r="M548" s="1" t="n">
        <f aca="false">SUMIF(Relatorio_AK!$A:$A,A548,Relatorio_AK!$B:$B)</f>
        <v>239</v>
      </c>
      <c r="N548" s="1" t="str">
        <f aca="false">IF(M548=K548,"OK","DIF")</f>
        <v>OK</v>
      </c>
      <c r="O548" s="12" t="str">
        <f aca="false">IFERROR(VLOOKUP($A548,Lista_Starke!$A:$E,3,0),"NÃO ESTÁ NA LISTA")</f>
        <v>FORD: Focus 2.0 16V Duratec 08/...</v>
      </c>
      <c r="P548" s="12" t="str">
        <f aca="false">IFERROR(VLOOKUP($A548,Lista_Starke!$A:$E,2,0),"NÃO ESTÁ NA LISTA")</f>
        <v>CILINDRO MESTRE DE FREIO</v>
      </c>
    </row>
    <row r="549" customFormat="false" ht="15" hidden="false" customHeight="true" outlineLevel="0" collapsed="false">
      <c r="A549" s="10" t="s">
        <v>1237</v>
      </c>
      <c r="B549" s="10" t="str">
        <f aca="false">IFERROR(VLOOKUP(A549,Pedido!$A:$B,2,0),"")</f>
        <v/>
      </c>
      <c r="C549" s="10" t="str">
        <f aca="false">IF(B549="","NÃO COMPRA","COMPRA")</f>
        <v>NÃO COMPRA</v>
      </c>
      <c r="D549" s="1" t="n">
        <f aca="false">IFERROR(VLOOKUP(A549,Pedido!$A:$C,3,0),0)</f>
        <v>0</v>
      </c>
      <c r="E549" s="5" t="n">
        <f aca="false">IFERROR(VLOOKUP(A549,Pedido!$A:$E,5,0),0)</f>
        <v>0</v>
      </c>
      <c r="F549" s="1" t="s">
        <v>8</v>
      </c>
      <c r="G549" s="1" t="s">
        <v>176</v>
      </c>
      <c r="H549" s="1" t="s">
        <v>35</v>
      </c>
      <c r="I549" s="1" t="s">
        <v>177</v>
      </c>
      <c r="J549" s="1" t="s">
        <v>1238</v>
      </c>
      <c r="K549" s="1" t="n">
        <v>239</v>
      </c>
      <c r="L549" s="11" t="n">
        <v>0.847082777024635</v>
      </c>
      <c r="M549" s="1" t="n">
        <f aca="false">SUMIF(Relatorio_AK!$A:$A,A549,Relatorio_AK!$B:$B)</f>
        <v>239</v>
      </c>
      <c r="N549" s="1" t="str">
        <f aca="false">IF(M549=K549,"OK","DIF")</f>
        <v>OK</v>
      </c>
      <c r="O549" s="13" t="str">
        <f aca="false">IFERROR(VLOOKUP($A549,Lista_Starke!$A:$E,3,0),"NÃO ESTÁ NA LISTA")</f>
        <v>TOYOTA: Bandeirante 3.8 OM314 82/96
TOYOTA: Bandeirante 4.0 OM364 82/96</v>
      </c>
      <c r="P549" s="12" t="str">
        <f aca="false">IFERROR(VLOOKUP($A549,Lista_Starke!$A:$E,2,0),"NÃO ESTÁ NA LISTA")</f>
        <v>CILINDRO MESTRE DE FREIO</v>
      </c>
    </row>
    <row r="550" customFormat="false" ht="15" hidden="false" customHeight="true" outlineLevel="0" collapsed="false">
      <c r="A550" s="10" t="s">
        <v>1239</v>
      </c>
      <c r="B550" s="10" t="str">
        <f aca="false">IFERROR(VLOOKUP(A550,Pedido!$A:$B,2,0),"")</f>
        <v/>
      </c>
      <c r="C550" s="10" t="str">
        <f aca="false">IF(B550="","NÃO COMPRA","COMPRA")</f>
        <v>NÃO COMPRA</v>
      </c>
      <c r="D550" s="1" t="n">
        <f aca="false">IFERROR(VLOOKUP(A550,Pedido!$A:$C,3,0),0)</f>
        <v>0</v>
      </c>
      <c r="E550" s="5" t="n">
        <f aca="false">IFERROR(VLOOKUP(A550,Pedido!$A:$E,5,0),0)</f>
        <v>0</v>
      </c>
      <c r="F550" s="1" t="s">
        <v>8</v>
      </c>
      <c r="G550" s="1" t="s">
        <v>474</v>
      </c>
      <c r="H550" s="1" t="s">
        <v>32</v>
      </c>
      <c r="I550" s="1" t="s">
        <v>77</v>
      </c>
      <c r="K550" s="1" t="n">
        <v>238</v>
      </c>
      <c r="L550" s="11" t="n">
        <v>0.847489644537974</v>
      </c>
      <c r="M550" s="1" t="n">
        <f aca="false">SUMIF(Relatorio_AK!$A:$A,A550,Relatorio_AK!$B:$B)</f>
        <v>238</v>
      </c>
      <c r="N550" s="1" t="str">
        <f aca="false">IF(M550=K550,"OK","DIF")</f>
        <v>OK</v>
      </c>
      <c r="O550" s="13" t="str">
        <f aca="false">IFERROR(VLOOKUP($A550,Lista_Starke!$A:$E,3,0),"NÃO ESTÁ NA LISTA")</f>
        <v>CITROEN: Jumpy 1.6 8V Diesel DV6 16/...
PEUGEOT: Expert 1.6 8V Diesel DV6 16/...</v>
      </c>
      <c r="P550" s="12" t="str">
        <f aca="false">IFERROR(VLOOKUP($A550,Lista_Starke!$A:$E,2,0),"NÃO ESTÁ NA LISTA")</f>
        <v>CILINDRO MESTRE DE EMBREAGEM</v>
      </c>
    </row>
    <row r="551" customFormat="false" ht="15" hidden="false" customHeight="true" outlineLevel="0" collapsed="false">
      <c r="A551" s="10" t="s">
        <v>1240</v>
      </c>
      <c r="B551" s="10" t="str">
        <f aca="false">IFERROR(VLOOKUP(A551,Pedido!$A:$B,2,0),"")</f>
        <v/>
      </c>
      <c r="C551" s="10" t="str">
        <f aca="false">IF(B551="","NÃO COMPRA","COMPRA")</f>
        <v>NÃO COMPRA</v>
      </c>
      <c r="D551" s="1" t="n">
        <f aca="false">IFERROR(VLOOKUP(A551,Pedido!$A:$C,3,0),0)</f>
        <v>0</v>
      </c>
      <c r="E551" s="5" t="n">
        <f aca="false">IFERROR(VLOOKUP(A551,Pedido!$A:$E,5,0),0)</f>
        <v>0</v>
      </c>
      <c r="F551" s="1" t="s">
        <v>8</v>
      </c>
      <c r="G551" s="1" t="s">
        <v>695</v>
      </c>
      <c r="H551" s="1" t="s">
        <v>197</v>
      </c>
      <c r="I551" s="1" t="s">
        <v>1066</v>
      </c>
      <c r="K551" s="1" t="n">
        <v>238</v>
      </c>
      <c r="L551" s="11" t="n">
        <v>0.847896512051312</v>
      </c>
      <c r="M551" s="1" t="n">
        <f aca="false">SUMIF(Relatorio_AK!$A:$A,A551,Relatorio_AK!$B:$B)</f>
        <v>238</v>
      </c>
      <c r="N551" s="1" t="str">
        <f aca="false">IF(M551=K551,"OK","DIF")</f>
        <v>OK</v>
      </c>
      <c r="O551" s="13" t="str">
        <f aca="false">IFERROR(VLOOKUP($A551,Lista_Starke!$A:$E,3,0),"NÃO ESTÁ NA LISTA")</f>
        <v>CHERY: QQ 0.8 12V   SQR372 07/…
CHERY: QQ 1.1 16V   SQR472 / SQR472F 07/…
RELY: Pick Up / Pick Up CD / Pick Up CE 1.0 16V    SQR472WC 13/…
RELY: Van 1.0 16V    SQR472WC 13/…</v>
      </c>
      <c r="P551" s="12" t="str">
        <f aca="false">IFERROR(VLOOKUP($A551,Lista_Starke!$A:$E,2,0),"NÃO ESTÁ NA LISTA")</f>
        <v>BOMBA D'ÁGUA</v>
      </c>
    </row>
    <row r="552" customFormat="false" ht="15" hidden="false" customHeight="true" outlineLevel="0" collapsed="false">
      <c r="A552" s="10" t="s">
        <v>1241</v>
      </c>
      <c r="B552" s="10" t="str">
        <f aca="false">IFERROR(VLOOKUP(A552,Pedido!$A:$B,2,0),"")</f>
        <v/>
      </c>
      <c r="C552" s="10" t="str">
        <f aca="false">IF(B552="","NÃO COMPRA","COMPRA")</f>
        <v>NÃO COMPRA</v>
      </c>
      <c r="D552" s="1" t="n">
        <f aca="false">IFERROR(VLOOKUP(A552,Pedido!$A:$C,3,0),0)</f>
        <v>0</v>
      </c>
      <c r="E552" s="5" t="n">
        <f aca="false">IFERROR(VLOOKUP(A552,Pedido!$A:$E,5,0),0)</f>
        <v>0</v>
      </c>
      <c r="F552" s="1" t="s">
        <v>8</v>
      </c>
      <c r="G552" s="1" t="s">
        <v>52</v>
      </c>
      <c r="H552" s="1" t="s">
        <v>35</v>
      </c>
      <c r="I552" s="1" t="s">
        <v>53</v>
      </c>
      <c r="J552" s="1" t="s">
        <v>1242</v>
      </c>
      <c r="K552" s="1" t="n">
        <v>238</v>
      </c>
      <c r="L552" s="11" t="n">
        <v>0.848303379564651</v>
      </c>
      <c r="M552" s="1" t="n">
        <f aca="false">SUMIF(Relatorio_AK!$A:$A,A552,Relatorio_AK!$B:$B)</f>
        <v>238</v>
      </c>
      <c r="N552" s="1" t="str">
        <f aca="false">IF(M552=K552,"OK","DIF")</f>
        <v>OK</v>
      </c>
      <c r="O552" s="13" t="str">
        <f aca="false">IFERROR(VLOOKUP($A552,Lista_Starke!$A:$E,3,0),"NÃO ESTÁ NA LISTA")</f>
        <v>FORD: F350  62/84
FORD: F400  62/84
FORD: F4000  62/84</v>
      </c>
      <c r="P552" s="12" t="str">
        <f aca="false">IFERROR(VLOOKUP($A552,Lista_Starke!$A:$E,2,0),"NÃO ESTÁ NA LISTA")</f>
        <v>CILINDRO MESTRE DE FREIO</v>
      </c>
    </row>
    <row r="553" customFormat="false" ht="15" hidden="false" customHeight="true" outlineLevel="0" collapsed="false">
      <c r="A553" s="10" t="s">
        <v>1243</v>
      </c>
      <c r="B553" s="10" t="str">
        <f aca="false">IFERROR(VLOOKUP(A553,Pedido!$A:$B,2,0),"")</f>
        <v/>
      </c>
      <c r="C553" s="10" t="str">
        <f aca="false">IF(B553="","NÃO COMPRA","COMPRA")</f>
        <v>NÃO COMPRA</v>
      </c>
      <c r="D553" s="1" t="n">
        <f aca="false">IFERROR(VLOOKUP(A553,Pedido!$A:$C,3,0),0)</f>
        <v>0</v>
      </c>
      <c r="E553" s="5" t="n">
        <f aca="false">IFERROR(VLOOKUP(A553,Pedido!$A:$E,5,0),0)</f>
        <v>0</v>
      </c>
      <c r="F553" s="1" t="s">
        <v>8</v>
      </c>
      <c r="G553" s="1" t="s">
        <v>332</v>
      </c>
      <c r="H553" s="1" t="s">
        <v>28</v>
      </c>
      <c r="I553" s="1" t="s">
        <v>177</v>
      </c>
      <c r="J553" s="1" t="s">
        <v>1244</v>
      </c>
      <c r="K553" s="1" t="n">
        <v>237</v>
      </c>
      <c r="L553" s="11" t="n">
        <v>0.848708537550623</v>
      </c>
      <c r="M553" s="1" t="n">
        <f aca="false">SUMIF(Relatorio_AK!$A:$A,A553,Relatorio_AK!$B:$B)</f>
        <v>237</v>
      </c>
      <c r="N553" s="1" t="str">
        <f aca="false">IF(M553=K553,"OK","DIF")</f>
        <v>OK</v>
      </c>
      <c r="O553" s="12" t="str">
        <f aca="false">IFERROR(VLOOKUP($A553,Lista_Starke!$A:$E,3,0),"NÃO ESTÁ NA LISTA")</f>
        <v>TOYOTA: Corolla 1.6 16V / 1.8 16V 92/02</v>
      </c>
      <c r="P553" s="12" t="str">
        <f aca="false">IFERROR(VLOOKUP($A553,Lista_Starke!$A:$E,2,0),"NÃO ESTÁ NA LISTA")</f>
        <v>CILINDRO AUXILIAR DE EMBREAGEM</v>
      </c>
    </row>
    <row r="554" customFormat="false" ht="15" hidden="false" customHeight="true" outlineLevel="0" collapsed="false">
      <c r="A554" s="10" t="s">
        <v>1245</v>
      </c>
      <c r="B554" s="10" t="str">
        <f aca="false">IFERROR(VLOOKUP(A554,Pedido!$A:$B,2,0),"")</f>
        <v/>
      </c>
      <c r="C554" s="10" t="str">
        <f aca="false">IF(B554="","NÃO COMPRA","COMPRA")</f>
        <v>NÃO COMPRA</v>
      </c>
      <c r="D554" s="1" t="n">
        <f aca="false">IFERROR(VLOOKUP(A554,Pedido!$A:$C,3,0),0)</f>
        <v>0</v>
      </c>
      <c r="E554" s="5" t="n">
        <f aca="false">IFERROR(VLOOKUP(A554,Pedido!$A:$E,5,0),0)</f>
        <v>0</v>
      </c>
      <c r="F554" s="1" t="s">
        <v>8</v>
      </c>
      <c r="G554" s="1" t="s">
        <v>52</v>
      </c>
      <c r="H554" s="1" t="s">
        <v>35</v>
      </c>
      <c r="I554" s="1" t="s">
        <v>53</v>
      </c>
      <c r="J554" s="1" t="s">
        <v>1246</v>
      </c>
      <c r="K554" s="1" t="n">
        <v>236</v>
      </c>
      <c r="L554" s="11" t="n">
        <v>0.849111986009227</v>
      </c>
      <c r="M554" s="1" t="n">
        <f aca="false">SUMIF(Relatorio_AK!$A:$A,A554,Relatorio_AK!$B:$B)</f>
        <v>236</v>
      </c>
      <c r="N554" s="1" t="str">
        <f aca="false">IF(M554=K554,"OK","DIF")</f>
        <v>OK</v>
      </c>
      <c r="O554" s="13" t="str">
        <f aca="false">IFERROR(VLOOKUP($A554,Lista_Starke!$A:$E,3,0),"NÃO ESTÁ NA LISTA")</f>
        <v>FORD: Focus 1.6 8V Zetec Rocam 07/08
FORD: Focus 2.0 16V Duratec 05/08
FORD: Focus 2.0 16V Zetec 00/05</v>
      </c>
      <c r="P554" s="12" t="str">
        <f aca="false">IFERROR(VLOOKUP($A554,Lista_Starke!$A:$E,2,0),"NÃO ESTÁ NA LISTA")</f>
        <v>CILINDRO MESTRE DE FREIO</v>
      </c>
    </row>
    <row r="555" customFormat="false" ht="15" hidden="false" customHeight="true" outlineLevel="0" collapsed="false">
      <c r="A555" s="10" t="s">
        <v>1247</v>
      </c>
      <c r="B555" s="10" t="str">
        <f aca="false">IFERROR(VLOOKUP(A555,Pedido!$A:$B,2,0),"")</f>
        <v/>
      </c>
      <c r="C555" s="10" t="str">
        <f aca="false">IF(B555="","NÃO COMPRA","COMPRA")</f>
        <v>NÃO COMPRA</v>
      </c>
      <c r="D555" s="1" t="n">
        <f aca="false">IFERROR(VLOOKUP(A555,Pedido!$A:$C,3,0),0)</f>
        <v>0</v>
      </c>
      <c r="E555" s="5" t="n">
        <f aca="false">IFERROR(VLOOKUP(A555,Pedido!$A:$E,5,0),0)</f>
        <v>0</v>
      </c>
      <c r="F555" s="1" t="s">
        <v>8</v>
      </c>
      <c r="G555" s="1" t="s">
        <v>229</v>
      </c>
      <c r="H555" s="1" t="s">
        <v>157</v>
      </c>
      <c r="I555" s="1" t="s">
        <v>42</v>
      </c>
      <c r="K555" s="1" t="n">
        <v>236</v>
      </c>
      <c r="L555" s="11" t="n">
        <v>0.849515434467832</v>
      </c>
      <c r="M555" s="1" t="n">
        <f aca="false">SUMIF(Relatorio_AK!$A:$A,A555,Relatorio_AK!$B:$B)</f>
        <v>236</v>
      </c>
      <c r="N555" s="1" t="str">
        <f aca="false">IF(M555=K555,"OK","DIF")</f>
        <v>OK</v>
      </c>
      <c r="O555" s="13" t="str">
        <f aca="false">IFERROR(VLOOKUP($A555,Lista_Starke!$A:$E,3,0),"NÃO ESTÁ NA LISTA")</f>
        <v>RENAULT: Master 2.3 16V Turbo 13/…
RENAULT: Master 2.5 16V Diesel G9U 05/…</v>
      </c>
      <c r="P555" s="12" t="str">
        <f aca="false">IFERROR(VLOOKUP($A555,Lista_Starke!$A:$E,2,0),"NÃO ESTÁ NA LISTA")</f>
        <v>ATUADOR DE EMBREAGEM</v>
      </c>
    </row>
    <row r="556" customFormat="false" ht="15" hidden="false" customHeight="true" outlineLevel="0" collapsed="false">
      <c r="A556" s="10" t="s">
        <v>1248</v>
      </c>
      <c r="B556" s="10" t="str">
        <f aca="false">IFERROR(VLOOKUP(A556,Pedido!$A:$B,2,0),"")</f>
        <v/>
      </c>
      <c r="C556" s="10" t="str">
        <f aca="false">IF(B556="","NÃO COMPRA","COMPRA")</f>
        <v>NÃO COMPRA</v>
      </c>
      <c r="D556" s="1" t="n">
        <f aca="false">IFERROR(VLOOKUP(A556,Pedido!$A:$C,3,0),0)</f>
        <v>0</v>
      </c>
      <c r="E556" s="5" t="n">
        <f aca="false">IFERROR(VLOOKUP(A556,Pedido!$A:$E,5,0),0)</f>
        <v>0</v>
      </c>
      <c r="F556" s="1" t="s">
        <v>8</v>
      </c>
      <c r="G556" s="1" t="s">
        <v>207</v>
      </c>
      <c r="H556" s="1" t="s">
        <v>197</v>
      </c>
      <c r="I556" s="1" t="s">
        <v>63</v>
      </c>
      <c r="J556" s="1" t="s">
        <v>1249</v>
      </c>
      <c r="K556" s="1" t="n">
        <v>236</v>
      </c>
      <c r="L556" s="11" t="n">
        <v>0.849918882926437</v>
      </c>
      <c r="M556" s="1" t="n">
        <f aca="false">SUMIF(Relatorio_AK!$A:$A,A556,Relatorio_AK!$B:$B)</f>
        <v>236</v>
      </c>
      <c r="N556" s="1" t="str">
        <f aca="false">IF(M556=K556,"OK","DIF")</f>
        <v>OK</v>
      </c>
      <c r="O556" s="13" t="str">
        <f aca="false">IFERROR(VLOOKUP($A556,Lista_Starke!$A:$E,3,0),"NÃO ESTÁ NA LISTA")</f>
        <v>NISSAN: Livina 1.6 16V 10/…
NISSAN: March 1.6 16V 11/…
NISSAN: Versa 1.6 16V 12/…
RENAULT: Clio 1.6 16V Hi Flex K4M 05/…
RENAULT: Clio 1.6 16V K4M 98/01
RENAULT: Duster 1.6 16V Hi Flex K4M 12/…
RENAULT: Kangoo 1.6 16V Hi Flex K4M 07/…
RENAULT: Laguna 1.6 16V K4M 98/…
RENAULT: Laguna 1.8 16V K4M 01/…
RENAULT: Logan 1.6 16V Hi Flex K4M 08/…
RENAULT: Megane 1.6 16V Hi Flex K4M 06/…
RENAULT: Megane 1.6 16V K4M 98/05
RENAULT: Megane Grand Tour 1.6 16V Hi Flex K4M 06/…
RENAULT: Oroch 1.6 16V K4M 15/...
RENAULT: Sandero 1.6 16V Hi Flex K4M 08/…
RENAULT: Scenic 1.6 16V Hi Flex K4M 05/…
RENAULT: Scenic 1.6 16V K4M 98/…
RENAULT: Symbol 1.6 16V Hi Flex K4M 09/…</v>
      </c>
      <c r="P556" s="12" t="str">
        <f aca="false">IFERROR(VLOOKUP($A556,Lista_Starke!$A:$E,2,0),"NÃO ESTÁ NA LISTA")</f>
        <v>BOMBA D'ÁGUA</v>
      </c>
    </row>
    <row r="557" customFormat="false" ht="15" hidden="false" customHeight="true" outlineLevel="0" collapsed="false">
      <c r="A557" s="10" t="s">
        <v>1250</v>
      </c>
      <c r="B557" s="10" t="str">
        <f aca="false">IFERROR(VLOOKUP(A557,Pedido!$A:$B,2,0),"")</f>
        <v/>
      </c>
      <c r="C557" s="10" t="str">
        <f aca="false">IF(B557="","NÃO COMPRA","COMPRA")</f>
        <v>NÃO COMPRA</v>
      </c>
      <c r="D557" s="1" t="n">
        <f aca="false">IFERROR(VLOOKUP(A557,Pedido!$A:$C,3,0),0)</f>
        <v>0</v>
      </c>
      <c r="E557" s="5" t="n">
        <f aca="false">IFERROR(VLOOKUP(A557,Pedido!$A:$E,5,0),0)</f>
        <v>0</v>
      </c>
      <c r="F557" s="1" t="s">
        <v>8</v>
      </c>
      <c r="G557" s="1" t="s">
        <v>841</v>
      </c>
      <c r="H557" s="1" t="s">
        <v>197</v>
      </c>
      <c r="I557" s="1" t="s">
        <v>50</v>
      </c>
      <c r="K557" s="1" t="n">
        <v>235</v>
      </c>
      <c r="L557" s="11" t="n">
        <v>0.850320621857674</v>
      </c>
      <c r="M557" s="1" t="n">
        <f aca="false">SUMIF(Relatorio_AK!$A:$A,A557,Relatorio_AK!$B:$B)</f>
        <v>235</v>
      </c>
      <c r="N557" s="1" t="str">
        <f aca="false">IF(M557=K557,"OK","DIF")</f>
        <v>OK</v>
      </c>
      <c r="O557" s="13" t="str">
        <f aca="false">IFERROR(VLOOKUP($A557,Lista_Starke!$A:$E,3,0),"NÃO ESTÁ NA LISTA")</f>
        <v>HONDA: Accord 2.0 16V   R20A3 08/…
HONDA: Accord 2.4 16V   K24Z3 08/…
HONDA: CRV 2.0 16V   R20A3 07/…
HONDA: CRV 2.0 16V   R20A9 12/…
HONDA: New Civic 2.0 16V   R20A9 13/…</v>
      </c>
      <c r="P557" s="12" t="str">
        <f aca="false">IFERROR(VLOOKUP($A557,Lista_Starke!$A:$E,2,0),"NÃO ESTÁ NA LISTA")</f>
        <v>BOMBA D'ÁGUA</v>
      </c>
    </row>
    <row r="558" customFormat="false" ht="15" hidden="false" customHeight="true" outlineLevel="0" collapsed="false">
      <c r="A558" s="10" t="s">
        <v>1251</v>
      </c>
      <c r="B558" s="10" t="str">
        <f aca="false">IFERROR(VLOOKUP(A558,Pedido!$A:$B,2,0),"")</f>
        <v/>
      </c>
      <c r="C558" s="10" t="str">
        <f aca="false">IF(B558="","NÃO COMPRA","COMPRA")</f>
        <v>NÃO COMPRA</v>
      </c>
      <c r="D558" s="1" t="n">
        <f aca="false">IFERROR(VLOOKUP(A558,Pedido!$A:$C,3,0),0)</f>
        <v>0</v>
      </c>
      <c r="E558" s="5" t="n">
        <f aca="false">IFERROR(VLOOKUP(A558,Pedido!$A:$E,5,0),0)</f>
        <v>0</v>
      </c>
      <c r="F558" s="1" t="s">
        <v>8</v>
      </c>
      <c r="G558" s="1" t="s">
        <v>193</v>
      </c>
      <c r="H558" s="1" t="s">
        <v>32</v>
      </c>
      <c r="I558" s="1" t="s">
        <v>53</v>
      </c>
      <c r="K558" s="1" t="n">
        <v>234</v>
      </c>
      <c r="L558" s="11" t="n">
        <v>0.850720651261545</v>
      </c>
      <c r="M558" s="1" t="n">
        <f aca="false">SUMIF(Relatorio_AK!$A:$A,A558,Relatorio_AK!$B:$B)</f>
        <v>234</v>
      </c>
      <c r="N558" s="1" t="str">
        <f aca="false">IF(M558=K558,"OK","DIF")</f>
        <v>OK</v>
      </c>
      <c r="O558" s="12" t="str">
        <f aca="false">IFERROR(VLOOKUP($A558,Lista_Starke!$A:$E,3,0),"NÃO ESTÁ NA LISTA")</f>
        <v>FORD: Mondeo  94/01</v>
      </c>
      <c r="P558" s="12" t="str">
        <f aca="false">IFERROR(VLOOKUP($A558,Lista_Starke!$A:$E,2,0),"NÃO ESTÁ NA LISTA")</f>
        <v>CILINDRO MESTRE DE EMBREAGEM</v>
      </c>
    </row>
    <row r="559" customFormat="false" ht="15" hidden="false" customHeight="true" outlineLevel="0" collapsed="false">
      <c r="A559" s="10" t="s">
        <v>1252</v>
      </c>
      <c r="B559" s="10" t="str">
        <f aca="false">IFERROR(VLOOKUP(A559,Pedido!$A:$B,2,0),"")</f>
        <v/>
      </c>
      <c r="C559" s="10" t="str">
        <f aca="false">IF(B559="","NÃO COMPRA","COMPRA")</f>
        <v>NÃO COMPRA</v>
      </c>
      <c r="D559" s="1" t="n">
        <f aca="false">IFERROR(VLOOKUP(A559,Pedido!$A:$C,3,0),0)</f>
        <v>0</v>
      </c>
      <c r="E559" s="5" t="n">
        <f aca="false">IFERROR(VLOOKUP(A559,Pedido!$A:$E,5,0),0)</f>
        <v>0</v>
      </c>
      <c r="F559" s="1" t="s">
        <v>8</v>
      </c>
      <c r="G559" s="1" t="s">
        <v>49</v>
      </c>
      <c r="H559" s="1" t="s">
        <v>32</v>
      </c>
      <c r="I559" s="1" t="s">
        <v>50</v>
      </c>
      <c r="J559" s="1" t="s">
        <v>1253</v>
      </c>
      <c r="K559" s="1" t="n">
        <v>233</v>
      </c>
      <c r="L559" s="11" t="n">
        <v>0.851118971138049</v>
      </c>
      <c r="M559" s="1" t="n">
        <f aca="false">SUMIF(Relatorio_AK!$A:$A,A559,Relatorio_AK!$B:$B)</f>
        <v>233</v>
      </c>
      <c r="N559" s="1" t="str">
        <f aca="false">IF(M559=K559,"OK","DIF")</f>
        <v>OK</v>
      </c>
      <c r="O559" s="12" t="str">
        <f aca="false">IFERROR(VLOOKUP($A559,Lista_Starke!$A:$E,3,0),"NÃO ESTÁ NA LISTA")</f>
        <v>HONDA: New Civic Si 2.0 16V K20Z4 09/11</v>
      </c>
      <c r="P559" s="12" t="str">
        <f aca="false">IFERROR(VLOOKUP($A559,Lista_Starke!$A:$E,2,0),"NÃO ESTÁ NA LISTA")</f>
        <v>CILINDRO MESTRE DE EMBREAGEM</v>
      </c>
    </row>
    <row r="560" customFormat="false" ht="15" hidden="false" customHeight="true" outlineLevel="0" collapsed="false">
      <c r="A560" s="10" t="s">
        <v>1254</v>
      </c>
      <c r="B560" s="10" t="str">
        <f aca="false">IFERROR(VLOOKUP(A560,Pedido!$A:$B,2,0),"")</f>
        <v/>
      </c>
      <c r="C560" s="10" t="str">
        <f aca="false">IF(B560="","NÃO COMPRA","COMPRA")</f>
        <v>NÃO COMPRA</v>
      </c>
      <c r="D560" s="1" t="n">
        <f aca="false">IFERROR(VLOOKUP(A560,Pedido!$A:$C,3,0),0)</f>
        <v>0</v>
      </c>
      <c r="E560" s="5" t="n">
        <f aca="false">IFERROR(VLOOKUP(A560,Pedido!$A:$E,5,0),0)</f>
        <v>0</v>
      </c>
      <c r="F560" s="1" t="s">
        <v>8</v>
      </c>
      <c r="G560" s="1" t="s">
        <v>176</v>
      </c>
      <c r="H560" s="1" t="s">
        <v>35</v>
      </c>
      <c r="I560" s="1" t="s">
        <v>177</v>
      </c>
      <c r="J560" s="1" t="s">
        <v>1255</v>
      </c>
      <c r="K560" s="1" t="n">
        <v>233</v>
      </c>
      <c r="L560" s="11" t="n">
        <v>0.851517291014552</v>
      </c>
      <c r="M560" s="1" t="n">
        <f aca="false">SUMIF(Relatorio_AK!$A:$A,A560,Relatorio_AK!$B:$B)</f>
        <v>233</v>
      </c>
      <c r="N560" s="1" t="str">
        <f aca="false">IF(M560=K560,"OK","DIF")</f>
        <v>OK</v>
      </c>
      <c r="O560" s="13" t="str">
        <f aca="false">IFERROR(VLOOKUP($A560,Lista_Starke!$A:$E,3,0),"NÃO ESTÁ NA LISTA")</f>
        <v>TOYOTA: Yaris 1.3 16V 18/...
TOYOTA: Yaris 1.5 16V 18/...</v>
      </c>
      <c r="P560" s="12" t="str">
        <f aca="false">IFERROR(VLOOKUP($A560,Lista_Starke!$A:$E,2,0),"NÃO ESTÁ NA LISTA")</f>
        <v>CILINDRO MESTRE DE FREIO</v>
      </c>
    </row>
    <row r="561" customFormat="false" ht="15" hidden="false" customHeight="true" outlineLevel="0" collapsed="false">
      <c r="A561" s="10" t="s">
        <v>1256</v>
      </c>
      <c r="B561" s="10" t="str">
        <f aca="false">IFERROR(VLOOKUP(A561,Pedido!$A:$B,2,0),"")</f>
        <v/>
      </c>
      <c r="C561" s="10" t="str">
        <f aca="false">IF(B561="","NÃO COMPRA","COMPRA")</f>
        <v>NÃO COMPRA</v>
      </c>
      <c r="D561" s="1" t="n">
        <f aca="false">IFERROR(VLOOKUP(A561,Pedido!$A:$C,3,0),0)</f>
        <v>0</v>
      </c>
      <c r="E561" s="5" t="n">
        <f aca="false">IFERROR(VLOOKUP(A561,Pedido!$A:$E,5,0),0)</f>
        <v>0</v>
      </c>
      <c r="F561" s="1" t="s">
        <v>8</v>
      </c>
      <c r="G561" s="1" t="s">
        <v>1257</v>
      </c>
      <c r="H561" s="1" t="s">
        <v>845</v>
      </c>
      <c r="I561" s="1" t="s">
        <v>255</v>
      </c>
      <c r="K561" s="1" t="n">
        <v>233</v>
      </c>
      <c r="L561" s="11" t="n">
        <v>0.851915610891056</v>
      </c>
      <c r="M561" s="1" t="n">
        <f aca="false">SUMIF(Relatorio_AK!$A:$A,A561,Relatorio_AK!$B:$B)</f>
        <v>233</v>
      </c>
      <c r="N561" s="1" t="str">
        <f aca="false">IF(M561=K561,"OK","DIF")</f>
        <v>OK</v>
      </c>
      <c r="O561" s="12" t="str">
        <f aca="false">IFERROR(VLOOKUP($A561,Lista_Starke!$A:$E,3,0),"NÃO ESTÁ NA LISTA")</f>
        <v>MITSUBISHI: Pajero Full 3.2 16V Diesel 4M41 DI-D 07/18</v>
      </c>
      <c r="P561" s="12" t="str">
        <f aca="false">IFERROR(VLOOKUP($A561,Lista_Starke!$A:$E,2,0),"NÃO ESTÁ NA LISTA")</f>
        <v>SAPATA DE FREIO DE MÃO</v>
      </c>
    </row>
    <row r="562" customFormat="false" ht="15" hidden="false" customHeight="true" outlineLevel="0" collapsed="false">
      <c r="A562" s="10" t="s">
        <v>1258</v>
      </c>
      <c r="B562" s="10" t="str">
        <f aca="false">IFERROR(VLOOKUP(A562,Pedido!$A:$B,2,0),"")</f>
        <v/>
      </c>
      <c r="C562" s="10" t="str">
        <f aca="false">IF(B562="","NÃO COMPRA","COMPRA")</f>
        <v>NÃO COMPRA</v>
      </c>
      <c r="D562" s="1" t="n">
        <f aca="false">IFERROR(VLOOKUP(A562,Pedido!$A:$C,3,0),0)</f>
        <v>0</v>
      </c>
      <c r="E562" s="5" t="n">
        <f aca="false">IFERROR(VLOOKUP(A562,Pedido!$A:$E,5,0),0)</f>
        <v>0</v>
      </c>
      <c r="F562" s="1" t="s">
        <v>8</v>
      </c>
      <c r="G562" s="1" t="s">
        <v>763</v>
      </c>
      <c r="H562" s="1" t="s">
        <v>197</v>
      </c>
      <c r="I562" s="1" t="s">
        <v>373</v>
      </c>
      <c r="J562" s="1" t="s">
        <v>1259</v>
      </c>
      <c r="K562" s="1" t="n">
        <v>233</v>
      </c>
      <c r="L562" s="11" t="n">
        <v>0.85231393076756</v>
      </c>
      <c r="M562" s="1" t="n">
        <f aca="false">SUMIF(Relatorio_AK!$A:$A,A562,Relatorio_AK!$B:$B)</f>
        <v>233</v>
      </c>
      <c r="N562" s="1" t="str">
        <f aca="false">IF(M562=K562,"OK","DIF")</f>
        <v>OK</v>
      </c>
      <c r="O562" s="13" t="str">
        <f aca="false">IFERROR(VLOOKUP($A562,Lista_Starke!$A:$E,3,0),"NÃO ESTÁ NA LISTA")</f>
        <v>MERCEDES-BENZ: C180 (C204) 1.6   M274.910 13/…
MERCEDES-BENZ: C180 (C204) 1.8   M271.820 11/…
MERCEDES-BENZ: C180 (W203) 2.0   M111.951 00/02
MERCEDES-BENZ: C180 CGI (W204) 1.6   M274.910 08/…
MERCEDES-BENZ: C180 CGI (W204) 1.8   M271.820 07/…
MERCEDES-BENZ: C180 Kompressor (W203) 1.8   M271.976 02/07
MERCEDES-BENZ: C180 Kompressor (W204) 1.6   M271.910 08/…
MERCEDES-BENZ: C180 Kompressor (W204) 1.8   M271.952 07/08
MERCEDES-BENZ: C200 (W204) 1.8   M271.820 11/…
MERCEDES-BENZ: C200 CGI (C204) 1.8   M271.820 11/…
MERCEDES-BENZ: C200 CGI (W204) 1.8   M271.820 07/…
MERCEDES-BENZ: C200 CGI Kompressor (W203) 1.8   M271.942 03/07
MERCEDES-BENZ: C200 Kompressor (W203) 1.8   M271.940 02/07
MERCEDES-BENZ: C200 Kompressor (W203) 2.0   M111.955 00/02
MERCEDES-BENZ: C200 Kompressor (W204) 1.8   M271.950 07/08
MERCEDES-BENZ: C230 (W203) 2.5   M272.920 05/07
MERCEDES-BENZ: C230 (W204) 2.5   M272.921 07/08
MERCEDES-BENZ: C230 4 Matic (W204) 2.5   M272.911 07/…
MERCEDES-BENZ: C230 Kompressor (W203) 1.8   M271.948 04/07
MERCEDES-BENZ: C240 (W203) 2.5   M112.912 00/07
MERCEDES-BENZ: C240 4 Matic (W203) 2.5   M112.916 02/07
MERCEDES-BENZ: C250 (C204) 1.8   M271.860 11/…
MERCEDES-BENZ: C250 CGI (W204) 1.8   M272.820 09/…
MERCEDES-BENZ: C280 (W203) 3.0   M272.940 05/07
MERCEDES-BENZ: C280 (W204) 3.0   M272.947 07/08
MERCEDES-BENZ: C280 4 Matic (W203) 3.0   M272.941 05/07
MERCEDES-BENZ: C280 4 Matic (W204) 3.0   M272.948 07/…
MERCEDES-BENZ: C300 (W204) 3.0   M272.947 09/…
MERCEDES-BENZ: C300 (W204) 3.0   M276.957 11/…
MERCEDES-BENZ: C300 4 Matic (W204) 3.0   M272.948 07/…
MERCEDES-BENZ: C300 4 Matic (W204) 3.0   M276.957 11/…
MERCEDES-BENZ: C32 AMG 3.2   M112.961 01/07
MERCEDES-BENZ: C320 (W203) 3.2   M112.946 00/07
MERCEDES-BENZ: C320 4 Matic (W203) 3.2   M112.953 02/07
MERCEDES-BENZ: C350 (W203) 3.5   M272.960 05/07
MERCEDES-BENZ: C350 (W204) 3.5   M272.961 07/08
MERCEDES-BENZ: C350 (W204) 3.5   M276.957 11/…
MERCEDES-BENZ: C350 4 Matic (W203) 3.5   M272.960 / M272.970 05/07
MERCEDES-BENZ: C350 4 Matic (W204) 3.5   M272.972 / M276.957 07/…
MERCEDES-BENZ: C350 CGI (W204) 3.5   M272.982 08/…
MERCEDES-BENZ: C55 AMG (W203) 5.4   M113.988 04/07
MERCEDES-BENZ: C63 AMG (W204) 6.2   M156.985 08/…
MERCEDES-BENZ: CLK200 CGI (C209) 1.8   M271.942 03/09
MERCEDES-BENZ: CLK200 Kompressor (C209) 1.8   M271.940 02/09
MERCEDES-BENZ: CLK200 Kompressor (C209) 1.8   M271.955 06/…
MERCEDES-BENZ: CLK240 (C209) 2.5   M112.912 02/09
MERCEDES-BENZ: CLK280 (C209) 3.0   M272.940 05/09
MERCEDES-BENZ: CLK320 (C209) 3.2   M112.955 02/09
MERCEDES-BENZ: CLK350 (C209) 3.5   M272.960 05/09
MERCEDES-BENZ: E200 Kompressor (W211) 1.8   M271.941 02/08
MERCEDES-BENZ: E200 Kompressor (W211) 1.8   M271.956 06/…
MERCEDES-BENZ: E230 (W211) 2.5   M272.922 07/08
MERCEDES-BENZ: E240 (W211) 2.5   M112.913 / M112.917 02/08
MERCEDES-BENZ: E240 4 Matic (W211) 2.5   M112.917 03/08
MERCEDES-BENZ: E280 (W211) 3.0   M272.943 05/08
MERCEDES-BENZ: E280 4 Matic (W211) 3.0   M272.943 06/08
MERCEDES-BENZ: E320 (W211) 3.2   M112.949 02/08
MERCEDES-BENZ: E320 4 Matic (W211) 3.2   M112.954 03/08
MERCEDES-BENZ: E350 (W211) 3.5   M272.964 05/08
MERCEDES-BENZ: E350 4 matic (W211) 3.5   M272.972 05/08
MERCEDES-BENZ: E350 CGI (W211) 3.5   M272.985 08/…
MERCEDES-BENZ: SLK200 Kompressor (R171) 1.8   M271.944 / M271.954 04/11
MERCEDES-BENZ: SLK280 (R171) 3.0   M272.942 05/11
MERCEDES-BENZ: SLK300 (R171) 3.0   M272.942 09/11
MERCEDES-BENZ: SLK350 (R171) 3.5   M272.963 / M272.965 02/11</v>
      </c>
      <c r="P562" s="12" t="str">
        <f aca="false">IFERROR(VLOOKUP($A562,Lista_Starke!$A:$E,2,0),"NÃO ESTÁ NA LISTA")</f>
        <v>BOMBA D'ÁGUA</v>
      </c>
    </row>
    <row r="563" customFormat="false" ht="15" hidden="false" customHeight="true" outlineLevel="0" collapsed="false">
      <c r="A563" s="10" t="s">
        <v>1260</v>
      </c>
      <c r="B563" s="10" t="str">
        <f aca="false">IFERROR(VLOOKUP(A563,Pedido!$A:$B,2,0),"")</f>
        <v/>
      </c>
      <c r="C563" s="10" t="str">
        <f aca="false">IF(B563="","NÃO COMPRA","COMPRA")</f>
        <v>NÃO COMPRA</v>
      </c>
      <c r="D563" s="1" t="n">
        <f aca="false">IFERROR(VLOOKUP(A563,Pedido!$A:$C,3,0),0)</f>
        <v>0</v>
      </c>
      <c r="E563" s="5" t="n">
        <f aca="false">IFERROR(VLOOKUP(A563,Pedido!$A:$E,5,0),0)</f>
        <v>0</v>
      </c>
      <c r="F563" s="1" t="s">
        <v>8</v>
      </c>
      <c r="G563" s="1" t="s">
        <v>65</v>
      </c>
      <c r="H563" s="1" t="s">
        <v>35</v>
      </c>
      <c r="I563" s="1" t="s">
        <v>46</v>
      </c>
      <c r="J563" s="1" t="s">
        <v>1261</v>
      </c>
      <c r="K563" s="1" t="n">
        <v>232</v>
      </c>
      <c r="L563" s="11" t="n">
        <v>0.852710541116697</v>
      </c>
      <c r="M563" s="1" t="n">
        <f aca="false">SUMIF(Relatorio_AK!$A:$A,A563,Relatorio_AK!$B:$B)</f>
        <v>232</v>
      </c>
      <c r="N563" s="1" t="str">
        <f aca="false">IF(M563=K563,"OK","DIF")</f>
        <v>OK</v>
      </c>
      <c r="O563" s="12" t="str">
        <f aca="false">IFERROR(VLOOKUP($A563,Lista_Starke!$A:$E,3,0),"NÃO ESTÁ NA LISTA")</f>
        <v>FIAT: Doblo  02/...</v>
      </c>
      <c r="P563" s="12" t="str">
        <f aca="false">IFERROR(VLOOKUP($A563,Lista_Starke!$A:$E,2,0),"NÃO ESTÁ NA LISTA")</f>
        <v>CILINDRO MESTRE DE FREIO</v>
      </c>
    </row>
    <row r="564" customFormat="false" ht="15" hidden="false" customHeight="true" outlineLevel="0" collapsed="false">
      <c r="A564" s="10" t="s">
        <v>1262</v>
      </c>
      <c r="B564" s="10" t="str">
        <f aca="false">IFERROR(VLOOKUP(A564,Pedido!$A:$B,2,0),"")</f>
        <v/>
      </c>
      <c r="C564" s="10" t="str">
        <f aca="false">IF(B564="","NÃO COMPRA","COMPRA")</f>
        <v>NÃO COMPRA</v>
      </c>
      <c r="D564" s="1" t="n">
        <f aca="false">IFERROR(VLOOKUP(A564,Pedido!$A:$C,3,0),0)</f>
        <v>0</v>
      </c>
      <c r="E564" s="5" t="n">
        <f aca="false">IFERROR(VLOOKUP(A564,Pedido!$A:$E,5,0),0)</f>
        <v>0</v>
      </c>
      <c r="F564" s="1" t="s">
        <v>8</v>
      </c>
      <c r="G564" s="1" t="s">
        <v>753</v>
      </c>
      <c r="H564" s="1" t="s">
        <v>28</v>
      </c>
      <c r="I564" s="1" t="s">
        <v>53</v>
      </c>
      <c r="J564" s="1" t="s">
        <v>1263</v>
      </c>
      <c r="K564" s="1" t="n">
        <v>232</v>
      </c>
      <c r="L564" s="11" t="n">
        <v>0.853107151465833</v>
      </c>
      <c r="M564" s="1" t="n">
        <f aca="false">SUMIF(Relatorio_AK!$A:$A,A564,Relatorio_AK!$B:$B)</f>
        <v>232</v>
      </c>
      <c r="N564" s="1" t="str">
        <f aca="false">IF(M564=K564,"OK","DIF")</f>
        <v>OK</v>
      </c>
      <c r="O564" s="13" t="str">
        <f aca="false">IFERROR(VLOOKUP($A564,Lista_Starke!$A:$E,3,0),"NÃO ESTÁ NA LISTA")</f>
        <v>F250  99/...
FORD: F350  99/...
FORD: F4000  99/...</v>
      </c>
      <c r="P564" s="12" t="str">
        <f aca="false">IFERROR(VLOOKUP($A564,Lista_Starke!$A:$E,2,0),"NÃO ESTÁ NA LISTA")</f>
        <v>CILINDRO AUXILIAR DE EMBREAGEM</v>
      </c>
    </row>
    <row r="565" customFormat="false" ht="15" hidden="false" customHeight="true" outlineLevel="0" collapsed="false">
      <c r="A565" s="10" t="s">
        <v>1264</v>
      </c>
      <c r="B565" s="10" t="str">
        <f aca="false">IFERROR(VLOOKUP(A565,Pedido!$A:$B,2,0),"")</f>
        <v/>
      </c>
      <c r="C565" s="10" t="str">
        <f aca="false">IF(B565="","NÃO COMPRA","COMPRA")</f>
        <v>NÃO COMPRA</v>
      </c>
      <c r="D565" s="1" t="n">
        <f aca="false">IFERROR(VLOOKUP(A565,Pedido!$A:$C,3,0),0)</f>
        <v>0</v>
      </c>
      <c r="E565" s="5" t="n">
        <f aca="false">IFERROR(VLOOKUP(A565,Pedido!$A:$E,5,0),0)</f>
        <v>0</v>
      </c>
      <c r="F565" s="1" t="s">
        <v>8</v>
      </c>
      <c r="G565" s="1" t="s">
        <v>1265</v>
      </c>
      <c r="H565" s="1" t="s">
        <v>88</v>
      </c>
      <c r="I565" s="1" t="s">
        <v>184</v>
      </c>
      <c r="J565" s="1" t="s">
        <v>1266</v>
      </c>
      <c r="K565" s="1" t="n">
        <v>231</v>
      </c>
      <c r="L565" s="11" t="n">
        <v>0.853502052287603</v>
      </c>
      <c r="M565" s="1" t="n">
        <f aca="false">SUMIF(Relatorio_AK!$A:$A,A565,Relatorio_AK!$B:$B)</f>
        <v>231</v>
      </c>
      <c r="N565" s="1" t="str">
        <f aca="false">IF(M565=K565,"OK","DIF")</f>
        <v>OK</v>
      </c>
      <c r="O565" s="13" t="str">
        <f aca="false">IFERROR(VLOOKUP($A565,Lista_Starke!$A:$E,3,0),"NÃO ESTÁ NA LISTA")</f>
        <v>FORD: Versailles 1.8 8V AP 91/94
FORD: Versailles 2.0 8V AP 91/94
VOLKSWAGEN: Gol 1.0 8V CHT 92/96
VOLKSWAGEN: Gol 1.0 8V EA111 05/12
VOLKSWAGEN: Gol 1.0 8V MI 99/05
VOLKSWAGEN: Gol 1.3 8V 80/...
VOLKSWAGEN: Gol 1.6 8V 83/...
VOLKSWAGEN: Gol 1.6 8V AP 99/05
VOLKSWAGEN: Gol 1.8 8V 85/...
VOLKSWAGEN: Gol 1.8 8V AP 96/02
VOLKSWAGEN: Gol Power 1.6 8V AP c/ abs 03/05
VOLKSWAGEN: Passat 1.5 8V 74/89
VOLKSWAGEN: Passat 1.6 8V AP 82/89
VOLKSWAGEN: Passat 1.8 8V AP 86/89
VOLKSWAGEN: Santana 1.8 8V AP 84/...
VOLKSWAGEN: Santana 1.8 8V AP 99/06
VOLKSWAGEN: Santana 2.0 8V AP 84/...
VOLKSWAGEN: Santana 2.0 8V AP 98/06
VOLKSWAGEN: Voyage 1.6 8V AP 80/96
VOLKSWAGEN: Voyage 1.8 8V AP 80/96</v>
      </c>
      <c r="P565" s="12" t="str">
        <f aca="false">IFERROR(VLOOKUP($A565,Lista_Starke!$A:$E,2,0),"NÃO ESTÁ NA LISTA")</f>
        <v>CILINDRO DE RODA LE/LD - IGUAL SWC5083</v>
      </c>
    </row>
    <row r="566" customFormat="false" ht="15" hidden="false" customHeight="true" outlineLevel="0" collapsed="false">
      <c r="A566" s="10" t="s">
        <v>1267</v>
      </c>
      <c r="B566" s="10" t="str">
        <f aca="false">IFERROR(VLOOKUP(A566,Pedido!$A:$B,2,0),"")</f>
        <v/>
      </c>
      <c r="C566" s="10" t="str">
        <f aca="false">IF(B566="","NÃO COMPRA","COMPRA")</f>
        <v>NÃO COMPRA</v>
      </c>
      <c r="D566" s="1" t="n">
        <f aca="false">IFERROR(VLOOKUP(A566,Pedido!$A:$C,3,0),0)</f>
        <v>0</v>
      </c>
      <c r="E566" s="5" t="n">
        <f aca="false">IFERROR(VLOOKUP(A566,Pedido!$A:$E,5,0),0)</f>
        <v>0</v>
      </c>
      <c r="F566" s="1" t="s">
        <v>8</v>
      </c>
      <c r="G566" s="1" t="s">
        <v>193</v>
      </c>
      <c r="H566" s="1" t="s">
        <v>32</v>
      </c>
      <c r="I566" s="1" t="s">
        <v>53</v>
      </c>
      <c r="J566" s="1" t="s">
        <v>1268</v>
      </c>
      <c r="K566" s="1" t="n">
        <v>230</v>
      </c>
      <c r="L566" s="11" t="n">
        <v>0.853895243582006</v>
      </c>
      <c r="M566" s="1" t="n">
        <f aca="false">SUMIF(Relatorio_AK!$A:$A,A566,Relatorio_AK!$B:$B)</f>
        <v>230</v>
      </c>
      <c r="N566" s="1" t="str">
        <f aca="false">IF(M566=K566,"OK","DIF")</f>
        <v>OK</v>
      </c>
      <c r="O566" s="12" t="str">
        <f aca="false">IFERROR(VLOOKUP($A566,Lista_Starke!$A:$E,3,0),"NÃO ESTÁ NA LISTA")</f>
        <v>FORD: Transit 2.4 16V TDCi Duratorq .../14</v>
      </c>
      <c r="P566" s="12" t="str">
        <f aca="false">IFERROR(VLOOKUP($A566,Lista_Starke!$A:$E,2,0),"NÃO ESTÁ NA LISTA")</f>
        <v>CILINDRO MESTRE DE EMBREAGEM</v>
      </c>
    </row>
    <row r="567" customFormat="false" ht="15" hidden="false" customHeight="true" outlineLevel="0" collapsed="false">
      <c r="A567" s="10" t="s">
        <v>1269</v>
      </c>
      <c r="B567" s="10" t="str">
        <f aca="false">IFERROR(VLOOKUP(A567,Pedido!$A:$B,2,0),"")</f>
        <v/>
      </c>
      <c r="C567" s="10" t="str">
        <f aca="false">IF(B567="","NÃO COMPRA","COMPRA")</f>
        <v>NÃO COMPRA</v>
      </c>
      <c r="D567" s="1" t="n">
        <f aca="false">IFERROR(VLOOKUP(A567,Pedido!$A:$C,3,0),0)</f>
        <v>0</v>
      </c>
      <c r="E567" s="5" t="n">
        <f aca="false">IFERROR(VLOOKUP(A567,Pedido!$A:$E,5,0),0)</f>
        <v>0</v>
      </c>
      <c r="F567" s="1" t="s">
        <v>8</v>
      </c>
      <c r="G567" s="1" t="s">
        <v>372</v>
      </c>
      <c r="H567" s="1" t="s">
        <v>35</v>
      </c>
      <c r="I567" s="1" t="s">
        <v>373</v>
      </c>
      <c r="J567" s="1" t="s">
        <v>1270</v>
      </c>
      <c r="K567" s="1" t="n">
        <v>230</v>
      </c>
      <c r="L567" s="11" t="n">
        <v>0.854288434876409</v>
      </c>
      <c r="M567" s="1" t="n">
        <f aca="false">SUMIF(Relatorio_AK!$A:$A,A567,Relatorio_AK!$B:$B)</f>
        <v>230</v>
      </c>
      <c r="N567" s="1" t="str">
        <f aca="false">IF(M567=K567,"OK","DIF")</f>
        <v>OK</v>
      </c>
      <c r="O567" s="12" t="str">
        <f aca="false">IFERROR(VLOOKUP($A567,Lista_Starke!$A:$E,3,0),"NÃO ESTÁ NA LISTA")</f>
        <v>MERCEDES-BENZ: Sprinter 312D  00/...</v>
      </c>
      <c r="P567" s="12" t="str">
        <f aca="false">IFERROR(VLOOKUP($A567,Lista_Starke!$A:$E,2,0),"NÃO ESTÁ NA LISTA")</f>
        <v>CILINDRO MESTRE DE FREIO</v>
      </c>
    </row>
    <row r="568" customFormat="false" ht="15" hidden="false" customHeight="true" outlineLevel="0" collapsed="false">
      <c r="A568" s="10" t="s">
        <v>1271</v>
      </c>
      <c r="B568" s="10" t="str">
        <f aca="false">IFERROR(VLOOKUP(A568,Pedido!$A:$B,2,0),"")</f>
        <v/>
      </c>
      <c r="C568" s="10" t="str">
        <f aca="false">IF(B568="","NÃO COMPRA","COMPRA")</f>
        <v>NÃO COMPRA</v>
      </c>
      <c r="D568" s="1" t="n">
        <f aca="false">IFERROR(VLOOKUP(A568,Pedido!$A:$C,3,0),0)</f>
        <v>0</v>
      </c>
      <c r="E568" s="5" t="n">
        <f aca="false">IFERROR(VLOOKUP(A568,Pedido!$A:$E,5,0),0)</f>
        <v>0</v>
      </c>
      <c r="F568" s="1" t="s">
        <v>8</v>
      </c>
      <c r="G568" s="1" t="s">
        <v>56</v>
      </c>
      <c r="H568" s="1" t="s">
        <v>35</v>
      </c>
      <c r="I568" s="1" t="s">
        <v>57</v>
      </c>
      <c r="J568" s="1" t="s">
        <v>1272</v>
      </c>
      <c r="K568" s="1" t="n">
        <v>230</v>
      </c>
      <c r="L568" s="11" t="n">
        <v>0.854681626170812</v>
      </c>
      <c r="M568" s="1" t="n">
        <f aca="false">SUMIF(Relatorio_AK!$A:$A,A568,Relatorio_AK!$B:$B)</f>
        <v>230</v>
      </c>
      <c r="N568" s="1" t="str">
        <f aca="false">IF(M568=K568,"OK","DIF")</f>
        <v>OK</v>
      </c>
      <c r="O568" s="13" t="str">
        <f aca="false">IFERROR(VLOOKUP($A568,Lista_Starke!$A:$E,3,0),"NÃO ESTÁ NA LISTA")</f>
        <v>GM: Tracker 1.4 Turbo 17/19
GM: Tracker 1.8 16V 14/16</v>
      </c>
      <c r="P568" s="12" t="str">
        <f aca="false">IFERROR(VLOOKUP($A568,Lista_Starke!$A:$E,2,0),"NÃO ESTÁ NA LISTA")</f>
        <v>CILINDRO MESTRE DE FREIO</v>
      </c>
    </row>
    <row r="569" customFormat="false" ht="15" hidden="false" customHeight="true" outlineLevel="0" collapsed="false">
      <c r="A569" s="10" t="s">
        <v>1273</v>
      </c>
      <c r="B569" s="10" t="str">
        <f aca="false">IFERROR(VLOOKUP(A569,Pedido!$A:$B,2,0),"")</f>
        <v/>
      </c>
      <c r="C569" s="10" t="str">
        <f aca="false">IF(B569="","NÃO COMPRA","COMPRA")</f>
        <v>NÃO COMPRA</v>
      </c>
      <c r="D569" s="1" t="n">
        <f aca="false">IFERROR(VLOOKUP(A569,Pedido!$A:$C,3,0),0)</f>
        <v>0</v>
      </c>
      <c r="E569" s="5" t="n">
        <f aca="false">IFERROR(VLOOKUP(A569,Pedido!$A:$E,5,0),0)</f>
        <v>0</v>
      </c>
      <c r="F569" s="1" t="s">
        <v>8</v>
      </c>
      <c r="G569" s="1" t="s">
        <v>117</v>
      </c>
      <c r="H569" s="1" t="s">
        <v>32</v>
      </c>
      <c r="I569" s="1" t="s">
        <v>57</v>
      </c>
      <c r="J569" s="1" t="s">
        <v>1274</v>
      </c>
      <c r="K569" s="1" t="n">
        <v>230</v>
      </c>
      <c r="L569" s="11" t="n">
        <v>0.855074817465215</v>
      </c>
      <c r="M569" s="1" t="n">
        <f aca="false">SUMIF(Relatorio_AK!$A:$A,A569,Relatorio_AK!$B:$B)</f>
        <v>230</v>
      </c>
      <c r="N569" s="1" t="str">
        <f aca="false">IF(M569=K569,"OK","DIF")</f>
        <v>OK</v>
      </c>
      <c r="O569" s="12" t="str">
        <f aca="false">IFERROR(VLOOKUP($A569,Lista_Starke!$A:$E,3,0),"NÃO ESTÁ NA LISTA")</f>
        <v>GM: Zafira  01/...</v>
      </c>
      <c r="P569" s="12" t="str">
        <f aca="false">IFERROR(VLOOKUP($A569,Lista_Starke!$A:$E,2,0),"NÃO ESTÁ NA LISTA")</f>
        <v>CILINDRO MESTRE DE EMBREAGEM</v>
      </c>
    </row>
    <row r="570" customFormat="false" ht="15" hidden="false" customHeight="true" outlineLevel="0" collapsed="false">
      <c r="A570" s="10" t="s">
        <v>1275</v>
      </c>
      <c r="B570" s="10" t="str">
        <f aca="false">IFERROR(VLOOKUP(A570,Pedido!$A:$B,2,0),"")</f>
        <v/>
      </c>
      <c r="C570" s="10" t="str">
        <f aca="false">IF(B570="","NÃO COMPRA","COMPRA")</f>
        <v>NÃO COMPRA</v>
      </c>
      <c r="D570" s="1" t="n">
        <f aca="false">IFERROR(VLOOKUP(A570,Pedido!$A:$C,3,0),0)</f>
        <v>0</v>
      </c>
      <c r="E570" s="5" t="n">
        <f aca="false">IFERROR(VLOOKUP(A570,Pedido!$A:$E,5,0),0)</f>
        <v>0</v>
      </c>
      <c r="F570" s="1" t="s">
        <v>8</v>
      </c>
      <c r="G570" s="1" t="s">
        <v>168</v>
      </c>
      <c r="H570" s="1" t="s">
        <v>131</v>
      </c>
      <c r="I570" s="1" t="s">
        <v>57</v>
      </c>
      <c r="J570" s="1" t="s">
        <v>1276</v>
      </c>
      <c r="K570" s="1" t="n">
        <v>229</v>
      </c>
      <c r="L570" s="11" t="n">
        <v>0.85546629923225</v>
      </c>
      <c r="M570" s="1" t="n">
        <f aca="false">SUMIF(Relatorio_AK!$A:$A,A570,Relatorio_AK!$B:$B)</f>
        <v>229</v>
      </c>
      <c r="N570" s="1" t="str">
        <f aca="false">IF(M570=K570,"OK","DIF")</f>
        <v>OK</v>
      </c>
      <c r="O570" s="13" t="str">
        <f aca="false">IFERROR(VLOOKUP($A570,Lista_Starke!$A:$E,3,0),"NÃO ESTÁ NA LISTA")</f>
        <v>GM: Tracker 1.0 12V 3 cil Turbo 20/...
GM: Tracker 1.2 12V 3 cil Turbo 20/...</v>
      </c>
      <c r="P570" s="12" t="str">
        <f aca="false">IFERROR(VLOOKUP($A570,Lista_Starke!$A:$E,2,0),"NÃO ESTÁ NA LISTA")</f>
        <v>SAPATA DE FREIO</v>
      </c>
    </row>
    <row r="571" customFormat="false" ht="15" hidden="false" customHeight="true" outlineLevel="0" collapsed="false">
      <c r="A571" s="10" t="s">
        <v>1277</v>
      </c>
      <c r="B571" s="10" t="str">
        <f aca="false">IFERROR(VLOOKUP(A571,Pedido!$A:$B,2,0),"")</f>
        <v/>
      </c>
      <c r="C571" s="10" t="str">
        <f aca="false">IF(B571="","NÃO COMPRA","COMPRA")</f>
        <v>NÃO COMPRA</v>
      </c>
      <c r="D571" s="1" t="n">
        <f aca="false">IFERROR(VLOOKUP(A571,Pedido!$A:$C,3,0),0)</f>
        <v>0</v>
      </c>
      <c r="E571" s="5" t="n">
        <f aca="false">IFERROR(VLOOKUP(A571,Pedido!$A:$E,5,0),0)</f>
        <v>0</v>
      </c>
      <c r="F571" s="1" t="s">
        <v>8</v>
      </c>
      <c r="G571" s="1" t="s">
        <v>1278</v>
      </c>
      <c r="H571" s="1" t="s">
        <v>197</v>
      </c>
      <c r="I571" s="1" t="s">
        <v>709</v>
      </c>
      <c r="K571" s="1" t="n">
        <v>229</v>
      </c>
      <c r="L571" s="11" t="n">
        <v>0.855857780999286</v>
      </c>
      <c r="M571" s="1" t="n">
        <f aca="false">SUMIF(Relatorio_AK!$A:$A,A571,Relatorio_AK!$B:$B)</f>
        <v>229</v>
      </c>
      <c r="N571" s="1" t="str">
        <f aca="false">IF(M571=K571,"OK","DIF")</f>
        <v>OK</v>
      </c>
      <c r="O571" s="13" t="str">
        <f aca="false">IFERROR(VLOOKUP($A571,Lista_Starke!$A:$E,3,0),"NÃO ESTÁ NA LISTA")</f>
        <v>LAND ROVER: Evoque 2.0 Si4       204PT 11/…
VOLVO: C30 1.8 16V / 2.0 16V 06/…
VOLVO: S40 1.8 16V / 2.0 16V 07/…
VOLVO: S60 2.0 20V Turbo 5 cil 05/…
VOLVO: S60 T5 2.0 20V Turbo 5 cil 05/…
VOLVO: S80 2.0 16V 07/…
VOLVO: S80 2.0 20V Turbo 5 cil 10/…
VOLVO: V60 2.0 20V Turbo 5 cil 06/…
VOLVO: V60 T5 2.0 20V Turbo 5 cil 10/…
VOLVO: V70 2.0 16V 07/…
VOLVO: V70 2.0 20V Turbo 5 cil 10/…
VOLVO: V70 T5 2.0 20V Turbo 5 cil 10/…
VOLVO: XC60 2.0 20V Turbo 5 cil 10/…
VOLVO: XC60 T5 2.0 20V Turbo 5 cil 10/…</v>
      </c>
      <c r="P571" s="12" t="str">
        <f aca="false">IFERROR(VLOOKUP($A571,Lista_Starke!$A:$E,2,0),"NÃO ESTÁ NA LISTA")</f>
        <v>BOMBA D'ÁGUA</v>
      </c>
    </row>
    <row r="572" customFormat="false" ht="15" hidden="false" customHeight="true" outlineLevel="0" collapsed="false">
      <c r="A572" s="10" t="s">
        <v>1279</v>
      </c>
      <c r="B572" s="10" t="str">
        <f aca="false">IFERROR(VLOOKUP(A572,Pedido!$A:$B,2,0),"")</f>
        <v/>
      </c>
      <c r="C572" s="10" t="str">
        <f aca="false">IF(B572="","NÃO COMPRA","COMPRA")</f>
        <v>NÃO COMPRA</v>
      </c>
      <c r="D572" s="1" t="n">
        <f aca="false">IFERROR(VLOOKUP(A572,Pedido!$A:$C,3,0),0)</f>
        <v>0</v>
      </c>
      <c r="E572" s="5" t="n">
        <f aca="false">IFERROR(VLOOKUP(A572,Pedido!$A:$E,5,0),0)</f>
        <v>0</v>
      </c>
      <c r="F572" s="1" t="s">
        <v>8</v>
      </c>
      <c r="G572" s="1" t="s">
        <v>1280</v>
      </c>
      <c r="H572" s="1" t="s">
        <v>88</v>
      </c>
      <c r="I572" s="1" t="s">
        <v>184</v>
      </c>
      <c r="J572" s="1" t="s">
        <v>1266</v>
      </c>
      <c r="K572" s="1" t="n">
        <v>229</v>
      </c>
      <c r="L572" s="11" t="n">
        <v>0.856249262766322</v>
      </c>
      <c r="M572" s="1" t="n">
        <f aca="false">SUMIF(Relatorio_AK!$A:$A,A572,Relatorio_AK!$B:$B)</f>
        <v>229</v>
      </c>
      <c r="N572" s="1" t="str">
        <f aca="false">IF(M572=K572,"OK","DIF")</f>
        <v>OK</v>
      </c>
      <c r="O572" s="13" t="str">
        <f aca="false">IFERROR(VLOOKUP($A572,Lista_Starke!$A:$E,3,0),"NÃO ESTÁ NA LISTA")</f>
        <v>FORD: Versailles 1.8 8V AP 91/94
FORD: Versailles 2.0 8V AP 91/94
VOLKSWAGEN: Gol 1.0 8V CHT 92/96
VOLKSWAGEN: Gol 1.0 8V EA111 05/12
VOLKSWAGEN: Gol 1.0 8V MI 99/05
VOLKSWAGEN: Gol 1.3 8V 80/...
VOLKSWAGEN: Gol 1.6 8V 83/...
VOLKSWAGEN: Gol 1.6 8V AP 99/05
VOLKSWAGEN: Gol 1.8 8V 85/...
VOLKSWAGEN: Gol 1.8 8V AP 96/02
VOLKSWAGEN: Gol Power 1.6 8V AP c/ abs 03/05
VOLKSWAGEN: Passat 1.5 8V 74/89
VOLKSWAGEN: Passat 1.6 8V AP 82/89
VOLKSWAGEN: Passat 1.8 8V AP 86/89
VOLKSWAGEN: Santana 1.8 8V AP 84/...
VOLKSWAGEN: Santana 1.8 8V AP 99/06
VOLKSWAGEN: Santana 2.0 8V AP 84/...
VOLKSWAGEN: Santana 2.0 8V AP 98/06
VOLKSWAGEN: Voyage 1.6 8V AP 80/96
VOLKSWAGEN: Voyage 1.8 8V AP 80/96</v>
      </c>
      <c r="P572" s="12" t="str">
        <f aca="false">IFERROR(VLOOKUP($A572,Lista_Starke!$A:$E,2,0),"NÃO ESTÁ NA LISTA")</f>
        <v>CILINDRO DE RODA LE/LD - IGUAL SWC5101</v>
      </c>
    </row>
    <row r="573" customFormat="false" ht="15" hidden="false" customHeight="true" outlineLevel="0" collapsed="false">
      <c r="A573" s="10" t="s">
        <v>1281</v>
      </c>
      <c r="B573" s="10" t="str">
        <f aca="false">IFERROR(VLOOKUP(A573,Pedido!$A:$B,2,0),"")</f>
        <v/>
      </c>
      <c r="C573" s="10" t="str">
        <f aca="false">IF(B573="","NÃO COMPRA","COMPRA")</f>
        <v>NÃO COMPRA</v>
      </c>
      <c r="D573" s="1" t="n">
        <f aca="false">IFERROR(VLOOKUP(A573,Pedido!$A:$C,3,0),0)</f>
        <v>0</v>
      </c>
      <c r="E573" s="5" t="n">
        <f aca="false">IFERROR(VLOOKUP(A573,Pedido!$A:$E,5,0),0)</f>
        <v>0</v>
      </c>
      <c r="F573" s="1" t="s">
        <v>8</v>
      </c>
      <c r="G573" s="1" t="s">
        <v>1282</v>
      </c>
      <c r="H573" s="1" t="s">
        <v>88</v>
      </c>
      <c r="I573" s="1" t="s">
        <v>57</v>
      </c>
      <c r="J573" s="1" t="s">
        <v>1283</v>
      </c>
      <c r="K573" s="1" t="n">
        <v>229</v>
      </c>
      <c r="L573" s="11" t="n">
        <v>0.856640744533358</v>
      </c>
      <c r="M573" s="1" t="n">
        <f aca="false">SUMIF(Relatorio_AK!$A:$A,A573,Relatorio_AK!$B:$B)</f>
        <v>229</v>
      </c>
      <c r="N573" s="1" t="str">
        <f aca="false">IF(M573=K573,"OK","DIF")</f>
        <v>OK</v>
      </c>
      <c r="O573" s="13" t="str">
        <f aca="false">IFERROR(VLOOKUP($A573,Lista_Starke!$A:$E,3,0),"NÃO ESTÁ NA LISTA")</f>
        <v>GM: Onix 1.0 12V 3 cil Aspirado 20/...
GM: Onix 1.0 12V 3 cil Turbo 20/...
GM: Onix Plus 1.0 12V 3 cil Aspirado 20/...
GM: Onix Plus 1.0.12V 3 cil Turbo 20/...</v>
      </c>
      <c r="P573" s="12" t="str">
        <f aca="false">IFERROR(VLOOKUP($A573,Lista_Starke!$A:$E,2,0),"NÃO ESTÁ NA LISTA")</f>
        <v>CILINDRO DE RODA LE/LD - IGUAL SWC5084</v>
      </c>
    </row>
    <row r="574" customFormat="false" ht="15" hidden="false" customHeight="true" outlineLevel="0" collapsed="false">
      <c r="A574" s="10" t="s">
        <v>1284</v>
      </c>
      <c r="B574" s="10" t="str">
        <f aca="false">IFERROR(VLOOKUP(A574,Pedido!$A:$B,2,0),"")</f>
        <v/>
      </c>
      <c r="C574" s="10" t="str">
        <f aca="false">IF(B574="","NÃO COMPRA","COMPRA")</f>
        <v>NÃO COMPRA</v>
      </c>
      <c r="D574" s="1" t="n">
        <f aca="false">IFERROR(VLOOKUP(A574,Pedido!$A:$C,3,0),0)</f>
        <v>0</v>
      </c>
      <c r="E574" s="5" t="n">
        <f aca="false">IFERROR(VLOOKUP(A574,Pedido!$A:$E,5,0),0)</f>
        <v>0</v>
      </c>
      <c r="F574" s="1" t="s">
        <v>8</v>
      </c>
      <c r="G574" s="1" t="s">
        <v>1285</v>
      </c>
      <c r="H574" s="1" t="s">
        <v>131</v>
      </c>
      <c r="I574" s="1" t="s">
        <v>1182</v>
      </c>
      <c r="J574" s="1" t="s">
        <v>1286</v>
      </c>
      <c r="K574" s="1" t="n">
        <v>226</v>
      </c>
      <c r="L574" s="11" t="n">
        <v>0.857027097718293</v>
      </c>
      <c r="M574" s="1" t="n">
        <f aca="false">SUMIF(Relatorio_AK!$A:$A,A574,Relatorio_AK!$B:$B)</f>
        <v>226</v>
      </c>
      <c r="N574" s="1" t="str">
        <f aca="false">IF(M574=K574,"OK","DIF")</f>
        <v>OK</v>
      </c>
      <c r="O574" s="12" t="str">
        <f aca="false">IFERROR(VLOOKUP($A574,Lista_Starke!$A:$E,3,0),"NÃO ESTÁ NA LISTA")</f>
        <v>KIA: Picanto 1.0 12V 11/...</v>
      </c>
      <c r="P574" s="12" t="str">
        <f aca="false">IFERROR(VLOOKUP($A574,Lista_Starke!$A:$E,2,0),"NÃO ESTÁ NA LISTA")</f>
        <v>SAPATA DE FREIO</v>
      </c>
    </row>
    <row r="575" customFormat="false" ht="15" hidden="false" customHeight="true" outlineLevel="0" collapsed="false">
      <c r="A575" s="10" t="s">
        <v>1287</v>
      </c>
      <c r="B575" s="10" t="str">
        <f aca="false">IFERROR(VLOOKUP(A575,Pedido!$A:$B,2,0),"")</f>
        <v/>
      </c>
      <c r="C575" s="10" t="str">
        <f aca="false">IF(B575="","NÃO COMPRA","COMPRA")</f>
        <v>NÃO COMPRA</v>
      </c>
      <c r="D575" s="1" t="n">
        <f aca="false">IFERROR(VLOOKUP(A575,Pedido!$A:$C,3,0),0)</f>
        <v>0</v>
      </c>
      <c r="E575" s="5" t="n">
        <f aca="false">IFERROR(VLOOKUP(A575,Pedido!$A:$E,5,0),0)</f>
        <v>0</v>
      </c>
      <c r="F575" s="1" t="s">
        <v>8</v>
      </c>
      <c r="G575" s="1" t="s">
        <v>1161</v>
      </c>
      <c r="H575" s="1" t="s">
        <v>235</v>
      </c>
      <c r="I575" s="1" t="s">
        <v>172</v>
      </c>
      <c r="J575" s="1" t="s">
        <v>1288</v>
      </c>
      <c r="K575" s="1" t="n">
        <v>226</v>
      </c>
      <c r="L575" s="11" t="n">
        <v>0.857413450903228</v>
      </c>
      <c r="M575" s="1" t="n">
        <f aca="false">SUMIF(Relatorio_AK!$A:$A,A575,Relatorio_AK!$B:$B)</f>
        <v>226</v>
      </c>
      <c r="N575" s="1" t="str">
        <f aca="false">IF(M575=K575,"OK","DIF")</f>
        <v>OK</v>
      </c>
      <c r="O575" s="13" t="str">
        <f aca="false">IFERROR(VLOOKUP($A575,Lista_Starke!$A:$E,3,0),"NÃO ESTÁ NA LISTA")</f>
        <v>HYUNDAI: iX35 2.0 16V 10/11
HYUNDAI: Santa Fe 2.4 16V 13/15
HYUNDAI: Santa Fe 3.3 V6 13/15
HYUNDAI: Santa Fe 3.5 V6 13/15
HYUNDAI: Sonata 2.0 16V 11/15
HYUNDAI: Sonata 2.4 16V 11/15
HYUNDAI: Tucson 2.0 16V 10/15
KIA: Cerato Koup 2.0 16V 11/13
KIA: Optima 2.0 16V 11/14
KIA: Optima 2.4 16V 11/14
KIA: Sorento 2.4 16V 11/16
KIA: Sportage 2.0 16V 11/15</v>
      </c>
      <c r="P575" s="12" t="str">
        <f aca="false">IFERROR(VLOOKUP($A575,Lista_Starke!$A:$E,2,0),"NÃO ESTÁ NA LISTA")</f>
        <v>RESFRIADOR DE ÓLEO MOTOR</v>
      </c>
    </row>
    <row r="576" customFormat="false" ht="15" hidden="false" customHeight="true" outlineLevel="0" collapsed="false">
      <c r="A576" s="10" t="s">
        <v>1289</v>
      </c>
      <c r="B576" s="10" t="str">
        <f aca="false">IFERROR(VLOOKUP(A576,Pedido!$A:$B,2,0),"")</f>
        <v/>
      </c>
      <c r="C576" s="10" t="str">
        <f aca="false">IF(B576="","NÃO COMPRA","COMPRA")</f>
        <v>NÃO COMPRA</v>
      </c>
      <c r="D576" s="1" t="n">
        <f aca="false">IFERROR(VLOOKUP(A576,Pedido!$A:$C,3,0),0)</f>
        <v>0</v>
      </c>
      <c r="E576" s="5" t="n">
        <f aca="false">IFERROR(VLOOKUP(A576,Pedido!$A:$E,5,0),0)</f>
        <v>0</v>
      </c>
      <c r="F576" s="1" t="s">
        <v>8</v>
      </c>
      <c r="G576" s="1" t="s">
        <v>34</v>
      </c>
      <c r="H576" s="1" t="s">
        <v>35</v>
      </c>
      <c r="I576" s="1" t="s">
        <v>36</v>
      </c>
      <c r="J576" s="1" t="s">
        <v>1290</v>
      </c>
      <c r="K576" s="1" t="n">
        <v>226</v>
      </c>
      <c r="L576" s="11" t="n">
        <v>0.857799804088163</v>
      </c>
      <c r="M576" s="1" t="n">
        <f aca="false">SUMIF(Relatorio_AK!$A:$A,A576,Relatorio_AK!$B:$B)</f>
        <v>226</v>
      </c>
      <c r="N576" s="1" t="str">
        <f aca="false">IF(M576=K576,"OK","DIF")</f>
        <v>OK</v>
      </c>
      <c r="O576" s="13" t="str">
        <f aca="false">IFERROR(VLOOKUP($A576,Lista_Starke!$A:$E,3,0),"NÃO ESTÁ NA LISTA")</f>
        <v>VOLKSWAGEN: Up 1.0 12V 3cil 14/21
VOLKSWAGEN: Up 1.0 12V TSI 14/21</v>
      </c>
      <c r="P576" s="12" t="str">
        <f aca="false">IFERROR(VLOOKUP($A576,Lista_Starke!$A:$E,2,0),"NÃO ESTÁ NA LISTA")</f>
        <v>CILINDRO MESTRE DE FREIO</v>
      </c>
    </row>
    <row r="577" customFormat="false" ht="15" hidden="false" customHeight="true" outlineLevel="0" collapsed="false">
      <c r="A577" s="10" t="s">
        <v>1291</v>
      </c>
      <c r="B577" s="10" t="str">
        <f aca="false">IFERROR(VLOOKUP(A577,Pedido!$A:$B,2,0),"")</f>
        <v/>
      </c>
      <c r="C577" s="10" t="str">
        <f aca="false">IF(B577="","NÃO COMPRA","COMPRA")</f>
        <v>NÃO COMPRA</v>
      </c>
      <c r="D577" s="1" t="n">
        <f aca="false">IFERROR(VLOOKUP(A577,Pedido!$A:$C,3,0),0)</f>
        <v>0</v>
      </c>
      <c r="E577" s="5" t="n">
        <f aca="false">IFERROR(VLOOKUP(A577,Pedido!$A:$E,5,0),0)</f>
        <v>0</v>
      </c>
      <c r="F577" s="1" t="s">
        <v>8</v>
      </c>
      <c r="G577" s="1" t="s">
        <v>800</v>
      </c>
      <c r="H577" s="1" t="s">
        <v>126</v>
      </c>
      <c r="I577" s="1" t="s">
        <v>42</v>
      </c>
      <c r="J577" s="1" t="s">
        <v>1292</v>
      </c>
      <c r="K577" s="1" t="n">
        <v>225</v>
      </c>
      <c r="L577" s="11" t="n">
        <v>0.858184447745731</v>
      </c>
      <c r="M577" s="1" t="n">
        <f aca="false">SUMIF(Relatorio_AK!$A:$A,A577,Relatorio_AK!$B:$B)</f>
        <v>225</v>
      </c>
      <c r="N577" s="1" t="str">
        <f aca="false">IF(M577=K577,"OK","DIF")</f>
        <v>OK</v>
      </c>
      <c r="O577" s="13" t="str">
        <f aca="false">IFERROR(VLOOKUP($A577,Lista_Starke!$A:$E,3,0),"NÃO ESTÁ NA LISTA")</f>
        <v>RENAULT: Captur 1.6 16V 17/...
RENAULT: Duster 1.6 16V 17/...
RENAULT: Logan 1.6 16V 17/...
RENAULT: Sandero 1.6 16V 17/...</v>
      </c>
      <c r="P577" s="12" t="str">
        <f aca="false">IFERROR(VLOOKUP($A577,Lista_Starke!$A:$E,2,0),"NÃO ESTÁ NA LISTA")</f>
        <v>RESFRIADOR DE ÓLEO CÂMBIO</v>
      </c>
    </row>
    <row r="578" customFormat="false" ht="15" hidden="false" customHeight="true" outlineLevel="0" collapsed="false">
      <c r="A578" s="10" t="s">
        <v>1293</v>
      </c>
      <c r="B578" s="10" t="str">
        <f aca="false">IFERROR(VLOOKUP(A578,Pedido!$A:$B,2,0),"")</f>
        <v/>
      </c>
      <c r="C578" s="10" t="str">
        <f aca="false">IF(B578="","NÃO COMPRA","COMPRA")</f>
        <v>NÃO COMPRA</v>
      </c>
      <c r="D578" s="1" t="n">
        <f aca="false">IFERROR(VLOOKUP(A578,Pedido!$A:$C,3,0),0)</f>
        <v>0</v>
      </c>
      <c r="E578" s="5" t="n">
        <f aca="false">IFERROR(VLOOKUP(A578,Pedido!$A:$E,5,0),0)</f>
        <v>0</v>
      </c>
      <c r="F578" s="1" t="s">
        <v>8</v>
      </c>
      <c r="G578" s="1" t="s">
        <v>56</v>
      </c>
      <c r="H578" s="1" t="s">
        <v>35</v>
      </c>
      <c r="I578" s="1" t="s">
        <v>57</v>
      </c>
      <c r="J578" s="1" t="s">
        <v>1294</v>
      </c>
      <c r="K578" s="1" t="n">
        <v>224</v>
      </c>
      <c r="L578" s="11" t="n">
        <v>0.858567381875932</v>
      </c>
      <c r="M578" s="1" t="n">
        <f aca="false">SUMIF(Relatorio_AK!$A:$A,A578,Relatorio_AK!$B:$B)</f>
        <v>224</v>
      </c>
      <c r="N578" s="1" t="str">
        <f aca="false">IF(M578=K578,"OK","DIF")</f>
        <v>OK</v>
      </c>
      <c r="O578" s="13" t="str">
        <f aca="false">IFERROR(VLOOKUP($A578,Lista_Starke!$A:$E,3,0),"NÃO ESTÁ NA LISTA")</f>
        <v>GM: Captiva 2.4 16V Ecotec 10/...
GM: Captiva 3.0 24V V6 11/...
GM: Captiva 3.6 24V V6 08/12</v>
      </c>
      <c r="P578" s="12" t="str">
        <f aca="false">IFERROR(VLOOKUP($A578,Lista_Starke!$A:$E,2,0),"NÃO ESTÁ NA LISTA")</f>
        <v>CILINDRO MESTRE DE FREIO</v>
      </c>
    </row>
    <row r="579" customFormat="false" ht="15" hidden="false" customHeight="true" outlineLevel="0" collapsed="false">
      <c r="A579" s="10" t="s">
        <v>1295</v>
      </c>
      <c r="B579" s="10" t="str">
        <f aca="false">IFERROR(VLOOKUP(A579,Pedido!$A:$B,2,0),"")</f>
        <v/>
      </c>
      <c r="C579" s="10" t="str">
        <f aca="false">IF(B579="","NÃO COMPRA","COMPRA")</f>
        <v>NÃO COMPRA</v>
      </c>
      <c r="D579" s="1" t="n">
        <f aca="false">IFERROR(VLOOKUP(A579,Pedido!$A:$C,3,0),0)</f>
        <v>0</v>
      </c>
      <c r="E579" s="5" t="n">
        <f aca="false">IFERROR(VLOOKUP(A579,Pedido!$A:$E,5,0),0)</f>
        <v>0</v>
      </c>
      <c r="F579" s="1" t="s">
        <v>8</v>
      </c>
      <c r="G579" s="1" t="s">
        <v>968</v>
      </c>
      <c r="H579" s="1" t="s">
        <v>88</v>
      </c>
      <c r="I579" s="1" t="s">
        <v>255</v>
      </c>
      <c r="J579" s="1" t="s">
        <v>1296</v>
      </c>
      <c r="K579" s="1" t="n">
        <v>223</v>
      </c>
      <c r="L579" s="11" t="n">
        <v>0.858948606478766</v>
      </c>
      <c r="M579" s="1" t="n">
        <f aca="false">SUMIF(Relatorio_AK!$A:$A,A579,Relatorio_AK!$B:$B)</f>
        <v>223</v>
      </c>
      <c r="N579" s="1" t="str">
        <f aca="false">IF(M579=K579,"OK","DIF")</f>
        <v>OK</v>
      </c>
      <c r="O579" s="13" t="str">
        <f aca="false">IFERROR(VLOOKUP($A579,Lista_Starke!$A:$E,3,0),"NÃO ESTÁ NA LISTA")</f>
        <v>MITSUBISHI: L200 2.5 / 2.5 Turbo Diesel 03/12
MITSUBISHI: L200 2.5 / 2.5 Turbo Diesel 92/06</v>
      </c>
      <c r="P579" s="12" t="str">
        <f aca="false">IFERROR(VLOOKUP($A579,Lista_Starke!$A:$E,2,0),"NÃO ESTÁ NA LISTA")</f>
        <v>CILINDRO DE RODA LE</v>
      </c>
    </row>
    <row r="580" customFormat="false" ht="15" hidden="false" customHeight="true" outlineLevel="0" collapsed="false">
      <c r="A580" s="10" t="s">
        <v>1297</v>
      </c>
      <c r="B580" s="10" t="str">
        <f aca="false">IFERROR(VLOOKUP(A580,Pedido!$A:$B,2,0),"")</f>
        <v/>
      </c>
      <c r="C580" s="10" t="str">
        <f aca="false">IF(B580="","NÃO COMPRA","COMPRA")</f>
        <v>NÃO COMPRA</v>
      </c>
      <c r="D580" s="1" t="n">
        <f aca="false">IFERROR(VLOOKUP(A580,Pedido!$A:$C,3,0),0)</f>
        <v>0</v>
      </c>
      <c r="E580" s="5" t="n">
        <f aca="false">IFERROR(VLOOKUP(A580,Pedido!$A:$E,5,0),0)</f>
        <v>0</v>
      </c>
      <c r="F580" s="1" t="s">
        <v>8</v>
      </c>
      <c r="G580" s="1" t="s">
        <v>782</v>
      </c>
      <c r="H580" s="1" t="s">
        <v>600</v>
      </c>
      <c r="I580" s="1" t="s">
        <v>36</v>
      </c>
      <c r="J580" s="1" t="s">
        <v>1298</v>
      </c>
      <c r="K580" s="1" t="n">
        <v>223</v>
      </c>
      <c r="L580" s="11" t="n">
        <v>0.8593298310816</v>
      </c>
      <c r="M580" s="1" t="n">
        <f aca="false">SUMIF(Relatorio_AK!$A:$A,A580,Relatorio_AK!$B:$B)</f>
        <v>223</v>
      </c>
      <c r="N580" s="1" t="str">
        <f aca="false">IF(M580=K580,"OK","DIF")</f>
        <v>OK</v>
      </c>
      <c r="O580" s="13" t="str">
        <f aca="false">IFERROR(VLOOKUP($A580,Lista_Starke!$A:$E,3,0),"NÃO ESTÁ NA LISTA")</f>
        <v>VOLKSWAGEN: Jetta 2.5 20V 5 cil   BTK 07/11
VOLKSWAGEN: Jetta Variant 2.5 20V 5 cil   BTK 07/…</v>
      </c>
      <c r="P580" s="12" t="str">
        <f aca="false">IFERROR(VLOOKUP($A580,Lista_Starke!$A:$E,2,0),"NÃO ESTÁ NA LISTA")</f>
        <v>BOMBA DE VÁCUO FREIO</v>
      </c>
    </row>
    <row r="581" customFormat="false" ht="15" hidden="false" customHeight="true" outlineLevel="0" collapsed="false">
      <c r="A581" s="10" t="s">
        <v>1299</v>
      </c>
      <c r="B581" s="10" t="str">
        <f aca="false">IFERROR(VLOOKUP(A581,Pedido!$A:$B,2,0),"")</f>
        <v>SOC 9025</v>
      </c>
      <c r="C581" s="10" t="str">
        <f aca="false">IF(B581="","NÃO COMPRA","COMPRA")</f>
        <v>COMPRA</v>
      </c>
      <c r="D581" s="1" t="n">
        <f aca="false">IFERROR(VLOOKUP(A581,Pedido!$A:$C,3,0),0)</f>
        <v>2</v>
      </c>
      <c r="E581" s="5" t="n">
        <f aca="false">IFERROR(VLOOKUP(A581,Pedido!$A:$E,5,0),0)</f>
        <v>717.28</v>
      </c>
      <c r="F581" s="1" t="s">
        <v>8</v>
      </c>
      <c r="G581" s="1" t="s">
        <v>1300</v>
      </c>
      <c r="H581" s="1" t="s">
        <v>235</v>
      </c>
      <c r="I581" s="1" t="s">
        <v>42</v>
      </c>
      <c r="J581" s="1" t="s">
        <v>1301</v>
      </c>
      <c r="K581" s="1" t="n">
        <v>223</v>
      </c>
      <c r="L581" s="11" t="n">
        <v>0.859711055684434</v>
      </c>
      <c r="M581" s="1" t="n">
        <f aca="false">SUMIF(Relatorio_AK!$A:$A,A581,Relatorio_AK!$B:$B)</f>
        <v>223</v>
      </c>
      <c r="N581" s="1" t="str">
        <f aca="false">IF(M581=K581,"OK","DIF")</f>
        <v>OK</v>
      </c>
      <c r="O581" s="12" t="str">
        <f aca="false">IFERROR(VLOOKUP($A581,Lista_Starke!$A:$E,3,0),"NÃO ESTÁ NA LISTA")</f>
        <v>RENAULT: Master 2.3 16V Turbo DCI 13/…</v>
      </c>
      <c r="P581" s="12" t="str">
        <f aca="false">IFERROR(VLOOKUP($A581,Lista_Starke!$A:$E,2,0),"NÃO ESTÁ NA LISTA")</f>
        <v>RESFRIADOR DE ÓLEO MOTOR</v>
      </c>
    </row>
    <row r="582" customFormat="false" ht="15" hidden="false" customHeight="true" outlineLevel="0" collapsed="false">
      <c r="A582" s="10" t="s">
        <v>1302</v>
      </c>
      <c r="B582" s="10" t="str">
        <f aca="false">IFERROR(VLOOKUP(A582,Pedido!$A:$B,2,0),"")</f>
        <v/>
      </c>
      <c r="C582" s="10" t="str">
        <f aca="false">IF(B582="","NÃO COMPRA","COMPRA")</f>
        <v>NÃO COMPRA</v>
      </c>
      <c r="D582" s="1" t="n">
        <f aca="false">IFERROR(VLOOKUP(A582,Pedido!$A:$C,3,0),0)</f>
        <v>0</v>
      </c>
      <c r="E582" s="5" t="n">
        <f aca="false">IFERROR(VLOOKUP(A582,Pedido!$A:$E,5,0),0)</f>
        <v>0</v>
      </c>
      <c r="F582" s="1" t="s">
        <v>8</v>
      </c>
      <c r="G582" s="1" t="s">
        <v>363</v>
      </c>
      <c r="H582" s="1" t="s">
        <v>32</v>
      </c>
      <c r="I582" s="1" t="s">
        <v>177</v>
      </c>
      <c r="K582" s="1" t="n">
        <v>222</v>
      </c>
      <c r="L582" s="11" t="n">
        <v>0.860090570759901</v>
      </c>
      <c r="M582" s="1" t="n">
        <f aca="false">SUMIF(Relatorio_AK!$A:$A,A582,Relatorio_AK!$B:$B)</f>
        <v>222</v>
      </c>
      <c r="N582" s="1" t="str">
        <f aca="false">IF(M582=K582,"OK","DIF")</f>
        <v>OK</v>
      </c>
      <c r="O582" s="13" t="str">
        <f aca="false">IFERROR(VLOOKUP($A582,Lista_Starke!$A:$E,3,0),"NÃO ESTÁ NA LISTA")</f>
        <v>TOYOTA: Hilux 3.0 16V 1KZT 97/05
TOYOTA: Hilux 3.0 16V 1KZTE 97/05
TOYOTA: SW4 3.0 16V 1KZT 97/05
TOYOTA: SW4 3.0 16V 1KZTE 97/05</v>
      </c>
      <c r="P582" s="12" t="str">
        <f aca="false">IFERROR(VLOOKUP($A582,Lista_Starke!$A:$E,2,0),"NÃO ESTÁ NA LISTA")</f>
        <v>CILINDRO MESTRE DE EMBREAGEM</v>
      </c>
    </row>
    <row r="583" customFormat="false" ht="15" hidden="false" customHeight="true" outlineLevel="0" collapsed="false">
      <c r="A583" s="10" t="s">
        <v>1303</v>
      </c>
      <c r="B583" s="10" t="str">
        <f aca="false">IFERROR(VLOOKUP(A583,Pedido!$A:$B,2,0),"")</f>
        <v/>
      </c>
      <c r="C583" s="10" t="str">
        <f aca="false">IF(B583="","NÃO COMPRA","COMPRA")</f>
        <v>NÃO COMPRA</v>
      </c>
      <c r="D583" s="1" t="n">
        <f aca="false">IFERROR(VLOOKUP(A583,Pedido!$A:$C,3,0),0)</f>
        <v>0</v>
      </c>
      <c r="E583" s="5" t="n">
        <f aca="false">IFERROR(VLOOKUP(A583,Pedido!$A:$E,5,0),0)</f>
        <v>0</v>
      </c>
      <c r="F583" s="1" t="s">
        <v>8</v>
      </c>
      <c r="G583" s="1" t="s">
        <v>958</v>
      </c>
      <c r="H583" s="1" t="s">
        <v>600</v>
      </c>
      <c r="I583" s="1" t="s">
        <v>215</v>
      </c>
      <c r="K583" s="1" t="n">
        <v>222</v>
      </c>
      <c r="L583" s="11" t="n">
        <v>0.860470085835368</v>
      </c>
      <c r="M583" s="1" t="n">
        <f aca="false">SUMIF(Relatorio_AK!$A:$A,A583,Relatorio_AK!$B:$B)</f>
        <v>222</v>
      </c>
      <c r="N583" s="1" t="str">
        <f aca="false">IF(M583=K583,"OK","DIF")</f>
        <v>OK</v>
      </c>
      <c r="O583" s="13" t="str">
        <f aca="false">IFERROR(VLOOKUP($A583,Lista_Starke!$A:$E,3,0),"NÃO ESTÁ NA LISTA")</f>
        <v>NISSAN: Frontier 2.5 16V Turbo YD25E3 05/17
NISSAN: Pathfinder 2.5 16V Turbo YD25E3 05/17</v>
      </c>
      <c r="P583" s="12" t="str">
        <f aca="false">IFERROR(VLOOKUP($A583,Lista_Starke!$A:$E,2,0),"NÃO ESTÁ NA LISTA")</f>
        <v>BOMBA DE VÁCUO FREIO</v>
      </c>
    </row>
    <row r="584" customFormat="false" ht="15" hidden="false" customHeight="true" outlineLevel="0" collapsed="false">
      <c r="A584" s="10" t="s">
        <v>1304</v>
      </c>
      <c r="B584" s="10" t="str">
        <f aca="false">IFERROR(VLOOKUP(A584,Pedido!$A:$B,2,0),"")</f>
        <v/>
      </c>
      <c r="C584" s="10" t="str">
        <f aca="false">IF(B584="","NÃO COMPRA","COMPRA")</f>
        <v>NÃO COMPRA</v>
      </c>
      <c r="D584" s="1" t="n">
        <f aca="false">IFERROR(VLOOKUP(A584,Pedido!$A:$C,3,0),0)</f>
        <v>0</v>
      </c>
      <c r="E584" s="5" t="n">
        <f aca="false">IFERROR(VLOOKUP(A584,Pedido!$A:$E,5,0),0)</f>
        <v>0</v>
      </c>
      <c r="F584" s="1" t="s">
        <v>8</v>
      </c>
      <c r="G584" s="1" t="s">
        <v>1305</v>
      </c>
      <c r="H584" s="1" t="s">
        <v>157</v>
      </c>
      <c r="I584" s="1" t="s">
        <v>1306</v>
      </c>
      <c r="K584" s="1" t="n">
        <v>222</v>
      </c>
      <c r="L584" s="11" t="n">
        <v>0.860849600910835</v>
      </c>
      <c r="M584" s="1" t="n">
        <f aca="false">SUMIF(Relatorio_AK!$A:$A,A584,Relatorio_AK!$B:$B)</f>
        <v>222</v>
      </c>
      <c r="N584" s="1" t="str">
        <f aca="false">IF(M584=K584,"OK","DIF")</f>
        <v>OK</v>
      </c>
      <c r="O584" s="13" t="str">
        <f aca="false">IFERROR(VLOOKUP($A584,Lista_Starke!$A:$E,3,0),"NÃO ESTÁ NA LISTA")</f>
        <v>CITROEN: Aircross 1.2 12V 17/...
CITROEN: Aircross 1.6 16V 11/...
CITROEN: Berlingo 1.6 16V 14/...
CITROEN: C3 1.2 12V 17/...
CITROEN: C3 1.6 16V 09/...
CITROEN: C3 / C3 Picasso 1.6 16V 09/…
CITROEN: C4 / C4 Picasso 1.6 16V / 1.6 16V THP 09/…
CITROEN: C4 Cactus 1.2 12V THP 17/...
CITROEN: C4 Lounge 1.6 16V THP 13/…
CITROEN: DS3 1.6 16V THP 12/…
CITROEN: DS4 1.6 16V THP 12/…
CITROEN: DS5 1.6 16V THP 12/…
MINI: Cooper 1.6 16V 10/…
MINI: Cooper S 1.6 16V 07/09
MINI: Cooper S 1.6 16V Turbo 09/…
MINI: One 1.6 16V 09/…
PEUGEOT: 2008 1.6 16V 15/…
PEUGEOT: 2008 1.6 16V THP 15/…
PEUGEOT: 207 1.6 16V 07/…
PEUGEOT: 207 1.6 16V THP 07/…
PEUGEOT: 208 1.6 16V 13/…
PEUGEOT: 3008 1.6 16V THP 11/…
PEUGEOT: 308 1.6 16V 07/…
PEUGEOT: 308 1.6 16V THP 07/…
PEUGEOT: 408 1.6 16V THP 11/…
PEUGEOT: 508 1.6 16V THP 11/…
PEUGEOT: RCZ 1.6 16V THP 11/…</v>
      </c>
      <c r="P584" s="12" t="str">
        <f aca="false">IFERROR(VLOOKUP($A584,Lista_Starke!$A:$E,2,0),"NÃO ESTÁ NA LISTA")</f>
        <v>ATUADOR DE EMBREAGEM</v>
      </c>
    </row>
    <row r="585" customFormat="false" ht="15" hidden="false" customHeight="true" outlineLevel="0" collapsed="false">
      <c r="A585" s="10" t="s">
        <v>1307</v>
      </c>
      <c r="B585" s="10" t="str">
        <f aca="false">IFERROR(VLOOKUP(A585,Pedido!$A:$B,2,0),"")</f>
        <v/>
      </c>
      <c r="C585" s="10" t="str">
        <f aca="false">IF(B585="","NÃO COMPRA","COMPRA")</f>
        <v>NÃO COMPRA</v>
      </c>
      <c r="D585" s="1" t="n">
        <f aca="false">IFERROR(VLOOKUP(A585,Pedido!$A:$C,3,0),0)</f>
        <v>0</v>
      </c>
      <c r="E585" s="5" t="n">
        <f aca="false">IFERROR(VLOOKUP(A585,Pedido!$A:$E,5,0),0)</f>
        <v>0</v>
      </c>
      <c r="F585" s="1" t="s">
        <v>8</v>
      </c>
      <c r="G585" s="1" t="s">
        <v>193</v>
      </c>
      <c r="H585" s="1" t="s">
        <v>32</v>
      </c>
      <c r="I585" s="1" t="s">
        <v>53</v>
      </c>
      <c r="K585" s="1" t="n">
        <v>222</v>
      </c>
      <c r="L585" s="11" t="n">
        <v>0.861229115986302</v>
      </c>
      <c r="M585" s="1" t="n">
        <f aca="false">SUMIF(Relatorio_AK!$A:$A,A585,Relatorio_AK!$B:$B)</f>
        <v>222</v>
      </c>
      <c r="N585" s="1" t="str">
        <f aca="false">IF(M585=K585,"OK","DIF")</f>
        <v>OK</v>
      </c>
      <c r="O585" s="13" t="str">
        <f aca="false">IFERROR(VLOOKUP($A585,Lista_Starke!$A:$E,3,0),"NÃO ESTÁ NA LISTA")</f>
        <v>FORD: Focus 1.6 16V Duratec 08/09
FORD: Focus 2.0 16V Duratec 08/09</v>
      </c>
      <c r="P585" s="12" t="str">
        <f aca="false">IFERROR(VLOOKUP($A585,Lista_Starke!$A:$E,2,0),"NÃO ESTÁ NA LISTA")</f>
        <v>CILINDRO MESTRE DE EMBREAGEM</v>
      </c>
    </row>
    <row r="586" customFormat="false" ht="15" hidden="false" customHeight="true" outlineLevel="0" collapsed="false">
      <c r="A586" s="10" t="s">
        <v>1308</v>
      </c>
      <c r="B586" s="10" t="str">
        <f aca="false">IFERROR(VLOOKUP(A586,Pedido!$A:$B,2,0),"")</f>
        <v/>
      </c>
      <c r="C586" s="10" t="str">
        <f aca="false">IF(B586="","NÃO COMPRA","COMPRA")</f>
        <v>NÃO COMPRA</v>
      </c>
      <c r="D586" s="1" t="n">
        <f aca="false">IFERROR(VLOOKUP(A586,Pedido!$A:$C,3,0),0)</f>
        <v>0</v>
      </c>
      <c r="E586" s="5" t="n">
        <f aca="false">IFERROR(VLOOKUP(A586,Pedido!$A:$E,5,0),0)</f>
        <v>0</v>
      </c>
      <c r="F586" s="1" t="s">
        <v>8</v>
      </c>
      <c r="G586" s="1" t="s">
        <v>1309</v>
      </c>
      <c r="H586" s="1" t="s">
        <v>197</v>
      </c>
      <c r="I586" s="1" t="s">
        <v>1310</v>
      </c>
      <c r="K586" s="1" t="n">
        <v>222</v>
      </c>
      <c r="L586" s="11" t="n">
        <v>0.86160863106177</v>
      </c>
      <c r="M586" s="1" t="n">
        <f aca="false">SUMIF(Relatorio_AK!$A:$A,A586,Relatorio_AK!$B:$B)</f>
        <v>222</v>
      </c>
      <c r="N586" s="1" t="str">
        <f aca="false">IF(M586=K586,"OK","DIF")</f>
        <v>OK</v>
      </c>
      <c r="O586" s="13" t="str">
        <f aca="false">IFERROR(VLOOKUP($A586,Lista_Starke!$A:$E,3,0),"NÃO ESTÁ NA LISTA")</f>
        <v>JINBEI: Topic 2.0 16V 08/...
JINBEI: Topic 2.0 8V 08/...</v>
      </c>
      <c r="P586" s="12" t="str">
        <f aca="false">IFERROR(VLOOKUP($A586,Lista_Starke!$A:$E,2,0),"NÃO ESTÁ NA LISTA")</f>
        <v>BOMBA D'ÁGUA</v>
      </c>
    </row>
    <row r="587" customFormat="false" ht="15" hidden="false" customHeight="true" outlineLevel="0" collapsed="false">
      <c r="A587" s="10" t="s">
        <v>1311</v>
      </c>
      <c r="B587" s="10" t="str">
        <f aca="false">IFERROR(VLOOKUP(A587,Pedido!$A:$B,2,0),"")</f>
        <v/>
      </c>
      <c r="C587" s="10" t="str">
        <f aca="false">IF(B587="","NÃO COMPRA","COMPRA")</f>
        <v>NÃO COMPRA</v>
      </c>
      <c r="D587" s="1" t="n">
        <f aca="false">IFERROR(VLOOKUP(A587,Pedido!$A:$C,3,0),0)</f>
        <v>0</v>
      </c>
      <c r="E587" s="5" t="n">
        <f aca="false">IFERROR(VLOOKUP(A587,Pedido!$A:$E,5,0),0)</f>
        <v>0</v>
      </c>
      <c r="F587" s="1" t="s">
        <v>8</v>
      </c>
      <c r="G587" s="1" t="s">
        <v>1312</v>
      </c>
      <c r="H587" s="1" t="s">
        <v>88</v>
      </c>
      <c r="I587" s="1" t="s">
        <v>36</v>
      </c>
      <c r="J587" s="1" t="s">
        <v>1313</v>
      </c>
      <c r="K587" s="1" t="n">
        <v>221</v>
      </c>
      <c r="L587" s="11" t="n">
        <v>0.86198643660987</v>
      </c>
      <c r="M587" s="1" t="n">
        <f aca="false">SUMIF(Relatorio_AK!$A:$A,A587,Relatorio_AK!$B:$B)</f>
        <v>221</v>
      </c>
      <c r="N587" s="1" t="str">
        <f aca="false">IF(M587=K587,"OK","DIF")</f>
        <v>OK</v>
      </c>
      <c r="O587" s="13" t="str">
        <f aca="false">IFERROR(VLOOKUP($A587,Lista_Starke!$A:$E,3,0),"NÃO ESTÁ NA LISTA")</f>
        <v>VOLKSWAGEN: Polo 1.0 12V 3 cil. 22/...
VOLKSWAGEN: Polo 1.0 12V TSI 22/...
VOLKSWAGEN: Polo 1.6 16V 17/22
VOLKSWAGEN: Virtus 1.0 12V 3 cil. 23/...
VOLKSWAGEN: Virtus 1.0 12V TSI 23/...
VOLKSWAGEN: Virtus 1.6 16V 18/21</v>
      </c>
      <c r="P587" s="12" t="str">
        <f aca="false">IFERROR(VLOOKUP($A587,Lista_Starke!$A:$E,2,0),"NÃO ESTÁ NA LISTA")</f>
        <v>CILINDRO DE RODA LE/LD</v>
      </c>
    </row>
    <row r="588" customFormat="false" ht="15" hidden="false" customHeight="true" outlineLevel="0" collapsed="false">
      <c r="A588" s="10" t="s">
        <v>1314</v>
      </c>
      <c r="B588" s="10" t="str">
        <f aca="false">IFERROR(VLOOKUP(A588,Pedido!$A:$B,2,0),"")</f>
        <v/>
      </c>
      <c r="C588" s="10" t="str">
        <f aca="false">IF(B588="","NÃO COMPRA","COMPRA")</f>
        <v>NÃO COMPRA</v>
      </c>
      <c r="D588" s="1" t="n">
        <f aca="false">IFERROR(VLOOKUP(A588,Pedido!$A:$C,3,0),0)</f>
        <v>0</v>
      </c>
      <c r="E588" s="5" t="n">
        <f aca="false">IFERROR(VLOOKUP(A588,Pedido!$A:$E,5,0),0)</f>
        <v>0</v>
      </c>
      <c r="F588" s="1" t="s">
        <v>8</v>
      </c>
      <c r="G588" s="1" t="s">
        <v>1175</v>
      </c>
      <c r="H588" s="1" t="s">
        <v>197</v>
      </c>
      <c r="I588" s="1" t="s">
        <v>1315</v>
      </c>
      <c r="K588" s="1" t="n">
        <v>220</v>
      </c>
      <c r="L588" s="11" t="n">
        <v>0.862362532630603</v>
      </c>
      <c r="M588" s="1" t="n">
        <f aca="false">SUMIF(Relatorio_AK!$A:$A,A588,Relatorio_AK!$B:$B)</f>
        <v>220</v>
      </c>
      <c r="N588" s="1" t="str">
        <f aca="false">IF(M588=K588,"OK","DIF")</f>
        <v>OK</v>
      </c>
      <c r="O588" s="13" t="str">
        <f aca="false">IFERROR(VLOOKUP($A588,Lista_Starke!$A:$E,3,0),"NÃO ESTÁ NA LISTA")</f>
        <v>CHRYSLER: Town &amp; Country 3.6 V6 11/16
DODGE: Avenger 3.6 V6 11/14
DODGE: Challenger 3.6 V6 11/18
DODGE: Charger 3.6 V6 11/18
DODGE: Durango 3.6 v6 11/15
DODGE: Grand Caravan 3.6 V6 11/17
DODGE: Journey 3.6 V6 11/17
DODGE: Ram 3.6 V6 13/17
JEEP: Grand Cherokee 3.6 V6 11/17</v>
      </c>
      <c r="P588" s="12" t="str">
        <f aca="false">IFERROR(VLOOKUP($A588,Lista_Starke!$A:$E,2,0),"NÃO ESTÁ NA LISTA")</f>
        <v>BOMBA D'ÁGUA</v>
      </c>
    </row>
    <row r="589" customFormat="false" ht="15" hidden="false" customHeight="true" outlineLevel="0" collapsed="false">
      <c r="A589" s="10" t="s">
        <v>1316</v>
      </c>
      <c r="B589" s="10" t="str">
        <f aca="false">IFERROR(VLOOKUP(A589,Pedido!$A:$B,2,0),"")</f>
        <v/>
      </c>
      <c r="C589" s="10" t="str">
        <f aca="false">IF(B589="","NÃO COMPRA","COMPRA")</f>
        <v>NÃO COMPRA</v>
      </c>
      <c r="D589" s="1" t="n">
        <f aca="false">IFERROR(VLOOKUP(A589,Pedido!$A:$C,3,0),0)</f>
        <v>0</v>
      </c>
      <c r="E589" s="5" t="n">
        <f aca="false">IFERROR(VLOOKUP(A589,Pedido!$A:$E,5,0),0)</f>
        <v>0</v>
      </c>
      <c r="F589" s="1" t="s">
        <v>8</v>
      </c>
      <c r="G589" s="1" t="s">
        <v>1317</v>
      </c>
      <c r="H589" s="1" t="s">
        <v>88</v>
      </c>
      <c r="I589" s="1" t="s">
        <v>71</v>
      </c>
      <c r="J589" s="1" t="s">
        <v>1318</v>
      </c>
      <c r="K589" s="1" t="n">
        <v>220</v>
      </c>
      <c r="L589" s="11" t="n">
        <v>0.862738628651336</v>
      </c>
      <c r="M589" s="1" t="n">
        <f aca="false">SUMIF(Relatorio_AK!$A:$A,A589,Relatorio_AK!$B:$B)</f>
        <v>220</v>
      </c>
      <c r="N589" s="1" t="str">
        <f aca="false">IF(M589=K589,"OK","DIF")</f>
        <v>OK</v>
      </c>
      <c r="O589" s="13" t="str">
        <f aca="false">IFERROR(VLOOKUP($A589,Lista_Starke!$A:$E,3,0),"NÃO ESTÁ NA LISTA")</f>
        <v>PEUGEOT: 208 Active 1.6 16V EC5 21/...
PEUGEOT: 208 Griffe 1.6 16V EC5 21/...
PEUGEOT: 208 Like 1.6 16V EC5 21/...</v>
      </c>
      <c r="P589" s="12" t="str">
        <f aca="false">IFERROR(VLOOKUP($A589,Lista_Starke!$A:$E,2,0),"NÃO ESTÁ NA LISTA")</f>
        <v>CILINDRO DE RODA LE/LD</v>
      </c>
    </row>
    <row r="590" customFormat="false" ht="15" hidden="false" customHeight="true" outlineLevel="0" collapsed="false">
      <c r="A590" s="10" t="s">
        <v>1319</v>
      </c>
      <c r="B590" s="10" t="str">
        <f aca="false">IFERROR(VLOOKUP(A590,Pedido!$A:$B,2,0),"")</f>
        <v/>
      </c>
      <c r="C590" s="10" t="str">
        <f aca="false">IF(B590="","NÃO COMPRA","COMPRA")</f>
        <v>NÃO COMPRA</v>
      </c>
      <c r="D590" s="1" t="n">
        <f aca="false">IFERROR(VLOOKUP(A590,Pedido!$A:$C,3,0),0)</f>
        <v>0</v>
      </c>
      <c r="E590" s="5" t="n">
        <f aca="false">IFERROR(VLOOKUP(A590,Pedido!$A:$E,5,0),0)</f>
        <v>0</v>
      </c>
      <c r="F590" s="1" t="s">
        <v>8</v>
      </c>
      <c r="G590" s="1" t="s">
        <v>214</v>
      </c>
      <c r="H590" s="1" t="s">
        <v>35</v>
      </c>
      <c r="I590" s="1" t="s">
        <v>215</v>
      </c>
      <c r="K590" s="1" t="n">
        <v>219</v>
      </c>
      <c r="L590" s="11" t="n">
        <v>0.863113015144702</v>
      </c>
      <c r="M590" s="1" t="n">
        <f aca="false">SUMIF(Relatorio_AK!$A:$A,A590,Relatorio_AK!$B:$B)</f>
        <v>219</v>
      </c>
      <c r="N590" s="1" t="str">
        <f aca="false">IF(M590=K590,"OK","DIF")</f>
        <v>OK</v>
      </c>
      <c r="O590" s="12" t="str">
        <f aca="false">IFERROR(VLOOKUP($A590,Lista_Starke!$A:$E,3,0),"NÃO ESTÁ NA LISTA")</f>
        <v>NISSAN: Frontier 2.3 16V Turbo 17/...</v>
      </c>
      <c r="P590" s="12" t="str">
        <f aca="false">IFERROR(VLOOKUP($A590,Lista_Starke!$A:$E,2,0),"NÃO ESTÁ NA LISTA")</f>
        <v>CILINDRO MESTRE DE FREIO</v>
      </c>
    </row>
    <row r="591" customFormat="false" ht="15" hidden="false" customHeight="true" outlineLevel="0" collapsed="false">
      <c r="A591" s="10" t="s">
        <v>1320</v>
      </c>
      <c r="B591" s="10" t="str">
        <f aca="false">IFERROR(VLOOKUP(A591,Pedido!$A:$B,2,0),"")</f>
        <v/>
      </c>
      <c r="C591" s="10" t="str">
        <f aca="false">IF(B591="","NÃO COMPRA","COMPRA")</f>
        <v>NÃO COMPRA</v>
      </c>
      <c r="D591" s="1" t="n">
        <f aca="false">IFERROR(VLOOKUP(A591,Pedido!$A:$C,3,0),0)</f>
        <v>0</v>
      </c>
      <c r="E591" s="5" t="n">
        <f aca="false">IFERROR(VLOOKUP(A591,Pedido!$A:$E,5,0),0)</f>
        <v>0</v>
      </c>
      <c r="F591" s="1" t="s">
        <v>8</v>
      </c>
      <c r="G591" s="1" t="s">
        <v>1321</v>
      </c>
      <c r="H591" s="1" t="s">
        <v>1073</v>
      </c>
      <c r="I591" s="1" t="s">
        <v>42</v>
      </c>
      <c r="J591" s="1" t="s">
        <v>1322</v>
      </c>
      <c r="K591" s="1" t="n">
        <v>216</v>
      </c>
      <c r="L591" s="11" t="n">
        <v>0.863482273055967</v>
      </c>
      <c r="M591" s="1" t="n">
        <f aca="false">SUMIF(Relatorio_AK!$A:$A,A591,Relatorio_AK!$B:$B)</f>
        <v>216</v>
      </c>
      <c r="N591" s="1" t="str">
        <f aca="false">IF(M591=K591,"OK","DIF")</f>
        <v>OK</v>
      </c>
      <c r="O591" s="13" t="str">
        <f aca="false">IFERROR(VLOOKUP($A591,Lista_Starke!$A:$E,3,0),"NÃO ESTÁ NA LISTA")</f>
        <v>RENAULT: Logan 1.0 12V 3 cil 16/...
RENAULT: Sandero 1.0 12V 3 cil 16/...</v>
      </c>
      <c r="P591" s="12" t="str">
        <f aca="false">IFERROR(VLOOKUP($A591,Lista_Starke!$A:$E,2,0),"NÃO ESTÁ NA LISTA")</f>
        <v>VÁLVULA TERMOSTÁTICA</v>
      </c>
    </row>
    <row r="592" customFormat="false" ht="15" hidden="false" customHeight="true" outlineLevel="0" collapsed="false">
      <c r="A592" s="10" t="s">
        <v>1323</v>
      </c>
      <c r="B592" s="10" t="str">
        <f aca="false">IFERROR(VLOOKUP(A592,Pedido!$A:$B,2,0),"")</f>
        <v/>
      </c>
      <c r="C592" s="10" t="str">
        <f aca="false">IF(B592="","NÃO COMPRA","COMPRA")</f>
        <v>NÃO COMPRA</v>
      </c>
      <c r="D592" s="1" t="n">
        <f aca="false">IFERROR(VLOOKUP(A592,Pedido!$A:$C,3,0),0)</f>
        <v>0</v>
      </c>
      <c r="E592" s="5" t="n">
        <f aca="false">IFERROR(VLOOKUP(A592,Pedido!$A:$E,5,0),0)</f>
        <v>0</v>
      </c>
      <c r="F592" s="1" t="s">
        <v>8</v>
      </c>
      <c r="G592" s="1" t="s">
        <v>1172</v>
      </c>
      <c r="H592" s="1" t="s">
        <v>235</v>
      </c>
      <c r="I592" s="1" t="s">
        <v>1306</v>
      </c>
      <c r="J592" s="1" t="s">
        <v>1324</v>
      </c>
      <c r="K592" s="1" t="n">
        <v>215</v>
      </c>
      <c r="L592" s="11" t="n">
        <v>0.863849821439866</v>
      </c>
      <c r="M592" s="1" t="n">
        <f aca="false">SUMIF(Relatorio_AK!$A:$A,A592,Relatorio_AK!$B:$B)</f>
        <v>215</v>
      </c>
      <c r="N592" s="1" t="str">
        <f aca="false">IF(M592=K592,"OK","DIF")</f>
        <v>OK</v>
      </c>
      <c r="O592" s="13" t="str">
        <f aca="false">IFERROR(VLOOKUP($A592,Lista_Starke!$A:$E,3,0),"NÃO ESTÁ NA LISTA")</f>
        <v>CITROEN: Aircross 1.2 12V 17/...
CITROEN: Aircross 1.6 16V 11/...
CITROEN: Berlingo 1.6 16V 14/...
CITROEN: C4 / C4 Picasso 1.6 16V / 1.6 16V THP 09/…
CITROEN: C4 Lounge 1.6 16V THP 13/…
CITROEN: DS3 1.6 16V THP 12/…
CITROEN: DS4 1.6 16V THP 12/…
CITROEN: DS5 1.6 16V THP 12/…
MINI: Clubman Hampton 1.6 16V Turbo 12/12
MINI: Clubman S 1.6 16V Turbo 09/11
MINI: Cooper 1.6 16V Turbo 10/…
MINI: Cooper S 1.6 16V Turbo 07/09
MINI: Cooper S 1.6 16V Turbo 09/…
MINI: Countryman S 1.6 16V Turbo 11/16
MINI: One 1.6 16V 09/…
PEUGEOT: 2008 1.6 16V THP 15/…
PEUGEOT: 207 1.6 16V THP 07/…
PEUGEOT: 3008 1.6 16V THP 11/…
PEUGEOT: 308 1.6 16V THP 07/…
PEUGEOT: 408 1.6 16V THP 11/…
PEUGEOT: 508 1.6 16V THP 11/…
PEUGEOT: RCZ 1.6 16V THP 11/…</v>
      </c>
      <c r="P592" s="12" t="str">
        <f aca="false">IFERROR(VLOOKUP($A592,Lista_Starke!$A:$E,2,0),"NÃO ESTÁ NA LISTA")</f>
        <v>RESFRIADOR DE ÓLEO MOTOR</v>
      </c>
    </row>
    <row r="593" customFormat="false" ht="15" hidden="false" customHeight="true" outlineLevel="0" collapsed="false">
      <c r="A593" s="10" t="s">
        <v>1325</v>
      </c>
      <c r="B593" s="10" t="str">
        <f aca="false">IFERROR(VLOOKUP(A593,Pedido!$A:$B,2,0),"")</f>
        <v/>
      </c>
      <c r="C593" s="10" t="str">
        <f aca="false">IF(B593="","NÃO COMPRA","COMPRA")</f>
        <v>NÃO COMPRA</v>
      </c>
      <c r="D593" s="1" t="n">
        <f aca="false">IFERROR(VLOOKUP(A593,Pedido!$A:$C,3,0),0)</f>
        <v>0</v>
      </c>
      <c r="E593" s="5" t="n">
        <f aca="false">IFERROR(VLOOKUP(A593,Pedido!$A:$E,5,0),0)</f>
        <v>0</v>
      </c>
      <c r="F593" s="1" t="s">
        <v>8</v>
      </c>
      <c r="G593" s="1" t="s">
        <v>1326</v>
      </c>
      <c r="H593" s="1" t="s">
        <v>197</v>
      </c>
      <c r="I593" s="1" t="s">
        <v>1327</v>
      </c>
      <c r="J593" s="1" t="s">
        <v>1328</v>
      </c>
      <c r="K593" s="1" t="n">
        <v>214</v>
      </c>
      <c r="L593" s="11" t="n">
        <v>0.864215660296397</v>
      </c>
      <c r="M593" s="1" t="n">
        <f aca="false">SUMIF(Relatorio_AK!$A:$A,A593,Relatorio_AK!$B:$B)</f>
        <v>214</v>
      </c>
      <c r="N593" s="1" t="str">
        <f aca="false">IF(M593=K593,"OK","DIF")</f>
        <v>OK</v>
      </c>
      <c r="O593" s="13" t="str">
        <f aca="false">IFERROR(VLOOKUP($A593,Lista_Starke!$A:$E,3,0),"NÃO ESTÁ NA LISTA")</f>
        <v>LIFAN: X60 1.8 16V 13/...
TOYOTA: Corolla 1.8 16V   2ZZFE 03/…
TOYOTA: Corolla 1.8 16V   2ZZFE 08/10
TOYOTA: Etios 1.3 16V / 1.5 16V 12/…
TOYOTA: Fielder 1.8 16V   2ZZFE 05/08
TOYOTA: RAV 4 1.8 16V   1ZZFE 00/05</v>
      </c>
      <c r="P593" s="12" t="str">
        <f aca="false">IFERROR(VLOOKUP($A593,Lista_Starke!$A:$E,2,0),"NÃO ESTÁ NA LISTA")</f>
        <v>BOMBA D'ÁGUA</v>
      </c>
    </row>
    <row r="594" customFormat="false" ht="15" hidden="false" customHeight="true" outlineLevel="0" collapsed="false">
      <c r="A594" s="10" t="s">
        <v>1329</v>
      </c>
      <c r="B594" s="10" t="str">
        <f aca="false">IFERROR(VLOOKUP(A594,Pedido!$A:$B,2,0),"")</f>
        <v/>
      </c>
      <c r="C594" s="10" t="str">
        <f aca="false">IF(B594="","NÃO COMPRA","COMPRA")</f>
        <v>NÃO COMPRA</v>
      </c>
      <c r="D594" s="1" t="n">
        <f aca="false">IFERROR(VLOOKUP(A594,Pedido!$A:$C,3,0),0)</f>
        <v>0</v>
      </c>
      <c r="E594" s="5" t="n">
        <f aca="false">IFERROR(VLOOKUP(A594,Pedido!$A:$E,5,0),0)</f>
        <v>0</v>
      </c>
      <c r="F594" s="1" t="s">
        <v>8</v>
      </c>
      <c r="G594" s="1" t="s">
        <v>1330</v>
      </c>
      <c r="H594" s="1" t="s">
        <v>600</v>
      </c>
      <c r="I594" s="1" t="s">
        <v>255</v>
      </c>
      <c r="K594" s="1" t="n">
        <v>213</v>
      </c>
      <c r="L594" s="11" t="n">
        <v>0.864579789625561</v>
      </c>
      <c r="M594" s="1" t="n">
        <f aca="false">SUMIF(Relatorio_AK!$A:$A,A594,Relatorio_AK!$B:$B)</f>
        <v>213</v>
      </c>
      <c r="N594" s="1" t="str">
        <f aca="false">IF(M594=K594,"OK","DIF")</f>
        <v>OK</v>
      </c>
      <c r="O594" s="13" t="str">
        <f aca="false">IFERROR(VLOOKUP($A594,Lista_Starke!$A:$E,3,0),"NÃO ESTÁ NA LISTA")</f>
        <v>MITSUBISHI: Pajero 2.8 Turbo 4M40 Diesel 94/99
MITSUBISHI: Pajero 3.2 4M41 Diesel 99/…
MITSUBISHI: Pajero Full 3.2 Turbo 4M41 Diesel …/00
MITSUBISHI: Pajero Sport 2.8 8V HPE 4M40 99/07
MITSUBISHI: Pajero Sport 2.8 Turbo 4M40 Diesel 93/…
MITSUBISHI: Pajero Sport 3.2 Turbo 4M41 Diesel 99/…</v>
      </c>
      <c r="P594" s="12" t="str">
        <f aca="false">IFERROR(VLOOKUP($A594,Lista_Starke!$A:$E,2,0),"NÃO ESTÁ NA LISTA")</f>
        <v>BOMBA DE VÁCUO FREIO</v>
      </c>
    </row>
    <row r="595" customFormat="false" ht="15" hidden="false" customHeight="true" outlineLevel="0" collapsed="false">
      <c r="A595" s="10" t="s">
        <v>1331</v>
      </c>
      <c r="B595" s="10" t="str">
        <f aca="false">IFERROR(VLOOKUP(A595,Pedido!$A:$B,2,0),"")</f>
        <v/>
      </c>
      <c r="C595" s="10" t="str">
        <f aca="false">IF(B595="","NÃO COMPRA","COMPRA")</f>
        <v>NÃO COMPRA</v>
      </c>
      <c r="D595" s="1" t="n">
        <f aca="false">IFERROR(VLOOKUP(A595,Pedido!$A:$C,3,0),0)</f>
        <v>0</v>
      </c>
      <c r="E595" s="5" t="n">
        <f aca="false">IFERROR(VLOOKUP(A595,Pedido!$A:$E,5,0),0)</f>
        <v>0</v>
      </c>
      <c r="F595" s="1" t="s">
        <v>8</v>
      </c>
      <c r="G595" s="1" t="s">
        <v>1332</v>
      </c>
      <c r="H595" s="1" t="s">
        <v>197</v>
      </c>
      <c r="I595" s="1" t="s">
        <v>1327</v>
      </c>
      <c r="K595" s="1" t="n">
        <v>213</v>
      </c>
      <c r="L595" s="11" t="n">
        <v>0.864943918954726</v>
      </c>
      <c r="M595" s="1" t="n">
        <f aca="false">SUMIF(Relatorio_AK!$A:$A,A595,Relatorio_AK!$B:$B)</f>
        <v>213</v>
      </c>
      <c r="N595" s="1" t="str">
        <f aca="false">IF(M595=K595,"OK","DIF")</f>
        <v>OK</v>
      </c>
      <c r="O595" s="13" t="str">
        <f aca="false">IFERROR(VLOOKUP($A595,Lista_Starke!$A:$E,3,0),"NÃO ESTÁ NA LISTA")</f>
        <v>LIFAN: 320 1.3 16V LF481Q3 13/...
LIFAN: 320 1.6 16V LF481Q3 13/...
LIFAN: 530 1.5 16V LF481Q3 13/...
LIFAN: 620 1.6 16V LF481Q3 13/...
LIFAN: X60 1.6 16V LF481Q3 13/...
TOYOTA: Corolla 1.6 16V   4AFE / 4AFEL 92/02</v>
      </c>
      <c r="P595" s="12" t="str">
        <f aca="false">IFERROR(VLOOKUP($A595,Lista_Starke!$A:$E,2,0),"NÃO ESTÁ NA LISTA")</f>
        <v>BOMBA D'ÁGUA</v>
      </c>
    </row>
    <row r="596" customFormat="false" ht="15" hidden="false" customHeight="true" outlineLevel="0" collapsed="false">
      <c r="A596" s="10" t="s">
        <v>1333</v>
      </c>
      <c r="B596" s="10" t="str">
        <f aca="false">IFERROR(VLOOKUP(A596,Pedido!$A:$B,2,0),"")</f>
        <v/>
      </c>
      <c r="C596" s="10" t="str">
        <f aca="false">IF(B596="","NÃO COMPRA","COMPRA")</f>
        <v>NÃO COMPRA</v>
      </c>
      <c r="D596" s="1" t="n">
        <f aca="false">IFERROR(VLOOKUP(A596,Pedido!$A:$C,3,0),0)</f>
        <v>0</v>
      </c>
      <c r="E596" s="5" t="n">
        <f aca="false">IFERROR(VLOOKUP(A596,Pedido!$A:$E,5,0),0)</f>
        <v>0</v>
      </c>
      <c r="F596" s="1" t="s">
        <v>8</v>
      </c>
      <c r="G596" s="1" t="s">
        <v>1334</v>
      </c>
      <c r="H596" s="1" t="s">
        <v>600</v>
      </c>
      <c r="I596" s="1" t="s">
        <v>42</v>
      </c>
      <c r="K596" s="1" t="n">
        <v>213</v>
      </c>
      <c r="L596" s="11" t="n">
        <v>0.86530804828389</v>
      </c>
      <c r="M596" s="1" t="n">
        <f aca="false">SUMIF(Relatorio_AK!$A:$A,A596,Relatorio_AK!$B:$B)</f>
        <v>213</v>
      </c>
      <c r="N596" s="1" t="str">
        <f aca="false">IF(M596=K596,"OK","DIF")</f>
        <v>OK</v>
      </c>
      <c r="O596" s="12" t="str">
        <f aca="false">IFERROR(VLOOKUP($A596,Lista_Starke!$A:$E,3,0),"NÃO ESTÁ NA LISTA")</f>
        <v>RENAULT: Master 2.5 16V Turbo G9U 05/13</v>
      </c>
      <c r="P596" s="12" t="str">
        <f aca="false">IFERROR(VLOOKUP($A596,Lista_Starke!$A:$E,2,0),"NÃO ESTÁ NA LISTA")</f>
        <v>BOMBA DE VÁCUO FREIO</v>
      </c>
    </row>
    <row r="597" customFormat="false" ht="15" hidden="false" customHeight="true" outlineLevel="0" collapsed="false">
      <c r="A597" s="10" t="s">
        <v>1335</v>
      </c>
      <c r="B597" s="10" t="str">
        <f aca="false">IFERROR(VLOOKUP(A597,Pedido!$A:$B,2,0),"")</f>
        <v/>
      </c>
      <c r="C597" s="10" t="str">
        <f aca="false">IF(B597="","NÃO COMPRA","COMPRA")</f>
        <v>NÃO COMPRA</v>
      </c>
      <c r="D597" s="1" t="n">
        <f aca="false">IFERROR(VLOOKUP(A597,Pedido!$A:$C,3,0),0)</f>
        <v>0</v>
      </c>
      <c r="E597" s="5" t="n">
        <f aca="false">IFERROR(VLOOKUP(A597,Pedido!$A:$E,5,0),0)</f>
        <v>0</v>
      </c>
      <c r="F597" s="1" t="s">
        <v>8</v>
      </c>
      <c r="G597" s="1" t="s">
        <v>1336</v>
      </c>
      <c r="H597" s="1" t="s">
        <v>35</v>
      </c>
      <c r="I597" s="1" t="s">
        <v>172</v>
      </c>
      <c r="J597" s="1" t="s">
        <v>1337</v>
      </c>
      <c r="K597" s="1" t="n">
        <v>213</v>
      </c>
      <c r="L597" s="11" t="n">
        <v>0.865672177613055</v>
      </c>
      <c r="M597" s="1" t="n">
        <f aca="false">SUMIF(Relatorio_AK!$A:$A,A597,Relatorio_AK!$B:$B)</f>
        <v>213</v>
      </c>
      <c r="N597" s="1" t="str">
        <f aca="false">IF(M597=K597,"OK","DIF")</f>
        <v>OK</v>
      </c>
      <c r="O597" s="13" t="str">
        <f aca="false">IFERROR(VLOOKUP($A597,Lista_Starke!$A:$E,3,0),"NÃO ESTÁ NA LISTA")</f>
        <v>HYUNDAI: Tucson 2.0 16V 04/11
HYUNDAI: Tucson 2.7 V6 04/11
KIA: Sportage 2.0 16V 05/10
KIA: Sportage 2.0 16V Diesel 05/10</v>
      </c>
      <c r="P597" s="12" t="str">
        <f aca="false">IFERROR(VLOOKUP($A597,Lista_Starke!$A:$E,2,0),"NÃO ESTÁ NA LISTA")</f>
        <v>CILINDRO MESTRE DE FREIO</v>
      </c>
    </row>
    <row r="598" customFormat="false" ht="15" hidden="false" customHeight="true" outlineLevel="0" collapsed="false">
      <c r="A598" s="10" t="s">
        <v>1338</v>
      </c>
      <c r="B598" s="10" t="str">
        <f aca="false">IFERROR(VLOOKUP(A598,Pedido!$A:$B,2,0),"")</f>
        <v/>
      </c>
      <c r="C598" s="10" t="str">
        <f aca="false">IF(B598="","NÃO COMPRA","COMPRA")</f>
        <v>NÃO COMPRA</v>
      </c>
      <c r="D598" s="1" t="n">
        <f aca="false">IFERROR(VLOOKUP(A598,Pedido!$A:$C,3,0),0)</f>
        <v>0</v>
      </c>
      <c r="E598" s="5" t="n">
        <f aca="false">IFERROR(VLOOKUP(A598,Pedido!$A:$E,5,0),0)</f>
        <v>0</v>
      </c>
      <c r="F598" s="1" t="s">
        <v>8</v>
      </c>
      <c r="G598" s="1" t="s">
        <v>52</v>
      </c>
      <c r="H598" s="1" t="s">
        <v>35</v>
      </c>
      <c r="I598" s="1" t="s">
        <v>53</v>
      </c>
      <c r="K598" s="1" t="n">
        <v>213</v>
      </c>
      <c r="L598" s="11" t="n">
        <v>0.866036306942219</v>
      </c>
      <c r="M598" s="1" t="n">
        <f aca="false">SUMIF(Relatorio_AK!$A:$A,A598,Relatorio_AK!$B:$B)</f>
        <v>213</v>
      </c>
      <c r="N598" s="1" t="str">
        <f aca="false">IF(M598=K598,"OK","DIF")</f>
        <v>OK</v>
      </c>
      <c r="O598" s="13" t="str">
        <f aca="false">IFERROR(VLOOKUP($A598,Lista_Starke!$A:$E,3,0),"NÃO ESTÁ NA LISTA")</f>
        <v>FORD: Ranger 2.2 16V TDCi 13/...
FORD: Ranger 2.3 16V Gasolina 13/...
FORD: Ranger 2.5 16V Gasolina 13/...
FORD: Ranger 3.0 Diesel 12/...
FORD: Ranger 3.2 20V TDCi 13/...</v>
      </c>
      <c r="P598" s="12" t="str">
        <f aca="false">IFERROR(VLOOKUP($A598,Lista_Starke!$A:$E,2,0),"NÃO ESTÁ NA LISTA")</f>
        <v>CILINDRO MESTRE DE FREIO</v>
      </c>
    </row>
    <row r="599" customFormat="false" ht="15" hidden="false" customHeight="true" outlineLevel="0" collapsed="false">
      <c r="A599" s="10" t="s">
        <v>1339</v>
      </c>
      <c r="B599" s="10" t="str">
        <f aca="false">IFERROR(VLOOKUP(A599,Pedido!$A:$B,2,0),"")</f>
        <v/>
      </c>
      <c r="C599" s="10" t="str">
        <f aca="false">IF(B599="","NÃO COMPRA","COMPRA")</f>
        <v>NÃO COMPRA</v>
      </c>
      <c r="D599" s="1" t="n">
        <f aca="false">IFERROR(VLOOKUP(A599,Pedido!$A:$C,3,0),0)</f>
        <v>0</v>
      </c>
      <c r="E599" s="5" t="n">
        <f aca="false">IFERROR(VLOOKUP(A599,Pedido!$A:$E,5,0),0)</f>
        <v>0</v>
      </c>
      <c r="F599" s="1" t="s">
        <v>8</v>
      </c>
      <c r="G599" s="1" t="s">
        <v>1220</v>
      </c>
      <c r="H599" s="1" t="s">
        <v>1073</v>
      </c>
      <c r="I599" s="1" t="s">
        <v>172</v>
      </c>
      <c r="J599" s="1" t="s">
        <v>1340</v>
      </c>
      <c r="K599" s="1" t="n">
        <v>213</v>
      </c>
      <c r="L599" s="11" t="n">
        <v>0.866400436271384</v>
      </c>
      <c r="M599" s="1" t="n">
        <f aca="false">SUMIF(Relatorio_AK!$A:$A,A599,Relatorio_AK!$B:$B)</f>
        <v>213</v>
      </c>
      <c r="N599" s="1" t="str">
        <f aca="false">IF(M599=K599,"OK","DIF")</f>
        <v>OK</v>
      </c>
      <c r="O599" s="13" t="str">
        <f aca="false">IFERROR(VLOOKUP($A599,Lista_Starke!$A:$E,3,0),"NÃO ESTÁ NA LISTA")</f>
        <v>HYUNDAI: Creta 1.6 16V Flex G4FC 17/...
HYUNDAI: HB20 1.0 12V 3 cil   B3LA / G3LA 12/…
HYUNDAI: HB20 1.6 16V Flex G4FC 12/…
HYUNDAI: i30 1.6 16V Flex G4FC 13/…
HYUNDAI: Veloster 1.6 16V Flex G4FC 12/…
KIA: Cerato 1.6 16V G4FC 10/...
KIA: Soul 1.6 16V 09/...</v>
      </c>
      <c r="P599" s="12" t="str">
        <f aca="false">IFERROR(VLOOKUP($A599,Lista_Starke!$A:$E,2,0),"NÃO ESTÁ NA LISTA")</f>
        <v>VÁLVULA TERMOSTÁTICA</v>
      </c>
    </row>
    <row r="600" customFormat="false" ht="15" hidden="false" customHeight="true" outlineLevel="0" collapsed="false">
      <c r="A600" s="10" t="s">
        <v>1341</v>
      </c>
      <c r="B600" s="10" t="str">
        <f aca="false">IFERROR(VLOOKUP(A600,Pedido!$A:$B,2,0),"")</f>
        <v/>
      </c>
      <c r="C600" s="10" t="str">
        <f aca="false">IF(B600="","NÃO COMPRA","COMPRA")</f>
        <v>NÃO COMPRA</v>
      </c>
      <c r="D600" s="1" t="n">
        <f aca="false">IFERROR(VLOOKUP(A600,Pedido!$A:$C,3,0),0)</f>
        <v>0</v>
      </c>
      <c r="E600" s="5" t="n">
        <f aca="false">IFERROR(VLOOKUP(A600,Pedido!$A:$E,5,0),0)</f>
        <v>0</v>
      </c>
      <c r="F600" s="1" t="s">
        <v>8</v>
      </c>
      <c r="G600" s="1" t="s">
        <v>488</v>
      </c>
      <c r="H600" s="1" t="s">
        <v>197</v>
      </c>
      <c r="I600" s="1" t="s">
        <v>63</v>
      </c>
      <c r="J600" s="1" t="s">
        <v>1342</v>
      </c>
      <c r="K600" s="1" t="n">
        <v>212</v>
      </c>
      <c r="L600" s="11" t="n">
        <v>0.866762856073181</v>
      </c>
      <c r="M600" s="1" t="n">
        <f aca="false">SUMIF(Relatorio_AK!$A:$A,A600,Relatorio_AK!$B:$B)</f>
        <v>212</v>
      </c>
      <c r="N600" s="1" t="str">
        <f aca="false">IF(M600=K600,"OK","DIF")</f>
        <v>OK</v>
      </c>
      <c r="O600" s="13" t="str">
        <f aca="false">IFERROR(VLOOKUP($A600,Lista_Starke!$A:$E,3,0),"NÃO ESTÁ NA LISTA")</f>
        <v>NISSAN: Livina 1.8 16V   MR18DE 10/…
NISSAN: Sentra 2.0 16V   MR20DE 07/…
NISSAN: Tiida 1.6 16V   MR16DE 07/…
NISSAN: Tiida 1.8 16V   MR18DE 07/…
NISSAN: Versa 1.8 16V   MR18DE 11/…
NISSAN: X Trail 2.0 16V   MR20DE 07/…
RENAULT: Fluence 2.0 16V   M4R 11/…</v>
      </c>
      <c r="P600" s="12" t="str">
        <f aca="false">IFERROR(VLOOKUP($A600,Lista_Starke!$A:$E,2,0),"NÃO ESTÁ NA LISTA")</f>
        <v>BOMBA D'ÁGUA</v>
      </c>
    </row>
    <row r="601" customFormat="false" ht="15" hidden="false" customHeight="true" outlineLevel="0" collapsed="false">
      <c r="A601" s="10" t="s">
        <v>1343</v>
      </c>
      <c r="B601" s="10" t="str">
        <f aca="false">IFERROR(VLOOKUP(A601,Pedido!$A:$B,2,0),"")</f>
        <v/>
      </c>
      <c r="C601" s="10" t="str">
        <f aca="false">IF(B601="","NÃO COMPRA","COMPRA")</f>
        <v>NÃO COMPRA</v>
      </c>
      <c r="D601" s="1" t="n">
        <f aca="false">IFERROR(VLOOKUP(A601,Pedido!$A:$C,3,0),0)</f>
        <v>0</v>
      </c>
      <c r="E601" s="5" t="n">
        <f aca="false">IFERROR(VLOOKUP(A601,Pedido!$A:$E,5,0),0)</f>
        <v>0</v>
      </c>
      <c r="F601" s="1" t="s">
        <v>8</v>
      </c>
      <c r="G601" s="1" t="s">
        <v>1344</v>
      </c>
      <c r="H601" s="1" t="s">
        <v>126</v>
      </c>
      <c r="I601" s="1" t="s">
        <v>77</v>
      </c>
      <c r="J601" s="1" t="s">
        <v>1345</v>
      </c>
      <c r="K601" s="1" t="n">
        <v>212</v>
      </c>
      <c r="L601" s="11" t="n">
        <v>0.867125275874978</v>
      </c>
      <c r="M601" s="1" t="n">
        <f aca="false">SUMIF(Relatorio_AK!$A:$A,A601,Relatorio_AK!$B:$B)</f>
        <v>212</v>
      </c>
      <c r="N601" s="1" t="str">
        <f aca="false">IF(M601=K601,"OK","DIF")</f>
        <v>OK</v>
      </c>
      <c r="O601" s="13" t="str">
        <f aca="false">IFERROR(VLOOKUP($A601,Lista_Starke!$A:$E,3,0),"NÃO ESTÁ NA LISTA")</f>
        <v>CITROEN: C4 / C4 Picasso 1.6 16V / 1.6 16V THP EP6 / EP6DT 09/…
CITROEN: C4 Lounge 1.6 16V THP EP6DT / EP6DTS 13/…
CITROEN: DS3 1.6 16V THP EP6DT / EP6DTS 12/…
CITROEN: DS4 1.6 16V THP EP6DT / EP6DTS 12/…
CITROEN: DS5 1.6 16V THP EP6DT / EP6DTS 12/…
PEUGEOT: 2008 1.6 16V THP EP6DT / EPDDTS 15/…
PEUGEOT: 3008 1.6 16V THP EP6DT / EPDDTS 11/…
PEUGEOT: 308 1.6 16V THP EP6DT / EPDDTS 07/…
PEUGEOT: 408 1.6 16V THP EP6DT / EPDDTS 11/…
PEUGEOT: 508 1.6 16V THP EP6DT / EPDDTS 11/…
PEUGEOT: RCZ 1.6 16V THP EP6DT / EPDDTS 11/…</v>
      </c>
      <c r="P601" s="12" t="str">
        <f aca="false">IFERROR(VLOOKUP($A601,Lista_Starke!$A:$E,2,0),"NÃO ESTÁ NA LISTA")</f>
        <v>RESFRIADOR DE ÓLEO CÂMBIO</v>
      </c>
    </row>
    <row r="602" customFormat="false" ht="15" hidden="false" customHeight="true" outlineLevel="0" collapsed="false">
      <c r="A602" s="10" t="s">
        <v>1346</v>
      </c>
      <c r="B602" s="10" t="str">
        <f aca="false">IFERROR(VLOOKUP(A602,Pedido!$A:$B,2,0),"")</f>
        <v/>
      </c>
      <c r="C602" s="10" t="str">
        <f aca="false">IF(B602="","NÃO COMPRA","COMPRA")</f>
        <v>NÃO COMPRA</v>
      </c>
      <c r="D602" s="1" t="n">
        <f aca="false">IFERROR(VLOOKUP(A602,Pedido!$A:$C,3,0),0)</f>
        <v>0</v>
      </c>
      <c r="E602" s="5" t="n">
        <f aca="false">IFERROR(VLOOKUP(A602,Pedido!$A:$E,5,0),0)</f>
        <v>0</v>
      </c>
      <c r="F602" s="1" t="s">
        <v>8</v>
      </c>
      <c r="G602" s="1" t="s">
        <v>32</v>
      </c>
      <c r="H602" s="1" t="s">
        <v>32</v>
      </c>
      <c r="I602" s="1" t="s">
        <v>42</v>
      </c>
      <c r="J602" s="1" t="s">
        <v>1347</v>
      </c>
      <c r="K602" s="1" t="n">
        <v>211</v>
      </c>
      <c r="L602" s="11" t="n">
        <v>0.867485986149409</v>
      </c>
      <c r="M602" s="1" t="n">
        <f aca="false">SUMIF(Relatorio_AK!$A:$A,A602,Relatorio_AK!$B:$B)</f>
        <v>211</v>
      </c>
      <c r="N602" s="1" t="str">
        <f aca="false">IF(M602=K602,"OK","DIF")</f>
        <v>OK</v>
      </c>
      <c r="O602" s="13" t="str">
        <f aca="false">IFERROR(VLOOKUP($A602,Lista_Starke!$A:$E,3,0),"NÃO ESTÁ NA LISTA")</f>
        <v>RENAULT: Captur 1.3 3 cil Turbo 20/...
RENAULT: Captur 1.6 16V 17/...
RENAULT: Duster 1.3 3 cil Turbo 22/...
RENAULT: Duster 1.6 16V 17/...</v>
      </c>
      <c r="P602" s="12" t="str">
        <f aca="false">IFERROR(VLOOKUP($A602,Lista_Starke!$A:$E,2,0),"NÃO ESTÁ NA LISTA")</f>
        <v>CILINDRO MESTRE DE EMBREAGEM</v>
      </c>
    </row>
    <row r="603" customFormat="false" ht="15" hidden="false" customHeight="true" outlineLevel="0" collapsed="false">
      <c r="A603" s="10" t="s">
        <v>1348</v>
      </c>
      <c r="B603" s="10" t="str">
        <f aca="false">IFERROR(VLOOKUP(A603,Pedido!$A:$B,2,0),"")</f>
        <v/>
      </c>
      <c r="C603" s="10" t="str">
        <f aca="false">IF(B603="","NÃO COMPRA","COMPRA")</f>
        <v>NÃO COMPRA</v>
      </c>
      <c r="D603" s="1" t="n">
        <f aca="false">IFERROR(VLOOKUP(A603,Pedido!$A:$C,3,0),0)</f>
        <v>0</v>
      </c>
      <c r="E603" s="5" t="n">
        <f aca="false">IFERROR(VLOOKUP(A603,Pedido!$A:$E,5,0),0)</f>
        <v>0</v>
      </c>
      <c r="F603" s="1" t="s">
        <v>8</v>
      </c>
      <c r="G603" s="1" t="s">
        <v>1114</v>
      </c>
      <c r="H603" s="1" t="s">
        <v>88</v>
      </c>
      <c r="I603" s="1" t="s">
        <v>255</v>
      </c>
      <c r="J603" s="1" t="s">
        <v>1349</v>
      </c>
      <c r="K603" s="1" t="n">
        <v>210</v>
      </c>
      <c r="L603" s="11" t="n">
        <v>0.867844986896472</v>
      </c>
      <c r="M603" s="1" t="n">
        <f aca="false">SUMIF(Relatorio_AK!$A:$A,A603,Relatorio_AK!$B:$B)</f>
        <v>210</v>
      </c>
      <c r="N603" s="1" t="str">
        <f aca="false">IF(M603=K603,"OK","DIF")</f>
        <v>OK</v>
      </c>
      <c r="O603" s="13" t="str">
        <f aca="false">IFERROR(VLOOKUP($A603,Lista_Starke!$A:$E,3,0),"NÃO ESTÁ NA LISTA")</f>
        <v>MITSUBISHI: L200 2.5 / 2.5 Turbo Diesel 03/12
MITSUBISHI: L200 2.5 / 2.5 Turbo Diesel 92/06</v>
      </c>
      <c r="P603" s="12" t="str">
        <f aca="false">IFERROR(VLOOKUP($A603,Lista_Starke!$A:$E,2,0),"NÃO ESTÁ NA LISTA")</f>
        <v>CILINDRO DE RODA LD</v>
      </c>
    </row>
    <row r="604" customFormat="false" ht="15" hidden="false" customHeight="true" outlineLevel="0" collapsed="false">
      <c r="A604" s="10" t="s">
        <v>1350</v>
      </c>
      <c r="B604" s="10" t="str">
        <f aca="false">IFERROR(VLOOKUP(A604,Pedido!$A:$B,2,0),"")</f>
        <v/>
      </c>
      <c r="C604" s="10" t="str">
        <f aca="false">IF(B604="","NÃO COMPRA","COMPRA")</f>
        <v>NÃO COMPRA</v>
      </c>
      <c r="D604" s="1" t="n">
        <f aca="false">IFERROR(VLOOKUP(A604,Pedido!$A:$C,3,0),0)</f>
        <v>0</v>
      </c>
      <c r="E604" s="5" t="n">
        <f aca="false">IFERROR(VLOOKUP(A604,Pedido!$A:$E,5,0),0)</f>
        <v>0</v>
      </c>
      <c r="F604" s="1" t="s">
        <v>8</v>
      </c>
      <c r="G604" s="1" t="s">
        <v>356</v>
      </c>
      <c r="H604" s="1" t="s">
        <v>131</v>
      </c>
      <c r="I604" s="1" t="s">
        <v>29</v>
      </c>
      <c r="J604" s="1" t="s">
        <v>1351</v>
      </c>
      <c r="K604" s="1" t="n">
        <v>209</v>
      </c>
      <c r="L604" s="11" t="n">
        <v>0.868202278116169</v>
      </c>
      <c r="M604" s="1" t="n">
        <f aca="false">SUMIF(Relatorio_AK!$A:$A,A604,Relatorio_AK!$B:$B)</f>
        <v>209</v>
      </c>
      <c r="N604" s="1" t="str">
        <f aca="false">IF(M604=K604,"OK","DIF")</f>
        <v>OK</v>
      </c>
      <c r="O604" s="13" t="str">
        <f aca="false">IFERROR(VLOOKUP($A604,Lista_Starke!$A:$E,3,0),"NÃO ESTÁ NA LISTA")</f>
        <v>HYUNDAI: Creta 1.6 16V 17/...
HYUNDAI: Creta 2.0 16V 16/...</v>
      </c>
      <c r="P604" s="12" t="str">
        <f aca="false">IFERROR(VLOOKUP($A604,Lista_Starke!$A:$E,2,0),"NÃO ESTÁ NA LISTA")</f>
        <v>SAPATA DE FREIO</v>
      </c>
    </row>
    <row r="605" customFormat="false" ht="15" hidden="false" customHeight="true" outlineLevel="0" collapsed="false">
      <c r="A605" s="10" t="s">
        <v>1352</v>
      </c>
      <c r="B605" s="10" t="str">
        <f aca="false">IFERROR(VLOOKUP(A605,Pedido!$A:$B,2,0),"")</f>
        <v/>
      </c>
      <c r="C605" s="10" t="str">
        <f aca="false">IF(B605="","NÃO COMPRA","COMPRA")</f>
        <v>NÃO COMPRA</v>
      </c>
      <c r="D605" s="1" t="n">
        <f aca="false">IFERROR(VLOOKUP(A605,Pedido!$A:$C,3,0),0)</f>
        <v>0</v>
      </c>
      <c r="E605" s="5" t="n">
        <f aca="false">IFERROR(VLOOKUP(A605,Pedido!$A:$E,5,0),0)</f>
        <v>0</v>
      </c>
      <c r="F605" s="1" t="s">
        <v>8</v>
      </c>
      <c r="G605" s="1" t="s">
        <v>254</v>
      </c>
      <c r="H605" s="1" t="s">
        <v>35</v>
      </c>
      <c r="I605" s="1" t="s">
        <v>255</v>
      </c>
      <c r="J605" s="1" t="s">
        <v>1353</v>
      </c>
      <c r="K605" s="1" t="n">
        <v>209</v>
      </c>
      <c r="L605" s="11" t="n">
        <v>0.868559569335865</v>
      </c>
      <c r="M605" s="1" t="n">
        <f aca="false">SUMIF(Relatorio_AK!$A:$A,A605,Relatorio_AK!$B:$B)</f>
        <v>209</v>
      </c>
      <c r="N605" s="1" t="str">
        <f aca="false">IF(M605=K605,"OK","DIF")</f>
        <v>OK</v>
      </c>
      <c r="O605" s="13" t="str">
        <f aca="false">IFERROR(VLOOKUP($A605,Lista_Starke!$A:$E,3,0),"NÃO ESTÁ NA LISTA")</f>
        <v>MITSUBISHI: ASX  11/15
MITSUBISHI: L300  95/99
MITSUBISHI: Outlander  08/15
MITSUBISHI: Pajero Dakar  09/15
MITSUBISHI: Pajero Full  04/05</v>
      </c>
      <c r="P605" s="12" t="str">
        <f aca="false">IFERROR(VLOOKUP($A605,Lista_Starke!$A:$E,2,0),"NÃO ESTÁ NA LISTA")</f>
        <v>CILINDRO MESTRE DE FREIO</v>
      </c>
    </row>
    <row r="606" customFormat="false" ht="15" hidden="false" customHeight="true" outlineLevel="0" collapsed="false">
      <c r="A606" s="10" t="s">
        <v>1354</v>
      </c>
      <c r="B606" s="10" t="str">
        <f aca="false">IFERROR(VLOOKUP(A606,Pedido!$A:$B,2,0),"")</f>
        <v/>
      </c>
      <c r="C606" s="10" t="str">
        <f aca="false">IF(B606="","NÃO COMPRA","COMPRA")</f>
        <v>NÃO COMPRA</v>
      </c>
      <c r="D606" s="1" t="n">
        <f aca="false">IFERROR(VLOOKUP(A606,Pedido!$A:$C,3,0),0)</f>
        <v>0</v>
      </c>
      <c r="E606" s="5" t="n">
        <f aca="false">IFERROR(VLOOKUP(A606,Pedido!$A:$E,5,0),0)</f>
        <v>0</v>
      </c>
      <c r="F606" s="1" t="s">
        <v>8</v>
      </c>
      <c r="G606" s="1" t="s">
        <v>56</v>
      </c>
      <c r="H606" s="1" t="s">
        <v>35</v>
      </c>
      <c r="I606" s="1" t="s">
        <v>57</v>
      </c>
      <c r="J606" s="1" t="s">
        <v>1355</v>
      </c>
      <c r="K606" s="1" t="n">
        <v>207</v>
      </c>
      <c r="L606" s="11" t="n">
        <v>0.868913441500828</v>
      </c>
      <c r="M606" s="1" t="n">
        <f aca="false">SUMIF(Relatorio_AK!$A:$A,A606,Relatorio_AK!$B:$B)</f>
        <v>207</v>
      </c>
      <c r="N606" s="1" t="str">
        <f aca="false">IF(M606=K606,"OK","DIF")</f>
        <v>OK</v>
      </c>
      <c r="O606" s="13" t="str">
        <f aca="false">IFERROR(VLOOKUP($A606,Lista_Starke!$A:$E,3,0),"NÃO ESTÁ NA LISTA")</f>
        <v>GM: Celta 1.0 8V VHC 06/14
GM: Prisma 1.0 8V 09/13
GM: Prisma 1.4 8V 07/12</v>
      </c>
      <c r="P606" s="12" t="str">
        <f aca="false">IFERROR(VLOOKUP($A606,Lista_Starke!$A:$E,2,0),"NÃO ESTÁ NA LISTA")</f>
        <v>CILINDRO MESTRE DE FREIO</v>
      </c>
    </row>
    <row r="607" customFormat="false" ht="15" hidden="false" customHeight="true" outlineLevel="0" collapsed="false">
      <c r="A607" s="10" t="s">
        <v>1356</v>
      </c>
      <c r="B607" s="10" t="str">
        <f aca="false">IFERROR(VLOOKUP(A607,Pedido!$A:$B,2,0),"")</f>
        <v/>
      </c>
      <c r="C607" s="10" t="str">
        <f aca="false">IF(B607="","NÃO COMPRA","COMPRA")</f>
        <v>NÃO COMPRA</v>
      </c>
      <c r="D607" s="1" t="n">
        <f aca="false">IFERROR(VLOOKUP(A607,Pedido!$A:$C,3,0),0)</f>
        <v>0</v>
      </c>
      <c r="E607" s="5" t="n">
        <f aca="false">IFERROR(VLOOKUP(A607,Pedido!$A:$E,5,0),0)</f>
        <v>0</v>
      </c>
      <c r="F607" s="1" t="s">
        <v>8</v>
      </c>
      <c r="G607" s="1" t="s">
        <v>1357</v>
      </c>
      <c r="H607" s="1" t="s">
        <v>1358</v>
      </c>
      <c r="I607" s="1" t="s">
        <v>42</v>
      </c>
      <c r="J607" s="1" t="s">
        <v>1359</v>
      </c>
      <c r="K607" s="1" t="n">
        <v>206</v>
      </c>
      <c r="L607" s="11" t="n">
        <v>0.869265604138423</v>
      </c>
      <c r="M607" s="1" t="n">
        <f aca="false">SUMIF(Relatorio_AK!$A:$A,A607,Relatorio_AK!$B:$B)</f>
        <v>206</v>
      </c>
      <c r="N607" s="1" t="str">
        <f aca="false">IF(M607=K607,"OK","DIF")</f>
        <v>OK</v>
      </c>
      <c r="O607" s="13" t="str">
        <f aca="false">IFERROR(VLOOKUP($A607,Lista_Starke!$A:$E,3,0),"NÃO ESTÁ NA LISTA")</f>
        <v>RENAULT: Logan  07/13
RENAULT: Sandero  07/13</v>
      </c>
      <c r="P607" s="12" t="str">
        <f aca="false">IFERROR(VLOOKUP($A607,Lista_Starke!$A:$E,2,0),"NÃO ESTÁ NA LISTA")</f>
        <v>BANDEJA INFERIOR COMPLETA LD</v>
      </c>
    </row>
    <row r="608" customFormat="false" ht="15" hidden="false" customHeight="true" outlineLevel="0" collapsed="false">
      <c r="A608" s="10" t="s">
        <v>1360</v>
      </c>
      <c r="B608" s="10" t="str">
        <f aca="false">IFERROR(VLOOKUP(A608,Pedido!$A:$B,2,0),"")</f>
        <v/>
      </c>
      <c r="C608" s="10" t="str">
        <f aca="false">IF(B608="","NÃO COMPRA","COMPRA")</f>
        <v>NÃO COMPRA</v>
      </c>
      <c r="D608" s="1" t="n">
        <f aca="false">IFERROR(VLOOKUP(A608,Pedido!$A:$C,3,0),0)</f>
        <v>0</v>
      </c>
      <c r="E608" s="5" t="n">
        <f aca="false">IFERROR(VLOOKUP(A608,Pedido!$A:$E,5,0),0)</f>
        <v>0</v>
      </c>
      <c r="F608" s="1" t="s">
        <v>8</v>
      </c>
      <c r="G608" s="1" t="s">
        <v>193</v>
      </c>
      <c r="H608" s="1" t="s">
        <v>32</v>
      </c>
      <c r="I608" s="1" t="s">
        <v>53</v>
      </c>
      <c r="K608" s="1" t="n">
        <v>206</v>
      </c>
      <c r="L608" s="11" t="n">
        <v>0.869617766776019</v>
      </c>
      <c r="M608" s="1" t="n">
        <f aca="false">SUMIF(Relatorio_AK!$A:$A,A608,Relatorio_AK!$B:$B)</f>
        <v>206</v>
      </c>
      <c r="N608" s="1" t="str">
        <f aca="false">IF(M608=K608,"OK","DIF")</f>
        <v>OK</v>
      </c>
      <c r="O608" s="12" t="str">
        <f aca="false">IFERROR(VLOOKUP($A608,Lista_Starke!$A:$E,3,0),"NÃO ESTÁ NA LISTA")</f>
        <v>FORD: Transit 2.2 16V Duratorq 12/...</v>
      </c>
      <c r="P608" s="12" t="str">
        <f aca="false">IFERROR(VLOOKUP($A608,Lista_Starke!$A:$E,2,0),"NÃO ESTÁ NA LISTA")</f>
        <v>CILINDRO MESTRE DE EMBREAGEM</v>
      </c>
    </row>
    <row r="609" customFormat="false" ht="15" hidden="false" customHeight="true" outlineLevel="0" collapsed="false">
      <c r="A609" s="10" t="s">
        <v>1361</v>
      </c>
      <c r="B609" s="10" t="str">
        <f aca="false">IFERROR(VLOOKUP(A609,Pedido!$A:$B,2,0),"")</f>
        <v/>
      </c>
      <c r="C609" s="10" t="str">
        <f aca="false">IF(B609="","NÃO COMPRA","COMPRA")</f>
        <v>NÃO COMPRA</v>
      </c>
      <c r="D609" s="1" t="n">
        <f aca="false">IFERROR(VLOOKUP(A609,Pedido!$A:$C,3,0),0)</f>
        <v>0</v>
      </c>
      <c r="E609" s="5" t="n">
        <f aca="false">IFERROR(VLOOKUP(A609,Pedido!$A:$E,5,0),0)</f>
        <v>0</v>
      </c>
      <c r="F609" s="1" t="s">
        <v>8</v>
      </c>
      <c r="G609" s="1" t="s">
        <v>1223</v>
      </c>
      <c r="H609" s="1" t="s">
        <v>32</v>
      </c>
      <c r="I609" s="1" t="s">
        <v>77</v>
      </c>
      <c r="J609" s="1" t="s">
        <v>1362</v>
      </c>
      <c r="K609" s="1" t="n">
        <v>206</v>
      </c>
      <c r="L609" s="11" t="n">
        <v>0.869969929413615</v>
      </c>
      <c r="M609" s="1" t="n">
        <f aca="false">SUMIF(Relatorio_AK!$A:$A,A609,Relatorio_AK!$B:$B)</f>
        <v>206</v>
      </c>
      <c r="N609" s="1" t="str">
        <f aca="false">IF(M609=K609,"OK","DIF")</f>
        <v>OK</v>
      </c>
      <c r="O609" s="13" t="str">
        <f aca="false">IFERROR(VLOOKUP($A609,Lista_Starke!$A:$E,3,0),"NÃO ESTÁ NA LISTA")</f>
        <v>CITROEN: C4 1.6 16V 04/...
CITROEN: C4 P 1.6 16V 04/...
PEUGEOT: 307 1.6 16V 00/...
PEUGEOT: 308 1.6 16V 07/...</v>
      </c>
      <c r="P609" s="12" t="str">
        <f aca="false">IFERROR(VLOOKUP($A609,Lista_Starke!$A:$E,2,0),"NÃO ESTÁ NA LISTA")</f>
        <v>CILINDRO MESTRE DE EMBREAGEM</v>
      </c>
    </row>
    <row r="610" customFormat="false" ht="15" hidden="false" customHeight="true" outlineLevel="0" collapsed="false">
      <c r="A610" s="10" t="s">
        <v>1363</v>
      </c>
      <c r="B610" s="10" t="str">
        <f aca="false">IFERROR(VLOOKUP(A610,Pedido!$A:$B,2,0),"")</f>
        <v/>
      </c>
      <c r="C610" s="10" t="str">
        <f aca="false">IF(B610="","NÃO COMPRA","COMPRA")</f>
        <v>NÃO COMPRA</v>
      </c>
      <c r="D610" s="1" t="n">
        <f aca="false">IFERROR(VLOOKUP(A610,Pedido!$A:$C,3,0),0)</f>
        <v>0</v>
      </c>
      <c r="E610" s="5" t="n">
        <f aca="false">IFERROR(VLOOKUP(A610,Pedido!$A:$E,5,0),0)</f>
        <v>0</v>
      </c>
      <c r="F610" s="1" t="s">
        <v>8</v>
      </c>
      <c r="G610" s="1" t="s">
        <v>377</v>
      </c>
      <c r="H610" s="1" t="s">
        <v>197</v>
      </c>
      <c r="I610" s="1" t="s">
        <v>53</v>
      </c>
      <c r="J610" s="1" t="s">
        <v>1364</v>
      </c>
      <c r="K610" s="1" t="n">
        <v>206</v>
      </c>
      <c r="L610" s="11" t="n">
        <v>0.87032209205121</v>
      </c>
      <c r="M610" s="1" t="n">
        <f aca="false">SUMIF(Relatorio_AK!$A:$A,A610,Relatorio_AK!$B:$B)</f>
        <v>206</v>
      </c>
      <c r="N610" s="1" t="str">
        <f aca="false">IF(M610=K610,"OK","DIF")</f>
        <v>OK</v>
      </c>
      <c r="O610" s="13" t="str">
        <f aca="false">IFERROR(VLOOKUP($A610,Lista_Starke!$A:$E,3,0),"NÃO ESTÁ NA LISTA")</f>
        <v>FORD: Ecosport 2.0 16V Duratec 03/…
FORD: Focus 2.0 16V Duratec 08/…
FORD: Fusion 2.0 16V Turbo Ecoboost 13/…
FORD: Fusion 2.3 16V Duratec 06/09
FORD: Fusion 2.5 16V Duratec 10/…
FORD: Mondeo 2.0 16V Duratec / 2.5 16V Duratec 01/05
FORD: Ranger 2.3 16V Duratec 01/10
FORD: Ranger 2.5 16V Duratec 07/…
FORD: Ranger 2.5 16V Duratec 12/…</v>
      </c>
      <c r="P610" s="12" t="str">
        <f aca="false">IFERROR(VLOOKUP($A610,Lista_Starke!$A:$E,2,0),"NÃO ESTÁ NA LISTA")</f>
        <v>BOMBA D'ÁGUA</v>
      </c>
    </row>
    <row r="611" customFormat="false" ht="15" hidden="false" customHeight="true" outlineLevel="0" collapsed="false">
      <c r="A611" s="10" t="s">
        <v>1365</v>
      </c>
      <c r="B611" s="10" t="str">
        <f aca="false">IFERROR(VLOOKUP(A611,Pedido!$A:$B,2,0),"")</f>
        <v/>
      </c>
      <c r="C611" s="10" t="str">
        <f aca="false">IF(B611="","NÃO COMPRA","COMPRA")</f>
        <v>NÃO COMPRA</v>
      </c>
      <c r="D611" s="1" t="n">
        <f aca="false">IFERROR(VLOOKUP(A611,Pedido!$A:$C,3,0),0)</f>
        <v>0</v>
      </c>
      <c r="E611" s="5" t="n">
        <f aca="false">IFERROR(VLOOKUP(A611,Pedido!$A:$E,5,0),0)</f>
        <v>0</v>
      </c>
      <c r="F611" s="1" t="s">
        <v>8</v>
      </c>
      <c r="G611" s="1" t="s">
        <v>979</v>
      </c>
      <c r="H611" s="1" t="s">
        <v>131</v>
      </c>
      <c r="I611" s="1" t="s">
        <v>295</v>
      </c>
      <c r="J611" s="1" t="s">
        <v>1366</v>
      </c>
      <c r="K611" s="1" t="n">
        <v>205</v>
      </c>
      <c r="L611" s="11" t="n">
        <v>0.870672545161439</v>
      </c>
      <c r="M611" s="1" t="n">
        <f aca="false">SUMIF(Relatorio_AK!$A:$A,A611,Relatorio_AK!$B:$B)</f>
        <v>205</v>
      </c>
      <c r="N611" s="1" t="str">
        <f aca="false">IF(M611=K611,"OK","DIF")</f>
        <v>OK</v>
      </c>
      <c r="O611" s="12" t="str">
        <f aca="false">IFERROR(VLOOKUP($A611,Lista_Starke!$A:$E,3,0),"NÃO ESTÁ NA LISTA")</f>
        <v>CHERY: Face 1.3 16v 10/...</v>
      </c>
      <c r="P611" s="12" t="str">
        <f aca="false">IFERROR(VLOOKUP($A611,Lista_Starke!$A:$E,2,0),"NÃO ESTÁ NA LISTA")</f>
        <v>SAPATA DE FREIO</v>
      </c>
    </row>
    <row r="612" customFormat="false" ht="15" hidden="false" customHeight="true" outlineLevel="0" collapsed="false">
      <c r="A612" s="10" t="s">
        <v>1367</v>
      </c>
      <c r="B612" s="10" t="str">
        <f aca="false">IFERROR(VLOOKUP(A612,Pedido!$A:$B,2,0),"")</f>
        <v/>
      </c>
      <c r="C612" s="10" t="str">
        <f aca="false">IF(B612="","NÃO COMPRA","COMPRA")</f>
        <v>NÃO COMPRA</v>
      </c>
      <c r="D612" s="1" t="n">
        <f aca="false">IFERROR(VLOOKUP(A612,Pedido!$A:$C,3,0),0)</f>
        <v>0</v>
      </c>
      <c r="E612" s="5" t="n">
        <f aca="false">IFERROR(VLOOKUP(A612,Pedido!$A:$E,5,0),0)</f>
        <v>0</v>
      </c>
      <c r="F612" s="1" t="s">
        <v>8</v>
      </c>
      <c r="G612" s="1" t="s">
        <v>509</v>
      </c>
      <c r="H612" s="1" t="s">
        <v>197</v>
      </c>
      <c r="I612" s="1" t="s">
        <v>77</v>
      </c>
      <c r="J612" s="1" t="s">
        <v>1368</v>
      </c>
      <c r="K612" s="1" t="n">
        <v>204</v>
      </c>
      <c r="L612" s="11" t="n">
        <v>0.871021288744301</v>
      </c>
      <c r="M612" s="1" t="n">
        <f aca="false">SUMIF(Relatorio_AK!$A:$A,A612,Relatorio_AK!$B:$B)</f>
        <v>204</v>
      </c>
      <c r="N612" s="1" t="str">
        <f aca="false">IF(M612=K612,"OK","DIF")</f>
        <v>OK</v>
      </c>
      <c r="O612" s="13" t="str">
        <f aca="false">IFERROR(VLOOKUP($A612,Lista_Starke!$A:$E,3,0),"NÃO ESTÁ NA LISTA")</f>
        <v>CITROEN: Aircross 1.6 16V TU5JP4 11/…
CITROEN: Berlingo 1.6 16V TU5JP4 96/…
CITROEN: C3 1.6 16V TU5JP4 02/…
CITROEN: C4 1.6 16V TU5JP4 07/…
CITROEN: Xsara 1.6 16V TU5JP4 00/…
CITROEN: Xsara Picasso 1.6 16V TU5JP4 01/…
PEUGEOT: 206 / 206 SW 1.6 16V TU5JP4 01/08
PEUGEOT: 207 1.6 16V TU5JP4 09/…
PEUGEOT: 307 / SW 1.6 16V TU5JP4 01/…
PEUGEOT: Partner 1.6 16V TU5JP4 01/…</v>
      </c>
      <c r="P612" s="12" t="str">
        <f aca="false">IFERROR(VLOOKUP($A612,Lista_Starke!$A:$E,2,0),"NÃO ESTÁ NA LISTA")</f>
        <v>BOMBA D'ÁGUA</v>
      </c>
    </row>
    <row r="613" customFormat="false" ht="15" hidden="false" customHeight="true" outlineLevel="0" collapsed="false">
      <c r="A613" s="10" t="s">
        <v>1369</v>
      </c>
      <c r="B613" s="10" t="str">
        <f aca="false">IFERROR(VLOOKUP(A613,Pedido!$A:$B,2,0),"")</f>
        <v/>
      </c>
      <c r="C613" s="10" t="str">
        <f aca="false">IF(B613="","NÃO COMPRA","COMPRA")</f>
        <v>NÃO COMPRA</v>
      </c>
      <c r="D613" s="1" t="n">
        <f aca="false">IFERROR(VLOOKUP(A613,Pedido!$A:$C,3,0),0)</f>
        <v>0</v>
      </c>
      <c r="E613" s="5" t="n">
        <f aca="false">IFERROR(VLOOKUP(A613,Pedido!$A:$E,5,0),0)</f>
        <v>0</v>
      </c>
      <c r="F613" s="1" t="s">
        <v>8</v>
      </c>
      <c r="G613" s="1" t="s">
        <v>826</v>
      </c>
      <c r="H613" s="1" t="s">
        <v>197</v>
      </c>
      <c r="I613" s="1" t="s">
        <v>1157</v>
      </c>
      <c r="J613" s="1" t="s">
        <v>1370</v>
      </c>
      <c r="K613" s="1" t="n">
        <v>204</v>
      </c>
      <c r="L613" s="11" t="n">
        <v>0.871370032327162</v>
      </c>
      <c r="M613" s="1" t="n">
        <f aca="false">SUMIF(Relatorio_AK!$A:$A,A613,Relatorio_AK!$B:$B)</f>
        <v>204</v>
      </c>
      <c r="N613" s="1" t="str">
        <f aca="false">IF(M613=K613,"OK","DIF")</f>
        <v>OK</v>
      </c>
      <c r="O613" s="13" t="str">
        <f aca="false">IFERROR(VLOOKUP($A613,Lista_Starke!$A:$E,3,0),"NÃO ESTÁ NA LISTA")</f>
        <v>BMW: 320i 2.0 24V 91/00
BMW: 320i 2.2 24V 00/…
BMW: 323i 2.3 24V 95/98
BMW: 325i 2.5 24V 00/…
BMW: 325i 2.5 24V 91/98
BMW: 328i 2.8 24V 95/98
BMW: 330i 3.0 24V 00/…
BMW: 528i 2.8 24V 95/00
BMW: 530i 3.0 24V / 3.5 24V 00/…</v>
      </c>
      <c r="P613" s="12" t="str">
        <f aca="false">IFERROR(VLOOKUP($A613,Lista_Starke!$A:$E,2,0),"NÃO ESTÁ NA LISTA")</f>
        <v>BOMBA D'ÁGUA</v>
      </c>
    </row>
    <row r="614" customFormat="false" ht="15" hidden="false" customHeight="true" outlineLevel="0" collapsed="false">
      <c r="A614" s="10" t="s">
        <v>1371</v>
      </c>
      <c r="B614" s="10" t="str">
        <f aca="false">IFERROR(VLOOKUP(A614,Pedido!$A:$B,2,0),"")</f>
        <v/>
      </c>
      <c r="C614" s="10" t="str">
        <f aca="false">IF(B614="","NÃO COMPRA","COMPRA")</f>
        <v>NÃO COMPRA</v>
      </c>
      <c r="D614" s="1" t="n">
        <f aca="false">IFERROR(VLOOKUP(A614,Pedido!$A:$C,3,0),0)</f>
        <v>0</v>
      </c>
      <c r="E614" s="5" t="n">
        <f aca="false">IFERROR(VLOOKUP(A614,Pedido!$A:$E,5,0),0)</f>
        <v>0</v>
      </c>
      <c r="F614" s="1" t="s">
        <v>8</v>
      </c>
      <c r="G614" s="1" t="s">
        <v>602</v>
      </c>
      <c r="H614" s="1" t="s">
        <v>35</v>
      </c>
      <c r="I614" s="1" t="s">
        <v>29</v>
      </c>
      <c r="K614" s="1" t="n">
        <v>204</v>
      </c>
      <c r="L614" s="11" t="n">
        <v>0.871718775910024</v>
      </c>
      <c r="M614" s="1" t="n">
        <f aca="false">SUMIF(Relatorio_AK!$A:$A,A614,Relatorio_AK!$B:$B)</f>
        <v>204</v>
      </c>
      <c r="N614" s="1" t="str">
        <f aca="false">IF(M614=K614,"OK","DIF")</f>
        <v>OK</v>
      </c>
      <c r="O614" s="12" t="str">
        <f aca="false">IFERROR(VLOOKUP($A614,Lista_Starke!$A:$E,3,0),"NÃO ESTÁ NA LISTA")</f>
        <v>HYUNDAI: HD78 3.0 16V 11/...</v>
      </c>
      <c r="P614" s="12" t="str">
        <f aca="false">IFERROR(VLOOKUP($A614,Lista_Starke!$A:$E,2,0),"NÃO ESTÁ NA LISTA")</f>
        <v>CILINDRO MESTRE DE FREIO</v>
      </c>
    </row>
    <row r="615" customFormat="false" ht="15" hidden="false" customHeight="true" outlineLevel="0" collapsed="false">
      <c r="A615" s="10" t="s">
        <v>1372</v>
      </c>
      <c r="B615" s="10" t="str">
        <f aca="false">IFERROR(VLOOKUP(A615,Pedido!$A:$B,2,0),"")</f>
        <v/>
      </c>
      <c r="C615" s="10" t="str">
        <f aca="false">IF(B615="","NÃO COMPRA","COMPRA")</f>
        <v>NÃO COMPRA</v>
      </c>
      <c r="D615" s="1" t="n">
        <f aca="false">IFERROR(VLOOKUP(A615,Pedido!$A:$C,3,0),0)</f>
        <v>0</v>
      </c>
      <c r="E615" s="5" t="n">
        <f aca="false">IFERROR(VLOOKUP(A615,Pedido!$A:$E,5,0),0)</f>
        <v>0</v>
      </c>
      <c r="F615" s="1" t="s">
        <v>8</v>
      </c>
      <c r="G615" s="1" t="s">
        <v>240</v>
      </c>
      <c r="H615" s="1" t="s">
        <v>157</v>
      </c>
      <c r="I615" s="1" t="s">
        <v>57</v>
      </c>
      <c r="J615" s="1" t="s">
        <v>1373</v>
      </c>
      <c r="K615" s="1" t="n">
        <v>203</v>
      </c>
      <c r="L615" s="11" t="n">
        <v>0.872065809965518</v>
      </c>
      <c r="M615" s="1" t="n">
        <f aca="false">SUMIF(Relatorio_AK!$A:$A,A615,Relatorio_AK!$B:$B)</f>
        <v>203</v>
      </c>
      <c r="N615" s="1" t="str">
        <f aca="false">IF(M615=K615,"OK","DIF")</f>
        <v>OK</v>
      </c>
      <c r="O615" s="12" t="str">
        <f aca="false">IFERROR(VLOOKUP($A615,Lista_Starke!$A:$E,3,0),"NÃO ESTÁ NA LISTA")</f>
        <v>GM: S10 2.5 Flex 15/...</v>
      </c>
      <c r="P615" s="12" t="str">
        <f aca="false">IFERROR(VLOOKUP($A615,Lista_Starke!$A:$E,2,0),"NÃO ESTÁ NA LISTA")</f>
        <v>ATUADOR DE EMBREAGEM</v>
      </c>
    </row>
    <row r="616" customFormat="false" ht="15" hidden="false" customHeight="true" outlineLevel="0" collapsed="false">
      <c r="A616" s="10" t="s">
        <v>1374</v>
      </c>
      <c r="B616" s="10" t="str">
        <f aca="false">IFERROR(VLOOKUP(A616,Pedido!$A:$B,2,0),"")</f>
        <v/>
      </c>
      <c r="C616" s="10" t="str">
        <f aca="false">IF(B616="","NÃO COMPRA","COMPRA")</f>
        <v>NÃO COMPRA</v>
      </c>
      <c r="D616" s="1" t="n">
        <f aca="false">IFERROR(VLOOKUP(A616,Pedido!$A:$C,3,0),0)</f>
        <v>0</v>
      </c>
      <c r="E616" s="5" t="n">
        <f aca="false">IFERROR(VLOOKUP(A616,Pedido!$A:$E,5,0),0)</f>
        <v>0</v>
      </c>
      <c r="F616" s="1" t="s">
        <v>8</v>
      </c>
      <c r="G616" s="1" t="s">
        <v>536</v>
      </c>
      <c r="H616" s="1" t="s">
        <v>845</v>
      </c>
      <c r="I616" s="1" t="s">
        <v>215</v>
      </c>
      <c r="J616" s="1" t="s">
        <v>1375</v>
      </c>
      <c r="K616" s="1" t="n">
        <v>203</v>
      </c>
      <c r="L616" s="11" t="n">
        <v>0.872412844021013</v>
      </c>
      <c r="M616" s="1" t="n">
        <f aca="false">SUMIF(Relatorio_AK!$A:$A,A616,Relatorio_AK!$B:$B)</f>
        <v>203</v>
      </c>
      <c r="N616" s="1" t="str">
        <f aca="false">IF(M616=K616,"OK","DIF")</f>
        <v>OK</v>
      </c>
      <c r="O616" s="13" t="str">
        <f aca="false">IFERROR(VLOOKUP($A616,Lista_Starke!$A:$E,3,0),"NÃO ESTÁ NA LISTA")</f>
        <v>NISSAN: Frontier 2.3 16V 16/...
NISSAN: Frontier 2.5 16V 08/15
NISSAN: Pathfinder 2.5 / 3.0 / 4.0 09/24</v>
      </c>
      <c r="P616" s="12" t="str">
        <f aca="false">IFERROR(VLOOKUP($A616,Lista_Starke!$A:$E,2,0),"NÃO ESTÁ NA LISTA")</f>
        <v>SAPATA DE FREIO DE MÃO</v>
      </c>
    </row>
    <row r="617" customFormat="false" ht="15" hidden="false" customHeight="true" outlineLevel="0" collapsed="false">
      <c r="A617" s="10" t="s">
        <v>1376</v>
      </c>
      <c r="B617" s="10" t="str">
        <f aca="false">IFERROR(VLOOKUP(A617,Pedido!$A:$B,2,0),"")</f>
        <v/>
      </c>
      <c r="C617" s="10" t="str">
        <f aca="false">IF(B617="","NÃO COMPRA","COMPRA")</f>
        <v>NÃO COMPRA</v>
      </c>
      <c r="D617" s="1" t="n">
        <f aca="false">IFERROR(VLOOKUP(A617,Pedido!$A:$C,3,0),0)</f>
        <v>0</v>
      </c>
      <c r="E617" s="5" t="n">
        <f aca="false">IFERROR(VLOOKUP(A617,Pedido!$A:$E,5,0),0)</f>
        <v>0</v>
      </c>
      <c r="F617" s="1" t="s">
        <v>8</v>
      </c>
      <c r="G617" s="1" t="s">
        <v>1377</v>
      </c>
      <c r="H617" s="1" t="s">
        <v>157</v>
      </c>
      <c r="I617" s="1" t="s">
        <v>177</v>
      </c>
      <c r="J617" s="1" t="s">
        <v>1378</v>
      </c>
      <c r="K617" s="1" t="n">
        <v>202</v>
      </c>
      <c r="L617" s="11" t="n">
        <v>0.872758168549141</v>
      </c>
      <c r="M617" s="1" t="n">
        <f aca="false">SUMIF(Relatorio_AK!$A:$A,A617,Relatorio_AK!$B:$B)</f>
        <v>202</v>
      </c>
      <c r="N617" s="1" t="str">
        <f aca="false">IF(M617=K617,"OK","DIF")</f>
        <v>OK</v>
      </c>
      <c r="O617" s="13" t="str">
        <f aca="false">IFERROR(VLOOKUP($A617,Lista_Starke!$A:$E,3,0),"NÃO ESTÁ NA LISTA")</f>
        <v>TOYOTA: Etios 1.3 16V 12/...
TOYOTA: Etios 1.5 16V 12/...</v>
      </c>
      <c r="P617" s="12" t="str">
        <f aca="false">IFERROR(VLOOKUP($A617,Lista_Starke!$A:$E,2,0),"NÃO ESTÁ NA LISTA")</f>
        <v>ATUADOR DE EMBREAGEM</v>
      </c>
    </row>
    <row r="618" customFormat="false" ht="15" hidden="false" customHeight="true" outlineLevel="0" collapsed="false">
      <c r="A618" s="10" t="s">
        <v>1379</v>
      </c>
      <c r="B618" s="10" t="str">
        <f aca="false">IFERROR(VLOOKUP(A618,Pedido!$A:$B,2,0),"")</f>
        <v/>
      </c>
      <c r="C618" s="10" t="str">
        <f aca="false">IF(B618="","NÃO COMPRA","COMPRA")</f>
        <v>NÃO COMPRA</v>
      </c>
      <c r="D618" s="1" t="n">
        <f aca="false">IFERROR(VLOOKUP(A618,Pedido!$A:$C,3,0),0)</f>
        <v>0</v>
      </c>
      <c r="E618" s="5" t="n">
        <f aca="false">IFERROR(VLOOKUP(A618,Pedido!$A:$E,5,0),0)</f>
        <v>0</v>
      </c>
      <c r="F618" s="1" t="s">
        <v>8</v>
      </c>
      <c r="G618" s="1" t="s">
        <v>363</v>
      </c>
      <c r="H618" s="1" t="s">
        <v>32</v>
      </c>
      <c r="I618" s="1" t="s">
        <v>177</v>
      </c>
      <c r="K618" s="1" t="n">
        <v>202</v>
      </c>
      <c r="L618" s="11" t="n">
        <v>0.873103493077269</v>
      </c>
      <c r="M618" s="1" t="n">
        <f aca="false">SUMIF(Relatorio_AK!$A:$A,A618,Relatorio_AK!$B:$B)</f>
        <v>202</v>
      </c>
      <c r="N618" s="1" t="str">
        <f aca="false">IF(M618=K618,"OK","DIF")</f>
        <v>OK</v>
      </c>
      <c r="O618" s="13" t="str">
        <f aca="false">IFERROR(VLOOKUP($A618,Lista_Starke!$A:$E,3,0),"NÃO ESTÁ NA LISTA")</f>
        <v>TOYOTA: Hilux 2.5 16V Turbo Diesel 12/15
TOYOTA: Hilux 3.0 16V Turbo Diesel 12/15</v>
      </c>
      <c r="P618" s="12" t="str">
        <f aca="false">IFERROR(VLOOKUP($A618,Lista_Starke!$A:$E,2,0),"NÃO ESTÁ NA LISTA")</f>
        <v>CILINDRO MESTRE DE EMBREAGEM</v>
      </c>
    </row>
    <row r="619" customFormat="false" ht="15" hidden="false" customHeight="true" outlineLevel="0" collapsed="false">
      <c r="A619" s="10" t="s">
        <v>1380</v>
      </c>
      <c r="B619" s="10" t="str">
        <f aca="false">IFERROR(VLOOKUP(A619,Pedido!$A:$B,2,0),"")</f>
        <v/>
      </c>
      <c r="C619" s="10" t="str">
        <f aca="false">IF(B619="","NÃO COMPRA","COMPRA")</f>
        <v>NÃO COMPRA</v>
      </c>
      <c r="D619" s="1" t="n">
        <f aca="false">IFERROR(VLOOKUP(A619,Pedido!$A:$C,3,0),0)</f>
        <v>0</v>
      </c>
      <c r="E619" s="5" t="n">
        <f aca="false">IFERROR(VLOOKUP(A619,Pedido!$A:$E,5,0),0)</f>
        <v>0</v>
      </c>
      <c r="F619" s="1" t="s">
        <v>8</v>
      </c>
      <c r="G619" s="1" t="s">
        <v>1336</v>
      </c>
      <c r="H619" s="1" t="s">
        <v>35</v>
      </c>
      <c r="I619" s="1" t="s">
        <v>172</v>
      </c>
      <c r="K619" s="1" t="n">
        <v>202</v>
      </c>
      <c r="L619" s="11" t="n">
        <v>0.873448817605396</v>
      </c>
      <c r="M619" s="1" t="n">
        <f aca="false">SUMIF(Relatorio_AK!$A:$A,A619,Relatorio_AK!$B:$B)</f>
        <v>202</v>
      </c>
      <c r="N619" s="1" t="str">
        <f aca="false">IF(M619=K619,"OK","DIF")</f>
        <v>OK</v>
      </c>
      <c r="O619" s="13" t="str">
        <f aca="false">IFERROR(VLOOKUP($A619,Lista_Starke!$A:$E,3,0),"NÃO ESTÁ NA LISTA")</f>
        <v>HYUNDAI: Santa Fe 3.5 V6 10/15
KIA: Sorento 3.5 V6 10/15</v>
      </c>
      <c r="P619" s="12" t="str">
        <f aca="false">IFERROR(VLOOKUP($A619,Lista_Starke!$A:$E,2,0),"NÃO ESTÁ NA LISTA")</f>
        <v>CILINDRO MESTRE DE FREIO</v>
      </c>
    </row>
    <row r="620" customFormat="false" ht="15" hidden="false" customHeight="true" outlineLevel="0" collapsed="false">
      <c r="A620" s="10" t="s">
        <v>1381</v>
      </c>
      <c r="B620" s="10" t="str">
        <f aca="false">IFERROR(VLOOKUP(A620,Pedido!$A:$B,2,0),"")</f>
        <v/>
      </c>
      <c r="C620" s="10" t="str">
        <f aca="false">IF(B620="","NÃO COMPRA","COMPRA")</f>
        <v>NÃO COMPRA</v>
      </c>
      <c r="D620" s="1" t="n">
        <f aca="false">IFERROR(VLOOKUP(A620,Pedido!$A:$C,3,0),0)</f>
        <v>0</v>
      </c>
      <c r="E620" s="5" t="n">
        <f aca="false">IFERROR(VLOOKUP(A620,Pedido!$A:$E,5,0),0)</f>
        <v>0</v>
      </c>
      <c r="F620" s="1" t="s">
        <v>8</v>
      </c>
      <c r="G620" s="1" t="s">
        <v>1382</v>
      </c>
      <c r="H620" s="1" t="s">
        <v>28</v>
      </c>
      <c r="I620" s="1" t="s">
        <v>403</v>
      </c>
      <c r="J620" s="1" t="s">
        <v>1383</v>
      </c>
      <c r="K620" s="1" t="n">
        <v>201</v>
      </c>
      <c r="L620" s="11" t="n">
        <v>0.873792432606157</v>
      </c>
      <c r="M620" s="1" t="n">
        <f aca="false">SUMIF(Relatorio_AK!$A:$A,A620,Relatorio_AK!$B:$B)</f>
        <v>201</v>
      </c>
      <c r="N620" s="1" t="str">
        <f aca="false">IF(M620=K620,"OK","DIF")</f>
        <v>OK</v>
      </c>
      <c r="O620" s="13" t="str">
        <f aca="false">IFERROR(VLOOKUP($A620,Lista_Starke!$A:$E,3,0),"NÃO ESTÁ NA LISTA")</f>
        <v>IVECO: 170E  
IVECO: 230E  
IVECO: Cursor  
IVECO: Eurocargo  
IVECO: Ônibus  
IVECO: Tector  </v>
      </c>
      <c r="P620" s="12" t="str">
        <f aca="false">IFERROR(VLOOKUP($A620,Lista_Starke!$A:$E,2,0),"NÃO ESTÁ NA LISTA")</f>
        <v>CILINDRO AUXILIAR DE EMBREAGEM</v>
      </c>
    </row>
    <row r="621" customFormat="false" ht="15" hidden="false" customHeight="true" outlineLevel="0" collapsed="false">
      <c r="A621" s="10" t="s">
        <v>1384</v>
      </c>
      <c r="B621" s="10" t="str">
        <f aca="false">IFERROR(VLOOKUP(A621,Pedido!$A:$B,2,0),"")</f>
        <v/>
      </c>
      <c r="C621" s="10" t="str">
        <f aca="false">IF(B621="","NÃO COMPRA","COMPRA")</f>
        <v>NÃO COMPRA</v>
      </c>
      <c r="D621" s="1" t="n">
        <f aca="false">IFERROR(VLOOKUP(A621,Pedido!$A:$C,3,0),0)</f>
        <v>0</v>
      </c>
      <c r="E621" s="5" t="n">
        <f aca="false">IFERROR(VLOOKUP(A621,Pedido!$A:$E,5,0),0)</f>
        <v>0</v>
      </c>
      <c r="F621" s="1" t="s">
        <v>8</v>
      </c>
      <c r="G621" s="1" t="s">
        <v>890</v>
      </c>
      <c r="H621" s="1" t="s">
        <v>600</v>
      </c>
      <c r="I621" s="1" t="s">
        <v>1385</v>
      </c>
      <c r="K621" s="1" t="n">
        <v>200</v>
      </c>
      <c r="L621" s="11" t="n">
        <v>0.874134338079551</v>
      </c>
      <c r="M621" s="1" t="n">
        <f aca="false">SUMIF(Relatorio_AK!$A:$A,A621,Relatorio_AK!$B:$B)</f>
        <v>200</v>
      </c>
      <c r="N621" s="1" t="str">
        <f aca="false">IF(M621=K621,"OK","DIF")</f>
        <v>OK</v>
      </c>
      <c r="O621" s="13" t="str">
        <f aca="false">IFERROR(VLOOKUP($A621,Lista_Starke!$A:$E,3,0),"NÃO ESTÁ NA LISTA")</f>
        <v>CITROEN: Jumper 2.8 HDI 00/09
FIAT: Ducato 2.8 Diesel / 2.8 Turbo Diesel 94/…
IVECO: Daily 35 C 10 2.8 8V 01/05
IVECO: Daily 40 C 12 2.8 8V 01/05</v>
      </c>
      <c r="P621" s="12" t="str">
        <f aca="false">IFERROR(VLOOKUP($A621,Lista_Starke!$A:$E,2,0),"NÃO ESTÁ NA LISTA")</f>
        <v>BOMBA DE VÁCUO FREIO</v>
      </c>
    </row>
    <row r="622" customFormat="false" ht="15" hidden="false" customHeight="true" outlineLevel="0" collapsed="false">
      <c r="A622" s="10" t="s">
        <v>1386</v>
      </c>
      <c r="B622" s="10" t="str">
        <f aca="false">IFERROR(VLOOKUP(A622,Pedido!$A:$B,2,0),"")</f>
        <v/>
      </c>
      <c r="C622" s="10" t="str">
        <f aca="false">IF(B622="","NÃO COMPRA","COMPRA")</f>
        <v>NÃO COMPRA</v>
      </c>
      <c r="D622" s="1" t="n">
        <f aca="false">IFERROR(VLOOKUP(A622,Pedido!$A:$C,3,0),0)</f>
        <v>0</v>
      </c>
      <c r="E622" s="5" t="n">
        <f aca="false">IFERROR(VLOOKUP(A622,Pedido!$A:$E,5,0),0)</f>
        <v>0</v>
      </c>
      <c r="F622" s="1" t="s">
        <v>8</v>
      </c>
      <c r="G622" s="1" t="s">
        <v>1387</v>
      </c>
      <c r="H622" s="1" t="s">
        <v>235</v>
      </c>
      <c r="I622" s="1" t="s">
        <v>1157</v>
      </c>
      <c r="J622" s="1" t="s">
        <v>1388</v>
      </c>
      <c r="K622" s="1" t="n">
        <v>200</v>
      </c>
      <c r="L622" s="11" t="n">
        <v>0.874476243552945</v>
      </c>
      <c r="M622" s="1" t="n">
        <f aca="false">SUMIF(Relatorio_AK!$A:$A,A622,Relatorio_AK!$B:$B)</f>
        <v>200</v>
      </c>
      <c r="N622" s="1" t="str">
        <f aca="false">IF(M622=K622,"OK","DIF")</f>
        <v>OK</v>
      </c>
      <c r="O622" s="13" t="str">
        <f aca="false">IFERROR(VLOOKUP($A622,Lista_Starke!$A:$E,3,0),"NÃO ESTÁ NA LISTA")</f>
        <v>BMW: 320e Hybrid (G20/G28/G80) 2.0 16V B48B20A 20/...
BMW: 320i (G20/G28/G80) 1.6 16V B48B16A 19/...
BMW: 330e Hybrid (G20/G28/G80) 2.0 16V B48B20A 19/...
BMW: 530i (G30) 2.0 16V B48B20A / B46B20B 15/23
BMW: X3 (G01) 2.0 16V B48B16A 17/...</v>
      </c>
      <c r="P622" s="12" t="str">
        <f aca="false">IFERROR(VLOOKUP($A622,Lista_Starke!$A:$E,2,0),"NÃO ESTÁ NA LISTA")</f>
        <v>RESFRIADOR DE ÓLEO MOTOR</v>
      </c>
    </row>
    <row r="623" customFormat="false" ht="15" hidden="false" customHeight="true" outlineLevel="0" collapsed="false">
      <c r="A623" s="10" t="s">
        <v>1389</v>
      </c>
      <c r="B623" s="10" t="str">
        <f aca="false">IFERROR(VLOOKUP(A623,Pedido!$A:$B,2,0),"")</f>
        <v/>
      </c>
      <c r="C623" s="10" t="str">
        <f aca="false">IF(B623="","NÃO COMPRA","COMPRA")</f>
        <v>NÃO COMPRA</v>
      </c>
      <c r="D623" s="1" t="n">
        <f aca="false">IFERROR(VLOOKUP(A623,Pedido!$A:$C,3,0),0)</f>
        <v>0</v>
      </c>
      <c r="E623" s="5" t="n">
        <f aca="false">IFERROR(VLOOKUP(A623,Pedido!$A:$E,5,0),0)</f>
        <v>0</v>
      </c>
      <c r="F623" s="1" t="s">
        <v>8</v>
      </c>
      <c r="G623" s="1" t="s">
        <v>1390</v>
      </c>
      <c r="H623" s="1" t="s">
        <v>1358</v>
      </c>
      <c r="I623" s="1" t="s">
        <v>42</v>
      </c>
      <c r="J623" s="1" t="s">
        <v>1391</v>
      </c>
      <c r="K623" s="1" t="n">
        <v>199</v>
      </c>
      <c r="L623" s="11" t="n">
        <v>0.874816439498971</v>
      </c>
      <c r="M623" s="1" t="n">
        <f aca="false">SUMIF(Relatorio_AK!$A:$A,A623,Relatorio_AK!$B:$B)</f>
        <v>199</v>
      </c>
      <c r="N623" s="1" t="str">
        <f aca="false">IF(M623=K623,"OK","DIF")</f>
        <v>OK</v>
      </c>
      <c r="O623" s="13" t="str">
        <f aca="false">IFERROR(VLOOKUP($A623,Lista_Starke!$A:$E,3,0),"NÃO ESTÁ NA LISTA")</f>
        <v>RENAULT: Logan  07/13
RENAULT: Sandero  07/13</v>
      </c>
      <c r="P623" s="12" t="str">
        <f aca="false">IFERROR(VLOOKUP($A623,Lista_Starke!$A:$E,2,0),"NÃO ESTÁ NA LISTA")</f>
        <v>BANDEJA INFERIOR COMPLETA LE</v>
      </c>
    </row>
    <row r="624" customFormat="false" ht="15" hidden="false" customHeight="true" outlineLevel="0" collapsed="false">
      <c r="A624" s="10" t="s">
        <v>1392</v>
      </c>
      <c r="B624" s="10" t="str">
        <f aca="false">IFERROR(VLOOKUP(A624,Pedido!$A:$B,2,0),"")</f>
        <v/>
      </c>
      <c r="C624" s="10" t="str">
        <f aca="false">IF(B624="","NÃO COMPRA","COMPRA")</f>
        <v>NÃO COMPRA</v>
      </c>
      <c r="D624" s="1" t="n">
        <f aca="false">IFERROR(VLOOKUP(A624,Pedido!$A:$C,3,0),0)</f>
        <v>0</v>
      </c>
      <c r="E624" s="5" t="n">
        <f aca="false">IFERROR(VLOOKUP(A624,Pedido!$A:$E,5,0),0)</f>
        <v>0</v>
      </c>
      <c r="F624" s="1" t="s">
        <v>8</v>
      </c>
      <c r="G624" s="1" t="s">
        <v>763</v>
      </c>
      <c r="H624" s="1" t="s">
        <v>790</v>
      </c>
      <c r="I624" s="1" t="s">
        <v>373</v>
      </c>
      <c r="J624" s="1" t="s">
        <v>1393</v>
      </c>
      <c r="K624" s="1" t="n">
        <v>199</v>
      </c>
      <c r="L624" s="11" t="n">
        <v>0.875156635444998</v>
      </c>
      <c r="M624" s="1" t="n">
        <f aca="false">SUMIF(Relatorio_AK!$A:$A,A624,Relatorio_AK!$B:$B)</f>
        <v>199</v>
      </c>
      <c r="N624" s="1" t="str">
        <f aca="false">IF(M624=K624,"OK","DIF")</f>
        <v>OK</v>
      </c>
      <c r="O624" s="13" t="str">
        <f aca="false">IFERROR(VLOOKUP($A624,Lista_Starke!$A:$E,3,0),"NÃO ESTÁ NA LISTA")</f>
        <v>MERCEDES-BENZ: C180 (W205) 1.6 16V Turbo M274.910 14/21
MERCEDES-BENZ: C200 (W205) 2.0 16V Turbo M274.920 13/18
MERCEDES-BENZ: C250 (W205) 2.0 16V Turbo M274.920 14/18
MERCEDES-BENZ: C300 (W205) 2.0 16V Turbo M274.920 19/21
MERCEDES-BENZ: C350 (W205) 2.0 16V Turbo M274.920 15/18
MERCEDES-BENZ: GLC250 (X253) 2.0 16V Turbo M274.920 15/19
MERCEDES-BENZ: GLC300 (X253) 2.0 16V Turbo M274.920 15/22</v>
      </c>
      <c r="P624" s="12" t="str">
        <f aca="false">IFERROR(VLOOKUP($A624,Lista_Starke!$A:$E,2,0),"NÃO ESTÁ NA LISTA")</f>
        <v>BOMBA D'ÁGUA ELÉTRICA</v>
      </c>
    </row>
    <row r="625" customFormat="false" ht="15" hidden="false" customHeight="true" outlineLevel="0" collapsed="false">
      <c r="A625" s="10" t="s">
        <v>1394</v>
      </c>
      <c r="B625" s="10" t="str">
        <f aca="false">IFERROR(VLOOKUP(A625,Pedido!$A:$B,2,0),"")</f>
        <v/>
      </c>
      <c r="C625" s="10" t="str">
        <f aca="false">IF(B625="","NÃO COMPRA","COMPRA")</f>
        <v>NÃO COMPRA</v>
      </c>
      <c r="D625" s="1" t="n">
        <f aca="false">IFERROR(VLOOKUP(A625,Pedido!$A:$C,3,0),0)</f>
        <v>0</v>
      </c>
      <c r="E625" s="5" t="n">
        <f aca="false">IFERROR(VLOOKUP(A625,Pedido!$A:$E,5,0),0)</f>
        <v>0</v>
      </c>
      <c r="F625" s="1" t="s">
        <v>8</v>
      </c>
      <c r="G625" s="1" t="s">
        <v>1326</v>
      </c>
      <c r="H625" s="1" t="s">
        <v>197</v>
      </c>
      <c r="I625" s="1" t="s">
        <v>1327</v>
      </c>
      <c r="J625" s="1" t="s">
        <v>1395</v>
      </c>
      <c r="K625" s="1" t="n">
        <v>198</v>
      </c>
      <c r="L625" s="11" t="n">
        <v>0.875495121863658</v>
      </c>
      <c r="M625" s="1" t="n">
        <f aca="false">SUMIF(Relatorio_AK!$A:$A,A625,Relatorio_AK!$B:$B)</f>
        <v>198</v>
      </c>
      <c r="N625" s="1" t="str">
        <f aca="false">IF(M625=K625,"OK","DIF")</f>
        <v>OK</v>
      </c>
      <c r="O625" s="13" t="str">
        <f aca="false">IFERROR(VLOOKUP($A625,Lista_Starke!$A:$E,3,0),"NÃO ESTÁ NA LISTA")</f>
        <v>LIFAN: 320 1.3 16V LF481Q3 13/...
LIFAN: 320 1.6 16V LF481Q3 13/...
LIFAN: 530 1.5 16V LF481Q3 13/...
LIFAN: 620 1.6 16V LF481Q3 13/...
LIFAN: X60 1.6 16V LF481Q3 13/...
TOYOTA: Corolla 1.6 16V   4AFE / 4AFEL 92/02</v>
      </c>
      <c r="P625" s="12" t="str">
        <f aca="false">IFERROR(VLOOKUP($A625,Lista_Starke!$A:$E,2,0),"NÃO ESTÁ NA LISTA")</f>
        <v>BOMBA D'ÁGUA</v>
      </c>
    </row>
    <row r="626" customFormat="false" ht="15" hidden="false" customHeight="true" outlineLevel="0" collapsed="false">
      <c r="A626" s="10" t="s">
        <v>1396</v>
      </c>
      <c r="B626" s="10" t="str">
        <f aca="false">IFERROR(VLOOKUP(A626,Pedido!$A:$B,2,0),"")</f>
        <v/>
      </c>
      <c r="C626" s="10" t="str">
        <f aca="false">IF(B626="","NÃO COMPRA","COMPRA")</f>
        <v>NÃO COMPRA</v>
      </c>
      <c r="D626" s="1" t="n">
        <f aca="false">IFERROR(VLOOKUP(A626,Pedido!$A:$C,3,0),0)</f>
        <v>0</v>
      </c>
      <c r="E626" s="5" t="n">
        <f aca="false">IFERROR(VLOOKUP(A626,Pedido!$A:$E,5,0),0)</f>
        <v>0</v>
      </c>
      <c r="F626" s="1" t="s">
        <v>8</v>
      </c>
      <c r="G626" s="1" t="s">
        <v>1397</v>
      </c>
      <c r="H626" s="1" t="s">
        <v>235</v>
      </c>
      <c r="I626" s="1" t="s">
        <v>286</v>
      </c>
      <c r="J626" s="1" t="s">
        <v>1398</v>
      </c>
      <c r="K626" s="1" t="n">
        <v>198</v>
      </c>
      <c r="L626" s="11" t="n">
        <v>0.875833608282318</v>
      </c>
      <c r="M626" s="1" t="n">
        <f aca="false">SUMIF(Relatorio_AK!$A:$A,A626,Relatorio_AK!$B:$B)</f>
        <v>198</v>
      </c>
      <c r="N626" s="1" t="str">
        <f aca="false">IF(M626=K626,"OK","DIF")</f>
        <v>OK</v>
      </c>
      <c r="O626" s="13" t="str">
        <f aca="false">IFERROR(VLOOKUP($A626,Lista_Starke!$A:$E,3,0),"NÃO ESTÁ NA LISTA")</f>
        <v>FORD: Ranger 2.2 16V TDCi 13/...
FORD: Ranger 3.2 20V TDCi 13/...
TROLLER: T4 3.2 20V TDCi 14/...</v>
      </c>
      <c r="P626" s="12" t="str">
        <f aca="false">IFERROR(VLOOKUP($A626,Lista_Starke!$A:$E,2,0),"NÃO ESTÁ NA LISTA")</f>
        <v>RESFRIADOR DE ÓLEO MOTOR</v>
      </c>
    </row>
    <row r="627" customFormat="false" ht="15" hidden="false" customHeight="true" outlineLevel="0" collapsed="false">
      <c r="A627" s="10" t="s">
        <v>1399</v>
      </c>
      <c r="B627" s="10" t="str">
        <f aca="false">IFERROR(VLOOKUP(A627,Pedido!$A:$B,2,0),"")</f>
        <v/>
      </c>
      <c r="C627" s="10" t="str">
        <f aca="false">IF(B627="","NÃO COMPRA","COMPRA")</f>
        <v>NÃO COMPRA</v>
      </c>
      <c r="D627" s="1" t="n">
        <f aca="false">IFERROR(VLOOKUP(A627,Pedido!$A:$C,3,0),0)</f>
        <v>0</v>
      </c>
      <c r="E627" s="5" t="n">
        <f aca="false">IFERROR(VLOOKUP(A627,Pedido!$A:$E,5,0),0)</f>
        <v>0</v>
      </c>
      <c r="F627" s="1" t="s">
        <v>8</v>
      </c>
      <c r="G627" s="1" t="s">
        <v>1072</v>
      </c>
      <c r="H627" s="1" t="s">
        <v>1073</v>
      </c>
      <c r="I627" s="1" t="s">
        <v>97</v>
      </c>
      <c r="J627" s="1" t="s">
        <v>1400</v>
      </c>
      <c r="K627" s="1" t="n">
        <v>198</v>
      </c>
      <c r="L627" s="11" t="n">
        <v>0.876172094700978</v>
      </c>
      <c r="M627" s="1" t="n">
        <f aca="false">SUMIF(Relatorio_AK!$A:$A,A627,Relatorio_AK!$B:$B)</f>
        <v>198</v>
      </c>
      <c r="N627" s="1" t="str">
        <f aca="false">IF(M627=K627,"OK","DIF")</f>
        <v>OK</v>
      </c>
      <c r="O627" s="13" t="str">
        <f aca="false">IFERROR(VLOOKUP($A627,Lista_Starke!$A:$E,3,0),"NÃO ESTÁ NA LISTA")</f>
        <v>FIAT: Toro 2.0 16V JTD Diesel 16/…
JEEP: Compass 2.0 16V JTD Diesel 16/…
JEEP: Renegade 2.0 16V JTD Diesel 16/…</v>
      </c>
      <c r="P627" s="12" t="str">
        <f aca="false">IFERROR(VLOOKUP($A627,Lista_Starke!$A:$E,2,0),"NÃO ESTÁ NA LISTA")</f>
        <v>VÁLVULA TERMOSTÁTICA</v>
      </c>
    </row>
    <row r="628" customFormat="false" ht="15" hidden="false" customHeight="true" outlineLevel="0" collapsed="false">
      <c r="A628" s="10" t="s">
        <v>1401</v>
      </c>
      <c r="B628" s="10" t="str">
        <f aca="false">IFERROR(VLOOKUP(A628,Pedido!$A:$B,2,0),"")</f>
        <v/>
      </c>
      <c r="C628" s="10" t="str">
        <f aca="false">IF(B628="","NÃO COMPRA","COMPRA")</f>
        <v>NÃO COMPRA</v>
      </c>
      <c r="D628" s="1" t="n">
        <f aca="false">IFERROR(VLOOKUP(A628,Pedido!$A:$C,3,0),0)</f>
        <v>0</v>
      </c>
      <c r="E628" s="5" t="n">
        <f aca="false">IFERROR(VLOOKUP(A628,Pedido!$A:$E,5,0),0)</f>
        <v>0</v>
      </c>
      <c r="F628" s="1" t="s">
        <v>8</v>
      </c>
      <c r="G628" s="1" t="s">
        <v>1402</v>
      </c>
      <c r="H628" s="1" t="s">
        <v>1073</v>
      </c>
      <c r="I628" s="1" t="s">
        <v>53</v>
      </c>
      <c r="J628" s="1" t="s">
        <v>1403</v>
      </c>
      <c r="K628" s="1" t="n">
        <v>198</v>
      </c>
      <c r="L628" s="11" t="n">
        <v>0.876510581119638</v>
      </c>
      <c r="M628" s="1" t="n">
        <f aca="false">SUMIF(Relatorio_AK!$A:$A,A628,Relatorio_AK!$B:$B)</f>
        <v>198</v>
      </c>
      <c r="N628" s="1" t="str">
        <f aca="false">IF(M628=K628,"OK","DIF")</f>
        <v>OK</v>
      </c>
      <c r="O628" s="12" t="str">
        <f aca="false">IFERROR(VLOOKUP($A628,Lista_Starke!$A:$E,3,0),"NÃO ESTÁ NA LISTA")</f>
        <v>FORD: Ka 1.0 12V 3 cil 14/…</v>
      </c>
      <c r="P628" s="12" t="str">
        <f aca="false">IFERROR(VLOOKUP($A628,Lista_Starke!$A:$E,2,0),"NÃO ESTÁ NA LISTA")</f>
        <v>VÁLVULA TERMOSTÁTICA</v>
      </c>
    </row>
    <row r="629" customFormat="false" ht="15" hidden="false" customHeight="true" outlineLevel="0" collapsed="false">
      <c r="A629" s="10" t="s">
        <v>1404</v>
      </c>
      <c r="B629" s="10" t="str">
        <f aca="false">IFERROR(VLOOKUP(A629,Pedido!$A:$B,2,0),"")</f>
        <v/>
      </c>
      <c r="C629" s="10" t="str">
        <f aca="false">IF(B629="","NÃO COMPRA","COMPRA")</f>
        <v>NÃO COMPRA</v>
      </c>
      <c r="D629" s="1" t="n">
        <f aca="false">IFERROR(VLOOKUP(A629,Pedido!$A:$C,3,0),0)</f>
        <v>0</v>
      </c>
      <c r="E629" s="5" t="n">
        <f aca="false">IFERROR(VLOOKUP(A629,Pedido!$A:$E,5,0),0)</f>
        <v>0</v>
      </c>
      <c r="F629" s="1" t="s">
        <v>8</v>
      </c>
      <c r="G629" s="1" t="s">
        <v>1405</v>
      </c>
      <c r="H629" s="1" t="s">
        <v>28</v>
      </c>
      <c r="I629" s="1" t="s">
        <v>226</v>
      </c>
      <c r="J629" s="1" t="s">
        <v>1406</v>
      </c>
      <c r="K629" s="1" t="n">
        <v>197</v>
      </c>
      <c r="L629" s="11" t="n">
        <v>0.87684735801093</v>
      </c>
      <c r="M629" s="1" t="n">
        <f aca="false">SUMIF(Relatorio_AK!$A:$A,A629,Relatorio_AK!$B:$B)</f>
        <v>197</v>
      </c>
      <c r="N629" s="1" t="str">
        <f aca="false">IF(M629=K629,"OK","DIF")</f>
        <v>OK</v>
      </c>
      <c r="O629" s="13" t="str">
        <f aca="false">IFERROR(VLOOKUP($A629,Lista_Starke!$A:$E,3,0),"NÃO ESTÁ NA LISTA")</f>
        <v>AUDI: A3  07/...
AUDI: A3 2.0 TFSI 11/...
VOLKSWAGEN: Golf 1.4 TSI 13/...
VOLKSWAGEN: Golf 2.0 06/08
VOLKSWAGEN: Jetta 1.4 TSI 14/...
VOLKSWAGEN: Jetta 2.0 16V 11/...
VOLKSWAGEN: Jetta 2.0 TSI 11/...</v>
      </c>
      <c r="P629" s="12" t="str">
        <f aca="false">IFERROR(VLOOKUP($A629,Lista_Starke!$A:$E,2,0),"NÃO ESTÁ NA LISTA")</f>
        <v>CILINDRO AUXILIAR DE EMBREAGEM</v>
      </c>
    </row>
    <row r="630" customFormat="false" ht="15" hidden="false" customHeight="true" outlineLevel="0" collapsed="false">
      <c r="A630" s="10" t="s">
        <v>1407</v>
      </c>
      <c r="B630" s="10" t="str">
        <f aca="false">IFERROR(VLOOKUP(A630,Pedido!$A:$B,2,0),"")</f>
        <v/>
      </c>
      <c r="C630" s="10" t="str">
        <f aca="false">IF(B630="","NÃO COMPRA","COMPRA")</f>
        <v>NÃO COMPRA</v>
      </c>
      <c r="D630" s="1" t="n">
        <f aca="false">IFERROR(VLOOKUP(A630,Pedido!$A:$C,3,0),0)</f>
        <v>0</v>
      </c>
      <c r="E630" s="5" t="n">
        <f aca="false">IFERROR(VLOOKUP(A630,Pedido!$A:$E,5,0),0)</f>
        <v>0</v>
      </c>
      <c r="F630" s="1" t="s">
        <v>8</v>
      </c>
      <c r="G630" s="1" t="s">
        <v>356</v>
      </c>
      <c r="H630" s="1" t="s">
        <v>845</v>
      </c>
      <c r="I630" s="1" t="s">
        <v>172</v>
      </c>
      <c r="J630" s="1" t="s">
        <v>1408</v>
      </c>
      <c r="K630" s="1" t="n">
        <v>197</v>
      </c>
      <c r="L630" s="11" t="n">
        <v>0.877184134902223</v>
      </c>
      <c r="M630" s="1" t="n">
        <f aca="false">SUMIF(Relatorio_AK!$A:$A,A630,Relatorio_AK!$B:$B)</f>
        <v>197</v>
      </c>
      <c r="N630" s="1" t="str">
        <f aca="false">IF(M630=K630,"OK","DIF")</f>
        <v>OK</v>
      </c>
      <c r="O630" s="13" t="str">
        <f aca="false">IFERROR(VLOOKUP($A630,Lista_Starke!$A:$E,3,0),"NÃO ESTÁ NA LISTA")</f>
        <v>HYUNDAI: Santa Fe 3.3 24V V6   G6DB 13/…
HYUNDAI: Santa Fe 3.5 24V V6   G6CU 10/…
KIA: Sorento 3.3 24V V6   G6DG 07/…
KIA: Sorento 3.5 24V V6   G6CU 07/…</v>
      </c>
      <c r="P630" s="12" t="str">
        <f aca="false">IFERROR(VLOOKUP($A630,Lista_Starke!$A:$E,2,0),"NÃO ESTÁ NA LISTA")</f>
        <v>SAPATA DE FREIO DE MÃO</v>
      </c>
    </row>
    <row r="631" customFormat="false" ht="15" hidden="false" customHeight="true" outlineLevel="0" collapsed="false">
      <c r="A631" s="10" t="s">
        <v>1409</v>
      </c>
      <c r="B631" s="10" t="str">
        <f aca="false">IFERROR(VLOOKUP(A631,Pedido!$A:$B,2,0),"")</f>
        <v/>
      </c>
      <c r="C631" s="10" t="str">
        <f aca="false">IF(B631="","NÃO COMPRA","COMPRA")</f>
        <v>NÃO COMPRA</v>
      </c>
      <c r="D631" s="1" t="n">
        <f aca="false">IFERROR(VLOOKUP(A631,Pedido!$A:$C,3,0),0)</f>
        <v>0</v>
      </c>
      <c r="E631" s="5" t="n">
        <f aca="false">IFERROR(VLOOKUP(A631,Pedido!$A:$E,5,0),0)</f>
        <v>0</v>
      </c>
      <c r="F631" s="1" t="s">
        <v>8</v>
      </c>
      <c r="G631" s="1" t="s">
        <v>349</v>
      </c>
      <c r="H631" s="1" t="s">
        <v>197</v>
      </c>
      <c r="I631" s="1" t="s">
        <v>57</v>
      </c>
      <c r="J631" s="1" t="s">
        <v>1410</v>
      </c>
      <c r="K631" s="1" t="n">
        <v>197</v>
      </c>
      <c r="L631" s="11" t="n">
        <v>0.877520911793516</v>
      </c>
      <c r="M631" s="1" t="n">
        <f aca="false">SUMIF(Relatorio_AK!$A:$A,A631,Relatorio_AK!$B:$B)</f>
        <v>197</v>
      </c>
      <c r="N631" s="1" t="str">
        <f aca="false">IF(M631=K631,"OK","DIF")</f>
        <v>OK</v>
      </c>
      <c r="O631" s="13" t="str">
        <f aca="false">IFERROR(VLOOKUP($A631,Lista_Starke!$A:$E,3,0),"NÃO ESTÁ NA LISTA")</f>
        <v>GM: Blazer 4.3 V6 96/06
GM: S10 4.3 V6 96/06</v>
      </c>
      <c r="P631" s="12" t="str">
        <f aca="false">IFERROR(VLOOKUP($A631,Lista_Starke!$A:$E,2,0),"NÃO ESTÁ NA LISTA")</f>
        <v>BOMBA D'ÁGUA</v>
      </c>
    </row>
    <row r="632" customFormat="false" ht="15" hidden="false" customHeight="true" outlineLevel="0" collapsed="false">
      <c r="A632" s="10" t="s">
        <v>1411</v>
      </c>
      <c r="B632" s="10" t="str">
        <f aca="false">IFERROR(VLOOKUP(A632,Pedido!$A:$B,2,0),"")</f>
        <v/>
      </c>
      <c r="C632" s="10" t="str">
        <f aca="false">IF(B632="","NÃO COMPRA","COMPRA")</f>
        <v>NÃO COMPRA</v>
      </c>
      <c r="D632" s="1" t="n">
        <f aca="false">IFERROR(VLOOKUP(A632,Pedido!$A:$C,3,0),0)</f>
        <v>0</v>
      </c>
      <c r="E632" s="5" t="n">
        <f aca="false">IFERROR(VLOOKUP(A632,Pedido!$A:$E,5,0),0)</f>
        <v>0</v>
      </c>
      <c r="F632" s="1" t="s">
        <v>8</v>
      </c>
      <c r="G632" s="1" t="s">
        <v>254</v>
      </c>
      <c r="H632" s="1" t="s">
        <v>35</v>
      </c>
      <c r="I632" s="1" t="s">
        <v>255</v>
      </c>
      <c r="K632" s="1" t="n">
        <v>196</v>
      </c>
      <c r="L632" s="11" t="n">
        <v>0.877855979157442</v>
      </c>
      <c r="M632" s="1" t="n">
        <f aca="false">SUMIF(Relatorio_AK!$A:$A,A632,Relatorio_AK!$B:$B)</f>
        <v>196</v>
      </c>
      <c r="N632" s="1" t="str">
        <f aca="false">IF(M632=K632,"OK","DIF")</f>
        <v>OK</v>
      </c>
      <c r="O632" s="13" t="str">
        <f aca="false">IFERROR(VLOOKUP($A632,Lista_Starke!$A:$E,3,0),"NÃO ESTÁ NA LISTA")</f>
        <v>MITSUBISHI: Pajero Dakar 3.2 16V Diesel 4M41 DI-D 07/13
MITSUBISHI: Pajero Full 3.2 16V Diesel 4M41 DI-D 07/13
MITSUBISHI: Triton 3.2 16V Diesel 4M41 DI-D 07/13
MITSUBISHI: Triton 3.5 V6 24V Flex 6G74 10/13
MITSUBISHI: Triton 3.5 V6 24V Gasolina 6G74 07/13</v>
      </c>
      <c r="P632" s="12" t="str">
        <f aca="false">IFERROR(VLOOKUP($A632,Lista_Starke!$A:$E,2,0),"NÃO ESTÁ NA LISTA")</f>
        <v>CILINDRO MESTRE DE FREIO</v>
      </c>
    </row>
    <row r="633" customFormat="false" ht="15" hidden="false" customHeight="true" outlineLevel="0" collapsed="false">
      <c r="A633" s="10" t="s">
        <v>1412</v>
      </c>
      <c r="B633" s="10" t="str">
        <f aca="false">IFERROR(VLOOKUP(A633,Pedido!$A:$B,2,0),"")</f>
        <v/>
      </c>
      <c r="C633" s="10" t="str">
        <f aca="false">IF(B633="","NÃO COMPRA","COMPRA")</f>
        <v>NÃO COMPRA</v>
      </c>
      <c r="D633" s="1" t="n">
        <f aca="false">IFERROR(VLOOKUP(A633,Pedido!$A:$C,3,0),0)</f>
        <v>0</v>
      </c>
      <c r="E633" s="5" t="n">
        <f aca="false">IFERROR(VLOOKUP(A633,Pedido!$A:$E,5,0),0)</f>
        <v>0</v>
      </c>
      <c r="F633" s="1" t="s">
        <v>8</v>
      </c>
      <c r="G633" s="1" t="s">
        <v>1072</v>
      </c>
      <c r="H633" s="1" t="s">
        <v>1073</v>
      </c>
      <c r="I633" s="1" t="s">
        <v>97</v>
      </c>
      <c r="J633" s="1" t="s">
        <v>1413</v>
      </c>
      <c r="K633" s="1" t="n">
        <v>196</v>
      </c>
      <c r="L633" s="11" t="n">
        <v>0.878191046521368</v>
      </c>
      <c r="M633" s="1" t="n">
        <f aca="false">SUMIF(Relatorio_AK!$A:$A,A633,Relatorio_AK!$B:$B)</f>
        <v>196</v>
      </c>
      <c r="N633" s="1" t="str">
        <f aca="false">IF(M633=K633,"OK","DIF")</f>
        <v>OK</v>
      </c>
      <c r="O633" s="13" t="str">
        <f aca="false">IFERROR(VLOOKUP($A633,Lista_Starke!$A:$E,3,0),"NÃO ESTÁ NA LISTA")</f>
        <v>FIAT: Fastback 1.3 16V Turbo 23/...
FIAT: Pulse 1.3 16V Turbo 22/...
FIAT: Toro 1.3 16V Turbo 21/...
JEEP: Commander 1.3 16V Turbo 22/...
JEEP: Compass 1.3 16V Turbo 21/...
JEEP: Renegade 1.3 16V Turbo 21/...</v>
      </c>
      <c r="P633" s="12" t="str">
        <f aca="false">IFERROR(VLOOKUP($A633,Lista_Starke!$A:$E,2,0),"NÃO ESTÁ NA LISTA")</f>
        <v>VÁLVULA TERMOSTÁTICA</v>
      </c>
    </row>
    <row r="634" customFormat="false" ht="15" hidden="false" customHeight="true" outlineLevel="0" collapsed="false">
      <c r="A634" s="10" t="s">
        <v>1414</v>
      </c>
      <c r="B634" s="10" t="str">
        <f aca="false">IFERROR(VLOOKUP(A634,Pedido!$A:$B,2,0),"")</f>
        <v/>
      </c>
      <c r="C634" s="10" t="str">
        <f aca="false">IF(B634="","NÃO COMPRA","COMPRA")</f>
        <v>NÃO COMPRA</v>
      </c>
      <c r="D634" s="1" t="n">
        <f aca="false">IFERROR(VLOOKUP(A634,Pedido!$A:$C,3,0),0)</f>
        <v>0</v>
      </c>
      <c r="E634" s="5" t="n">
        <f aca="false">IFERROR(VLOOKUP(A634,Pedido!$A:$E,5,0),0)</f>
        <v>0</v>
      </c>
      <c r="F634" s="1" t="s">
        <v>8</v>
      </c>
      <c r="G634" s="1" t="s">
        <v>1402</v>
      </c>
      <c r="H634" s="1" t="s">
        <v>1073</v>
      </c>
      <c r="I634" s="1" t="s">
        <v>53</v>
      </c>
      <c r="J634" s="1" t="s">
        <v>1415</v>
      </c>
      <c r="K634" s="1" t="n">
        <v>196</v>
      </c>
      <c r="L634" s="11" t="n">
        <v>0.878526113885294</v>
      </c>
      <c r="M634" s="1" t="n">
        <f aca="false">SUMIF(Relatorio_AK!$A:$A,A634,Relatorio_AK!$B:$B)</f>
        <v>196</v>
      </c>
      <c r="N634" s="1" t="str">
        <f aca="false">IF(M634=K634,"OK","DIF")</f>
        <v>OK</v>
      </c>
      <c r="O634" s="13" t="str">
        <f aca="false">IFERROR(VLOOKUP($A634,Lista_Starke!$A:$E,3,0),"NÃO ESTÁ NA LISTA")</f>
        <v>FORD: Ecosport 1.5 12V Dragon 18/...
FORD: Ka 1.5 12V Dragon 19/...</v>
      </c>
      <c r="P634" s="12" t="str">
        <f aca="false">IFERROR(VLOOKUP($A634,Lista_Starke!$A:$E,2,0),"NÃO ESTÁ NA LISTA")</f>
        <v>VÁLVULA TERMOSTÁTICA</v>
      </c>
    </row>
    <row r="635" customFormat="false" ht="15" hidden="false" customHeight="true" outlineLevel="0" collapsed="false">
      <c r="A635" s="10" t="s">
        <v>1416</v>
      </c>
      <c r="B635" s="10" t="str">
        <f aca="false">IFERROR(VLOOKUP(A635,Pedido!$A:$B,2,0),"")</f>
        <v/>
      </c>
      <c r="C635" s="10" t="str">
        <f aca="false">IF(B635="","NÃO COMPRA","COMPRA")</f>
        <v>NÃO COMPRA</v>
      </c>
      <c r="D635" s="1" t="n">
        <f aca="false">IFERROR(VLOOKUP(A635,Pedido!$A:$C,3,0),0)</f>
        <v>0</v>
      </c>
      <c r="E635" s="5" t="n">
        <f aca="false">IFERROR(VLOOKUP(A635,Pedido!$A:$E,5,0),0)</f>
        <v>0</v>
      </c>
      <c r="F635" s="1" t="s">
        <v>8</v>
      </c>
      <c r="G635" s="1" t="s">
        <v>1357</v>
      </c>
      <c r="H635" s="1" t="s">
        <v>1358</v>
      </c>
      <c r="I635" s="1" t="s">
        <v>42</v>
      </c>
      <c r="J635" s="1" t="s">
        <v>1417</v>
      </c>
      <c r="K635" s="1" t="n">
        <v>195</v>
      </c>
      <c r="L635" s="11" t="n">
        <v>0.878859471721853</v>
      </c>
      <c r="M635" s="1" t="n">
        <f aca="false">SUMIF(Relatorio_AK!$A:$A,A635,Relatorio_AK!$B:$B)</f>
        <v>195</v>
      </c>
      <c r="N635" s="1" t="str">
        <f aca="false">IF(M635=K635,"OK","DIF")</f>
        <v>OK</v>
      </c>
      <c r="O635" s="12" t="str">
        <f aca="false">IFERROR(VLOOKUP($A635,Lista_Starke!$A:$E,3,0),"NÃO ESTÁ NA LISTA")</f>
        <v>RENAULT: Kwid  17/23</v>
      </c>
      <c r="P635" s="12" t="str">
        <f aca="false">IFERROR(VLOOKUP($A635,Lista_Starke!$A:$E,2,0),"NÃO ESTÁ NA LISTA")</f>
        <v>BANDEJA INFERIOR COMPLETA LD</v>
      </c>
    </row>
    <row r="636" customFormat="false" ht="15" hidden="false" customHeight="true" outlineLevel="0" collapsed="false">
      <c r="A636" s="10" t="s">
        <v>1418</v>
      </c>
      <c r="B636" s="10" t="str">
        <f aca="false">IFERROR(VLOOKUP(A636,Pedido!$A:$B,2,0),"")</f>
        <v/>
      </c>
      <c r="C636" s="10" t="str">
        <f aca="false">IF(B636="","NÃO COMPRA","COMPRA")</f>
        <v>NÃO COMPRA</v>
      </c>
      <c r="D636" s="1" t="n">
        <f aca="false">IFERROR(VLOOKUP(A636,Pedido!$A:$C,3,0),0)</f>
        <v>0</v>
      </c>
      <c r="E636" s="5" t="n">
        <f aca="false">IFERROR(VLOOKUP(A636,Pedido!$A:$E,5,0),0)</f>
        <v>0</v>
      </c>
      <c r="F636" s="1" t="s">
        <v>8</v>
      </c>
      <c r="G636" s="1" t="s">
        <v>1419</v>
      </c>
      <c r="H636" s="1" t="s">
        <v>1073</v>
      </c>
      <c r="I636" s="1" t="s">
        <v>77</v>
      </c>
      <c r="J636" s="1" t="s">
        <v>1420</v>
      </c>
      <c r="K636" s="1" t="n">
        <v>194</v>
      </c>
      <c r="L636" s="11" t="n">
        <v>0.879191120031045</v>
      </c>
      <c r="M636" s="1" t="n">
        <f aca="false">SUMIF(Relatorio_AK!$A:$A,A636,Relatorio_AK!$B:$B)</f>
        <v>194</v>
      </c>
      <c r="N636" s="1" t="str">
        <f aca="false">IF(M636=K636,"OK","DIF")</f>
        <v>OK</v>
      </c>
      <c r="O636" s="13" t="str">
        <f aca="false">IFERROR(VLOOKUP($A636,Lista_Starke!$A:$E,3,0),"NÃO ESTÁ NA LISTA")</f>
        <v>CITROEN: Jumpy 1.6 8V Diesel DV6 16/...
PEUGEOT: Expert 1.6 8V Diesel DV6 16/...</v>
      </c>
      <c r="P636" s="12" t="str">
        <f aca="false">IFERROR(VLOOKUP($A636,Lista_Starke!$A:$E,2,0),"NÃO ESTÁ NA LISTA")</f>
        <v>VÁLVULA TERMOSTÁTICA</v>
      </c>
    </row>
    <row r="637" customFormat="false" ht="15" hidden="false" customHeight="true" outlineLevel="0" collapsed="false">
      <c r="A637" s="10" t="s">
        <v>1421</v>
      </c>
      <c r="B637" s="10" t="str">
        <f aca="false">IFERROR(VLOOKUP(A637,Pedido!$A:$B,2,0),"")</f>
        <v/>
      </c>
      <c r="C637" s="10" t="str">
        <f aca="false">IF(B637="","NÃO COMPRA","COMPRA")</f>
        <v>NÃO COMPRA</v>
      </c>
      <c r="D637" s="1" t="n">
        <f aca="false">IFERROR(VLOOKUP(A637,Pedido!$A:$C,3,0),0)</f>
        <v>0</v>
      </c>
      <c r="E637" s="5" t="n">
        <f aca="false">IFERROR(VLOOKUP(A637,Pedido!$A:$E,5,0),0)</f>
        <v>0</v>
      </c>
      <c r="F637" s="1" t="s">
        <v>8</v>
      </c>
      <c r="G637" s="1" t="s">
        <v>1390</v>
      </c>
      <c r="H637" s="1" t="s">
        <v>1358</v>
      </c>
      <c r="I637" s="1" t="s">
        <v>42</v>
      </c>
      <c r="J637" s="1" t="s">
        <v>1422</v>
      </c>
      <c r="K637" s="1" t="n">
        <v>193</v>
      </c>
      <c r="L637" s="11" t="n">
        <v>0.87952105881287</v>
      </c>
      <c r="M637" s="1" t="n">
        <f aca="false">SUMIF(Relatorio_AK!$A:$A,A637,Relatorio_AK!$B:$B)</f>
        <v>193</v>
      </c>
      <c r="N637" s="1" t="str">
        <f aca="false">IF(M637=K637,"OK","DIF")</f>
        <v>OK</v>
      </c>
      <c r="O637" s="12" t="str">
        <f aca="false">IFERROR(VLOOKUP($A637,Lista_Starke!$A:$E,3,0),"NÃO ESTÁ NA LISTA")</f>
        <v>RENAULT: Kwid  17/23</v>
      </c>
      <c r="P637" s="12" t="str">
        <f aca="false">IFERROR(VLOOKUP($A637,Lista_Starke!$A:$E,2,0),"NÃO ESTÁ NA LISTA")</f>
        <v>BANDEJA INFERIOR COMPLETA LE</v>
      </c>
    </row>
    <row r="638" customFormat="false" ht="15" hidden="false" customHeight="true" outlineLevel="0" collapsed="false">
      <c r="A638" s="10" t="s">
        <v>1423</v>
      </c>
      <c r="B638" s="10" t="str">
        <f aca="false">IFERROR(VLOOKUP(A638,Pedido!$A:$B,2,0),"")</f>
        <v/>
      </c>
      <c r="C638" s="10" t="str">
        <f aca="false">IF(B638="","NÃO COMPRA","COMPRA")</f>
        <v>NÃO COMPRA</v>
      </c>
      <c r="D638" s="1" t="n">
        <f aca="false">IFERROR(VLOOKUP(A638,Pedido!$A:$C,3,0),0)</f>
        <v>0</v>
      </c>
      <c r="E638" s="5" t="n">
        <f aca="false">IFERROR(VLOOKUP(A638,Pedido!$A:$E,5,0),0)</f>
        <v>0</v>
      </c>
      <c r="F638" s="1" t="s">
        <v>8</v>
      </c>
      <c r="G638" s="1" t="s">
        <v>52</v>
      </c>
      <c r="H638" s="1" t="s">
        <v>35</v>
      </c>
      <c r="I638" s="1" t="s">
        <v>53</v>
      </c>
      <c r="J638" s="1" t="s">
        <v>1424</v>
      </c>
      <c r="K638" s="1" t="n">
        <v>193</v>
      </c>
      <c r="L638" s="11" t="n">
        <v>0.879850997594695</v>
      </c>
      <c r="M638" s="1" t="n">
        <f aca="false">SUMIF(Relatorio_AK!$A:$A,A638,Relatorio_AK!$B:$B)</f>
        <v>193</v>
      </c>
      <c r="N638" s="1" t="str">
        <f aca="false">IF(M638=K638,"OK","DIF")</f>
        <v>OK</v>
      </c>
      <c r="O638" s="13" t="str">
        <f aca="false">IFERROR(VLOOKUP($A638,Lista_Starke!$A:$E,3,0),"NÃO ESTÁ NA LISTA")</f>
        <v>FORD: F250 4.2 16V Cummins 4BTAA 98/08
FORD: F250 4.2 18V MWM 6.07 TCA 98/08
FORD: F250 4.2 V6 Diesel 98/09
FORD: F250 Super Duty 3.9 16V Cummins 98/02
FORD: F250 Super Duty 4.2 V6 Diesel 98/03
FORD: F250 Tropical 4.2 18V MWM 6.07TCA 04/08
FORD: F250 Tropical 4.2 V6 Diesel 98/03
FORD: F350 3.9 16V Cummins 4BTAA 98/12
FORD: F350 3.9 8V Cummins 4bTAA 05/12
FORD: F4000 2.9 8V MWM 229/4 05/07
FORD: F4000 3.9 8V Cummins 4BTT 05/06</v>
      </c>
      <c r="P638" s="12" t="str">
        <f aca="false">IFERROR(VLOOKUP($A638,Lista_Starke!$A:$E,2,0),"NÃO ESTÁ NA LISTA")</f>
        <v>CILINDRO MESTRE DE FREIO</v>
      </c>
    </row>
    <row r="639" customFormat="false" ht="15" hidden="false" customHeight="true" outlineLevel="0" collapsed="false">
      <c r="A639" s="10" t="s">
        <v>1425</v>
      </c>
      <c r="B639" s="10" t="str">
        <f aca="false">IFERROR(VLOOKUP(A639,Pedido!$A:$B,2,0),"")</f>
        <v/>
      </c>
      <c r="C639" s="10" t="str">
        <f aca="false">IF(B639="","NÃO COMPRA","COMPRA")</f>
        <v>NÃO COMPRA</v>
      </c>
      <c r="D639" s="1" t="n">
        <f aca="false">IFERROR(VLOOKUP(A639,Pedido!$A:$C,3,0),0)</f>
        <v>0</v>
      </c>
      <c r="E639" s="5" t="n">
        <f aca="false">IFERROR(VLOOKUP(A639,Pedido!$A:$E,5,0),0)</f>
        <v>0</v>
      </c>
      <c r="F639" s="1" t="s">
        <v>8</v>
      </c>
      <c r="G639" s="1" t="s">
        <v>41</v>
      </c>
      <c r="H639" s="1" t="s">
        <v>35</v>
      </c>
      <c r="I639" s="1" t="s">
        <v>42</v>
      </c>
      <c r="K639" s="1" t="n">
        <v>193</v>
      </c>
      <c r="L639" s="11" t="n">
        <v>0.88018093637652</v>
      </c>
      <c r="M639" s="1" t="n">
        <f aca="false">SUMIF(Relatorio_AK!$A:$A,A639,Relatorio_AK!$B:$B)</f>
        <v>193</v>
      </c>
      <c r="N639" s="1" t="str">
        <f aca="false">IF(M639=K639,"OK","DIF")</f>
        <v>OK</v>
      </c>
      <c r="O639" s="13" t="str">
        <f aca="false">IFERROR(VLOOKUP($A639,Lista_Starke!$A:$E,3,0),"NÃO ESTÁ NA LISTA")</f>
        <v>RENAULT: Grand Scenic 2.0 16V 09/...
RENAULT: Megane 1.6 16V Hi Flex 10/...
RENAULT: Megane 2.0 16V 10/...
RENAULT: Megane Grand Tour 1.6 16V 09/...</v>
      </c>
      <c r="P639" s="12" t="str">
        <f aca="false">IFERROR(VLOOKUP($A639,Lista_Starke!$A:$E,2,0),"NÃO ESTÁ NA LISTA")</f>
        <v>CILINDRO MESTRE DE FREIO</v>
      </c>
    </row>
    <row r="640" customFormat="false" ht="15" hidden="false" customHeight="true" outlineLevel="0" collapsed="false">
      <c r="A640" s="10" t="s">
        <v>1426</v>
      </c>
      <c r="B640" s="10" t="str">
        <f aca="false">IFERROR(VLOOKUP(A640,Pedido!$A:$B,2,0),"")</f>
        <v/>
      </c>
      <c r="C640" s="10" t="str">
        <f aca="false">IF(B640="","NÃO COMPRA","COMPRA")</f>
        <v>NÃO COMPRA</v>
      </c>
      <c r="D640" s="1" t="n">
        <f aca="false">IFERROR(VLOOKUP(A640,Pedido!$A:$C,3,0),0)</f>
        <v>0</v>
      </c>
      <c r="E640" s="5" t="n">
        <f aca="false">IFERROR(VLOOKUP(A640,Pedido!$A:$E,5,0),0)</f>
        <v>0</v>
      </c>
      <c r="F640" s="1" t="s">
        <v>8</v>
      </c>
      <c r="G640" s="1" t="s">
        <v>1257</v>
      </c>
      <c r="H640" s="1" t="s">
        <v>845</v>
      </c>
      <c r="I640" s="1" t="s">
        <v>255</v>
      </c>
      <c r="J640" s="1" t="s">
        <v>1427</v>
      </c>
      <c r="K640" s="1" t="n">
        <v>193</v>
      </c>
      <c r="L640" s="11" t="n">
        <v>0.880510875158345</v>
      </c>
      <c r="M640" s="1" t="n">
        <f aca="false">SUMIF(Relatorio_AK!$A:$A,A640,Relatorio_AK!$B:$B)</f>
        <v>193</v>
      </c>
      <c r="N640" s="1" t="str">
        <f aca="false">IF(M640=K640,"OK","DIF")</f>
        <v>OK</v>
      </c>
      <c r="O640" s="13" t="str">
        <f aca="false">IFERROR(VLOOKUP($A640,Lista_Starke!$A:$E,3,0),"NÃO ESTÁ NA LISTA")</f>
        <v>MITSUBISHI: Airtrek 2.0 16V 4G63 02/…
MITSUBISHI: Airtrek 2.4 16V 4G64 / 4G69 02/…
MITSUBISHI: Outlander  08/...
MITSUBISHI: Pajero IO 1.8 16V 4G93 99/05
MITSUBISHI: Pajero TR4 2.0 16V 00/…
MITSUBISHI: Pajero TR4 2.0 20V 4G94 04/…</v>
      </c>
      <c r="P640" s="12" t="str">
        <f aca="false">IFERROR(VLOOKUP($A640,Lista_Starke!$A:$E,2,0),"NÃO ESTÁ NA LISTA")</f>
        <v>SAPATA DE FREIO DE MÃO</v>
      </c>
    </row>
    <row r="641" customFormat="false" ht="15" hidden="false" customHeight="true" outlineLevel="0" collapsed="false">
      <c r="A641" s="10" t="s">
        <v>1428</v>
      </c>
      <c r="B641" s="10" t="str">
        <f aca="false">IFERROR(VLOOKUP(A641,Pedido!$A:$B,2,0),"")</f>
        <v/>
      </c>
      <c r="C641" s="10" t="str">
        <f aca="false">IF(B641="","NÃO COMPRA","COMPRA")</f>
        <v>NÃO COMPRA</v>
      </c>
      <c r="D641" s="1" t="n">
        <f aca="false">IFERROR(VLOOKUP(A641,Pedido!$A:$C,3,0),0)</f>
        <v>0</v>
      </c>
      <c r="E641" s="5" t="n">
        <f aca="false">IFERROR(VLOOKUP(A641,Pedido!$A:$E,5,0),0)</f>
        <v>0</v>
      </c>
      <c r="F641" s="1" t="s">
        <v>8</v>
      </c>
      <c r="G641" s="1" t="s">
        <v>41</v>
      </c>
      <c r="H641" s="1" t="s">
        <v>35</v>
      </c>
      <c r="I641" s="1" t="s">
        <v>42</v>
      </c>
      <c r="J641" s="1" t="s">
        <v>1429</v>
      </c>
      <c r="K641" s="1" t="n">
        <v>193</v>
      </c>
      <c r="L641" s="11" t="n">
        <v>0.88084081394017</v>
      </c>
      <c r="M641" s="1" t="n">
        <f aca="false">SUMIF(Relatorio_AK!$A:$A,A641,Relatorio_AK!$B:$B)</f>
        <v>193</v>
      </c>
      <c r="N641" s="1" t="str">
        <f aca="false">IF(M641=K641,"OK","DIF")</f>
        <v>OK</v>
      </c>
      <c r="O641" s="12" t="str">
        <f aca="false">IFERROR(VLOOKUP($A641,Lista_Starke!$A:$E,3,0),"NÃO ESTÁ NA LISTA")</f>
        <v>RENAULT: Kwid 1.0 12V 3 cil 17/23</v>
      </c>
      <c r="P641" s="12" t="str">
        <f aca="false">IFERROR(VLOOKUP($A641,Lista_Starke!$A:$E,2,0),"NÃO ESTÁ NA LISTA")</f>
        <v>CILINDRO MESTRE DE FREIO</v>
      </c>
    </row>
    <row r="642" customFormat="false" ht="15" hidden="false" customHeight="true" outlineLevel="0" collapsed="false">
      <c r="A642" s="10" t="s">
        <v>1430</v>
      </c>
      <c r="B642" s="10" t="str">
        <f aca="false">IFERROR(VLOOKUP(A642,Pedido!$A:$B,2,0),"")</f>
        <v/>
      </c>
      <c r="C642" s="10" t="str">
        <f aca="false">IF(B642="","NÃO COMPRA","COMPRA")</f>
        <v>NÃO COMPRA</v>
      </c>
      <c r="D642" s="1" t="n">
        <f aca="false">IFERROR(VLOOKUP(A642,Pedido!$A:$C,3,0),0)</f>
        <v>0</v>
      </c>
      <c r="E642" s="5" t="n">
        <f aca="false">IFERROR(VLOOKUP(A642,Pedido!$A:$E,5,0),0)</f>
        <v>0</v>
      </c>
      <c r="F642" s="1" t="s">
        <v>8</v>
      </c>
      <c r="G642" s="1" t="s">
        <v>1278</v>
      </c>
      <c r="H642" s="1" t="s">
        <v>790</v>
      </c>
      <c r="I642" s="1" t="s">
        <v>1431</v>
      </c>
      <c r="J642" s="1" t="s">
        <v>1432</v>
      </c>
      <c r="K642" s="1" t="n">
        <v>192</v>
      </c>
      <c r="L642" s="11" t="n">
        <v>0.881169043194628</v>
      </c>
      <c r="M642" s="1" t="n">
        <f aca="false">SUMIF(Relatorio_AK!$A:$A,A642,Relatorio_AK!$B:$B)</f>
        <v>192</v>
      </c>
      <c r="N642" s="1" t="str">
        <f aca="false">IF(M642=K642,"OK","DIF")</f>
        <v>OK</v>
      </c>
      <c r="O642" s="13" t="str">
        <f aca="false">IFERROR(VLOOKUP($A642,Lista_Starke!$A:$E,3,0),"NÃO ESTÁ NA LISTA")</f>
        <v>VOLVO: S60 T2 1.5 B4154T5 15/18
VOLVO: S60 T3 1.5 B4154T4 15/18
VOLVO: S60 T3 2.0 B4204T37 15/18
VOLVO: S60 T4 2.0 B4204T31 19/21
VOLVO: S60 T5 2.0 B4204T11 14/18
VOLVO: S60 T5 2.0 B4204T20 / B4204T23 / B4204T26 19/...
VOLVO: S60 T6 2.0 B4204T29 / B4204T34 / B4204T52 19/...
VOLVO: S60 T6 2.0 B4204T9 13/18
VOLVO: S60 T8 2.0 B4204T34 / B4204T48 / B4204T56 19/...
VOLVO: S80 T5 2.0 B4204T11 / B4204T15 13/16
VOLVO: S90 T4 2.0 B4204T31 17/27
VOLVO: S90 T5 2.0 B4204T23 / B4204T26 16/21
VOLVO: S90 T6 2.0 B4204T27 / B4204T29 16/21
VOLVO: S90 T8 2.0 Hybrid B4204T34 / B4204T35 / B4204T56 19/...
VOLVO: XC40 T4 2.0 B4204T31 / B4204T47 18/...
VOLVO: XC40 T5 2.0 B4204T14 / B4204T20 / B4204T36 17/...
VOLVO: XC60 T4 2.0 B4204T31 18/21
VOLVO: XC60 T5 2.0 B4204T11 / B4204T41 13/17
VOLVO: XC60 T5 2.0 B4204T20 / B4204T23 / B4204T26 17/21
VOLVO: XC60 T6 2.0 B4204T27 / B4204T29 17/21
VOLVO: XC60 T6 2.0 B4204T9 13/17
VOLVO: XC60 T8 2.0 Hybrid B4204T28 / B4204T34 / B4204T35 / B4204T48 / B4204T56 / B4204T57 18/...
VOLVO: XC70 T5 2.0 B4204T11 13/16
VOLVO: XC90 T5 2.0 B4204T23 / B4204T26 15/21
VOLVO: XC90 T6 2.0 B4204T27 / B4204T29 17/21
VOLVO: XC90 T8 2.0 Hybrid B4204T34 / B4204T35 / B4204T56 15/...</v>
      </c>
      <c r="P642" s="12" t="str">
        <f aca="false">IFERROR(VLOOKUP($A642,Lista_Starke!$A:$E,2,0),"NÃO ESTÁ NA LISTA")</f>
        <v>BOMBA DÁGUA ELÉTRICA</v>
      </c>
    </row>
    <row r="643" customFormat="false" ht="15" hidden="false" customHeight="true" outlineLevel="0" collapsed="false">
      <c r="A643" s="10" t="s">
        <v>1433</v>
      </c>
      <c r="B643" s="10" t="str">
        <f aca="false">IFERROR(VLOOKUP(A643,Pedido!$A:$B,2,0),"")</f>
        <v/>
      </c>
      <c r="C643" s="10" t="str">
        <f aca="false">IF(B643="","NÃO COMPRA","COMPRA")</f>
        <v>NÃO COMPRA</v>
      </c>
      <c r="D643" s="1" t="n">
        <f aca="false">IFERROR(VLOOKUP(A643,Pedido!$A:$C,3,0),0)</f>
        <v>0</v>
      </c>
      <c r="E643" s="5" t="n">
        <f aca="false">IFERROR(VLOOKUP(A643,Pedido!$A:$E,5,0),0)</f>
        <v>0</v>
      </c>
      <c r="F643" s="1" t="s">
        <v>8</v>
      </c>
      <c r="G643" s="1" t="s">
        <v>588</v>
      </c>
      <c r="H643" s="1" t="s">
        <v>126</v>
      </c>
      <c r="I643" s="1" t="s">
        <v>226</v>
      </c>
      <c r="J643" s="1" t="s">
        <v>1434</v>
      </c>
      <c r="K643" s="1" t="n">
        <v>191</v>
      </c>
      <c r="L643" s="11" t="n">
        <v>0.881495562921719</v>
      </c>
      <c r="M643" s="1" t="n">
        <f aca="false">SUMIF(Relatorio_AK!$A:$A,A643,Relatorio_AK!$B:$B)</f>
        <v>191</v>
      </c>
      <c r="N643" s="1" t="str">
        <f aca="false">IF(M643=K643,"OK","DIF")</f>
        <v>OK</v>
      </c>
      <c r="O643" s="13" t="str">
        <f aca="false">IFERROR(VLOOKUP($A643,Lista_Starke!$A:$E,3,0),"NÃO ESTÁ NA LISTA")</f>
        <v>AUDI: A3 2.0 16V TFSI   CCZA / CAWB 04/13
AUDI: A4 2.0 16V TFSI   CAEA / CDNB / CFKA 08/…
AUDI: A4 2.0 16V TFSI   CAED / CNCD 13/…
AUDI: A5 2.0 16V TFSI   CDNB / CDNC 08/…
AUDI: A5 2.0 16V TFSI   CNCD 13/…
AUDI: A6 2.0 16V TFSI   CAED 13/…
AUDI: A6 2.0 16V TFSI   CDNB 11/…
AUDI: Q3 2.0 16V TFSI   CCZC / CULB / CPSA 11/…
AUDI: Q5 2.0 16V TFSI   CDNB / CNCB / CAEB / CDNC 09/…
AUDI: TT 2.0 16V TFSI   BWA / CCZA / CESA / CCTA 09/…
VOLKSWAGEN: Beetle 2.0 16V TSI   CBFA / CCTA / CCZA 13/…
VOLKSWAGEN: Golf GTI 2.0 16V TSI   CBFA / CCTA / CCZA 13/…
VOLKSWAGEN: Jetta 2.0 16V TSI   CBFA / CCTA / CCZA / CPLA / CPPA 11/…
VOLKSWAGEN: Passat / Variant 2.0 16V TSI   CCZB 09/…
VOLKSWAGEN: Passat CC 2.0 16V TSI   CBFA / CCTA / CCZA / CPLA / CPPA 11/…
VOLKSWAGEN: Tiguan 2.0 16V TFSI CAWB / CCTA / CCZA 08/…</v>
      </c>
      <c r="P643" s="12" t="str">
        <f aca="false">IFERROR(VLOOKUP($A643,Lista_Starke!$A:$E,2,0),"NÃO ESTÁ NA LISTA")</f>
        <v>RESFRIADOR DE ÓLEO CÂMBIO</v>
      </c>
    </row>
    <row r="644" customFormat="false" ht="15" hidden="false" customHeight="true" outlineLevel="0" collapsed="false">
      <c r="A644" s="10" t="s">
        <v>1435</v>
      </c>
      <c r="B644" s="10" t="str">
        <f aca="false">IFERROR(VLOOKUP(A644,Pedido!$A:$B,2,0),"")</f>
        <v/>
      </c>
      <c r="C644" s="10" t="str">
        <f aca="false">IF(B644="","NÃO COMPRA","COMPRA")</f>
        <v>NÃO COMPRA</v>
      </c>
      <c r="D644" s="1" t="n">
        <f aca="false">IFERROR(VLOOKUP(A644,Pedido!$A:$C,3,0),0)</f>
        <v>0</v>
      </c>
      <c r="E644" s="5" t="n">
        <f aca="false">IFERROR(VLOOKUP(A644,Pedido!$A:$E,5,0),0)</f>
        <v>0</v>
      </c>
      <c r="F644" s="1" t="s">
        <v>8</v>
      </c>
      <c r="G644" s="1" t="s">
        <v>1436</v>
      </c>
      <c r="H644" s="1" t="s">
        <v>235</v>
      </c>
      <c r="I644" s="1" t="s">
        <v>42</v>
      </c>
      <c r="J644" s="1" t="s">
        <v>1437</v>
      </c>
      <c r="K644" s="1" t="n">
        <v>191</v>
      </c>
      <c r="L644" s="11" t="n">
        <v>0.88182208264881</v>
      </c>
      <c r="M644" s="1" t="n">
        <f aca="false">SUMIF(Relatorio_AK!$A:$A,A644,Relatorio_AK!$B:$B)</f>
        <v>191</v>
      </c>
      <c r="N644" s="1" t="str">
        <f aca="false">IF(M644=K644,"OK","DIF")</f>
        <v>OK</v>
      </c>
      <c r="O644" s="12" t="str">
        <f aca="false">IFERROR(VLOOKUP($A644,Lista_Starke!$A:$E,3,0),"NÃO ESTÁ NA LISTA")</f>
        <v>RENAULT: Master 2.5 16V Diesel G9U 05/13</v>
      </c>
      <c r="P644" s="12" t="str">
        <f aca="false">IFERROR(VLOOKUP($A644,Lista_Starke!$A:$E,2,0),"NÃO ESTÁ NA LISTA")</f>
        <v>RESFRIADOR DE ÓLEO MOTOR</v>
      </c>
    </row>
    <row r="645" customFormat="false" ht="15" hidden="false" customHeight="true" outlineLevel="0" collapsed="false">
      <c r="A645" s="10" t="s">
        <v>1438</v>
      </c>
      <c r="B645" s="10" t="str">
        <f aca="false">IFERROR(VLOOKUP(A645,Pedido!$A:$B,2,0),"")</f>
        <v/>
      </c>
      <c r="C645" s="10" t="str">
        <f aca="false">IF(B645="","NÃO COMPRA","COMPRA")</f>
        <v>NÃO COMPRA</v>
      </c>
      <c r="D645" s="1" t="n">
        <f aca="false">IFERROR(VLOOKUP(A645,Pedido!$A:$C,3,0),0)</f>
        <v>0</v>
      </c>
      <c r="E645" s="5" t="n">
        <f aca="false">IFERROR(VLOOKUP(A645,Pedido!$A:$E,5,0),0)</f>
        <v>0</v>
      </c>
      <c r="F645" s="1" t="s">
        <v>8</v>
      </c>
      <c r="G645" s="1" t="s">
        <v>1257</v>
      </c>
      <c r="H645" s="1" t="s">
        <v>131</v>
      </c>
      <c r="I645" s="1" t="s">
        <v>255</v>
      </c>
      <c r="J645" s="1" t="s">
        <v>1439</v>
      </c>
      <c r="K645" s="1" t="n">
        <v>190</v>
      </c>
      <c r="L645" s="11" t="n">
        <v>0.882146892848534</v>
      </c>
      <c r="M645" s="1" t="n">
        <f aca="false">SUMIF(Relatorio_AK!$A:$A,A645,Relatorio_AK!$B:$B)</f>
        <v>190</v>
      </c>
      <c r="N645" s="1" t="str">
        <f aca="false">IF(M645=K645,"OK","DIF")</f>
        <v>OK</v>
      </c>
      <c r="O645" s="13" t="str">
        <f aca="false">IFERROR(VLOOKUP($A645,Lista_Starke!$A:$E,3,0),"NÃO ESTÁ NA LISTA")</f>
        <v>MITSUBISHI: L200 2.5 Diesel / 2.5 Turbo Diesel 98/…
MITSUBISHI: L200 2.5 Turbo Diesel HPE 07/…
MITSUBISHI: L200 Savana 2.5 4x4 Frente Redonda 06/...
MITSUBISHI: Pajero Sport 2.5 Turbo Diesel 98/…</v>
      </c>
      <c r="P645" s="12" t="str">
        <f aca="false">IFERROR(VLOOKUP($A645,Lista_Starke!$A:$E,2,0),"NÃO ESTÁ NA LISTA")</f>
        <v>SAPATA DE FREIO</v>
      </c>
    </row>
    <row r="646" customFormat="false" ht="15" hidden="false" customHeight="true" outlineLevel="0" collapsed="false">
      <c r="A646" s="10" t="s">
        <v>1440</v>
      </c>
      <c r="B646" s="10" t="str">
        <f aca="false">IFERROR(VLOOKUP(A646,Pedido!$A:$B,2,0),"")</f>
        <v/>
      </c>
      <c r="C646" s="10" t="str">
        <f aca="false">IF(B646="","NÃO COMPRA","COMPRA")</f>
        <v>NÃO COMPRA</v>
      </c>
      <c r="D646" s="1" t="n">
        <f aca="false">IFERROR(VLOOKUP(A646,Pedido!$A:$C,3,0),0)</f>
        <v>0</v>
      </c>
      <c r="E646" s="5" t="n">
        <f aca="false">IFERROR(VLOOKUP(A646,Pedido!$A:$E,5,0),0)</f>
        <v>0</v>
      </c>
      <c r="F646" s="1" t="s">
        <v>8</v>
      </c>
      <c r="G646" s="1" t="s">
        <v>488</v>
      </c>
      <c r="H646" s="1" t="s">
        <v>197</v>
      </c>
      <c r="I646" s="1" t="s">
        <v>215</v>
      </c>
      <c r="K646" s="1" t="n">
        <v>189</v>
      </c>
      <c r="L646" s="11" t="n">
        <v>0.882469993520891</v>
      </c>
      <c r="M646" s="1" t="n">
        <f aca="false">SUMIF(Relatorio_AK!$A:$A,A646,Relatorio_AK!$B:$B)</f>
        <v>189</v>
      </c>
      <c r="N646" s="1" t="str">
        <f aca="false">IF(M646=K646,"OK","DIF")</f>
        <v>OK</v>
      </c>
      <c r="O646" s="12" t="str">
        <f aca="false">IFERROR(VLOOKUP($A646,Lista_Starke!$A:$E,3,0),"NÃO ESTÁ NA LISTA")</f>
        <v>NISSAN: Frontier 2.5 16V Turbo Diesel YD25 08/…</v>
      </c>
      <c r="P646" s="12" t="str">
        <f aca="false">IFERROR(VLOOKUP($A646,Lista_Starke!$A:$E,2,0),"NÃO ESTÁ NA LISTA")</f>
        <v>BOMBA D'ÁGUA</v>
      </c>
    </row>
    <row r="647" customFormat="false" ht="15" hidden="false" customHeight="true" outlineLevel="0" collapsed="false">
      <c r="A647" s="10" t="s">
        <v>1441</v>
      </c>
      <c r="B647" s="10" t="str">
        <f aca="false">IFERROR(VLOOKUP(A647,Pedido!$A:$B,2,0),"")</f>
        <v/>
      </c>
      <c r="C647" s="10" t="str">
        <f aca="false">IF(B647="","NÃO COMPRA","COMPRA")</f>
        <v>NÃO COMPRA</v>
      </c>
      <c r="D647" s="1" t="n">
        <f aca="false">IFERROR(VLOOKUP(A647,Pedido!$A:$C,3,0),0)</f>
        <v>0</v>
      </c>
      <c r="E647" s="5" t="n">
        <f aca="false">IFERROR(VLOOKUP(A647,Pedido!$A:$E,5,0),0)</f>
        <v>0</v>
      </c>
      <c r="F647" s="1" t="s">
        <v>8</v>
      </c>
      <c r="G647" s="1" t="s">
        <v>1442</v>
      </c>
      <c r="H647" s="1" t="s">
        <v>1131</v>
      </c>
      <c r="I647" s="1" t="s">
        <v>226</v>
      </c>
      <c r="J647" s="1" t="s">
        <v>1443</v>
      </c>
      <c r="K647" s="1" t="n">
        <v>188</v>
      </c>
      <c r="L647" s="11" t="n">
        <v>0.882791384665881</v>
      </c>
      <c r="M647" s="1" t="n">
        <f aca="false">SUMIF(Relatorio_AK!$A:$A,A647,Relatorio_AK!$B:$B)</f>
        <v>188</v>
      </c>
      <c r="N647" s="1" t="str">
        <f aca="false">IF(M647=K647,"OK","DIF")</f>
        <v>OK</v>
      </c>
      <c r="O647" s="13" t="str">
        <f aca="false">IFERROR(VLOOKUP($A647,Lista_Starke!$A:$E,3,0),"NÃO ESTÁ NA LISTA")</f>
        <v>AUDI: A1 1.4 TSI 11/14
AUDI: A3 1.4 TFSI 16/21
AUDI: Q3 1.4 TFSI 12/14
VOLKSWAGEN: Golf 1.4 TSI 13/...
VOLKSWAGEN: Jetta 1.4 TSI 11/18
VOLKSWAGEN: Passat 1.4 TSI 10/14
VOLKSWAGEN: Polo GTS 1.4 TSI 20/...
VOLKSWAGEN: T-Cross 1.4 TSI 20/22
VOLKSWAGEN: Taos 1.4 TSI 21/...
VOLKSWAGEN: Tiguan 1.4 TSI 17/21
VOLKSWAGEN: Virtus GTS 1.4 TSI 20/...</v>
      </c>
      <c r="P647" s="12" t="str">
        <f aca="false">IFERROR(VLOOKUP($A647,Lista_Starke!$A:$E,2,0),"NÃO ESTÁ NA LISTA")</f>
        <v>BOMBA DE ALTA PRESSÃO GDI</v>
      </c>
    </row>
    <row r="648" customFormat="false" ht="15" hidden="false" customHeight="true" outlineLevel="0" collapsed="false">
      <c r="A648" s="10" t="s">
        <v>1444</v>
      </c>
      <c r="B648" s="10" t="str">
        <f aca="false">IFERROR(VLOOKUP(A648,Pedido!$A:$B,2,0),"")</f>
        <v/>
      </c>
      <c r="C648" s="10" t="str">
        <f aca="false">IF(B648="","NÃO COMPRA","COMPRA")</f>
        <v>NÃO COMPRA</v>
      </c>
      <c r="D648" s="1" t="n">
        <f aca="false">IFERROR(VLOOKUP(A648,Pedido!$A:$C,3,0),0)</f>
        <v>0</v>
      </c>
      <c r="E648" s="5" t="n">
        <f aca="false">IFERROR(VLOOKUP(A648,Pedido!$A:$E,5,0),0)</f>
        <v>0</v>
      </c>
      <c r="F648" s="1" t="s">
        <v>8</v>
      </c>
      <c r="G648" s="1" t="s">
        <v>222</v>
      </c>
      <c r="H648" s="1" t="s">
        <v>88</v>
      </c>
      <c r="I648" s="1" t="s">
        <v>42</v>
      </c>
      <c r="J648" s="1" t="s">
        <v>1445</v>
      </c>
      <c r="K648" s="1" t="n">
        <v>188</v>
      </c>
      <c r="L648" s="11" t="n">
        <v>0.883112775810871</v>
      </c>
      <c r="M648" s="1" t="n">
        <f aca="false">SUMIF(Relatorio_AK!$A:$A,A648,Relatorio_AK!$B:$B)</f>
        <v>188</v>
      </c>
      <c r="N648" s="1" t="str">
        <f aca="false">IF(M648=K648,"OK","DIF")</f>
        <v>OK</v>
      </c>
      <c r="O648" s="13" t="str">
        <f aca="false">IFERROR(VLOOKUP($A648,Lista_Starke!$A:$E,3,0),"NÃO ESTÁ NA LISTA")</f>
        <v>RENAULT: Logan 1.0 16V 07/13
RENAULT: Sandero 1.0 16V 07/13</v>
      </c>
      <c r="P648" s="12" t="str">
        <f aca="false">IFERROR(VLOOKUP($A648,Lista_Starke!$A:$E,2,0),"NÃO ESTÁ NA LISTA")</f>
        <v>CILINDRO DE RODA LE/LD</v>
      </c>
    </row>
    <row r="649" customFormat="false" ht="15" hidden="false" customHeight="true" outlineLevel="0" collapsed="false">
      <c r="A649" s="10" t="s">
        <v>1446</v>
      </c>
      <c r="B649" s="10" t="str">
        <f aca="false">IFERROR(VLOOKUP(A649,Pedido!$A:$B,2,0),"")</f>
        <v/>
      </c>
      <c r="C649" s="10" t="str">
        <f aca="false">IF(B649="","NÃO COMPRA","COMPRA")</f>
        <v>NÃO COMPRA</v>
      </c>
      <c r="D649" s="1" t="n">
        <f aca="false">IFERROR(VLOOKUP(A649,Pedido!$A:$C,3,0),0)</f>
        <v>0</v>
      </c>
      <c r="E649" s="5" t="n">
        <f aca="false">IFERROR(VLOOKUP(A649,Pedido!$A:$E,5,0),0)</f>
        <v>0</v>
      </c>
      <c r="F649" s="1" t="s">
        <v>8</v>
      </c>
      <c r="G649" s="1" t="s">
        <v>277</v>
      </c>
      <c r="H649" s="1" t="s">
        <v>131</v>
      </c>
      <c r="I649" s="1" t="s">
        <v>165</v>
      </c>
      <c r="J649" s="1" t="s">
        <v>1447</v>
      </c>
      <c r="K649" s="1" t="n">
        <v>187</v>
      </c>
      <c r="L649" s="11" t="n">
        <v>0.883432457428494</v>
      </c>
      <c r="M649" s="1" t="n">
        <f aca="false">SUMIF(Relatorio_AK!$A:$A,A649,Relatorio_AK!$B:$B)</f>
        <v>187</v>
      </c>
      <c r="N649" s="1" t="str">
        <f aca="false">IF(M649=K649,"OK","DIF")</f>
        <v>OK</v>
      </c>
      <c r="O649" s="13" t="str">
        <f aca="false">IFERROR(VLOOKUP($A649,Lista_Starke!$A:$E,3,0),"NÃO ESTÁ NA LISTA")</f>
        <v>FORD: Ranger 2.2 16V TDCi 13/...
FORD: Ranger 3.0 Turbo Diesel  NGD 05/…
FORD: Ranger 3.2 20V TDCi 13/...
GM: Blazer 4.3 V6 95/11
GM: S10 4.3 V6 95/11</v>
      </c>
      <c r="P649" s="12" t="str">
        <f aca="false">IFERROR(VLOOKUP($A649,Lista_Starke!$A:$E,2,0),"NÃO ESTÁ NA LISTA")</f>
        <v>SAPATA DE FREIO</v>
      </c>
    </row>
    <row r="650" customFormat="false" ht="15" hidden="false" customHeight="true" outlineLevel="0" collapsed="false">
      <c r="A650" s="10" t="s">
        <v>1448</v>
      </c>
      <c r="B650" s="10" t="str">
        <f aca="false">IFERROR(VLOOKUP(A650,Pedido!$A:$B,2,0),"")</f>
        <v/>
      </c>
      <c r="C650" s="10" t="str">
        <f aca="false">IF(B650="","NÃO COMPRA","COMPRA")</f>
        <v>NÃO COMPRA</v>
      </c>
      <c r="D650" s="1" t="n">
        <f aca="false">IFERROR(VLOOKUP(A650,Pedido!$A:$C,3,0),0)</f>
        <v>0</v>
      </c>
      <c r="E650" s="5" t="n">
        <f aca="false">IFERROR(VLOOKUP(A650,Pedido!$A:$E,5,0),0)</f>
        <v>0</v>
      </c>
      <c r="F650" s="1" t="s">
        <v>8</v>
      </c>
      <c r="G650" s="1" t="s">
        <v>748</v>
      </c>
      <c r="H650" s="1" t="s">
        <v>600</v>
      </c>
      <c r="I650" s="1" t="s">
        <v>1157</v>
      </c>
      <c r="J650" s="1" t="s">
        <v>1449</v>
      </c>
      <c r="K650" s="1" t="n">
        <v>187</v>
      </c>
      <c r="L650" s="11" t="n">
        <v>0.883752139046118</v>
      </c>
      <c r="M650" s="1" t="n">
        <f aca="false">SUMIF(Relatorio_AK!$A:$A,A650,Relatorio_AK!$B:$B)</f>
        <v>187</v>
      </c>
      <c r="N650" s="1" t="str">
        <f aca="false">IF(M650=K650,"OK","DIF")</f>
        <v>OK</v>
      </c>
      <c r="O650" s="13" t="str">
        <f aca="false">IFERROR(VLOOKUP($A650,Lista_Starke!$A:$E,3,0),"NÃO ESTÁ NA LISTA")</f>
        <v>BMW: 118i (E87) 2.0   N43 B20A / N46 B20B 04/12
BMW: 120i (E87) 2.0   N46 B20B / N46 B20BD / N46 B20C / N46 B20CC 03/12
BMW: 320i (E91) 2.0   N43 B20A / N46 B20A / N46 B20C 03/12
BMW: X1 (E84) sDrive 18i 2.0   N46 B20B 10/…
BMW: X3 (E83) 2.0   N46 B20B 05/…
BMW: X3 (E83) xDrive 20i 2.0   N46 B20B 08/…
BMW: Z4 (E85) 2.0   N46 B20A / N46 B20B 05/…</v>
      </c>
      <c r="P650" s="12" t="str">
        <f aca="false">IFERROR(VLOOKUP($A650,Lista_Starke!$A:$E,2,0),"NÃO ESTÁ NA LISTA")</f>
        <v>BOMBA DE VÁCUO FREIO</v>
      </c>
    </row>
    <row r="651" customFormat="false" ht="15" hidden="false" customHeight="true" outlineLevel="0" collapsed="false">
      <c r="A651" s="10" t="s">
        <v>1450</v>
      </c>
      <c r="B651" s="10" t="str">
        <f aca="false">IFERROR(VLOOKUP(A651,Pedido!$A:$B,2,0),"")</f>
        <v/>
      </c>
      <c r="C651" s="10" t="str">
        <f aca="false">IF(B651="","NÃO COMPRA","COMPRA")</f>
        <v>NÃO COMPRA</v>
      </c>
      <c r="D651" s="1" t="n">
        <f aca="false">IFERROR(VLOOKUP(A651,Pedido!$A:$C,3,0),0)</f>
        <v>0</v>
      </c>
      <c r="E651" s="5" t="n">
        <f aca="false">IFERROR(VLOOKUP(A651,Pedido!$A:$E,5,0),0)</f>
        <v>0</v>
      </c>
      <c r="F651" s="1" t="s">
        <v>8</v>
      </c>
      <c r="G651" s="1" t="s">
        <v>695</v>
      </c>
      <c r="H651" s="1" t="s">
        <v>197</v>
      </c>
      <c r="I651" s="1" t="s">
        <v>295</v>
      </c>
      <c r="J651" s="1" t="s">
        <v>1451</v>
      </c>
      <c r="K651" s="1" t="n">
        <v>187</v>
      </c>
      <c r="L651" s="11" t="n">
        <v>0.884071820663741</v>
      </c>
      <c r="M651" s="1" t="n">
        <f aca="false">SUMIF(Relatorio_AK!$A:$A,A651,Relatorio_AK!$B:$B)</f>
        <v>187</v>
      </c>
      <c r="N651" s="1" t="str">
        <f aca="false">IF(M651=K651,"OK","DIF")</f>
        <v>OK</v>
      </c>
      <c r="O651" s="12" t="str">
        <f aca="false">IFERROR(VLOOKUP($A651,Lista_Starke!$A:$E,3,0),"NÃO ESTÁ NA LISTA")</f>
        <v>CHERY: QQ 1.0 12V 15/...</v>
      </c>
      <c r="P651" s="12" t="str">
        <f aca="false">IFERROR(VLOOKUP($A651,Lista_Starke!$A:$E,2,0),"NÃO ESTÁ NA LISTA")</f>
        <v>BOMBA D'ÁGUA</v>
      </c>
    </row>
    <row r="652" customFormat="false" ht="15" hidden="false" customHeight="true" outlineLevel="0" collapsed="false">
      <c r="A652" s="10" t="s">
        <v>1452</v>
      </c>
      <c r="B652" s="10" t="str">
        <f aca="false">IFERROR(VLOOKUP(A652,Pedido!$A:$B,2,0),"")</f>
        <v/>
      </c>
      <c r="C652" s="10" t="str">
        <f aca="false">IF(B652="","NÃO COMPRA","COMPRA")</f>
        <v>NÃO COMPRA</v>
      </c>
      <c r="D652" s="1" t="n">
        <f aca="false">IFERROR(VLOOKUP(A652,Pedido!$A:$C,3,0),0)</f>
        <v>0</v>
      </c>
      <c r="E652" s="5" t="n">
        <f aca="false">IFERROR(VLOOKUP(A652,Pedido!$A:$E,5,0),0)</f>
        <v>0</v>
      </c>
      <c r="F652" s="1" t="s">
        <v>8</v>
      </c>
      <c r="G652" s="1" t="s">
        <v>1453</v>
      </c>
      <c r="H652" s="1" t="s">
        <v>126</v>
      </c>
      <c r="I652" s="1" t="s">
        <v>177</v>
      </c>
      <c r="J652" s="1" t="s">
        <v>1454</v>
      </c>
      <c r="K652" s="1" t="n">
        <v>187</v>
      </c>
      <c r="L652" s="11" t="n">
        <v>0.884391502281364</v>
      </c>
      <c r="M652" s="1" t="n">
        <f aca="false">SUMIF(Relatorio_AK!$A:$A,A652,Relatorio_AK!$B:$B)</f>
        <v>187</v>
      </c>
      <c r="N652" s="1" t="str">
        <f aca="false">IF(M652=K652,"OK","DIF")</f>
        <v>OK</v>
      </c>
      <c r="O652" s="13" t="str">
        <f aca="false">IFERROR(VLOOKUP($A652,Lista_Starke!$A:$E,3,0),"NÃO ESTÁ NA LISTA")</f>
        <v>TOYOTA: Corolla 1.8 16V Flex 09/14
TOYOTA: Corolla GLi 1.8 16V Flex 15/18
TOYOTA: Yaris 1.5 16V Flex 18/22</v>
      </c>
      <c r="P652" s="12" t="str">
        <f aca="false">IFERROR(VLOOKUP($A652,Lista_Starke!$A:$E,2,0),"NÃO ESTÁ NA LISTA")</f>
        <v>RESFRIADOR DE ÓLEO CÂMBIO</v>
      </c>
    </row>
    <row r="653" customFormat="false" ht="15" hidden="false" customHeight="true" outlineLevel="0" collapsed="false">
      <c r="A653" s="10" t="s">
        <v>1455</v>
      </c>
      <c r="B653" s="10" t="str">
        <f aca="false">IFERROR(VLOOKUP(A653,Pedido!$A:$B,2,0),"")</f>
        <v/>
      </c>
      <c r="C653" s="10" t="str">
        <f aca="false">IF(B653="","NÃO COMPRA","COMPRA")</f>
        <v>NÃO COMPRA</v>
      </c>
      <c r="D653" s="1" t="n">
        <f aca="false">IFERROR(VLOOKUP(A653,Pedido!$A:$C,3,0),0)</f>
        <v>0</v>
      </c>
      <c r="E653" s="5" t="n">
        <f aca="false">IFERROR(VLOOKUP(A653,Pedido!$A:$E,5,0),0)</f>
        <v>0</v>
      </c>
      <c r="F653" s="1" t="s">
        <v>8</v>
      </c>
      <c r="G653" s="1" t="s">
        <v>70</v>
      </c>
      <c r="H653" s="1" t="s">
        <v>35</v>
      </c>
      <c r="I653" s="1" t="s">
        <v>71</v>
      </c>
      <c r="K653" s="1" t="n">
        <v>185</v>
      </c>
      <c r="L653" s="11" t="n">
        <v>0.884707764844253</v>
      </c>
      <c r="M653" s="1" t="n">
        <f aca="false">SUMIF(Relatorio_AK!$A:$A,A653,Relatorio_AK!$B:$B)</f>
        <v>185</v>
      </c>
      <c r="N653" s="1" t="str">
        <f aca="false">IF(M653=K653,"OK","DIF")</f>
        <v>OK</v>
      </c>
      <c r="O653" s="13" t="str">
        <f aca="false">IFERROR(VLOOKUP($A653,Lista_Starke!$A:$E,3,0),"NÃO ESTÁ NA LISTA")</f>
        <v>PEUGEOT: 208 Active 1.0 3 cil. 21/...
PEUGEOT: 208 Active Pack 1.2 3 cil. 19/...
PEUGEOT: 208 Active Pack 1.6 16V 19/...
PEUGEOT: 208 Active1.2 3 cil. 19/...
PEUGEOT: 208 Allure 1.2 3 cil. 19/...
PEUGEOT: 208 Allure 1.6 16V 19/...
PEUGEOT: 208 Griffe 1.6 16V 19/...</v>
      </c>
      <c r="P653" s="12" t="str">
        <f aca="false">IFERROR(VLOOKUP($A653,Lista_Starke!$A:$E,2,0),"NÃO ESTÁ NA LISTA")</f>
        <v>CILINDRO MESTRE DE FREIO</v>
      </c>
    </row>
    <row r="654" customFormat="false" ht="15" hidden="false" customHeight="true" outlineLevel="0" collapsed="false">
      <c r="A654" s="10" t="s">
        <v>1456</v>
      </c>
      <c r="B654" s="10" t="str">
        <f aca="false">IFERROR(VLOOKUP(A654,Pedido!$A:$B,2,0),"")</f>
        <v/>
      </c>
      <c r="C654" s="10" t="str">
        <f aca="false">IF(B654="","NÃO COMPRA","COMPRA")</f>
        <v>NÃO COMPRA</v>
      </c>
      <c r="D654" s="1" t="n">
        <f aca="false">IFERROR(VLOOKUP(A654,Pedido!$A:$C,3,0),0)</f>
        <v>0</v>
      </c>
      <c r="E654" s="5" t="n">
        <f aca="false">IFERROR(VLOOKUP(A654,Pedido!$A:$E,5,0),0)</f>
        <v>0</v>
      </c>
      <c r="F654" s="1" t="s">
        <v>8</v>
      </c>
      <c r="G654" s="1" t="s">
        <v>1336</v>
      </c>
      <c r="H654" s="1" t="s">
        <v>35</v>
      </c>
      <c r="I654" s="1" t="s">
        <v>1457</v>
      </c>
      <c r="K654" s="1" t="n">
        <v>184</v>
      </c>
      <c r="L654" s="11" t="n">
        <v>0.885022317879775</v>
      </c>
      <c r="M654" s="1" t="n">
        <f aca="false">SUMIF(Relatorio_AK!$A:$A,A654,Relatorio_AK!$B:$B)</f>
        <v>184</v>
      </c>
      <c r="N654" s="1" t="str">
        <f aca="false">IF(M654=K654,"OK","DIF")</f>
        <v>OK</v>
      </c>
      <c r="O654" s="13" t="str">
        <f aca="false">IFERROR(VLOOKUP($A654,Lista_Starke!$A:$E,3,0),"NÃO ESTÁ NA LISTA")</f>
        <v>ASIA: Topic 2.7 8V Diesel 93/98
KIA: Besta 2.2 8V Diesel 93/98
KIA: Besta 2.7 8V Diesel 93/98
KIA: Bongo K2400 2.4 8V Diesel 93/97</v>
      </c>
      <c r="P654" s="12" t="str">
        <f aca="false">IFERROR(VLOOKUP($A654,Lista_Starke!$A:$E,2,0),"NÃO ESTÁ NA LISTA")</f>
        <v>CILINDRO MESTRE DE FREIO</v>
      </c>
    </row>
    <row r="655" customFormat="false" ht="15" hidden="false" customHeight="true" outlineLevel="0" collapsed="false">
      <c r="A655" s="10" t="s">
        <v>1458</v>
      </c>
      <c r="B655" s="10" t="str">
        <f aca="false">IFERROR(VLOOKUP(A655,Pedido!$A:$B,2,0),"")</f>
        <v/>
      </c>
      <c r="C655" s="10" t="str">
        <f aca="false">IF(B655="","NÃO COMPRA","COMPRA")</f>
        <v>NÃO COMPRA</v>
      </c>
      <c r="D655" s="1" t="n">
        <f aca="false">IFERROR(VLOOKUP(A655,Pedido!$A:$C,3,0),0)</f>
        <v>0</v>
      </c>
      <c r="E655" s="5" t="n">
        <f aca="false">IFERROR(VLOOKUP(A655,Pedido!$A:$E,5,0),0)</f>
        <v>0</v>
      </c>
      <c r="F655" s="1" t="s">
        <v>8</v>
      </c>
      <c r="G655" s="1" t="s">
        <v>826</v>
      </c>
      <c r="H655" s="1" t="s">
        <v>197</v>
      </c>
      <c r="I655" s="1" t="s">
        <v>1157</v>
      </c>
      <c r="J655" s="1" t="s">
        <v>1459</v>
      </c>
      <c r="K655" s="1" t="n">
        <v>184</v>
      </c>
      <c r="L655" s="11" t="n">
        <v>0.885336870915298</v>
      </c>
      <c r="M655" s="1" t="n">
        <f aca="false">SUMIF(Relatorio_AK!$A:$A,A655,Relatorio_AK!$B:$B)</f>
        <v>184</v>
      </c>
      <c r="N655" s="1" t="str">
        <f aca="false">IF(M655=K655,"OK","DIF")</f>
        <v>OK</v>
      </c>
      <c r="O655" s="13" t="str">
        <f aca="false">IFERROR(VLOOKUP($A655,Lista_Starke!$A:$E,3,0),"NÃO ESTÁ NA LISTA")</f>
        <v>BMW: 116i (E81) 1.6   N43 B16A / N45 B16A 07/12
BMW: 116i (E81) 2.0   N43 B20A 08/12
BMW: 116i (E87) 1.6   N43 B16A / N45 B16A 03/12
BMW: 116i (E87) 2.0   N43 B20A 03/12
BMW: 118i (E81) 2.0   N43 B20A 06/12
BMW: 118i (E87) 2.0   N43 B20A / N46 B20B 04/12
BMW: 120i (E81) 2.0   N43 B20A / N46 B20B / N46 B20C 06/12
BMW: 120i (E81) 2.0   N46 B20B / N46 B20C 06/12
BMW: 120i (E87) 2.0   N43 B20A 07/12
BMW: 120i (E87) 2.0   N46 B20B / N46 B20BD / N46 B20C / N46 B20CC 03/12
BMW: 130i (E81) 3.0   N52 B30A / N52 B30B / N52 B30BF 06/12
BMW: 130i (E87) 3.0   N52 B30A / N52 B30AF / N52 B30B / N52 B30BF 05/12
BMW: 316i (E46) 1.6   M43 B16 00/05
BMW: 316i (E46) 1.6   N40 B16A / N45 B16A 02/05
BMW: 316i (E46) 1.8   M43 B19 98/05
BMW: 316i (E46) 1.8   N42 B18A / N46 B18A 02/05
BMW: 316i (E90) 1.6   N43 B16A 07/11
BMW: 316i (E90) 1.6   N45 B16A 06/11
BMW: 316i (E92) 1.6   N43 B16A 07/…
BMW: 318i (E46) 1.8   M43 B19 98/01
BMW: 318i (E46) 2.0   N42 B20A/ N46 B20A 01/05
BMW: 318i (E90) 2.0   N43 B20A 07/11
BMW: 318i (E90) 2.0   N46 B20B 05/07
BMW: 318i (E91) 2.0   N43 B20A / N46 B20B 06/…
BMW: 318i (E92) 2.0   N43 B20A 10/…
BMW: 320i (E46) 2.0   M52 B20 98/00
BMW: 320i (E46) 2.0   M54 B22 00/05
BMW: 320i (E90) 2.0   N43 B20A 07/11
BMW: 320i (E90) 2.0   N46 B20A / N46 B20B / N46 B20C 05/07
BMW: 320i (E91) 2.0   N43 B20A / N46 B20A / N46 B20C 05/…
BMW: 320i (E92) 2.0   N46 B20A / N46N B20B / N43 B20A 06/…
BMW: 323i (E46) 2.5   M52 B25 98/00
BMW: 323i (E91) 2.5   N52 B25A 06/08
BMW: 325i (E46) 2.5   M54 B25 00/05
BMW: 325i (E90) 2.5   N52 B25A 05/11
BMW: 325i (E90) 3.0   N53 B30A 07/11
BMW: 325i (E91) 2.5   N52 B25A 05/…
BMW: 325i (E91) 3.0   N53 B30A 07/…
BMW: 325i (E92) 2.5   N52 B25A 06/…
BMW: 325i (E92) 3.0   N53 B30A 07/…
BMW: 328i (E46) 2.8   M52 B28 98/00
BMW: 328i (E90) 3.0   N52N B30A 05/07
BMW: 330i (E46) 3.0   M54 B30 00/05
BMW: 330i (E90) 3.0   N52 B30A / N53 B30A 07/11
BMW: 330i (E90) 3.0   N52 B30A 05/11
BMW: 330i (E91) 3.0   N52 B30A / N53 B30A 05/…
BMW: 330i (E92) 3.0   N52 B30A / N53 B30A 06/07
BMW: 335i (E90) 3.0   N54 B30A / N55 B30A 06/11
BMW: 335i (E92) 3.0   N54 B30A / N55 B30A 06/…
BMW: M3 (E90) 4.0   S65 B40A 07/11
BMW: X1 (E84) sDrive 16i 1.6   N20 B16A 13/…
BMW: X1 (E84) sDrive 18i 2.0   N46 B20B 10/…
BMW: X1 (E84) sDrive 20i 2.0   N20 B20A 11/…
BMW: X1 (E84) xDrive 25i 3.0   N52 B30A 10/…
BMW: X1 (E84) xDrive 28i 2.0   N20 B20A 11/…
BMW: X1 (E84) xDrive 28i 3.0   N52 B30A 09/…
BMW: X3 (E83) 2.0   N46 B20B 05/…
BMW: X3 (E83) 25i 2.5   M54 B25 04/…
BMW: X3 (E83) xDrive 20i 2.0   N46 B20B 08/…
BMW: X3 (E83) xDrive 25i 2.5   N52 B25A 08/…
BMW: X3 (E83) xDrive 30i 3.0   M54 B30 / N52 B30A 04/…
BMW: Z4 (E85) 2.0   N46 B20A / N46 B20B 05/…
BMW: Z4 (E85) 2.2   M54 B22 / 2.5 M54 B25 / 3.0 M54 B30 03/…</v>
      </c>
      <c r="P655" s="12" t="str">
        <f aca="false">IFERROR(VLOOKUP($A655,Lista_Starke!$A:$E,2,0),"NÃO ESTÁ NA LISTA")</f>
        <v>BOMBA D'ÁGUA</v>
      </c>
    </row>
    <row r="656" customFormat="false" ht="15" hidden="false" customHeight="true" outlineLevel="0" collapsed="false">
      <c r="A656" s="10" t="s">
        <v>1460</v>
      </c>
      <c r="B656" s="10" t="str">
        <f aca="false">IFERROR(VLOOKUP(A656,Pedido!$A:$B,2,0),"")</f>
        <v/>
      </c>
      <c r="C656" s="10" t="str">
        <f aca="false">IF(B656="","NÃO COMPRA","COMPRA")</f>
        <v>NÃO COMPRA</v>
      </c>
      <c r="D656" s="1" t="n">
        <f aca="false">IFERROR(VLOOKUP(A656,Pedido!$A:$C,3,0),0)</f>
        <v>0</v>
      </c>
      <c r="E656" s="5" t="n">
        <f aca="false">IFERROR(VLOOKUP(A656,Pedido!$A:$E,5,0),0)</f>
        <v>0</v>
      </c>
      <c r="F656" s="1" t="s">
        <v>8</v>
      </c>
      <c r="G656" s="1" t="s">
        <v>720</v>
      </c>
      <c r="H656" s="1" t="s">
        <v>197</v>
      </c>
      <c r="I656" s="1" t="s">
        <v>255</v>
      </c>
      <c r="K656" s="1" t="n">
        <v>184</v>
      </c>
      <c r="L656" s="11" t="n">
        <v>0.88565142395082</v>
      </c>
      <c r="M656" s="1" t="n">
        <f aca="false">SUMIF(Relatorio_AK!$A:$A,A656,Relatorio_AK!$B:$B)</f>
        <v>184</v>
      </c>
      <c r="N656" s="1" t="str">
        <f aca="false">IF(M656=K656,"OK","DIF")</f>
        <v>OK</v>
      </c>
      <c r="O656" s="13" t="str">
        <f aca="false">IFERROR(VLOOKUP($A656,Lista_Starke!$A:$E,3,0),"NÃO ESTÁ NA LISTA")</f>
        <v>MITSUBISHI: Pajero 3.0 / 3.5 V6 24V Gasolina 6G74 99/…
MITSUBISHI: Triton 3.5 V6 24V Flex 6G74 10/…
MITSUBISHI: Triton 3.5 V6 24V Gasolina 6G74 07/…</v>
      </c>
      <c r="P656" s="12" t="str">
        <f aca="false">IFERROR(VLOOKUP($A656,Lista_Starke!$A:$E,2,0),"NÃO ESTÁ NA LISTA")</f>
        <v>BOMBA D'ÁGUA</v>
      </c>
    </row>
    <row r="657" customFormat="false" ht="15" hidden="false" customHeight="true" outlineLevel="0" collapsed="false">
      <c r="A657" s="10" t="s">
        <v>1461</v>
      </c>
      <c r="B657" s="10" t="str">
        <f aca="false">IFERROR(VLOOKUP(A657,Pedido!$A:$B,2,0),"")</f>
        <v/>
      </c>
      <c r="C657" s="10" t="str">
        <f aca="false">IF(B657="","NÃO COMPRA","COMPRA")</f>
        <v>NÃO COMPRA</v>
      </c>
      <c r="D657" s="1" t="n">
        <f aca="false">IFERROR(VLOOKUP(A657,Pedido!$A:$C,3,0),0)</f>
        <v>0</v>
      </c>
      <c r="E657" s="5" t="n">
        <f aca="false">IFERROR(VLOOKUP(A657,Pedido!$A:$E,5,0),0)</f>
        <v>0</v>
      </c>
      <c r="F657" s="1" t="s">
        <v>8</v>
      </c>
      <c r="G657" s="1" t="s">
        <v>474</v>
      </c>
      <c r="H657" s="1" t="s">
        <v>32</v>
      </c>
      <c r="I657" s="1" t="s">
        <v>281</v>
      </c>
      <c r="J657" s="1" t="s">
        <v>1462</v>
      </c>
      <c r="K657" s="1" t="n">
        <v>182</v>
      </c>
      <c r="L657" s="11" t="n">
        <v>0.885962557931608</v>
      </c>
      <c r="M657" s="1" t="n">
        <f aca="false">SUMIF(Relatorio_AK!$A:$A,A657,Relatorio_AK!$B:$B)</f>
        <v>182</v>
      </c>
      <c r="N657" s="1" t="str">
        <f aca="false">IF(M657=K657,"OK","DIF")</f>
        <v>OK</v>
      </c>
      <c r="O657" s="13" t="str">
        <f aca="false">IFERROR(VLOOKUP($A657,Lista_Starke!$A:$E,3,0),"NÃO ESTÁ NA LISTA")</f>
        <v>CITROEN: 307 2.0 16V 00/...
CITROEN: C4 2.0 16V 00/...</v>
      </c>
      <c r="P657" s="12" t="str">
        <f aca="false">IFERROR(VLOOKUP($A657,Lista_Starke!$A:$E,2,0),"NÃO ESTÁ NA LISTA")</f>
        <v>CILINDRO MESTRE DE EMBREAGEM</v>
      </c>
    </row>
    <row r="658" customFormat="false" ht="15" hidden="false" customHeight="true" outlineLevel="0" collapsed="false">
      <c r="A658" s="10" t="s">
        <v>1463</v>
      </c>
      <c r="B658" s="10" t="str">
        <f aca="false">IFERROR(VLOOKUP(A658,Pedido!$A:$B,2,0),"")</f>
        <v/>
      </c>
      <c r="C658" s="10" t="str">
        <f aca="false">IF(B658="","NÃO COMPRA","COMPRA")</f>
        <v>NÃO COMPRA</v>
      </c>
      <c r="D658" s="1" t="n">
        <f aca="false">IFERROR(VLOOKUP(A658,Pedido!$A:$C,3,0),0)</f>
        <v>0</v>
      </c>
      <c r="E658" s="5" t="n">
        <f aca="false">IFERROR(VLOOKUP(A658,Pedido!$A:$E,5,0),0)</f>
        <v>0</v>
      </c>
      <c r="F658" s="1" t="s">
        <v>8</v>
      </c>
      <c r="G658" s="1" t="s">
        <v>277</v>
      </c>
      <c r="H658" s="1" t="s">
        <v>131</v>
      </c>
      <c r="I658" s="1" t="s">
        <v>53</v>
      </c>
      <c r="J658" s="1" t="s">
        <v>1464</v>
      </c>
      <c r="K658" s="1" t="n">
        <v>182</v>
      </c>
      <c r="L658" s="11" t="n">
        <v>0.886273691912397</v>
      </c>
      <c r="M658" s="1" t="n">
        <f aca="false">SUMIF(Relatorio_AK!$A:$A,A658,Relatorio_AK!$B:$B)</f>
        <v>182</v>
      </c>
      <c r="N658" s="1" t="str">
        <f aca="false">IF(M658=K658,"OK","DIF")</f>
        <v>OK</v>
      </c>
      <c r="O658" s="13" t="str">
        <f aca="false">IFERROR(VLOOKUP($A658,Lista_Starke!$A:$E,3,0),"NÃO ESTÁ NA LISTA")</f>
        <v>FORD: Courier 1.3 8V Endura 96/99
FORD: Courier 1.4 16V Zetec 97/02
FORD: Courier 1.6 8V Zetec Rocam 97/...
FORD: Ecosport 2.0 16V 4x4 Duratec 04/12</v>
      </c>
      <c r="P658" s="12" t="str">
        <f aca="false">IFERROR(VLOOKUP($A658,Lista_Starke!$A:$E,2,0),"NÃO ESTÁ NA LISTA")</f>
        <v>SAPATA DE FREIO</v>
      </c>
    </row>
    <row r="659" customFormat="false" ht="15" hidden="false" customHeight="true" outlineLevel="0" collapsed="false">
      <c r="A659" s="10" t="s">
        <v>1465</v>
      </c>
      <c r="B659" s="10" t="str">
        <f aca="false">IFERROR(VLOOKUP(A659,Pedido!$A:$B,2,0),"")</f>
        <v/>
      </c>
      <c r="C659" s="10" t="str">
        <f aca="false">IF(B659="","NÃO COMPRA","COMPRA")</f>
        <v>NÃO COMPRA</v>
      </c>
      <c r="D659" s="1" t="n">
        <f aca="false">IFERROR(VLOOKUP(A659,Pedido!$A:$C,3,0),0)</f>
        <v>0</v>
      </c>
      <c r="E659" s="5" t="n">
        <f aca="false">IFERROR(VLOOKUP(A659,Pedido!$A:$E,5,0),0)</f>
        <v>0</v>
      </c>
      <c r="F659" s="1" t="s">
        <v>8</v>
      </c>
      <c r="G659" s="1" t="s">
        <v>52</v>
      </c>
      <c r="H659" s="1" t="s">
        <v>35</v>
      </c>
      <c r="I659" s="1" t="s">
        <v>53</v>
      </c>
      <c r="J659" s="1" t="s">
        <v>1466</v>
      </c>
      <c r="K659" s="1" t="n">
        <v>182</v>
      </c>
      <c r="L659" s="11" t="n">
        <v>0.886584825893185</v>
      </c>
      <c r="M659" s="1" t="n">
        <f aca="false">SUMIF(Relatorio_AK!$A:$A,A659,Relatorio_AK!$B:$B)</f>
        <v>182</v>
      </c>
      <c r="N659" s="1" t="str">
        <f aca="false">IF(M659=K659,"OK","DIF")</f>
        <v>OK</v>
      </c>
      <c r="O659" s="13" t="str">
        <f aca="false">IFERROR(VLOOKUP($A659,Lista_Starke!$A:$E,3,0),"NÃO ESTÁ NA LISTA")</f>
        <v>FORD: Ranger 2.2 16V TDCi 13/...
FORD: Ranger 2.3 16V Gasolina 13/...
FORD: Ranger 2.5 16V Gasolina 13/...
FORD: Ranger 3.0 Diesel 12/...
FORD: Ranger 3.2 20V TDCi 13/...</v>
      </c>
      <c r="P659" s="12" t="str">
        <f aca="false">IFERROR(VLOOKUP($A659,Lista_Starke!$A:$E,2,0),"NÃO ESTÁ NA LISTA")</f>
        <v>CILINDRO MESTRE DE FREIO</v>
      </c>
    </row>
    <row r="660" customFormat="false" ht="15" hidden="false" customHeight="true" outlineLevel="0" collapsed="false">
      <c r="A660" s="10" t="s">
        <v>1467</v>
      </c>
      <c r="B660" s="10" t="str">
        <f aca="false">IFERROR(VLOOKUP(A660,Pedido!$A:$B,2,0),"")</f>
        <v/>
      </c>
      <c r="C660" s="10" t="str">
        <f aca="false">IF(B660="","NÃO COMPRA","COMPRA")</f>
        <v>NÃO COMPRA</v>
      </c>
      <c r="D660" s="1" t="n">
        <f aca="false">IFERROR(VLOOKUP(A660,Pedido!$A:$C,3,0),0)</f>
        <v>0</v>
      </c>
      <c r="E660" s="5" t="n">
        <f aca="false">IFERROR(VLOOKUP(A660,Pedido!$A:$E,5,0),0)</f>
        <v>0</v>
      </c>
      <c r="F660" s="1" t="s">
        <v>8</v>
      </c>
      <c r="G660" s="1" t="s">
        <v>379</v>
      </c>
      <c r="H660" s="1" t="s">
        <v>32</v>
      </c>
      <c r="I660" s="1" t="s">
        <v>36</v>
      </c>
      <c r="J660" s="1" t="s">
        <v>1468</v>
      </c>
      <c r="K660" s="1" t="n">
        <v>181</v>
      </c>
      <c r="L660" s="11" t="n">
        <v>0.886894250346606</v>
      </c>
      <c r="M660" s="1" t="n">
        <f aca="false">SUMIF(Relatorio_AK!$A:$A,A660,Relatorio_AK!$B:$B)</f>
        <v>181</v>
      </c>
      <c r="N660" s="1" t="str">
        <f aca="false">IF(M660=K660,"OK","DIF")</f>
        <v>OK</v>
      </c>
      <c r="O660" s="12" t="str">
        <f aca="false">IFERROR(VLOOKUP($A660,Lista_Starke!$A:$E,3,0),"NÃO ESTÁ NA LISTA")</f>
        <v>VOLKSWAGEN: Amarok 2.0 16V Diesel 10/...</v>
      </c>
      <c r="P660" s="12" t="str">
        <f aca="false">IFERROR(VLOOKUP($A660,Lista_Starke!$A:$E,2,0),"NÃO ESTÁ NA LISTA")</f>
        <v>CILINDRO MESTRE DE EMBREAGEM</v>
      </c>
    </row>
    <row r="661" customFormat="false" ht="15" hidden="false" customHeight="true" outlineLevel="0" collapsed="false">
      <c r="A661" s="10" t="s">
        <v>1469</v>
      </c>
      <c r="B661" s="10" t="str">
        <f aca="false">IFERROR(VLOOKUP(A661,Pedido!$A:$B,2,0),"")</f>
        <v/>
      </c>
      <c r="C661" s="10" t="str">
        <f aca="false">IF(B661="","NÃO COMPRA","COMPRA")</f>
        <v>NÃO COMPRA</v>
      </c>
      <c r="D661" s="1" t="n">
        <f aca="false">IFERROR(VLOOKUP(A661,Pedido!$A:$C,3,0),0)</f>
        <v>0</v>
      </c>
      <c r="E661" s="5" t="n">
        <f aca="false">IFERROR(VLOOKUP(A661,Pedido!$A:$E,5,0),0)</f>
        <v>0</v>
      </c>
      <c r="F661" s="1" t="s">
        <v>8</v>
      </c>
      <c r="G661" s="1" t="s">
        <v>41</v>
      </c>
      <c r="H661" s="1" t="s">
        <v>35</v>
      </c>
      <c r="I661" s="1" t="s">
        <v>42</v>
      </c>
      <c r="K661" s="1" t="n">
        <v>181</v>
      </c>
      <c r="L661" s="11" t="n">
        <v>0.887203674800028</v>
      </c>
      <c r="M661" s="1" t="n">
        <f aca="false">SUMIF(Relatorio_AK!$A:$A,A661,Relatorio_AK!$B:$B)</f>
        <v>181</v>
      </c>
      <c r="N661" s="1" t="str">
        <f aca="false">IF(M661=K661,"OK","DIF")</f>
        <v>OK</v>
      </c>
      <c r="O661" s="13" t="str">
        <f aca="false">IFERROR(VLOOKUP($A661,Lista_Starke!$A:$E,3,0),"NÃO ESTÁ NA LISTA")</f>
        <v>RENAULT: Logan 1.0 / 1.6 07/13
RENAULT: Sandero 1.0 / 1.6 07/14</v>
      </c>
      <c r="P661" s="12" t="str">
        <f aca="false">IFERROR(VLOOKUP($A661,Lista_Starke!$A:$E,2,0),"NÃO ESTÁ NA LISTA")</f>
        <v>CILINDRO MESTRE DE FREIO</v>
      </c>
    </row>
    <row r="662" customFormat="false" ht="15" hidden="false" customHeight="true" outlineLevel="0" collapsed="false">
      <c r="A662" s="10" t="s">
        <v>1470</v>
      </c>
      <c r="B662" s="10" t="str">
        <f aca="false">IFERROR(VLOOKUP(A662,Pedido!$A:$B,2,0),"")</f>
        <v/>
      </c>
      <c r="C662" s="10" t="str">
        <f aca="false">IF(B662="","NÃO COMPRA","COMPRA")</f>
        <v>NÃO COMPRA</v>
      </c>
      <c r="D662" s="1" t="n">
        <f aca="false">IFERROR(VLOOKUP(A662,Pedido!$A:$C,3,0),0)</f>
        <v>0</v>
      </c>
      <c r="E662" s="5" t="n">
        <f aca="false">IFERROR(VLOOKUP(A662,Pedido!$A:$E,5,0),0)</f>
        <v>0</v>
      </c>
      <c r="F662" s="1" t="s">
        <v>8</v>
      </c>
      <c r="G662" s="1" t="s">
        <v>214</v>
      </c>
      <c r="H662" s="1" t="s">
        <v>35</v>
      </c>
      <c r="I662" s="1" t="s">
        <v>215</v>
      </c>
      <c r="J662" s="1" t="s">
        <v>1471</v>
      </c>
      <c r="K662" s="1" t="n">
        <v>181</v>
      </c>
      <c r="L662" s="11" t="n">
        <v>0.887513099253449</v>
      </c>
      <c r="M662" s="1" t="n">
        <f aca="false">SUMIF(Relatorio_AK!$A:$A,A662,Relatorio_AK!$B:$B)</f>
        <v>181</v>
      </c>
      <c r="N662" s="1" t="str">
        <f aca="false">IF(M662=K662,"OK","DIF")</f>
        <v>OK</v>
      </c>
      <c r="O662" s="12" t="str">
        <f aca="false">IFERROR(VLOOKUP($A662,Lista_Starke!$A:$E,3,0),"NÃO ESTÁ NA LISTA")</f>
        <v>NISSAN: Sentra 2.0 16V 06/10</v>
      </c>
      <c r="P662" s="12" t="str">
        <f aca="false">IFERROR(VLOOKUP($A662,Lista_Starke!$A:$E,2,0),"NÃO ESTÁ NA LISTA")</f>
        <v>CILINDRO MESTRE DE FREIO</v>
      </c>
    </row>
    <row r="663" customFormat="false" ht="15" hidden="false" customHeight="true" outlineLevel="0" collapsed="false">
      <c r="A663" s="10" t="s">
        <v>1472</v>
      </c>
      <c r="B663" s="10" t="str">
        <f aca="false">IFERROR(VLOOKUP(A663,Pedido!$A:$B,2,0),"")</f>
        <v/>
      </c>
      <c r="C663" s="10" t="str">
        <f aca="false">IF(B663="","NÃO COMPRA","COMPRA")</f>
        <v>NÃO COMPRA</v>
      </c>
      <c r="D663" s="1" t="n">
        <f aca="false">IFERROR(VLOOKUP(A663,Pedido!$A:$C,3,0),0)</f>
        <v>0</v>
      </c>
      <c r="E663" s="5" t="n">
        <f aca="false">IFERROR(VLOOKUP(A663,Pedido!$A:$E,5,0),0)</f>
        <v>0</v>
      </c>
      <c r="F663" s="1" t="s">
        <v>8</v>
      </c>
      <c r="G663" s="1" t="s">
        <v>297</v>
      </c>
      <c r="H663" s="1" t="s">
        <v>32</v>
      </c>
      <c r="I663" s="1" t="s">
        <v>255</v>
      </c>
      <c r="J663" s="1" t="s">
        <v>1473</v>
      </c>
      <c r="K663" s="1" t="n">
        <v>181</v>
      </c>
      <c r="L663" s="11" t="n">
        <v>0.887822523706871</v>
      </c>
      <c r="M663" s="1" t="n">
        <f aca="false">SUMIF(Relatorio_AK!$A:$A,A663,Relatorio_AK!$B:$B)</f>
        <v>181</v>
      </c>
      <c r="N663" s="1" t="str">
        <f aca="false">IF(M663=K663,"OK","DIF")</f>
        <v>OK</v>
      </c>
      <c r="O663" s="13" t="str">
        <f aca="false">IFERROR(VLOOKUP($A663,Lista_Starke!$A:$E,3,0),"NÃO ESTÁ NA LISTA")</f>
        <v>MITSUBISHI: Pajero IO 1.8 16V 4G93 99/02
MITSUBISHI: Pajero TR4 2.0 16V 00/…
MITSUBISHI: Pajero TR4 2.0 20V 4G94 04/…</v>
      </c>
      <c r="P663" s="12" t="str">
        <f aca="false">IFERROR(VLOOKUP($A663,Lista_Starke!$A:$E,2,0),"NÃO ESTÁ NA LISTA")</f>
        <v>CILINDRO MESTRE DE EMBREAGEM</v>
      </c>
    </row>
    <row r="664" customFormat="false" ht="15" hidden="false" customHeight="true" outlineLevel="0" collapsed="false">
      <c r="A664" s="10" t="s">
        <v>1474</v>
      </c>
      <c r="B664" s="10" t="str">
        <f aca="false">IFERROR(VLOOKUP(A664,Pedido!$A:$B,2,0),"")</f>
        <v/>
      </c>
      <c r="C664" s="10" t="str">
        <f aca="false">IF(B664="","NÃO COMPRA","COMPRA")</f>
        <v>NÃO COMPRA</v>
      </c>
      <c r="D664" s="1" t="n">
        <f aca="false">IFERROR(VLOOKUP(A664,Pedido!$A:$C,3,0),0)</f>
        <v>0</v>
      </c>
      <c r="E664" s="5" t="n">
        <f aca="false">IFERROR(VLOOKUP(A664,Pedido!$A:$E,5,0),0)</f>
        <v>0</v>
      </c>
      <c r="F664" s="1" t="s">
        <v>8</v>
      </c>
      <c r="G664" s="1" t="s">
        <v>27</v>
      </c>
      <c r="H664" s="1" t="s">
        <v>28</v>
      </c>
      <c r="I664" s="1" t="s">
        <v>29</v>
      </c>
      <c r="K664" s="1" t="n">
        <v>181</v>
      </c>
      <c r="L664" s="11" t="n">
        <v>0.888131948160292</v>
      </c>
      <c r="M664" s="1" t="n">
        <f aca="false">SUMIF(Relatorio_AK!$A:$A,A664,Relatorio_AK!$B:$B)</f>
        <v>181</v>
      </c>
      <c r="N664" s="1" t="str">
        <f aca="false">IF(M664=K664,"OK","DIF")</f>
        <v>OK</v>
      </c>
      <c r="O664" s="12" t="str">
        <f aca="false">IFERROR(VLOOKUP($A664,Lista_Starke!$A:$E,3,0),"NÃO ESTÁ NA LISTA")</f>
        <v>HYUNDAI: HD78 3.0 16V 11/...</v>
      </c>
      <c r="P664" s="12" t="str">
        <f aca="false">IFERROR(VLOOKUP($A664,Lista_Starke!$A:$E,2,0),"NÃO ESTÁ NA LISTA")</f>
        <v>CILINDRO AUXILIAR DE EMBREAGEM</v>
      </c>
    </row>
    <row r="665" customFormat="false" ht="15" hidden="false" customHeight="true" outlineLevel="0" collapsed="false">
      <c r="A665" s="10" t="s">
        <v>1475</v>
      </c>
      <c r="B665" s="10" t="str">
        <f aca="false">IFERROR(VLOOKUP(A665,Pedido!$A:$B,2,0),"")</f>
        <v/>
      </c>
      <c r="C665" s="10" t="str">
        <f aca="false">IF(B665="","NÃO COMPRA","COMPRA")</f>
        <v>NÃO COMPRA</v>
      </c>
      <c r="D665" s="1" t="n">
        <f aca="false">IFERROR(VLOOKUP(A665,Pedido!$A:$C,3,0),0)</f>
        <v>0</v>
      </c>
      <c r="E665" s="5" t="n">
        <f aca="false">IFERROR(VLOOKUP(A665,Pedido!$A:$E,5,0),0)</f>
        <v>0</v>
      </c>
      <c r="F665" s="1" t="s">
        <v>8</v>
      </c>
      <c r="G665" s="1" t="s">
        <v>1336</v>
      </c>
      <c r="H665" s="1" t="s">
        <v>35</v>
      </c>
      <c r="I665" s="1" t="s">
        <v>1182</v>
      </c>
      <c r="J665" s="1" t="s">
        <v>1476</v>
      </c>
      <c r="K665" s="1" t="n">
        <v>181</v>
      </c>
      <c r="L665" s="11" t="n">
        <v>0.888441372613713</v>
      </c>
      <c r="M665" s="1" t="n">
        <f aca="false">SUMIF(Relatorio_AK!$A:$A,A665,Relatorio_AK!$B:$B)</f>
        <v>181</v>
      </c>
      <c r="N665" s="1" t="str">
        <f aca="false">IF(M665=K665,"OK","DIF")</f>
        <v>OK</v>
      </c>
      <c r="O665" s="12" t="str">
        <f aca="false">IFERROR(VLOOKUP($A665,Lista_Starke!$A:$E,3,0),"NÃO ESTÁ NA LISTA")</f>
        <v>KIA: Picanto 1.0 12V 05/11</v>
      </c>
      <c r="P665" s="12" t="str">
        <f aca="false">IFERROR(VLOOKUP($A665,Lista_Starke!$A:$E,2,0),"NÃO ESTÁ NA LISTA")</f>
        <v>CILINDRO MESTRE DE FREIO</v>
      </c>
    </row>
    <row r="666" customFormat="false" ht="15" hidden="false" customHeight="true" outlineLevel="0" collapsed="false">
      <c r="A666" s="10" t="s">
        <v>1477</v>
      </c>
      <c r="B666" s="10" t="str">
        <f aca="false">IFERROR(VLOOKUP(A666,Pedido!$A:$B,2,0),"")</f>
        <v/>
      </c>
      <c r="C666" s="10" t="str">
        <f aca="false">IF(B666="","NÃO COMPRA","COMPRA")</f>
        <v>NÃO COMPRA</v>
      </c>
      <c r="D666" s="1" t="n">
        <f aca="false">IFERROR(VLOOKUP(A666,Pedido!$A:$C,3,0),0)</f>
        <v>0</v>
      </c>
      <c r="E666" s="5" t="n">
        <f aca="false">IFERROR(VLOOKUP(A666,Pedido!$A:$E,5,0),0)</f>
        <v>0</v>
      </c>
      <c r="F666" s="1" t="s">
        <v>8</v>
      </c>
      <c r="G666" s="1" t="s">
        <v>207</v>
      </c>
      <c r="H666" s="1" t="s">
        <v>197</v>
      </c>
      <c r="I666" s="1" t="s">
        <v>42</v>
      </c>
      <c r="K666" s="1" t="n">
        <v>180</v>
      </c>
      <c r="L666" s="11" t="n">
        <v>0.888749087539768</v>
      </c>
      <c r="M666" s="1" t="n">
        <f aca="false">SUMIF(Relatorio_AK!$A:$A,A666,Relatorio_AK!$B:$B)</f>
        <v>180</v>
      </c>
      <c r="N666" s="1" t="str">
        <f aca="false">IF(M666=K666,"OK","DIF")</f>
        <v>OK</v>
      </c>
      <c r="O666" s="12" t="str">
        <f aca="false">IFERROR(VLOOKUP($A666,Lista_Starke!$A:$E,3,0),"NÃO ESTÁ NA LISTA")</f>
        <v>RENAULT: Master 2.3 16V Turbo 13/…</v>
      </c>
      <c r="P666" s="12" t="str">
        <f aca="false">IFERROR(VLOOKUP($A666,Lista_Starke!$A:$E,2,0),"NÃO ESTÁ NA LISTA")</f>
        <v>BOMBA D'ÁGUA</v>
      </c>
    </row>
    <row r="667" customFormat="false" ht="15" hidden="false" customHeight="true" outlineLevel="0" collapsed="false">
      <c r="A667" s="10" t="s">
        <v>1478</v>
      </c>
      <c r="B667" s="10" t="str">
        <f aca="false">IFERROR(VLOOKUP(A667,Pedido!$A:$B,2,0),"")</f>
        <v/>
      </c>
      <c r="C667" s="10" t="str">
        <f aca="false">IF(B667="","NÃO COMPRA","COMPRA")</f>
        <v>NÃO COMPRA</v>
      </c>
      <c r="D667" s="1" t="n">
        <f aca="false">IFERROR(VLOOKUP(A667,Pedido!$A:$C,3,0),0)</f>
        <v>0</v>
      </c>
      <c r="E667" s="5" t="n">
        <f aca="false">IFERROR(VLOOKUP(A667,Pedido!$A:$E,5,0),0)</f>
        <v>0</v>
      </c>
      <c r="F667" s="1" t="s">
        <v>8</v>
      </c>
      <c r="G667" s="1" t="s">
        <v>1479</v>
      </c>
      <c r="H667" s="1" t="s">
        <v>197</v>
      </c>
      <c r="I667" s="1" t="s">
        <v>1480</v>
      </c>
      <c r="J667" s="1" t="s">
        <v>1481</v>
      </c>
      <c r="K667" s="1" t="n">
        <v>180</v>
      </c>
      <c r="L667" s="11" t="n">
        <v>0.889056802465822</v>
      </c>
      <c r="M667" s="1" t="n">
        <f aca="false">SUMIF(Relatorio_AK!$A:$A,A667,Relatorio_AK!$B:$B)</f>
        <v>180</v>
      </c>
      <c r="N667" s="1" t="str">
        <f aca="false">IF(M667=K667,"OK","DIF")</f>
        <v>OK</v>
      </c>
      <c r="O667" s="13" t="str">
        <f aca="false">IFERROR(VLOOKUP($A667,Lista_Starke!$A:$E,3,0),"NÃO ESTÁ NA LISTA")</f>
        <v>SUBARU: Forester 2.0 16V EJ20E 97/…
SUBARU: Impreza 1.6 / 1.8 / 2.0 / 2.2 EJ16E / EJ18E / EJ20E 93/…
SUBARU: Legacy 1.6 / 1.8 / 2.0 / 2.2 EJ16E / EJ18E / EJ20E 90/…</v>
      </c>
      <c r="P667" s="12" t="str">
        <f aca="false">IFERROR(VLOOKUP($A667,Lista_Starke!$A:$E,2,0),"NÃO ESTÁ NA LISTA")</f>
        <v>BOMBA D'ÁGUA</v>
      </c>
    </row>
    <row r="668" customFormat="false" ht="15" hidden="false" customHeight="true" outlineLevel="0" collapsed="false">
      <c r="A668" s="10" t="s">
        <v>1482</v>
      </c>
      <c r="B668" s="10" t="str">
        <f aca="false">IFERROR(VLOOKUP(A668,Pedido!$A:$B,2,0),"")</f>
        <v/>
      </c>
      <c r="C668" s="10" t="str">
        <f aca="false">IF(B668="","NÃO COMPRA","COMPRA")</f>
        <v>NÃO COMPRA</v>
      </c>
      <c r="D668" s="1" t="n">
        <f aca="false">IFERROR(VLOOKUP(A668,Pedido!$A:$C,3,0),0)</f>
        <v>0</v>
      </c>
      <c r="E668" s="5" t="n">
        <f aca="false">IFERROR(VLOOKUP(A668,Pedido!$A:$E,5,0),0)</f>
        <v>0</v>
      </c>
      <c r="F668" s="1" t="s">
        <v>8</v>
      </c>
      <c r="G668" s="1" t="s">
        <v>356</v>
      </c>
      <c r="H668" s="1" t="s">
        <v>845</v>
      </c>
      <c r="I668" s="1" t="s">
        <v>172</v>
      </c>
      <c r="J668" s="1" t="s">
        <v>1483</v>
      </c>
      <c r="K668" s="1" t="n">
        <v>180</v>
      </c>
      <c r="L668" s="11" t="n">
        <v>0.889364517391877</v>
      </c>
      <c r="M668" s="1" t="n">
        <f aca="false">SUMIF(Relatorio_AK!$A:$A,A668,Relatorio_AK!$B:$B)</f>
        <v>180</v>
      </c>
      <c r="N668" s="1" t="str">
        <f aca="false">IF(M668=K668,"OK","DIF")</f>
        <v>OK</v>
      </c>
      <c r="O668" s="13" t="str">
        <f aca="false">IFERROR(VLOOKUP($A668,Lista_Starke!$A:$E,3,0),"NÃO ESTÁ NA LISTA")</f>
        <v>HYUNDAI: Azera 3.0 24V V6 16/...
KIA: Cadenza 3.5 24V V6   G6CU 11/…
KIA: Optima 2.0 16V G4NC 16/20
KIA: Sportage 2.0 16V 10/16</v>
      </c>
      <c r="P668" s="12" t="str">
        <f aca="false">IFERROR(VLOOKUP($A668,Lista_Starke!$A:$E,2,0),"NÃO ESTÁ NA LISTA")</f>
        <v>SAPATA DE FREIO DE MÃO</v>
      </c>
    </row>
    <row r="669" customFormat="false" ht="15" hidden="false" customHeight="true" outlineLevel="0" collapsed="false">
      <c r="A669" s="10" t="s">
        <v>1484</v>
      </c>
      <c r="B669" s="10" t="str">
        <f aca="false">IFERROR(VLOOKUP(A669,Pedido!$A:$B,2,0),"")</f>
        <v/>
      </c>
      <c r="C669" s="10" t="str">
        <f aca="false">IF(B669="","NÃO COMPRA","COMPRA")</f>
        <v>NÃO COMPRA</v>
      </c>
      <c r="D669" s="1" t="n">
        <f aca="false">IFERROR(VLOOKUP(A669,Pedido!$A:$C,3,0),0)</f>
        <v>0</v>
      </c>
      <c r="E669" s="5" t="n">
        <f aca="false">IFERROR(VLOOKUP(A669,Pedido!$A:$E,5,0),0)</f>
        <v>0</v>
      </c>
      <c r="F669" s="1" t="s">
        <v>8</v>
      </c>
      <c r="G669" s="1" t="s">
        <v>829</v>
      </c>
      <c r="H669" s="1" t="s">
        <v>28</v>
      </c>
      <c r="I669" s="1" t="s">
        <v>255</v>
      </c>
      <c r="J669" s="1" t="s">
        <v>1485</v>
      </c>
      <c r="K669" s="1" t="n">
        <v>180</v>
      </c>
      <c r="L669" s="11" t="n">
        <v>0.889672232317931</v>
      </c>
      <c r="M669" s="1" t="n">
        <f aca="false">SUMIF(Relatorio_AK!$A:$A,A669,Relatorio_AK!$B:$B)</f>
        <v>180</v>
      </c>
      <c r="N669" s="1" t="str">
        <f aca="false">IF(M669=K669,"OK","DIF")</f>
        <v>OK</v>
      </c>
      <c r="O669" s="13" t="str">
        <f aca="false">IFERROR(VLOOKUP($A669,Lista_Starke!$A:$E,3,0),"NÃO ESTÁ NA LISTA")</f>
        <v>MITSUBISHI: Pajero IO 1.8 16V 4G93 99/02
MITSUBISHI: Pajero TR4 2.0 16V 00/…
MITSUBISHI: Pajero TR4 2.0 20V 4G94 04/…</v>
      </c>
      <c r="P669" s="12" t="str">
        <f aca="false">IFERROR(VLOOKUP($A669,Lista_Starke!$A:$E,2,0),"NÃO ESTÁ NA LISTA")</f>
        <v>CILINDRO AUXILIAR DE EMBREAGEM</v>
      </c>
    </row>
    <row r="670" customFormat="false" ht="15" hidden="false" customHeight="true" outlineLevel="0" collapsed="false">
      <c r="A670" s="10" t="s">
        <v>1486</v>
      </c>
      <c r="B670" s="10" t="str">
        <f aca="false">IFERROR(VLOOKUP(A670,Pedido!$A:$B,2,0),"")</f>
        <v/>
      </c>
      <c r="C670" s="10" t="str">
        <f aca="false">IF(B670="","NÃO COMPRA","COMPRA")</f>
        <v>NÃO COMPRA</v>
      </c>
      <c r="D670" s="1" t="n">
        <f aca="false">IFERROR(VLOOKUP(A670,Pedido!$A:$C,3,0),0)</f>
        <v>0</v>
      </c>
      <c r="E670" s="5" t="n">
        <f aca="false">IFERROR(VLOOKUP(A670,Pedido!$A:$E,5,0),0)</f>
        <v>0</v>
      </c>
      <c r="F670" s="1" t="s">
        <v>8</v>
      </c>
      <c r="G670" s="1" t="s">
        <v>363</v>
      </c>
      <c r="H670" s="1" t="s">
        <v>32</v>
      </c>
      <c r="I670" s="1" t="s">
        <v>177</v>
      </c>
      <c r="K670" s="1" t="n">
        <v>179</v>
      </c>
      <c r="L670" s="11" t="n">
        <v>0.889978237716619</v>
      </c>
      <c r="M670" s="1" t="n">
        <f aca="false">SUMIF(Relatorio_AK!$A:$A,A670,Relatorio_AK!$B:$B)</f>
        <v>179</v>
      </c>
      <c r="N670" s="1" t="str">
        <f aca="false">IF(M670=K670,"OK","DIF")</f>
        <v>OK</v>
      </c>
      <c r="O670" s="13" t="str">
        <f aca="false">IFERROR(VLOOKUP($A670,Lista_Starke!$A:$E,3,0),"NÃO ESTÁ NA LISTA")</f>
        <v>TOYOTA: Hilux 2.8 3L 92/01
TOYOTA: Hilux 3.0 5L 02/05</v>
      </c>
      <c r="P670" s="12" t="str">
        <f aca="false">IFERROR(VLOOKUP($A670,Lista_Starke!$A:$E,2,0),"NÃO ESTÁ NA LISTA")</f>
        <v>CILINDRO MESTRE DE EMBREAGEM</v>
      </c>
    </row>
    <row r="671" customFormat="false" ht="15" hidden="false" customHeight="true" outlineLevel="0" collapsed="false">
      <c r="A671" s="10" t="s">
        <v>1487</v>
      </c>
      <c r="B671" s="10" t="str">
        <f aca="false">IFERROR(VLOOKUP(A671,Pedido!$A:$B,2,0),"")</f>
        <v/>
      </c>
      <c r="C671" s="10" t="str">
        <f aca="false">IF(B671="","NÃO COMPRA","COMPRA")</f>
        <v>NÃO COMPRA</v>
      </c>
      <c r="D671" s="1" t="n">
        <f aca="false">IFERROR(VLOOKUP(A671,Pedido!$A:$C,3,0),0)</f>
        <v>0</v>
      </c>
      <c r="E671" s="5" t="n">
        <f aca="false">IFERROR(VLOOKUP(A671,Pedido!$A:$E,5,0),0)</f>
        <v>0</v>
      </c>
      <c r="F671" s="1" t="s">
        <v>8</v>
      </c>
      <c r="G671" s="1" t="s">
        <v>52</v>
      </c>
      <c r="H671" s="1" t="s">
        <v>35</v>
      </c>
      <c r="I671" s="1" t="s">
        <v>53</v>
      </c>
      <c r="J671" s="1" t="s">
        <v>1488</v>
      </c>
      <c r="K671" s="1" t="n">
        <v>178</v>
      </c>
      <c r="L671" s="11" t="n">
        <v>0.890282533587939</v>
      </c>
      <c r="M671" s="1" t="n">
        <f aca="false">SUMIF(Relatorio_AK!$A:$A,A671,Relatorio_AK!$B:$B)</f>
        <v>178</v>
      </c>
      <c r="N671" s="1" t="str">
        <f aca="false">IF(M671=K671,"OK","DIF")</f>
        <v>OK</v>
      </c>
      <c r="O671" s="12" t="str">
        <f aca="false">IFERROR(VLOOKUP($A671,Lista_Starke!$A:$E,3,0),"NÃO ESTÁ NA LISTA")</f>
        <v>FORD: Ka 1.0 / 1.3 97/99</v>
      </c>
      <c r="P671" s="12" t="str">
        <f aca="false">IFERROR(VLOOKUP($A671,Lista_Starke!$A:$E,2,0),"NÃO ESTÁ NA LISTA")</f>
        <v>CILINDRO MESTRE DE FREIO</v>
      </c>
    </row>
    <row r="672" customFormat="false" ht="15" hidden="false" customHeight="true" outlineLevel="0" collapsed="false">
      <c r="A672" s="10" t="s">
        <v>1489</v>
      </c>
      <c r="B672" s="10" t="str">
        <f aca="false">IFERROR(VLOOKUP(A672,Pedido!$A:$B,2,0),"")</f>
        <v/>
      </c>
      <c r="C672" s="10" t="str">
        <f aca="false">IF(B672="","NÃO COMPRA","COMPRA")</f>
        <v>NÃO COMPRA</v>
      </c>
      <c r="D672" s="1" t="n">
        <f aca="false">IFERROR(VLOOKUP(A672,Pedido!$A:$C,3,0),0)</f>
        <v>0</v>
      </c>
      <c r="E672" s="5" t="n">
        <f aca="false">IFERROR(VLOOKUP(A672,Pedido!$A:$E,5,0),0)</f>
        <v>0</v>
      </c>
      <c r="F672" s="1" t="s">
        <v>8</v>
      </c>
      <c r="G672" s="1" t="s">
        <v>440</v>
      </c>
      <c r="H672" s="1" t="s">
        <v>845</v>
      </c>
      <c r="I672" s="1" t="s">
        <v>1490</v>
      </c>
      <c r="J672" s="1" t="s">
        <v>1491</v>
      </c>
      <c r="K672" s="1" t="n">
        <v>178</v>
      </c>
      <c r="L672" s="11" t="n">
        <v>0.890586829459259</v>
      </c>
      <c r="M672" s="1" t="n">
        <f aca="false">SUMIF(Relatorio_AK!$A:$A,A672,Relatorio_AK!$B:$B)</f>
        <v>178</v>
      </c>
      <c r="N672" s="1" t="str">
        <f aca="false">IF(M672=K672,"OK","DIF")</f>
        <v>OK</v>
      </c>
      <c r="O672" s="13" t="str">
        <f aca="false">IFERROR(VLOOKUP($A672,Lista_Starke!$A:$E,3,0),"NÃO ESTÁ NA LISTA")</f>
        <v>JEEP: Compass 2.0 16V 11/15
MITSUBISHI: ASX 2.0 16V 10/20
MITSUBISHI: Lancer 2.0 16V 11/19
MITSUBISHI: Outlander 2.0 16V 09/12
MITSUBISHI: Outlander 2.4 16V 08/09
MITSUBISHI: Outlander 3.0 V6 24V 07/12</v>
      </c>
      <c r="P672" s="12" t="str">
        <f aca="false">IFERROR(VLOOKUP($A672,Lista_Starke!$A:$E,2,0),"NÃO ESTÁ NA LISTA")</f>
        <v>SAPATA DE FREIO DE MÃO</v>
      </c>
    </row>
    <row r="673" customFormat="false" ht="15" hidden="false" customHeight="true" outlineLevel="0" collapsed="false">
      <c r="A673" s="10" t="s">
        <v>1492</v>
      </c>
      <c r="B673" s="10" t="str">
        <f aca="false">IFERROR(VLOOKUP(A673,Pedido!$A:$B,2,0),"")</f>
        <v/>
      </c>
      <c r="C673" s="10" t="str">
        <f aca="false">IF(B673="","NÃO COMPRA","COMPRA")</f>
        <v>NÃO COMPRA</v>
      </c>
      <c r="D673" s="1" t="n">
        <f aca="false">IFERROR(VLOOKUP(A673,Pedido!$A:$C,3,0),0)</f>
        <v>0</v>
      </c>
      <c r="E673" s="5" t="n">
        <f aca="false">IFERROR(VLOOKUP(A673,Pedido!$A:$E,5,0),0)</f>
        <v>0</v>
      </c>
      <c r="F673" s="1" t="s">
        <v>8</v>
      </c>
      <c r="G673" s="1" t="s">
        <v>356</v>
      </c>
      <c r="H673" s="1" t="s">
        <v>845</v>
      </c>
      <c r="I673" s="1" t="s">
        <v>172</v>
      </c>
      <c r="J673" s="1" t="s">
        <v>1493</v>
      </c>
      <c r="K673" s="1" t="n">
        <v>178</v>
      </c>
      <c r="L673" s="11" t="n">
        <v>0.89089112533058</v>
      </c>
      <c r="M673" s="1" t="n">
        <f aca="false">SUMIF(Relatorio_AK!$A:$A,A673,Relatorio_AK!$B:$B)</f>
        <v>178</v>
      </c>
      <c r="N673" s="1" t="str">
        <f aca="false">IF(M673=K673,"OK","DIF")</f>
        <v>OK</v>
      </c>
      <c r="O673" s="13" t="str">
        <f aca="false">IFERROR(VLOOKUP($A673,Lista_Starke!$A:$E,3,0),"NÃO ESTÁ NA LISTA")</f>
        <v>HYUNDAI: Tucson 2.0 16V 04/11
KIA: Sportage 2.0 16V 05/10
KIA: Tucson 2.7 V6 04/11</v>
      </c>
      <c r="P673" s="12" t="str">
        <f aca="false">IFERROR(VLOOKUP($A673,Lista_Starke!$A:$E,2,0),"NÃO ESTÁ NA LISTA")</f>
        <v>SAPATA DE FREIO DE MÃO</v>
      </c>
    </row>
    <row r="674" customFormat="false" ht="15" hidden="false" customHeight="true" outlineLevel="0" collapsed="false">
      <c r="A674" s="10" t="s">
        <v>1494</v>
      </c>
      <c r="B674" s="10" t="str">
        <f aca="false">IFERROR(VLOOKUP(A674,Pedido!$A:$B,2,0),"")</f>
        <v/>
      </c>
      <c r="C674" s="10" t="str">
        <f aca="false">IF(B674="","NÃO COMPRA","COMPRA")</f>
        <v>NÃO COMPRA</v>
      </c>
      <c r="D674" s="1" t="n">
        <f aca="false">IFERROR(VLOOKUP(A674,Pedido!$A:$C,3,0),0)</f>
        <v>0</v>
      </c>
      <c r="E674" s="5" t="n">
        <f aca="false">IFERROR(VLOOKUP(A674,Pedido!$A:$E,5,0),0)</f>
        <v>0</v>
      </c>
      <c r="F674" s="1" t="s">
        <v>8</v>
      </c>
      <c r="G674" s="1" t="s">
        <v>1278</v>
      </c>
      <c r="H674" s="1" t="s">
        <v>197</v>
      </c>
      <c r="I674" s="1" t="s">
        <v>1431</v>
      </c>
      <c r="K674" s="1" t="n">
        <v>178</v>
      </c>
      <c r="L674" s="11" t="n">
        <v>0.8911954212019</v>
      </c>
      <c r="M674" s="1" t="n">
        <f aca="false">SUMIF(Relatorio_AK!$A:$A,A674,Relatorio_AK!$B:$B)</f>
        <v>178</v>
      </c>
      <c r="N674" s="1" t="str">
        <f aca="false">IF(M674=K674,"OK","DIF")</f>
        <v>OK</v>
      </c>
      <c r="O674" s="13" t="str">
        <f aca="false">IFERROR(VLOOKUP($A674,Lista_Starke!$A:$E,3,0),"NÃO ESTÁ NA LISTA")</f>
        <v>VOLVO: S60 3.0 6cil Turbo AWD B6304 T5 14/...
VOLVO: S60 T6 AWD 3.0 6cil B6304 T4 10/15
VOLVO: S80 3.2 6cil AWD B6324 S / B6324 S5 06/12
VOLVO: S80 T6 AWD 3.0 6cil B6304 T2 07/10
VOLVO: S80 T6 AWD 3.0 6cil B6304 T4 10/16
VOLVO: XC60 AWD 3.2 6 cil B6324S/B6324S5 09/15
VOLVO: XC60 T6 AWD 3.0 6 cil B6304T2/B6304T3/B6304T4 08/15
VOLVO: XC60 T6 AWD 3.0 6 cil B6304T4 10/17
VOLVO: XC70 T6 AWD 3.0 6cil B6304 T2 / B6304 T4 08/...</v>
      </c>
      <c r="P674" s="12" t="str">
        <f aca="false">IFERROR(VLOOKUP($A674,Lista_Starke!$A:$E,2,0),"NÃO ESTÁ NA LISTA")</f>
        <v>BOMBA D'ÁGUA</v>
      </c>
    </row>
    <row r="675" customFormat="false" ht="15" hidden="false" customHeight="true" outlineLevel="0" collapsed="false">
      <c r="A675" s="10" t="s">
        <v>1495</v>
      </c>
      <c r="B675" s="10" t="str">
        <f aca="false">IFERROR(VLOOKUP(A675,Pedido!$A:$B,2,0),"")</f>
        <v/>
      </c>
      <c r="C675" s="10" t="str">
        <f aca="false">IF(B675="","NÃO COMPRA","COMPRA")</f>
        <v>NÃO COMPRA</v>
      </c>
      <c r="D675" s="1" t="n">
        <f aca="false">IFERROR(VLOOKUP(A675,Pedido!$A:$C,3,0),0)</f>
        <v>0</v>
      </c>
      <c r="E675" s="5" t="n">
        <f aca="false">IFERROR(VLOOKUP(A675,Pedido!$A:$E,5,0),0)</f>
        <v>0</v>
      </c>
      <c r="F675" s="1" t="s">
        <v>8</v>
      </c>
      <c r="G675" s="1" t="s">
        <v>720</v>
      </c>
      <c r="H675" s="1" t="s">
        <v>197</v>
      </c>
      <c r="I675" s="1" t="s">
        <v>1496</v>
      </c>
      <c r="J675" s="1" t="s">
        <v>1497</v>
      </c>
      <c r="K675" s="1" t="n">
        <v>178</v>
      </c>
      <c r="L675" s="11" t="n">
        <v>0.891499717073221</v>
      </c>
      <c r="M675" s="1" t="n">
        <f aca="false">SUMIF(Relatorio_AK!$A:$A,A675,Relatorio_AK!$B:$B)</f>
        <v>178</v>
      </c>
      <c r="N675" s="1" t="str">
        <f aca="false">IF(M675=K675,"OK","DIF")</f>
        <v>OK</v>
      </c>
      <c r="O675" s="13" t="str">
        <f aca="false">IFERROR(VLOOKUP($A675,Lista_Starke!$A:$E,3,0),"NÃO ESTÁ NA LISTA")</f>
        <v>MITSUBISHI: Colt 2.0 16V / 2.4 16V 02/08
MITSUBISHI: Pajero IO 1.8 16V 4G93 99/02
MITSUBISHI: Pajero TR4 2.0 16V 00/…
MITSUBISHI: Pajero TR4 2.0 20V 4G94 04/…
VOLVO: S40 SW 1.8 98/04
VOLVO: V40 SW 1.8 98/04</v>
      </c>
      <c r="P675" s="12" t="str">
        <f aca="false">IFERROR(VLOOKUP($A675,Lista_Starke!$A:$E,2,0),"NÃO ESTÁ NA LISTA")</f>
        <v>BOMBA D'ÁGUA</v>
      </c>
    </row>
    <row r="676" customFormat="false" ht="15" hidden="false" customHeight="true" outlineLevel="0" collapsed="false">
      <c r="A676" s="10" t="s">
        <v>1498</v>
      </c>
      <c r="B676" s="10" t="str">
        <f aca="false">IFERROR(VLOOKUP(A676,Pedido!$A:$B,2,0),"")</f>
        <v/>
      </c>
      <c r="C676" s="10" t="str">
        <f aca="false">IF(B676="","NÃO COMPRA","COMPRA")</f>
        <v>NÃO COMPRA</v>
      </c>
      <c r="D676" s="1" t="n">
        <f aca="false">IFERROR(VLOOKUP(A676,Pedido!$A:$C,3,0),0)</f>
        <v>0</v>
      </c>
      <c r="E676" s="5" t="n">
        <f aca="false">IFERROR(VLOOKUP(A676,Pedido!$A:$E,5,0),0)</f>
        <v>0</v>
      </c>
      <c r="F676" s="1" t="s">
        <v>8</v>
      </c>
      <c r="G676" s="1" t="s">
        <v>1499</v>
      </c>
      <c r="H676" s="1" t="s">
        <v>35</v>
      </c>
      <c r="I676" s="1" t="s">
        <v>373</v>
      </c>
      <c r="J676" s="1" t="s">
        <v>1500</v>
      </c>
      <c r="K676" s="1" t="n">
        <v>177</v>
      </c>
      <c r="L676" s="11" t="n">
        <v>0.891802303417174</v>
      </c>
      <c r="M676" s="1" t="n">
        <f aca="false">SUMIF(Relatorio_AK!$A:$A,A676,Relatorio_AK!$B:$B)</f>
        <v>177</v>
      </c>
      <c r="N676" s="1" t="str">
        <f aca="false">IF(M676=K676,"OK","DIF")</f>
        <v>OK</v>
      </c>
      <c r="O676" s="13" t="str">
        <f aca="false">IFERROR(VLOOKUP($A676,Lista_Starke!$A:$E,3,0),"NÃO ESTÁ NA LISTA")</f>
        <v>MERCEDES-BENZ: L 608 D  73/87
MERCEDES-BENZ: L 708 E  87/90</v>
      </c>
      <c r="P676" s="12" t="str">
        <f aca="false">IFERROR(VLOOKUP($A676,Lista_Starke!$A:$E,2,0),"NÃO ESTÁ NA LISTA")</f>
        <v>CILINDRO MESTRE DE FREIO</v>
      </c>
    </row>
    <row r="677" customFormat="false" ht="15" hidden="false" customHeight="true" outlineLevel="0" collapsed="false">
      <c r="A677" s="10" t="s">
        <v>1501</v>
      </c>
      <c r="B677" s="10" t="str">
        <f aca="false">IFERROR(VLOOKUP(A677,Pedido!$A:$B,2,0),"")</f>
        <v/>
      </c>
      <c r="C677" s="10" t="str">
        <f aca="false">IF(B677="","NÃO COMPRA","COMPRA")</f>
        <v>NÃO COMPRA</v>
      </c>
      <c r="D677" s="1" t="n">
        <f aca="false">IFERROR(VLOOKUP(A677,Pedido!$A:$C,3,0),0)</f>
        <v>0</v>
      </c>
      <c r="E677" s="5" t="n">
        <f aca="false">IFERROR(VLOOKUP(A677,Pedido!$A:$E,5,0),0)</f>
        <v>0</v>
      </c>
      <c r="F677" s="1" t="s">
        <v>8</v>
      </c>
      <c r="G677" s="1" t="s">
        <v>488</v>
      </c>
      <c r="H677" s="1" t="s">
        <v>906</v>
      </c>
      <c r="I677" s="1" t="s">
        <v>215</v>
      </c>
      <c r="J677" s="1" t="s">
        <v>1502</v>
      </c>
      <c r="K677" s="1" t="n">
        <v>176</v>
      </c>
      <c r="L677" s="11" t="n">
        <v>0.892103180233761</v>
      </c>
      <c r="M677" s="1" t="n">
        <f aca="false">SUMIF(Relatorio_AK!$A:$A,A677,Relatorio_AK!$B:$B)</f>
        <v>176</v>
      </c>
      <c r="N677" s="1" t="str">
        <f aca="false">IF(M677=K677,"OK","DIF")</f>
        <v>OK</v>
      </c>
      <c r="O677" s="12" t="str">
        <f aca="false">IFERROR(VLOOKUP($A677,Lista_Starke!$A:$E,3,0),"NÃO ESTÁ NA LISTA")</f>
        <v>NISSAN: Frontier 2.3 16V Diesel YS23DDTT 15/22</v>
      </c>
      <c r="P677" s="12" t="str">
        <f aca="false">IFERROR(VLOOKUP($A677,Lista_Starke!$A:$E,2,0),"NÃO ESTÁ NA LISTA")</f>
        <v>BOMBA D'ÁGUA AUXILIAR</v>
      </c>
    </row>
    <row r="678" customFormat="false" ht="15" hidden="false" customHeight="true" outlineLevel="0" collapsed="false">
      <c r="A678" s="10" t="s">
        <v>1503</v>
      </c>
      <c r="B678" s="10" t="str">
        <f aca="false">IFERROR(VLOOKUP(A678,Pedido!$A:$B,2,0),"")</f>
        <v/>
      </c>
      <c r="C678" s="10" t="str">
        <f aca="false">IF(B678="","NÃO COMPRA","COMPRA")</f>
        <v>NÃO COMPRA</v>
      </c>
      <c r="D678" s="1" t="n">
        <f aca="false">IFERROR(VLOOKUP(A678,Pedido!$A:$C,3,0),0)</f>
        <v>0</v>
      </c>
      <c r="E678" s="5" t="n">
        <f aca="false">IFERROR(VLOOKUP(A678,Pedido!$A:$E,5,0),0)</f>
        <v>0</v>
      </c>
      <c r="F678" s="1" t="s">
        <v>8</v>
      </c>
      <c r="G678" s="1" t="s">
        <v>602</v>
      </c>
      <c r="H678" s="1" t="s">
        <v>35</v>
      </c>
      <c r="I678" s="1" t="s">
        <v>172</v>
      </c>
      <c r="J678" s="1" t="s">
        <v>1504</v>
      </c>
      <c r="K678" s="1" t="n">
        <v>175</v>
      </c>
      <c r="L678" s="11" t="n">
        <v>0.89240234752298</v>
      </c>
      <c r="M678" s="1" t="n">
        <f aca="false">SUMIF(Relatorio_AK!$A:$A,A678,Relatorio_AK!$B:$B)</f>
        <v>175</v>
      </c>
      <c r="N678" s="1" t="str">
        <f aca="false">IF(M678=K678,"OK","DIF")</f>
        <v>OK</v>
      </c>
      <c r="O678" s="13" t="str">
        <f aca="false">IFERROR(VLOOKUP($A678,Lista_Starke!$A:$E,3,0),"NÃO ESTÁ NA LISTA")</f>
        <v>HYUNDAI: iX35 2.0 16V 09/21
KIA: Sportage 2.0 16V 11/13</v>
      </c>
      <c r="P678" s="12" t="str">
        <f aca="false">IFERROR(VLOOKUP($A678,Lista_Starke!$A:$E,2,0),"NÃO ESTÁ NA LISTA")</f>
        <v>CILINDRO MESTRE DE FREIO</v>
      </c>
    </row>
    <row r="679" customFormat="false" ht="15" hidden="false" customHeight="true" outlineLevel="0" collapsed="false">
      <c r="A679" s="10" t="s">
        <v>1505</v>
      </c>
      <c r="B679" s="10" t="str">
        <f aca="false">IFERROR(VLOOKUP(A679,Pedido!$A:$B,2,0),"")</f>
        <v/>
      </c>
      <c r="C679" s="10" t="str">
        <f aca="false">IF(B679="","NÃO COMPRA","COMPRA")</f>
        <v>NÃO COMPRA</v>
      </c>
      <c r="D679" s="1" t="n">
        <f aca="false">IFERROR(VLOOKUP(A679,Pedido!$A:$C,3,0),0)</f>
        <v>0</v>
      </c>
      <c r="E679" s="5" t="n">
        <f aca="false">IFERROR(VLOOKUP(A679,Pedido!$A:$E,5,0),0)</f>
        <v>0</v>
      </c>
      <c r="F679" s="1" t="s">
        <v>8</v>
      </c>
      <c r="G679" s="1" t="s">
        <v>937</v>
      </c>
      <c r="H679" s="1" t="s">
        <v>790</v>
      </c>
      <c r="I679" s="1" t="s">
        <v>684</v>
      </c>
      <c r="J679" s="1" t="s">
        <v>1506</v>
      </c>
      <c r="K679" s="1" t="n">
        <v>175</v>
      </c>
      <c r="L679" s="11" t="n">
        <v>0.8927015148122</v>
      </c>
      <c r="M679" s="1" t="n">
        <f aca="false">SUMIF(Relatorio_AK!$A:$A,A679,Relatorio_AK!$B:$B)</f>
        <v>175</v>
      </c>
      <c r="N679" s="1" t="str">
        <f aca="false">IF(M679=K679,"OK","DIF")</f>
        <v>OK</v>
      </c>
      <c r="O679" s="13" t="str">
        <f aca="false">IFERROR(VLOOKUP($A679,Lista_Starke!$A:$E,3,0),"NÃO ESTÁ NA LISTA")</f>
        <v>LAND ROVER: Discovery IV 3.0 TD 4x4 306DT Diesel 09/18
LAND ROVER: Discovery V 3.0 4x4 306DT Diesel 16/...
LAND ROVER: Range Rover 3.0 TDV6 4x4 306DT Diesel 12/...
LAND ROVER: Velar 3.0 SDV6 4x4 306DT Diesel 17/...</v>
      </c>
      <c r="P679" s="12" t="str">
        <f aca="false">IFERROR(VLOOKUP($A679,Lista_Starke!$A:$E,2,0),"NÃO ESTÁ NA LISTA")</f>
        <v>BOMBA D'ÁGUA ELÉTRICA</v>
      </c>
    </row>
    <row r="680" customFormat="false" ht="15" hidden="false" customHeight="true" outlineLevel="0" collapsed="false">
      <c r="A680" s="10" t="s">
        <v>1507</v>
      </c>
      <c r="B680" s="10" t="str">
        <f aca="false">IFERROR(VLOOKUP(A680,Pedido!$A:$B,2,0),"")</f>
        <v/>
      </c>
      <c r="C680" s="10" t="str">
        <f aca="false">IF(B680="","NÃO COMPRA","COMPRA")</f>
        <v>NÃO COMPRA</v>
      </c>
      <c r="D680" s="1" t="n">
        <f aca="false">IFERROR(VLOOKUP(A680,Pedido!$A:$C,3,0),0)</f>
        <v>0</v>
      </c>
      <c r="E680" s="5" t="n">
        <f aca="false">IFERROR(VLOOKUP(A680,Pedido!$A:$E,5,0),0)</f>
        <v>0</v>
      </c>
      <c r="F680" s="1" t="s">
        <v>8</v>
      </c>
      <c r="G680" s="1" t="s">
        <v>1508</v>
      </c>
      <c r="H680" s="1" t="s">
        <v>35</v>
      </c>
      <c r="I680" s="1" t="s">
        <v>1509</v>
      </c>
      <c r="J680" s="1" t="s">
        <v>1510</v>
      </c>
      <c r="K680" s="1" t="n">
        <v>174</v>
      </c>
      <c r="L680" s="11" t="n">
        <v>0.892998972574052</v>
      </c>
      <c r="M680" s="1" t="n">
        <f aca="false">SUMIF(Relatorio_AK!$A:$A,A680,Relatorio_AK!$B:$B)</f>
        <v>174</v>
      </c>
      <c r="N680" s="1" t="str">
        <f aca="false">IF(M680=K680,"OK","DIF")</f>
        <v>OK</v>
      </c>
      <c r="O680" s="13" t="str">
        <f aca="false">IFERROR(VLOOKUP($A680,Lista_Starke!$A:$E,3,0),"NÃO ESTÁ NA LISTA")</f>
        <v>DODGE: Ram 2500 5.7 8 cil Diesel 12/18
DODGE: Ram 2500 6.7 6 cil Diesel 12/18</v>
      </c>
      <c r="P680" s="12" t="str">
        <f aca="false">IFERROR(VLOOKUP($A680,Lista_Starke!$A:$E,2,0),"NÃO ESTÁ NA LISTA")</f>
        <v>CILINDRO MESTRE DE FREIO</v>
      </c>
    </row>
    <row r="681" customFormat="false" ht="15" hidden="false" customHeight="true" outlineLevel="0" collapsed="false">
      <c r="A681" s="10" t="s">
        <v>1511</v>
      </c>
      <c r="B681" s="10" t="str">
        <f aca="false">IFERROR(VLOOKUP(A681,Pedido!$A:$B,2,0),"")</f>
        <v/>
      </c>
      <c r="C681" s="10" t="str">
        <f aca="false">IF(B681="","NÃO COMPRA","COMPRA")</f>
        <v>NÃO COMPRA</v>
      </c>
      <c r="D681" s="1" t="n">
        <f aca="false">IFERROR(VLOOKUP(A681,Pedido!$A:$C,3,0),0)</f>
        <v>0</v>
      </c>
      <c r="E681" s="5" t="n">
        <f aca="false">IFERROR(VLOOKUP(A681,Pedido!$A:$E,5,0),0)</f>
        <v>0</v>
      </c>
      <c r="F681" s="1" t="s">
        <v>8</v>
      </c>
      <c r="G681" s="1" t="s">
        <v>1512</v>
      </c>
      <c r="H681" s="1" t="s">
        <v>235</v>
      </c>
      <c r="I681" s="1" t="s">
        <v>57</v>
      </c>
      <c r="J681" s="1" t="s">
        <v>1513</v>
      </c>
      <c r="K681" s="1" t="n">
        <v>174</v>
      </c>
      <c r="L681" s="11" t="n">
        <v>0.893296430335905</v>
      </c>
      <c r="M681" s="1" t="n">
        <f aca="false">SUMIF(Relatorio_AK!$A:$A,A681,Relatorio_AK!$B:$B)</f>
        <v>174</v>
      </c>
      <c r="N681" s="1" t="str">
        <f aca="false">IF(M681=K681,"OK","DIF")</f>
        <v>OK</v>
      </c>
      <c r="O681" s="13" t="str">
        <f aca="false">IFERROR(VLOOKUP($A681,Lista_Starke!$A:$E,3,0),"NÃO ESTÁ NA LISTA")</f>
        <v>GM: Montana 1.2 12V 3 cil Turbo 23/...
GM: Onix 1.0 12V 3 cil Aspirado 20/...
GM: Onix 1.0 12V 3 cil Turbo 20/...
GM: Onix Plus 1.0 12V 3 cil Aspirado 20/...
GM: Onix Plus 1.0.12V 3 cil Turbo 20/...
GM: Tracker 1.0 12V 3 cil Turbo 20/...
GM: Tracker 1.2 12V 3 cil Turbo 20/...</v>
      </c>
      <c r="P681" s="12" t="str">
        <f aca="false">IFERROR(VLOOKUP($A681,Lista_Starke!$A:$E,2,0),"NÃO ESTÁ NA LISTA")</f>
        <v>RESFRIADOR DE ÓLEO MOTOR</v>
      </c>
    </row>
    <row r="682" customFormat="false" ht="15" hidden="false" customHeight="true" outlineLevel="0" collapsed="false">
      <c r="A682" s="10" t="s">
        <v>1514</v>
      </c>
      <c r="B682" s="10" t="str">
        <f aca="false">IFERROR(VLOOKUP(A682,Pedido!$A:$B,2,0),"")</f>
        <v/>
      </c>
      <c r="C682" s="10" t="str">
        <f aca="false">IF(B682="","NÃO COMPRA","COMPRA")</f>
        <v>NÃO COMPRA</v>
      </c>
      <c r="D682" s="1" t="n">
        <f aca="false">IFERROR(VLOOKUP(A682,Pedido!$A:$C,3,0),0)</f>
        <v>0</v>
      </c>
      <c r="E682" s="5" t="n">
        <f aca="false">IFERROR(VLOOKUP(A682,Pedido!$A:$E,5,0),0)</f>
        <v>0</v>
      </c>
      <c r="F682" s="1" t="s">
        <v>8</v>
      </c>
      <c r="G682" s="1" t="s">
        <v>695</v>
      </c>
      <c r="H682" s="1" t="s">
        <v>197</v>
      </c>
      <c r="I682" s="1" t="s">
        <v>295</v>
      </c>
      <c r="K682" s="1" t="n">
        <v>173</v>
      </c>
      <c r="L682" s="11" t="n">
        <v>0.89359217857039</v>
      </c>
      <c r="M682" s="1" t="n">
        <f aca="false">SUMIF(Relatorio_AK!$A:$A,A682,Relatorio_AK!$B:$B)</f>
        <v>173</v>
      </c>
      <c r="N682" s="1" t="str">
        <f aca="false">IF(M682=K682,"OK","DIF")</f>
        <v>OK</v>
      </c>
      <c r="O682" s="12" t="str">
        <f aca="false">IFERROR(VLOOKUP($A682,Lista_Starke!$A:$E,3,0),"NÃO ESTÁ NA LISTA")</f>
        <v>CHERY: Celer 1.5 16V   SQR477F 13/…</v>
      </c>
      <c r="P682" s="12" t="str">
        <f aca="false">IFERROR(VLOOKUP($A682,Lista_Starke!$A:$E,2,0),"NÃO ESTÁ NA LISTA")</f>
        <v>BOMBA D'ÁGUA</v>
      </c>
    </row>
    <row r="683" customFormat="false" ht="15" hidden="false" customHeight="true" outlineLevel="0" collapsed="false">
      <c r="A683" s="10" t="s">
        <v>1515</v>
      </c>
      <c r="B683" s="10" t="str">
        <f aca="false">IFERROR(VLOOKUP(A683,Pedido!$A:$B,2,0),"")</f>
        <v/>
      </c>
      <c r="C683" s="10" t="str">
        <f aca="false">IF(B683="","NÃO COMPRA","COMPRA")</f>
        <v>NÃO COMPRA</v>
      </c>
      <c r="D683" s="1" t="n">
        <f aca="false">IFERROR(VLOOKUP(A683,Pedido!$A:$C,3,0),0)</f>
        <v>0</v>
      </c>
      <c r="E683" s="5" t="n">
        <f aca="false">IFERROR(VLOOKUP(A683,Pedido!$A:$E,5,0),0)</f>
        <v>0</v>
      </c>
      <c r="F683" s="1" t="s">
        <v>8</v>
      </c>
      <c r="G683" s="1" t="s">
        <v>207</v>
      </c>
      <c r="H683" s="1" t="s">
        <v>197</v>
      </c>
      <c r="I683" s="1" t="s">
        <v>42</v>
      </c>
      <c r="J683" s="1" t="s">
        <v>1516</v>
      </c>
      <c r="K683" s="1" t="n">
        <v>173</v>
      </c>
      <c r="L683" s="11" t="n">
        <v>0.893887926804876</v>
      </c>
      <c r="M683" s="1" t="n">
        <f aca="false">SUMIF(Relatorio_AK!$A:$A,A683,Relatorio_AK!$B:$B)</f>
        <v>173</v>
      </c>
      <c r="N683" s="1" t="str">
        <f aca="false">IF(M683=K683,"OK","DIF")</f>
        <v>OK</v>
      </c>
      <c r="O683" s="13" t="str">
        <f aca="false">IFERROR(VLOOKUP($A683,Lista_Starke!$A:$E,3,0),"NÃO ESTÁ NA LISTA")</f>
        <v>RENAULT: Clio 1.0 8V + ar condicionado 01/…
RENAULT: Kangoo 1.0 8V + ar condicionado 01/…
RENAULT: Twingo 1.2 8V + ar condicionado 96/…</v>
      </c>
      <c r="P683" s="12" t="str">
        <f aca="false">IFERROR(VLOOKUP($A683,Lista_Starke!$A:$E,2,0),"NÃO ESTÁ NA LISTA")</f>
        <v>BOMBA D'ÁGUA</v>
      </c>
    </row>
    <row r="684" customFormat="false" ht="15" hidden="false" customHeight="true" outlineLevel="0" collapsed="false">
      <c r="A684" s="10" t="s">
        <v>1517</v>
      </c>
      <c r="B684" s="10" t="str">
        <f aca="false">IFERROR(VLOOKUP(A684,Pedido!$A:$B,2,0),"")</f>
        <v/>
      </c>
      <c r="C684" s="10" t="str">
        <f aca="false">IF(B684="","NÃO COMPRA","COMPRA")</f>
        <v>NÃO COMPRA</v>
      </c>
      <c r="D684" s="1" t="n">
        <f aca="false">IFERROR(VLOOKUP(A684,Pedido!$A:$C,3,0),0)</f>
        <v>0</v>
      </c>
      <c r="E684" s="5" t="n">
        <f aca="false">IFERROR(VLOOKUP(A684,Pedido!$A:$E,5,0),0)</f>
        <v>0</v>
      </c>
      <c r="F684" s="1" t="s">
        <v>8</v>
      </c>
      <c r="G684" s="1" t="s">
        <v>193</v>
      </c>
      <c r="H684" s="1" t="s">
        <v>32</v>
      </c>
      <c r="I684" s="1" t="s">
        <v>53</v>
      </c>
      <c r="J684" s="1" t="s">
        <v>1518</v>
      </c>
      <c r="K684" s="1" t="n">
        <v>173</v>
      </c>
      <c r="L684" s="11" t="n">
        <v>0.894183675039362</v>
      </c>
      <c r="M684" s="1" t="n">
        <f aca="false">SUMIF(Relatorio_AK!$A:$A,A684,Relatorio_AK!$B:$B)</f>
        <v>173</v>
      </c>
      <c r="N684" s="1" t="str">
        <f aca="false">IF(M684=K684,"OK","DIF")</f>
        <v>OK</v>
      </c>
      <c r="O684" s="13" t="str">
        <f aca="false">IFERROR(VLOOKUP($A684,Lista_Starke!$A:$E,3,0),"NÃO ESTÁ NA LISTA")</f>
        <v>F350  99/...
FORD: F250  99/...
FORD: F4000  99/...</v>
      </c>
      <c r="P684" s="12" t="str">
        <f aca="false">IFERROR(VLOOKUP($A684,Lista_Starke!$A:$E,2,0),"NÃO ESTÁ NA LISTA")</f>
        <v>CILINDRO MESTRE DE EMBREAGEM</v>
      </c>
    </row>
    <row r="685" customFormat="false" ht="15" hidden="false" customHeight="true" outlineLevel="0" collapsed="false">
      <c r="A685" s="10" t="s">
        <v>1519</v>
      </c>
      <c r="B685" s="10" t="str">
        <f aca="false">IFERROR(VLOOKUP(A685,Pedido!$A:$B,2,0),"")</f>
        <v/>
      </c>
      <c r="C685" s="10" t="str">
        <f aca="false">IF(B685="","NÃO COMPRA","COMPRA")</f>
        <v>NÃO COMPRA</v>
      </c>
      <c r="D685" s="1" t="n">
        <f aca="false">IFERROR(VLOOKUP(A685,Pedido!$A:$C,3,0),0)</f>
        <v>0</v>
      </c>
      <c r="E685" s="5" t="n">
        <f aca="false">IFERROR(VLOOKUP(A685,Pedido!$A:$E,5,0),0)</f>
        <v>0</v>
      </c>
      <c r="F685" s="1" t="s">
        <v>8</v>
      </c>
      <c r="G685" s="1" t="s">
        <v>1520</v>
      </c>
      <c r="H685" s="1" t="s">
        <v>126</v>
      </c>
      <c r="I685" s="1" t="s">
        <v>215</v>
      </c>
      <c r="J685" s="1" t="s">
        <v>1521</v>
      </c>
      <c r="K685" s="1" t="n">
        <v>173</v>
      </c>
      <c r="L685" s="11" t="n">
        <v>0.894479423273847</v>
      </c>
      <c r="M685" s="1" t="n">
        <f aca="false">SUMIF(Relatorio_AK!$A:$A,A685,Relatorio_AK!$B:$B)</f>
        <v>173</v>
      </c>
      <c r="N685" s="1" t="str">
        <f aca="false">IF(M685=K685,"OK","DIF")</f>
        <v>OK</v>
      </c>
      <c r="O685" s="12" t="str">
        <f aca="false">IFERROR(VLOOKUP($A685,Lista_Starke!$A:$E,3,0),"NÃO ESTÁ NA LISTA")</f>
        <v>NISSAN: Sentra 2.0 16V 15/20</v>
      </c>
      <c r="P685" s="12" t="str">
        <f aca="false">IFERROR(VLOOKUP($A685,Lista_Starke!$A:$E,2,0),"NÃO ESTÁ NA LISTA")</f>
        <v>RESFRIADOR DE ÓLEO CÂMBIO</v>
      </c>
    </row>
    <row r="686" customFormat="false" ht="15" hidden="false" customHeight="true" outlineLevel="0" collapsed="false">
      <c r="A686" s="10" t="s">
        <v>1522</v>
      </c>
      <c r="B686" s="10" t="str">
        <f aca="false">IFERROR(VLOOKUP(A686,Pedido!$A:$B,2,0),"")</f>
        <v/>
      </c>
      <c r="C686" s="10" t="str">
        <f aca="false">IF(B686="","NÃO COMPRA","COMPRA")</f>
        <v>NÃO COMPRA</v>
      </c>
      <c r="D686" s="1" t="n">
        <f aca="false">IFERROR(VLOOKUP(A686,Pedido!$A:$C,3,0),0)</f>
        <v>0</v>
      </c>
      <c r="E686" s="5" t="n">
        <f aca="false">IFERROR(VLOOKUP(A686,Pedido!$A:$E,5,0),0)</f>
        <v>0</v>
      </c>
      <c r="F686" s="1" t="s">
        <v>8</v>
      </c>
      <c r="G686" s="1" t="s">
        <v>1069</v>
      </c>
      <c r="H686" s="1" t="s">
        <v>1523</v>
      </c>
      <c r="I686" s="1" t="s">
        <v>226</v>
      </c>
      <c r="J686" s="1" t="s">
        <v>1524</v>
      </c>
      <c r="K686" s="1" t="n">
        <v>172</v>
      </c>
      <c r="L686" s="11" t="n">
        <v>0.894773461980966</v>
      </c>
      <c r="M686" s="1" t="n">
        <f aca="false">SUMIF(Relatorio_AK!$A:$A,A686,Relatorio_AK!$B:$B)</f>
        <v>172</v>
      </c>
      <c r="N686" s="1" t="str">
        <f aca="false">IF(M686=K686,"OK","DIF")</f>
        <v>OK</v>
      </c>
      <c r="O686" s="13" t="str">
        <f aca="false">IFERROR(VLOOKUP($A686,Lista_Starke!$A:$E,3,0),"NÃO ESTÁ NA LISTA")</f>
        <v>AUDI: RS3 2.5 20V TFSI 12/16
AUDI: RSQ3 2.5 20V TFSI 14/16
AUDI: TTRS 2.5 20V TFSI 12/14
VOLKSWAGEN: Jetta 2.5 20V 08/10
VOLKSWAGEN: New Beetle 2.5 20V 01/10</v>
      </c>
      <c r="P686" s="12" t="str">
        <f aca="false">IFERROR(VLOOKUP($A686,Lista_Starke!$A:$E,2,0),"NÃO ESTÁ NA LISTA")</f>
        <v>SUPORTE RESFRIADOR DE ÓLEO MOTOR</v>
      </c>
    </row>
    <row r="687" customFormat="false" ht="15" hidden="false" customHeight="true" outlineLevel="0" collapsed="false">
      <c r="A687" s="10" t="s">
        <v>1525</v>
      </c>
      <c r="B687" s="10" t="str">
        <f aca="false">IFERROR(VLOOKUP(A687,Pedido!$A:$B,2,0),"")</f>
        <v/>
      </c>
      <c r="C687" s="10" t="str">
        <f aca="false">IF(B687="","NÃO COMPRA","COMPRA")</f>
        <v>NÃO COMPRA</v>
      </c>
      <c r="D687" s="1" t="n">
        <f aca="false">IFERROR(VLOOKUP(A687,Pedido!$A:$C,3,0),0)</f>
        <v>0</v>
      </c>
      <c r="E687" s="5" t="n">
        <f aca="false">IFERROR(VLOOKUP(A687,Pedido!$A:$E,5,0),0)</f>
        <v>0</v>
      </c>
      <c r="F687" s="1" t="s">
        <v>8</v>
      </c>
      <c r="G687" s="1" t="s">
        <v>1526</v>
      </c>
      <c r="H687" s="1" t="s">
        <v>96</v>
      </c>
      <c r="I687" s="1" t="s">
        <v>226</v>
      </c>
      <c r="J687" s="1" t="s">
        <v>1527</v>
      </c>
      <c r="K687" s="1" t="n">
        <v>171</v>
      </c>
      <c r="L687" s="11" t="n">
        <v>0.895065791160718</v>
      </c>
      <c r="M687" s="1" t="n">
        <f aca="false">SUMIF(Relatorio_AK!$A:$A,A687,Relatorio_AK!$B:$B)</f>
        <v>171</v>
      </c>
      <c r="N687" s="1" t="str">
        <f aca="false">IF(M687=K687,"OK","DIF")</f>
        <v>OK</v>
      </c>
      <c r="O687" s="13" t="str">
        <f aca="false">IFERROR(VLOOKUP($A687,Lista_Starke!$A:$E,3,0),"NÃO ESTÁ NA LISTA")</f>
        <v>AUDI: A3 2.0 16V TFSI 04/13
VOLKSWAGEN: Jetta 2.0 16V TSI CBFA/CCTA 10/17
VOLKSWAGEN: Passat Variant 2.0 16V TSI CAWB/CBFA/CCTA 05/11
VOLKSWAGEN: Tiguan 2.0 16V TSI CAWB/CCTA 07/17</v>
      </c>
      <c r="P687" s="12" t="str">
        <f aca="false">IFERROR(VLOOKUP($A687,Lista_Starke!$A:$E,2,0),"NÃO ESTÁ NA LISTA")</f>
        <v>BOMBA DE VÁCUO</v>
      </c>
    </row>
    <row r="688" customFormat="false" ht="15" hidden="false" customHeight="true" outlineLevel="0" collapsed="false">
      <c r="A688" s="10" t="s">
        <v>1528</v>
      </c>
      <c r="B688" s="10" t="str">
        <f aca="false">IFERROR(VLOOKUP(A688,Pedido!$A:$B,2,0),"")</f>
        <v/>
      </c>
      <c r="C688" s="10" t="str">
        <f aca="false">IF(B688="","NÃO COMPRA","COMPRA")</f>
        <v>NÃO COMPRA</v>
      </c>
      <c r="D688" s="1" t="n">
        <f aca="false">IFERROR(VLOOKUP(A688,Pedido!$A:$C,3,0),0)</f>
        <v>0</v>
      </c>
      <c r="E688" s="5" t="n">
        <f aca="false">IFERROR(VLOOKUP(A688,Pedido!$A:$E,5,0),0)</f>
        <v>0</v>
      </c>
      <c r="F688" s="1" t="s">
        <v>8</v>
      </c>
      <c r="G688" s="1" t="s">
        <v>958</v>
      </c>
      <c r="H688" s="1" t="s">
        <v>600</v>
      </c>
      <c r="I688" s="1" t="s">
        <v>215</v>
      </c>
      <c r="K688" s="1" t="n">
        <v>171</v>
      </c>
      <c r="L688" s="11" t="n">
        <v>0.895358120340469</v>
      </c>
      <c r="M688" s="1" t="n">
        <f aca="false">SUMIF(Relatorio_AK!$A:$A,A688,Relatorio_AK!$B:$B)</f>
        <v>171</v>
      </c>
      <c r="N688" s="1" t="str">
        <f aca="false">IF(M688=K688,"OK","DIF")</f>
        <v>OK</v>
      </c>
      <c r="O688" s="13" t="str">
        <f aca="false">IFERROR(VLOOKUP($A688,Lista_Starke!$A:$E,3,0),"NÃO ESTÁ NA LISTA")</f>
        <v>NISSAN: Frontier 2.5 16V Turbo YD25 07/12
NISSAN: Frontier 2.5 16V Turbo YDK25 13/17
NISSAN: Pathfinder 2.5 16V Turbo YD25 05/12
NISSAN: Pathfinder 2.5 16V Turbo YDK25 13/17</v>
      </c>
      <c r="P688" s="12" t="str">
        <f aca="false">IFERROR(VLOOKUP($A688,Lista_Starke!$A:$E,2,0),"NÃO ESTÁ NA LISTA")</f>
        <v>BOMBA DE VÁCUO FREIO</v>
      </c>
    </row>
    <row r="689" customFormat="false" ht="15" hidden="false" customHeight="true" outlineLevel="0" collapsed="false">
      <c r="A689" s="10" t="s">
        <v>1529</v>
      </c>
      <c r="B689" s="10" t="str">
        <f aca="false">IFERROR(VLOOKUP(A689,Pedido!$A:$B,2,0),"")</f>
        <v/>
      </c>
      <c r="C689" s="10" t="str">
        <f aca="false">IF(B689="","NÃO COMPRA","COMPRA")</f>
        <v>NÃO COMPRA</v>
      </c>
      <c r="D689" s="1" t="n">
        <f aca="false">IFERROR(VLOOKUP(A689,Pedido!$A:$C,3,0),0)</f>
        <v>0</v>
      </c>
      <c r="E689" s="5" t="n">
        <f aca="false">IFERROR(VLOOKUP(A689,Pedido!$A:$E,5,0),0)</f>
        <v>0</v>
      </c>
      <c r="F689" s="1" t="s">
        <v>8</v>
      </c>
      <c r="G689" s="1" t="s">
        <v>1096</v>
      </c>
      <c r="H689" s="1" t="s">
        <v>197</v>
      </c>
      <c r="I689" s="1" t="s">
        <v>327</v>
      </c>
      <c r="J689" s="1" t="s">
        <v>1530</v>
      </c>
      <c r="K689" s="1" t="n">
        <v>170</v>
      </c>
      <c r="L689" s="11" t="n">
        <v>0.895648739992854</v>
      </c>
      <c r="M689" s="1" t="n">
        <f aca="false">SUMIF(Relatorio_AK!$A:$A,A689,Relatorio_AK!$B:$B)</f>
        <v>170</v>
      </c>
      <c r="N689" s="1" t="str">
        <f aca="false">IF(M689=K689,"OK","DIF")</f>
        <v>OK</v>
      </c>
      <c r="O689" s="13" t="str">
        <f aca="false">IFERROR(VLOOKUP($A689,Lista_Starke!$A:$E,3,0),"NÃO ESTÁ NA LISTA")</f>
        <v>FORD: F1000 XL / XLT 2.5 Turbo Diesel Maxion HS …/98
FORD: Ranger 2.5 Turbo Diesel Maxion HS 96/06
FORD: Ranger 2.8 Turbo Diesel Maxion HS 98/06
GM: Blazer 2.5 Turbo Diesel Maxion HS 96/05
GM: Blazer 2.8 Turbo Diesel Maxion HS 96/05
GM: S10 2.5 Turbo Diesel Maxion HS 96/05
GM: S10 2.8 Turbo Diesel Maxion HS 96/05
LAND ROVER: Defender 2.5 Turbo Diesel Maxion HS 90/98
LAND ROVER: Discovery II 2.5 Turbo Diesel Maxion HS 90/98
MERCEDES-BENZ: Sprinter 310 / 312 / 412 2.5 Turbo Diesel Maxion HS 97/02
MERCEDES-BENZ: Sprinter 310 / 312 / 412 2.8 Turbo Diesel Maxion HS 97/02</v>
      </c>
      <c r="P689" s="12" t="str">
        <f aca="false">IFERROR(VLOOKUP($A689,Lista_Starke!$A:$E,2,0),"NÃO ESTÁ NA LISTA")</f>
        <v>BOMBA D'ÁGUA</v>
      </c>
    </row>
    <row r="690" customFormat="false" ht="15" hidden="false" customHeight="true" outlineLevel="0" collapsed="false">
      <c r="A690" s="10" t="s">
        <v>1531</v>
      </c>
      <c r="B690" s="10" t="str">
        <f aca="false">IFERROR(VLOOKUP(A690,Pedido!$A:$B,2,0),"")</f>
        <v/>
      </c>
      <c r="C690" s="10" t="str">
        <f aca="false">IF(B690="","NÃO COMPRA","COMPRA")</f>
        <v>NÃO COMPRA</v>
      </c>
      <c r="D690" s="1" t="n">
        <f aca="false">IFERROR(VLOOKUP(A690,Pedido!$A:$C,3,0),0)</f>
        <v>0</v>
      </c>
      <c r="E690" s="5" t="n">
        <f aca="false">IFERROR(VLOOKUP(A690,Pedido!$A:$E,5,0),0)</f>
        <v>0</v>
      </c>
      <c r="F690" s="1" t="s">
        <v>8</v>
      </c>
      <c r="G690" s="1" t="s">
        <v>92</v>
      </c>
      <c r="H690" s="1" t="s">
        <v>88</v>
      </c>
      <c r="I690" s="1" t="s">
        <v>57</v>
      </c>
      <c r="J690" s="1" t="s">
        <v>1532</v>
      </c>
      <c r="K690" s="1" t="n">
        <v>170</v>
      </c>
      <c r="L690" s="11" t="n">
        <v>0.895939359645239</v>
      </c>
      <c r="M690" s="1" t="n">
        <f aca="false">SUMIF(Relatorio_AK!$A:$A,A690,Relatorio_AK!$B:$B)</f>
        <v>170</v>
      </c>
      <c r="N690" s="1" t="str">
        <f aca="false">IF(M690=K690,"OK","DIF")</f>
        <v>OK</v>
      </c>
      <c r="O690" s="13" t="str">
        <f aca="false">IFERROR(VLOOKUP($A690,Lista_Starke!$A:$E,3,0),"NÃO ESTÁ NA LISTA")</f>
        <v>GM: Tracker 1.0 12V 3 cil Turbo 20/...
GM: Tracker 1.2 12V 3 cil Turbo 20/...
GM: Tracker 1.4 Turbo 17/19
GM: Tracker 1.8 16V 14/16
GM: Tracker 2.0 16V Diesel 01</v>
      </c>
      <c r="P690" s="12" t="str">
        <f aca="false">IFERROR(VLOOKUP($A690,Lista_Starke!$A:$E,2,0),"NÃO ESTÁ NA LISTA")</f>
        <v>CILINDRO DE RODA LE/LD</v>
      </c>
    </row>
    <row r="691" customFormat="false" ht="15" hidden="false" customHeight="true" outlineLevel="0" collapsed="false">
      <c r="A691" s="10" t="s">
        <v>1533</v>
      </c>
      <c r="B691" s="10" t="str">
        <f aca="false">IFERROR(VLOOKUP(A691,Pedido!$A:$B,2,0),"")</f>
        <v/>
      </c>
      <c r="C691" s="10" t="str">
        <f aca="false">IF(B691="","NÃO COMPRA","COMPRA")</f>
        <v>NÃO COMPRA</v>
      </c>
      <c r="D691" s="1" t="n">
        <f aca="false">IFERROR(VLOOKUP(A691,Pedido!$A:$C,3,0),0)</f>
        <v>0</v>
      </c>
      <c r="E691" s="5" t="n">
        <f aca="false">IFERROR(VLOOKUP(A691,Pedido!$A:$E,5,0),0)</f>
        <v>0</v>
      </c>
      <c r="F691" s="1" t="s">
        <v>8</v>
      </c>
      <c r="G691" s="1" t="s">
        <v>105</v>
      </c>
      <c r="H691" s="1" t="s">
        <v>88</v>
      </c>
      <c r="I691" s="1" t="s">
        <v>46</v>
      </c>
      <c r="J691" s="1" t="s">
        <v>1534</v>
      </c>
      <c r="K691" s="1" t="n">
        <v>170</v>
      </c>
      <c r="L691" s="11" t="n">
        <v>0.896229979297623</v>
      </c>
      <c r="M691" s="1" t="n">
        <f aca="false">SUMIF(Relatorio_AK!$A:$A,A691,Relatorio_AK!$B:$B)</f>
        <v>170</v>
      </c>
      <c r="N691" s="1" t="str">
        <f aca="false">IF(M691=K691,"OK","DIF")</f>
        <v>OK</v>
      </c>
      <c r="O691" s="13" t="str">
        <f aca="false">IFERROR(VLOOKUP($A691,Lista_Starke!$A:$E,3,0),"NÃO ESTÁ NA LISTA")</f>
        <v>FIAT: Palio 1.0 8V 96/98
FIAT: Palio 1.5 8V 95/98
FIAT: Palio 1.6 16V 96/98
FIAT: Palio 1.6 8V 96/98
FIAT: Siena 1.0 8V 97/98
FIAT: Siena 1.5 8V 97/98
FIAT: Siena 1.6 16V 97/98
FIAT: Siena 1.6 8V 97/98</v>
      </c>
      <c r="P691" s="12" t="str">
        <f aca="false">IFERROR(VLOOKUP($A691,Lista_Starke!$A:$E,2,0),"NÃO ESTÁ NA LISTA")</f>
        <v>CILINDRO DE RODA LE/LD</v>
      </c>
    </row>
    <row r="692" customFormat="false" ht="15" hidden="false" customHeight="true" outlineLevel="0" collapsed="false">
      <c r="A692" s="10" t="s">
        <v>1535</v>
      </c>
      <c r="B692" s="10" t="str">
        <f aca="false">IFERROR(VLOOKUP(A692,Pedido!$A:$B,2,0),"")</f>
        <v/>
      </c>
      <c r="C692" s="10" t="str">
        <f aca="false">IF(B692="","NÃO COMPRA","COMPRA")</f>
        <v>NÃO COMPRA</v>
      </c>
      <c r="D692" s="1" t="n">
        <f aca="false">IFERROR(VLOOKUP(A692,Pedido!$A:$C,3,0),0)</f>
        <v>0</v>
      </c>
      <c r="E692" s="5" t="n">
        <f aca="false">IFERROR(VLOOKUP(A692,Pedido!$A:$E,5,0),0)</f>
        <v>0</v>
      </c>
      <c r="F692" s="1" t="s">
        <v>8</v>
      </c>
      <c r="G692" s="1" t="s">
        <v>1536</v>
      </c>
      <c r="H692" s="1" t="s">
        <v>197</v>
      </c>
      <c r="I692" s="1" t="s">
        <v>77</v>
      </c>
      <c r="J692" s="1" t="s">
        <v>1537</v>
      </c>
      <c r="K692" s="1" t="n">
        <v>167</v>
      </c>
      <c r="L692" s="11" t="n">
        <v>0.896515470367907</v>
      </c>
      <c r="M692" s="1" t="n">
        <f aca="false">SUMIF(Relatorio_AK!$A:$A,A692,Relatorio_AK!$B:$B)</f>
        <v>167</v>
      </c>
      <c r="N692" s="1" t="str">
        <f aca="false">IF(M692=K692,"OK","DIF")</f>
        <v>OK</v>
      </c>
      <c r="O692" s="13" t="str">
        <f aca="false">IFERROR(VLOOKUP($A692,Lista_Starke!$A:$E,3,0),"NÃO ESTÁ NA LISTA")</f>
        <v>CITROEN: C4 1.816V EWJ4 99/05
CITROEN: C4 2.0 16V EW10J4 / EW10A 00/…
CITROEN: C4 Grand Picasso 2.0 16V EW10J4 / EW10A 08/…
CITROEN: C4 Pallas 2.0 16V EW10J4 / EW10A 05/…
CITROEN: C4 Picasso 2.0 16V EW10J4 / EW10A 08/…
CITROEN: C5 2.0 16V EW10J4 / EW10A 02/…
CITROEN: Xsara 2.0 16V EW10J4 / EW10A 02/…
CITROEN: Xsara Picasso 2.0 16V EW10J4 / EW10A 02/…
PEUGEOT: 307 / SW 2.0 16V EW10J4 / EW10A 02/…
PEUGEOT: 407 2.0 16V EW10J4 / EW10A 04/…
PEUGEOT: 607 2.2 16V EW10J4 / EW10A 00/…
PEUGEOT: 807 2.2 16V EW10J4 / EW10A 02/…</v>
      </c>
      <c r="P692" s="12" t="str">
        <f aca="false">IFERROR(VLOOKUP($A692,Lista_Starke!$A:$E,2,0),"NÃO ESTÁ NA LISTA")</f>
        <v>BOMBA D'ÁGUA</v>
      </c>
    </row>
    <row r="693" customFormat="false" ht="15" hidden="false" customHeight="true" outlineLevel="0" collapsed="false">
      <c r="A693" s="10" t="s">
        <v>1538</v>
      </c>
      <c r="B693" s="10" t="str">
        <f aca="false">IFERROR(VLOOKUP(A693,Pedido!$A:$B,2,0),"")</f>
        <v/>
      </c>
      <c r="C693" s="10" t="str">
        <f aca="false">IF(B693="","NÃO COMPRA","COMPRA")</f>
        <v>NÃO COMPRA</v>
      </c>
      <c r="D693" s="1" t="n">
        <f aca="false">IFERROR(VLOOKUP(A693,Pedido!$A:$C,3,0),0)</f>
        <v>0</v>
      </c>
      <c r="E693" s="5" t="n">
        <f aca="false">IFERROR(VLOOKUP(A693,Pedido!$A:$E,5,0),0)</f>
        <v>0</v>
      </c>
      <c r="F693" s="1" t="s">
        <v>8</v>
      </c>
      <c r="G693" s="1" t="s">
        <v>1539</v>
      </c>
      <c r="H693" s="1" t="s">
        <v>197</v>
      </c>
      <c r="I693" s="1" t="s">
        <v>684</v>
      </c>
      <c r="K693" s="1" t="n">
        <v>167</v>
      </c>
      <c r="L693" s="11" t="n">
        <v>0.896800961438191</v>
      </c>
      <c r="M693" s="1" t="n">
        <f aca="false">SUMIF(Relatorio_AK!$A:$A,A693,Relatorio_AK!$B:$B)</f>
        <v>167</v>
      </c>
      <c r="N693" s="1" t="str">
        <f aca="false">IF(M693=K693,"OK","DIF")</f>
        <v>OK</v>
      </c>
      <c r="O693" s="13" t="str">
        <f aca="false">IFERROR(VLOOKUP($A693,Lista_Starke!$A:$E,3,0),"NÃO ESTÁ NA LISTA")</f>
        <v>LAND ROVER: Discovery IV 3.0 V6 306PS Gasolina 13/...
LAND ROVER: Discovery IV 5.0 V8 508PN Gasolina 09/...
LAND ROVER: Discovery V 3.0 V6 306PS Gasolina 16/...
LAND ROVER: Range Rover 3.0 V6 306PS Gasolina 09/15
LAND ROVER: Range Rover 5.0 V8 508PN/508PS Gasolina 09/15
LAND ROVER: Range Rover Sport 3.0 V6 306PS 16/...
LAND ROVER: Range Rover Sport 3.0 V6 306PS Gasolina 09/15
LAND ROVER: Range Rover Sport 5.0 V8 508PN/508PS Gasolina 09/15
LAND ROVER: Range Rover Sport 5.0 V8 508PS Gasolina 16/...
LAND ROVER: Velar 3.0 V6 306PS Gasolina 17/...</v>
      </c>
      <c r="P693" s="12" t="str">
        <f aca="false">IFERROR(VLOOKUP($A693,Lista_Starke!$A:$E,2,0),"NÃO ESTÁ NA LISTA")</f>
        <v>BOMBA D´ÁGUA</v>
      </c>
    </row>
    <row r="694" customFormat="false" ht="15" hidden="false" customHeight="true" outlineLevel="0" collapsed="false">
      <c r="A694" s="10" t="s">
        <v>1540</v>
      </c>
      <c r="B694" s="10" t="str">
        <f aca="false">IFERROR(VLOOKUP(A694,Pedido!$A:$B,2,0),"")</f>
        <v/>
      </c>
      <c r="C694" s="10" t="str">
        <f aca="false">IF(B694="","NÃO COMPRA","COMPRA")</f>
        <v>NÃO COMPRA</v>
      </c>
      <c r="D694" s="1" t="n">
        <f aca="false">IFERROR(VLOOKUP(A694,Pedido!$A:$C,3,0),0)</f>
        <v>0</v>
      </c>
      <c r="E694" s="5" t="n">
        <f aca="false">IFERROR(VLOOKUP(A694,Pedido!$A:$E,5,0),0)</f>
        <v>0</v>
      </c>
      <c r="F694" s="1" t="s">
        <v>8</v>
      </c>
      <c r="G694" s="1" t="s">
        <v>1541</v>
      </c>
      <c r="H694" s="1" t="s">
        <v>1073</v>
      </c>
      <c r="I694" s="1" t="s">
        <v>177</v>
      </c>
      <c r="J694" s="1" t="s">
        <v>1542</v>
      </c>
      <c r="K694" s="1" t="n">
        <v>167</v>
      </c>
      <c r="L694" s="11" t="n">
        <v>0.897086452508475</v>
      </c>
      <c r="M694" s="1" t="n">
        <f aca="false">SUMIF(Relatorio_AK!$A:$A,A694,Relatorio_AK!$B:$B)</f>
        <v>167</v>
      </c>
      <c r="N694" s="1" t="str">
        <f aca="false">IF(M694=K694,"OK","DIF")</f>
        <v>OK</v>
      </c>
      <c r="O694" s="13" t="str">
        <f aca="false">IFERROR(VLOOKUP($A694,Lista_Starke!$A:$E,3,0),"NÃO ESTÁ NA LISTA")</f>
        <v>TOYOTA: Hilux 2.7 16V Flex   3RZ FE 12/…
TOYOTA: SW4 2.7 16V Flex   3RZ FE 12/…</v>
      </c>
      <c r="P694" s="12" t="str">
        <f aca="false">IFERROR(VLOOKUP($A694,Lista_Starke!$A:$E,2,0),"NÃO ESTÁ NA LISTA")</f>
        <v>VÁLVULA TERMOSTÁTICA</v>
      </c>
    </row>
    <row r="695" customFormat="false" ht="15" hidden="false" customHeight="true" outlineLevel="0" collapsed="false">
      <c r="A695" s="10" t="s">
        <v>1543</v>
      </c>
      <c r="B695" s="10" t="str">
        <f aca="false">IFERROR(VLOOKUP(A695,Pedido!$A:$B,2,0),"")</f>
        <v/>
      </c>
      <c r="C695" s="10" t="str">
        <f aca="false">IF(B695="","NÃO COMPRA","COMPRA")</f>
        <v>NÃO COMPRA</v>
      </c>
      <c r="D695" s="1" t="n">
        <f aca="false">IFERROR(VLOOKUP(A695,Pedido!$A:$C,3,0),0)</f>
        <v>0</v>
      </c>
      <c r="E695" s="5" t="n">
        <f aca="false">IFERROR(VLOOKUP(A695,Pedido!$A:$E,5,0),0)</f>
        <v>0</v>
      </c>
      <c r="F695" s="1" t="s">
        <v>8</v>
      </c>
      <c r="G695" s="1" t="s">
        <v>474</v>
      </c>
      <c r="H695" s="1" t="s">
        <v>32</v>
      </c>
      <c r="I695" s="1" t="s">
        <v>281</v>
      </c>
      <c r="J695" s="1" t="s">
        <v>1544</v>
      </c>
      <c r="K695" s="1" t="n">
        <v>166</v>
      </c>
      <c r="L695" s="11" t="n">
        <v>0.897370234051392</v>
      </c>
      <c r="M695" s="1" t="n">
        <f aca="false">SUMIF(Relatorio_AK!$A:$A,A695,Relatorio_AK!$B:$B)</f>
        <v>166</v>
      </c>
      <c r="N695" s="1" t="str">
        <f aca="false">IF(M695=K695,"OK","DIF")</f>
        <v>OK</v>
      </c>
      <c r="O695" s="13" t="str">
        <f aca="false">IFERROR(VLOOKUP($A695,Lista_Starke!$A:$E,3,0),"NÃO ESTÁ NA LISTA")</f>
        <v>CITROEN: Xsara Picasso 1.6 16V 03/...
CITROEN: Xsara Picasso 2.0 16V 03/...</v>
      </c>
      <c r="P695" s="12" t="str">
        <f aca="false">IFERROR(VLOOKUP($A695,Lista_Starke!$A:$E,2,0),"NÃO ESTÁ NA LISTA")</f>
        <v>CILINDRO MESTRE DE EMBREAGEM</v>
      </c>
    </row>
    <row r="696" customFormat="false" ht="15" hidden="false" customHeight="true" outlineLevel="0" collapsed="false">
      <c r="A696" s="10" t="s">
        <v>1545</v>
      </c>
      <c r="B696" s="10" t="str">
        <f aca="false">IFERROR(VLOOKUP(A696,Pedido!$A:$B,2,0),"")</f>
        <v/>
      </c>
      <c r="C696" s="10" t="str">
        <f aca="false">IF(B696="","NÃO COMPRA","COMPRA")</f>
        <v>NÃO COMPRA</v>
      </c>
      <c r="D696" s="1" t="n">
        <f aca="false">IFERROR(VLOOKUP(A696,Pedido!$A:$C,3,0),0)</f>
        <v>0</v>
      </c>
      <c r="E696" s="5" t="n">
        <f aca="false">IFERROR(VLOOKUP(A696,Pedido!$A:$E,5,0),0)</f>
        <v>0</v>
      </c>
      <c r="F696" s="1" t="s">
        <v>8</v>
      </c>
      <c r="G696" s="1" t="s">
        <v>841</v>
      </c>
      <c r="H696" s="1" t="s">
        <v>197</v>
      </c>
      <c r="I696" s="1" t="s">
        <v>50</v>
      </c>
      <c r="J696" s="1" t="s">
        <v>1546</v>
      </c>
      <c r="K696" s="1" t="n">
        <v>166</v>
      </c>
      <c r="L696" s="11" t="n">
        <v>0.897654015594308</v>
      </c>
      <c r="M696" s="1" t="n">
        <f aca="false">SUMIF(Relatorio_AK!$A:$A,A696,Relatorio_AK!$B:$B)</f>
        <v>166</v>
      </c>
      <c r="N696" s="1" t="str">
        <f aca="false">IF(M696=K696,"OK","DIF")</f>
        <v>OK</v>
      </c>
      <c r="O696" s="13" t="str">
        <f aca="false">IFERROR(VLOOKUP($A696,Lista_Starke!$A:$E,3,0),"NÃO ESTÁ NA LISTA")</f>
        <v>HONDA: Civic 1.6 16V SOHC 01/05
HONDA: Civic 1.7 16V VTEC 01/05
HONDA: Civic 1.8 16V 00/…</v>
      </c>
      <c r="P696" s="12" t="str">
        <f aca="false">IFERROR(VLOOKUP($A696,Lista_Starke!$A:$E,2,0),"NÃO ESTÁ NA LISTA")</f>
        <v>BOMBA D'ÁGUA</v>
      </c>
    </row>
    <row r="697" customFormat="false" ht="15" hidden="false" customHeight="true" outlineLevel="0" collapsed="false">
      <c r="A697" s="10" t="s">
        <v>1547</v>
      </c>
      <c r="B697" s="10" t="str">
        <f aca="false">IFERROR(VLOOKUP(A697,Pedido!$A:$B,2,0),"")</f>
        <v/>
      </c>
      <c r="C697" s="10" t="str">
        <f aca="false">IF(B697="","NÃO COMPRA","COMPRA")</f>
        <v>NÃO COMPRA</v>
      </c>
      <c r="D697" s="1" t="n">
        <f aca="false">IFERROR(VLOOKUP(A697,Pedido!$A:$C,3,0),0)</f>
        <v>0</v>
      </c>
      <c r="E697" s="5" t="n">
        <f aca="false">IFERROR(VLOOKUP(A697,Pedido!$A:$E,5,0),0)</f>
        <v>0</v>
      </c>
      <c r="F697" s="1" t="s">
        <v>8</v>
      </c>
      <c r="G697" s="1" t="s">
        <v>640</v>
      </c>
      <c r="H697" s="1" t="s">
        <v>845</v>
      </c>
      <c r="I697" s="1" t="s">
        <v>1548</v>
      </c>
      <c r="J697" s="1" t="s">
        <v>1549</v>
      </c>
      <c r="K697" s="1" t="n">
        <v>166</v>
      </c>
      <c r="L697" s="11" t="n">
        <v>0.897937797137225</v>
      </c>
      <c r="M697" s="1" t="n">
        <f aca="false">SUMIF(Relatorio_AK!$A:$A,A697,Relatorio_AK!$B:$B)</f>
        <v>166</v>
      </c>
      <c r="N697" s="1" t="str">
        <f aca="false">IF(M697=K697,"OK","DIF")</f>
        <v>OK</v>
      </c>
      <c r="O697" s="13" t="str">
        <f aca="false">IFERROR(VLOOKUP($A697,Lista_Starke!$A:$E,3,0),"NÃO ESTÁ NA LISTA")</f>
        <v>NISSAN: Sentra 2.0 16V 12/...
TOYOTA: Camry 3.5 V6 17/...
TOYOTA: Corolla 1.8 16V Hybrid 20/...
TOYOTA: Corolla Cross 1.8 16V Hybrid 21/...
TOYOTA: RAV4 2.0 / 2.2 / 2. / 3.5 06/...
TOYOTA: RAV4 2.5 Hybrid 19/...</v>
      </c>
      <c r="P697" s="12" t="str">
        <f aca="false">IFERROR(VLOOKUP($A697,Lista_Starke!$A:$E,2,0),"NÃO ESTÁ NA LISTA")</f>
        <v>SAPATA DE FREIO DE MÃO</v>
      </c>
    </row>
    <row r="698" customFormat="false" ht="15" hidden="false" customHeight="true" outlineLevel="0" collapsed="false">
      <c r="A698" s="10" t="s">
        <v>1550</v>
      </c>
      <c r="B698" s="10" t="str">
        <f aca="false">IFERROR(VLOOKUP(A698,Pedido!$A:$B,2,0),"")</f>
        <v/>
      </c>
      <c r="C698" s="10" t="str">
        <f aca="false">IF(B698="","NÃO COMPRA","COMPRA")</f>
        <v>NÃO COMPRA</v>
      </c>
      <c r="D698" s="1" t="n">
        <f aca="false">IFERROR(VLOOKUP(A698,Pedido!$A:$C,3,0),0)</f>
        <v>0</v>
      </c>
      <c r="E698" s="5" t="n">
        <f aca="false">IFERROR(VLOOKUP(A698,Pedido!$A:$E,5,0),0)</f>
        <v>0</v>
      </c>
      <c r="F698" s="1" t="s">
        <v>8</v>
      </c>
      <c r="G698" s="1" t="s">
        <v>1069</v>
      </c>
      <c r="H698" s="1" t="s">
        <v>235</v>
      </c>
      <c r="I698" s="1" t="s">
        <v>226</v>
      </c>
      <c r="J698" s="1" t="s">
        <v>1551</v>
      </c>
      <c r="K698" s="1" t="n">
        <v>166</v>
      </c>
      <c r="L698" s="11" t="n">
        <v>0.898221578680142</v>
      </c>
      <c r="M698" s="1" t="n">
        <f aca="false">SUMIF(Relatorio_AK!$A:$A,A698,Relatorio_AK!$B:$B)</f>
        <v>166</v>
      </c>
      <c r="N698" s="1" t="str">
        <f aca="false">IF(M698=K698,"OK","DIF")</f>
        <v>OK</v>
      </c>
      <c r="O698" s="13" t="str">
        <f aca="false">IFERROR(VLOOKUP($A698,Lista_Starke!$A:$E,3,0),"NÃO ESTÁ NA LISTA")</f>
        <v>AUDI: A3 1.8 16V TFSI CJSA/CJSB 12/16
AUDI: A3 2.0 16V TFSI CZPB/DKZA 16/22
AUDI: A4 1.8 16V TFSI CJEB 15/...
AUDI: A4 2.0 16V TFSI CNCD 15/...
AUDI: A5 1.8 16V TFSI CABD/CJEB/CJEE 07/17
AUDI: A5 2.0 16V TFSI CNCD/CNCE 13/17
AUDI: Q3 2.0 16V TFSI CULB/CCTA 14/...
AUDI: Q5 2.0 16V TFSI CDNB/CNCB/CNCD/CNCE 17/...
AUDI: Q7 2.0 16V TFSI CYRB/CYMC/DMFB 15/...
VOLKSWAGEN: Golf 2.0 16V TSI CULC 13/...
VOLKSWAGEN: Golf GTI 2.0 16V TSI DLBA/DNPA/DRNA 13/...
VOLKSWAGEN: Jetta 2.0 16V TSI 211cv 13/17
VOLKSWAGEN: Jetta GLI 2.0 16V TSI 19/...
VOLKSWAGEN: New Beetle 2.0 16V TSI 211cv 12/16
VOLKSWAGEN: Passat 2.0 16V TSI CZPB/DKZA/DRFA/DNNA/DUNA 18/...
VOLKSWAGEN: Tiguan 2.0 16V TSI CZPA/CHHB 16/...
VOLKSWAGEN: Tiguan R Line 2.0 16V 18/...</v>
      </c>
      <c r="P698" s="12" t="str">
        <f aca="false">IFERROR(VLOOKUP($A698,Lista_Starke!$A:$E,2,0),"NÃO ESTÁ NA LISTA")</f>
        <v>RESFRIADOR DE ÓLEO MOTOR</v>
      </c>
    </row>
    <row r="699" customFormat="false" ht="15" hidden="false" customHeight="true" outlineLevel="0" collapsed="false">
      <c r="A699" s="10" t="s">
        <v>1552</v>
      </c>
      <c r="B699" s="10" t="str">
        <f aca="false">IFERROR(VLOOKUP(A699,Pedido!$A:$B,2,0),"")</f>
        <v/>
      </c>
      <c r="C699" s="10" t="str">
        <f aca="false">IF(B699="","NÃO COMPRA","COMPRA")</f>
        <v>NÃO COMPRA</v>
      </c>
      <c r="D699" s="1" t="n">
        <f aca="false">IFERROR(VLOOKUP(A699,Pedido!$A:$C,3,0),0)</f>
        <v>0</v>
      </c>
      <c r="E699" s="5" t="n">
        <f aca="false">IFERROR(VLOOKUP(A699,Pedido!$A:$E,5,0),0)</f>
        <v>0</v>
      </c>
      <c r="F699" s="1" t="s">
        <v>8</v>
      </c>
      <c r="G699" s="1" t="s">
        <v>41</v>
      </c>
      <c r="H699" s="1" t="s">
        <v>35</v>
      </c>
      <c r="I699" s="1" t="s">
        <v>42</v>
      </c>
      <c r="J699" s="1" t="s">
        <v>1553</v>
      </c>
      <c r="K699" s="1" t="n">
        <v>166</v>
      </c>
      <c r="L699" s="11" t="n">
        <v>0.898505360223059</v>
      </c>
      <c r="M699" s="1" t="n">
        <f aca="false">SUMIF(Relatorio_AK!$A:$A,A699,Relatorio_AK!$B:$B)</f>
        <v>166</v>
      </c>
      <c r="N699" s="1" t="str">
        <f aca="false">IF(M699=K699,"OK","DIF")</f>
        <v>OK</v>
      </c>
      <c r="O699" s="13" t="str">
        <f aca="false">IFERROR(VLOOKUP($A699,Lista_Starke!$A:$E,3,0),"NÃO ESTÁ NA LISTA")</f>
        <v>RENAULT: Duster 1.3 3 cil Turbo 22/...
RENAULT: Duster 1.6 16V 10/21
RENAULT: Duster 1.6 16V 22/...
RENAULT: Duster 2.0 16V 10/21
RENAULT: Oroch 1.3 3 cil Turbo 22/...
RENAULT: Oroch 1.6 16V 10/21
RENAULT: Oroch 1.6 16V 22/...
RENAULT: Oroch 2.0 16V 10/21</v>
      </c>
      <c r="P699" s="12" t="str">
        <f aca="false">IFERROR(VLOOKUP($A699,Lista_Starke!$A:$E,2,0),"NÃO ESTÁ NA LISTA")</f>
        <v>CILINDRO MESTRE DE FREIO</v>
      </c>
    </row>
    <row r="700" customFormat="false" ht="15" hidden="false" customHeight="true" outlineLevel="0" collapsed="false">
      <c r="A700" s="10" t="s">
        <v>1554</v>
      </c>
      <c r="B700" s="10" t="str">
        <f aca="false">IFERROR(VLOOKUP(A700,Pedido!$A:$B,2,0),"")</f>
        <v/>
      </c>
      <c r="C700" s="10" t="str">
        <f aca="false">IF(B700="","NÃO COMPRA","COMPRA")</f>
        <v>NÃO COMPRA</v>
      </c>
      <c r="D700" s="1" t="n">
        <f aca="false">IFERROR(VLOOKUP(A700,Pedido!$A:$C,3,0),0)</f>
        <v>0</v>
      </c>
      <c r="E700" s="5" t="n">
        <f aca="false">IFERROR(VLOOKUP(A700,Pedido!$A:$E,5,0),0)</f>
        <v>0</v>
      </c>
      <c r="F700" s="1" t="s">
        <v>8</v>
      </c>
      <c r="G700" s="1" t="s">
        <v>851</v>
      </c>
      <c r="H700" s="1" t="s">
        <v>32</v>
      </c>
      <c r="I700" s="1" t="s">
        <v>226</v>
      </c>
      <c r="K700" s="1" t="n">
        <v>165</v>
      </c>
      <c r="L700" s="11" t="n">
        <v>0.898787432238609</v>
      </c>
      <c r="M700" s="1" t="n">
        <f aca="false">SUMIF(Relatorio_AK!$A:$A,A700,Relatorio_AK!$B:$B)</f>
        <v>165</v>
      </c>
      <c r="N700" s="1" t="str">
        <f aca="false">IF(M700=K700,"OK","DIF")</f>
        <v>OK</v>
      </c>
      <c r="O700" s="13" t="str">
        <f aca="false">IFERROR(VLOOKUP($A700,Lista_Starke!$A:$E,3,0),"NÃO ESTÁ NA LISTA")</f>
        <v>AUDI: A4 / A6  98/05
VOLKSWAGEN: Passat  98/05</v>
      </c>
      <c r="P700" s="12" t="str">
        <f aca="false">IFERROR(VLOOKUP($A700,Lista_Starke!$A:$E,2,0),"NÃO ESTÁ NA LISTA")</f>
        <v>CILINDRO MESTRE DE EMBREAGEM</v>
      </c>
    </row>
    <row r="701" customFormat="false" ht="15" hidden="false" customHeight="true" outlineLevel="0" collapsed="false">
      <c r="A701" s="10" t="s">
        <v>1555</v>
      </c>
      <c r="B701" s="10" t="str">
        <f aca="false">IFERROR(VLOOKUP(A701,Pedido!$A:$B,2,0),"")</f>
        <v/>
      </c>
      <c r="C701" s="10" t="str">
        <f aca="false">IF(B701="","NÃO COMPRA","COMPRA")</f>
        <v>NÃO COMPRA</v>
      </c>
      <c r="D701" s="1" t="n">
        <f aca="false">IFERROR(VLOOKUP(A701,Pedido!$A:$C,3,0),0)</f>
        <v>0</v>
      </c>
      <c r="E701" s="5" t="n">
        <f aca="false">IFERROR(VLOOKUP(A701,Pedido!$A:$E,5,0),0)</f>
        <v>0</v>
      </c>
      <c r="F701" s="1" t="s">
        <v>8</v>
      </c>
      <c r="G701" s="1" t="s">
        <v>1556</v>
      </c>
      <c r="H701" s="1" t="s">
        <v>1131</v>
      </c>
      <c r="I701" s="1" t="s">
        <v>657</v>
      </c>
      <c r="J701" s="1" t="s">
        <v>1557</v>
      </c>
      <c r="K701" s="1" t="n">
        <v>165</v>
      </c>
      <c r="L701" s="11" t="n">
        <v>0.899069504254159</v>
      </c>
      <c r="M701" s="1" t="n">
        <f aca="false">SUMIF(Relatorio_AK!$A:$A,A701,Relatorio_AK!$B:$B)</f>
        <v>165</v>
      </c>
      <c r="N701" s="1" t="str">
        <f aca="false">IF(M701=K701,"OK","DIF")</f>
        <v>OK</v>
      </c>
      <c r="O701" s="13" t="str">
        <f aca="false">IFERROR(VLOOKUP($A701,Lista_Starke!$A:$E,3,0),"NÃO ESTÁ NA LISTA")</f>
        <v>FORD: Fusion 2.0 16V Turbo Ecoboost 13/...
JAGUAR: F-Pace 2.0 Turbo Gasolina 204PT 16/...
LAND ROVER: Discovery Sport 2.0 Turbo Gasolina 204PT 14/...
LAND ROVER: Evoque 2.0 Turbo Gasolina 204PT 11/19
LAND ROVER: Freelander 2 2.0 Turbo Gasolina 204PT 06/14
VOLVO: S60 2.0 T5 B4204T7 10/18
VOLVO: XC60 T5 2.0 20V Turbo 5 cil B4204T7 08/17</v>
      </c>
      <c r="P701" s="12" t="str">
        <f aca="false">IFERROR(VLOOKUP($A701,Lista_Starke!$A:$E,2,0),"NÃO ESTÁ NA LISTA")</f>
        <v>BOMBA DE ALTA PRESSÃO GDI</v>
      </c>
    </row>
    <row r="702" customFormat="false" ht="15" hidden="false" customHeight="true" outlineLevel="0" collapsed="false">
      <c r="A702" s="10" t="s">
        <v>1558</v>
      </c>
      <c r="B702" s="10" t="str">
        <f aca="false">IFERROR(VLOOKUP(A702,Pedido!$A:$B,2,0),"")</f>
        <v/>
      </c>
      <c r="C702" s="10" t="str">
        <f aca="false">IF(B702="","NÃO COMPRA","COMPRA")</f>
        <v>NÃO COMPRA</v>
      </c>
      <c r="D702" s="1" t="n">
        <f aca="false">IFERROR(VLOOKUP(A702,Pedido!$A:$C,3,0),0)</f>
        <v>0</v>
      </c>
      <c r="E702" s="5" t="n">
        <f aca="false">IFERROR(VLOOKUP(A702,Pedido!$A:$E,5,0),0)</f>
        <v>0</v>
      </c>
      <c r="F702" s="1" t="s">
        <v>8</v>
      </c>
      <c r="G702" s="1" t="s">
        <v>52</v>
      </c>
      <c r="H702" s="1" t="s">
        <v>35</v>
      </c>
      <c r="I702" s="1" t="s">
        <v>53</v>
      </c>
      <c r="J702" s="1" t="s">
        <v>1559</v>
      </c>
      <c r="K702" s="1" t="n">
        <v>164</v>
      </c>
      <c r="L702" s="11" t="n">
        <v>0.899349866742342</v>
      </c>
      <c r="M702" s="1" t="n">
        <f aca="false">SUMIF(Relatorio_AK!$A:$A,A702,Relatorio_AK!$B:$B)</f>
        <v>164</v>
      </c>
      <c r="N702" s="1" t="str">
        <f aca="false">IF(M702=K702,"OK","DIF")</f>
        <v>OK</v>
      </c>
      <c r="O702" s="13" t="str">
        <f aca="false">IFERROR(VLOOKUP($A702,Lista_Starke!$A:$E,3,0),"NÃO ESTÁ NA LISTA")</f>
        <v>FORD: Focus 1.8 16V Zetec 00/04
FORD: Focus 2.0 16V Zetec 00/05</v>
      </c>
      <c r="P702" s="12" t="str">
        <f aca="false">IFERROR(VLOOKUP($A702,Lista_Starke!$A:$E,2,0),"NÃO ESTÁ NA LISTA")</f>
        <v>CILINDRO MESTRE DE FREIO</v>
      </c>
    </row>
    <row r="703" customFormat="false" ht="15" hidden="false" customHeight="true" outlineLevel="0" collapsed="false">
      <c r="A703" s="10" t="s">
        <v>1560</v>
      </c>
      <c r="B703" s="10" t="str">
        <f aca="false">IFERROR(VLOOKUP(A703,Pedido!$A:$B,2,0),"")</f>
        <v/>
      </c>
      <c r="C703" s="10" t="str">
        <f aca="false">IF(B703="","NÃO COMPRA","COMPRA")</f>
        <v>NÃO COMPRA</v>
      </c>
      <c r="D703" s="1" t="n">
        <f aca="false">IFERROR(VLOOKUP(A703,Pedido!$A:$C,3,0),0)</f>
        <v>0</v>
      </c>
      <c r="E703" s="5" t="n">
        <f aca="false">IFERROR(VLOOKUP(A703,Pedido!$A:$E,5,0),0)</f>
        <v>0</v>
      </c>
      <c r="F703" s="1" t="s">
        <v>8</v>
      </c>
      <c r="G703" s="1" t="s">
        <v>1561</v>
      </c>
      <c r="H703" s="1" t="s">
        <v>35</v>
      </c>
      <c r="I703" s="1" t="s">
        <v>53</v>
      </c>
      <c r="J703" s="1" t="s">
        <v>1562</v>
      </c>
      <c r="K703" s="1" t="n">
        <v>164</v>
      </c>
      <c r="L703" s="11" t="n">
        <v>0.899630229230524</v>
      </c>
      <c r="M703" s="1" t="n">
        <f aca="false">SUMIF(Relatorio_AK!$A:$A,A703,Relatorio_AK!$B:$B)</f>
        <v>164</v>
      </c>
      <c r="N703" s="1" t="str">
        <f aca="false">IF(M703=K703,"OK","DIF")</f>
        <v>OK</v>
      </c>
      <c r="O703" s="13" t="str">
        <f aca="false">IFERROR(VLOOKUP($A703,Lista_Starke!$A:$E,3,0),"NÃO ESTÁ NA LISTA")</f>
        <v>FORD: Ecosport 1.5 12V Dragon 18/...
FORD: Ecosport 2.0 16V Duratec 17/...</v>
      </c>
      <c r="P703" s="12" t="str">
        <f aca="false">IFERROR(VLOOKUP($A703,Lista_Starke!$A:$E,2,0),"NÃO ESTÁ NA LISTA")</f>
        <v>CILINDRO MESTRE DE FREIO</v>
      </c>
    </row>
    <row r="704" customFormat="false" ht="15" hidden="false" customHeight="true" outlineLevel="0" collapsed="false">
      <c r="A704" s="10" t="s">
        <v>1563</v>
      </c>
      <c r="B704" s="10" t="str">
        <f aca="false">IFERROR(VLOOKUP(A704,Pedido!$A:$B,2,0),"")</f>
        <v/>
      </c>
      <c r="C704" s="10" t="str">
        <f aca="false">IF(B704="","NÃO COMPRA","COMPRA")</f>
        <v>NÃO COMPRA</v>
      </c>
      <c r="D704" s="1" t="n">
        <f aca="false">IFERROR(VLOOKUP(A704,Pedido!$A:$C,3,0),0)</f>
        <v>0</v>
      </c>
      <c r="E704" s="5" t="n">
        <f aca="false">IFERROR(VLOOKUP(A704,Pedido!$A:$E,5,0),0)</f>
        <v>0</v>
      </c>
      <c r="F704" s="1" t="s">
        <v>8</v>
      </c>
      <c r="G704" s="1" t="s">
        <v>1564</v>
      </c>
      <c r="H704" s="1" t="s">
        <v>197</v>
      </c>
      <c r="I704" s="1" t="s">
        <v>606</v>
      </c>
      <c r="J704" s="1" t="s">
        <v>1565</v>
      </c>
      <c r="K704" s="1" t="n">
        <v>164</v>
      </c>
      <c r="L704" s="11" t="n">
        <v>0.899910591718707</v>
      </c>
      <c r="M704" s="1" t="n">
        <f aca="false">SUMIF(Relatorio_AK!$A:$A,A704,Relatorio_AK!$B:$B)</f>
        <v>164</v>
      </c>
      <c r="N704" s="1" t="str">
        <f aca="false">IF(M704=K704,"OK","DIF")</f>
        <v>OK</v>
      </c>
      <c r="O704" s="13" t="str">
        <f aca="false">IFERROR(VLOOKUP($A704,Lista_Starke!$A:$E,3,0),"NÃO ESTÁ NA LISTA")</f>
        <v>GM: Blazer 2.8 4 cil Turbo Diesel MWM 4.07T / 4.07TCA 03/…
GM: S10 2.8 4 cil Turbo Diesel MWM 4.07T / 4.07TCA 03/…
NISSAN: Frontier 2.8 Turbo Diesel MWM 4.07TCA 03/…
NISSAN: X Terra 2.8 Turbo Diesel MWM 4.07TCA 03/…
TROLLER: T4 2.8 4 cil Diesel MWM 4.07T / 4.07TCA 98/…</v>
      </c>
      <c r="P704" s="12" t="str">
        <f aca="false">IFERROR(VLOOKUP($A704,Lista_Starke!$A:$E,2,0),"NÃO ESTÁ NA LISTA")</f>
        <v>BOMBA D'ÁGUA</v>
      </c>
    </row>
    <row r="705" customFormat="false" ht="15" hidden="false" customHeight="true" outlineLevel="0" collapsed="false">
      <c r="A705" s="10" t="s">
        <v>1566</v>
      </c>
      <c r="B705" s="10" t="str">
        <f aca="false">IFERROR(VLOOKUP(A705,Pedido!$A:$B,2,0),"")</f>
        <v/>
      </c>
      <c r="C705" s="10" t="str">
        <f aca="false">IF(B705="","NÃO COMPRA","COMPRA")</f>
        <v>NÃO COMPRA</v>
      </c>
      <c r="D705" s="1" t="n">
        <f aca="false">IFERROR(VLOOKUP(A705,Pedido!$A:$C,3,0),0)</f>
        <v>0</v>
      </c>
      <c r="E705" s="5" t="n">
        <f aca="false">IFERROR(VLOOKUP(A705,Pedido!$A:$E,5,0),0)</f>
        <v>0</v>
      </c>
      <c r="F705" s="1" t="s">
        <v>9</v>
      </c>
      <c r="G705" s="1" t="s">
        <v>1567</v>
      </c>
      <c r="H705" s="1" t="s">
        <v>197</v>
      </c>
      <c r="I705" s="1" t="s">
        <v>1568</v>
      </c>
      <c r="J705" s="1" t="s">
        <v>1569</v>
      </c>
      <c r="K705" s="1" t="n">
        <v>164</v>
      </c>
      <c r="L705" s="11" t="n">
        <v>0.90019095420689</v>
      </c>
      <c r="M705" s="1" t="n">
        <f aca="false">SUMIF(Relatorio_AK!$A:$A,A705,Relatorio_AK!$B:$B)</f>
        <v>164</v>
      </c>
      <c r="N705" s="1" t="str">
        <f aca="false">IF(M705=K705,"OK","DIF")</f>
        <v>OK</v>
      </c>
      <c r="O705" s="12" t="str">
        <f aca="false">IFERROR(VLOOKUP($A705,Lista_Starke!$A:$E,3,0),"NÃO ESTÁ NA LISTA")</f>
        <v>EFFA MOTORS: EFFA V21/V22/V25 1.3 16V 20/...</v>
      </c>
      <c r="P705" s="12" t="str">
        <f aca="false">IFERROR(VLOOKUP($A705,Lista_Starke!$A:$E,2,0),"NÃO ESTÁ NA LISTA")</f>
        <v>BOMBA D'ÁGUA</v>
      </c>
    </row>
    <row r="706" customFormat="false" ht="15" hidden="false" customHeight="true" outlineLevel="0" collapsed="false">
      <c r="A706" s="10" t="s">
        <v>1570</v>
      </c>
      <c r="B706" s="10" t="str">
        <f aca="false">IFERROR(VLOOKUP(A706,Pedido!$A:$B,2,0),"")</f>
        <v/>
      </c>
      <c r="C706" s="10" t="str">
        <f aca="false">IF(B706="","NÃO COMPRA","COMPRA")</f>
        <v>NÃO COMPRA</v>
      </c>
      <c r="D706" s="1" t="n">
        <f aca="false">IFERROR(VLOOKUP(A706,Pedido!$A:$C,3,0),0)</f>
        <v>0</v>
      </c>
      <c r="E706" s="5" t="n">
        <f aca="false">IFERROR(VLOOKUP(A706,Pedido!$A:$E,5,0),0)</f>
        <v>0</v>
      </c>
      <c r="F706" s="1" t="s">
        <v>9</v>
      </c>
      <c r="G706" s="1" t="s">
        <v>1571</v>
      </c>
      <c r="H706" s="1" t="s">
        <v>1073</v>
      </c>
      <c r="I706" s="1" t="s">
        <v>63</v>
      </c>
      <c r="J706" s="1" t="s">
        <v>1572</v>
      </c>
      <c r="K706" s="1" t="n">
        <v>164</v>
      </c>
      <c r="L706" s="11" t="n">
        <v>0.900471316695073</v>
      </c>
      <c r="M706" s="1" t="n">
        <f aca="false">SUMIF(Relatorio_AK!$A:$A,A706,Relatorio_AK!$B:$B)</f>
        <v>164</v>
      </c>
      <c r="N706" s="1" t="str">
        <f aca="false">IF(M706=K706,"OK","DIF")</f>
        <v>OK</v>
      </c>
      <c r="O706" s="13" t="str">
        <f aca="false">IFERROR(VLOOKUP($A706,Lista_Starke!$A:$E,3,0),"NÃO ESTÁ NA LISTA")</f>
        <v>NISSAN: Frontier 2.3 16V 16/...
RENAULT: Master 2.3 15V 23/...</v>
      </c>
      <c r="P706" s="12" t="str">
        <f aca="false">IFERROR(VLOOKUP($A706,Lista_Starke!$A:$E,2,0),"NÃO ESTÁ NA LISTA")</f>
        <v>VÁLVULA TERMOSTÁTICA</v>
      </c>
    </row>
    <row r="707" customFormat="false" ht="15" hidden="false" customHeight="true" outlineLevel="0" collapsed="false">
      <c r="A707" s="10" t="s">
        <v>1573</v>
      </c>
      <c r="B707" s="10" t="str">
        <f aca="false">IFERROR(VLOOKUP(A707,Pedido!$A:$B,2,0),"")</f>
        <v/>
      </c>
      <c r="C707" s="10" t="str">
        <f aca="false">IF(B707="","NÃO COMPRA","COMPRA")</f>
        <v>NÃO COMPRA</v>
      </c>
      <c r="D707" s="1" t="n">
        <f aca="false">IFERROR(VLOOKUP(A707,Pedido!$A:$C,3,0),0)</f>
        <v>0</v>
      </c>
      <c r="E707" s="5" t="n">
        <f aca="false">IFERROR(VLOOKUP(A707,Pedido!$A:$E,5,0),0)</f>
        <v>0</v>
      </c>
      <c r="F707" s="1" t="s">
        <v>9</v>
      </c>
      <c r="G707" s="1" t="s">
        <v>483</v>
      </c>
      <c r="H707" s="1" t="s">
        <v>197</v>
      </c>
      <c r="I707" s="1" t="s">
        <v>36</v>
      </c>
      <c r="J707" s="1" t="s">
        <v>1574</v>
      </c>
      <c r="K707" s="1" t="n">
        <v>163</v>
      </c>
      <c r="L707" s="11" t="n">
        <v>0.900749969655889</v>
      </c>
      <c r="M707" s="1" t="n">
        <f aca="false">SUMIF(Relatorio_AK!$A:$A,A707,Relatorio_AK!$B:$B)</f>
        <v>163</v>
      </c>
      <c r="N707" s="1" t="str">
        <f aca="false">IF(M707=K707,"OK","DIF")</f>
        <v>OK</v>
      </c>
      <c r="O707" s="13" t="str">
        <f aca="false">IFERROR(VLOOKUP($A707,Lista_Starke!$A:$E,3,0),"NÃO ESTÁ NA LISTA")</f>
        <v>VOLKSWAGEN: Gol 1.0 16V Power 01/06
VOLKSWAGEN: Parati 1.0 16V Power 01/06
VOLKSWAGEN: Polo 1.0 16V Power 02/06</v>
      </c>
      <c r="P707" s="12" t="str">
        <f aca="false">IFERROR(VLOOKUP($A707,Lista_Starke!$A:$E,2,0),"NÃO ESTÁ NA LISTA")</f>
        <v>BOMBA D'ÁGUA</v>
      </c>
    </row>
    <row r="708" customFormat="false" ht="15" hidden="false" customHeight="true" outlineLevel="0" collapsed="false">
      <c r="A708" s="10" t="s">
        <v>1575</v>
      </c>
      <c r="B708" s="10" t="str">
        <f aca="false">IFERROR(VLOOKUP(A708,Pedido!$A:$B,2,0),"")</f>
        <v/>
      </c>
      <c r="C708" s="10" t="str">
        <f aca="false">IF(B708="","NÃO COMPRA","COMPRA")</f>
        <v>NÃO COMPRA</v>
      </c>
      <c r="D708" s="1" t="n">
        <f aca="false">IFERROR(VLOOKUP(A708,Pedido!$A:$C,3,0),0)</f>
        <v>0</v>
      </c>
      <c r="E708" s="5" t="n">
        <f aca="false">IFERROR(VLOOKUP(A708,Pedido!$A:$E,5,0),0)</f>
        <v>0</v>
      </c>
      <c r="F708" s="1" t="s">
        <v>9</v>
      </c>
      <c r="G708" s="1" t="s">
        <v>1576</v>
      </c>
      <c r="H708" s="1" t="s">
        <v>35</v>
      </c>
      <c r="I708" s="1" t="s">
        <v>53</v>
      </c>
      <c r="K708" s="1" t="n">
        <v>162</v>
      </c>
      <c r="L708" s="11" t="n">
        <v>0.901026913089338</v>
      </c>
      <c r="M708" s="1" t="n">
        <f aca="false">SUMIF(Relatorio_AK!$A:$A,A708,Relatorio_AK!$B:$B)</f>
        <v>162</v>
      </c>
      <c r="N708" s="1" t="str">
        <f aca="false">IF(M708=K708,"OK","DIF")</f>
        <v>OK</v>
      </c>
      <c r="O708" s="13" t="str">
        <f aca="false">IFERROR(VLOOKUP($A708,Lista_Starke!$A:$E,3,0),"NÃO ESTÁ NA LISTA")</f>
        <v>FORD: Fusion 2.0 16V Ecoboost 13/...
FORD: Fusion 2.5 16V Duratec 13/...</v>
      </c>
      <c r="P708" s="12" t="str">
        <f aca="false">IFERROR(VLOOKUP($A708,Lista_Starke!$A:$E,2,0),"NÃO ESTÁ NA LISTA")</f>
        <v>CILINDRO MESTRE DE FREIO</v>
      </c>
    </row>
    <row r="709" customFormat="false" ht="15" hidden="false" customHeight="true" outlineLevel="0" collapsed="false">
      <c r="A709" s="10" t="s">
        <v>1577</v>
      </c>
      <c r="B709" s="10" t="str">
        <f aca="false">IFERROR(VLOOKUP(A709,Pedido!$A:$B,2,0),"")</f>
        <v/>
      </c>
      <c r="C709" s="10" t="str">
        <f aca="false">IF(B709="","NÃO COMPRA","COMPRA")</f>
        <v>NÃO COMPRA</v>
      </c>
      <c r="D709" s="1" t="n">
        <f aca="false">IFERROR(VLOOKUP(A709,Pedido!$A:$C,3,0),0)</f>
        <v>0</v>
      </c>
      <c r="E709" s="5" t="n">
        <f aca="false">IFERROR(VLOOKUP(A709,Pedido!$A:$E,5,0),0)</f>
        <v>0</v>
      </c>
      <c r="F709" s="1" t="s">
        <v>9</v>
      </c>
      <c r="G709" s="1" t="s">
        <v>1257</v>
      </c>
      <c r="H709" s="1" t="s">
        <v>131</v>
      </c>
      <c r="I709" s="1" t="s">
        <v>255</v>
      </c>
      <c r="J709" s="1" t="s">
        <v>1578</v>
      </c>
      <c r="K709" s="1" t="n">
        <v>162</v>
      </c>
      <c r="L709" s="11" t="n">
        <v>0.901303856522787</v>
      </c>
      <c r="M709" s="1" t="n">
        <f aca="false">SUMIF(Relatorio_AK!$A:$A,A709,Relatorio_AK!$B:$B)</f>
        <v>162</v>
      </c>
      <c r="N709" s="1" t="str">
        <f aca="false">IF(M709=K709,"OK","DIF")</f>
        <v>OK</v>
      </c>
      <c r="O709" s="13" t="str">
        <f aca="false">IFERROR(VLOOKUP($A709,Lista_Starke!$A:$E,3,0),"NÃO ESTÁ NA LISTA")</f>
        <v>MITSUBISHI: L200 2.5 Diesel / 2.5 Turbo Diesel 97/…
MITSUBISHI: L200 Sport 2.5 Diesel Frente Quadrada 06/…
MITSUBISHI: L300 2.5 Diesel / 2.5 Turbo Diesel 91/…
MITSUBISHI: Pajero 2.5 Diesel / 2.5 Turbo Diesel 91/…</v>
      </c>
      <c r="P709" s="12" t="str">
        <f aca="false">IFERROR(VLOOKUP($A709,Lista_Starke!$A:$E,2,0),"NÃO ESTÁ NA LISTA")</f>
        <v>SAPATA DE FREIO</v>
      </c>
    </row>
    <row r="710" customFormat="false" ht="15" hidden="false" customHeight="true" outlineLevel="0" collapsed="false">
      <c r="A710" s="10" t="s">
        <v>1579</v>
      </c>
      <c r="B710" s="10" t="str">
        <f aca="false">IFERROR(VLOOKUP(A710,Pedido!$A:$B,2,0),"")</f>
        <v/>
      </c>
      <c r="C710" s="10" t="str">
        <f aca="false">IF(B710="","NÃO COMPRA","COMPRA")</f>
        <v>NÃO COMPRA</v>
      </c>
      <c r="D710" s="1" t="n">
        <f aca="false">IFERROR(VLOOKUP(A710,Pedido!$A:$C,3,0),0)</f>
        <v>0</v>
      </c>
      <c r="E710" s="5" t="n">
        <f aca="false">IFERROR(VLOOKUP(A710,Pedido!$A:$E,5,0),0)</f>
        <v>0</v>
      </c>
      <c r="F710" s="1" t="s">
        <v>9</v>
      </c>
      <c r="G710" s="1" t="s">
        <v>687</v>
      </c>
      <c r="H710" s="1" t="s">
        <v>32</v>
      </c>
      <c r="I710" s="1" t="s">
        <v>373</v>
      </c>
      <c r="J710" s="1" t="s">
        <v>1580</v>
      </c>
      <c r="K710" s="1" t="n">
        <v>162</v>
      </c>
      <c r="L710" s="11" t="n">
        <v>0.901580799956236</v>
      </c>
      <c r="M710" s="1" t="n">
        <f aca="false">SUMIF(Relatorio_AK!$A:$A,A710,Relatorio_AK!$B:$B)</f>
        <v>162</v>
      </c>
      <c r="N710" s="1" t="str">
        <f aca="false">IF(M710=K710,"OK","DIF")</f>
        <v>OK</v>
      </c>
      <c r="O710" s="13" t="str">
        <f aca="false">IFERROR(VLOOKUP($A710,Lista_Starke!$A:$E,3,0),"NÃO ESTÁ NA LISTA")</f>
        <v>MERCEDES-BENZ: 1218  09/...
MERCEDES-BENZ: 1418  09/...
MERCEDES-BENZ: 1722  09/...
MERCEDES-BENZ: 1725  
MERCEDES-BENZ: 1826  
MERCEDES-BENZ: 1830  
MERCEDES-BENZ: 1941  
MERCEDES-BENZ: 2422  
MERCEDES-BENZ: 2443  
MERCEDES-BENZ: 2736  
MERCEDES-BENZ: L1418  
MERCEDES-BENZ: O500 M1725 6.4 18V 01/12
MERCEDES-BENZ: O500 M1728 6.4 18V 01/05
MERCEDES-BENZ: OF1417 4.3 12V 99/04
MERCEDES-BENZ: OH1519 4.8 12V 12/...</v>
      </c>
      <c r="P710" s="12" t="str">
        <f aca="false">IFERROR(VLOOKUP($A710,Lista_Starke!$A:$E,2,0),"NÃO ESTÁ NA LISTA")</f>
        <v>CILINDRO MESTRE DE EMBREAGEM</v>
      </c>
    </row>
    <row r="711" customFormat="false" ht="15" hidden="false" customHeight="true" outlineLevel="0" collapsed="false">
      <c r="A711" s="10" t="s">
        <v>1581</v>
      </c>
      <c r="B711" s="10" t="str">
        <f aca="false">IFERROR(VLOOKUP(A711,Pedido!$A:$B,2,0),"")</f>
        <v/>
      </c>
      <c r="C711" s="10" t="str">
        <f aca="false">IF(B711="","NÃO COMPRA","COMPRA")</f>
        <v>NÃO COMPRA</v>
      </c>
      <c r="D711" s="1" t="n">
        <f aca="false">IFERROR(VLOOKUP(A711,Pedido!$A:$C,3,0),0)</f>
        <v>0</v>
      </c>
      <c r="E711" s="5" t="n">
        <f aca="false">IFERROR(VLOOKUP(A711,Pedido!$A:$E,5,0),0)</f>
        <v>0</v>
      </c>
      <c r="F711" s="1" t="s">
        <v>9</v>
      </c>
      <c r="G711" s="1" t="s">
        <v>379</v>
      </c>
      <c r="H711" s="1" t="s">
        <v>32</v>
      </c>
      <c r="I711" s="1" t="s">
        <v>36</v>
      </c>
      <c r="J711" s="1" t="s">
        <v>1582</v>
      </c>
      <c r="K711" s="1" t="n">
        <v>161</v>
      </c>
      <c r="L711" s="11" t="n">
        <v>0.901856033862318</v>
      </c>
      <c r="M711" s="1" t="n">
        <f aca="false">SUMIF(Relatorio_AK!$A:$A,A711,Relatorio_AK!$B:$B)</f>
        <v>161</v>
      </c>
      <c r="N711" s="1" t="str">
        <f aca="false">IF(M711=K711,"OK","DIF")</f>
        <v>OK</v>
      </c>
      <c r="O711" s="13" t="str">
        <f aca="false">IFERROR(VLOOKUP($A711,Lista_Starke!$A:$E,3,0),"NÃO ESTÁ NA LISTA")</f>
        <v>VOLKSWAGEN: Golf 1.0 12V 3 cil TSI 14/...
VOLKSWAGEN: Golf 1.4 16V TSI 14/...
VOLKSWAGEN: Golf GTI 2.0 16V 13/...</v>
      </c>
      <c r="P711" s="12" t="str">
        <f aca="false">IFERROR(VLOOKUP($A711,Lista_Starke!$A:$E,2,0),"NÃO ESTÁ NA LISTA")</f>
        <v>CILINDRO MESTRE DE EMBREAGEM</v>
      </c>
    </row>
    <row r="712" customFormat="false" ht="15" hidden="false" customHeight="true" outlineLevel="0" collapsed="false">
      <c r="A712" s="10" t="s">
        <v>1583</v>
      </c>
      <c r="B712" s="10" t="str">
        <f aca="false">IFERROR(VLOOKUP(A712,Pedido!$A:$B,2,0),"")</f>
        <v/>
      </c>
      <c r="C712" s="10" t="str">
        <f aca="false">IF(B712="","NÃO COMPRA","COMPRA")</f>
        <v>NÃO COMPRA</v>
      </c>
      <c r="D712" s="1" t="n">
        <f aca="false">IFERROR(VLOOKUP(A712,Pedido!$A:$C,3,0),0)</f>
        <v>0</v>
      </c>
      <c r="E712" s="5" t="n">
        <f aca="false">IFERROR(VLOOKUP(A712,Pedido!$A:$E,5,0),0)</f>
        <v>0</v>
      </c>
      <c r="F712" s="1" t="s">
        <v>9</v>
      </c>
      <c r="G712" s="1" t="s">
        <v>372</v>
      </c>
      <c r="H712" s="1" t="s">
        <v>35</v>
      </c>
      <c r="I712" s="1" t="s">
        <v>373</v>
      </c>
      <c r="J712" s="1" t="s">
        <v>1584</v>
      </c>
      <c r="K712" s="1" t="n">
        <v>160</v>
      </c>
      <c r="L712" s="11" t="n">
        <v>0.902129558241033</v>
      </c>
      <c r="M712" s="1" t="n">
        <f aca="false">SUMIF(Relatorio_AK!$A:$A,A712,Relatorio_AK!$B:$B)</f>
        <v>160</v>
      </c>
      <c r="N712" s="1" t="str">
        <f aca="false">IF(M712=K712,"OK","DIF")</f>
        <v>OK</v>
      </c>
      <c r="O712" s="12" t="str">
        <f aca="false">IFERROR(VLOOKUP($A712,Lista_Starke!$A:$E,3,0),"NÃO ESTÁ NA LISTA")</f>
        <v>MERCEDES-BENZ: Sprinter 310  97/00</v>
      </c>
      <c r="P712" s="12" t="str">
        <f aca="false">IFERROR(VLOOKUP($A712,Lista_Starke!$A:$E,2,0),"NÃO ESTÁ NA LISTA")</f>
        <v>CILINDRO MESTRE DE FREIO</v>
      </c>
    </row>
    <row r="713" customFormat="false" ht="15" hidden="false" customHeight="true" outlineLevel="0" collapsed="false">
      <c r="A713" s="10" t="s">
        <v>1585</v>
      </c>
      <c r="B713" s="10" t="str">
        <f aca="false">IFERROR(VLOOKUP(A713,Pedido!$A:$B,2,0),"")</f>
        <v/>
      </c>
      <c r="C713" s="10" t="str">
        <f aca="false">IF(B713="","NÃO COMPRA","COMPRA")</f>
        <v>NÃO COMPRA</v>
      </c>
      <c r="D713" s="1" t="n">
        <f aca="false">IFERROR(VLOOKUP(A713,Pedido!$A:$C,3,0),0)</f>
        <v>0</v>
      </c>
      <c r="E713" s="5" t="n">
        <f aca="false">IFERROR(VLOOKUP(A713,Pedido!$A:$E,5,0),0)</f>
        <v>0</v>
      </c>
      <c r="F713" s="1" t="s">
        <v>9</v>
      </c>
      <c r="G713" s="1" t="s">
        <v>695</v>
      </c>
      <c r="H713" s="1" t="s">
        <v>197</v>
      </c>
      <c r="I713" s="1" t="s">
        <v>1066</v>
      </c>
      <c r="K713" s="1" t="n">
        <v>160</v>
      </c>
      <c r="L713" s="11" t="n">
        <v>0.902403082619748</v>
      </c>
      <c r="M713" s="1" t="n">
        <f aca="false">SUMIF(Relatorio_AK!$A:$A,A713,Relatorio_AK!$B:$B)</f>
        <v>160</v>
      </c>
      <c r="N713" s="1" t="str">
        <f aca="false">IF(M713=K713,"OK","DIF")</f>
        <v>OK</v>
      </c>
      <c r="O713" s="13" t="str">
        <f aca="false">IFERROR(VLOOKUP($A713,Lista_Starke!$A:$E,3,0),"NÃO ESTÁ NA LISTA")</f>
        <v>CHERY: Face 1.3 16V   SQR473F 10/…
CHERY: S18 1.3 16V   SQR473F 12/…
RELY: Link 1.3 16V    SQR473F 13/..</v>
      </c>
      <c r="P713" s="12" t="str">
        <f aca="false">IFERROR(VLOOKUP($A713,Lista_Starke!$A:$E,2,0),"NÃO ESTÁ NA LISTA")</f>
        <v>BOMBA D'ÁGUA</v>
      </c>
    </row>
    <row r="714" customFormat="false" ht="15" hidden="false" customHeight="true" outlineLevel="0" collapsed="false">
      <c r="A714" s="10" t="s">
        <v>1586</v>
      </c>
      <c r="B714" s="10" t="str">
        <f aca="false">IFERROR(VLOOKUP(A714,Pedido!$A:$B,2,0),"")</f>
        <v/>
      </c>
      <c r="C714" s="10" t="str">
        <f aca="false">IF(B714="","NÃO COMPRA","COMPRA")</f>
        <v>NÃO COMPRA</v>
      </c>
      <c r="D714" s="1" t="n">
        <f aca="false">IFERROR(VLOOKUP(A714,Pedido!$A:$C,3,0),0)</f>
        <v>0</v>
      </c>
      <c r="E714" s="5" t="n">
        <f aca="false">IFERROR(VLOOKUP(A714,Pedido!$A:$E,5,0),0)</f>
        <v>0</v>
      </c>
      <c r="F714" s="1" t="s">
        <v>9</v>
      </c>
      <c r="G714" s="1" t="s">
        <v>1587</v>
      </c>
      <c r="H714" s="1" t="s">
        <v>326</v>
      </c>
      <c r="I714" s="1" t="s">
        <v>172</v>
      </c>
      <c r="K714" s="1" t="n">
        <v>159</v>
      </c>
      <c r="L714" s="11" t="n">
        <v>0.902674897471096</v>
      </c>
      <c r="M714" s="1" t="n">
        <f aca="false">SUMIF(Relatorio_AK!$A:$A,A714,Relatorio_AK!$B:$B)</f>
        <v>159</v>
      </c>
      <c r="N714" s="1" t="str">
        <f aca="false">IF(M714=K714,"OK","DIF")</f>
        <v>OK</v>
      </c>
      <c r="O714" s="13" t="str">
        <f aca="false">IFERROR(VLOOKUP($A714,Lista_Starke!$A:$E,3,0),"NÃO ESTÁ NA LISTA")</f>
        <v>HYUNDAI: HR 2.5 8V Diesel 05/12
KIA: Bongo K2500 2.5 8V Diesel 05/12
MITSUBISHI: L200 Sport 2.5 Diesel / 2.5 Turbo Diesel HPE 03/…
MITSUBISHI: Pajero Sport 2.5 8V HPE 03/12</v>
      </c>
      <c r="P714" s="12" t="str">
        <f aca="false">IFERROR(VLOOKUP($A714,Lista_Starke!$A:$E,2,0),"NÃO ESTÁ NA LISTA")</f>
        <v>BOMBA DE VÁCUO ALTERNADOR</v>
      </c>
    </row>
    <row r="715" customFormat="false" ht="15" hidden="false" customHeight="true" outlineLevel="0" collapsed="false">
      <c r="A715" s="10" t="s">
        <v>1588</v>
      </c>
      <c r="B715" s="10" t="str">
        <f aca="false">IFERROR(VLOOKUP(A715,Pedido!$A:$B,2,0),"")</f>
        <v/>
      </c>
      <c r="C715" s="10" t="str">
        <f aca="false">IF(B715="","NÃO COMPRA","COMPRA")</f>
        <v>NÃO COMPRA</v>
      </c>
      <c r="D715" s="1" t="n">
        <f aca="false">IFERROR(VLOOKUP(A715,Pedido!$A:$C,3,0),0)</f>
        <v>0</v>
      </c>
      <c r="E715" s="5" t="n">
        <f aca="false">IFERROR(VLOOKUP(A715,Pedido!$A:$E,5,0),0)</f>
        <v>0</v>
      </c>
      <c r="F715" s="1" t="s">
        <v>9</v>
      </c>
      <c r="G715" s="1" t="s">
        <v>1334</v>
      </c>
      <c r="H715" s="1" t="s">
        <v>96</v>
      </c>
      <c r="I715" s="1" t="s">
        <v>215</v>
      </c>
      <c r="K715" s="1" t="n">
        <v>158</v>
      </c>
      <c r="L715" s="11" t="n">
        <v>0.902945002795077</v>
      </c>
      <c r="M715" s="1" t="n">
        <f aca="false">SUMIF(Relatorio_AK!$A:$A,A715,Relatorio_AK!$B:$B)</f>
        <v>158</v>
      </c>
      <c r="N715" s="1" t="str">
        <f aca="false">IF(M715=K715,"OK","DIF")</f>
        <v>OK</v>
      </c>
      <c r="O715" s="13" t="str">
        <f aca="false">IFERROR(VLOOKUP($A715,Lista_Starke!$A:$E,3,0),"NÃO ESTÁ NA LISTA")</f>
        <v>NISSAN: Frontier 2.3 16V 16/...
RENAULT: Master 2.3 16V Turbo 13/…</v>
      </c>
      <c r="P715" s="12" t="str">
        <f aca="false">IFERROR(VLOOKUP($A715,Lista_Starke!$A:$E,2,0),"NÃO ESTÁ NA LISTA")</f>
        <v>BOMBA DE VÁCUO</v>
      </c>
    </row>
    <row r="716" customFormat="false" ht="15" hidden="false" customHeight="true" outlineLevel="0" collapsed="false">
      <c r="A716" s="10" t="s">
        <v>1589</v>
      </c>
      <c r="B716" s="10" t="str">
        <f aca="false">IFERROR(VLOOKUP(A716,Pedido!$A:$B,2,0),"")</f>
        <v/>
      </c>
      <c r="C716" s="10" t="str">
        <f aca="false">IF(B716="","NÃO COMPRA","COMPRA")</f>
        <v>NÃO COMPRA</v>
      </c>
      <c r="D716" s="1" t="n">
        <f aca="false">IFERROR(VLOOKUP(A716,Pedido!$A:$C,3,0),0)</f>
        <v>0</v>
      </c>
      <c r="E716" s="5" t="n">
        <f aca="false">IFERROR(VLOOKUP(A716,Pedido!$A:$E,5,0),0)</f>
        <v>0</v>
      </c>
      <c r="F716" s="1" t="s">
        <v>9</v>
      </c>
      <c r="G716" s="1" t="s">
        <v>1590</v>
      </c>
      <c r="H716" s="1" t="s">
        <v>96</v>
      </c>
      <c r="I716" s="1" t="s">
        <v>77</v>
      </c>
      <c r="K716" s="1" t="n">
        <v>156</v>
      </c>
      <c r="L716" s="11" t="n">
        <v>0.903211689064324</v>
      </c>
      <c r="M716" s="1" t="n">
        <f aca="false">SUMIF(Relatorio_AK!$A:$A,A716,Relatorio_AK!$B:$B)</f>
        <v>156</v>
      </c>
      <c r="N716" s="1" t="str">
        <f aca="false">IF(M716=K716,"OK","DIF")</f>
        <v>OK</v>
      </c>
      <c r="O716" s="13" t="str">
        <f aca="false">IFERROR(VLOOKUP($A716,Lista_Starke!$A:$E,3,0),"NÃO ESTÁ NA LISTA")</f>
        <v>CITROEN: Jumpy 1.6 8V Diesel DV6 16/...
PEUGEOT: Expert 1.6 8V Diesel DV6 16/...</v>
      </c>
      <c r="P716" s="12" t="str">
        <f aca="false">IFERROR(VLOOKUP($A716,Lista_Starke!$A:$E,2,0),"NÃO ESTÁ NA LISTA")</f>
        <v>BOMBA DE VÁCUO</v>
      </c>
    </row>
    <row r="717" customFormat="false" ht="15" hidden="false" customHeight="true" outlineLevel="0" collapsed="false">
      <c r="A717" s="10" t="s">
        <v>1591</v>
      </c>
      <c r="B717" s="10" t="str">
        <f aca="false">IFERROR(VLOOKUP(A717,Pedido!$A:$B,2,0),"")</f>
        <v/>
      </c>
      <c r="C717" s="10" t="str">
        <f aca="false">IF(B717="","NÃO COMPRA","COMPRA")</f>
        <v>NÃO COMPRA</v>
      </c>
      <c r="D717" s="1" t="n">
        <f aca="false">IFERROR(VLOOKUP(A717,Pedido!$A:$C,3,0),0)</f>
        <v>0</v>
      </c>
      <c r="E717" s="5" t="n">
        <f aca="false">IFERROR(VLOOKUP(A717,Pedido!$A:$E,5,0),0)</f>
        <v>0</v>
      </c>
      <c r="F717" s="1" t="s">
        <v>9</v>
      </c>
      <c r="G717" s="1" t="s">
        <v>229</v>
      </c>
      <c r="H717" s="1" t="s">
        <v>157</v>
      </c>
      <c r="I717" s="1" t="s">
        <v>42</v>
      </c>
      <c r="J717" s="1" t="s">
        <v>1592</v>
      </c>
      <c r="K717" s="1" t="n">
        <v>156</v>
      </c>
      <c r="L717" s="11" t="n">
        <v>0.903478375333571</v>
      </c>
      <c r="M717" s="1" t="n">
        <f aca="false">SUMIF(Relatorio_AK!$A:$A,A717,Relatorio_AK!$B:$B)</f>
        <v>156</v>
      </c>
      <c r="N717" s="1" t="str">
        <f aca="false">IF(M717=K717,"OK","DIF")</f>
        <v>OK</v>
      </c>
      <c r="O717" s="13" t="str">
        <f aca="false">IFERROR(VLOOKUP($A717,Lista_Starke!$A:$E,3,0),"NÃO ESTÁ NA LISTA")</f>
        <v>RENAULT: Duster 2.0 16V 4X2 15/...
RENAULT: Duster 2.0 16V 4X4 F4R 11/...</v>
      </c>
      <c r="P717" s="12" t="str">
        <f aca="false">IFERROR(VLOOKUP($A717,Lista_Starke!$A:$E,2,0),"NÃO ESTÁ NA LISTA")</f>
        <v>ATUADOR DE EMBREAGEM</v>
      </c>
    </row>
    <row r="718" customFormat="false" ht="15" hidden="false" customHeight="true" outlineLevel="0" collapsed="false">
      <c r="A718" s="10" t="s">
        <v>1593</v>
      </c>
      <c r="B718" s="10" t="str">
        <f aca="false">IFERROR(VLOOKUP(A718,Pedido!$A:$B,2,0),"")</f>
        <v/>
      </c>
      <c r="C718" s="10" t="str">
        <f aca="false">IF(B718="","NÃO COMPRA","COMPRA")</f>
        <v>NÃO COMPRA</v>
      </c>
      <c r="D718" s="1" t="n">
        <f aca="false">IFERROR(VLOOKUP(A718,Pedido!$A:$C,3,0),0)</f>
        <v>0</v>
      </c>
      <c r="E718" s="5" t="n">
        <f aca="false">IFERROR(VLOOKUP(A718,Pedido!$A:$E,5,0),0)</f>
        <v>0</v>
      </c>
      <c r="F718" s="1" t="s">
        <v>9</v>
      </c>
      <c r="G718" s="1" t="s">
        <v>763</v>
      </c>
      <c r="H718" s="1" t="s">
        <v>197</v>
      </c>
      <c r="I718" s="1" t="s">
        <v>373</v>
      </c>
      <c r="J718" s="1" t="s">
        <v>1594</v>
      </c>
      <c r="K718" s="1" t="n">
        <v>156</v>
      </c>
      <c r="L718" s="11" t="n">
        <v>0.903745061602819</v>
      </c>
      <c r="M718" s="1" t="n">
        <f aca="false">SUMIF(Relatorio_AK!$A:$A,A718,Relatorio_AK!$B:$B)</f>
        <v>156</v>
      </c>
      <c r="N718" s="1" t="str">
        <f aca="false">IF(M718=K718,"OK","DIF")</f>
        <v>OK</v>
      </c>
      <c r="O718" s="12" t="str">
        <f aca="false">IFERROR(VLOOKUP($A718,Lista_Starke!$A:$E,3,0),"NÃO ESTÁ NA LISTA")</f>
        <v>MERCEDES-BENZ: Sprinter 311 / 313 / 411 2.1 / 2.7 CDI Eletrônico OM611.981 / OM612.981 02/…</v>
      </c>
      <c r="P718" s="12" t="str">
        <f aca="false">IFERROR(VLOOKUP($A718,Lista_Starke!$A:$E,2,0),"NÃO ESTÁ NA LISTA")</f>
        <v>BOMBA D'ÁGUA</v>
      </c>
    </row>
    <row r="719" customFormat="false" ht="15" hidden="false" customHeight="true" outlineLevel="0" collapsed="false">
      <c r="A719" s="10" t="s">
        <v>1595</v>
      </c>
      <c r="B719" s="10" t="str">
        <f aca="false">IFERROR(VLOOKUP(A719,Pedido!$A:$B,2,0),"")</f>
        <v/>
      </c>
      <c r="C719" s="10" t="str">
        <f aca="false">IF(B719="","NÃO COMPRA","COMPRA")</f>
        <v>NÃO COMPRA</v>
      </c>
      <c r="D719" s="1" t="n">
        <f aca="false">IFERROR(VLOOKUP(A719,Pedido!$A:$C,3,0),0)</f>
        <v>0</v>
      </c>
      <c r="E719" s="5" t="n">
        <f aca="false">IFERROR(VLOOKUP(A719,Pedido!$A:$E,5,0),0)</f>
        <v>0</v>
      </c>
      <c r="F719" s="1" t="s">
        <v>9</v>
      </c>
      <c r="G719" s="1" t="s">
        <v>234</v>
      </c>
      <c r="H719" s="1" t="s">
        <v>235</v>
      </c>
      <c r="I719" s="1" t="s">
        <v>215</v>
      </c>
      <c r="J719" s="1" t="s">
        <v>1596</v>
      </c>
      <c r="K719" s="1" t="n">
        <v>156</v>
      </c>
      <c r="L719" s="11" t="n">
        <v>0.904011747872066</v>
      </c>
      <c r="M719" s="1" t="n">
        <f aca="false">SUMIF(Relatorio_AK!$A:$A,A719,Relatorio_AK!$B:$B)</f>
        <v>156</v>
      </c>
      <c r="N719" s="1" t="str">
        <f aca="false">IF(M719=K719,"OK","DIF")</f>
        <v>OK</v>
      </c>
      <c r="O719" s="12" t="str">
        <f aca="false">IFERROR(VLOOKUP($A719,Lista_Starke!$A:$E,3,0),"NÃO ESTÁ NA LISTA")</f>
        <v>NISSAN: Frontier 2.5 16V Turbo Diesel YD25 08/…</v>
      </c>
      <c r="P719" s="12" t="str">
        <f aca="false">IFERROR(VLOOKUP($A719,Lista_Starke!$A:$E,2,0),"NÃO ESTÁ NA LISTA")</f>
        <v>RESFRIADOR DE ÓLEO MOTOR</v>
      </c>
    </row>
    <row r="720" customFormat="false" ht="15" hidden="false" customHeight="true" outlineLevel="0" collapsed="false">
      <c r="A720" s="10" t="s">
        <v>1597</v>
      </c>
      <c r="B720" s="10" t="str">
        <f aca="false">IFERROR(VLOOKUP(A720,Pedido!$A:$B,2,0),"")</f>
        <v/>
      </c>
      <c r="C720" s="10" t="str">
        <f aca="false">IF(B720="","NÃO COMPRA","COMPRA")</f>
        <v>NÃO COMPRA</v>
      </c>
      <c r="D720" s="1" t="n">
        <f aca="false">IFERROR(VLOOKUP(A720,Pedido!$A:$C,3,0),0)</f>
        <v>0</v>
      </c>
      <c r="E720" s="5" t="n">
        <f aca="false">IFERROR(VLOOKUP(A720,Pedido!$A:$E,5,0),0)</f>
        <v>0</v>
      </c>
      <c r="F720" s="1" t="s">
        <v>9</v>
      </c>
      <c r="G720" s="1" t="s">
        <v>191</v>
      </c>
      <c r="H720" s="1" t="s">
        <v>35</v>
      </c>
      <c r="I720" s="1" t="s">
        <v>50</v>
      </c>
      <c r="J720" s="1" t="s">
        <v>1598</v>
      </c>
      <c r="K720" s="1" t="n">
        <v>155</v>
      </c>
      <c r="L720" s="11" t="n">
        <v>0.904276724613946</v>
      </c>
      <c r="M720" s="1" t="n">
        <f aca="false">SUMIF(Relatorio_AK!$A:$A,A720,Relatorio_AK!$B:$B)</f>
        <v>155</v>
      </c>
      <c r="N720" s="1" t="str">
        <f aca="false">IF(M720=K720,"OK","DIF")</f>
        <v>OK</v>
      </c>
      <c r="O720" s="13" t="str">
        <f aca="false">IFERROR(VLOOKUP($A720,Lista_Starke!$A:$E,3,0),"NÃO ESTÁ NA LISTA")</f>
        <v>HONDA: City 1.5 16V 15/20
HONDA: Fit 1.5 16V 15/...
HONDA: WRV 1.5 16V 18/19</v>
      </c>
      <c r="P720" s="12" t="str">
        <f aca="false">IFERROR(VLOOKUP($A720,Lista_Starke!$A:$E,2,0),"NÃO ESTÁ NA LISTA")</f>
        <v>CILINDRO MESTRE DE FREIO</v>
      </c>
    </row>
    <row r="721" customFormat="false" ht="15" hidden="false" customHeight="true" outlineLevel="0" collapsed="false">
      <c r="A721" s="10" t="s">
        <v>1599</v>
      </c>
      <c r="B721" s="10" t="str">
        <f aca="false">IFERROR(VLOOKUP(A721,Pedido!$A:$B,2,0),"")</f>
        <v/>
      </c>
      <c r="C721" s="10" t="str">
        <f aca="false">IF(B721="","NÃO COMPRA","COMPRA")</f>
        <v>NÃO COMPRA</v>
      </c>
      <c r="D721" s="1" t="n">
        <f aca="false">IFERROR(VLOOKUP(A721,Pedido!$A:$C,3,0),0)</f>
        <v>0</v>
      </c>
      <c r="E721" s="5" t="n">
        <f aca="false">IFERROR(VLOOKUP(A721,Pedido!$A:$E,5,0),0)</f>
        <v>0</v>
      </c>
      <c r="F721" s="1" t="s">
        <v>9</v>
      </c>
      <c r="G721" s="1" t="s">
        <v>1600</v>
      </c>
      <c r="H721" s="1" t="s">
        <v>126</v>
      </c>
      <c r="I721" s="1" t="s">
        <v>1157</v>
      </c>
      <c r="J721" s="1" t="s">
        <v>1601</v>
      </c>
      <c r="K721" s="1" t="n">
        <v>153</v>
      </c>
      <c r="L721" s="11" t="n">
        <v>0.904538282301092</v>
      </c>
      <c r="M721" s="1" t="n">
        <f aca="false">SUMIF(Relatorio_AK!$A:$A,A721,Relatorio_AK!$B:$B)</f>
        <v>153</v>
      </c>
      <c r="N721" s="1" t="str">
        <f aca="false">IF(M721=K721,"OK","DIF")</f>
        <v>OK</v>
      </c>
      <c r="O721" s="13" t="str">
        <f aca="false">IFERROR(VLOOKUP($A721,Lista_Starke!$A:$E,3,0),"NÃO ESTÁ NA LISTA")</f>
        <v>BMW: 130i (E87) 3.0 24V 06/12
BMW: 325i (E90) 3.0 24V 08/12
BMW: 325i (E91) 2.5 24V 06/09
BMW: 325i (E92) 2.5 24V 09/10
BMW: 330i (E90) 3.0 24V 06/06
BMW: X1 (E84) sDrive 18i 2.0 16V 11/14
BMW: X1 (E84) sDrive 20i 2.0 16V 13/15
BMW: X1 (E84) xDrive 28i 2.0 16V 12/15
BMW: X1 (E84) xDrive 28i 3.0 24V 10/12
BMW: Z4 (E89) 2.5 24V 09/11
BMW: Z4 (E89) sDrive 20i 2.0 16V 13/15</v>
      </c>
      <c r="P721" s="12" t="str">
        <f aca="false">IFERROR(VLOOKUP($A721,Lista_Starke!$A:$E,2,0),"NÃO ESTÁ NA LISTA")</f>
        <v>RESFRIADOR DE ÓLEO CÂMBIO</v>
      </c>
    </row>
    <row r="722" customFormat="false" ht="15" hidden="false" customHeight="true" outlineLevel="0" collapsed="false">
      <c r="A722" s="10" t="s">
        <v>1602</v>
      </c>
      <c r="B722" s="10" t="str">
        <f aca="false">IFERROR(VLOOKUP(A722,Pedido!$A:$B,2,0),"")</f>
        <v/>
      </c>
      <c r="C722" s="10" t="str">
        <f aca="false">IF(B722="","NÃO COMPRA","COMPRA")</f>
        <v>NÃO COMPRA</v>
      </c>
      <c r="D722" s="1" t="n">
        <f aca="false">IFERROR(VLOOKUP(A722,Pedido!$A:$C,3,0),0)</f>
        <v>0</v>
      </c>
      <c r="E722" s="5" t="n">
        <f aca="false">IFERROR(VLOOKUP(A722,Pedido!$A:$E,5,0),0)</f>
        <v>0</v>
      </c>
      <c r="F722" s="1" t="s">
        <v>9</v>
      </c>
      <c r="G722" s="1" t="s">
        <v>1541</v>
      </c>
      <c r="H722" s="1" t="s">
        <v>1073</v>
      </c>
      <c r="I722" s="1" t="s">
        <v>1603</v>
      </c>
      <c r="J722" s="1" t="s">
        <v>1604</v>
      </c>
      <c r="K722" s="1" t="n">
        <v>153</v>
      </c>
      <c r="L722" s="11" t="n">
        <v>0.904799839988238</v>
      </c>
      <c r="M722" s="1" t="n">
        <f aca="false">SUMIF(Relatorio_AK!$A:$A,A722,Relatorio_AK!$B:$B)</f>
        <v>153</v>
      </c>
      <c r="N722" s="1" t="str">
        <f aca="false">IF(M722=K722,"OK","DIF")</f>
        <v>OK</v>
      </c>
      <c r="O722" s="13" t="str">
        <f aca="false">IFERROR(VLOOKUP($A722,Lista_Starke!$A:$E,3,0),"NÃO ESTÁ NA LISTA")</f>
        <v>HYUNDAI: Azera 3.3 24V V6   G6DB 07/11
HYUNDAI: Santa Fe 3.3 24V V6   G6DB 13/…
KIA: Sorento 3.3 24V V6   G6DG 07/…
TOYOTA: Hilux 2.5 Turbo Diesel 2KD 06/…
TOYOTA: Hilux 2.8 TURBODIESEL 16/...
TOYOTA: Hilux 3.0 Turbo Diesel 1KD 06/…
TOYOTA: Land Cruiser Prado 3.0 Turbo Diesel 1KD 03/09
TOYOTA: NOVA SW4 TURBODIESEL 16/...
TOYOTA: SW4 3.0 Turbo Diesel 1KD 06/…</v>
      </c>
      <c r="P722" s="12" t="str">
        <f aca="false">IFERROR(VLOOKUP($A722,Lista_Starke!$A:$E,2,0),"NÃO ESTÁ NA LISTA")</f>
        <v>VÁLVULA TERMOSTÁTICA</v>
      </c>
    </row>
    <row r="723" customFormat="false" ht="15" hidden="false" customHeight="true" outlineLevel="0" collapsed="false">
      <c r="A723" s="10" t="s">
        <v>1605</v>
      </c>
      <c r="B723" s="10" t="str">
        <f aca="false">IFERROR(VLOOKUP(A723,Pedido!$A:$B,2,0),"")</f>
        <v/>
      </c>
      <c r="C723" s="10" t="str">
        <f aca="false">IF(B723="","NÃO COMPRA","COMPRA")</f>
        <v>NÃO COMPRA</v>
      </c>
      <c r="D723" s="1" t="n">
        <f aca="false">IFERROR(VLOOKUP(A723,Pedido!$A:$C,3,0),0)</f>
        <v>0</v>
      </c>
      <c r="E723" s="5" t="n">
        <f aca="false">IFERROR(VLOOKUP(A723,Pedido!$A:$E,5,0),0)</f>
        <v>0</v>
      </c>
      <c r="F723" s="1" t="s">
        <v>9</v>
      </c>
      <c r="G723" s="1" t="s">
        <v>1587</v>
      </c>
      <c r="H723" s="1" t="s">
        <v>96</v>
      </c>
      <c r="I723" s="1" t="s">
        <v>29</v>
      </c>
      <c r="K723" s="1" t="n">
        <v>151</v>
      </c>
      <c r="L723" s="11" t="n">
        <v>0.905057978620651</v>
      </c>
      <c r="M723" s="1" t="n">
        <f aca="false">SUMIF(Relatorio_AK!$A:$A,A723,Relatorio_AK!$B:$B)</f>
        <v>151</v>
      </c>
      <c r="N723" s="1" t="str">
        <f aca="false">IF(M723=K723,"OK","DIF")</f>
        <v>OK</v>
      </c>
      <c r="O723" s="13" t="str">
        <f aca="false">IFERROR(VLOOKUP($A723,Lista_Starke!$A:$E,3,0),"NÃO ESTÁ NA LISTA")</f>
        <v>HYUNDAI: Creta 1.0 12V 3 cil Turbo 21/...
HYUNDAI: HB20 1.0 12V 3 cil Turbo 20/...</v>
      </c>
      <c r="P723" s="12" t="str">
        <f aca="false">IFERROR(VLOOKUP($A723,Lista_Starke!$A:$E,2,0),"NÃO ESTÁ NA LISTA")</f>
        <v>BOMBA DE VÁCUO</v>
      </c>
    </row>
    <row r="724" customFormat="false" ht="15" hidden="false" customHeight="true" outlineLevel="0" collapsed="false">
      <c r="A724" s="10" t="s">
        <v>1606</v>
      </c>
      <c r="B724" s="10" t="str">
        <f aca="false">IFERROR(VLOOKUP(A724,Pedido!$A:$B,2,0),"")</f>
        <v/>
      </c>
      <c r="C724" s="10" t="str">
        <f aca="false">IF(B724="","NÃO COMPRA","COMPRA")</f>
        <v>NÃO COMPRA</v>
      </c>
      <c r="D724" s="1" t="n">
        <f aca="false">IFERROR(VLOOKUP(A724,Pedido!$A:$C,3,0),0)</f>
        <v>0</v>
      </c>
      <c r="E724" s="5" t="n">
        <f aca="false">IFERROR(VLOOKUP(A724,Pedido!$A:$E,5,0),0)</f>
        <v>0</v>
      </c>
      <c r="F724" s="1" t="s">
        <v>9</v>
      </c>
      <c r="G724" s="1" t="s">
        <v>1336</v>
      </c>
      <c r="H724" s="1" t="s">
        <v>35</v>
      </c>
      <c r="I724" s="1" t="s">
        <v>1182</v>
      </c>
      <c r="J724" s="1" t="s">
        <v>1607</v>
      </c>
      <c r="K724" s="1" t="n">
        <v>151</v>
      </c>
      <c r="L724" s="11" t="n">
        <v>0.905316117253063</v>
      </c>
      <c r="M724" s="1" t="n">
        <f aca="false">SUMIF(Relatorio_AK!$A:$A,A724,Relatorio_AK!$B:$B)</f>
        <v>151</v>
      </c>
      <c r="N724" s="1" t="str">
        <f aca="false">IF(M724=K724,"OK","DIF")</f>
        <v>OK</v>
      </c>
      <c r="O724" s="12" t="str">
        <f aca="false">IFERROR(VLOOKUP($A724,Lista_Starke!$A:$E,3,0),"NÃO ESTÁ NA LISTA")</f>
        <v>KIA: Soul 1.6 16V 09/14</v>
      </c>
      <c r="P724" s="12" t="str">
        <f aca="false">IFERROR(VLOOKUP($A724,Lista_Starke!$A:$E,2,0),"NÃO ESTÁ NA LISTA")</f>
        <v>CILINDRO MESTRE DE FREIO</v>
      </c>
    </row>
    <row r="725" customFormat="false" ht="15" hidden="false" customHeight="true" outlineLevel="0" collapsed="false">
      <c r="A725" s="10" t="s">
        <v>1608</v>
      </c>
      <c r="B725" s="10" t="str">
        <f aca="false">IFERROR(VLOOKUP(A725,Pedido!$A:$B,2,0),"")</f>
        <v/>
      </c>
      <c r="C725" s="10" t="str">
        <f aca="false">IF(B725="","NÃO COMPRA","COMPRA")</f>
        <v>NÃO COMPRA</v>
      </c>
      <c r="D725" s="1" t="n">
        <f aca="false">IFERROR(VLOOKUP(A725,Pedido!$A:$C,3,0),0)</f>
        <v>0</v>
      </c>
      <c r="E725" s="5" t="n">
        <f aca="false">IFERROR(VLOOKUP(A725,Pedido!$A:$E,5,0),0)</f>
        <v>0</v>
      </c>
      <c r="F725" s="1" t="s">
        <v>9</v>
      </c>
      <c r="G725" s="1" t="s">
        <v>356</v>
      </c>
      <c r="H725" s="1" t="s">
        <v>845</v>
      </c>
      <c r="I725" s="1" t="s">
        <v>172</v>
      </c>
      <c r="J725" s="1" t="s">
        <v>1609</v>
      </c>
      <c r="K725" s="1" t="n">
        <v>148</v>
      </c>
      <c r="L725" s="11" t="n">
        <v>0.905569127303374</v>
      </c>
      <c r="M725" s="1" t="n">
        <f aca="false">SUMIF(Relatorio_AK!$A:$A,A725,Relatorio_AK!$B:$B)</f>
        <v>148</v>
      </c>
      <c r="N725" s="1" t="str">
        <f aca="false">IF(M725=K725,"OK","DIF")</f>
        <v>OK</v>
      </c>
      <c r="O725" s="13" t="str">
        <f aca="false">IFERROR(VLOOKUP($A725,Lista_Starke!$A:$E,3,0),"NÃO ESTÁ NA LISTA")</f>
        <v>HYUNDAI: Azera 3.0 24V V6 12/15
HYUNDAI: Azera 3.3 24V V6   G6DB 07/11
KIA: Optima 2.0 16V G4NC 12/16</v>
      </c>
      <c r="P725" s="12" t="str">
        <f aca="false">IFERROR(VLOOKUP($A725,Lista_Starke!$A:$E,2,0),"NÃO ESTÁ NA LISTA")</f>
        <v>SAPATA DE FREIO DE MÃO</v>
      </c>
    </row>
    <row r="726" customFormat="false" ht="15" hidden="false" customHeight="true" outlineLevel="0" collapsed="false">
      <c r="A726" s="10" t="s">
        <v>1610</v>
      </c>
      <c r="B726" s="10" t="str">
        <f aca="false">IFERROR(VLOOKUP(A726,Pedido!$A:$B,2,0),"")</f>
        <v/>
      </c>
      <c r="C726" s="10" t="str">
        <f aca="false">IF(B726="","NÃO COMPRA","COMPRA")</f>
        <v>NÃO COMPRA</v>
      </c>
      <c r="D726" s="1" t="n">
        <f aca="false">IFERROR(VLOOKUP(A726,Pedido!$A:$C,3,0),0)</f>
        <v>0</v>
      </c>
      <c r="E726" s="5" t="n">
        <f aca="false">IFERROR(VLOOKUP(A726,Pedido!$A:$E,5,0),0)</f>
        <v>0</v>
      </c>
      <c r="F726" s="1" t="s">
        <v>9</v>
      </c>
      <c r="G726" s="1" t="s">
        <v>488</v>
      </c>
      <c r="H726" s="1" t="s">
        <v>197</v>
      </c>
      <c r="I726" s="1" t="s">
        <v>63</v>
      </c>
      <c r="J726" s="1" t="s">
        <v>1611</v>
      </c>
      <c r="K726" s="1" t="n">
        <v>148</v>
      </c>
      <c r="L726" s="11" t="n">
        <v>0.905822137353686</v>
      </c>
      <c r="M726" s="1" t="n">
        <f aca="false">SUMIF(Relatorio_AK!$A:$A,A726,Relatorio_AK!$B:$B)</f>
        <v>148</v>
      </c>
      <c r="N726" s="1" t="str">
        <f aca="false">IF(M726=K726,"OK","DIF")</f>
        <v>OK</v>
      </c>
      <c r="O726" s="13" t="str">
        <f aca="false">IFERROR(VLOOKUP($A726,Lista_Starke!$A:$E,3,0),"NÃO ESTÁ NA LISTA")</f>
        <v>NISSAN: Kicks 1.6 16V 16/...
NISSAN: March 1.0 12V 3 cil HR10DE 15/...
NISSAN: March 1.6 16V HR16DE 11/…
NISSAN: Versa 1.0 12V 3 cil 19/...
NISSAN: Versa 1.6 16V HR16DE 11/…
RENAULT: Captur 1.6 16V SCE 16/...
RENAULT: Duster 1.6 16V SCE 16/...
RENAULT: Logan 1.6 16V SCE 16/...
RENAULT: Oroch 1.6 16V SCE 16/...
RENAULT: Sandero 1.6 16V SCE 16/...</v>
      </c>
      <c r="P726" s="12" t="str">
        <f aca="false">IFERROR(VLOOKUP($A726,Lista_Starke!$A:$E,2,0),"NÃO ESTÁ NA LISTA")</f>
        <v>BOMBA D'ÁGUA</v>
      </c>
    </row>
    <row r="727" customFormat="false" ht="15" hidden="false" customHeight="true" outlineLevel="0" collapsed="false">
      <c r="A727" s="10" t="s">
        <v>1612</v>
      </c>
      <c r="B727" s="10" t="str">
        <f aca="false">IFERROR(VLOOKUP(A727,Pedido!$A:$B,2,0),"")</f>
        <v/>
      </c>
      <c r="C727" s="10" t="str">
        <f aca="false">IF(B727="","NÃO COMPRA","COMPRA")</f>
        <v>NÃO COMPRA</v>
      </c>
      <c r="D727" s="1" t="n">
        <f aca="false">IFERROR(VLOOKUP(A727,Pedido!$A:$C,3,0),0)</f>
        <v>0</v>
      </c>
      <c r="E727" s="5" t="n">
        <f aca="false">IFERROR(VLOOKUP(A727,Pedido!$A:$E,5,0),0)</f>
        <v>0</v>
      </c>
      <c r="F727" s="1" t="s">
        <v>9</v>
      </c>
      <c r="G727" s="1" t="s">
        <v>1181</v>
      </c>
      <c r="H727" s="1" t="s">
        <v>28</v>
      </c>
      <c r="I727" s="1" t="s">
        <v>1457</v>
      </c>
      <c r="K727" s="1" t="n">
        <v>147</v>
      </c>
      <c r="L727" s="11" t="n">
        <v>0.90607343787663</v>
      </c>
      <c r="M727" s="1" t="n">
        <f aca="false">SUMIF(Relatorio_AK!$A:$A,A727,Relatorio_AK!$B:$B)</f>
        <v>147</v>
      </c>
      <c r="N727" s="1" t="str">
        <f aca="false">IF(M727=K727,"OK","DIF")</f>
        <v>OK</v>
      </c>
      <c r="O727" s="13" t="str">
        <f aca="false">IFERROR(VLOOKUP($A727,Lista_Starke!$A:$E,3,0),"NÃO ESTÁ NA LISTA")</f>
        <v>ASIA: Hi Topic 2.7 Diesel 93/98
ASIA: Topic 2.7 Diesel 97/99
KIA: Besta 2.2 8V Diesel 93/98
KIA: Besta 2.7 8V Diesel 93/98
KIA: Besta GS 2.7 8V Diesel 98/05
KIA: Besta GS 3.0 8V Diesel 98/05
KIA: Bongo K2400 2.4 8V Diesel 93/97
KIA: Bongo K2700 2.7 8V Diesel 97/12
KIA: Sportage 2.0 / 2.2 93/04</v>
      </c>
      <c r="P727" s="12" t="str">
        <f aca="false">IFERROR(VLOOKUP($A727,Lista_Starke!$A:$E,2,0),"NÃO ESTÁ NA LISTA")</f>
        <v>CILILNDRO AUXILIAR DE EMBREAGEM</v>
      </c>
    </row>
    <row r="728" customFormat="false" ht="15" hidden="false" customHeight="true" outlineLevel="0" collapsed="false">
      <c r="A728" s="10" t="s">
        <v>1613</v>
      </c>
      <c r="B728" s="10" t="str">
        <f aca="false">IFERROR(VLOOKUP(A728,Pedido!$A:$B,2,0),"")</f>
        <v/>
      </c>
      <c r="C728" s="10" t="str">
        <f aca="false">IF(B728="","NÃO COMPRA","COMPRA")</f>
        <v>NÃO COMPRA</v>
      </c>
      <c r="D728" s="1" t="n">
        <f aca="false">IFERROR(VLOOKUP(A728,Pedido!$A:$C,3,0),0)</f>
        <v>0</v>
      </c>
      <c r="E728" s="5" t="n">
        <f aca="false">IFERROR(VLOOKUP(A728,Pedido!$A:$E,5,0),0)</f>
        <v>0</v>
      </c>
      <c r="F728" s="1" t="s">
        <v>9</v>
      </c>
      <c r="G728" s="1" t="s">
        <v>1614</v>
      </c>
      <c r="H728" s="1" t="s">
        <v>88</v>
      </c>
      <c r="I728" s="1" t="s">
        <v>215</v>
      </c>
      <c r="J728" s="1" t="s">
        <v>808</v>
      </c>
      <c r="K728" s="1" t="n">
        <v>147</v>
      </c>
      <c r="L728" s="11" t="n">
        <v>0.906324738399575</v>
      </c>
      <c r="M728" s="1" t="n">
        <f aca="false">SUMIF(Relatorio_AK!$A:$A,A728,Relatorio_AK!$B:$B)</f>
        <v>147</v>
      </c>
      <c r="N728" s="1" t="str">
        <f aca="false">IF(M728=K728,"OK","DIF")</f>
        <v>OK</v>
      </c>
      <c r="O728" s="13" t="str">
        <f aca="false">IFERROR(VLOOKUP($A728,Lista_Starke!$A:$E,3,0),"NÃO ESTÁ NA LISTA")</f>
        <v>NISSAN: March 1.0 12V 3cil 15/...
NISSAN: March 1.0 16V 11/...
NISSAN: March 1.6 16V 11/...
NISSAN: Versa 1.0 12V 3cil c/ ABS 15/18
NISSAN: Versa 1.6 16V c/ ABS 11/...</v>
      </c>
      <c r="P728" s="12" t="str">
        <f aca="false">IFERROR(VLOOKUP($A728,Lista_Starke!$A:$E,2,0),"NÃO ESTÁ NA LISTA")</f>
        <v>CILINDRO DE RODA LE/LD - SUBSTITUI SWC5001</v>
      </c>
    </row>
    <row r="729" customFormat="false" ht="15" hidden="false" customHeight="true" outlineLevel="0" collapsed="false">
      <c r="A729" s="10" t="s">
        <v>1615</v>
      </c>
      <c r="B729" s="10" t="str">
        <f aca="false">IFERROR(VLOOKUP(A729,Pedido!$A:$B,2,0),"")</f>
        <v/>
      </c>
      <c r="C729" s="10" t="str">
        <f aca="false">IF(B729="","NÃO COMPRA","COMPRA")</f>
        <v>NÃO COMPRA</v>
      </c>
      <c r="D729" s="1" t="n">
        <f aca="false">IFERROR(VLOOKUP(A729,Pedido!$A:$C,3,0),0)</f>
        <v>0</v>
      </c>
      <c r="E729" s="5" t="n">
        <f aca="false">IFERROR(VLOOKUP(A729,Pedido!$A:$E,5,0),0)</f>
        <v>0</v>
      </c>
      <c r="F729" s="1" t="s">
        <v>9</v>
      </c>
      <c r="G729" s="1" t="s">
        <v>56</v>
      </c>
      <c r="H729" s="1" t="s">
        <v>35</v>
      </c>
      <c r="I729" s="1" t="s">
        <v>57</v>
      </c>
      <c r="J729" s="1" t="s">
        <v>1616</v>
      </c>
      <c r="K729" s="1" t="n">
        <v>146</v>
      </c>
      <c r="L729" s="11" t="n">
        <v>0.906574329395152</v>
      </c>
      <c r="M729" s="1" t="n">
        <f aca="false">SUMIF(Relatorio_AK!$A:$A,A729,Relatorio_AK!$B:$B)</f>
        <v>146</v>
      </c>
      <c r="N729" s="1" t="str">
        <f aca="false">IF(M729=K729,"OK","DIF")</f>
        <v>OK</v>
      </c>
      <c r="O729" s="12" t="str">
        <f aca="false">IFERROR(VLOOKUP($A729,Lista_Starke!$A:$E,3,0),"NÃO ESTÁ NA LISTA")</f>
        <v>GM: Cruze 1.4 16V Turbo 16/...</v>
      </c>
      <c r="P729" s="12" t="str">
        <f aca="false">IFERROR(VLOOKUP($A729,Lista_Starke!$A:$E,2,0),"NÃO ESTÁ NA LISTA")</f>
        <v>CILINDRO MESTRE DE FREIO</v>
      </c>
    </row>
    <row r="730" customFormat="false" ht="15" hidden="false" customHeight="true" outlineLevel="0" collapsed="false">
      <c r="A730" s="10" t="s">
        <v>1617</v>
      </c>
      <c r="B730" s="10" t="str">
        <f aca="false">IFERROR(VLOOKUP(A730,Pedido!$A:$B,2,0),"")</f>
        <v/>
      </c>
      <c r="C730" s="10" t="str">
        <f aca="false">IF(B730="","NÃO COMPRA","COMPRA")</f>
        <v>NÃO COMPRA</v>
      </c>
      <c r="D730" s="1" t="n">
        <f aca="false">IFERROR(VLOOKUP(A730,Pedido!$A:$C,3,0),0)</f>
        <v>0</v>
      </c>
      <c r="E730" s="5" t="n">
        <f aca="false">IFERROR(VLOOKUP(A730,Pedido!$A:$E,5,0),0)</f>
        <v>0</v>
      </c>
      <c r="F730" s="1" t="s">
        <v>9</v>
      </c>
      <c r="G730" s="1" t="s">
        <v>1618</v>
      </c>
      <c r="H730" s="1" t="s">
        <v>1073</v>
      </c>
      <c r="I730" s="1" t="s">
        <v>57</v>
      </c>
      <c r="J730" s="1" t="s">
        <v>1619</v>
      </c>
      <c r="K730" s="1" t="n">
        <v>146</v>
      </c>
      <c r="L730" s="11" t="n">
        <v>0.90682392039073</v>
      </c>
      <c r="M730" s="1" t="n">
        <f aca="false">SUMIF(Relatorio_AK!$A:$A,A730,Relatorio_AK!$B:$B)</f>
        <v>146</v>
      </c>
      <c r="N730" s="1" t="str">
        <f aca="false">IF(M730=K730,"OK","DIF")</f>
        <v>OK</v>
      </c>
      <c r="O730" s="12" t="str">
        <f aca="false">IFERROR(VLOOKUP($A730,Lista_Starke!$A:$E,3,0),"NÃO ESTÁ NA LISTA")</f>
        <v>GM: S10 2.5 Flex 15/19</v>
      </c>
      <c r="P730" s="12" t="str">
        <f aca="false">IFERROR(VLOOKUP($A730,Lista_Starke!$A:$E,2,0),"NÃO ESTÁ NA LISTA")</f>
        <v>VÁLVULA TERMOSTÁTICA</v>
      </c>
    </row>
    <row r="731" customFormat="false" ht="15" hidden="false" customHeight="true" outlineLevel="0" collapsed="false">
      <c r="A731" s="10" t="s">
        <v>1620</v>
      </c>
      <c r="B731" s="10" t="str">
        <f aca="false">IFERROR(VLOOKUP(A731,Pedido!$A:$B,2,0),"")</f>
        <v/>
      </c>
      <c r="C731" s="10" t="str">
        <f aca="false">IF(B731="","NÃO COMPRA","COMPRA")</f>
        <v>NÃO COMPRA</v>
      </c>
      <c r="D731" s="1" t="n">
        <f aca="false">IFERROR(VLOOKUP(A731,Pedido!$A:$C,3,0),0)</f>
        <v>0</v>
      </c>
      <c r="E731" s="5" t="n">
        <f aca="false">IFERROR(VLOOKUP(A731,Pedido!$A:$E,5,0),0)</f>
        <v>0</v>
      </c>
      <c r="F731" s="1" t="s">
        <v>9</v>
      </c>
      <c r="G731" s="1" t="s">
        <v>105</v>
      </c>
      <c r="H731" s="1" t="s">
        <v>88</v>
      </c>
      <c r="I731" s="1" t="s">
        <v>46</v>
      </c>
      <c r="J731" s="1" t="s">
        <v>1621</v>
      </c>
      <c r="K731" s="1" t="n">
        <v>146</v>
      </c>
      <c r="L731" s="11" t="n">
        <v>0.907073511386307</v>
      </c>
      <c r="M731" s="1" t="n">
        <f aca="false">SUMIF(Relatorio_AK!$A:$A,A731,Relatorio_AK!$B:$B)</f>
        <v>146</v>
      </c>
      <c r="N731" s="1" t="str">
        <f aca="false">IF(M731=K731,"OK","DIF")</f>
        <v>OK</v>
      </c>
      <c r="O731" s="13" t="str">
        <f aca="false">IFERROR(VLOOKUP($A731,Lista_Starke!$A:$E,3,0),"NÃO ESTÁ NA LISTA")</f>
        <v>FIAT: Fiorino 1.3 8V 88/93
FIAT: Fiorino 1.5 8V 88/93
FIAT: Fiorino 1.6 8V 91/93
FIAT: Uno 1.0 8V 98/03
FIAT: Uno 1.3 8V 84/91
FIAT: Uno 1.5 8V 87/96
FIAT: Uno 1.6 8V 94/95</v>
      </c>
      <c r="P731" s="12" t="str">
        <f aca="false">IFERROR(VLOOKUP($A731,Lista_Starke!$A:$E,2,0),"NÃO ESTÁ NA LISTA")</f>
        <v>CILINDRO DE RODA LE/LD</v>
      </c>
    </row>
    <row r="732" customFormat="false" ht="15" hidden="false" customHeight="true" outlineLevel="0" collapsed="false">
      <c r="A732" s="10" t="s">
        <v>1622</v>
      </c>
      <c r="B732" s="10" t="str">
        <f aca="false">IFERROR(VLOOKUP(A732,Pedido!$A:$B,2,0),"")</f>
        <v/>
      </c>
      <c r="C732" s="10" t="str">
        <f aca="false">IF(B732="","NÃO COMPRA","COMPRA")</f>
        <v>NÃO COMPRA</v>
      </c>
      <c r="D732" s="1" t="n">
        <f aca="false">IFERROR(VLOOKUP(A732,Pedido!$A:$C,3,0),0)</f>
        <v>0</v>
      </c>
      <c r="E732" s="5" t="n">
        <f aca="false">IFERROR(VLOOKUP(A732,Pedido!$A:$E,5,0),0)</f>
        <v>0</v>
      </c>
      <c r="F732" s="1" t="s">
        <v>9</v>
      </c>
      <c r="G732" s="1" t="s">
        <v>1623</v>
      </c>
      <c r="H732" s="1" t="s">
        <v>197</v>
      </c>
      <c r="I732" s="1" t="s">
        <v>1157</v>
      </c>
      <c r="J732" s="1" t="s">
        <v>1624</v>
      </c>
      <c r="K732" s="1" t="n">
        <v>145</v>
      </c>
      <c r="L732" s="11" t="n">
        <v>0.907321392854518</v>
      </c>
      <c r="M732" s="1" t="n">
        <f aca="false">SUMIF(Relatorio_AK!$A:$A,A732,Relatorio_AK!$B:$B)</f>
        <v>145</v>
      </c>
      <c r="N732" s="1" t="str">
        <f aca="false">IF(M732=K732,"OK","DIF")</f>
        <v>OK</v>
      </c>
      <c r="O732" s="13" t="str">
        <f aca="false">IFERROR(VLOOKUP($A732,Lista_Starke!$A:$E,3,0),"NÃO ESTÁ NA LISTA")</f>
        <v>BMW: 218i (G42/G87) 2.0 16V B48B20A 22/...
BMW: 220i (G42/G87) 2.0 16V B48B20A 21/...
BMW: 230i (G42/G87) 2.0 16V 22/...
BMW: 320e Hybrid 2.0 16V B48B20A / GC1 20/...
BMW: 320i 2.0 16V B48B20A / B48B20B / B46B20B 19/...
BMW: 330e Hybrid 2.0 16V B48B20A / B48B20B / GC1 19/...
BMW: 330i 2.0 16V B48B20B / B46B20B 18/...
BMW: 420i 2.0 16V B48B20A B48B20B 20/...
BMW: 520i 2.0 16V B48B20A / B48B20B / B46B20B 17/...
BMW: 530e Hybrid 2.0 16V B48B20A / GC1 20/23
BMW: 730i 2.0 16V B48B20B 19/22
BMW: X3 2.0 16V B48B20A / B48B20B / B46B20B 17/...
BMW: Z4 2.0 16V B48B20B / B46B20B 18/...</v>
      </c>
      <c r="P732" s="12" t="str">
        <f aca="false">IFERROR(VLOOKUP($A732,Lista_Starke!$A:$E,2,0),"NÃO ESTÁ NA LISTA")</f>
        <v>BOMBA D'ÁGUA</v>
      </c>
    </row>
    <row r="733" customFormat="false" ht="15" hidden="false" customHeight="true" outlineLevel="0" collapsed="false">
      <c r="A733" s="10" t="s">
        <v>1625</v>
      </c>
      <c r="B733" s="10" t="str">
        <f aca="false">IFERROR(VLOOKUP(A733,Pedido!$A:$B,2,0),"")</f>
        <v/>
      </c>
      <c r="C733" s="10" t="str">
        <f aca="false">IF(B733="","NÃO COMPRA","COMPRA")</f>
        <v>NÃO COMPRA</v>
      </c>
      <c r="D733" s="1" t="n">
        <f aca="false">IFERROR(VLOOKUP(A733,Pedido!$A:$C,3,0),0)</f>
        <v>0</v>
      </c>
      <c r="E733" s="5" t="n">
        <f aca="false">IFERROR(VLOOKUP(A733,Pedido!$A:$E,5,0),0)</f>
        <v>0</v>
      </c>
      <c r="F733" s="1" t="s">
        <v>9</v>
      </c>
      <c r="G733" s="1" t="s">
        <v>1626</v>
      </c>
      <c r="H733" s="1" t="s">
        <v>1358</v>
      </c>
      <c r="I733" s="1" t="s">
        <v>46</v>
      </c>
      <c r="J733" s="1" t="s">
        <v>1627</v>
      </c>
      <c r="K733" s="1" t="n">
        <v>144</v>
      </c>
      <c r="L733" s="11" t="n">
        <v>0.907567564795361</v>
      </c>
      <c r="M733" s="1" t="n">
        <f aca="false">SUMIF(Relatorio_AK!$A:$A,A733,Relatorio_AK!$B:$B)</f>
        <v>144</v>
      </c>
      <c r="N733" s="1" t="str">
        <f aca="false">IF(M733=K733,"OK","DIF")</f>
        <v>OK</v>
      </c>
      <c r="O733" s="13" t="str">
        <f aca="false">IFERROR(VLOOKUP($A733,Lista_Starke!$A:$E,3,0),"NÃO ESTÁ NA LISTA")</f>
        <v>FIAT: Grand Siena C/ Dir. Hidráulica 12/18
FIAT: Mobi C/ Dir. Hidráulica 16/18
FIAT: Novo Uno C/ Dir. Hidráulica 10/17
FIAT: Palio C/ Dir. Hidraulica 12/17</v>
      </c>
      <c r="P733" s="12" t="str">
        <f aca="false">IFERROR(VLOOKUP($A733,Lista_Starke!$A:$E,2,0),"NÃO ESTÁ NA LISTA")</f>
        <v>BANDEJA INFERIOR COMPLETA LE</v>
      </c>
    </row>
    <row r="734" customFormat="false" ht="15" hidden="false" customHeight="true" outlineLevel="0" collapsed="false">
      <c r="A734" s="10" t="s">
        <v>1628</v>
      </c>
      <c r="B734" s="10" t="str">
        <f aca="false">IFERROR(VLOOKUP(A734,Pedido!$A:$B,2,0),"")</f>
        <v/>
      </c>
      <c r="C734" s="10" t="str">
        <f aca="false">IF(B734="","NÃO COMPRA","COMPRA")</f>
        <v>NÃO COMPRA</v>
      </c>
      <c r="D734" s="1" t="n">
        <f aca="false">IFERROR(VLOOKUP(A734,Pedido!$A:$C,3,0),0)</f>
        <v>0</v>
      </c>
      <c r="E734" s="5" t="n">
        <f aca="false">IFERROR(VLOOKUP(A734,Pedido!$A:$E,5,0),0)</f>
        <v>0</v>
      </c>
      <c r="F734" s="1" t="s">
        <v>9</v>
      </c>
      <c r="G734" s="1" t="s">
        <v>294</v>
      </c>
      <c r="H734" s="1" t="s">
        <v>35</v>
      </c>
      <c r="I734" s="1" t="s">
        <v>295</v>
      </c>
      <c r="K734" s="1" t="n">
        <v>144</v>
      </c>
      <c r="L734" s="11" t="n">
        <v>0.907813736736205</v>
      </c>
      <c r="M734" s="1" t="n">
        <f aca="false">SUMIF(Relatorio_AK!$A:$A,A734,Relatorio_AK!$B:$B)</f>
        <v>144</v>
      </c>
      <c r="N734" s="1" t="str">
        <f aca="false">IF(M734=K734,"OK","DIF")</f>
        <v>OK</v>
      </c>
      <c r="O734" s="12" t="str">
        <f aca="false">IFERROR(VLOOKUP($A734,Lista_Starke!$A:$E,3,0),"NÃO ESTÁ NA LISTA")</f>
        <v>CHERY: Cielo 1.6 16V 10/...</v>
      </c>
      <c r="P734" s="12" t="str">
        <f aca="false">IFERROR(VLOOKUP($A734,Lista_Starke!$A:$E,2,0),"NÃO ESTÁ NA LISTA")</f>
        <v>CILINDRO MESTRE DE FREIO</v>
      </c>
    </row>
    <row r="735" customFormat="false" ht="15" hidden="false" customHeight="true" outlineLevel="0" collapsed="false">
      <c r="A735" s="10" t="s">
        <v>1629</v>
      </c>
      <c r="B735" s="10" t="str">
        <f aca="false">IFERROR(VLOOKUP(A735,Pedido!$A:$B,2,0),"")</f>
        <v/>
      </c>
      <c r="C735" s="10" t="str">
        <f aca="false">IF(B735="","NÃO COMPRA","COMPRA")</f>
        <v>NÃO COMPRA</v>
      </c>
      <c r="D735" s="1" t="n">
        <f aca="false">IFERROR(VLOOKUP(A735,Pedido!$A:$C,3,0),0)</f>
        <v>0</v>
      </c>
      <c r="E735" s="5" t="n">
        <f aca="false">IFERROR(VLOOKUP(A735,Pedido!$A:$E,5,0),0)</f>
        <v>0</v>
      </c>
      <c r="F735" s="1" t="s">
        <v>9</v>
      </c>
      <c r="G735" s="1" t="s">
        <v>552</v>
      </c>
      <c r="H735" s="1" t="s">
        <v>197</v>
      </c>
      <c r="I735" s="1" t="s">
        <v>172</v>
      </c>
      <c r="K735" s="1" t="n">
        <v>144</v>
      </c>
      <c r="L735" s="11" t="n">
        <v>0.908059908677048</v>
      </c>
      <c r="M735" s="1" t="n">
        <f aca="false">SUMIF(Relatorio_AK!$A:$A,A735,Relatorio_AK!$B:$B)</f>
        <v>144</v>
      </c>
      <c r="N735" s="1" t="str">
        <f aca="false">IF(M735=K735,"OK","DIF")</f>
        <v>OK</v>
      </c>
      <c r="O735" s="13" t="str">
        <f aca="false">IFERROR(VLOOKUP($A735,Lista_Starke!$A:$E,3,0),"NÃO ESTÁ NA LISTA")</f>
        <v>HYUNDAI: HR 2.5 16V DC4B Euro V 18/...
KIA: Bongo K2500 2.5 16V DC4B Euro V 18/...</v>
      </c>
      <c r="P735" s="12" t="str">
        <f aca="false">IFERROR(VLOOKUP($A735,Lista_Starke!$A:$E,2,0),"NÃO ESTÁ NA LISTA")</f>
        <v>BOMBA D'ÁGUA</v>
      </c>
    </row>
    <row r="736" customFormat="false" ht="15" hidden="false" customHeight="true" outlineLevel="0" collapsed="false">
      <c r="A736" s="10" t="s">
        <v>1630</v>
      </c>
      <c r="B736" s="10" t="str">
        <f aca="false">IFERROR(VLOOKUP(A736,Pedido!$A:$B,2,0),"")</f>
        <v/>
      </c>
      <c r="C736" s="10" t="str">
        <f aca="false">IF(B736="","NÃO COMPRA","COMPRA")</f>
        <v>NÃO COMPRA</v>
      </c>
      <c r="D736" s="1" t="n">
        <f aca="false">IFERROR(VLOOKUP(A736,Pedido!$A:$C,3,0),0)</f>
        <v>0</v>
      </c>
      <c r="E736" s="5" t="n">
        <f aca="false">IFERROR(VLOOKUP(A736,Pedido!$A:$E,5,0),0)</f>
        <v>0</v>
      </c>
      <c r="F736" s="1" t="s">
        <v>9</v>
      </c>
      <c r="G736" s="1" t="s">
        <v>1631</v>
      </c>
      <c r="H736" s="1" t="s">
        <v>1358</v>
      </c>
      <c r="I736" s="1" t="s">
        <v>71</v>
      </c>
      <c r="J736" s="1" t="s">
        <v>1632</v>
      </c>
      <c r="K736" s="1" t="n">
        <v>143</v>
      </c>
      <c r="L736" s="11" t="n">
        <v>0.908304371090525</v>
      </c>
      <c r="M736" s="1" t="n">
        <f aca="false">SUMIF(Relatorio_AK!$A:$A,A736,Relatorio_AK!$B:$B)</f>
        <v>143</v>
      </c>
      <c r="N736" s="1" t="str">
        <f aca="false">IF(M736=K736,"OK","DIF")</f>
        <v>OK</v>
      </c>
      <c r="O736" s="13" t="str">
        <f aca="false">IFERROR(VLOOKUP($A736,Lista_Starke!$A:$E,3,0),"NÃO ESTÁ NA LISTA")</f>
        <v>PEUGEOT: 206  00/10
PEUGEOT: 206 SW / Escapade 05/08
PEUGEOT: 207  09/15
PEUGEOT: Hoggar  10/14</v>
      </c>
      <c r="P736" s="12" t="str">
        <f aca="false">IFERROR(VLOOKUP($A736,Lista_Starke!$A:$E,2,0),"NÃO ESTÁ NA LISTA")</f>
        <v>BANDEJA INFERIOR COMPLETA LE</v>
      </c>
    </row>
    <row r="737" customFormat="false" ht="15" hidden="false" customHeight="true" outlineLevel="0" collapsed="false">
      <c r="A737" s="10" t="s">
        <v>1633</v>
      </c>
      <c r="B737" s="10" t="str">
        <f aca="false">IFERROR(VLOOKUP(A737,Pedido!$A:$B,2,0),"")</f>
        <v/>
      </c>
      <c r="C737" s="10" t="str">
        <f aca="false">IF(B737="","NÃO COMPRA","COMPRA")</f>
        <v>NÃO COMPRA</v>
      </c>
      <c r="D737" s="1" t="n">
        <f aca="false">IFERROR(VLOOKUP(A737,Pedido!$A:$C,3,0),0)</f>
        <v>0</v>
      </c>
      <c r="E737" s="5" t="n">
        <f aca="false">IFERROR(VLOOKUP(A737,Pedido!$A:$E,5,0),0)</f>
        <v>0</v>
      </c>
      <c r="F737" s="1" t="s">
        <v>9</v>
      </c>
      <c r="G737" s="1" t="s">
        <v>735</v>
      </c>
      <c r="H737" s="1" t="s">
        <v>197</v>
      </c>
      <c r="I737" s="1" t="s">
        <v>172</v>
      </c>
      <c r="J737" s="1" t="s">
        <v>1634</v>
      </c>
      <c r="K737" s="1" t="n">
        <v>143</v>
      </c>
      <c r="L737" s="11" t="n">
        <v>0.908548833504001</v>
      </c>
      <c r="M737" s="1" t="n">
        <f aca="false">SUMIF(Relatorio_AK!$A:$A,A737,Relatorio_AK!$B:$B)</f>
        <v>143</v>
      </c>
      <c r="N737" s="1" t="str">
        <f aca="false">IF(M737=K737,"OK","DIF")</f>
        <v>OK</v>
      </c>
      <c r="O737" s="13" t="str">
        <f aca="false">IFERROR(VLOOKUP($A737,Lista_Starke!$A:$E,3,0),"NÃO ESTÁ NA LISTA")</f>
        <v>HYUNDAI: Creta 2.0 16V G4NC 17/...
HYUNDAI: Elantra 1.8 16V G4NC 12/…
HYUNDAI: iX35 2.0 16V G4NC 12/...
HYUNDAI: Tucson 2.0 16V G4NC 11/...
KIA: Carens 2.0 16V G4NC 13/…
KIA: Optima 2.0 16V G4NC 15/…
KIA: Sportage 2.0 16V G4NC 15/...</v>
      </c>
      <c r="P737" s="12" t="str">
        <f aca="false">IFERROR(VLOOKUP($A737,Lista_Starke!$A:$E,2,0),"NÃO ESTÁ NA LISTA")</f>
        <v>BOMBA D'ÁGUA</v>
      </c>
    </row>
    <row r="738" customFormat="false" ht="15" hidden="false" customHeight="true" outlineLevel="0" collapsed="false">
      <c r="A738" s="10" t="s">
        <v>1635</v>
      </c>
      <c r="B738" s="10" t="str">
        <f aca="false">IFERROR(VLOOKUP(A738,Pedido!$A:$B,2,0),"")</f>
        <v/>
      </c>
      <c r="C738" s="10" t="str">
        <f aca="false">IF(B738="","NÃO COMPRA","COMPRA")</f>
        <v>NÃO COMPRA</v>
      </c>
      <c r="D738" s="1" t="n">
        <f aca="false">IFERROR(VLOOKUP(A738,Pedido!$A:$C,3,0),0)</f>
        <v>0</v>
      </c>
      <c r="E738" s="5" t="n">
        <f aca="false">IFERROR(VLOOKUP(A738,Pedido!$A:$E,5,0),0)</f>
        <v>0</v>
      </c>
      <c r="F738" s="1" t="s">
        <v>9</v>
      </c>
      <c r="G738" s="1" t="s">
        <v>937</v>
      </c>
      <c r="H738" s="1" t="s">
        <v>197</v>
      </c>
      <c r="I738" s="1" t="s">
        <v>684</v>
      </c>
      <c r="K738" s="1" t="n">
        <v>142</v>
      </c>
      <c r="L738" s="11" t="n">
        <v>0.908791586390111</v>
      </c>
      <c r="M738" s="1" t="n">
        <f aca="false">SUMIF(Relatorio_AK!$A:$A,A738,Relatorio_AK!$B:$B)</f>
        <v>142</v>
      </c>
      <c r="N738" s="1" t="str">
        <f aca="false">IF(M738=K738,"OK","DIF")</f>
        <v>OK</v>
      </c>
      <c r="O738" s="13" t="str">
        <f aca="false">IFERROR(VLOOKUP($A738,Lista_Starke!$A:$E,3,0),"NÃO ESTÁ NA LISTA")</f>
        <v>LAND ROVER: Discovery Sport 2.2 TD4      224DT 15/…
LAND ROVER: Evoque 2.2 TD4      224DT 14/…
LAND ROVER: Freelander 2 2.2 TD4      224DT / DW12BTED4 06/14</v>
      </c>
      <c r="P738" s="12" t="str">
        <f aca="false">IFERROR(VLOOKUP($A738,Lista_Starke!$A:$E,2,0),"NÃO ESTÁ NA LISTA")</f>
        <v>BOMBA D'ÁGUA</v>
      </c>
    </row>
    <row r="739" customFormat="false" ht="15" hidden="false" customHeight="true" outlineLevel="0" collapsed="false">
      <c r="A739" s="10" t="s">
        <v>1636</v>
      </c>
      <c r="B739" s="10" t="str">
        <f aca="false">IFERROR(VLOOKUP(A739,Pedido!$A:$B,2,0),"")</f>
        <v/>
      </c>
      <c r="C739" s="10" t="str">
        <f aca="false">IF(B739="","NÃO COMPRA","COMPRA")</f>
        <v>NÃO COMPRA</v>
      </c>
      <c r="D739" s="1" t="n">
        <f aca="false">IFERROR(VLOOKUP(A739,Pedido!$A:$C,3,0),0)</f>
        <v>0</v>
      </c>
      <c r="E739" s="5" t="n">
        <f aca="false">IFERROR(VLOOKUP(A739,Pedido!$A:$E,5,0),0)</f>
        <v>0</v>
      </c>
      <c r="F739" s="1" t="s">
        <v>9</v>
      </c>
      <c r="G739" s="1" t="s">
        <v>240</v>
      </c>
      <c r="H739" s="1" t="s">
        <v>157</v>
      </c>
      <c r="I739" s="1" t="s">
        <v>57</v>
      </c>
      <c r="J739" s="1" t="s">
        <v>1637</v>
      </c>
      <c r="K739" s="1" t="n">
        <v>142</v>
      </c>
      <c r="L739" s="11" t="n">
        <v>0.90903433927622</v>
      </c>
      <c r="M739" s="1" t="n">
        <f aca="false">SUMIF(Relatorio_AK!$A:$A,A739,Relatorio_AK!$B:$B)</f>
        <v>142</v>
      </c>
      <c r="N739" s="1" t="str">
        <f aca="false">IF(M739=K739,"OK","DIF")</f>
        <v>OK</v>
      </c>
      <c r="O739" s="12" t="str">
        <f aca="false">IFERROR(VLOOKUP($A739,Lista_Starke!$A:$E,3,0),"NÃO ESTÁ NA LISTA")</f>
        <v>GM: Cruze 1.8 16V 13/...</v>
      </c>
      <c r="P739" s="12" t="str">
        <f aca="false">IFERROR(VLOOKUP($A739,Lista_Starke!$A:$E,2,0),"NÃO ESTÁ NA LISTA")</f>
        <v>ATUADOR DE EMBREAGEM</v>
      </c>
    </row>
    <row r="740" customFormat="false" ht="15" hidden="false" customHeight="true" outlineLevel="0" collapsed="false">
      <c r="A740" s="10" t="s">
        <v>1638</v>
      </c>
      <c r="B740" s="10" t="str">
        <f aca="false">IFERROR(VLOOKUP(A740,Pedido!$A:$B,2,0),"")</f>
        <v/>
      </c>
      <c r="C740" s="10" t="str">
        <f aca="false">IF(B740="","NÃO COMPRA","COMPRA")</f>
        <v>NÃO COMPRA</v>
      </c>
      <c r="D740" s="1" t="n">
        <f aca="false">IFERROR(VLOOKUP(A740,Pedido!$A:$C,3,0),0)</f>
        <v>0</v>
      </c>
      <c r="E740" s="5" t="n">
        <f aca="false">IFERROR(VLOOKUP(A740,Pedido!$A:$E,5,0),0)</f>
        <v>0</v>
      </c>
      <c r="F740" s="1" t="s">
        <v>9</v>
      </c>
      <c r="G740" s="1" t="s">
        <v>1069</v>
      </c>
      <c r="H740" s="1" t="s">
        <v>235</v>
      </c>
      <c r="I740" s="1" t="s">
        <v>226</v>
      </c>
      <c r="J740" s="1" t="s">
        <v>1639</v>
      </c>
      <c r="K740" s="1" t="n">
        <v>142</v>
      </c>
      <c r="L740" s="11" t="n">
        <v>0.90927709216233</v>
      </c>
      <c r="M740" s="1" t="n">
        <f aca="false">SUMIF(Relatorio_AK!$A:$A,A740,Relatorio_AK!$B:$B)</f>
        <v>142</v>
      </c>
      <c r="N740" s="1" t="str">
        <f aca="false">IF(M740=K740,"OK","DIF")</f>
        <v>OK</v>
      </c>
      <c r="O740" s="13" t="str">
        <f aca="false">IFERROR(VLOOKUP($A740,Lista_Starke!$A:$E,3,0),"NÃO ESTÁ NA LISTA")</f>
        <v>AUDI: A3 2.0 TFSI AXX / BWA / CAWB / CCZA / CBFA 04/13
AUDI: A3 2.0 TFSI AXX / BWA / CAWB / CCZA 04/12
AUDI: A3  Quattro 2.0 TFSI AXX / BWA / CCZA 04/12
AUDI: A4 2.0 TFSI CDNB / CAEA / CFKA 08/15
AUDI: A4 2.0 TFSI CDNC / CAEB 08/13
AUDI: A4 2.0 TFSI CFKA 09/15
AUDI: A4 Quattro 2.0 TFSI CDNC / CPMA 08/16
AUDI: A4 Quattro 2.0 TFSI CPMB / CAED 13/16
AUDI: A5 2.0 TFSI CDNB 09/14
AUDI: A5 2.0 TFSI CDNC / CAEB / CAED 09/14
AUDI: A5 Quattro 2.0 TFSI CDNC / CAEB / CPMA 09/17
AUDI: A6 2.0 TFSI CDNB / CAEB / CHJA / CAED 11/...
AUDI: A8 2.0 TFSI CHJA 12/...
AUDI: Q3 2.0 TFSI CCZC / CPSA / CULC 11/...
AUDI: Q5 2.0 TFSI CDNB / CNCB / CDNC / CAEB / CPMA 09/...
AUDI: Q5 2.0 TFSI CHJA 11/...
AUDI: Q5 2.0 TFSI CPMB 13/...
AUDI: Tiguan 2.0 TSI CCZD 11/...
AUDI: TT 2.0 TFSI BWA / CCZA / CESA / CETA 06/14
VOLKSWAGEN: Beetle 2.0 TSI CCTA / CBFA / CCZA 11/...
VOLKSWAGEN: Golf GTI 2.0 TSI CBFA / CCTA / CCZA / CCZB 13/...
VOLKSWAGEN: Jetta 2.0 TSI CCTA / CBFA / CCZA 10/...
VOLKSWAGEN: Passat 2.0 FSI AXX / BWA / BPY / CAWB / CCTA / CBFA / CCZA 05/10
VOLKSWAGEN: Passat 2.0 TSI CCZB 10/14
VOLKSWAGEN: Passat CC 2.0 TSI CCZB 11/16
VOLKSWAGEN: Tiguan 2.0 TFSI CAWA / CCZC / CAWB / CCTA / CCZA 07/...</v>
      </c>
      <c r="P740" s="12" t="str">
        <f aca="false">IFERROR(VLOOKUP($A740,Lista_Starke!$A:$E,2,0),"NÃO ESTÁ NA LISTA")</f>
        <v>RESFRIADOR DE ÓLEO MOTOR</v>
      </c>
    </row>
    <row r="741" customFormat="false" ht="15" hidden="false" customHeight="true" outlineLevel="0" collapsed="false">
      <c r="A741" s="10" t="s">
        <v>1640</v>
      </c>
      <c r="B741" s="10" t="str">
        <f aca="false">IFERROR(VLOOKUP(A741,Pedido!$A:$B,2,0),"")</f>
        <v/>
      </c>
      <c r="C741" s="10" t="str">
        <f aca="false">IF(B741="","NÃO COMPRA","COMPRA")</f>
        <v>NÃO COMPRA</v>
      </c>
      <c r="D741" s="1" t="n">
        <f aca="false">IFERROR(VLOOKUP(A741,Pedido!$A:$C,3,0),0)</f>
        <v>0</v>
      </c>
      <c r="E741" s="5" t="n">
        <f aca="false">IFERROR(VLOOKUP(A741,Pedido!$A:$E,5,0),0)</f>
        <v>0</v>
      </c>
      <c r="F741" s="1" t="s">
        <v>9</v>
      </c>
      <c r="G741" s="1" t="s">
        <v>1390</v>
      </c>
      <c r="H741" s="1" t="s">
        <v>1358</v>
      </c>
      <c r="I741" s="1" t="s">
        <v>42</v>
      </c>
      <c r="J741" s="1" t="s">
        <v>1641</v>
      </c>
      <c r="K741" s="1" t="n">
        <v>141</v>
      </c>
      <c r="L741" s="11" t="n">
        <v>0.909518135521072</v>
      </c>
      <c r="M741" s="1" t="n">
        <f aca="false">SUMIF(Relatorio_AK!$A:$A,A741,Relatorio_AK!$B:$B)</f>
        <v>141</v>
      </c>
      <c r="N741" s="1" t="str">
        <f aca="false">IF(M741=K741,"OK","DIF")</f>
        <v>OK</v>
      </c>
      <c r="O741" s="13" t="str">
        <f aca="false">IFERROR(VLOOKUP($A741,Lista_Starke!$A:$E,3,0),"NÃO ESTÁ NA LISTA")</f>
        <v>RENAULT: Logan  14/19
RENAULT: Sandero  14/19</v>
      </c>
      <c r="P741" s="12" t="str">
        <f aca="false">IFERROR(VLOOKUP($A741,Lista_Starke!$A:$E,2,0),"NÃO ESTÁ NA LISTA")</f>
        <v>BANDEJA INFERIOR COMPLETA LE</v>
      </c>
    </row>
    <row r="742" customFormat="false" ht="15" hidden="false" customHeight="true" outlineLevel="0" collapsed="false">
      <c r="A742" s="10" t="s">
        <v>1642</v>
      </c>
      <c r="B742" s="10" t="str">
        <f aca="false">IFERROR(VLOOKUP(A742,Pedido!$A:$B,2,0),"")</f>
        <v/>
      </c>
      <c r="C742" s="10" t="str">
        <f aca="false">IF(B742="","NÃO COMPRA","COMPRA")</f>
        <v>NÃO COMPRA</v>
      </c>
      <c r="D742" s="1" t="n">
        <f aca="false">IFERROR(VLOOKUP(A742,Pedido!$A:$C,3,0),0)</f>
        <v>0</v>
      </c>
      <c r="E742" s="5" t="n">
        <f aca="false">IFERROR(VLOOKUP(A742,Pedido!$A:$E,5,0),0)</f>
        <v>0</v>
      </c>
      <c r="F742" s="1" t="s">
        <v>9</v>
      </c>
      <c r="G742" s="1" t="s">
        <v>1357</v>
      </c>
      <c r="H742" s="1" t="s">
        <v>1358</v>
      </c>
      <c r="I742" s="1" t="s">
        <v>42</v>
      </c>
      <c r="J742" s="1" t="s">
        <v>1643</v>
      </c>
      <c r="K742" s="1" t="n">
        <v>141</v>
      </c>
      <c r="L742" s="11" t="n">
        <v>0.909759178879815</v>
      </c>
      <c r="M742" s="1" t="n">
        <f aca="false">SUMIF(Relatorio_AK!$A:$A,A742,Relatorio_AK!$B:$B)</f>
        <v>141</v>
      </c>
      <c r="N742" s="1" t="str">
        <f aca="false">IF(M742=K742,"OK","DIF")</f>
        <v>OK</v>
      </c>
      <c r="O742" s="13" t="str">
        <f aca="false">IFERROR(VLOOKUP($A742,Lista_Starke!$A:$E,3,0),"NÃO ESTÁ NA LISTA")</f>
        <v>RENAULT: Logan  14/19
RENAULT: Sandero  14/19</v>
      </c>
      <c r="P742" s="12" t="str">
        <f aca="false">IFERROR(VLOOKUP($A742,Lista_Starke!$A:$E,2,0),"NÃO ESTÁ NA LISTA")</f>
        <v>BANDEJA INFERIOR COMPLETA LD</v>
      </c>
    </row>
    <row r="743" customFormat="false" ht="15" hidden="false" customHeight="true" outlineLevel="0" collapsed="false">
      <c r="A743" s="10" t="s">
        <v>1644</v>
      </c>
      <c r="B743" s="10" t="str">
        <f aca="false">IFERROR(VLOOKUP(A743,Pedido!$A:$B,2,0),"")</f>
        <v/>
      </c>
      <c r="C743" s="10" t="str">
        <f aca="false">IF(B743="","NÃO COMPRA","COMPRA")</f>
        <v>NÃO COMPRA</v>
      </c>
      <c r="D743" s="1" t="n">
        <f aca="false">IFERROR(VLOOKUP(A743,Pedido!$A:$C,3,0),0)</f>
        <v>0</v>
      </c>
      <c r="E743" s="5" t="n">
        <f aca="false">IFERROR(VLOOKUP(A743,Pedido!$A:$E,5,0),0)</f>
        <v>0</v>
      </c>
      <c r="F743" s="1" t="s">
        <v>9</v>
      </c>
      <c r="G743" s="1" t="s">
        <v>1645</v>
      </c>
      <c r="H743" s="1" t="s">
        <v>157</v>
      </c>
      <c r="I743" s="1" t="s">
        <v>295</v>
      </c>
      <c r="K743" s="1" t="n">
        <v>141</v>
      </c>
      <c r="L743" s="11" t="n">
        <v>0.910000222238558</v>
      </c>
      <c r="M743" s="1" t="n">
        <f aca="false">SUMIF(Relatorio_AK!$A:$A,A743,Relatorio_AK!$B:$B)</f>
        <v>141</v>
      </c>
      <c r="N743" s="1" t="str">
        <f aca="false">IF(M743=K743,"OK","DIF")</f>
        <v>OK</v>
      </c>
      <c r="O743" s="12" t="str">
        <f aca="false">IFERROR(VLOOKUP($A743,Lista_Starke!$A:$E,3,0),"NÃO ESTÁ NA LISTA")</f>
        <v>CHERY: Cielo 1.6 16V 10/...</v>
      </c>
      <c r="P743" s="12" t="str">
        <f aca="false">IFERROR(VLOOKUP($A743,Lista_Starke!$A:$E,2,0),"NÃO ESTÁ NA LISTA")</f>
        <v>ATUADOR DE EMBREAGEM</v>
      </c>
    </row>
    <row r="744" customFormat="false" ht="15" hidden="false" customHeight="true" outlineLevel="0" collapsed="false">
      <c r="A744" s="10" t="s">
        <v>1646</v>
      </c>
      <c r="B744" s="10" t="str">
        <f aca="false">IFERROR(VLOOKUP(A744,Pedido!$A:$B,2,0),"")</f>
        <v/>
      </c>
      <c r="C744" s="10" t="str">
        <f aca="false">IF(B744="","NÃO COMPRA","COMPRA")</f>
        <v>NÃO COMPRA</v>
      </c>
      <c r="D744" s="1" t="n">
        <f aca="false">IFERROR(VLOOKUP(A744,Pedido!$A:$C,3,0),0)</f>
        <v>0</v>
      </c>
      <c r="E744" s="5" t="n">
        <f aca="false">IFERROR(VLOOKUP(A744,Pedido!$A:$E,5,0),0)</f>
        <v>0</v>
      </c>
      <c r="F744" s="1" t="s">
        <v>9</v>
      </c>
      <c r="G744" s="1" t="s">
        <v>207</v>
      </c>
      <c r="H744" s="1" t="s">
        <v>197</v>
      </c>
      <c r="I744" s="1" t="s">
        <v>42</v>
      </c>
      <c r="J744" s="1" t="s">
        <v>1647</v>
      </c>
      <c r="K744" s="1" t="n">
        <v>141</v>
      </c>
      <c r="L744" s="11" t="n">
        <v>0.9102412655973</v>
      </c>
      <c r="M744" s="1" t="n">
        <f aca="false">SUMIF(Relatorio_AK!$A:$A,A744,Relatorio_AK!$B:$B)</f>
        <v>141</v>
      </c>
      <c r="N744" s="1" t="str">
        <f aca="false">IF(M744=K744,"OK","DIF")</f>
        <v>OK</v>
      </c>
      <c r="O744" s="13" t="str">
        <f aca="false">IFERROR(VLOOKUP($A744,Lista_Starke!$A:$E,3,0),"NÃO ESTÁ NA LISTA")</f>
        <v>RENAULT: Duster 2.0 16V F4R830 12/…
RENAULT: Grand Scenic 2.0 16V F4R830 04/08
RENAULT: Laguna 2.0 16V F4R830 99/07
RENAULT: Megane Grand Tour 2.0 16V F4R830 07/…
RENAULT: Oroch 2.0 16V F4R830 15/...</v>
      </c>
      <c r="P744" s="12" t="str">
        <f aca="false">IFERROR(VLOOKUP($A744,Lista_Starke!$A:$E,2,0),"NÃO ESTÁ NA LISTA")</f>
        <v>BOMBA D'ÁGUA</v>
      </c>
    </row>
    <row r="745" customFormat="false" ht="15" hidden="false" customHeight="true" outlineLevel="0" collapsed="false">
      <c r="A745" s="10" t="s">
        <v>1648</v>
      </c>
      <c r="B745" s="10" t="str">
        <f aca="false">IFERROR(VLOOKUP(A745,Pedido!$A:$B,2,0),"")</f>
        <v/>
      </c>
      <c r="C745" s="10" t="str">
        <f aca="false">IF(B745="","NÃO COMPRA","COMPRA")</f>
        <v>NÃO COMPRA</v>
      </c>
      <c r="D745" s="1" t="n">
        <f aca="false">IFERROR(VLOOKUP(A745,Pedido!$A:$C,3,0),0)</f>
        <v>0</v>
      </c>
      <c r="E745" s="5" t="n">
        <f aca="false">IFERROR(VLOOKUP(A745,Pedido!$A:$E,5,0),0)</f>
        <v>0</v>
      </c>
      <c r="F745" s="1" t="s">
        <v>9</v>
      </c>
      <c r="G745" s="1" t="s">
        <v>1649</v>
      </c>
      <c r="H745" s="1" t="s">
        <v>235</v>
      </c>
      <c r="I745" s="1" t="s">
        <v>1157</v>
      </c>
      <c r="J745" s="1" t="s">
        <v>1650</v>
      </c>
      <c r="K745" s="1" t="n">
        <v>141</v>
      </c>
      <c r="L745" s="11" t="n">
        <v>0.910482308956043</v>
      </c>
      <c r="M745" s="1" t="n">
        <f aca="false">SUMIF(Relatorio_AK!$A:$A,A745,Relatorio_AK!$B:$B)</f>
        <v>141</v>
      </c>
      <c r="N745" s="1" t="str">
        <f aca="false">IF(M745=K745,"OK","DIF")</f>
        <v>OK</v>
      </c>
      <c r="O745" s="13" t="str">
        <f aca="false">IFERROR(VLOOKUP($A745,Lista_Starke!$A:$E,3,0),"NÃO ESTÁ NA LISTA")</f>
        <v>BMW: 125i (E87) 2.0 16V 06/12
BMW: 130i (E87) 3.0 24V 06/12
BMW: 320i (F30) 2.0 16V 12/17
BMW: 328i (F30/F31/F34) 2.0 16V 12/18
BMW: 428i (F32/F33/F36) 2.0 16V 14/16
BMW: 525i (E60) 2.5 24V 04/07
BMW: 528i (E60) 2.0 16V 10/16
BMW: 530i (E60) 3.0 24V 06/10
BMW: 535i (F07/F10) 3.0 24V 11/16
BMW: 640i (F06) 3.0 24V 11/18
BMW: X1 (E84) sDrive 20i 2.0 16V 11/15
BMW: X1 (E84) xDrive 20i 2.0 16V 11/15
BMW: X3 (E83) 25i 2.5 24V 04/10
BMW: X3 (E83) 30i 3.0 24V 06/11
BMW: X3 (F25) 3.0 24V 12/17
BMW: X3 (F25) sDrive 20i 2.0 16V 12/17
BMW: X3 (F25) xDrive 20i 2.0 16V 12/17
BMW: X4 (F26) xDrive 20i 2.0 16V 14/18
BMW: X4 (F26) xDrive 28i 3.0 24V 14/18
BMW: X5 (E70) 3.0 24V 08/13
BMW: X5 (F15) 3.0 24V 11/18
BMW: X6 (E71) 3.0 24V 07/17
BMW: X6 (F16) 3.0 24V 14/19
BMW: Z4 (E85) 3.0 24V 05/09
BMW: Z4 (E86) 3.0 24V 06/09
BMW: Z4 (E89) 2.5 24V 09/11
BMW: Z4 (E89) sDrive 20i 2.0 16V 11/16</v>
      </c>
      <c r="P745" s="12" t="str">
        <f aca="false">IFERROR(VLOOKUP($A745,Lista_Starke!$A:$E,2,0),"NÃO ESTÁ NA LISTA")</f>
        <v>RESFRIADOR DE ÓLEO MOTOR</v>
      </c>
    </row>
    <row r="746" customFormat="false" ht="15" hidden="false" customHeight="true" outlineLevel="0" collapsed="false">
      <c r="A746" s="10" t="s">
        <v>1651</v>
      </c>
      <c r="B746" s="10" t="str">
        <f aca="false">IFERROR(VLOOKUP(A746,Pedido!$A:$B,2,0),"")</f>
        <v/>
      </c>
      <c r="C746" s="10" t="str">
        <f aca="false">IF(B746="","NÃO COMPRA","COMPRA")</f>
        <v>NÃO COMPRA</v>
      </c>
      <c r="D746" s="1" t="n">
        <f aca="false">IFERROR(VLOOKUP(A746,Pedido!$A:$C,3,0),0)</f>
        <v>0</v>
      </c>
      <c r="E746" s="5" t="n">
        <f aca="false">IFERROR(VLOOKUP(A746,Pedido!$A:$E,5,0),0)</f>
        <v>0</v>
      </c>
      <c r="F746" s="1" t="s">
        <v>9</v>
      </c>
      <c r="G746" s="1" t="s">
        <v>1652</v>
      </c>
      <c r="H746" s="1" t="s">
        <v>1358</v>
      </c>
      <c r="I746" s="1" t="s">
        <v>46</v>
      </c>
      <c r="J746" s="1" t="s">
        <v>1653</v>
      </c>
      <c r="K746" s="1" t="n">
        <v>140</v>
      </c>
      <c r="L746" s="11" t="n">
        <v>0.910721642787419</v>
      </c>
      <c r="M746" s="1" t="n">
        <f aca="false">SUMIF(Relatorio_AK!$A:$A,A746,Relatorio_AK!$B:$B)</f>
        <v>140</v>
      </c>
      <c r="N746" s="1" t="str">
        <f aca="false">IF(M746=K746,"OK","DIF")</f>
        <v>OK</v>
      </c>
      <c r="O746" s="13" t="str">
        <f aca="false">IFERROR(VLOOKUP($A746,Lista_Starke!$A:$E,3,0),"NÃO ESTÁ NA LISTA")</f>
        <v>FIAT: Grand Siena C/ Dir. Hidráulica 12/18
FIAT: Mobi C/ Dir. Hidráulica 16/18
FIAT: Novo Uno C/ Dir. Hidráulica 10/17
FIAT: Palio C/ Dir. Hidraulica 12/17</v>
      </c>
      <c r="P746" s="12" t="str">
        <f aca="false">IFERROR(VLOOKUP($A746,Lista_Starke!$A:$E,2,0),"NÃO ESTÁ NA LISTA")</f>
        <v>BANDEJA INFERIOR COMPLETA LD</v>
      </c>
    </row>
    <row r="747" customFormat="false" ht="15" hidden="false" customHeight="true" outlineLevel="0" collapsed="false">
      <c r="A747" s="10" t="s">
        <v>1654</v>
      </c>
      <c r="B747" s="10" t="str">
        <f aca="false">IFERROR(VLOOKUP(A747,Pedido!$A:$B,2,0),"")</f>
        <v/>
      </c>
      <c r="C747" s="10" t="str">
        <f aca="false">IF(B747="","NÃO COMPRA","COMPRA")</f>
        <v>NÃO COMPRA</v>
      </c>
      <c r="D747" s="1" t="n">
        <f aca="false">IFERROR(VLOOKUP(A747,Pedido!$A:$C,3,0),0)</f>
        <v>0</v>
      </c>
      <c r="E747" s="5" t="n">
        <f aca="false">IFERROR(VLOOKUP(A747,Pedido!$A:$E,5,0),0)</f>
        <v>0</v>
      </c>
      <c r="F747" s="1" t="s">
        <v>9</v>
      </c>
      <c r="G747" s="1" t="s">
        <v>1655</v>
      </c>
      <c r="H747" s="1" t="s">
        <v>35</v>
      </c>
      <c r="I747" s="1" t="s">
        <v>1157</v>
      </c>
      <c r="K747" s="1" t="n">
        <v>140</v>
      </c>
      <c r="L747" s="11" t="n">
        <v>0.910960976618794</v>
      </c>
      <c r="M747" s="1" t="n">
        <f aca="false">SUMIF(Relatorio_AK!$A:$A,A747,Relatorio_AK!$B:$B)</f>
        <v>140</v>
      </c>
      <c r="N747" s="1" t="str">
        <f aca="false">IF(M747=K747,"OK","DIF")</f>
        <v>OK</v>
      </c>
      <c r="O747" s="13" t="str">
        <f aca="false">IFERROR(VLOOKUP($A747,Lista_Starke!$A:$E,3,0),"NÃO ESTÁ NA LISTA")</f>
        <v>BMW: X3 (F25) sDrive 28i 2.0 16V N20B20A 11/17
BMW: X3 (F25) xDrive 20i 2.0 16V N20B20A 11/17
BMW: X3 (F25) xDrive 35i 3.0 6cil N54B30A / N55B30A 10/17
BMW: X4 (F26) xDrive 20i 2.8 16V N20B20A 14/18
BMW: X4 (F26) xDrive 35i 3.0 6 cil N54B30A / N55B30A 14/18</v>
      </c>
      <c r="P747" s="12" t="str">
        <f aca="false">IFERROR(VLOOKUP($A747,Lista_Starke!$A:$E,2,0),"NÃO ESTÁ NA LISTA")</f>
        <v>CILINDRO MESTRE DE FREIO</v>
      </c>
    </row>
    <row r="748" customFormat="false" ht="15" hidden="false" customHeight="true" outlineLevel="0" collapsed="false">
      <c r="A748" s="10" t="s">
        <v>1656</v>
      </c>
      <c r="B748" s="10" t="str">
        <f aca="false">IFERROR(VLOOKUP(A748,Pedido!$A:$B,2,0),"")</f>
        <v/>
      </c>
      <c r="C748" s="10" t="str">
        <f aca="false">IF(B748="","NÃO COMPRA","COMPRA")</f>
        <v>NÃO COMPRA</v>
      </c>
      <c r="D748" s="1" t="n">
        <f aca="false">IFERROR(VLOOKUP(A748,Pedido!$A:$C,3,0),0)</f>
        <v>0</v>
      </c>
      <c r="E748" s="5" t="n">
        <f aca="false">IFERROR(VLOOKUP(A748,Pedido!$A:$E,5,0),0)</f>
        <v>0</v>
      </c>
      <c r="F748" s="1" t="s">
        <v>9</v>
      </c>
      <c r="G748" s="1" t="s">
        <v>536</v>
      </c>
      <c r="H748" s="1" t="s">
        <v>131</v>
      </c>
      <c r="I748" s="1" t="s">
        <v>1548</v>
      </c>
      <c r="J748" s="1" t="s">
        <v>1657</v>
      </c>
      <c r="K748" s="1" t="n">
        <v>139</v>
      </c>
      <c r="L748" s="11" t="n">
        <v>0.911198600922803</v>
      </c>
      <c r="M748" s="1" t="n">
        <f aca="false">SUMIF(Relatorio_AK!$A:$A,A748,Relatorio_AK!$B:$B)</f>
        <v>139</v>
      </c>
      <c r="N748" s="1" t="str">
        <f aca="false">IF(M748=K748,"OK","DIF")</f>
        <v>OK</v>
      </c>
      <c r="O748" s="13" t="str">
        <f aca="false">IFERROR(VLOOKUP($A748,Lista_Starke!$A:$E,3,0),"NÃO ESTÁ NA LISTA")</f>
        <v>NISSAN: Frontier 2.8 02/...
NISSAN: Pathfinder 3.0 V6 96/04
NISSAN: X Terra 2.8 00/04
TOYOTA: Hilux 3.0 02/05
TOYOTA: Hilux 4x4 4WD 93/...</v>
      </c>
      <c r="P748" s="12" t="str">
        <f aca="false">IFERROR(VLOOKUP($A748,Lista_Starke!$A:$E,2,0),"NÃO ESTÁ NA LISTA")</f>
        <v>SAPATA DE FREIO</v>
      </c>
    </row>
    <row r="749" customFormat="false" ht="15" hidden="false" customHeight="true" outlineLevel="0" collapsed="false">
      <c r="A749" s="10" t="s">
        <v>1658</v>
      </c>
      <c r="B749" s="10" t="str">
        <f aca="false">IFERROR(VLOOKUP(A749,Pedido!$A:$B,2,0),"")</f>
        <v/>
      </c>
      <c r="C749" s="10" t="str">
        <f aca="false">IF(B749="","NÃO COMPRA","COMPRA")</f>
        <v>NÃO COMPRA</v>
      </c>
      <c r="D749" s="1" t="n">
        <f aca="false">IFERROR(VLOOKUP(A749,Pedido!$A:$C,3,0),0)</f>
        <v>0</v>
      </c>
      <c r="E749" s="5" t="n">
        <f aca="false">IFERROR(VLOOKUP(A749,Pedido!$A:$E,5,0),0)</f>
        <v>0</v>
      </c>
      <c r="F749" s="1" t="s">
        <v>9</v>
      </c>
      <c r="G749" s="1" t="s">
        <v>1659</v>
      </c>
      <c r="H749" s="1" t="s">
        <v>197</v>
      </c>
      <c r="I749" s="1" t="s">
        <v>46</v>
      </c>
      <c r="J749" s="1" t="s">
        <v>1660</v>
      </c>
      <c r="K749" s="1" t="n">
        <v>139</v>
      </c>
      <c r="L749" s="11" t="n">
        <v>0.911436225226812</v>
      </c>
      <c r="M749" s="1" t="n">
        <f aca="false">SUMIF(Relatorio_AK!$A:$A,A749,Relatorio_AK!$B:$B)</f>
        <v>139</v>
      </c>
      <c r="N749" s="1" t="str">
        <f aca="false">IF(M749=K749,"OK","DIF")</f>
        <v>OK</v>
      </c>
      <c r="O749" s="13" t="str">
        <f aca="false">IFERROR(VLOOKUP($A749,Lista_Starke!$A:$E,3,0),"NÃO ESTÁ NA LISTA")</f>
        <v>FIAT: Bravo 1.8 16V E Torq 11/…
FIAT: Doblo 1.8 16V E Torq 11/…
FIAT: Grand Siena 1.6 16V E Torq 13/…
FIAT: Idea 1.6 16V E Torq 11/…
FIAT: Idea 1.8 16V E Torq 11/…
FIAT: Linea 1.8 16V E Torq 11/…
FIAT: Palio 1.6 16V E Torq 11/…
FIAT: Palio Weekend 1.6 16V E Torq 11/…
FIAT: Palio Weekend 1.8 16V E Torq 11/…
FIAT: Punto 1.6 16V E Torq 11/…
FIAT: Punto 1.8 16V E Torq 11/…
FIAT: Siena 1.6 16V E Torq 11/…
FIAT: Strada 1.8 16V E Torq 11/…
FIAT: Toro 1.8 16V E Torq 16/…</v>
      </c>
      <c r="P749" s="12" t="str">
        <f aca="false">IFERROR(VLOOKUP($A749,Lista_Starke!$A:$E,2,0),"NÃO ESTÁ NA LISTA")</f>
        <v>BOMBA D'ÁGUA</v>
      </c>
    </row>
    <row r="750" customFormat="false" ht="15" hidden="false" customHeight="true" outlineLevel="0" collapsed="false">
      <c r="A750" s="10" t="s">
        <v>1661</v>
      </c>
      <c r="B750" s="10" t="str">
        <f aca="false">IFERROR(VLOOKUP(A750,Pedido!$A:$B,2,0),"")</f>
        <v/>
      </c>
      <c r="C750" s="10" t="str">
        <f aca="false">IF(B750="","NÃO COMPRA","COMPRA")</f>
        <v>NÃO COMPRA</v>
      </c>
      <c r="D750" s="1" t="n">
        <f aca="false">IFERROR(VLOOKUP(A750,Pedido!$A:$C,3,0),0)</f>
        <v>0</v>
      </c>
      <c r="E750" s="5" t="n">
        <f aca="false">IFERROR(VLOOKUP(A750,Pedido!$A:$E,5,0),0)</f>
        <v>0</v>
      </c>
      <c r="F750" s="1" t="s">
        <v>9</v>
      </c>
      <c r="G750" s="1" t="s">
        <v>763</v>
      </c>
      <c r="H750" s="1" t="s">
        <v>197</v>
      </c>
      <c r="I750" s="1" t="s">
        <v>373</v>
      </c>
      <c r="J750" s="1" t="s">
        <v>1662</v>
      </c>
      <c r="K750" s="1" t="n">
        <v>139</v>
      </c>
      <c r="L750" s="11" t="n">
        <v>0.91167384953082</v>
      </c>
      <c r="M750" s="1" t="n">
        <f aca="false">SUMIF(Relatorio_AK!$A:$A,A750,Relatorio_AK!$B:$B)</f>
        <v>139</v>
      </c>
      <c r="N750" s="1" t="str">
        <f aca="false">IF(M750=K750,"OK","DIF")</f>
        <v>OK</v>
      </c>
      <c r="O750" s="13" t="str">
        <f aca="false">IFERROR(VLOOKUP($A750,Lista_Starke!$A:$E,3,0),"NÃO ESTÁ NA LISTA")</f>
        <v>MERCEDES-BENZ: Classe A 160 1.6 97/…
MERCEDES-BENZ: Classe A 190 1.9 98/…</v>
      </c>
      <c r="P750" s="12" t="str">
        <f aca="false">IFERROR(VLOOKUP($A750,Lista_Starke!$A:$E,2,0),"NÃO ESTÁ NA LISTA")</f>
        <v>BOMBA D'ÁGUA</v>
      </c>
    </row>
    <row r="751" customFormat="false" ht="15" hidden="false" customHeight="true" outlineLevel="0" collapsed="false">
      <c r="A751" s="10" t="s">
        <v>1663</v>
      </c>
      <c r="B751" s="10" t="str">
        <f aca="false">IFERROR(VLOOKUP(A751,Pedido!$A:$B,2,0),"")</f>
        <v/>
      </c>
      <c r="C751" s="10" t="str">
        <f aca="false">IF(B751="","NÃO COMPRA","COMPRA")</f>
        <v>NÃO COMPRA</v>
      </c>
      <c r="D751" s="1" t="n">
        <f aca="false">IFERROR(VLOOKUP(A751,Pedido!$A:$C,3,0),0)</f>
        <v>0</v>
      </c>
      <c r="E751" s="5" t="n">
        <f aca="false">IFERROR(VLOOKUP(A751,Pedido!$A:$E,5,0),0)</f>
        <v>0</v>
      </c>
      <c r="F751" s="1" t="s">
        <v>9</v>
      </c>
      <c r="G751" s="1" t="s">
        <v>695</v>
      </c>
      <c r="H751" s="1" t="s">
        <v>197</v>
      </c>
      <c r="I751" s="1" t="s">
        <v>295</v>
      </c>
      <c r="K751" s="1" t="n">
        <v>139</v>
      </c>
      <c r="L751" s="11" t="n">
        <v>0.911911473834829</v>
      </c>
      <c r="M751" s="1" t="n">
        <f aca="false">SUMIF(Relatorio_AK!$A:$A,A751,Relatorio_AK!$B:$B)</f>
        <v>139</v>
      </c>
      <c r="N751" s="1" t="str">
        <f aca="false">IF(M751=K751,"OK","DIF")</f>
        <v>OK</v>
      </c>
      <c r="O751" s="13" t="str">
        <f aca="false">IFERROR(VLOOKUP($A751,Lista_Starke!$A:$E,3,0),"NÃO ESTÁ NA LISTA")</f>
        <v>CHERY: Arrizo 5 1.5 16V Turbo E4T15B / E4G16 19/...
CHERY: Arrizo 6 1.5 16V Turbo E4T15B / E4G16 19/...
CHERY: Tiggo 5X 1.5 16V Turbo E4T15B / E4G16 19/...
CHERY: Tiggo 7 1.6 16V Turbo E4G16 19/...</v>
      </c>
      <c r="P751" s="12" t="str">
        <f aca="false">IFERROR(VLOOKUP($A751,Lista_Starke!$A:$E,2,0),"NÃO ESTÁ NA LISTA")</f>
        <v>BOMBA D'ÁGUA</v>
      </c>
    </row>
    <row r="752" customFormat="false" ht="15" hidden="false" customHeight="true" outlineLevel="0" collapsed="false">
      <c r="A752" s="10" t="s">
        <v>1664</v>
      </c>
      <c r="B752" s="10" t="str">
        <f aca="false">IFERROR(VLOOKUP(A752,Pedido!$A:$B,2,0),"")</f>
        <v/>
      </c>
      <c r="C752" s="10" t="str">
        <f aca="false">IF(B752="","NÃO COMPRA","COMPRA")</f>
        <v>NÃO COMPRA</v>
      </c>
      <c r="D752" s="1" t="n">
        <f aca="false">IFERROR(VLOOKUP(A752,Pedido!$A:$C,3,0),0)</f>
        <v>0</v>
      </c>
      <c r="E752" s="5" t="n">
        <f aca="false">IFERROR(VLOOKUP(A752,Pedido!$A:$E,5,0),0)</f>
        <v>0</v>
      </c>
      <c r="F752" s="1" t="s">
        <v>9</v>
      </c>
      <c r="G752" s="1" t="s">
        <v>214</v>
      </c>
      <c r="H752" s="1" t="s">
        <v>35</v>
      </c>
      <c r="I752" s="1" t="s">
        <v>215</v>
      </c>
      <c r="K752" s="1" t="n">
        <v>138</v>
      </c>
      <c r="L752" s="11" t="n">
        <v>0.912147388611471</v>
      </c>
      <c r="M752" s="1" t="n">
        <f aca="false">SUMIF(Relatorio_AK!$A:$A,A752,Relatorio_AK!$B:$B)</f>
        <v>138</v>
      </c>
      <c r="N752" s="1" t="str">
        <f aca="false">IF(M752=K752,"OK","DIF")</f>
        <v>OK</v>
      </c>
      <c r="O752" s="12" t="str">
        <f aca="false">IFERROR(VLOOKUP($A752,Lista_Starke!$A:$E,3,0),"NÃO ESTÁ NA LISTA")</f>
        <v>NISSAN: Frontier 2.3 16V Turbo 17/...</v>
      </c>
      <c r="P752" s="12" t="str">
        <f aca="false">IFERROR(VLOOKUP($A752,Lista_Starke!$A:$E,2,0),"NÃO ESTÁ NA LISTA")</f>
        <v>CILINDRO MESTRE DE FREIO</v>
      </c>
    </row>
    <row r="753" customFormat="false" ht="15" hidden="false" customHeight="true" outlineLevel="0" collapsed="false">
      <c r="A753" s="10" t="s">
        <v>1665</v>
      </c>
      <c r="B753" s="10" t="str">
        <f aca="false">IFERROR(VLOOKUP(A753,Pedido!$A:$B,2,0),"")</f>
        <v/>
      </c>
      <c r="C753" s="10" t="str">
        <f aca="false">IF(B753="","NÃO COMPRA","COMPRA")</f>
        <v>NÃO COMPRA</v>
      </c>
      <c r="D753" s="1" t="n">
        <f aca="false">IFERROR(VLOOKUP(A753,Pedido!$A:$C,3,0),0)</f>
        <v>0</v>
      </c>
      <c r="E753" s="5" t="n">
        <f aca="false">IFERROR(VLOOKUP(A753,Pedido!$A:$E,5,0),0)</f>
        <v>0</v>
      </c>
      <c r="F753" s="1" t="s">
        <v>9</v>
      </c>
      <c r="G753" s="1" t="s">
        <v>1402</v>
      </c>
      <c r="H753" s="1" t="s">
        <v>1073</v>
      </c>
      <c r="I753" s="1" t="s">
        <v>286</v>
      </c>
      <c r="J753" s="1" t="s">
        <v>1666</v>
      </c>
      <c r="K753" s="1" t="n">
        <v>137</v>
      </c>
      <c r="L753" s="11" t="n">
        <v>0.912381593860745</v>
      </c>
      <c r="M753" s="1" t="n">
        <f aca="false">SUMIF(Relatorio_AK!$A:$A,A753,Relatorio_AK!$B:$B)</f>
        <v>137</v>
      </c>
      <c r="N753" s="1" t="str">
        <f aca="false">IF(M753=K753,"OK","DIF")</f>
        <v>OK</v>
      </c>
      <c r="O753" s="13" t="str">
        <f aca="false">IFERROR(VLOOKUP($A753,Lista_Starke!$A:$E,3,0),"NÃO ESTÁ NA LISTA")</f>
        <v>FORD: Ranger 2.2 16V TDCi 13/...
FORD: Ranger 3.2 20V TDCi 13/...
TROLLER: T4 3.2 20V TDCi 14/...</v>
      </c>
      <c r="P753" s="12" t="str">
        <f aca="false">IFERROR(VLOOKUP($A753,Lista_Starke!$A:$E,2,0),"NÃO ESTÁ NA LISTA")</f>
        <v>VÁLVULA TERMOSTÁTICA</v>
      </c>
    </row>
    <row r="754" customFormat="false" ht="15" hidden="false" customHeight="true" outlineLevel="0" collapsed="false">
      <c r="A754" s="10" t="s">
        <v>1667</v>
      </c>
      <c r="B754" s="10" t="str">
        <f aca="false">IFERROR(VLOOKUP(A754,Pedido!$A:$B,2,0),"")</f>
        <v/>
      </c>
      <c r="C754" s="10" t="str">
        <f aca="false">IF(B754="","NÃO COMPRA","COMPRA")</f>
        <v>NÃO COMPRA</v>
      </c>
      <c r="D754" s="1" t="n">
        <f aca="false">IFERROR(VLOOKUP(A754,Pedido!$A:$C,3,0),0)</f>
        <v>0</v>
      </c>
      <c r="E754" s="5" t="n">
        <f aca="false">IFERROR(VLOOKUP(A754,Pedido!$A:$E,5,0),0)</f>
        <v>0</v>
      </c>
      <c r="F754" s="1" t="s">
        <v>9</v>
      </c>
      <c r="G754" s="1" t="s">
        <v>379</v>
      </c>
      <c r="H754" s="1" t="s">
        <v>32</v>
      </c>
      <c r="I754" s="1" t="s">
        <v>36</v>
      </c>
      <c r="J754" s="1" t="s">
        <v>1668</v>
      </c>
      <c r="K754" s="1" t="n">
        <v>137</v>
      </c>
      <c r="L754" s="11" t="n">
        <v>0.91261579911002</v>
      </c>
      <c r="M754" s="1" t="n">
        <f aca="false">SUMIF(Relatorio_AK!$A:$A,A754,Relatorio_AK!$B:$B)</f>
        <v>137</v>
      </c>
      <c r="N754" s="1" t="str">
        <f aca="false">IF(M754=K754,"OK","DIF")</f>
        <v>OK</v>
      </c>
      <c r="O754" s="13" t="str">
        <f aca="false">IFERROR(VLOOKUP($A754,Lista_Starke!$A:$E,3,0),"NÃO ESTÁ NA LISTA")</f>
        <v>VOLKSWAGEN: 13.150 SERIE 10 / X10 4.3 L 8V SOHV L4 00/05
VOLKSWAGEN: 13.170 6 BTAA 5.9 L 12V SOHV L6 00/01
VOLKSWAGEN: 13.180 SERIE 10 / X10 6.5 L 12V SOHV L6 00/05
VOLKSWAGEN: 15.170 6 BTAA 5.9 L 12V SOHV L6 00/01
VOLKSWAGEN: 17.210 6 BTAA 5.9 L 12V SOHV L6 00/05
VOLKSWAGEN: 17.210 SERIE 10 / X10 6.5 L 12V SOHV L6 00/05
VOLKSWAGEN: 17.220 6 CTAA 8.3 L 12V SOHV L6 00/06
VOLKSWAGEN: 17.300 6 CTAA 8.3 L 12V SOHV L6 00/01
VOLKSWAGEN: 17.310 6 CTAA 8.3 L 12V SOHV L6 01/05
VOLKSWAGEN: 24.220 6 CT 8.3 L 12V SOHV L6 91/06
VOLKSWAGEN: 24.250 6 CTAA 8.3 L 12V SOHV L6 91/02
VOLKSWAGEN: 26.300 6 CTAA 8.3 L 12V SOHV L6 00/01
VOLKSWAGEN: 26.310 6 CTAA 8.3 L 12V SOHV L6 01/05
VOLKSWAGEN: 40.300 6 CTAA 8.3 L 12V SOHV L6 99/01
VOLKSWAGEN: 8.120 SÉRIE 10 / X10 4.3 L 8V SOHV L4 00/07
VOLKSWAGEN: 8.140 SÉRIE 10 / X10 4.3 L 8V SOHV L4 94/00
VOLKSWAGEN: 8.140 CO SÉRIE 10 / X10 4.3 L 8V SOHV L4 94/00
VOLKSWAGEN: 8.150 SÉRIE 10 / X10 4.3 L 8V SOHV L4 00/05
VOLKSWAGEN: 8.150 OD SÉRIE 10 / X10 4.3 L 8V SOHV L4 01/05
VOLKSWAGEN: 9.150 OD SÉRIE 10 / X10 4.3 L 8V SOHV L4 01/05
VOLKSWAGEN: Constellation 24.250 Interact 6 5.9 24V 05/11
VOLKSWAGEN: Worker 13.170 E Interact 4 3.9 16V 04
VOLKSWAGEN: Worker 13.180 CN SÉRIE 10 / X10 6.5 12V 06/11
VOLKSWAGEN: Worker 15.170 E Interact 4 3.9 16V 04/06
VOLKSWAGEN: Worker 15.180 SÉRIE 10 / X10 6.5 12V 06/11
VOLKSWAGEN: Worker 17.220 6 CTAA 8.3 12V 06/11
VOLKSWAGEN: Worker 24.220 6 CTAA 8.3 12V 06/11
VOLKSWAGEN: Worker 24.250 E Interact 6 5.9 24V 03/11</v>
      </c>
      <c r="P754" s="12" t="str">
        <f aca="false">IFERROR(VLOOKUP($A754,Lista_Starke!$A:$E,2,0),"NÃO ESTÁ NA LISTA")</f>
        <v>CILINDRO MESTRE DE EMBREAGEM</v>
      </c>
    </row>
    <row r="755" customFormat="false" ht="15" hidden="false" customHeight="true" outlineLevel="0" collapsed="false">
      <c r="A755" s="10" t="s">
        <v>1669</v>
      </c>
      <c r="B755" s="10" t="str">
        <f aca="false">IFERROR(VLOOKUP(A755,Pedido!$A:$B,2,0),"")</f>
        <v/>
      </c>
      <c r="C755" s="10" t="str">
        <f aca="false">IF(B755="","NÃO COMPRA","COMPRA")</f>
        <v>NÃO COMPRA</v>
      </c>
      <c r="D755" s="1" t="n">
        <f aca="false">IFERROR(VLOOKUP(A755,Pedido!$A:$C,3,0),0)</f>
        <v>0</v>
      </c>
      <c r="E755" s="5" t="n">
        <f aca="false">IFERROR(VLOOKUP(A755,Pedido!$A:$E,5,0),0)</f>
        <v>0</v>
      </c>
      <c r="F755" s="1" t="s">
        <v>9</v>
      </c>
      <c r="G755" s="1" t="s">
        <v>117</v>
      </c>
      <c r="H755" s="1" t="s">
        <v>32</v>
      </c>
      <c r="I755" s="1" t="s">
        <v>57</v>
      </c>
      <c r="J755" s="1" t="s">
        <v>1670</v>
      </c>
      <c r="K755" s="1" t="n">
        <v>136</v>
      </c>
      <c r="L755" s="11" t="n">
        <v>0.912848294831928</v>
      </c>
      <c r="M755" s="1" t="n">
        <f aca="false">SUMIF(Relatorio_AK!$A:$A,A755,Relatorio_AK!$B:$B)</f>
        <v>136</v>
      </c>
      <c r="N755" s="1" t="str">
        <f aca="false">IF(M755=K755,"OK","DIF")</f>
        <v>OK</v>
      </c>
      <c r="O755" s="13" t="str">
        <f aca="false">IFERROR(VLOOKUP($A755,Lista_Starke!$A:$E,3,0),"NÃO ESTÁ NA LISTA")</f>
        <v>GM: Blazer 2.2 8V 96/00
GM: Blazer 2.4 8V 01/11
GM: Blazer 2.5 Maxion 96/00
GM: S10 2.2 8V 96/00
GM: S10 2.4 8V 01/11
GM: S10 2.5 Maxion 96/00</v>
      </c>
      <c r="P755" s="12" t="str">
        <f aca="false">IFERROR(VLOOKUP($A755,Lista_Starke!$A:$E,2,0),"NÃO ESTÁ NA LISTA")</f>
        <v>CILINDRO MESTRE DE EMBREAGEM</v>
      </c>
    </row>
    <row r="756" customFormat="false" ht="15" hidden="false" customHeight="true" outlineLevel="0" collapsed="false">
      <c r="A756" s="10" t="s">
        <v>1671</v>
      </c>
      <c r="B756" s="10" t="str">
        <f aca="false">IFERROR(VLOOKUP(A756,Pedido!$A:$B,2,0),"")</f>
        <v/>
      </c>
      <c r="C756" s="10" t="str">
        <f aca="false">IF(B756="","NÃO COMPRA","COMPRA")</f>
        <v>NÃO COMPRA</v>
      </c>
      <c r="D756" s="1" t="n">
        <f aca="false">IFERROR(VLOOKUP(A756,Pedido!$A:$C,3,0),0)</f>
        <v>0</v>
      </c>
      <c r="E756" s="5" t="n">
        <f aca="false">IFERROR(VLOOKUP(A756,Pedido!$A:$E,5,0),0)</f>
        <v>0</v>
      </c>
      <c r="F756" s="1" t="s">
        <v>9</v>
      </c>
      <c r="G756" s="1" t="s">
        <v>353</v>
      </c>
      <c r="H756" s="1" t="s">
        <v>88</v>
      </c>
      <c r="I756" s="1" t="s">
        <v>177</v>
      </c>
      <c r="J756" s="1" t="s">
        <v>1672</v>
      </c>
      <c r="K756" s="1" t="n">
        <v>136</v>
      </c>
      <c r="L756" s="11" t="n">
        <v>0.913080790553836</v>
      </c>
      <c r="M756" s="1" t="n">
        <f aca="false">SUMIF(Relatorio_AK!$A:$A,A756,Relatorio_AK!$B:$B)</f>
        <v>136</v>
      </c>
      <c r="N756" s="1" t="str">
        <f aca="false">IF(M756=K756,"OK","DIF")</f>
        <v>OK</v>
      </c>
      <c r="O756" s="12" t="str">
        <f aca="false">IFERROR(VLOOKUP($A756,Lista_Starke!$A:$E,3,0),"NÃO ESTÁ NA LISTA")</f>
        <v>TOYOTA: Hilux 2.7 16V 3RZFE 98/05</v>
      </c>
      <c r="P756" s="12" t="str">
        <f aca="false">IFERROR(VLOOKUP($A756,Lista_Starke!$A:$E,2,0),"NÃO ESTÁ NA LISTA")</f>
        <v>CILINDRO DE RODA LE/LD</v>
      </c>
    </row>
    <row r="757" customFormat="false" ht="15" hidden="false" customHeight="true" outlineLevel="0" collapsed="false">
      <c r="A757" s="10" t="s">
        <v>1673</v>
      </c>
      <c r="B757" s="10" t="str">
        <f aca="false">IFERROR(VLOOKUP(A757,Pedido!$A:$B,2,0),"")</f>
        <v/>
      </c>
      <c r="C757" s="10" t="str">
        <f aca="false">IF(B757="","NÃO COMPRA","COMPRA")</f>
        <v>NÃO COMPRA</v>
      </c>
      <c r="D757" s="1" t="n">
        <f aca="false">IFERROR(VLOOKUP(A757,Pedido!$A:$C,3,0),0)</f>
        <v>0</v>
      </c>
      <c r="E757" s="5" t="n">
        <f aca="false">IFERROR(VLOOKUP(A757,Pedido!$A:$E,5,0),0)</f>
        <v>0</v>
      </c>
      <c r="F757" s="1" t="s">
        <v>9</v>
      </c>
      <c r="G757" s="1" t="s">
        <v>1674</v>
      </c>
      <c r="H757" s="1" t="s">
        <v>1073</v>
      </c>
      <c r="I757" s="1" t="s">
        <v>295</v>
      </c>
      <c r="K757" s="1" t="n">
        <v>136</v>
      </c>
      <c r="L757" s="11" t="n">
        <v>0.913313286275743</v>
      </c>
      <c r="M757" s="1" t="n">
        <f aca="false">SUMIF(Relatorio_AK!$A:$A,A757,Relatorio_AK!$B:$B)</f>
        <v>136</v>
      </c>
      <c r="N757" s="1" t="str">
        <f aca="false">IF(M757=K757,"OK","DIF")</f>
        <v>OK</v>
      </c>
      <c r="O757" s="13" t="str">
        <f aca="false">IFERROR(VLOOKUP($A757,Lista_Starke!$A:$E,3,0),"NÃO ESTÁ NA LISTA")</f>
        <v>CHERY: Tiggo 5X 1.5 16V Turbo E4T15B / E4G16 19/...
CHERY: Tiggo 5x Pro 1.5 16V Turbo Hybrid 22/...
CHERY: Tiggo 7 Pro 1.5 16V Turbo Hybrid 22/...
CHERY: Tiggo 8 1.5 16V Turbo Hybrid 22/...</v>
      </c>
      <c r="P757" s="12" t="str">
        <f aca="false">IFERROR(VLOOKUP($A757,Lista_Starke!$A:$E,2,0),"NÃO ESTÁ NA LISTA")</f>
        <v>VÁLVULA TERMOSTÁTICA</v>
      </c>
    </row>
    <row r="758" customFormat="false" ht="15" hidden="false" customHeight="true" outlineLevel="0" collapsed="false">
      <c r="A758" s="10" t="s">
        <v>1675</v>
      </c>
      <c r="B758" s="10" t="str">
        <f aca="false">IFERROR(VLOOKUP(A758,Pedido!$A:$B,2,0),"")</f>
        <v/>
      </c>
      <c r="C758" s="10" t="str">
        <f aca="false">IF(B758="","NÃO COMPRA","COMPRA")</f>
        <v>NÃO COMPRA</v>
      </c>
      <c r="D758" s="1" t="n">
        <f aca="false">IFERROR(VLOOKUP(A758,Pedido!$A:$C,3,0),0)</f>
        <v>0</v>
      </c>
      <c r="E758" s="5" t="n">
        <f aca="false">IFERROR(VLOOKUP(A758,Pedido!$A:$E,5,0),0)</f>
        <v>0</v>
      </c>
      <c r="F758" s="1" t="s">
        <v>9</v>
      </c>
      <c r="G758" s="1" t="s">
        <v>35</v>
      </c>
      <c r="H758" s="1" t="s">
        <v>35</v>
      </c>
      <c r="I758" s="1" t="s">
        <v>36</v>
      </c>
      <c r="K758" s="1" t="n">
        <v>136</v>
      </c>
      <c r="L758" s="11" t="n">
        <v>0.913545781997651</v>
      </c>
      <c r="M758" s="1" t="n">
        <f aca="false">SUMIF(Relatorio_AK!$A:$A,A758,Relatorio_AK!$B:$B)</f>
        <v>136</v>
      </c>
      <c r="N758" s="1" t="str">
        <f aca="false">IF(M758=K758,"OK","DIF")</f>
        <v>OK</v>
      </c>
      <c r="O758" s="13" t="str">
        <f aca="false">IFERROR(VLOOKUP($A758,Lista_Starke!$A:$E,3,0),"NÃO ESTÁ NA LISTA")</f>
        <v>VOLKSWAGEN: Gol G6 1.0 / 1.6 13/...
VOLKSWAGEN: Gol G7 1.0 / 1.6 17/...
VOLKSWAGEN: Nivus 1.0 TSI 20/...
VOLKSWAGEN: Polo 1.0 TSI / 1.6 MSI 17/...
VOLKSWAGEN: Saveiro G6 1.6 MSI 13/...
VOLKSWAGEN: T-Cross 1.0 TSI 19/...
VOLKSWAGEN: Up 1.0 12V / 1.0 TSI 14/...
VOLKSWAGEN: Virtus 1.0 TSI / 1.6 MSI 18/...
VOLKSWAGEN: Voyage G6 1.0 / 1.6 13/...</v>
      </c>
      <c r="P758" s="12" t="str">
        <f aca="false">IFERROR(VLOOKUP($A758,Lista_Starke!$A:$E,2,0),"NÃO ESTÁ NA LISTA")</f>
        <v>CILINDRO MESTRE DE FREIO</v>
      </c>
    </row>
    <row r="759" customFormat="false" ht="15" hidden="false" customHeight="true" outlineLevel="0" collapsed="false">
      <c r="A759" s="10" t="s">
        <v>1676</v>
      </c>
      <c r="B759" s="10" t="str">
        <f aca="false">IFERROR(VLOOKUP(A759,Pedido!$A:$B,2,0),"")</f>
        <v/>
      </c>
      <c r="C759" s="10" t="str">
        <f aca="false">IF(B759="","NÃO COMPRA","COMPRA")</f>
        <v>NÃO COMPRA</v>
      </c>
      <c r="D759" s="1" t="n">
        <f aca="false">IFERROR(VLOOKUP(A759,Pedido!$A:$C,3,0),0)</f>
        <v>0</v>
      </c>
      <c r="E759" s="5" t="n">
        <f aca="false">IFERROR(VLOOKUP(A759,Pedido!$A:$E,5,0),0)</f>
        <v>0</v>
      </c>
      <c r="F759" s="1" t="s">
        <v>9</v>
      </c>
      <c r="G759" s="1" t="s">
        <v>483</v>
      </c>
      <c r="H759" s="1" t="s">
        <v>906</v>
      </c>
      <c r="I759" s="1" t="s">
        <v>36</v>
      </c>
      <c r="J759" s="1" t="s">
        <v>1677</v>
      </c>
      <c r="K759" s="1" t="n">
        <v>135</v>
      </c>
      <c r="L759" s="11" t="n">
        <v>0.913776568192192</v>
      </c>
      <c r="M759" s="1" t="n">
        <f aca="false">SUMIF(Relatorio_AK!$A:$A,A759,Relatorio_AK!$B:$B)</f>
        <v>135</v>
      </c>
      <c r="N759" s="1" t="str">
        <f aca="false">IF(M759=K759,"OK","DIF")</f>
        <v>OK</v>
      </c>
      <c r="O759" s="12" t="str">
        <f aca="false">IFERROR(VLOOKUP($A759,Lista_Starke!$A:$E,3,0),"NÃO ESTÁ NA LISTA")</f>
        <v>VOLKSWAGEN: Amarok 2.0 16V TDI   CDBA / CNFA 10/…</v>
      </c>
      <c r="P759" s="12" t="str">
        <f aca="false">IFERROR(VLOOKUP($A759,Lista_Starke!$A:$E,2,0),"NÃO ESTÁ NA LISTA")</f>
        <v>BOMBA D'ÁGUA AUILIAR</v>
      </c>
    </row>
    <row r="760" customFormat="false" ht="15" hidden="false" customHeight="true" outlineLevel="0" collapsed="false">
      <c r="A760" s="10" t="s">
        <v>1678</v>
      </c>
      <c r="B760" s="10" t="str">
        <f aca="false">IFERROR(VLOOKUP(A760,Pedido!$A:$B,2,0),"")</f>
        <v/>
      </c>
      <c r="C760" s="10" t="str">
        <f aca="false">IF(B760="","NÃO COMPRA","COMPRA")</f>
        <v>NÃO COMPRA</v>
      </c>
      <c r="D760" s="1" t="n">
        <f aca="false">IFERROR(VLOOKUP(A760,Pedido!$A:$C,3,0),0)</f>
        <v>0</v>
      </c>
      <c r="E760" s="5" t="n">
        <f aca="false">IFERROR(VLOOKUP(A760,Pedido!$A:$E,5,0),0)</f>
        <v>0</v>
      </c>
      <c r="F760" s="1" t="s">
        <v>9</v>
      </c>
      <c r="G760" s="1" t="s">
        <v>1405</v>
      </c>
      <c r="H760" s="1" t="s">
        <v>28</v>
      </c>
      <c r="I760" s="1" t="s">
        <v>226</v>
      </c>
      <c r="J760" s="1" t="s">
        <v>1679</v>
      </c>
      <c r="K760" s="1" t="n">
        <v>135</v>
      </c>
      <c r="L760" s="11" t="n">
        <v>0.914007354386733</v>
      </c>
      <c r="M760" s="1" t="n">
        <f aca="false">SUMIF(Relatorio_AK!$A:$A,A760,Relatorio_AK!$B:$B)</f>
        <v>135</v>
      </c>
      <c r="N760" s="1" t="str">
        <f aca="false">IF(M760=K760,"OK","DIF")</f>
        <v>OK</v>
      </c>
      <c r="O760" s="13" t="str">
        <f aca="false">IFERROR(VLOOKUP($A760,Lista_Starke!$A:$E,3,0),"NÃO ESTÁ NA LISTA")</f>
        <v>AUDI: A3 1.6 96/...
VOLKSWAGEN: Golf 1.6 98/02</v>
      </c>
      <c r="P760" s="12" t="str">
        <f aca="false">IFERROR(VLOOKUP($A760,Lista_Starke!$A:$E,2,0),"NÃO ESTÁ NA LISTA")</f>
        <v>CILINDRO AUXILIAR DE EMBREAGEM</v>
      </c>
    </row>
    <row r="761" customFormat="false" ht="15" hidden="false" customHeight="true" outlineLevel="0" collapsed="false">
      <c r="A761" s="10" t="s">
        <v>1680</v>
      </c>
      <c r="B761" s="10" t="str">
        <f aca="false">IFERROR(VLOOKUP(A761,Pedido!$A:$B,2,0),"")</f>
        <v/>
      </c>
      <c r="C761" s="10" t="str">
        <f aca="false">IF(B761="","NÃO COMPRA","COMPRA")</f>
        <v>NÃO COMPRA</v>
      </c>
      <c r="D761" s="1" t="n">
        <f aca="false">IFERROR(VLOOKUP(A761,Pedido!$A:$C,3,0),0)</f>
        <v>0</v>
      </c>
      <c r="E761" s="5" t="n">
        <f aca="false">IFERROR(VLOOKUP(A761,Pedido!$A:$E,5,0),0)</f>
        <v>0</v>
      </c>
      <c r="F761" s="1" t="s">
        <v>9</v>
      </c>
      <c r="G761" s="1" t="s">
        <v>720</v>
      </c>
      <c r="H761" s="1" t="s">
        <v>197</v>
      </c>
      <c r="I761" s="1" t="s">
        <v>893</v>
      </c>
      <c r="J761" s="1" t="s">
        <v>1681</v>
      </c>
      <c r="K761" s="1" t="n">
        <v>135</v>
      </c>
      <c r="L761" s="11" t="n">
        <v>0.914238140581273</v>
      </c>
      <c r="M761" s="1" t="n">
        <f aca="false">SUMIF(Relatorio_AK!$A:$A,A761,Relatorio_AK!$B:$B)</f>
        <v>135</v>
      </c>
      <c r="N761" s="1" t="str">
        <f aca="false">IF(M761=K761,"OK","DIF")</f>
        <v>OK</v>
      </c>
      <c r="O761" s="13" t="str">
        <f aca="false">IFERROR(VLOOKUP($A761,Lista_Starke!$A:$E,3,0),"NÃO ESTÁ NA LISTA")</f>
        <v>HYUNDAI: H100 2.5 / 2.5 Turbo Diesel 4D55 / 4D55T / 4D56T 88/97
MITSUBISHI: L200 2.5 / 2.5 Turbo Diesel 4D55 / 4D55T / 4D56T 88/97
MITSUBISHI: L300 2.5 / 2.5 Turbo Diesel 4D55 / 4D55T / 4D56T 88/97</v>
      </c>
      <c r="P761" s="12" t="str">
        <f aca="false">IFERROR(VLOOKUP($A761,Lista_Starke!$A:$E,2,0),"NÃO ESTÁ NA LISTA")</f>
        <v>BOMBA D'ÁGUA</v>
      </c>
    </row>
    <row r="762" customFormat="false" ht="15" hidden="false" customHeight="true" outlineLevel="0" collapsed="false">
      <c r="A762" s="10" t="s">
        <v>1682</v>
      </c>
      <c r="B762" s="10" t="str">
        <f aca="false">IFERROR(VLOOKUP(A762,Pedido!$A:$B,2,0),"")</f>
        <v/>
      </c>
      <c r="C762" s="10" t="str">
        <f aca="false">IF(B762="","NÃO COMPRA","COMPRA")</f>
        <v>NÃO COMPRA</v>
      </c>
      <c r="D762" s="1" t="n">
        <f aca="false">IFERROR(VLOOKUP(A762,Pedido!$A:$C,3,0),0)</f>
        <v>0</v>
      </c>
      <c r="E762" s="5" t="n">
        <f aca="false">IFERROR(VLOOKUP(A762,Pedido!$A:$E,5,0),0)</f>
        <v>0</v>
      </c>
      <c r="F762" s="1" t="s">
        <v>9</v>
      </c>
      <c r="G762" s="1" t="s">
        <v>56</v>
      </c>
      <c r="H762" s="1" t="s">
        <v>35</v>
      </c>
      <c r="I762" s="1" t="s">
        <v>57</v>
      </c>
      <c r="J762" s="1" t="s">
        <v>1683</v>
      </c>
      <c r="K762" s="1" t="n">
        <v>135</v>
      </c>
      <c r="L762" s="11" t="n">
        <v>0.914468926775814</v>
      </c>
      <c r="M762" s="1" t="n">
        <f aca="false">SUMIF(Relatorio_AK!$A:$A,A762,Relatorio_AK!$B:$B)</f>
        <v>135</v>
      </c>
      <c r="N762" s="1" t="str">
        <f aca="false">IF(M762=K762,"OK","DIF")</f>
        <v>OK</v>
      </c>
      <c r="O762" s="13" t="str">
        <f aca="false">IFERROR(VLOOKUP($A762,Lista_Starke!$A:$E,3,0),"NÃO ESTÁ NA LISTA")</f>
        <v>GM: Caravan  75/76
GM: Opala  75/76</v>
      </c>
      <c r="P762" s="12" t="str">
        <f aca="false">IFERROR(VLOOKUP($A762,Lista_Starke!$A:$E,2,0),"NÃO ESTÁ NA LISTA")</f>
        <v>CILINDRO MESTRE DE FREIO</v>
      </c>
    </row>
    <row r="763" customFormat="false" ht="15" hidden="false" customHeight="true" outlineLevel="0" collapsed="false">
      <c r="A763" s="10" t="s">
        <v>1684</v>
      </c>
      <c r="B763" s="10" t="str">
        <f aca="false">IFERROR(VLOOKUP(A763,Pedido!$A:$B,2,0),"")</f>
        <v/>
      </c>
      <c r="C763" s="10" t="str">
        <f aca="false">IF(B763="","NÃO COMPRA","COMPRA")</f>
        <v>NÃO COMPRA</v>
      </c>
      <c r="D763" s="1" t="n">
        <f aca="false">IFERROR(VLOOKUP(A763,Pedido!$A:$C,3,0),0)</f>
        <v>0</v>
      </c>
      <c r="E763" s="5" t="n">
        <f aca="false">IFERROR(VLOOKUP(A763,Pedido!$A:$E,5,0),0)</f>
        <v>0</v>
      </c>
      <c r="F763" s="1" t="s">
        <v>9</v>
      </c>
      <c r="G763" s="1" t="s">
        <v>52</v>
      </c>
      <c r="H763" s="1" t="s">
        <v>35</v>
      </c>
      <c r="I763" s="1" t="s">
        <v>53</v>
      </c>
      <c r="J763" s="1" t="s">
        <v>1685</v>
      </c>
      <c r="K763" s="1" t="n">
        <v>135</v>
      </c>
      <c r="L763" s="11" t="n">
        <v>0.914699712970355</v>
      </c>
      <c r="M763" s="1" t="n">
        <f aca="false">SUMIF(Relatorio_AK!$A:$A,A763,Relatorio_AK!$B:$B)</f>
        <v>135</v>
      </c>
      <c r="N763" s="1" t="str">
        <f aca="false">IF(M763=K763,"OK","DIF")</f>
        <v>OK</v>
      </c>
      <c r="O763" s="13" t="str">
        <f aca="false">IFERROR(VLOOKUP($A763,Lista_Starke!$A:$E,3,0),"NÃO ESTÁ NA LISTA")</f>
        <v>FORD: Ranger 2.2 16V TDCi 13/...
FORD: Ranger 2.3 16V Gasolina 13/...
FORD: Ranger 2.5 16V Gasolina 13/...
FORD: Ranger 3.0 Diesel 12/...
FORD: Ranger 3.2 20V TDCi 13/...</v>
      </c>
      <c r="P763" s="12" t="str">
        <f aca="false">IFERROR(VLOOKUP($A763,Lista_Starke!$A:$E,2,0),"NÃO ESTÁ NA LISTA")</f>
        <v>CILINDRO MESTRE DE FREIO</v>
      </c>
    </row>
    <row r="764" customFormat="false" ht="15" hidden="false" customHeight="true" outlineLevel="0" collapsed="false">
      <c r="A764" s="10" t="s">
        <v>1686</v>
      </c>
      <c r="B764" s="10" t="str">
        <f aca="false">IFERROR(VLOOKUP(A764,Pedido!$A:$B,2,0),"")</f>
        <v/>
      </c>
      <c r="C764" s="10" t="str">
        <f aca="false">IF(B764="","NÃO COMPRA","COMPRA")</f>
        <v>NÃO COMPRA</v>
      </c>
      <c r="D764" s="1" t="n">
        <f aca="false">IFERROR(VLOOKUP(A764,Pedido!$A:$C,3,0),0)</f>
        <v>0</v>
      </c>
      <c r="E764" s="5" t="n">
        <f aca="false">IFERROR(VLOOKUP(A764,Pedido!$A:$E,5,0),0)</f>
        <v>0</v>
      </c>
      <c r="F764" s="1" t="s">
        <v>9</v>
      </c>
      <c r="G764" s="1" t="s">
        <v>1687</v>
      </c>
      <c r="H764" s="1" t="s">
        <v>88</v>
      </c>
      <c r="I764" s="1" t="s">
        <v>57</v>
      </c>
      <c r="J764" s="1" t="s">
        <v>1283</v>
      </c>
      <c r="K764" s="1" t="n">
        <v>135</v>
      </c>
      <c r="L764" s="11" t="n">
        <v>0.914930499164896</v>
      </c>
      <c r="M764" s="1" t="n">
        <f aca="false">SUMIF(Relatorio_AK!$A:$A,A764,Relatorio_AK!$B:$B)</f>
        <v>135</v>
      </c>
      <c r="N764" s="1" t="str">
        <f aca="false">IF(M764=K764,"OK","DIF")</f>
        <v>OK</v>
      </c>
      <c r="O764" s="13" t="str">
        <f aca="false">IFERROR(VLOOKUP($A764,Lista_Starke!$A:$E,3,0),"NÃO ESTÁ NA LISTA")</f>
        <v>GM: Onix 1.0 12V 3 cil Aspirado 20/...
GM: Onix 1.0 12V 3 cil Turbo 20/...
GM: Onix Plus 1.0 12V 3 cil Aspirado 20/...
GM: Onix Plus 1.0.12V 3 cil Turbo 20/...</v>
      </c>
      <c r="P764" s="12" t="str">
        <f aca="false">IFERROR(VLOOKUP($A764,Lista_Starke!$A:$E,2,0),"NÃO ESTÁ NA LISTA")</f>
        <v>CILINDRO DE RODA LE/LD - IGUAL SWC5060</v>
      </c>
    </row>
    <row r="765" customFormat="false" ht="15" hidden="false" customHeight="true" outlineLevel="0" collapsed="false">
      <c r="A765" s="10" t="s">
        <v>1688</v>
      </c>
      <c r="B765" s="10" t="str">
        <f aca="false">IFERROR(VLOOKUP(A765,Pedido!$A:$B,2,0),"")</f>
        <v/>
      </c>
      <c r="C765" s="10" t="str">
        <f aca="false">IF(B765="","NÃO COMPRA","COMPRA")</f>
        <v>NÃO COMPRA</v>
      </c>
      <c r="D765" s="1" t="n">
        <f aca="false">IFERROR(VLOOKUP(A765,Pedido!$A:$C,3,0),0)</f>
        <v>0</v>
      </c>
      <c r="E765" s="5" t="n">
        <f aca="false">IFERROR(VLOOKUP(A765,Pedido!$A:$E,5,0),0)</f>
        <v>0</v>
      </c>
      <c r="F765" s="1" t="s">
        <v>9</v>
      </c>
      <c r="G765" s="1" t="s">
        <v>1689</v>
      </c>
      <c r="H765" s="1" t="s">
        <v>1358</v>
      </c>
      <c r="I765" s="1" t="s">
        <v>71</v>
      </c>
      <c r="J765" s="1" t="s">
        <v>1690</v>
      </c>
      <c r="K765" s="1" t="n">
        <v>134</v>
      </c>
      <c r="L765" s="11" t="n">
        <v>0.91515957583207</v>
      </c>
      <c r="M765" s="1" t="n">
        <f aca="false">SUMIF(Relatorio_AK!$A:$A,A765,Relatorio_AK!$B:$B)</f>
        <v>134</v>
      </c>
      <c r="N765" s="1" t="str">
        <f aca="false">IF(M765=K765,"OK","DIF")</f>
        <v>OK</v>
      </c>
      <c r="O765" s="13" t="str">
        <f aca="false">IFERROR(VLOOKUP($A765,Lista_Starke!$A:$E,3,0),"NÃO ESTÁ NA LISTA")</f>
        <v>PEUGEOT: 206  00/10
PEUGEOT: 206 SW / Escapade 05/08
PEUGEOT: 207  09/15
PEUGEOT: Hoggar  10/14</v>
      </c>
      <c r="P765" s="12" t="str">
        <f aca="false">IFERROR(VLOOKUP($A765,Lista_Starke!$A:$E,2,0),"NÃO ESTÁ NA LISTA")</f>
        <v>BANDEJA INFERIOR COMPLETA LD</v>
      </c>
    </row>
    <row r="766" customFormat="false" ht="15" hidden="false" customHeight="true" outlineLevel="0" collapsed="false">
      <c r="A766" s="10" t="s">
        <v>1691</v>
      </c>
      <c r="B766" s="10" t="str">
        <f aca="false">IFERROR(VLOOKUP(A766,Pedido!$A:$B,2,0),"")</f>
        <v/>
      </c>
      <c r="C766" s="10" t="str">
        <f aca="false">IF(B766="","NÃO COMPRA","COMPRA")</f>
        <v>NÃO COMPRA</v>
      </c>
      <c r="D766" s="1" t="n">
        <f aca="false">IFERROR(VLOOKUP(A766,Pedido!$A:$C,3,0),0)</f>
        <v>0</v>
      </c>
      <c r="E766" s="5" t="n">
        <f aca="false">IFERROR(VLOOKUP(A766,Pedido!$A:$E,5,0),0)</f>
        <v>0</v>
      </c>
      <c r="F766" s="1" t="s">
        <v>9</v>
      </c>
      <c r="G766" s="1" t="s">
        <v>214</v>
      </c>
      <c r="H766" s="1" t="s">
        <v>35</v>
      </c>
      <c r="I766" s="1" t="s">
        <v>215</v>
      </c>
      <c r="K766" s="1" t="n">
        <v>134</v>
      </c>
      <c r="L766" s="11" t="n">
        <v>0.915388652499243</v>
      </c>
      <c r="M766" s="1" t="n">
        <f aca="false">SUMIF(Relatorio_AK!$A:$A,A766,Relatorio_AK!$B:$B)</f>
        <v>134</v>
      </c>
      <c r="N766" s="1" t="str">
        <f aca="false">IF(M766=K766,"OK","DIF")</f>
        <v>OK</v>
      </c>
      <c r="O766" s="12" t="str">
        <f aca="false">IFERROR(VLOOKUP($A766,Lista_Starke!$A:$E,3,0),"NÃO ESTÁ NA LISTA")</f>
        <v>NISSAN: Frontier 2.3 16V Turbo 17/...</v>
      </c>
      <c r="P766" s="12" t="str">
        <f aca="false">IFERROR(VLOOKUP($A766,Lista_Starke!$A:$E,2,0),"NÃO ESTÁ NA LISTA")</f>
        <v>CILINDRO MESTRE DE FREIO</v>
      </c>
    </row>
    <row r="767" customFormat="false" ht="15" hidden="false" customHeight="true" outlineLevel="0" collapsed="false">
      <c r="A767" s="10" t="s">
        <v>1692</v>
      </c>
      <c r="B767" s="10" t="str">
        <f aca="false">IFERROR(VLOOKUP(A767,Pedido!$A:$B,2,0),"")</f>
        <v/>
      </c>
      <c r="C767" s="10" t="str">
        <f aca="false">IF(B767="","NÃO COMPRA","COMPRA")</f>
        <v>NÃO COMPRA</v>
      </c>
      <c r="D767" s="1" t="n">
        <f aca="false">IFERROR(VLOOKUP(A767,Pedido!$A:$C,3,0),0)</f>
        <v>0</v>
      </c>
      <c r="E767" s="5" t="n">
        <f aca="false">IFERROR(VLOOKUP(A767,Pedido!$A:$E,5,0),0)</f>
        <v>0</v>
      </c>
      <c r="F767" s="1" t="s">
        <v>9</v>
      </c>
      <c r="G767" s="1" t="s">
        <v>349</v>
      </c>
      <c r="H767" s="1" t="s">
        <v>197</v>
      </c>
      <c r="I767" s="1" t="s">
        <v>57</v>
      </c>
      <c r="J767" s="1" t="s">
        <v>1693</v>
      </c>
      <c r="K767" s="1" t="n">
        <v>134</v>
      </c>
      <c r="L767" s="11" t="n">
        <v>0.915617729166417</v>
      </c>
      <c r="M767" s="1" t="n">
        <f aca="false">SUMIF(Relatorio_AK!$A:$A,A767,Relatorio_AK!$B:$B)</f>
        <v>134</v>
      </c>
      <c r="N767" s="1" t="str">
        <f aca="false">IF(M767=K767,"OK","DIF")</f>
        <v>OK</v>
      </c>
      <c r="O767" s="13" t="str">
        <f aca="false">IFERROR(VLOOKUP($A767,Lista_Starke!$A:$E,3,0),"NÃO ESTÁ NA LISTA")</f>
        <v>GM: Omega 3.0 V6 C30NE-CIH/ C30LE-CIH 92/95
GM: Suprema 3.0 V6 C30NE-CIH/ C30LE-CIH 92/95</v>
      </c>
      <c r="P767" s="12" t="str">
        <f aca="false">IFERROR(VLOOKUP($A767,Lista_Starke!$A:$E,2,0),"NÃO ESTÁ NA LISTA")</f>
        <v>BOMBA D'ÁGUA</v>
      </c>
    </row>
    <row r="768" customFormat="false" ht="15" hidden="false" customHeight="true" outlineLevel="0" collapsed="false">
      <c r="A768" s="10" t="s">
        <v>1694</v>
      </c>
      <c r="B768" s="10" t="str">
        <f aca="false">IFERROR(VLOOKUP(A768,Pedido!$A:$B,2,0),"")</f>
        <v/>
      </c>
      <c r="C768" s="10" t="str">
        <f aca="false">IF(B768="","NÃO COMPRA","COMPRA")</f>
        <v>NÃO COMPRA</v>
      </c>
      <c r="D768" s="1" t="n">
        <f aca="false">IFERROR(VLOOKUP(A768,Pedido!$A:$C,3,0),0)</f>
        <v>0</v>
      </c>
      <c r="E768" s="5" t="n">
        <f aca="false">IFERROR(VLOOKUP(A768,Pedido!$A:$E,5,0),0)</f>
        <v>0</v>
      </c>
      <c r="F768" s="1" t="s">
        <v>9</v>
      </c>
      <c r="G768" s="1" t="s">
        <v>1695</v>
      </c>
      <c r="H768" s="1" t="s">
        <v>235</v>
      </c>
      <c r="I768" s="1" t="s">
        <v>709</v>
      </c>
      <c r="J768" s="1" t="s">
        <v>1696</v>
      </c>
      <c r="K768" s="1" t="n">
        <v>134</v>
      </c>
      <c r="L768" s="11" t="n">
        <v>0.915846805833591</v>
      </c>
      <c r="M768" s="1" t="n">
        <f aca="false">SUMIF(Relatorio_AK!$A:$A,A768,Relatorio_AK!$B:$B)</f>
        <v>134</v>
      </c>
      <c r="N768" s="1" t="str">
        <f aca="false">IF(M768=K768,"OK","DIF")</f>
        <v>OK</v>
      </c>
      <c r="O768" s="13" t="str">
        <f aca="false">IFERROR(VLOOKUP($A768,Lista_Starke!$A:$E,3,0),"NÃO ESTÁ NA LISTA")</f>
        <v>LAND ROVER: Freelander 2 3.2 6 cil. B6324S 06/14
VOLVO: S60 2.0 20V Turbo 5 cil 10/...
VOLVO: S60 T5 2.0 20V Turbo 5 cil 10/...
VOLVO: V60 2.0 20V Turbo 5 cil 10/...
VOLVO: V60 T5 2.0 20V Turbo 5 cil 10/…
VOLVO: V70 2.0 20V Turbo 5 cil 07/15
VOLVO: XC60 2.0 20V Turbo 5 cil 08/15
VOLVO: XC60 T5 2.0 20V Turbo 5 cil 10/15
VOLVO: XC90 2.0 16V Turbo 06/12</v>
      </c>
      <c r="P768" s="12" t="str">
        <f aca="false">IFERROR(VLOOKUP($A768,Lista_Starke!$A:$E,2,0),"NÃO ESTÁ NA LISTA")</f>
        <v>RESFRIADOR DE ÓLEO MOTOR</v>
      </c>
    </row>
    <row r="769" customFormat="false" ht="15" hidden="false" customHeight="true" outlineLevel="0" collapsed="false">
      <c r="A769" s="10" t="s">
        <v>1697</v>
      </c>
      <c r="B769" s="10" t="str">
        <f aca="false">IFERROR(VLOOKUP(A769,Pedido!$A:$B,2,0),"")</f>
        <v/>
      </c>
      <c r="C769" s="10" t="str">
        <f aca="false">IF(B769="","NÃO COMPRA","COMPRA")</f>
        <v>NÃO COMPRA</v>
      </c>
      <c r="D769" s="1" t="n">
        <f aca="false">IFERROR(VLOOKUP(A769,Pedido!$A:$C,3,0),0)</f>
        <v>0</v>
      </c>
      <c r="E769" s="5" t="n">
        <f aca="false">IFERROR(VLOOKUP(A769,Pedido!$A:$E,5,0),0)</f>
        <v>0</v>
      </c>
      <c r="F769" s="1" t="s">
        <v>9</v>
      </c>
      <c r="G769" s="1" t="s">
        <v>1698</v>
      </c>
      <c r="H769" s="1" t="s">
        <v>1358</v>
      </c>
      <c r="I769" s="1" t="s">
        <v>36</v>
      </c>
      <c r="J769" s="1" t="s">
        <v>1699</v>
      </c>
      <c r="K769" s="1" t="n">
        <v>133</v>
      </c>
      <c r="L769" s="11" t="n">
        <v>0.916074172973398</v>
      </c>
      <c r="M769" s="1" t="n">
        <f aca="false">SUMIF(Relatorio_AK!$A:$A,A769,Relatorio_AK!$B:$B)</f>
        <v>133</v>
      </c>
      <c r="N769" s="1" t="str">
        <f aca="false">IF(M769=K769,"OK","DIF")</f>
        <v>OK</v>
      </c>
      <c r="O769" s="13" t="str">
        <f aca="false">IFERROR(VLOOKUP($A769,Lista_Starke!$A:$E,3,0),"NÃO ESTÁ NA LISTA")</f>
        <v>VOLKSWAGEN: Crossfox  14/...
VOLKSWAGEN: Fox  14/...
VOLKSWAGEN: Gol G5  08/...
VOLKSWAGEN: Gol G6  12/...
VOLKSWAGEN: Saveiro G5  08/...
VOLKSWAGEN: Saveiro G6  12/...
VOLKSWAGEN: Spacefox  14/...
VOLKSWAGEN: Voyage G5  08/...
VOLKSWAGEN: Voyage G6  12/...</v>
      </c>
      <c r="P769" s="12" t="str">
        <f aca="false">IFERROR(VLOOKUP($A769,Lista_Starke!$A:$E,2,0),"NÃO ESTÁ NA LISTA")</f>
        <v>BANDEJA INFERIOR LE</v>
      </c>
    </row>
    <row r="770" customFormat="false" ht="15" hidden="false" customHeight="true" outlineLevel="0" collapsed="false">
      <c r="A770" s="10" t="s">
        <v>1700</v>
      </c>
      <c r="B770" s="10" t="str">
        <f aca="false">IFERROR(VLOOKUP(A770,Pedido!$A:$B,2,0),"")</f>
        <v/>
      </c>
      <c r="C770" s="10" t="str">
        <f aca="false">IF(B770="","NÃO COMPRA","COMPRA")</f>
        <v>NÃO COMPRA</v>
      </c>
      <c r="D770" s="1" t="n">
        <f aca="false">IFERROR(VLOOKUP(A770,Pedido!$A:$C,3,0),0)</f>
        <v>0</v>
      </c>
      <c r="E770" s="5" t="n">
        <f aca="false">IFERROR(VLOOKUP(A770,Pedido!$A:$E,5,0),0)</f>
        <v>0</v>
      </c>
      <c r="F770" s="1" t="s">
        <v>9</v>
      </c>
      <c r="G770" s="1" t="s">
        <v>509</v>
      </c>
      <c r="H770" s="1" t="s">
        <v>197</v>
      </c>
      <c r="I770" s="1" t="s">
        <v>77</v>
      </c>
      <c r="J770" s="1" t="s">
        <v>1701</v>
      </c>
      <c r="K770" s="1" t="n">
        <v>133</v>
      </c>
      <c r="L770" s="11" t="n">
        <v>0.916301540113205</v>
      </c>
      <c r="M770" s="1" t="n">
        <f aca="false">SUMIF(Relatorio_AK!$A:$A,A770,Relatorio_AK!$B:$B)</f>
        <v>133</v>
      </c>
      <c r="N770" s="1" t="str">
        <f aca="false">IF(M770=K770,"OK","DIF")</f>
        <v>OK</v>
      </c>
      <c r="O770" s="13" t="str">
        <f aca="false">IFERROR(VLOOKUP($A770,Lista_Starke!$A:$E,3,0),"NÃO ESTÁ NA LISTA")</f>
        <v>CITROEN: AX 1.0 / 1.1 / 1.3 / 1.4 TU1 / TU2 …/93
CITROEN: Berlingo 1.4 96/…
CITROEN: C3 1.4 8V Todos
CITROEN: Xsara 1.4 97/…
PEUGEOT: 106 1.0 8V TU9M 92/…
PEUGEOT: 106 1.4 8V TU3M 92/…
PEUGEOT: 206 1.4 8V TU3JP 98/…
PEUGEOT: 207 1.4 8V TU3JP 08/...
PEUGEOT: Hoggar 1.4 8V TU3JP 10/...</v>
      </c>
      <c r="P770" s="12" t="str">
        <f aca="false">IFERROR(VLOOKUP($A770,Lista_Starke!$A:$E,2,0),"NÃO ESTÁ NA LISTA")</f>
        <v>BOMBA D'ÁGUA</v>
      </c>
    </row>
    <row r="771" customFormat="false" ht="15" hidden="false" customHeight="true" outlineLevel="0" collapsed="false">
      <c r="A771" s="10" t="s">
        <v>1702</v>
      </c>
      <c r="B771" s="10" t="str">
        <f aca="false">IFERROR(VLOOKUP(A771,Pedido!$A:$B,2,0),"")</f>
        <v/>
      </c>
      <c r="C771" s="10" t="str">
        <f aca="false">IF(B771="","NÃO COMPRA","COMPRA")</f>
        <v>NÃO COMPRA</v>
      </c>
      <c r="D771" s="1" t="n">
        <f aca="false">IFERROR(VLOOKUP(A771,Pedido!$A:$C,3,0),0)</f>
        <v>0</v>
      </c>
      <c r="E771" s="5" t="n">
        <f aca="false">IFERROR(VLOOKUP(A771,Pedido!$A:$E,5,0),0)</f>
        <v>0</v>
      </c>
      <c r="F771" s="1" t="s">
        <v>9</v>
      </c>
      <c r="G771" s="1" t="s">
        <v>1703</v>
      </c>
      <c r="H771" s="1" t="s">
        <v>1358</v>
      </c>
      <c r="I771" s="1" t="s">
        <v>36</v>
      </c>
      <c r="J771" s="1" t="s">
        <v>1704</v>
      </c>
      <c r="K771" s="1" t="n">
        <v>132</v>
      </c>
      <c r="L771" s="11" t="n">
        <v>0.916527197725645</v>
      </c>
      <c r="M771" s="1" t="n">
        <f aca="false">SUMIF(Relatorio_AK!$A:$A,A771,Relatorio_AK!$B:$B)</f>
        <v>132</v>
      </c>
      <c r="N771" s="1" t="str">
        <f aca="false">IF(M771=K771,"OK","DIF")</f>
        <v>OK</v>
      </c>
      <c r="O771" s="13" t="str">
        <f aca="false">IFERROR(VLOOKUP($A771,Lista_Starke!$A:$E,3,0),"NÃO ESTÁ NA LISTA")</f>
        <v>VOLKSWAGEN: Crossfox  14/...
VOLKSWAGEN: Fox  14/...
VOLKSWAGEN: Gol G5  08/...
VOLKSWAGEN: Gol G6  12/...
VOLKSWAGEN: Saveiro G5  08/...
VOLKSWAGEN: Saveiro G6  12/...
VOLKSWAGEN: Spacefox  14/...
VOLKSWAGEN: Voyage G5  08/...
VOLKSWAGEN: Voyage G6  12/...</v>
      </c>
      <c r="P771" s="12" t="str">
        <f aca="false">IFERROR(VLOOKUP($A771,Lista_Starke!$A:$E,2,0),"NÃO ESTÁ NA LISTA")</f>
        <v>BANDEJA INFERIOR LD</v>
      </c>
    </row>
    <row r="772" customFormat="false" ht="15" hidden="false" customHeight="true" outlineLevel="0" collapsed="false">
      <c r="A772" s="10" t="s">
        <v>1705</v>
      </c>
      <c r="B772" s="10" t="str">
        <f aca="false">IFERROR(VLOOKUP(A772,Pedido!$A:$B,2,0),"")</f>
        <v/>
      </c>
      <c r="C772" s="10" t="str">
        <f aca="false">IF(B772="","NÃO COMPRA","COMPRA")</f>
        <v>NÃO COMPRA</v>
      </c>
      <c r="D772" s="1" t="n">
        <f aca="false">IFERROR(VLOOKUP(A772,Pedido!$A:$C,3,0),0)</f>
        <v>0</v>
      </c>
      <c r="E772" s="5" t="n">
        <f aca="false">IFERROR(VLOOKUP(A772,Pedido!$A:$E,5,0),0)</f>
        <v>0</v>
      </c>
      <c r="F772" s="1" t="s">
        <v>9</v>
      </c>
      <c r="G772" s="1" t="s">
        <v>720</v>
      </c>
      <c r="H772" s="1" t="s">
        <v>197</v>
      </c>
      <c r="I772" s="1" t="s">
        <v>1706</v>
      </c>
      <c r="J772" s="1" t="s">
        <v>1707</v>
      </c>
      <c r="K772" s="1" t="n">
        <v>132</v>
      </c>
      <c r="L772" s="11" t="n">
        <v>0.916752855338085</v>
      </c>
      <c r="M772" s="1" t="n">
        <f aca="false">SUMIF(Relatorio_AK!$A:$A,A772,Relatorio_AK!$B:$B)</f>
        <v>132</v>
      </c>
      <c r="N772" s="1" t="str">
        <f aca="false">IF(M772=K772,"OK","DIF")</f>
        <v>OK</v>
      </c>
      <c r="O772" s="13" t="str">
        <f aca="false">IFERROR(VLOOKUP($A772,Lista_Starke!$A:$E,3,0),"NÃO ESTÁ NA LISTA")</f>
        <v>HYUNDAI: Galloper 2.5 Turbo Diesel 98/…
HYUNDAI: H100 2.5 Diesel 98/…
HYUNDAI: H100 2.5 Turbo Diesel 93/00
HYUNDAI: HR 2.5 Turbo Diesel 06/…
HYUNDAI: Starex 2.5 Turbo Diesel 97/…
HYUNDAI: Terracan 2.5 Diesel 01/…
KIA: Bongo K2500 2.5 Turbo Diesel 08/…
MITSUBISHI: L200 2.5 Diesel / 2.5 Turbo Diesel 98/…
MITSUBISHI: L200 Sport 2.5 Diesel / 2.5 Turbo Diesel HPE 03/…
MITSUBISHI: L300 2.5 Diesel / 2.5 Turbo Diesel 91/…
MITSUBISHI: Pajero 2.5 Diesel / 2.5 Turbo Diesel 91/…
MITSUBISHI: Pajero Sport 2.5 Turbo Diesel 98/…</v>
      </c>
      <c r="P772" s="12" t="str">
        <f aca="false">IFERROR(VLOOKUP($A772,Lista_Starke!$A:$E,2,0),"NÃO ESTÁ NA LISTA")</f>
        <v>BOMBA D'ÁGUA</v>
      </c>
    </row>
    <row r="773" customFormat="false" ht="15" hidden="false" customHeight="true" outlineLevel="0" collapsed="false">
      <c r="A773" s="10" t="s">
        <v>1708</v>
      </c>
      <c r="B773" s="10" t="str">
        <f aca="false">IFERROR(VLOOKUP(A773,Pedido!$A:$B,2,0),"")</f>
        <v/>
      </c>
      <c r="C773" s="10" t="str">
        <f aca="false">IF(B773="","NÃO COMPRA","COMPRA")</f>
        <v>NÃO COMPRA</v>
      </c>
      <c r="D773" s="1" t="n">
        <f aca="false">IFERROR(VLOOKUP(A773,Pedido!$A:$C,3,0),0)</f>
        <v>0</v>
      </c>
      <c r="E773" s="5" t="n">
        <f aca="false">IFERROR(VLOOKUP(A773,Pedido!$A:$E,5,0),0)</f>
        <v>0</v>
      </c>
      <c r="F773" s="1" t="s">
        <v>9</v>
      </c>
      <c r="G773" s="1" t="s">
        <v>1709</v>
      </c>
      <c r="H773" s="1" t="s">
        <v>32</v>
      </c>
      <c r="I773" s="1" t="s">
        <v>295</v>
      </c>
      <c r="K773" s="1" t="n">
        <v>131</v>
      </c>
      <c r="L773" s="11" t="n">
        <v>0.916976803423157</v>
      </c>
      <c r="M773" s="1" t="n">
        <f aca="false">SUMIF(Relatorio_AK!$A:$A,A773,Relatorio_AK!$B:$B)</f>
        <v>131</v>
      </c>
      <c r="N773" s="1" t="str">
        <f aca="false">IF(M773=K773,"OK","DIF")</f>
        <v>OK</v>
      </c>
      <c r="O773" s="12" t="str">
        <f aca="false">IFERROR(VLOOKUP($A773,Lista_Starke!$A:$E,3,0),"NÃO ESTÁ NA LISTA")</f>
        <v>CHERY: Tiggo 2.0 16V   SQR484F 10/…</v>
      </c>
      <c r="P773" s="12" t="str">
        <f aca="false">IFERROR(VLOOKUP($A773,Lista_Starke!$A:$E,2,0),"NÃO ESTÁ NA LISTA")</f>
        <v>CILINDRO MESTRE DE EMBREAGEM</v>
      </c>
    </row>
    <row r="774" customFormat="false" ht="15" hidden="false" customHeight="true" outlineLevel="0" collapsed="false">
      <c r="A774" s="10" t="s">
        <v>1710</v>
      </c>
      <c r="B774" s="10" t="str">
        <f aca="false">IFERROR(VLOOKUP(A774,Pedido!$A:$B,2,0),"")</f>
        <v/>
      </c>
      <c r="C774" s="10" t="str">
        <f aca="false">IF(B774="","NÃO COMPRA","COMPRA")</f>
        <v>NÃO COMPRA</v>
      </c>
      <c r="D774" s="1" t="n">
        <f aca="false">IFERROR(VLOOKUP(A774,Pedido!$A:$C,3,0),0)</f>
        <v>0</v>
      </c>
      <c r="E774" s="5" t="n">
        <f aca="false">IFERROR(VLOOKUP(A774,Pedido!$A:$E,5,0),0)</f>
        <v>0</v>
      </c>
      <c r="F774" s="1" t="s">
        <v>9</v>
      </c>
      <c r="G774" s="1" t="s">
        <v>1257</v>
      </c>
      <c r="H774" s="1" t="s">
        <v>131</v>
      </c>
      <c r="I774" s="1" t="s">
        <v>255</v>
      </c>
      <c r="J774" s="1" t="s">
        <v>1711</v>
      </c>
      <c r="K774" s="1" t="n">
        <v>131</v>
      </c>
      <c r="L774" s="11" t="n">
        <v>0.91720075150823</v>
      </c>
      <c r="M774" s="1" t="n">
        <f aca="false">SUMIF(Relatorio_AK!$A:$A,A774,Relatorio_AK!$B:$B)</f>
        <v>131</v>
      </c>
      <c r="N774" s="1" t="str">
        <f aca="false">IF(M774=K774,"OK","DIF")</f>
        <v>OK</v>
      </c>
      <c r="O774" s="13" t="str">
        <f aca="false">IFERROR(VLOOKUP($A774,Lista_Starke!$A:$E,3,0),"NÃO ESTÁ NA LISTA")</f>
        <v>MITSUBISHI: Airtrek 2.0 16V 4G63 02/…
MITSUBISHI: Airtrek 2.4 16V 4G64 / 4G69 02/…
MITSUBISHI: Outlander 2.0 16V 4G63 02/…
MITSUBISHI: Outlander 2.4 16V 4G64 / 4G69 02/…
MITSUBISHI: Pajero IO 1.8 16V 4G93 99/02/5
MITSUBISHI: Pajero TR4 2.0 16V 00/…
MITSUBISHI: Pajero TR4 2.0 20V 4G94 04/…</v>
      </c>
      <c r="P774" s="12" t="str">
        <f aca="false">IFERROR(VLOOKUP($A774,Lista_Starke!$A:$E,2,0),"NÃO ESTÁ NA LISTA")</f>
        <v>SAPATA DE FREIO</v>
      </c>
    </row>
    <row r="775" customFormat="false" ht="15" hidden="false" customHeight="true" outlineLevel="0" collapsed="false">
      <c r="A775" s="10" t="s">
        <v>1712</v>
      </c>
      <c r="B775" s="10" t="str">
        <f aca="false">IFERROR(VLOOKUP(A775,Pedido!$A:$B,2,0),"")</f>
        <v/>
      </c>
      <c r="C775" s="10" t="str">
        <f aca="false">IF(B775="","NÃO COMPRA","COMPRA")</f>
        <v>NÃO COMPRA</v>
      </c>
      <c r="D775" s="1" t="n">
        <f aca="false">IFERROR(VLOOKUP(A775,Pedido!$A:$C,3,0),0)</f>
        <v>0</v>
      </c>
      <c r="E775" s="5" t="n">
        <f aca="false">IFERROR(VLOOKUP(A775,Pedido!$A:$E,5,0),0)</f>
        <v>0</v>
      </c>
      <c r="F775" s="1" t="s">
        <v>9</v>
      </c>
      <c r="G775" s="1" t="s">
        <v>1713</v>
      </c>
      <c r="H775" s="1" t="s">
        <v>1714</v>
      </c>
      <c r="I775" s="1" t="s">
        <v>215</v>
      </c>
      <c r="J775" s="1" t="s">
        <v>1715</v>
      </c>
      <c r="K775" s="1" t="n">
        <v>131</v>
      </c>
      <c r="L775" s="11" t="n">
        <v>0.917424699593303</v>
      </c>
      <c r="M775" s="1" t="n">
        <f aca="false">SUMIF(Relatorio_AK!$A:$A,A775,Relatorio_AK!$B:$B)</f>
        <v>131</v>
      </c>
      <c r="N775" s="1" t="str">
        <f aca="false">IF(M775=K775,"OK","DIF")</f>
        <v>OK</v>
      </c>
      <c r="O775" s="12" t="str">
        <f aca="false">IFERROR(VLOOKUP($A775,Lista_Starke!$A:$E,3,0),"NÃO ESTÁ NA LISTA")</f>
        <v>NISSAN: Frontier 2.5 16V Turbo Diesel YD25 08/…</v>
      </c>
      <c r="P775" s="12" t="str">
        <f aca="false">IFERROR(VLOOKUP($A775,Lista_Starke!$A:$E,2,0),"NÃO ESTÁ NA LISTA")</f>
        <v>POLIA VISCOSA</v>
      </c>
    </row>
    <row r="776" customFormat="false" ht="15" hidden="false" customHeight="true" outlineLevel="0" collapsed="false">
      <c r="A776" s="10" t="s">
        <v>1716</v>
      </c>
      <c r="B776" s="10" t="str">
        <f aca="false">IFERROR(VLOOKUP(A776,Pedido!$A:$B,2,0),"")</f>
        <v/>
      </c>
      <c r="C776" s="10" t="str">
        <f aca="false">IF(B776="","NÃO COMPRA","COMPRA")</f>
        <v>NÃO COMPRA</v>
      </c>
      <c r="D776" s="1" t="n">
        <f aca="false">IFERROR(VLOOKUP(A776,Pedido!$A:$C,3,0),0)</f>
        <v>0</v>
      </c>
      <c r="E776" s="5" t="n">
        <f aca="false">IFERROR(VLOOKUP(A776,Pedido!$A:$E,5,0),0)</f>
        <v>0</v>
      </c>
      <c r="F776" s="1" t="s">
        <v>9</v>
      </c>
      <c r="G776" s="1" t="s">
        <v>356</v>
      </c>
      <c r="H776" s="1" t="s">
        <v>131</v>
      </c>
      <c r="I776" s="1" t="s">
        <v>1717</v>
      </c>
      <c r="J776" s="1" t="s">
        <v>1718</v>
      </c>
      <c r="K776" s="1" t="n">
        <v>130</v>
      </c>
      <c r="L776" s="11" t="n">
        <v>0.917646938151009</v>
      </c>
      <c r="M776" s="1" t="n">
        <f aca="false">SUMIF(Relatorio_AK!$A:$A,A776,Relatorio_AK!$B:$B)</f>
        <v>130</v>
      </c>
      <c r="N776" s="1" t="str">
        <f aca="false">IF(M776=K776,"OK","DIF")</f>
        <v>OK</v>
      </c>
      <c r="O776" s="13" t="str">
        <f aca="false">IFERROR(VLOOKUP($A776,Lista_Starke!$A:$E,3,0),"NÃO ESTÁ NA LISTA")</f>
        <v>ASIA: Topic 2.2 / 2.7 93/97
HYUNDAI: HR 2.5 8V (Rodagem Simples) 05/...
KIA: Besta 2.2 / 2.7 93/98
KIA: Bongo K2400 2.5 8V (Rodagem Simples) 97/...
KIA: Bongo K2500 2.5 8V (Rodagem Simples) 03/...
KIA: Bongo K2700 2.7 8V (Rodagem Simples) 03/...</v>
      </c>
      <c r="P776" s="12" t="str">
        <f aca="false">IFERROR(VLOOKUP($A776,Lista_Starke!$A:$E,2,0),"NÃO ESTÁ NA LISTA")</f>
        <v>SAPATA DE FREIO</v>
      </c>
    </row>
    <row r="777" customFormat="false" ht="15" hidden="false" customHeight="true" outlineLevel="0" collapsed="false">
      <c r="A777" s="10" t="s">
        <v>1719</v>
      </c>
      <c r="B777" s="10" t="str">
        <f aca="false">IFERROR(VLOOKUP(A777,Pedido!$A:$B,2,0),"")</f>
        <v/>
      </c>
      <c r="C777" s="10" t="str">
        <f aca="false">IF(B777="","NÃO COMPRA","COMPRA")</f>
        <v>NÃO COMPRA</v>
      </c>
      <c r="D777" s="1" t="n">
        <f aca="false">IFERROR(VLOOKUP(A777,Pedido!$A:$C,3,0),0)</f>
        <v>0</v>
      </c>
      <c r="E777" s="5" t="n">
        <f aca="false">IFERROR(VLOOKUP(A777,Pedido!$A:$E,5,0),0)</f>
        <v>0</v>
      </c>
      <c r="F777" s="1" t="s">
        <v>9</v>
      </c>
      <c r="G777" s="1" t="s">
        <v>763</v>
      </c>
      <c r="H777" s="1" t="s">
        <v>197</v>
      </c>
      <c r="I777" s="1" t="s">
        <v>373</v>
      </c>
      <c r="J777" s="1" t="s">
        <v>1720</v>
      </c>
      <c r="K777" s="1" t="n">
        <v>130</v>
      </c>
      <c r="L777" s="11" t="n">
        <v>0.917869176708715</v>
      </c>
      <c r="M777" s="1" t="n">
        <f aca="false">SUMIF(Relatorio_AK!$A:$A,A777,Relatorio_AK!$B:$B)</f>
        <v>130</v>
      </c>
      <c r="N777" s="1" t="str">
        <f aca="false">IF(M777=K777,"OK","DIF")</f>
        <v>OK</v>
      </c>
      <c r="O777" s="12" t="str">
        <f aca="false">IFERROR(VLOOKUP($A777,Lista_Starke!$A:$E,3,0),"NÃO ESTÁ NA LISTA")</f>
        <v>MERCEDES-BENZ: Sprinter 311/313/415/515 2.1 CDI Eletrônico OM651.955 / OM651.956 13/…</v>
      </c>
      <c r="P777" s="12" t="str">
        <f aca="false">IFERROR(VLOOKUP($A777,Lista_Starke!$A:$E,2,0),"NÃO ESTÁ NA LISTA")</f>
        <v>BOMBA D'ÁGUA</v>
      </c>
    </row>
    <row r="778" customFormat="false" ht="15" hidden="false" customHeight="true" outlineLevel="0" collapsed="false">
      <c r="A778" s="10" t="s">
        <v>1721</v>
      </c>
      <c r="B778" s="10" t="str">
        <f aca="false">IFERROR(VLOOKUP(A778,Pedido!$A:$B,2,0),"")</f>
        <v/>
      </c>
      <c r="C778" s="10" t="str">
        <f aca="false">IF(B778="","NÃO COMPRA","COMPRA")</f>
        <v>NÃO COMPRA</v>
      </c>
      <c r="D778" s="1" t="n">
        <f aca="false">IFERROR(VLOOKUP(A778,Pedido!$A:$C,3,0),0)</f>
        <v>0</v>
      </c>
      <c r="E778" s="5" t="n">
        <f aca="false">IFERROR(VLOOKUP(A778,Pedido!$A:$E,5,0),0)</f>
        <v>0</v>
      </c>
      <c r="F778" s="1" t="s">
        <v>9</v>
      </c>
      <c r="G778" s="1" t="s">
        <v>1722</v>
      </c>
      <c r="H778" s="1" t="s">
        <v>197</v>
      </c>
      <c r="I778" s="1" t="s">
        <v>1723</v>
      </c>
      <c r="J778" s="1" t="s">
        <v>1724</v>
      </c>
      <c r="K778" s="1" t="n">
        <v>130</v>
      </c>
      <c r="L778" s="11" t="n">
        <v>0.918091415266421</v>
      </c>
      <c r="M778" s="1" t="n">
        <f aca="false">SUMIF(Relatorio_AK!$A:$A,A778,Relatorio_AK!$B:$B)</f>
        <v>130</v>
      </c>
      <c r="N778" s="1" t="str">
        <f aca="false">IF(M778=K778,"OK","DIF")</f>
        <v>OK</v>
      </c>
      <c r="O778" s="13" t="str">
        <f aca="false">IFERROR(VLOOKUP($A778,Lista_Starke!$A:$E,3,0),"NÃO ESTÁ NA LISTA")</f>
        <v>PORSCHE: Cayenne 3.6 6cil MCU.RA 14/...
PORSCHE: Cayenne 4.8 8cil M48.02 10/...
PORSCHE: Cayenne GTS 3.6 6cil MCX.ZA 15/...
PORSCHE: Cayenne GTS 4.8 8cil M48.01 07/10
PORSCHE: Cayenne GTS 4.8 8cil M48.02 12/...
PORSCHE: Cayenne S 4.8 8cil M48.01 07/10
PORSCHE: Cayenne Turbo 4.8 8cil M48.52 / MCF.TB 10/...
PORSCHE: Cayenne Turbo S 4.8 8cil M48.51 07/10
PORSCHE: Cayenne Turbo S 4.8 8cil M48.52 / MCY.XA 12/...
PORSCHE: Macan 3.0 6cil MCT.MA 14/...
PORSCHE: Macan 3.6 6cil Turbo MCT.LA 14/...
PORSCHE: Panamera 3.0 6cil MCW.DA 13/16
PORSCHE: Panamera 4.8 8cil M48.40 / MCX.PA / MCX.RA 09/16
PORSCHE: Panamera 4.8 8cil Turbo M48.70 / MCW.BA 09/16</v>
      </c>
      <c r="P778" s="12" t="str">
        <f aca="false">IFERROR(VLOOKUP($A778,Lista_Starke!$A:$E,2,0),"NÃO ESTÁ NA LISTA")</f>
        <v>BOMBA D'ÁGUA</v>
      </c>
    </row>
    <row r="779" customFormat="false" ht="15" hidden="false" customHeight="true" outlineLevel="0" collapsed="false">
      <c r="A779" s="10" t="s">
        <v>1725</v>
      </c>
      <c r="B779" s="10" t="str">
        <f aca="false">IFERROR(VLOOKUP(A779,Pedido!$A:$B,2,0),"")</f>
        <v/>
      </c>
      <c r="C779" s="10" t="str">
        <f aca="false">IF(B779="","NÃO COMPRA","COMPRA")</f>
        <v>NÃO COMPRA</v>
      </c>
      <c r="D779" s="1" t="n">
        <f aca="false">IFERROR(VLOOKUP(A779,Pedido!$A:$C,3,0),0)</f>
        <v>0</v>
      </c>
      <c r="E779" s="5" t="n">
        <f aca="false">IFERROR(VLOOKUP(A779,Pedido!$A:$E,5,0),0)</f>
        <v>0</v>
      </c>
      <c r="F779" s="1" t="s">
        <v>9</v>
      </c>
      <c r="G779" s="1" t="s">
        <v>1442</v>
      </c>
      <c r="H779" s="1" t="s">
        <v>1131</v>
      </c>
      <c r="I779" s="1" t="s">
        <v>226</v>
      </c>
      <c r="J779" s="1" t="s">
        <v>1726</v>
      </c>
      <c r="K779" s="1" t="n">
        <v>130</v>
      </c>
      <c r="L779" s="11" t="n">
        <v>0.918313653824127</v>
      </c>
      <c r="M779" s="1" t="n">
        <f aca="false">SUMIF(Relatorio_AK!$A:$A,A779,Relatorio_AK!$B:$B)</f>
        <v>130</v>
      </c>
      <c r="N779" s="1" t="str">
        <f aca="false">IF(M779=K779,"OK","DIF")</f>
        <v>OK</v>
      </c>
      <c r="O779" s="13" t="str">
        <f aca="false">IFERROR(VLOOKUP($A779,Lista_Starke!$A:$E,3,0),"NÃO ESTÁ NA LISTA")</f>
        <v>AUDI: A3 2.0 16V TFSI   CCZA / CAWB 05/13
AUDI: A3 2.0 16V TFSI   CCZA / CAWB 08/14
AUDI: A4 2.0 16V TFSI   CAEA / CDNB / CFKA 08/14
AUDI: A4 2.0 16V TFSI   CAEA / CDNB / CFKA 12/15
AUDI: A4 2.0 16V TFSI   CAED / CNCD 13/15
AUDI: A5 2.0 16V TFSI   CDNB / CDNC 08/16
AUDI: A5 2.0 16V TFSI   CNCD 12/16
AUDI: A6 2.0 16V TFSI   CAED 15/18
AUDI: A6 2.0 16V TFSI   CDNB 11/…
AUDI: Q3 2.0 16V TFSI   CCZC / CULB / CPSA 11/15
AUDI: Q3 2.0 16V TFSI   CCZC / CULB / CPSA 16/18
AUDI: Q5 2.0 16V TFSI   CDNB / CNCB / CAEB / CDNC 09/12
AUDI: Q5 2.0 16V TFSI   CDNB / CNCB / CAEB / CDNC 15/17
AUDI: TT 2.0 16V TFSI   BWA / CCZA / CESA / CCTA 09/14
VOLKSWAGEN: Beetle 2.0 16V TSI   CBFA / CCTA / CCZA 13/…
VOLKSWAGEN: Golf GTI 2.0 16V TSI   CBFA / CCTA / CCZA 13/…
VOLKSWAGEN: Jetta 2.0 16V TSI   CBFA / CCTA / CCZA / CPLA / CPPA 10/13
VOLKSWAGEN: Jetta 2.0 16V TSI 211cv 13/17
VOLKSWAGEN: New Beetle 2.0 16V TSI 211cv 12/16
VOLKSWAGEN: Passat / Variant 2.0 16V TSI   CCZB 10/15
VOLKSWAGEN: Passat CC 2.0 16V TSI   CBFA / CCTA / CCZA / CPLA / CPPA 11/…
VOLKSWAGEN: Tiguan 2.0 16V TFSI CAWB / CCTA / CCZA 07/16
VOLKSWAGEN: Tiguan 2.0 16V TSI 211cv 11/18</v>
      </c>
      <c r="P779" s="12" t="str">
        <f aca="false">IFERROR(VLOOKUP($A779,Lista_Starke!$A:$E,2,0),"NÃO ESTÁ NA LISTA")</f>
        <v>BOMBA DE ALTA PRESSÃO GDI</v>
      </c>
    </row>
    <row r="780" customFormat="false" ht="15" hidden="false" customHeight="true" outlineLevel="0" collapsed="false">
      <c r="A780" s="10" t="s">
        <v>1727</v>
      </c>
      <c r="B780" s="10" t="str">
        <f aca="false">IFERROR(VLOOKUP(A780,Pedido!$A:$B,2,0),"")</f>
        <v/>
      </c>
      <c r="C780" s="10" t="str">
        <f aca="false">IF(B780="","NÃO COMPRA","COMPRA")</f>
        <v>NÃO COMPRA</v>
      </c>
      <c r="D780" s="1" t="n">
        <f aca="false">IFERROR(VLOOKUP(A780,Pedido!$A:$C,3,0),0)</f>
        <v>0</v>
      </c>
      <c r="E780" s="5" t="n">
        <f aca="false">IFERROR(VLOOKUP(A780,Pedido!$A:$E,5,0),0)</f>
        <v>0</v>
      </c>
      <c r="F780" s="1" t="s">
        <v>9</v>
      </c>
      <c r="G780" s="1" t="s">
        <v>1659</v>
      </c>
      <c r="H780" s="1" t="s">
        <v>197</v>
      </c>
      <c r="I780" s="1" t="s">
        <v>46</v>
      </c>
      <c r="K780" s="1" t="n">
        <v>129</v>
      </c>
      <c r="L780" s="11" t="n">
        <v>0.918534182854466</v>
      </c>
      <c r="M780" s="1" t="n">
        <f aca="false">SUMIF(Relatorio_AK!$A:$A,A780,Relatorio_AK!$B:$B)</f>
        <v>129</v>
      </c>
      <c r="N780" s="1" t="str">
        <f aca="false">IF(M780=K780,"OK","DIF")</f>
        <v>OK</v>
      </c>
      <c r="O780" s="12" t="str">
        <f aca="false">IFERROR(VLOOKUP($A780,Lista_Starke!$A:$E,3,0),"NÃO ESTÁ NA LISTA")</f>
        <v>NÃO ESTÁ NA LISTA</v>
      </c>
      <c r="P780" s="12" t="str">
        <f aca="false">IFERROR(VLOOKUP($A780,Lista_Starke!$A:$E,2,0),"NÃO ESTÁ NA LISTA")</f>
        <v>NÃO ESTÁ NA LISTA</v>
      </c>
    </row>
    <row r="781" customFormat="false" ht="15" hidden="false" customHeight="true" outlineLevel="0" collapsed="false">
      <c r="A781" s="10" t="s">
        <v>1728</v>
      </c>
      <c r="B781" s="10" t="str">
        <f aca="false">IFERROR(VLOOKUP(A781,Pedido!$A:$B,2,0),"")</f>
        <v/>
      </c>
      <c r="C781" s="10" t="str">
        <f aca="false">IF(B781="","NÃO COMPRA","COMPRA")</f>
        <v>NÃO COMPRA</v>
      </c>
      <c r="D781" s="1" t="n">
        <f aca="false">IFERROR(VLOOKUP(A781,Pedido!$A:$C,3,0),0)</f>
        <v>0</v>
      </c>
      <c r="E781" s="5" t="n">
        <f aca="false">IFERROR(VLOOKUP(A781,Pedido!$A:$E,5,0),0)</f>
        <v>0</v>
      </c>
      <c r="F781" s="1" t="s">
        <v>9</v>
      </c>
      <c r="G781" s="1" t="s">
        <v>297</v>
      </c>
      <c r="H781" s="1" t="s">
        <v>32</v>
      </c>
      <c r="I781" s="1" t="s">
        <v>255</v>
      </c>
      <c r="K781" s="1" t="n">
        <v>128</v>
      </c>
      <c r="L781" s="11" t="n">
        <v>0.918753002357438</v>
      </c>
      <c r="M781" s="1" t="n">
        <f aca="false">SUMIF(Relatorio_AK!$A:$A,A781,Relatorio_AK!$B:$B)</f>
        <v>128</v>
      </c>
      <c r="N781" s="1" t="str">
        <f aca="false">IF(M781=K781,"OK","DIF")</f>
        <v>OK</v>
      </c>
      <c r="O781" s="12" t="str">
        <f aca="false">IFERROR(VLOOKUP($A781,Lista_Starke!$A:$E,3,0),"NÃO ESTÁ NA LISTA")</f>
        <v>MITSUBISHI: Pajero 2.8 Turbo 4M40 97/...</v>
      </c>
      <c r="P781" s="12" t="str">
        <f aca="false">IFERROR(VLOOKUP($A781,Lista_Starke!$A:$E,2,0),"NÃO ESTÁ NA LISTA")</f>
        <v>CILINDRO MESTRE DE EMBREAGEM</v>
      </c>
    </row>
    <row r="782" customFormat="false" ht="15" hidden="false" customHeight="true" outlineLevel="0" collapsed="false">
      <c r="A782" s="10" t="s">
        <v>1729</v>
      </c>
      <c r="B782" s="10" t="str">
        <f aca="false">IFERROR(VLOOKUP(A782,Pedido!$A:$B,2,0),"")</f>
        <v/>
      </c>
      <c r="C782" s="10" t="str">
        <f aca="false">IF(B782="","NÃO COMPRA","COMPRA")</f>
        <v>NÃO COMPRA</v>
      </c>
      <c r="D782" s="1" t="n">
        <f aca="false">IFERROR(VLOOKUP(A782,Pedido!$A:$C,3,0),0)</f>
        <v>0</v>
      </c>
      <c r="E782" s="5" t="n">
        <f aca="false">IFERROR(VLOOKUP(A782,Pedido!$A:$E,5,0),0)</f>
        <v>0</v>
      </c>
      <c r="F782" s="1" t="s">
        <v>9</v>
      </c>
      <c r="G782" s="1" t="s">
        <v>763</v>
      </c>
      <c r="H782" s="1" t="s">
        <v>197</v>
      </c>
      <c r="I782" s="1" t="s">
        <v>373</v>
      </c>
      <c r="K782" s="1" t="n">
        <v>128</v>
      </c>
      <c r="L782" s="11" t="n">
        <v>0.91897182186041</v>
      </c>
      <c r="M782" s="1" t="n">
        <f aca="false">SUMIF(Relatorio_AK!$A:$A,A782,Relatorio_AK!$B:$B)</f>
        <v>128</v>
      </c>
      <c r="N782" s="1" t="str">
        <f aca="false">IF(M782=K782,"OK","DIF")</f>
        <v>OK</v>
      </c>
      <c r="O782" s="13" t="str">
        <f aca="false">IFERROR(VLOOKUP($A782,Lista_Starke!$A:$E,3,0),"NÃO ESTÁ NA LISTA")</f>
        <v>MERCEDES-BENZ: C180 (A205) 1.6 Turbo M274 16/...
MERCEDES-BENZ: C200 (A205) 2.0 16V M274 16/...
MERCEDES-BENZ: C250 (A205) 2.0 16V Turbo M274 16/...
MERCEDES-BENZ: C300 (A205) 2.0 16V Turbo M274 16/...
MERCEDES-BENZ: E180 (W213) 1.6 16V Turbo M274 17/...
MERCEDES-BENZ: E200 (W213) 2.0 16V M274 16/...
MERCEDES-BENZ: GLC250 (C253) 2.0 16V Turbo M274 16/...
MERCEDES-BENZ: GLC350 (C253) 2.0 16V Turbo M274 16/...</v>
      </c>
      <c r="P782" s="12" t="str">
        <f aca="false">IFERROR(VLOOKUP($A782,Lista_Starke!$A:$E,2,0),"NÃO ESTÁ NA LISTA")</f>
        <v>BOMBA D'ÁGUA</v>
      </c>
    </row>
    <row r="783" customFormat="false" ht="15" hidden="false" customHeight="true" outlineLevel="0" collapsed="false">
      <c r="A783" s="10" t="s">
        <v>1730</v>
      </c>
      <c r="B783" s="10" t="str">
        <f aca="false">IFERROR(VLOOKUP(A783,Pedido!$A:$B,2,0),"")</f>
        <v/>
      </c>
      <c r="C783" s="10" t="str">
        <f aca="false">IF(B783="","NÃO COMPRA","COMPRA")</f>
        <v>NÃO COMPRA</v>
      </c>
      <c r="D783" s="1" t="n">
        <f aca="false">IFERROR(VLOOKUP(A783,Pedido!$A:$C,3,0),0)</f>
        <v>0</v>
      </c>
      <c r="E783" s="5" t="n">
        <f aca="false">IFERROR(VLOOKUP(A783,Pedido!$A:$E,5,0),0)</f>
        <v>0</v>
      </c>
      <c r="F783" s="1" t="s">
        <v>9</v>
      </c>
      <c r="G783" s="1" t="s">
        <v>1659</v>
      </c>
      <c r="H783" s="1" t="s">
        <v>197</v>
      </c>
      <c r="I783" s="1" t="s">
        <v>46</v>
      </c>
      <c r="J783" s="1" t="s">
        <v>1731</v>
      </c>
      <c r="K783" s="1" t="n">
        <v>127</v>
      </c>
      <c r="L783" s="11" t="n">
        <v>0.919188931836015</v>
      </c>
      <c r="M783" s="1" t="n">
        <f aca="false">SUMIF(Relatorio_AK!$A:$A,A783,Relatorio_AK!$B:$B)</f>
        <v>127</v>
      </c>
      <c r="N783" s="1" t="str">
        <f aca="false">IF(M783=K783,"OK","DIF")</f>
        <v>OK</v>
      </c>
      <c r="O783" s="13" t="str">
        <f aca="false">IFERROR(VLOOKUP($A783,Lista_Starke!$A:$E,3,0),"NÃO ESTÁ NA LISTA")</f>
        <v>CITROEN: C3 1.0 6V Firefly 22/...
FIAT: Argo 1.0 3 cil Firefly 17/...
FIAT: Argo 1.3 4 cil Firefly 17/...
FIAT: Cronos 1.0 3 cil Firefly 17/...
FIAT: Cronos 1.3 4 cil Firefly 17/...
FIAT: Mobi 1.0 3 cil Firefly 17/...
FIAT: Uno 1.0 3 cil Firefly 17/...
FIAT: Uno 1.3 4 cil Firefly 17/...
PEUGEOT: 208 1.0 6V Firefly 22/...</v>
      </c>
      <c r="P783" s="12" t="str">
        <f aca="false">IFERROR(VLOOKUP($A783,Lista_Starke!$A:$E,2,0),"NÃO ESTÁ NA LISTA")</f>
        <v>BOMBA D'ÁGUA</v>
      </c>
    </row>
    <row r="784" customFormat="false" ht="15" hidden="false" customHeight="true" outlineLevel="0" collapsed="false">
      <c r="A784" s="10" t="s">
        <v>1732</v>
      </c>
      <c r="B784" s="10" t="str">
        <f aca="false">IFERROR(VLOOKUP(A784,Pedido!$A:$B,2,0),"")</f>
        <v/>
      </c>
      <c r="C784" s="10" t="str">
        <f aca="false">IF(B784="","NÃO COMPRA","COMPRA")</f>
        <v>NÃO COMPRA</v>
      </c>
      <c r="D784" s="1" t="n">
        <f aca="false">IFERROR(VLOOKUP(A784,Pedido!$A:$C,3,0),0)</f>
        <v>0</v>
      </c>
      <c r="E784" s="5" t="n">
        <f aca="false">IFERROR(VLOOKUP(A784,Pedido!$A:$E,5,0),0)</f>
        <v>0</v>
      </c>
      <c r="F784" s="1" t="s">
        <v>9</v>
      </c>
      <c r="G784" s="1" t="s">
        <v>136</v>
      </c>
      <c r="H784" s="1" t="s">
        <v>32</v>
      </c>
      <c r="I784" s="1" t="s">
        <v>46</v>
      </c>
      <c r="J784" s="1" t="s">
        <v>1733</v>
      </c>
      <c r="K784" s="1" t="n">
        <v>126</v>
      </c>
      <c r="L784" s="11" t="n">
        <v>0.919404332284253</v>
      </c>
      <c r="M784" s="1" t="n">
        <f aca="false">SUMIF(Relatorio_AK!$A:$A,A784,Relatorio_AK!$B:$B)</f>
        <v>126</v>
      </c>
      <c r="N784" s="1" t="str">
        <f aca="false">IF(M784=K784,"OK","DIF")</f>
        <v>OK</v>
      </c>
      <c r="O784" s="12" t="str">
        <f aca="false">IFERROR(VLOOKUP($A784,Lista_Starke!$A:$E,3,0),"NÃO ESTÁ NA LISTA")</f>
        <v>FIAT: Stilo 1.8 8V 03/05</v>
      </c>
      <c r="P784" s="12" t="str">
        <f aca="false">IFERROR(VLOOKUP($A784,Lista_Starke!$A:$E,2,0),"NÃO ESTÁ NA LISTA")</f>
        <v>CILINDRO MESTRE DE EMBREAGEM</v>
      </c>
    </row>
    <row r="785" customFormat="false" ht="15" hidden="false" customHeight="true" outlineLevel="0" collapsed="false">
      <c r="A785" s="10" t="s">
        <v>1734</v>
      </c>
      <c r="B785" s="10" t="str">
        <f aca="false">IFERROR(VLOOKUP(A785,Pedido!$A:$B,2,0),"")</f>
        <v/>
      </c>
      <c r="C785" s="10" t="str">
        <f aca="false">IF(B785="","NÃO COMPRA","COMPRA")</f>
        <v>NÃO COMPRA</v>
      </c>
      <c r="D785" s="1" t="n">
        <f aca="false">IFERROR(VLOOKUP(A785,Pedido!$A:$C,3,0),0)</f>
        <v>0</v>
      </c>
      <c r="E785" s="5" t="n">
        <f aca="false">IFERROR(VLOOKUP(A785,Pedido!$A:$E,5,0),0)</f>
        <v>0</v>
      </c>
      <c r="F785" s="1" t="s">
        <v>9</v>
      </c>
      <c r="G785" s="1" t="s">
        <v>280</v>
      </c>
      <c r="H785" s="1" t="s">
        <v>88</v>
      </c>
      <c r="I785" s="1" t="s">
        <v>281</v>
      </c>
      <c r="J785" s="1" t="s">
        <v>1735</v>
      </c>
      <c r="K785" s="1" t="n">
        <v>126</v>
      </c>
      <c r="L785" s="11" t="n">
        <v>0.919619732732491</v>
      </c>
      <c r="M785" s="1" t="n">
        <f aca="false">SUMIF(Relatorio_AK!$A:$A,A785,Relatorio_AK!$B:$B)</f>
        <v>126</v>
      </c>
      <c r="N785" s="1" t="str">
        <f aca="false">IF(M785=K785,"OK","DIF")</f>
        <v>OK</v>
      </c>
      <c r="O785" s="13" t="str">
        <f aca="false">IFERROR(VLOOKUP($A785,Lista_Starke!$A:$E,3,0),"NÃO ESTÁ NA LISTA")</f>
        <v>CITROEN: Aircross 1.5 8V 15/...
CITROEN: Aircross 1.6 16V 11/...
CITROEN: C3 Picasso 1.5 8V 14/16
CITROEN: C3 Picasso 1.6 16V 11/16</v>
      </c>
      <c r="P785" s="12" t="str">
        <f aca="false">IFERROR(VLOOKUP($A785,Lista_Starke!$A:$E,2,0),"NÃO ESTÁ NA LISTA")</f>
        <v>CILINDRO DE RODA LE/LD</v>
      </c>
    </row>
    <row r="786" customFormat="false" ht="15" hidden="false" customHeight="true" outlineLevel="0" collapsed="false">
      <c r="A786" s="10" t="s">
        <v>1736</v>
      </c>
      <c r="B786" s="10" t="str">
        <f aca="false">IFERROR(VLOOKUP(A786,Pedido!$A:$B,2,0),"")</f>
        <v/>
      </c>
      <c r="C786" s="10" t="str">
        <f aca="false">IF(B786="","NÃO COMPRA","COMPRA")</f>
        <v>NÃO COMPRA</v>
      </c>
      <c r="D786" s="1" t="n">
        <f aca="false">IFERROR(VLOOKUP(A786,Pedido!$A:$C,3,0),0)</f>
        <v>0</v>
      </c>
      <c r="E786" s="5" t="n">
        <f aca="false">IFERROR(VLOOKUP(A786,Pedido!$A:$E,5,0),0)</f>
        <v>0</v>
      </c>
      <c r="F786" s="1" t="s">
        <v>9</v>
      </c>
      <c r="G786" s="1" t="s">
        <v>1526</v>
      </c>
      <c r="H786" s="1" t="s">
        <v>600</v>
      </c>
      <c r="I786" s="1" t="s">
        <v>226</v>
      </c>
      <c r="J786" s="1" t="s">
        <v>1737</v>
      </c>
      <c r="K786" s="1" t="n">
        <v>125</v>
      </c>
      <c r="L786" s="11" t="n">
        <v>0.919833423653362</v>
      </c>
      <c r="M786" s="1" t="n">
        <f aca="false">SUMIF(Relatorio_AK!$A:$A,A786,Relatorio_AK!$B:$B)</f>
        <v>125</v>
      </c>
      <c r="N786" s="1" t="str">
        <f aca="false">IF(M786=K786,"OK","DIF")</f>
        <v>OK</v>
      </c>
      <c r="O786" s="13" t="str">
        <f aca="false">IFERROR(VLOOKUP($A786,Lista_Starke!$A:$E,3,0),"NÃO ESTÁ NA LISTA")</f>
        <v>AUDI: A3 2.0 TFSI 04/13
AUDI: A4 2.0 TFSI 08/15
AUDI: A5 2.0 TFSI 08/17
AUDI: A6 2.0 TFSI 11/18
AUDI: Q3 2.0 TFSIA 11/15
AUDI: Q5 2.0 TFSI 08/17
AUDI: TT 2.0 TFSI 08/14
VOLKSWAGEN: Jetta 2.0 TSI 10/...
VOLKSWAGEN: New Beetle 2.0 TSI 11/16
VOLKSWAGEN: Passat 2.0 FSI 05/10
VOLKSWAGEN: Passat 2.0 TSI 10/14
VOLKSWAGEN: Tiguan 2.0 TSI 07/18</v>
      </c>
      <c r="P786" s="12" t="str">
        <f aca="false">IFERROR(VLOOKUP($A786,Lista_Starke!$A:$E,2,0),"NÃO ESTÁ NA LISTA")</f>
        <v>BOMBA DE VÁCUO FREIO</v>
      </c>
    </row>
    <row r="787" customFormat="false" ht="15" hidden="false" customHeight="true" outlineLevel="0" collapsed="false">
      <c r="A787" s="10" t="s">
        <v>1738</v>
      </c>
      <c r="B787" s="10" t="str">
        <f aca="false">IFERROR(VLOOKUP(A787,Pedido!$A:$B,2,0),"")</f>
        <v/>
      </c>
      <c r="C787" s="10" t="str">
        <f aca="false">IF(B787="","NÃO COMPRA","COMPRA")</f>
        <v>NÃO COMPRA</v>
      </c>
      <c r="D787" s="1" t="n">
        <f aca="false">IFERROR(VLOOKUP(A787,Pedido!$A:$C,3,0),0)</f>
        <v>0</v>
      </c>
      <c r="E787" s="5" t="n">
        <f aca="false">IFERROR(VLOOKUP(A787,Pedido!$A:$E,5,0),0)</f>
        <v>0</v>
      </c>
      <c r="F787" s="1" t="s">
        <v>9</v>
      </c>
      <c r="G787" s="1" t="s">
        <v>826</v>
      </c>
      <c r="H787" s="1" t="s">
        <v>790</v>
      </c>
      <c r="I787" s="1" t="s">
        <v>1157</v>
      </c>
      <c r="K787" s="1" t="n">
        <v>125</v>
      </c>
      <c r="L787" s="11" t="n">
        <v>0.920047114574233</v>
      </c>
      <c r="M787" s="1" t="n">
        <f aca="false">SUMIF(Relatorio_AK!$A:$A,A787,Relatorio_AK!$B:$B)</f>
        <v>125</v>
      </c>
      <c r="N787" s="1" t="str">
        <f aca="false">IF(M787=K787,"OK","DIF")</f>
        <v>OK</v>
      </c>
      <c r="O787" s="13" t="str">
        <f aca="false">IFERROR(VLOOKUP($A787,Lista_Starke!$A:$E,3,0),"NÃO ESTÁ NA LISTA")</f>
        <v>BMW: 135i 3.0 6 cil N54 B30A / N55 B30A 07/13
BMW: 335i 3.0 6 cil N54 B30A / N55 B30A 06/13
BMW: 535i 3.0 6 cil N54 30A / N55 B30A 09/17
BMW: 640i 3.0 6 cil N54 B30A / N55 B30A 11/18
BMW: 740i 3.0 6 cil N54 B30A / N55 B30A 08/15
BMW: X3 (F25) xDrive 35i 3.0 6 cil N54 B30A / N55 B30A 10/17
BMW: X4 (F26) xDrive 35i 3.0 6 cil N54 B30A / N55 B30A 14/18
BMW: X5 (E70) xDrive 35i 3.0 6 cil N54 B30A / N55 B30A 10/13
BMW: X6(E71/72) xDrive 35i 3.0 6 cil N54 B30A / N55 B30A 08/14
BMW: Z4 (E89) sDrive 35i 3.0 6 cil N54 B30A / N55 B30A 09/16</v>
      </c>
      <c r="P787" s="12" t="str">
        <f aca="false">IFERROR(VLOOKUP($A787,Lista_Starke!$A:$E,2,0),"NÃO ESTÁ NA LISTA")</f>
        <v>BOMBA D'ÁGUA ELÉTRICA</v>
      </c>
    </row>
    <row r="788" customFormat="false" ht="15" hidden="false" customHeight="true" outlineLevel="0" collapsed="false">
      <c r="A788" s="10" t="s">
        <v>1739</v>
      </c>
      <c r="B788" s="10" t="str">
        <f aca="false">IFERROR(VLOOKUP(A788,Pedido!$A:$B,2,0),"")</f>
        <v/>
      </c>
      <c r="C788" s="10" t="str">
        <f aca="false">IF(B788="","NÃO COMPRA","COMPRA")</f>
        <v>NÃO COMPRA</v>
      </c>
      <c r="D788" s="1" t="n">
        <f aca="false">IFERROR(VLOOKUP(A788,Pedido!$A:$C,3,0),0)</f>
        <v>0</v>
      </c>
      <c r="E788" s="5" t="n">
        <f aca="false">IFERROR(VLOOKUP(A788,Pedido!$A:$E,5,0),0)</f>
        <v>0</v>
      </c>
      <c r="F788" s="1" t="s">
        <v>9</v>
      </c>
      <c r="G788" s="1" t="s">
        <v>1740</v>
      </c>
      <c r="H788" s="1" t="s">
        <v>1131</v>
      </c>
      <c r="I788" s="1" t="s">
        <v>53</v>
      </c>
      <c r="J788" s="1" t="s">
        <v>1741</v>
      </c>
      <c r="K788" s="1" t="n">
        <v>125</v>
      </c>
      <c r="L788" s="11" t="n">
        <v>0.920260805495105</v>
      </c>
      <c r="M788" s="1" t="n">
        <f aca="false">SUMIF(Relatorio_AK!$A:$A,A788,Relatorio_AK!$B:$B)</f>
        <v>125</v>
      </c>
      <c r="N788" s="1" t="str">
        <f aca="false">IF(M788=K788,"OK","DIF")</f>
        <v>OK</v>
      </c>
      <c r="O788" s="13" t="str">
        <f aca="false">IFERROR(VLOOKUP($A788,Lista_Starke!$A:$E,3,0),"NÃO ESTÁ NA LISTA")</f>
        <v>FORD: Ecosport 2.0 16V Duratec 17/21
FORD: Focus 2.0 16V Duratec 13/19</v>
      </c>
      <c r="P788" s="12" t="str">
        <f aca="false">IFERROR(VLOOKUP($A788,Lista_Starke!$A:$E,2,0),"NÃO ESTÁ NA LISTA")</f>
        <v>BOMBA DE ALTA PRESSÃO GDI</v>
      </c>
    </row>
    <row r="789" customFormat="false" ht="15" hidden="false" customHeight="true" outlineLevel="0" collapsed="false">
      <c r="A789" s="10" t="s">
        <v>1742</v>
      </c>
      <c r="B789" s="10" t="str">
        <f aca="false">IFERROR(VLOOKUP(A789,Pedido!$A:$B,2,0),"")</f>
        <v/>
      </c>
      <c r="C789" s="10" t="str">
        <f aca="false">IF(B789="","NÃO COMPRA","COMPRA")</f>
        <v>NÃO COMPRA</v>
      </c>
      <c r="D789" s="1" t="n">
        <f aca="false">IFERROR(VLOOKUP(A789,Pedido!$A:$C,3,0),0)</f>
        <v>0</v>
      </c>
      <c r="E789" s="5" t="n">
        <f aca="false">IFERROR(VLOOKUP(A789,Pedido!$A:$E,5,0),0)</f>
        <v>0</v>
      </c>
      <c r="F789" s="1" t="s">
        <v>9</v>
      </c>
      <c r="G789" s="1" t="s">
        <v>34</v>
      </c>
      <c r="H789" s="1" t="s">
        <v>35</v>
      </c>
      <c r="I789" s="1" t="s">
        <v>36</v>
      </c>
      <c r="J789" s="1" t="s">
        <v>1743</v>
      </c>
      <c r="K789" s="1" t="n">
        <v>125</v>
      </c>
      <c r="L789" s="11" t="n">
        <v>0.920474496415976</v>
      </c>
      <c r="M789" s="1" t="n">
        <f aca="false">SUMIF(Relatorio_AK!$A:$A,A789,Relatorio_AK!$B:$B)</f>
        <v>125</v>
      </c>
      <c r="N789" s="1" t="str">
        <f aca="false">IF(M789=K789,"OK","DIF")</f>
        <v>OK</v>
      </c>
      <c r="O789" s="13" t="str">
        <f aca="false">IFERROR(VLOOKUP($A789,Lista_Starke!$A:$E,3,0),"NÃO ESTÁ NA LISTA")</f>
        <v>VOLKSWAGEN: Kombi 1200 Ar 60/66
VOLKSWAGEN: Kombi 1500 Ar 67/75</v>
      </c>
      <c r="P789" s="12" t="str">
        <f aca="false">IFERROR(VLOOKUP($A789,Lista_Starke!$A:$E,2,0),"NÃO ESTÁ NA LISTA")</f>
        <v>CILINDRO MESTRE DE FREIO</v>
      </c>
    </row>
    <row r="790" customFormat="false" ht="15" hidden="false" customHeight="true" outlineLevel="0" collapsed="false">
      <c r="A790" s="10" t="s">
        <v>1744</v>
      </c>
      <c r="B790" s="10" t="str">
        <f aca="false">IFERROR(VLOOKUP(A790,Pedido!$A:$B,2,0),"")</f>
        <v/>
      </c>
      <c r="C790" s="10" t="str">
        <f aca="false">IF(B790="","NÃO COMPRA","COMPRA")</f>
        <v>NÃO COMPRA</v>
      </c>
      <c r="D790" s="1" t="n">
        <f aca="false">IFERROR(VLOOKUP(A790,Pedido!$A:$C,3,0),0)</f>
        <v>0</v>
      </c>
      <c r="E790" s="5" t="n">
        <f aca="false">IFERROR(VLOOKUP(A790,Pedido!$A:$E,5,0),0)</f>
        <v>0</v>
      </c>
      <c r="F790" s="1" t="s">
        <v>9</v>
      </c>
      <c r="G790" s="1" t="s">
        <v>1442</v>
      </c>
      <c r="H790" s="1" t="s">
        <v>1131</v>
      </c>
      <c r="I790" s="1" t="s">
        <v>226</v>
      </c>
      <c r="J790" s="1" t="s">
        <v>1745</v>
      </c>
      <c r="K790" s="1" t="n">
        <v>124</v>
      </c>
      <c r="L790" s="11" t="n">
        <v>0.92068647780948</v>
      </c>
      <c r="M790" s="1" t="n">
        <f aca="false">SUMIF(Relatorio_AK!$A:$A,A790,Relatorio_AK!$B:$B)</f>
        <v>124</v>
      </c>
      <c r="N790" s="1" t="str">
        <f aca="false">IF(M790=K790,"OK","DIF")</f>
        <v>OK</v>
      </c>
      <c r="O790" s="13" t="str">
        <f aca="false">IFERROR(VLOOKUP($A790,Lista_Starke!$A:$E,3,0),"NÃO ESTÁ NA LISTA")</f>
        <v>AUDI: A3 1.8 16V TFSI CJSA/CJSB 12/16
AUDI: A3 2.0 16V TFSI CZPB/DKZA 16/22
AUDI: A4 1.8 16V TFSI CJEB 15/...
AUDI: A4 2.0 16V TFSI CNCD 15/...
AUDI: A5 1.8 16V TFSI CABD/CJEB/CJEE 07/17
AUDI: A5 2.0 16V TFSI CNCD/CNCE 13/17
AUDI: Q3 2.0 16V TFSI CULB/CCTA 14/...
AUDI: Q5 2.0 16V TFSI CDNB/CNCB/CNCD/CNCE 17/...
AUDI: Q7 2.0 16V TFSI CYRB/CYMC/DMFB 15/...
VOLKSWAGEN: Golf 2.0 16V TSI CULC 13/...
VOLKSWAGEN: Golf GTI 2.0 16V TSI DLBA/DNPA/DRNA 13/...
VOLKSWAGEN: Jetta GLI 2.0 16V TSI 19/...
VOLKSWAGEN: Passat 2.0 16V TSI CZPB/DKZA/DRFA/DNNA/DUNA 18/...
VOLKSWAGEN: Tiguan 2.0 16V TSI CZPA/CHHB 16/...
VOLKSWAGEN: Tiguan R Line 2.0 16V 18/...</v>
      </c>
      <c r="P790" s="12" t="str">
        <f aca="false">IFERROR(VLOOKUP($A790,Lista_Starke!$A:$E,2,0),"NÃO ESTÁ NA LISTA")</f>
        <v>BOMBA DE ALTA PRESSÃO GDI</v>
      </c>
    </row>
    <row r="791" customFormat="false" ht="15" hidden="false" customHeight="true" outlineLevel="0" collapsed="false">
      <c r="A791" s="10" t="s">
        <v>1746</v>
      </c>
      <c r="B791" s="10" t="str">
        <f aca="false">IFERROR(VLOOKUP(A791,Pedido!$A:$B,2,0),"")</f>
        <v/>
      </c>
      <c r="C791" s="10" t="str">
        <f aca="false">IF(B791="","NÃO COMPRA","COMPRA")</f>
        <v>NÃO COMPRA</v>
      </c>
      <c r="D791" s="1" t="n">
        <f aca="false">IFERROR(VLOOKUP(A791,Pedido!$A:$C,3,0),0)</f>
        <v>0</v>
      </c>
      <c r="E791" s="5" t="n">
        <f aca="false">IFERROR(VLOOKUP(A791,Pedido!$A:$E,5,0),0)</f>
        <v>0</v>
      </c>
      <c r="F791" s="1" t="s">
        <v>9</v>
      </c>
      <c r="G791" s="1" t="s">
        <v>34</v>
      </c>
      <c r="H791" s="1" t="s">
        <v>35</v>
      </c>
      <c r="I791" s="1" t="s">
        <v>226</v>
      </c>
      <c r="J791" s="1" t="s">
        <v>1747</v>
      </c>
      <c r="K791" s="1" t="n">
        <v>124</v>
      </c>
      <c r="L791" s="11" t="n">
        <v>0.920898459202984</v>
      </c>
      <c r="M791" s="1" t="n">
        <f aca="false">SUMIF(Relatorio_AK!$A:$A,A791,Relatorio_AK!$B:$B)</f>
        <v>124</v>
      </c>
      <c r="N791" s="1" t="str">
        <f aca="false">IF(M791=K791,"OK","DIF")</f>
        <v>OK</v>
      </c>
      <c r="O791" s="13" t="str">
        <f aca="false">IFERROR(VLOOKUP($A791,Lista_Starke!$A:$E,3,0),"NÃO ESTÁ NA LISTA")</f>
        <v>AUDI: A3 1.4 TFSI CZCC 16/20
AUDI: A3 1.8 TSFI QUATTRO CJSB 12/16
AUDI: A3 2.0 TFSI CZPB 16/17
VOLKSWAGEN: Polo 1.0 12V TSI EA211 17/...
VOLKSWAGEN: T-Cross 1.0 12V TSI 19/...
VOLKSWAGEN: T-Cross 1.4 16V TSI 19/...
VOLKSWAGEN: Virtus 1.0 12V TSI EA211 17/...
VOLKSWAGEN: Virtus 1.4 16V TSI EA211 23/...
VOLKSWAGEN: Virtus GTS 1.4 16V TSI EA211 20/22</v>
      </c>
      <c r="P791" s="12" t="str">
        <f aca="false">IFERROR(VLOOKUP($A791,Lista_Starke!$A:$E,2,0),"NÃO ESTÁ NA LISTA")</f>
        <v>CILINDRO MESTRE DE FREIO</v>
      </c>
    </row>
    <row r="792" customFormat="false" ht="15" hidden="false" customHeight="true" outlineLevel="0" collapsed="false">
      <c r="A792" s="10" t="s">
        <v>1748</v>
      </c>
      <c r="B792" s="10" t="str">
        <f aca="false">IFERROR(VLOOKUP(A792,Pedido!$A:$B,2,0),"")</f>
        <v/>
      </c>
      <c r="C792" s="10" t="str">
        <f aca="false">IF(B792="","NÃO COMPRA","COMPRA")</f>
        <v>NÃO COMPRA</v>
      </c>
      <c r="D792" s="1" t="n">
        <f aca="false">IFERROR(VLOOKUP(A792,Pedido!$A:$C,3,0),0)</f>
        <v>0</v>
      </c>
      <c r="E792" s="5" t="n">
        <f aca="false">IFERROR(VLOOKUP(A792,Pedido!$A:$E,5,0),0)</f>
        <v>0</v>
      </c>
      <c r="F792" s="1" t="s">
        <v>9</v>
      </c>
      <c r="G792" s="1" t="s">
        <v>1330</v>
      </c>
      <c r="H792" s="1" t="s">
        <v>96</v>
      </c>
      <c r="I792" s="1" t="s">
        <v>255</v>
      </c>
      <c r="K792" s="1" t="n">
        <v>123</v>
      </c>
      <c r="L792" s="11" t="n">
        <v>0.921108731069121</v>
      </c>
      <c r="M792" s="1" t="n">
        <f aca="false">SUMIF(Relatorio_AK!$A:$A,A792,Relatorio_AK!$B:$B)</f>
        <v>123</v>
      </c>
      <c r="N792" s="1" t="str">
        <f aca="false">IF(M792=K792,"OK","DIF")</f>
        <v>OK</v>
      </c>
      <c r="O792" s="13" t="str">
        <f aca="false">IFERROR(VLOOKUP($A792,Lista_Starke!$A:$E,3,0),"NÃO ESTÁ NA LISTA")</f>
        <v>MITSUBISHI: Pajero 2.4 16V Diesel 4N15 19/...
MITSUBISHI: Triton 2.4 16V Diesel 4N15 17/...</v>
      </c>
      <c r="P792" s="12" t="str">
        <f aca="false">IFERROR(VLOOKUP($A792,Lista_Starke!$A:$E,2,0),"NÃO ESTÁ NA LISTA")</f>
        <v>BOMBA DE VÁCUO</v>
      </c>
    </row>
    <row r="793" customFormat="false" ht="15" hidden="false" customHeight="true" outlineLevel="0" collapsed="false">
      <c r="A793" s="10" t="s">
        <v>1749</v>
      </c>
      <c r="B793" s="10" t="str">
        <f aca="false">IFERROR(VLOOKUP(A793,Pedido!$A:$B,2,0),"")</f>
        <v/>
      </c>
      <c r="C793" s="10" t="str">
        <f aca="false">IF(B793="","NÃO COMPRA","COMPRA")</f>
        <v>NÃO COMPRA</v>
      </c>
      <c r="D793" s="1" t="n">
        <f aca="false">IFERROR(VLOOKUP(A793,Pedido!$A:$C,3,0),0)</f>
        <v>0</v>
      </c>
      <c r="E793" s="5" t="n">
        <f aca="false">IFERROR(VLOOKUP(A793,Pedido!$A:$E,5,0),0)</f>
        <v>0</v>
      </c>
      <c r="F793" s="1" t="s">
        <v>9</v>
      </c>
      <c r="G793" s="1" t="s">
        <v>1336</v>
      </c>
      <c r="H793" s="1" t="s">
        <v>35</v>
      </c>
      <c r="I793" s="1" t="s">
        <v>172</v>
      </c>
      <c r="K793" s="1" t="n">
        <v>122</v>
      </c>
      <c r="L793" s="11" t="n">
        <v>0.921317293407891</v>
      </c>
      <c r="M793" s="1" t="n">
        <f aca="false">SUMIF(Relatorio_AK!$A:$A,A793,Relatorio_AK!$B:$B)</f>
        <v>122</v>
      </c>
      <c r="N793" s="1" t="str">
        <f aca="false">IF(M793=K793,"OK","DIF")</f>
        <v>OK</v>
      </c>
      <c r="O793" s="13" t="str">
        <f aca="false">IFERROR(VLOOKUP($A793,Lista_Starke!$A:$E,3,0),"NÃO ESTÁ NA LISTA")</f>
        <v>HYUNDAI: Santa Fe 2.7 V6 G6BA / G6EA 06/…
KIA: Carnival / Grand Carnival 2.7 V6    G6BA / G6EA 06/…
KIA: Magentis 2.7 V6    G6BA / G6EA 05/…</v>
      </c>
      <c r="P793" s="12" t="str">
        <f aca="false">IFERROR(VLOOKUP($A793,Lista_Starke!$A:$E,2,0),"NÃO ESTÁ NA LISTA")</f>
        <v>CILINDRO MESTRE DE FREIO</v>
      </c>
    </row>
    <row r="794" customFormat="false" ht="15" hidden="false" customHeight="true" outlineLevel="0" collapsed="false">
      <c r="A794" s="10" t="s">
        <v>1750</v>
      </c>
      <c r="B794" s="10" t="str">
        <f aca="false">IFERROR(VLOOKUP(A794,Pedido!$A:$B,2,0),"")</f>
        <v/>
      </c>
      <c r="C794" s="10" t="str">
        <f aca="false">IF(B794="","NÃO COMPRA","COMPRA")</f>
        <v>NÃO COMPRA</v>
      </c>
      <c r="D794" s="1" t="n">
        <f aca="false">IFERROR(VLOOKUP(A794,Pedido!$A:$C,3,0),0)</f>
        <v>0</v>
      </c>
      <c r="E794" s="5" t="n">
        <f aca="false">IFERROR(VLOOKUP(A794,Pedido!$A:$E,5,0),0)</f>
        <v>0</v>
      </c>
      <c r="F794" s="1" t="s">
        <v>9</v>
      </c>
      <c r="G794" s="1" t="s">
        <v>1751</v>
      </c>
      <c r="H794" s="1" t="s">
        <v>32</v>
      </c>
      <c r="I794" s="1" t="s">
        <v>1182</v>
      </c>
      <c r="J794" s="1" t="s">
        <v>1752</v>
      </c>
      <c r="K794" s="1" t="n">
        <v>122</v>
      </c>
      <c r="L794" s="11" t="n">
        <v>0.921525855746661</v>
      </c>
      <c r="M794" s="1" t="n">
        <f aca="false">SUMIF(Relatorio_AK!$A:$A,A794,Relatorio_AK!$B:$B)</f>
        <v>122</v>
      </c>
      <c r="N794" s="1" t="str">
        <f aca="false">IF(M794=K794,"OK","DIF")</f>
        <v>OK</v>
      </c>
      <c r="O794" s="13" t="str">
        <f aca="false">IFERROR(VLOOKUP($A794,Lista_Starke!$A:$E,3,0),"NÃO ESTÁ NA LISTA")</f>
        <v>KIA: Bongo K2500 2.5 16V Diesel 13/...
KIA: Bongo K2500 2.5 8V Diesel 08/12
KIA: Bongo K2700 2.7 8V Diesel 06/12</v>
      </c>
      <c r="P794" s="12" t="str">
        <f aca="false">IFERROR(VLOOKUP($A794,Lista_Starke!$A:$E,2,0),"NÃO ESTÁ NA LISTA")</f>
        <v>CIILNDRO MESTRE DE EMBREAGEM</v>
      </c>
    </row>
    <row r="795" customFormat="false" ht="15" hidden="false" customHeight="true" outlineLevel="0" collapsed="false">
      <c r="A795" s="10" t="s">
        <v>1753</v>
      </c>
      <c r="B795" s="10" t="str">
        <f aca="false">IFERROR(VLOOKUP(A795,Pedido!$A:$B,2,0),"")</f>
        <v/>
      </c>
      <c r="C795" s="10" t="str">
        <f aca="false">IF(B795="","NÃO COMPRA","COMPRA")</f>
        <v>NÃO COMPRA</v>
      </c>
      <c r="D795" s="1" t="n">
        <f aca="false">IFERROR(VLOOKUP(A795,Pedido!$A:$C,3,0),0)</f>
        <v>0</v>
      </c>
      <c r="E795" s="5" t="n">
        <f aca="false">IFERROR(VLOOKUP(A795,Pedido!$A:$E,5,0),0)</f>
        <v>0</v>
      </c>
      <c r="F795" s="1" t="s">
        <v>9</v>
      </c>
      <c r="G795" s="1" t="s">
        <v>789</v>
      </c>
      <c r="H795" s="1" t="s">
        <v>197</v>
      </c>
      <c r="I795" s="1" t="s">
        <v>77</v>
      </c>
      <c r="K795" s="1" t="n">
        <v>122</v>
      </c>
      <c r="L795" s="11" t="n">
        <v>0.921734418085432</v>
      </c>
      <c r="M795" s="1" t="n">
        <f aca="false">SUMIF(Relatorio_AK!$A:$A,A795,Relatorio_AK!$B:$B)</f>
        <v>122</v>
      </c>
      <c r="N795" s="1" t="str">
        <f aca="false">IF(M795=K795,"OK","DIF")</f>
        <v>OK</v>
      </c>
      <c r="O795" s="13" t="str">
        <f aca="false">IFERROR(VLOOKUP($A795,Lista_Starke!$A:$E,3,0),"NÃO ESTÁ NA LISTA")</f>
        <v>CITROEN: Aircross 1.2 THP EB2DT/EB2ADT/EB2DTS/EB2ADTS 17/...
CITROEN: C3 1.2 THP EB2DT 17/...
PEUGEOT: 2008 1.2 THP EB2ADTD/EB2ADTS/EB2ADTX 19/...
PEUGEOT: 208 1.2 THP EB2ADT/EB2DTS/EB2ADTS 19/...
PEUGEOT: 308 1.2 THP EB2ADT/EB2ADTS 21/...</v>
      </c>
      <c r="P795" s="12" t="str">
        <f aca="false">IFERROR(VLOOKUP($A795,Lista_Starke!$A:$E,2,0),"NÃO ESTÁ NA LISTA")</f>
        <v>BOMBA D'ÁGUA</v>
      </c>
    </row>
    <row r="796" customFormat="false" ht="15" hidden="false" customHeight="true" outlineLevel="0" collapsed="false">
      <c r="A796" s="10" t="s">
        <v>1754</v>
      </c>
      <c r="B796" s="10" t="str">
        <f aca="false">IFERROR(VLOOKUP(A796,Pedido!$A:$B,2,0),"")</f>
        <v/>
      </c>
      <c r="C796" s="10" t="str">
        <f aca="false">IF(B796="","NÃO COMPRA","COMPRA")</f>
        <v>NÃO COMPRA</v>
      </c>
      <c r="D796" s="1" t="n">
        <f aca="false">IFERROR(VLOOKUP(A796,Pedido!$A:$C,3,0),0)</f>
        <v>0</v>
      </c>
      <c r="E796" s="5" t="n">
        <f aca="false">IFERROR(VLOOKUP(A796,Pedido!$A:$E,5,0),0)</f>
        <v>0</v>
      </c>
      <c r="F796" s="1" t="s">
        <v>9</v>
      </c>
      <c r="G796" s="1" t="s">
        <v>1652</v>
      </c>
      <c r="H796" s="1" t="s">
        <v>1358</v>
      </c>
      <c r="I796" s="1" t="s">
        <v>46</v>
      </c>
      <c r="J796" s="1" t="s">
        <v>1755</v>
      </c>
      <c r="K796" s="1" t="n">
        <v>121</v>
      </c>
      <c r="L796" s="11" t="n">
        <v>0.921941270896835</v>
      </c>
      <c r="M796" s="1" t="n">
        <f aca="false">SUMIF(Relatorio_AK!$A:$A,A796,Relatorio_AK!$B:$B)</f>
        <v>121</v>
      </c>
      <c r="N796" s="1" t="str">
        <f aca="false">IF(M796=K796,"OK","DIF")</f>
        <v>OK</v>
      </c>
      <c r="O796" s="13" t="str">
        <f aca="false">IFERROR(VLOOKUP($A796,Lista_Starke!$A:$E,3,0),"NÃO ESTÁ NA LISTA")</f>
        <v>FIAT: Doblo  01/06
FIAT: Palio  01/16
FIAT: Palio Weekend  01/16
FIAT: Siena  01/16
FIAT: Strada  01/16</v>
      </c>
      <c r="P796" s="12" t="str">
        <f aca="false">IFERROR(VLOOKUP($A796,Lista_Starke!$A:$E,2,0),"NÃO ESTÁ NA LISTA")</f>
        <v>BANDEJA INFERIOR COMPLETA LD</v>
      </c>
    </row>
    <row r="797" customFormat="false" ht="15" hidden="false" customHeight="true" outlineLevel="0" collapsed="false">
      <c r="A797" s="10" t="s">
        <v>1756</v>
      </c>
      <c r="B797" s="10" t="str">
        <f aca="false">IFERROR(VLOOKUP(A797,Pedido!$A:$B,2,0),"")</f>
        <v/>
      </c>
      <c r="C797" s="10" t="str">
        <f aca="false">IF(B797="","NÃO COMPRA","COMPRA")</f>
        <v>NÃO COMPRA</v>
      </c>
      <c r="D797" s="1" t="n">
        <f aca="false">IFERROR(VLOOKUP(A797,Pedido!$A:$C,3,0),0)</f>
        <v>0</v>
      </c>
      <c r="E797" s="5" t="n">
        <f aca="false">IFERROR(VLOOKUP(A797,Pedido!$A:$E,5,0),0)</f>
        <v>0</v>
      </c>
      <c r="F797" s="1" t="s">
        <v>9</v>
      </c>
      <c r="G797" s="1" t="s">
        <v>34</v>
      </c>
      <c r="H797" s="1" t="s">
        <v>35</v>
      </c>
      <c r="I797" s="1" t="s">
        <v>36</v>
      </c>
      <c r="J797" s="1" t="s">
        <v>1757</v>
      </c>
      <c r="K797" s="1" t="n">
        <v>121</v>
      </c>
      <c r="L797" s="11" t="n">
        <v>0.922148123708238</v>
      </c>
      <c r="M797" s="1" t="n">
        <f aca="false">SUMIF(Relatorio_AK!$A:$A,A797,Relatorio_AK!$B:$B)</f>
        <v>121</v>
      </c>
      <c r="N797" s="1" t="str">
        <f aca="false">IF(M797=K797,"OK","DIF")</f>
        <v>OK</v>
      </c>
      <c r="O797" s="12" t="str">
        <f aca="false">IFERROR(VLOOKUP($A797,Lista_Starke!$A:$E,3,0),"NÃO ESTÁ NA LISTA")</f>
        <v>VOLKSWAGEN: VW 7-110S 3.9 8V D229 87/94</v>
      </c>
      <c r="P797" s="12" t="str">
        <f aca="false">IFERROR(VLOOKUP($A797,Lista_Starke!$A:$E,2,0),"NÃO ESTÁ NA LISTA")</f>
        <v>CILINDRO MESTRE DE FREIO</v>
      </c>
    </row>
    <row r="798" customFormat="false" ht="15" hidden="false" customHeight="true" outlineLevel="0" collapsed="false">
      <c r="A798" s="10" t="s">
        <v>1758</v>
      </c>
      <c r="B798" s="10" t="str">
        <f aca="false">IFERROR(VLOOKUP(A798,Pedido!$A:$B,2,0),"")</f>
        <v/>
      </c>
      <c r="C798" s="10" t="str">
        <f aca="false">IF(B798="","NÃO COMPRA","COMPRA")</f>
        <v>NÃO COMPRA</v>
      </c>
      <c r="D798" s="1" t="n">
        <f aca="false">IFERROR(VLOOKUP(A798,Pedido!$A:$C,3,0),0)</f>
        <v>0</v>
      </c>
      <c r="E798" s="5" t="n">
        <f aca="false">IFERROR(VLOOKUP(A798,Pedido!$A:$E,5,0),0)</f>
        <v>0</v>
      </c>
      <c r="F798" s="1" t="s">
        <v>9</v>
      </c>
      <c r="G798" s="1" t="s">
        <v>841</v>
      </c>
      <c r="H798" s="1" t="s">
        <v>197</v>
      </c>
      <c r="I798" s="1" t="s">
        <v>50</v>
      </c>
      <c r="J798" s="1" t="s">
        <v>1759</v>
      </c>
      <c r="K798" s="1" t="n">
        <v>121</v>
      </c>
      <c r="L798" s="11" t="n">
        <v>0.922354976519641</v>
      </c>
      <c r="M798" s="1" t="n">
        <f aca="false">SUMIF(Relatorio_AK!$A:$A,A798,Relatorio_AK!$B:$B)</f>
        <v>121</v>
      </c>
      <c r="N798" s="1" t="str">
        <f aca="false">IF(M798=K798,"OK","DIF")</f>
        <v>OK</v>
      </c>
      <c r="O798" s="13" t="str">
        <f aca="false">IFERROR(VLOOKUP($A798,Lista_Starke!$A:$E,3,0),"NÃO ESTÁ NA LISTA")</f>
        <v>HONDA: Fit 1.4 8V SOHC L13A1 03/08
HONDA: Fit 1.5 16V SOHC L14A1 03/08</v>
      </c>
      <c r="P798" s="12" t="str">
        <f aca="false">IFERROR(VLOOKUP($A798,Lista_Starke!$A:$E,2,0),"NÃO ESTÁ NA LISTA")</f>
        <v>BOMBA D'ÁGUA</v>
      </c>
    </row>
    <row r="799" customFormat="false" ht="15" hidden="false" customHeight="true" outlineLevel="0" collapsed="false">
      <c r="A799" s="10" t="s">
        <v>1760</v>
      </c>
      <c r="B799" s="10" t="str">
        <f aca="false">IFERROR(VLOOKUP(A799,Pedido!$A:$B,2,0),"")</f>
        <v/>
      </c>
      <c r="C799" s="10" t="str">
        <f aca="false">IF(B799="","NÃO COMPRA","COMPRA")</f>
        <v>NÃO COMPRA</v>
      </c>
      <c r="D799" s="1" t="n">
        <f aca="false">IFERROR(VLOOKUP(A799,Pedido!$A:$C,3,0),0)</f>
        <v>0</v>
      </c>
      <c r="E799" s="5" t="n">
        <f aca="false">IFERROR(VLOOKUP(A799,Pedido!$A:$E,5,0),0)</f>
        <v>0</v>
      </c>
      <c r="F799" s="1" t="s">
        <v>9</v>
      </c>
      <c r="G799" s="1" t="s">
        <v>1761</v>
      </c>
      <c r="H799" s="1" t="s">
        <v>197</v>
      </c>
      <c r="I799" s="1" t="s">
        <v>1030</v>
      </c>
      <c r="J799" s="1" t="s">
        <v>1762</v>
      </c>
      <c r="K799" s="1" t="n">
        <v>121</v>
      </c>
      <c r="L799" s="11" t="n">
        <v>0.922561829331044</v>
      </c>
      <c r="M799" s="1" t="n">
        <f aca="false">SUMIF(Relatorio_AK!$A:$A,A799,Relatorio_AK!$B:$B)</f>
        <v>121</v>
      </c>
      <c r="N799" s="1" t="str">
        <f aca="false">IF(M799=K799,"OK","DIF")</f>
        <v>OK</v>
      </c>
      <c r="O799" s="13" t="str">
        <f aca="false">IFERROR(VLOOKUP($A799,Lista_Starke!$A:$E,3,0),"NÃO ESTÁ NA LISTA")</f>
        <v>DODGE: Dakota 2.5 4 cil 153 gasolina 96/02
JEEP: Cherokee 2.5 4 cil 153 gasolina 91/00
JEEP: Grand Cherokee 4.0 V6 242 gasolina 92/98
JEEP: Wrangler 2.5 4 cil 153 gasolina 91/01
JEEP: Wrangler 4.0 V6 242 gasolina 91/99</v>
      </c>
      <c r="P799" s="12" t="str">
        <f aca="false">IFERROR(VLOOKUP($A799,Lista_Starke!$A:$E,2,0),"NÃO ESTÁ NA LISTA")</f>
        <v>BOMBA D'ÁGUA</v>
      </c>
    </row>
    <row r="800" customFormat="false" ht="15" hidden="false" customHeight="true" outlineLevel="0" collapsed="false">
      <c r="A800" s="10" t="s">
        <v>1763</v>
      </c>
      <c r="B800" s="10" t="str">
        <f aca="false">IFERROR(VLOOKUP(A800,Pedido!$A:$B,2,0),"")</f>
        <v/>
      </c>
      <c r="C800" s="10" t="str">
        <f aca="false">IF(B800="","NÃO COMPRA","COMPRA")</f>
        <v>NÃO COMPRA</v>
      </c>
      <c r="D800" s="1" t="n">
        <f aca="false">IFERROR(VLOOKUP(A800,Pedido!$A:$C,3,0),0)</f>
        <v>0</v>
      </c>
      <c r="E800" s="5" t="n">
        <f aca="false">IFERROR(VLOOKUP(A800,Pedido!$A:$E,5,0),0)</f>
        <v>0</v>
      </c>
      <c r="F800" s="1" t="s">
        <v>9</v>
      </c>
      <c r="G800" s="1" t="s">
        <v>720</v>
      </c>
      <c r="H800" s="1" t="s">
        <v>197</v>
      </c>
      <c r="I800" s="1" t="s">
        <v>255</v>
      </c>
      <c r="K800" s="1" t="n">
        <v>121</v>
      </c>
      <c r="L800" s="11" t="n">
        <v>0.922768682142448</v>
      </c>
      <c r="M800" s="1" t="n">
        <f aca="false">SUMIF(Relatorio_AK!$A:$A,A800,Relatorio_AK!$B:$B)</f>
        <v>121</v>
      </c>
      <c r="N800" s="1" t="str">
        <f aca="false">IF(M800=K800,"OK","DIF")</f>
        <v>OK</v>
      </c>
      <c r="O800" s="12" t="str">
        <f aca="false">IFERROR(VLOOKUP($A800,Lista_Starke!$A:$E,3,0),"NÃO ESTÁ NA LISTA")</f>
        <v>MITSUBISHI: Triton 2.4 16V Flex 4G64 13/…</v>
      </c>
      <c r="P800" s="12" t="str">
        <f aca="false">IFERROR(VLOOKUP($A800,Lista_Starke!$A:$E,2,0),"NÃO ESTÁ NA LISTA")</f>
        <v>BOMBA D'ÁGUA</v>
      </c>
    </row>
    <row r="801" customFormat="false" ht="15" hidden="false" customHeight="true" outlineLevel="0" collapsed="false">
      <c r="A801" s="10" t="s">
        <v>1764</v>
      </c>
      <c r="B801" s="10" t="str">
        <f aca="false">IFERROR(VLOOKUP(A801,Pedido!$A:$B,2,0),"")</f>
        <v/>
      </c>
      <c r="C801" s="10" t="str">
        <f aca="false">IF(B801="","NÃO COMPRA","COMPRA")</f>
        <v>NÃO COMPRA</v>
      </c>
      <c r="D801" s="1" t="n">
        <f aca="false">IFERROR(VLOOKUP(A801,Pedido!$A:$C,3,0),0)</f>
        <v>0</v>
      </c>
      <c r="E801" s="5" t="n">
        <f aca="false">IFERROR(VLOOKUP(A801,Pedido!$A:$E,5,0),0)</f>
        <v>0</v>
      </c>
      <c r="F801" s="1" t="s">
        <v>9</v>
      </c>
      <c r="G801" s="1" t="s">
        <v>1117</v>
      </c>
      <c r="H801" s="1" t="s">
        <v>96</v>
      </c>
      <c r="I801" s="1" t="s">
        <v>177</v>
      </c>
      <c r="K801" s="1" t="n">
        <v>120</v>
      </c>
      <c r="L801" s="11" t="n">
        <v>0.922973825426484</v>
      </c>
      <c r="M801" s="1" t="n">
        <f aca="false">SUMIF(Relatorio_AK!$A:$A,A801,Relatorio_AK!$B:$B)</f>
        <v>120</v>
      </c>
      <c r="N801" s="1" t="str">
        <f aca="false">IF(M801=K801,"OK","DIF")</f>
        <v>OK</v>
      </c>
      <c r="O801" s="13" t="str">
        <f aca="false">IFERROR(VLOOKUP($A801,Lista_Starke!$A:$E,3,0),"NÃO ESTÁ NA LISTA")</f>
        <v>TOYOTA: Hilux 3.0 4x2 Aspirado 5L 01/04
TOYOTA: Hilux 3.0 4x4 Aspirado 5L 01/04</v>
      </c>
      <c r="P801" s="12" t="str">
        <f aca="false">IFERROR(VLOOKUP($A801,Lista_Starke!$A:$E,2,0),"NÃO ESTÁ NA LISTA")</f>
        <v>BOMBA DE VÁCUO</v>
      </c>
    </row>
    <row r="802" customFormat="false" ht="15" hidden="false" customHeight="true" outlineLevel="0" collapsed="false">
      <c r="A802" s="10" t="s">
        <v>1765</v>
      </c>
      <c r="B802" s="10" t="str">
        <f aca="false">IFERROR(VLOOKUP(A802,Pedido!$A:$B,2,0),"")</f>
        <v/>
      </c>
      <c r="C802" s="10" t="str">
        <f aca="false">IF(B802="","NÃO COMPRA","COMPRA")</f>
        <v>NÃO COMPRA</v>
      </c>
      <c r="D802" s="1" t="n">
        <f aca="false">IFERROR(VLOOKUP(A802,Pedido!$A:$C,3,0),0)</f>
        <v>0</v>
      </c>
      <c r="E802" s="5" t="n">
        <f aca="false">IFERROR(VLOOKUP(A802,Pedido!$A:$E,5,0),0)</f>
        <v>0</v>
      </c>
      <c r="F802" s="1" t="s">
        <v>9</v>
      </c>
      <c r="G802" s="1" t="s">
        <v>937</v>
      </c>
      <c r="H802" s="1" t="s">
        <v>197</v>
      </c>
      <c r="I802" s="1" t="s">
        <v>684</v>
      </c>
      <c r="K802" s="1" t="n">
        <v>120</v>
      </c>
      <c r="L802" s="11" t="n">
        <v>0.92317896871052</v>
      </c>
      <c r="M802" s="1" t="n">
        <f aca="false">SUMIF(Relatorio_AK!$A:$A,A802,Relatorio_AK!$B:$B)</f>
        <v>120</v>
      </c>
      <c r="N802" s="1" t="str">
        <f aca="false">IF(M802=K802,"OK","DIF")</f>
        <v>OK</v>
      </c>
      <c r="O802" s="13" t="str">
        <f aca="false">IFERROR(VLOOKUP($A802,Lista_Starke!$A:$E,3,0),"NÃO ESTÁ NA LISTA")</f>
        <v>LAND ROVER: Discovery III 2.7 V6 TD   276DT 04/09
LAND ROVER: Discovery IV 2.7 V6 TD   276DT 09/…
LAND ROVER: Range Rover Sport 2.7 TD 4x4  276DT 05/13</v>
      </c>
      <c r="P802" s="12" t="str">
        <f aca="false">IFERROR(VLOOKUP($A802,Lista_Starke!$A:$E,2,0),"NÃO ESTÁ NA LISTA")</f>
        <v>BOMBA D'ÁGUA</v>
      </c>
    </row>
    <row r="803" customFormat="false" ht="15" hidden="false" customHeight="true" outlineLevel="0" collapsed="false">
      <c r="A803" s="10" t="s">
        <v>1766</v>
      </c>
      <c r="B803" s="10" t="str">
        <f aca="false">IFERROR(VLOOKUP(A803,Pedido!$A:$B,2,0),"")</f>
        <v/>
      </c>
      <c r="C803" s="10" t="str">
        <f aca="false">IF(B803="","NÃO COMPRA","COMPRA")</f>
        <v>NÃO COMPRA</v>
      </c>
      <c r="D803" s="1" t="n">
        <f aca="false">IFERROR(VLOOKUP(A803,Pedido!$A:$C,3,0),0)</f>
        <v>0</v>
      </c>
      <c r="E803" s="5" t="n">
        <f aca="false">IFERROR(VLOOKUP(A803,Pedido!$A:$E,5,0),0)</f>
        <v>0</v>
      </c>
      <c r="F803" s="1" t="s">
        <v>9</v>
      </c>
      <c r="G803" s="1" t="s">
        <v>937</v>
      </c>
      <c r="H803" s="1" t="s">
        <v>197</v>
      </c>
      <c r="I803" s="1" t="s">
        <v>684</v>
      </c>
      <c r="K803" s="1" t="n">
        <v>120</v>
      </c>
      <c r="L803" s="11" t="n">
        <v>0.923384111994557</v>
      </c>
      <c r="M803" s="1" t="n">
        <f aca="false">SUMIF(Relatorio_AK!$A:$A,A803,Relatorio_AK!$B:$B)</f>
        <v>120</v>
      </c>
      <c r="N803" s="1" t="str">
        <f aca="false">IF(M803=K803,"OK","DIF")</f>
        <v>OK</v>
      </c>
      <c r="O803" s="13" t="str">
        <f aca="false">IFERROR(VLOOKUP($A803,Lista_Starke!$A:$E,3,0),"NÃO ESTÁ NA LISTA")</f>
        <v>LAND ROVER: Discovery IV 3.0 V6 TD 4x4   306DT / 30DDTX 09/18
LAND ROVER: Range Rover Sport 3.0 D 4x4 306DT 10/18</v>
      </c>
      <c r="P803" s="12" t="str">
        <f aca="false">IFERROR(VLOOKUP($A803,Lista_Starke!$A:$E,2,0),"NÃO ESTÁ NA LISTA")</f>
        <v>BOMBA D'ÁGUA</v>
      </c>
    </row>
    <row r="804" customFormat="false" ht="15" hidden="false" customHeight="true" outlineLevel="0" collapsed="false">
      <c r="A804" s="10" t="s">
        <v>1767</v>
      </c>
      <c r="B804" s="10" t="str">
        <f aca="false">IFERROR(VLOOKUP(A804,Pedido!$A:$B,2,0),"")</f>
        <v/>
      </c>
      <c r="C804" s="10" t="str">
        <f aca="false">IF(B804="","NÃO COMPRA","COMPRA")</f>
        <v>NÃO COMPRA</v>
      </c>
      <c r="D804" s="1" t="n">
        <f aca="false">IFERROR(VLOOKUP(A804,Pedido!$A:$C,3,0),0)</f>
        <v>0</v>
      </c>
      <c r="E804" s="5" t="n">
        <f aca="false">IFERROR(VLOOKUP(A804,Pedido!$A:$E,5,0),0)</f>
        <v>0</v>
      </c>
      <c r="F804" s="1" t="s">
        <v>9</v>
      </c>
      <c r="G804" s="1" t="s">
        <v>1768</v>
      </c>
      <c r="H804" s="1" t="s">
        <v>235</v>
      </c>
      <c r="I804" s="1" t="s">
        <v>684</v>
      </c>
      <c r="J804" s="1" t="s">
        <v>1769</v>
      </c>
      <c r="K804" s="1" t="n">
        <v>120</v>
      </c>
      <c r="L804" s="11" t="n">
        <v>0.923589255278593</v>
      </c>
      <c r="M804" s="1" t="n">
        <f aca="false">SUMIF(Relatorio_AK!$A:$A,A804,Relatorio_AK!$B:$B)</f>
        <v>120</v>
      </c>
      <c r="N804" s="1" t="str">
        <f aca="false">IF(M804=K804,"OK","DIF")</f>
        <v>OK</v>
      </c>
      <c r="O804" s="13" t="str">
        <f aca="false">IFERROR(VLOOKUP($A804,Lista_Starke!$A:$E,3,0),"NÃO ESTÁ NA LISTA")</f>
        <v>LAND ROVER: Discovery IV 3.0 V6 TD 4x4   306DT / 30DDTX 09/18
LAND ROVER: Discovery V 3.0 306DT 16/20
LAND ROVER: Range Rover Sport 3.0 D 4x4 306DT 10/18</v>
      </c>
      <c r="P804" s="12" t="str">
        <f aca="false">IFERROR(VLOOKUP($A804,Lista_Starke!$A:$E,2,0),"NÃO ESTÁ NA LISTA")</f>
        <v>RESFRIADOR DE ÓLEO MOTOR</v>
      </c>
    </row>
    <row r="805" customFormat="false" ht="15" hidden="false" customHeight="true" outlineLevel="0" collapsed="false">
      <c r="A805" s="10" t="s">
        <v>1770</v>
      </c>
      <c r="B805" s="10" t="str">
        <f aca="false">IFERROR(VLOOKUP(A805,Pedido!$A:$B,2,0),"")</f>
        <v/>
      </c>
      <c r="C805" s="10" t="str">
        <f aca="false">IF(B805="","NÃO COMPRA","COMPRA")</f>
        <v>NÃO COMPRA</v>
      </c>
      <c r="D805" s="1" t="n">
        <f aca="false">IFERROR(VLOOKUP(A805,Pedido!$A:$C,3,0),0)</f>
        <v>0</v>
      </c>
      <c r="E805" s="5" t="n">
        <f aca="false">IFERROR(VLOOKUP(A805,Pedido!$A:$E,5,0),0)</f>
        <v>0</v>
      </c>
      <c r="F805" s="1" t="s">
        <v>9</v>
      </c>
      <c r="G805" s="1" t="s">
        <v>1771</v>
      </c>
      <c r="H805" s="1" t="s">
        <v>1073</v>
      </c>
      <c r="I805" s="1" t="s">
        <v>1772</v>
      </c>
      <c r="J805" s="1" t="s">
        <v>1773</v>
      </c>
      <c r="K805" s="1" t="n">
        <v>120</v>
      </c>
      <c r="L805" s="11" t="n">
        <v>0.923794398562629</v>
      </c>
      <c r="M805" s="1" t="n">
        <f aca="false">SUMIF(Relatorio_AK!$A:$A,A805,Relatorio_AK!$B:$B)</f>
        <v>120</v>
      </c>
      <c r="N805" s="1" t="str">
        <f aca="false">IF(M805=K805,"OK","DIF")</f>
        <v>OK</v>
      </c>
      <c r="O805" s="13" t="str">
        <f aca="false">IFERROR(VLOOKUP($A805,Lista_Starke!$A:$E,3,0),"NÃO ESTÁ NA LISTA")</f>
        <v>NISSAN: March 1.0 16V 11/...
PEUGEOT: 206 1.0 16V D4F 01/...
RENAULT: Clio 1.0 16V D4D/F 01/...
RENAULT: Clio 1.0 8V + ar condicionado 01/…
RENAULT: Kangoo 1.0 16V D4D/F 00/05
RENAULT: Kangoo 1.0 8V + ar condicionado 01/…
RENAULT: Logan 1.0 16V D4D/F 08/...
RENAULT: Sandero 1.0 16V D4D/F 08/...
RENAULT: Twingo 1.2 8V + ar condicionado 96/…</v>
      </c>
      <c r="P805" s="12" t="str">
        <f aca="false">IFERROR(VLOOKUP($A805,Lista_Starke!$A:$E,2,0),"NÃO ESTÁ NA LISTA")</f>
        <v>VÁLVULA TERMOSTÁTICA</v>
      </c>
    </row>
    <row r="806" customFormat="false" ht="15" hidden="false" customHeight="true" outlineLevel="0" collapsed="false">
      <c r="A806" s="10" t="s">
        <v>1774</v>
      </c>
      <c r="B806" s="10" t="str">
        <f aca="false">IFERROR(VLOOKUP(A806,Pedido!$A:$B,2,0),"")</f>
        <v/>
      </c>
      <c r="C806" s="10" t="str">
        <f aca="false">IF(B806="","NÃO COMPRA","COMPRA")</f>
        <v>NÃO COMPRA</v>
      </c>
      <c r="D806" s="1" t="n">
        <f aca="false">IFERROR(VLOOKUP(A806,Pedido!$A:$C,3,0),0)</f>
        <v>0</v>
      </c>
      <c r="E806" s="5" t="n">
        <f aca="false">IFERROR(VLOOKUP(A806,Pedido!$A:$E,5,0),0)</f>
        <v>0</v>
      </c>
      <c r="F806" s="1" t="s">
        <v>9</v>
      </c>
      <c r="G806" s="1" t="s">
        <v>168</v>
      </c>
      <c r="H806" s="1" t="s">
        <v>131</v>
      </c>
      <c r="I806" s="1" t="s">
        <v>57</v>
      </c>
      <c r="J806" s="1" t="s">
        <v>1775</v>
      </c>
      <c r="K806" s="1" t="n">
        <v>120</v>
      </c>
      <c r="L806" s="11" t="n">
        <v>0.923999541846666</v>
      </c>
      <c r="M806" s="1" t="n">
        <f aca="false">SUMIF(Relatorio_AK!$A:$A,A806,Relatorio_AK!$B:$B)</f>
        <v>120</v>
      </c>
      <c r="N806" s="1" t="str">
        <f aca="false">IF(M806=K806,"OK","DIF")</f>
        <v>OK</v>
      </c>
      <c r="O806" s="12" t="str">
        <f aca="false">IFERROR(VLOOKUP($A806,Lista_Starke!$A:$E,3,0),"NÃO ESTÁ NA LISTA")</f>
        <v>GM: Montana 1.2 12V 3 cil. Turbo 23/...</v>
      </c>
      <c r="P806" s="12" t="str">
        <f aca="false">IFERROR(VLOOKUP($A806,Lista_Starke!$A:$E,2,0),"NÃO ESTÁ NA LISTA")</f>
        <v>SAPATA DE FREIO</v>
      </c>
    </row>
    <row r="807" customFormat="false" ht="15" hidden="false" customHeight="true" outlineLevel="0" collapsed="false">
      <c r="A807" s="10" t="s">
        <v>1776</v>
      </c>
      <c r="B807" s="10" t="str">
        <f aca="false">IFERROR(VLOOKUP(A807,Pedido!$A:$B,2,0),"")</f>
        <v/>
      </c>
      <c r="C807" s="10" t="str">
        <f aca="false">IF(B807="","NÃO COMPRA","COMPRA")</f>
        <v>NÃO COMPRA</v>
      </c>
      <c r="D807" s="1" t="n">
        <f aca="false">IFERROR(VLOOKUP(A807,Pedido!$A:$C,3,0),0)</f>
        <v>0</v>
      </c>
      <c r="E807" s="5" t="n">
        <f aca="false">IFERROR(VLOOKUP(A807,Pedido!$A:$E,5,0),0)</f>
        <v>0</v>
      </c>
      <c r="F807" s="1" t="s">
        <v>9</v>
      </c>
      <c r="G807" s="1" t="s">
        <v>1117</v>
      </c>
      <c r="H807" s="1" t="s">
        <v>96</v>
      </c>
      <c r="I807" s="1" t="s">
        <v>177</v>
      </c>
      <c r="K807" s="1" t="n">
        <v>119</v>
      </c>
      <c r="L807" s="11" t="n">
        <v>0.924202975603335</v>
      </c>
      <c r="M807" s="1" t="n">
        <f aca="false">SUMIF(Relatorio_AK!$A:$A,A807,Relatorio_AK!$B:$B)</f>
        <v>119</v>
      </c>
      <c r="N807" s="1" t="str">
        <f aca="false">IF(M807=K807,"OK","DIF")</f>
        <v>OK</v>
      </c>
      <c r="O807" s="13" t="str">
        <f aca="false">IFERROR(VLOOKUP($A807,Lista_Starke!$A:$E,3,0),"NÃO ESTÁ NA LISTA")</f>
        <v>TOYOTA: Hilux 2.8 16V Turbo Diesel 1GDFTV 16/...
TOYOTA: SW4 2.8 16V Turbo Diesel 1GDFTV 16/...</v>
      </c>
      <c r="P807" s="12" t="str">
        <f aca="false">IFERROR(VLOOKUP($A807,Lista_Starke!$A:$E,2,0),"NÃO ESTÁ NA LISTA")</f>
        <v>BOMBA DE VÁCUO</v>
      </c>
    </row>
    <row r="808" customFormat="false" ht="15" hidden="false" customHeight="true" outlineLevel="0" collapsed="false">
      <c r="A808" s="10" t="s">
        <v>1777</v>
      </c>
      <c r="B808" s="10" t="str">
        <f aca="false">IFERROR(VLOOKUP(A808,Pedido!$A:$B,2,0),"")</f>
        <v/>
      </c>
      <c r="C808" s="10" t="str">
        <f aca="false">IF(B808="","NÃO COMPRA","COMPRA")</f>
        <v>NÃO COMPRA</v>
      </c>
      <c r="D808" s="1" t="n">
        <f aca="false">IFERROR(VLOOKUP(A808,Pedido!$A:$C,3,0),0)</f>
        <v>0</v>
      </c>
      <c r="E808" s="5" t="n">
        <f aca="false">IFERROR(VLOOKUP(A808,Pedido!$A:$E,5,0),0)</f>
        <v>0</v>
      </c>
      <c r="F808" s="1" t="s">
        <v>9</v>
      </c>
      <c r="G808" s="1" t="s">
        <v>379</v>
      </c>
      <c r="H808" s="1" t="s">
        <v>32</v>
      </c>
      <c r="I808" s="1" t="s">
        <v>36</v>
      </c>
      <c r="J808" s="1" t="s">
        <v>1778</v>
      </c>
      <c r="K808" s="1" t="n">
        <v>119</v>
      </c>
      <c r="L808" s="11" t="n">
        <v>0.924406409360004</v>
      </c>
      <c r="M808" s="1" t="n">
        <f aca="false">SUMIF(Relatorio_AK!$A:$A,A808,Relatorio_AK!$B:$B)</f>
        <v>119</v>
      </c>
      <c r="N808" s="1" t="str">
        <f aca="false">IF(M808=K808,"OK","DIF")</f>
        <v>OK</v>
      </c>
      <c r="O808" s="13" t="str">
        <f aca="false">IFERROR(VLOOKUP($A808,Lista_Starke!$A:$E,3,0),"NÃO ESTÁ NA LISTA")</f>
        <v>VOLKSWAGEN: Golf 2.0 16V 06/08
VOLKSWAGEN: Jetta 1.4 TSI 14/...
VOLKSWAGEN: Jetta 2.0 TSI 11/...
VOLKSWAGEN: Jetta 2.5 20V 5 cil 07/11
VOLKSWAGEN: Novo Fusca 2.0 TSI 11/...</v>
      </c>
      <c r="P808" s="12" t="str">
        <f aca="false">IFERROR(VLOOKUP($A808,Lista_Starke!$A:$E,2,0),"NÃO ESTÁ NA LISTA")</f>
        <v>CILINDRO MESTRE DE EMBREAGEM</v>
      </c>
    </row>
    <row r="809" customFormat="false" ht="15" hidden="false" customHeight="true" outlineLevel="0" collapsed="false">
      <c r="A809" s="10" t="s">
        <v>1779</v>
      </c>
      <c r="B809" s="10" t="str">
        <f aca="false">IFERROR(VLOOKUP(A809,Pedido!$A:$B,2,0),"")</f>
        <v/>
      </c>
      <c r="C809" s="10" t="str">
        <f aca="false">IF(B809="","NÃO COMPRA","COMPRA")</f>
        <v>NÃO COMPRA</v>
      </c>
      <c r="D809" s="1" t="n">
        <f aca="false">IFERROR(VLOOKUP(A809,Pedido!$A:$C,3,0),0)</f>
        <v>0</v>
      </c>
      <c r="E809" s="5" t="n">
        <f aca="false">IFERROR(VLOOKUP(A809,Pedido!$A:$E,5,0),0)</f>
        <v>0</v>
      </c>
      <c r="F809" s="1" t="s">
        <v>9</v>
      </c>
      <c r="G809" s="1" t="s">
        <v>393</v>
      </c>
      <c r="H809" s="1" t="s">
        <v>157</v>
      </c>
      <c r="I809" s="1" t="s">
        <v>373</v>
      </c>
      <c r="J809" s="1" t="s">
        <v>1780</v>
      </c>
      <c r="K809" s="1" t="n">
        <v>119</v>
      </c>
      <c r="L809" s="11" t="n">
        <v>0.924609843116673</v>
      </c>
      <c r="M809" s="1" t="n">
        <f aca="false">SUMIF(Relatorio_AK!$A:$A,A809,Relatorio_AK!$B:$B)</f>
        <v>119</v>
      </c>
      <c r="N809" s="1" t="str">
        <f aca="false">IF(M809=K809,"OK","DIF")</f>
        <v>OK</v>
      </c>
      <c r="O809" s="13" t="str">
        <f aca="false">IFERROR(VLOOKUP($A809,Lista_Starke!$A:$E,3,0),"NÃO ESTÁ NA LISTA")</f>
        <v>MERCEDES-BENZ: Accelo 715C OM612LA 01/...
MERCEDES-BENZ: Sprinter 311 CDI 2.2 16V Diesel OM611LA 01/...
MERCEDES-BENZ: Sprinter 313 CDI 2.2 16V Diesel OM611LA 01/...
MERCEDES-BENZ: Sprinter 411 CDI 2.2 16V Diesel OM611LA 01/...
MERCEDES-BENZ: Sprinter 413 CDI 2.2 16V Diesel OM611LA 01/...
MERCEDES-BENZ: Sprinter 415 CDI 2.1 EURO 5 12/...
MERCEDES-BENZ: Sprinter 515 CDI 2.1 EURO 5 12/...</v>
      </c>
      <c r="P809" s="12" t="str">
        <f aca="false">IFERROR(VLOOKUP($A809,Lista_Starke!$A:$E,2,0),"NÃO ESTÁ NA LISTA")</f>
        <v>ATUADOR DE EMBREAGEM</v>
      </c>
    </row>
    <row r="810" customFormat="false" ht="15" hidden="false" customHeight="true" outlineLevel="0" collapsed="false">
      <c r="A810" s="10" t="s">
        <v>1781</v>
      </c>
      <c r="B810" s="10" t="str">
        <f aca="false">IFERROR(VLOOKUP(A810,Pedido!$A:$B,2,0),"")</f>
        <v/>
      </c>
      <c r="C810" s="10" t="str">
        <f aca="false">IF(B810="","NÃO COMPRA","COMPRA")</f>
        <v>NÃO COMPRA</v>
      </c>
      <c r="D810" s="1" t="n">
        <f aca="false">IFERROR(VLOOKUP(A810,Pedido!$A:$C,3,0),0)</f>
        <v>0</v>
      </c>
      <c r="E810" s="5" t="n">
        <f aca="false">IFERROR(VLOOKUP(A810,Pedido!$A:$E,5,0),0)</f>
        <v>0</v>
      </c>
      <c r="F810" s="1" t="s">
        <v>9</v>
      </c>
      <c r="G810" s="1" t="s">
        <v>294</v>
      </c>
      <c r="H810" s="1" t="s">
        <v>35</v>
      </c>
      <c r="I810" s="1" t="s">
        <v>295</v>
      </c>
      <c r="K810" s="1" t="n">
        <v>119</v>
      </c>
      <c r="L810" s="11" t="n">
        <v>0.924813276873343</v>
      </c>
      <c r="M810" s="1" t="n">
        <f aca="false">SUMIF(Relatorio_AK!$A:$A,A810,Relatorio_AK!$B:$B)</f>
        <v>119</v>
      </c>
      <c r="N810" s="1" t="str">
        <f aca="false">IF(M810=K810,"OK","DIF")</f>
        <v>OK</v>
      </c>
      <c r="O810" s="13" t="str">
        <f aca="false">IFERROR(VLOOKUP($A810,Lista_Starke!$A:$E,3,0),"NÃO ESTÁ NA LISTA")</f>
        <v>CHERY: Tiggo 5X 1.5 16V Turbo E4T15B / E4G16 19/...
CHERY: Tiggo 5x Pro 1.5 16V Turbo Hybrid 22/...
CHERY: Tiggo 7 Pro 1.5 16V Turbo Hybrid 22/...
CHERY: Tiggo 7 Pro 1.6 16V Turbo 22/...
CHERY: Tiggo 7 Pro Max 1.6 16V Turbo 23/...
CHERY: Tiggo 8 1.5 16V Turbo Hybrid 22/...
CHERY: Tiggo 8 1.6 16V Turbo 20/...
CHERY: Tiggo 8 Pro 1.6 16V Turbo 22/...</v>
      </c>
      <c r="P810" s="12" t="str">
        <f aca="false">IFERROR(VLOOKUP($A810,Lista_Starke!$A:$E,2,0),"NÃO ESTÁ NA LISTA")</f>
        <v>CILINDRO MESTRE DE FREIO</v>
      </c>
    </row>
    <row r="811" customFormat="false" ht="15" hidden="false" customHeight="true" outlineLevel="0" collapsed="false">
      <c r="A811" s="10" t="s">
        <v>1782</v>
      </c>
      <c r="B811" s="10" t="str">
        <f aca="false">IFERROR(VLOOKUP(A811,Pedido!$A:$B,2,0),"")</f>
        <v/>
      </c>
      <c r="C811" s="10" t="str">
        <f aca="false">IF(B811="","NÃO COMPRA","COMPRA")</f>
        <v>NÃO COMPRA</v>
      </c>
      <c r="D811" s="1" t="n">
        <f aca="false">IFERROR(VLOOKUP(A811,Pedido!$A:$C,3,0),0)</f>
        <v>0</v>
      </c>
      <c r="E811" s="5" t="n">
        <f aca="false">IFERROR(VLOOKUP(A811,Pedido!$A:$E,5,0),0)</f>
        <v>0</v>
      </c>
      <c r="F811" s="1" t="s">
        <v>9</v>
      </c>
      <c r="G811" s="1" t="s">
        <v>1783</v>
      </c>
      <c r="H811" s="1" t="s">
        <v>1073</v>
      </c>
      <c r="I811" s="1" t="s">
        <v>373</v>
      </c>
      <c r="J811" s="1" t="s">
        <v>1784</v>
      </c>
      <c r="K811" s="1" t="n">
        <v>119</v>
      </c>
      <c r="L811" s="11" t="n">
        <v>0.925016710630012</v>
      </c>
      <c r="M811" s="1" t="n">
        <f aca="false">SUMIF(Relatorio_AK!$A:$A,A811,Relatorio_AK!$B:$B)</f>
        <v>119</v>
      </c>
      <c r="N811" s="1" t="str">
        <f aca="false">IF(M811=K811,"OK","DIF")</f>
        <v>OK</v>
      </c>
      <c r="O811" s="13" t="str">
        <f aca="false">IFERROR(VLOOKUP($A811,Lista_Starke!$A:$E,3,0),"NÃO ESTÁ NA LISTA")</f>
        <v>MERCEDES-BENZ: A200 (W176) 1.6 M270.910 15/18
MERCEDES-BENZ: A220 (W176) 2.0 M270.920 14/18
MERCEDES-BENZ: A250 (W176) 2.0 M270.920 12/18
MERCEDES-BENZ: A45 AMG (W176) 2.0 M133.980 13/18
MERCEDES-BENZ: B180 (W242/W246) 1.6 M270.910 11/18
MERCEDES-BENZ: B200 (W242/W246) 1.6 M270.910 11/18
MERCEDES-BENZ: B220 (W242/W246) 2.0 M270.920 13/18
MERCEDES-BENZ: B250 (W242/W246) 2.0 M270.920 12/18
MERCEDES-BENZ: CLA200 (X117) 1.6 M270.910 15/19
MERCEDES-BENZ: CLA220 (X117) 2.0 M270.920 16/19
MERCEDES-BENZ: CLA250 (X117) 2.0 M270.920 15/19
MERCEDES-BENZ: CLA45 AMG (C117) 2.0 M133.980 15/19
MERCEDES-BENZ: GLA180 (X156) 1.6 M270.910 15/19
MERCEDES-BENZ: GLA200 (X156) 1.6 M270.910 13/19
MERCEDES-BENZ: GLA220 (X156) 2.0 M270.920 13/19
MERCEDES-BENZ: GLA250 (X156) 2.0 M270.920 13/19
MERCEDES-BENZ: GLA45 AMG (X156) 2.0 M133.980 14/19</v>
      </c>
      <c r="P811" s="12" t="str">
        <f aca="false">IFERROR(VLOOKUP($A811,Lista_Starke!$A:$E,2,0),"NÃO ESTÁ NA LISTA")</f>
        <v>VÁLVULA TERMOSTÁTICA</v>
      </c>
    </row>
    <row r="812" customFormat="false" ht="15" hidden="false" customHeight="true" outlineLevel="0" collapsed="false">
      <c r="A812" s="10" t="s">
        <v>1785</v>
      </c>
      <c r="B812" s="10" t="str">
        <f aca="false">IFERROR(VLOOKUP(A812,Pedido!$A:$B,2,0),"")</f>
        <v/>
      </c>
      <c r="C812" s="10" t="str">
        <f aca="false">IF(B812="","NÃO COMPRA","COMPRA")</f>
        <v>NÃO COMPRA</v>
      </c>
      <c r="D812" s="1" t="n">
        <f aca="false">IFERROR(VLOOKUP(A812,Pedido!$A:$C,3,0),0)</f>
        <v>0</v>
      </c>
      <c r="E812" s="5" t="n">
        <f aca="false">IFERROR(VLOOKUP(A812,Pedido!$A:$E,5,0),0)</f>
        <v>0</v>
      </c>
      <c r="F812" s="1" t="s">
        <v>9</v>
      </c>
      <c r="G812" s="1" t="s">
        <v>1751</v>
      </c>
      <c r="H812" s="1" t="s">
        <v>32</v>
      </c>
      <c r="I812" s="1" t="s">
        <v>1457</v>
      </c>
      <c r="J812" s="1" t="s">
        <v>1786</v>
      </c>
      <c r="K812" s="1" t="n">
        <v>118</v>
      </c>
      <c r="L812" s="11" t="n">
        <v>0.925218434859314</v>
      </c>
      <c r="M812" s="1" t="n">
        <f aca="false">SUMIF(Relatorio_AK!$A:$A,A812,Relatorio_AK!$B:$B)</f>
        <v>118</v>
      </c>
      <c r="N812" s="1" t="str">
        <f aca="false">IF(M812=K812,"OK","DIF")</f>
        <v>OK</v>
      </c>
      <c r="O812" s="13" t="str">
        <f aca="false">IFERROR(VLOOKUP($A812,Lista_Starke!$A:$E,3,0),"NÃO ESTÁ NA LISTA")</f>
        <v>ASIA: Hi Topic 2.7 Diesel 93/98
ASIA: Topic 2.7 Diesel 97/99
KIA: Besta 2.2 8V Diesel 93/98
KIA: Besta 2.7 8V Diesel 93/98
KIA: Besta GS 2.7 8V Diesel 98/05
KIA: Besta GS 3.0 8V Diesel 98/05
KIA: Bongo K2400 2.4 8V Diesel 93/97
KIA: Bongo K2700 2.7 8V Diesel 97/12</v>
      </c>
      <c r="P812" s="12" t="str">
        <f aca="false">IFERROR(VLOOKUP($A812,Lista_Starke!$A:$E,2,0),"NÃO ESTÁ NA LISTA")</f>
        <v>CILINDRO MESTRE DE EMBREAGEM</v>
      </c>
    </row>
    <row r="813" customFormat="false" ht="15" hidden="false" customHeight="true" outlineLevel="0" collapsed="false">
      <c r="A813" s="10" t="s">
        <v>1787</v>
      </c>
      <c r="B813" s="10" t="str">
        <f aca="false">IFERROR(VLOOKUP(A813,Pedido!$A:$B,2,0),"")</f>
        <v/>
      </c>
      <c r="C813" s="10" t="str">
        <f aca="false">IF(B813="","NÃO COMPRA","COMPRA")</f>
        <v>NÃO COMPRA</v>
      </c>
      <c r="D813" s="1" t="n">
        <f aca="false">IFERROR(VLOOKUP(A813,Pedido!$A:$C,3,0),0)</f>
        <v>0</v>
      </c>
      <c r="E813" s="5" t="n">
        <f aca="false">IFERROR(VLOOKUP(A813,Pedido!$A:$E,5,0),0)</f>
        <v>0</v>
      </c>
      <c r="F813" s="1" t="s">
        <v>9</v>
      </c>
      <c r="G813" s="1" t="s">
        <v>1536</v>
      </c>
      <c r="H813" s="1" t="s">
        <v>197</v>
      </c>
      <c r="I813" s="1" t="s">
        <v>71</v>
      </c>
      <c r="J813" s="1" t="s">
        <v>1788</v>
      </c>
      <c r="K813" s="1" t="n">
        <v>118</v>
      </c>
      <c r="L813" s="11" t="n">
        <v>0.925420159088617</v>
      </c>
      <c r="M813" s="1" t="n">
        <f aca="false">SUMIF(Relatorio_AK!$A:$A,A813,Relatorio_AK!$B:$B)</f>
        <v>118</v>
      </c>
      <c r="N813" s="1" t="str">
        <f aca="false">IF(M813=K813,"OK","DIF")</f>
        <v>OK</v>
      </c>
      <c r="O813" s="13" t="str">
        <f aca="false">IFERROR(VLOOKUP($A813,Lista_Starke!$A:$E,3,0),"NÃO ESTÁ NA LISTA")</f>
        <v>PEUGEOT: 504 1.9 / 2.1 / 2.3 XD2 80/94
PEUGEOT: 505 1.9 / 2.1 / 2.3 XD2 80/94</v>
      </c>
      <c r="P813" s="12" t="str">
        <f aca="false">IFERROR(VLOOKUP($A813,Lista_Starke!$A:$E,2,0),"NÃO ESTÁ NA LISTA")</f>
        <v>BOMBA D'ÁGUA</v>
      </c>
    </row>
    <row r="814" customFormat="false" ht="15" hidden="false" customHeight="true" outlineLevel="0" collapsed="false">
      <c r="A814" s="10" t="s">
        <v>1789</v>
      </c>
      <c r="B814" s="10" t="str">
        <f aca="false">IFERROR(VLOOKUP(A814,Pedido!$A:$B,2,0),"")</f>
        <v/>
      </c>
      <c r="C814" s="10" t="str">
        <f aca="false">IF(B814="","NÃO COMPRA","COMPRA")</f>
        <v>NÃO COMPRA</v>
      </c>
      <c r="D814" s="1" t="n">
        <f aca="false">IFERROR(VLOOKUP(A814,Pedido!$A:$C,3,0),0)</f>
        <v>0</v>
      </c>
      <c r="E814" s="5" t="n">
        <f aca="false">IFERROR(VLOOKUP(A814,Pedido!$A:$E,5,0),0)</f>
        <v>0</v>
      </c>
      <c r="F814" s="1" t="s">
        <v>9</v>
      </c>
      <c r="G814" s="1" t="s">
        <v>1326</v>
      </c>
      <c r="H814" s="1" t="s">
        <v>197</v>
      </c>
      <c r="I814" s="1" t="s">
        <v>177</v>
      </c>
      <c r="K814" s="1" t="n">
        <v>118</v>
      </c>
      <c r="L814" s="11" t="n">
        <v>0.925621883317919</v>
      </c>
      <c r="M814" s="1" t="n">
        <f aca="false">SUMIF(Relatorio_AK!$A:$A,A814,Relatorio_AK!$B:$B)</f>
        <v>118</v>
      </c>
      <c r="N814" s="1" t="str">
        <f aca="false">IF(M814=K814,"OK","DIF")</f>
        <v>OK</v>
      </c>
      <c r="O814" s="13" t="str">
        <f aca="false">IFERROR(VLOOKUP($A814,Lista_Starke!$A:$E,3,0),"NÃO ESTÁ NA LISTA")</f>
        <v>TOYOTA: Etios 1.3 16V 16/...
TOYOTA: Etios 1.5 16V 16/...
TOYOTA: Yaris 1.3 16V 17/...
TOYOTA: Yaris 1.5 16V 17/...</v>
      </c>
      <c r="P814" s="12" t="str">
        <f aca="false">IFERROR(VLOOKUP($A814,Lista_Starke!$A:$E,2,0),"NÃO ESTÁ NA LISTA")</f>
        <v>BOMBA D'ÁGUA</v>
      </c>
    </row>
    <row r="815" customFormat="false" ht="15" hidden="false" customHeight="true" outlineLevel="0" collapsed="false">
      <c r="A815" s="10" t="s">
        <v>1790</v>
      </c>
      <c r="B815" s="10" t="str">
        <f aca="false">IFERROR(VLOOKUP(A815,Pedido!$A:$B,2,0),"")</f>
        <v/>
      </c>
      <c r="C815" s="10" t="str">
        <f aca="false">IF(B815="","NÃO COMPRA","COMPRA")</f>
        <v>NÃO COMPRA</v>
      </c>
      <c r="D815" s="1" t="n">
        <f aca="false">IFERROR(VLOOKUP(A815,Pedido!$A:$C,3,0),0)</f>
        <v>0</v>
      </c>
      <c r="E815" s="5" t="n">
        <f aca="false">IFERROR(VLOOKUP(A815,Pedido!$A:$E,5,0),0)</f>
        <v>0</v>
      </c>
      <c r="F815" s="1" t="s">
        <v>9</v>
      </c>
      <c r="G815" s="1" t="s">
        <v>139</v>
      </c>
      <c r="H815" s="1" t="s">
        <v>88</v>
      </c>
      <c r="I815" s="1" t="s">
        <v>36</v>
      </c>
      <c r="J815" s="1" t="s">
        <v>1791</v>
      </c>
      <c r="K815" s="1" t="n">
        <v>117</v>
      </c>
      <c r="L815" s="11" t="n">
        <v>0.925821898019854</v>
      </c>
      <c r="M815" s="1" t="n">
        <f aca="false">SUMIF(Relatorio_AK!$A:$A,A815,Relatorio_AK!$B:$B)</f>
        <v>117</v>
      </c>
      <c r="N815" s="1" t="str">
        <f aca="false">IF(M815=K815,"OK","DIF")</f>
        <v>OK</v>
      </c>
      <c r="O815" s="13" t="str">
        <f aca="false">IFERROR(VLOOKUP($A815,Lista_Starke!$A:$E,3,0),"NÃO ESTÁ NA LISTA")</f>
        <v>VOLKSWAGEN: Golf 1.8 8V EA827 95/01
VOLKSWAGEN: Parati 1.0 16V 97/04
VOLKSWAGEN: Parati 1.0 16V Turbo 00/04
VOLKSWAGEN: Parati 1.6 8V AP 96/05
VOLKSWAGEN: Parati 1.8 8V AP 05
VOLKSWAGEN: Parati 2.0 8V AP 96/05
VOLKSWAGEN: Saveiro 1.6 8V AP 00/09
VOLKSWAGEN: Saveiro 1.6 8V EA111 09/14
VOLKSWAGEN: Saveiro 1.8 8V AP 00/09
VOLKSWAGEN: Saveiro 1600 Ar 82/6
VOLKSWAGEN: Saveiro 2.0 8V AP 98/05
VOLKSWAGEN: Spacefox 1.6 8V EA111 c/ abs 08/10</v>
      </c>
      <c r="P815" s="12" t="str">
        <f aca="false">IFERROR(VLOOKUP($A815,Lista_Starke!$A:$E,2,0),"NÃO ESTÁ NA LISTA")</f>
        <v>CILINDRO DE RODA LE/LD</v>
      </c>
    </row>
    <row r="816" customFormat="false" ht="15" hidden="false" customHeight="true" outlineLevel="0" collapsed="false">
      <c r="A816" s="10" t="s">
        <v>1792</v>
      </c>
      <c r="B816" s="10" t="str">
        <f aca="false">IFERROR(VLOOKUP(A816,Pedido!$A:$B,2,0),"")</f>
        <v/>
      </c>
      <c r="C816" s="10" t="str">
        <f aca="false">IF(B816="","NÃO COMPRA","COMPRA")</f>
        <v>NÃO COMPRA</v>
      </c>
      <c r="D816" s="1" t="n">
        <f aca="false">IFERROR(VLOOKUP(A816,Pedido!$A:$C,3,0),0)</f>
        <v>0</v>
      </c>
      <c r="E816" s="5" t="n">
        <f aca="false">IFERROR(VLOOKUP(A816,Pedido!$A:$E,5,0),0)</f>
        <v>0</v>
      </c>
      <c r="F816" s="1" t="s">
        <v>9</v>
      </c>
      <c r="G816" s="1" t="s">
        <v>1626</v>
      </c>
      <c r="H816" s="1" t="s">
        <v>1358</v>
      </c>
      <c r="I816" s="1" t="s">
        <v>46</v>
      </c>
      <c r="J816" s="1" t="s">
        <v>1793</v>
      </c>
      <c r="K816" s="1" t="n">
        <v>116</v>
      </c>
      <c r="L816" s="11" t="n">
        <v>0.926020203194423</v>
      </c>
      <c r="M816" s="1" t="n">
        <f aca="false">SUMIF(Relatorio_AK!$A:$A,A816,Relatorio_AK!$B:$B)</f>
        <v>116</v>
      </c>
      <c r="N816" s="1" t="str">
        <f aca="false">IF(M816=K816,"OK","DIF")</f>
        <v>OK</v>
      </c>
      <c r="O816" s="13" t="str">
        <f aca="false">IFERROR(VLOOKUP($A816,Lista_Starke!$A:$E,3,0),"NÃO ESTÁ NA LISTA")</f>
        <v>FIAT: Doblo  01/06
FIAT: Palio  01/16
FIAT: Palio Weekend  01/16
FIAT: Siena  01/16
FIAT: Strada  01/16</v>
      </c>
      <c r="P816" s="12" t="str">
        <f aca="false">IFERROR(VLOOKUP($A816,Lista_Starke!$A:$E,2,0),"NÃO ESTÁ NA LISTA")</f>
        <v>BANDEJA INFERIOR COMPLETA LE</v>
      </c>
    </row>
    <row r="817" customFormat="false" ht="15" hidden="false" customHeight="true" outlineLevel="0" collapsed="false">
      <c r="A817" s="10" t="s">
        <v>1794</v>
      </c>
      <c r="B817" s="10" t="str">
        <f aca="false">IFERROR(VLOOKUP(A817,Pedido!$A:$B,2,0),"")</f>
        <v/>
      </c>
      <c r="C817" s="10" t="str">
        <f aca="false">IF(B817="","NÃO COMPRA","COMPRA")</f>
        <v>NÃO COMPRA</v>
      </c>
      <c r="D817" s="1" t="n">
        <f aca="false">IFERROR(VLOOKUP(A817,Pedido!$A:$C,3,0),0)</f>
        <v>0</v>
      </c>
      <c r="E817" s="5" t="n">
        <f aca="false">IFERROR(VLOOKUP(A817,Pedido!$A:$E,5,0),0)</f>
        <v>0</v>
      </c>
      <c r="F817" s="1" t="s">
        <v>9</v>
      </c>
      <c r="G817" s="1" t="s">
        <v>1795</v>
      </c>
      <c r="H817" s="1" t="s">
        <v>1358</v>
      </c>
      <c r="I817" s="1" t="s">
        <v>215</v>
      </c>
      <c r="J817" s="1" t="s">
        <v>1796</v>
      </c>
      <c r="K817" s="1" t="n">
        <v>116</v>
      </c>
      <c r="L817" s="11" t="n">
        <v>0.926218508368991</v>
      </c>
      <c r="M817" s="1" t="n">
        <f aca="false">SUMIF(Relatorio_AK!$A:$A,A817,Relatorio_AK!$B:$B)</f>
        <v>116</v>
      </c>
      <c r="N817" s="1" t="str">
        <f aca="false">IF(M817=K817,"OK","DIF")</f>
        <v>OK</v>
      </c>
      <c r="O817" s="13" t="str">
        <f aca="false">IFERROR(VLOOKUP($A817,Lista_Starke!$A:$E,3,0),"NÃO ESTÁ NA LISTA")</f>
        <v>NISSAN: March  11/20
NISSAN: Versa  11/21</v>
      </c>
      <c r="P817" s="12" t="str">
        <f aca="false">IFERROR(VLOOKUP($A817,Lista_Starke!$A:$E,2,0),"NÃO ESTÁ NA LISTA")</f>
        <v>BANDEJA INFERIOR COMPLETA LE</v>
      </c>
    </row>
    <row r="818" customFormat="false" ht="15" hidden="false" customHeight="true" outlineLevel="0" collapsed="false">
      <c r="A818" s="10" t="s">
        <v>1797</v>
      </c>
      <c r="B818" s="10" t="str">
        <f aca="false">IFERROR(VLOOKUP(A818,Pedido!$A:$B,2,0),"")</f>
        <v/>
      </c>
      <c r="C818" s="10" t="str">
        <f aca="false">IF(B818="","NÃO COMPRA","COMPRA")</f>
        <v>NÃO COMPRA</v>
      </c>
      <c r="D818" s="1" t="n">
        <f aca="false">IFERROR(VLOOKUP(A818,Pedido!$A:$C,3,0),0)</f>
        <v>0</v>
      </c>
      <c r="E818" s="5" t="n">
        <f aca="false">IFERROR(VLOOKUP(A818,Pedido!$A:$E,5,0),0)</f>
        <v>0</v>
      </c>
      <c r="F818" s="1" t="s">
        <v>9</v>
      </c>
      <c r="G818" s="1" t="s">
        <v>1768</v>
      </c>
      <c r="H818" s="1" t="s">
        <v>235</v>
      </c>
      <c r="I818" s="1" t="s">
        <v>684</v>
      </c>
      <c r="J818" s="1" t="s">
        <v>1798</v>
      </c>
      <c r="K818" s="1" t="n">
        <v>116</v>
      </c>
      <c r="L818" s="11" t="n">
        <v>0.92641681354356</v>
      </c>
      <c r="M818" s="1" t="n">
        <f aca="false">SUMIF(Relatorio_AK!$A:$A,A818,Relatorio_AK!$B:$B)</f>
        <v>116</v>
      </c>
      <c r="N818" s="1" t="str">
        <f aca="false">IF(M818=K818,"OK","DIF")</f>
        <v>OK</v>
      </c>
      <c r="O818" s="13" t="str">
        <f aca="false">IFERROR(VLOOKUP($A818,Lista_Starke!$A:$E,3,0),"NÃO ESTÁ NA LISTA")</f>
        <v>LAND ROVER: Discovery III 2.7 V6 TD   276DT 04/09
LAND ROVER: Discovery IV 2.7 V6 TD   276DT 09/16
LAND ROVER: Range Rover Sport 2.7 TD 4x4  276DT 05/13</v>
      </c>
      <c r="P818" s="12" t="str">
        <f aca="false">IFERROR(VLOOKUP($A818,Lista_Starke!$A:$E,2,0),"NÃO ESTÁ NA LISTA")</f>
        <v>RESFRIADOR DE ÓLEO MOTOR</v>
      </c>
    </row>
    <row r="819" customFormat="false" ht="15" hidden="false" customHeight="true" outlineLevel="0" collapsed="false">
      <c r="A819" s="10" t="s">
        <v>1799</v>
      </c>
      <c r="B819" s="10" t="str">
        <f aca="false">IFERROR(VLOOKUP(A819,Pedido!$A:$B,2,0),"")</f>
        <v/>
      </c>
      <c r="C819" s="10" t="str">
        <f aca="false">IF(B819="","NÃO COMPRA","COMPRA")</f>
        <v>NÃO COMPRA</v>
      </c>
      <c r="D819" s="1" t="n">
        <f aca="false">IFERROR(VLOOKUP(A819,Pedido!$A:$C,3,0),0)</f>
        <v>0</v>
      </c>
      <c r="E819" s="5" t="n">
        <f aca="false">IFERROR(VLOOKUP(A819,Pedido!$A:$E,5,0),0)</f>
        <v>0</v>
      </c>
      <c r="F819" s="1" t="s">
        <v>9</v>
      </c>
      <c r="G819" s="1" t="s">
        <v>1674</v>
      </c>
      <c r="H819" s="1" t="s">
        <v>1073</v>
      </c>
      <c r="I819" s="1" t="s">
        <v>295</v>
      </c>
      <c r="J819" s="1" t="s">
        <v>1800</v>
      </c>
      <c r="K819" s="1" t="n">
        <v>116</v>
      </c>
      <c r="L819" s="11" t="n">
        <v>0.926615118718128</v>
      </c>
      <c r="M819" s="1" t="n">
        <f aca="false">SUMIF(Relatorio_AK!$A:$A,A819,Relatorio_AK!$B:$B)</f>
        <v>116</v>
      </c>
      <c r="N819" s="1" t="str">
        <f aca="false">IF(M819=K819,"OK","DIF")</f>
        <v>OK</v>
      </c>
      <c r="O819" s="13" t="str">
        <f aca="false">IFERROR(VLOOKUP($A819,Lista_Starke!$A:$E,3,0),"NÃO ESTÁ NA LISTA")</f>
        <v>CHERY: Tiggo 7 Pro 1.6 16V Turbo 22/...
CHERY: Tiggo 7 Pro Max 1.6 16V Turbo 23/...
CHERY: Tiggo 8 1.6 16V Turbo 20/...
CHERY: Tiggo 8 Pro 1.6 16V Turbo 22/...</v>
      </c>
      <c r="P819" s="12" t="str">
        <f aca="false">IFERROR(VLOOKUP($A819,Lista_Starke!$A:$E,2,0),"NÃO ESTÁ NA LISTA")</f>
        <v>VÁLVULA TERMOSTÁTICA</v>
      </c>
    </row>
    <row r="820" customFormat="false" ht="15" hidden="false" customHeight="true" outlineLevel="0" collapsed="false">
      <c r="A820" s="10" t="s">
        <v>1801</v>
      </c>
      <c r="B820" s="10" t="str">
        <f aca="false">IFERROR(VLOOKUP(A820,Pedido!$A:$B,2,0),"")</f>
        <v/>
      </c>
      <c r="C820" s="10" t="str">
        <f aca="false">IF(B820="","NÃO COMPRA","COMPRA")</f>
        <v>NÃO COMPRA</v>
      </c>
      <c r="D820" s="1" t="n">
        <f aca="false">IFERROR(VLOOKUP(A820,Pedido!$A:$C,3,0),0)</f>
        <v>0</v>
      </c>
      <c r="E820" s="5" t="n">
        <f aca="false">IFERROR(VLOOKUP(A820,Pedido!$A:$E,5,0),0)</f>
        <v>0</v>
      </c>
      <c r="F820" s="1" t="s">
        <v>9</v>
      </c>
      <c r="G820" s="1" t="s">
        <v>1419</v>
      </c>
      <c r="H820" s="1" t="s">
        <v>1073</v>
      </c>
      <c r="I820" s="1" t="s">
        <v>77</v>
      </c>
      <c r="J820" s="1" t="s">
        <v>1802</v>
      </c>
      <c r="K820" s="1" t="n">
        <v>116</v>
      </c>
      <c r="L820" s="11" t="n">
        <v>0.926813423892696</v>
      </c>
      <c r="M820" s="1" t="n">
        <f aca="false">SUMIF(Relatorio_AK!$A:$A,A820,Relatorio_AK!$B:$B)</f>
        <v>116</v>
      </c>
      <c r="N820" s="1" t="str">
        <f aca="false">IF(M820=K820,"OK","DIF")</f>
        <v>OK</v>
      </c>
      <c r="O820" s="13" t="str">
        <f aca="false">IFERROR(VLOOKUP($A820,Lista_Starke!$A:$E,3,0),"NÃO ESTÁ NA LISTA")</f>
        <v>CITROEN: Aircross 1.5 8V TU5 12/...
CITROEN: C3 1.5 8V TU5 12/...
PEUGEOT: 208 1.5 8V TU5 12/...</v>
      </c>
      <c r="P820" s="12" t="str">
        <f aca="false">IFERROR(VLOOKUP($A820,Lista_Starke!$A:$E,2,0),"NÃO ESTÁ NA LISTA")</f>
        <v>VÁLVULA TERMOSTÁTICA</v>
      </c>
    </row>
    <row r="821" customFormat="false" ht="15" hidden="false" customHeight="true" outlineLevel="0" collapsed="false">
      <c r="A821" s="10" t="s">
        <v>1803</v>
      </c>
      <c r="B821" s="10" t="str">
        <f aca="false">IFERROR(VLOOKUP(A821,Pedido!$A:$B,2,0),"")</f>
        <v/>
      </c>
      <c r="C821" s="10" t="str">
        <f aca="false">IF(B821="","NÃO COMPRA","COMPRA")</f>
        <v>NÃO COMPRA</v>
      </c>
      <c r="D821" s="1" t="n">
        <f aca="false">IFERROR(VLOOKUP(A821,Pedido!$A:$C,3,0),0)</f>
        <v>0</v>
      </c>
      <c r="E821" s="5" t="n">
        <f aca="false">IFERROR(VLOOKUP(A821,Pedido!$A:$E,5,0),0)</f>
        <v>0</v>
      </c>
      <c r="F821" s="1" t="s">
        <v>9</v>
      </c>
      <c r="G821" s="1" t="s">
        <v>1402</v>
      </c>
      <c r="H821" s="1" t="s">
        <v>1073</v>
      </c>
      <c r="I821" s="1" t="s">
        <v>53</v>
      </c>
      <c r="J821" s="1" t="s">
        <v>1804</v>
      </c>
      <c r="K821" s="1" t="n">
        <v>116</v>
      </c>
      <c r="L821" s="11" t="n">
        <v>0.927011729067265</v>
      </c>
      <c r="M821" s="1" t="n">
        <f aca="false">SUMIF(Relatorio_AK!$A:$A,A821,Relatorio_AK!$B:$B)</f>
        <v>116</v>
      </c>
      <c r="N821" s="1" t="str">
        <f aca="false">IF(M821=K821,"OK","DIF")</f>
        <v>OK</v>
      </c>
      <c r="O821" s="13" t="str">
        <f aca="false">IFERROR(VLOOKUP($A821,Lista_Starke!$A:$E,3,0),"NÃO ESTÁ NA LISTA")</f>
        <v>FORD: Courier 1.6 Zetec Rocam 02/...
FORD: Ecosport 1.0 Zetec Rocam 03/...
FORD: Ecosport 1.6 Zetec Rocam 03/...
FORD: Fiesta 1.0 Zetec Rocam 02/...
FORD: Fiesta 1.6 Zetec Rocam 04/...
FORD: Focus 1.6 Zetec Rocam 03/...</v>
      </c>
      <c r="P821" s="12" t="str">
        <f aca="false">IFERROR(VLOOKUP($A821,Lista_Starke!$A:$E,2,0),"NÃO ESTÁ NA LISTA")</f>
        <v>VÁLVULA TERMOSTÁTICA</v>
      </c>
    </row>
    <row r="822" customFormat="false" ht="15" hidden="false" customHeight="true" outlineLevel="0" collapsed="false">
      <c r="A822" s="10" t="s">
        <v>1805</v>
      </c>
      <c r="B822" s="10" t="str">
        <f aca="false">IFERROR(VLOOKUP(A822,Pedido!$A:$B,2,0),"")</f>
        <v/>
      </c>
      <c r="C822" s="10" t="str">
        <f aca="false">IF(B822="","NÃO COMPRA","COMPRA")</f>
        <v>NÃO COMPRA</v>
      </c>
      <c r="D822" s="1" t="n">
        <f aca="false">IFERROR(VLOOKUP(A822,Pedido!$A:$C,3,0),0)</f>
        <v>0</v>
      </c>
      <c r="E822" s="5" t="n">
        <f aca="false">IFERROR(VLOOKUP(A822,Pedido!$A:$E,5,0),0)</f>
        <v>0</v>
      </c>
      <c r="F822" s="1" t="s">
        <v>9</v>
      </c>
      <c r="G822" s="1" t="s">
        <v>542</v>
      </c>
      <c r="H822" s="1" t="s">
        <v>35</v>
      </c>
      <c r="I822" s="1" t="s">
        <v>281</v>
      </c>
      <c r="J822" s="1" t="s">
        <v>1806</v>
      </c>
      <c r="K822" s="1" t="n">
        <v>116</v>
      </c>
      <c r="L822" s="11" t="n">
        <v>0.927210034241833</v>
      </c>
      <c r="M822" s="1" t="n">
        <f aca="false">SUMIF(Relatorio_AK!$A:$A,A822,Relatorio_AK!$B:$B)</f>
        <v>116</v>
      </c>
      <c r="N822" s="1" t="str">
        <f aca="false">IF(M822=K822,"OK","DIF")</f>
        <v>OK</v>
      </c>
      <c r="O822" s="13" t="str">
        <f aca="false">IFERROR(VLOOKUP($A822,Lista_Starke!$A:$E,3,0),"NÃO ESTÁ NA LISTA")</f>
        <v>CITROEN: C3 Picasso 1.6 16V VTi 09/15
CITROEN: C4 Cactus 1.6 16V 19/...
CITROEN: C4 Cactus 1.6 16V THP 19/...
CITROEN: DS3 1.6 16V THP 10/15</v>
      </c>
      <c r="P822" s="12" t="str">
        <f aca="false">IFERROR(VLOOKUP($A822,Lista_Starke!$A:$E,2,0),"NÃO ESTÁ NA LISTA")</f>
        <v>CILINDRO MESTRE DE FREIO</v>
      </c>
    </row>
    <row r="823" customFormat="false" ht="15" hidden="false" customHeight="true" outlineLevel="0" collapsed="false">
      <c r="A823" s="10" t="s">
        <v>1807</v>
      </c>
      <c r="B823" s="10" t="str">
        <f aca="false">IFERROR(VLOOKUP(A823,Pedido!$A:$B,2,0),"")</f>
        <v/>
      </c>
      <c r="C823" s="10" t="str">
        <f aca="false">IF(B823="","NÃO COMPRA","COMPRA")</f>
        <v>NÃO COMPRA</v>
      </c>
      <c r="D823" s="1" t="n">
        <f aca="false">IFERROR(VLOOKUP(A823,Pedido!$A:$C,3,0),0)</f>
        <v>0</v>
      </c>
      <c r="E823" s="5" t="n">
        <f aca="false">IFERROR(VLOOKUP(A823,Pedido!$A:$E,5,0),0)</f>
        <v>0</v>
      </c>
      <c r="F823" s="1" t="s">
        <v>9</v>
      </c>
      <c r="G823" s="1" t="s">
        <v>27</v>
      </c>
      <c r="H823" s="1" t="s">
        <v>28</v>
      </c>
      <c r="I823" s="1" t="s">
        <v>29</v>
      </c>
      <c r="J823" s="1" t="s">
        <v>1808</v>
      </c>
      <c r="K823" s="1" t="n">
        <v>116</v>
      </c>
      <c r="L823" s="11" t="n">
        <v>0.927408339416402</v>
      </c>
      <c r="M823" s="1" t="n">
        <f aca="false">SUMIF(Relatorio_AK!$A:$A,A823,Relatorio_AK!$B:$B)</f>
        <v>116</v>
      </c>
      <c r="N823" s="1" t="str">
        <f aca="false">IF(M823=K823,"OK","DIF")</f>
        <v>OK</v>
      </c>
      <c r="O823" s="13" t="str">
        <f aca="false">IFERROR(VLOOKUP($A823,Lista_Starke!$A:$E,3,0),"NÃO ESTÁ NA LISTA")</f>
        <v>HYUNDAI: Creta 1.6 16V 17/23
HYUNDAI: HB20 1.0 12V Turbo 17/...
HYUNDAI: HB20 1.6 16V 12/19</v>
      </c>
      <c r="P823" s="12" t="str">
        <f aca="false">IFERROR(VLOOKUP($A823,Lista_Starke!$A:$E,2,0),"NÃO ESTÁ NA LISTA")</f>
        <v>CILINDRO AUXILIAR DE EMBREAGEM</v>
      </c>
    </row>
    <row r="824" customFormat="false" ht="15" hidden="false" customHeight="true" outlineLevel="0" collapsed="false">
      <c r="A824" s="10" t="s">
        <v>1809</v>
      </c>
      <c r="B824" s="10" t="str">
        <f aca="false">IFERROR(VLOOKUP(A824,Pedido!$A:$B,2,0),"")</f>
        <v/>
      </c>
      <c r="C824" s="10" t="str">
        <f aca="false">IF(B824="","NÃO COMPRA","COMPRA")</f>
        <v>NÃO COMPRA</v>
      </c>
      <c r="D824" s="1" t="n">
        <f aca="false">IFERROR(VLOOKUP(A824,Pedido!$A:$C,3,0),0)</f>
        <v>0</v>
      </c>
      <c r="E824" s="5" t="n">
        <f aca="false">IFERROR(VLOOKUP(A824,Pedido!$A:$E,5,0),0)</f>
        <v>0</v>
      </c>
      <c r="F824" s="1" t="s">
        <v>9</v>
      </c>
      <c r="G824" s="1" t="s">
        <v>1810</v>
      </c>
      <c r="H824" s="1" t="s">
        <v>1358</v>
      </c>
      <c r="I824" s="1" t="s">
        <v>215</v>
      </c>
      <c r="J824" s="1" t="s">
        <v>1811</v>
      </c>
      <c r="K824" s="1" t="n">
        <v>115</v>
      </c>
      <c r="L824" s="11" t="n">
        <v>0.927604935063603</v>
      </c>
      <c r="M824" s="1" t="n">
        <f aca="false">SUMIF(Relatorio_AK!$A:$A,A824,Relatorio_AK!$B:$B)</f>
        <v>115</v>
      </c>
      <c r="N824" s="1" t="str">
        <f aca="false">IF(M824=K824,"OK","DIF")</f>
        <v>OK</v>
      </c>
      <c r="O824" s="13" t="str">
        <f aca="false">IFERROR(VLOOKUP($A824,Lista_Starke!$A:$E,3,0),"NÃO ESTÁ NA LISTA")</f>
        <v>NISSAN: March  11/20
NISSAN: Versa  11/21</v>
      </c>
      <c r="P824" s="12" t="str">
        <f aca="false">IFERROR(VLOOKUP($A824,Lista_Starke!$A:$E,2,0),"NÃO ESTÁ NA LISTA")</f>
        <v>BANDEJA INFERIOR COMPLETA LD</v>
      </c>
    </row>
    <row r="825" customFormat="false" ht="15" hidden="false" customHeight="true" outlineLevel="0" collapsed="false">
      <c r="A825" s="10" t="s">
        <v>1812</v>
      </c>
      <c r="B825" s="10" t="str">
        <f aca="false">IFERROR(VLOOKUP(A825,Pedido!$A:$B,2,0),"")</f>
        <v/>
      </c>
      <c r="C825" s="10" t="str">
        <f aca="false">IF(B825="","NÃO COMPRA","COMPRA")</f>
        <v>NÃO COMPRA</v>
      </c>
      <c r="D825" s="1" t="n">
        <f aca="false">IFERROR(VLOOKUP(A825,Pedido!$A:$C,3,0),0)</f>
        <v>0</v>
      </c>
      <c r="E825" s="5" t="n">
        <f aca="false">IFERROR(VLOOKUP(A825,Pedido!$A:$E,5,0),0)</f>
        <v>0</v>
      </c>
      <c r="F825" s="1" t="s">
        <v>9</v>
      </c>
      <c r="G825" s="1" t="s">
        <v>1813</v>
      </c>
      <c r="H825" s="1" t="s">
        <v>1073</v>
      </c>
      <c r="I825" s="1" t="s">
        <v>36</v>
      </c>
      <c r="J825" s="1" t="s">
        <v>1814</v>
      </c>
      <c r="K825" s="1" t="n">
        <v>115</v>
      </c>
      <c r="L825" s="11" t="n">
        <v>0.927801530710805</v>
      </c>
      <c r="M825" s="1" t="n">
        <f aca="false">SUMIF(Relatorio_AK!$A:$A,A825,Relatorio_AK!$B:$B)</f>
        <v>115</v>
      </c>
      <c r="N825" s="1" t="str">
        <f aca="false">IF(M825=K825,"OK","DIF")</f>
        <v>OK</v>
      </c>
      <c r="O825" s="12" t="str">
        <f aca="false">IFERROR(VLOOKUP($A825,Lista_Starke!$A:$E,3,0),"NÃO ESTÁ NA LISTA")</f>
        <v>VOLKSWAGEN: Amarok 3.0 V6 TDI DDXB/DDXE 17/...</v>
      </c>
      <c r="P825" s="12" t="str">
        <f aca="false">IFERROR(VLOOKUP($A825,Lista_Starke!$A:$E,2,0),"NÃO ESTÁ NA LISTA")</f>
        <v>VÁLVULA TERMOSTÁTICA</v>
      </c>
    </row>
    <row r="826" customFormat="false" ht="15" hidden="false" customHeight="true" outlineLevel="0" collapsed="false">
      <c r="A826" s="10" t="s">
        <v>1815</v>
      </c>
      <c r="B826" s="10" t="str">
        <f aca="false">IFERROR(VLOOKUP(A826,Pedido!$A:$B,2,0),"")</f>
        <v/>
      </c>
      <c r="C826" s="10" t="str">
        <f aca="false">IF(B826="","NÃO COMPRA","COMPRA")</f>
        <v>NÃO COMPRA</v>
      </c>
      <c r="D826" s="1" t="n">
        <f aca="false">IFERROR(VLOOKUP(A826,Pedido!$A:$C,3,0),0)</f>
        <v>0</v>
      </c>
      <c r="E826" s="5" t="n">
        <f aca="false">IFERROR(VLOOKUP(A826,Pedido!$A:$E,5,0),0)</f>
        <v>0</v>
      </c>
      <c r="F826" s="1" t="s">
        <v>9</v>
      </c>
      <c r="G826" s="1" t="s">
        <v>1816</v>
      </c>
      <c r="H826" s="1" t="s">
        <v>845</v>
      </c>
      <c r="I826" s="1" t="s">
        <v>403</v>
      </c>
      <c r="J826" s="1" t="s">
        <v>1817</v>
      </c>
      <c r="K826" s="1" t="n">
        <v>114</v>
      </c>
      <c r="L826" s="11" t="n">
        <v>0.927996416830639</v>
      </c>
      <c r="M826" s="1" t="n">
        <f aca="false">SUMIF(Relatorio_AK!$A:$A,A826,Relatorio_AK!$B:$B)</f>
        <v>114</v>
      </c>
      <c r="N826" s="1" t="str">
        <f aca="false">IF(M826=K826,"OK","DIF")</f>
        <v>OK</v>
      </c>
      <c r="O826" s="13" t="str">
        <f aca="false">IFERROR(VLOOKUP($A826,Lista_Starke!$A:$E,3,0),"NÃO ESTÁ NA LISTA")</f>
        <v>IVECO: Daily 35 S 14 3.0 Turbo Diesel   F1C 08/…
IVECO: Daily 45 S 14 3.0 Turbo Diesel   F1C 08/…
IVECO: Daily 55 C 16 3.0 Turbo Diesel   F1C 08/…</v>
      </c>
      <c r="P826" s="12" t="str">
        <f aca="false">IFERROR(VLOOKUP($A826,Lista_Starke!$A:$E,2,0),"NÃO ESTÁ NA LISTA")</f>
        <v>SAPATA DE FREIO DE MÃO</v>
      </c>
    </row>
    <row r="827" customFormat="false" ht="15" hidden="false" customHeight="true" outlineLevel="0" collapsed="false">
      <c r="A827" s="10" t="s">
        <v>1818</v>
      </c>
      <c r="B827" s="10" t="str">
        <f aca="false">IFERROR(VLOOKUP(A827,Pedido!$A:$B,2,0),"")</f>
        <v/>
      </c>
      <c r="C827" s="10" t="str">
        <f aca="false">IF(B827="","NÃO COMPRA","COMPRA")</f>
        <v>NÃO COMPRA</v>
      </c>
      <c r="D827" s="1" t="n">
        <f aca="false">IFERROR(VLOOKUP(A827,Pedido!$A:$C,3,0),0)</f>
        <v>0</v>
      </c>
      <c r="E827" s="5" t="n">
        <f aca="false">IFERROR(VLOOKUP(A827,Pedido!$A:$E,5,0),0)</f>
        <v>0</v>
      </c>
      <c r="F827" s="1" t="s">
        <v>9</v>
      </c>
      <c r="G827" s="1" t="s">
        <v>416</v>
      </c>
      <c r="H827" s="1" t="s">
        <v>32</v>
      </c>
      <c r="I827" s="1" t="s">
        <v>929</v>
      </c>
      <c r="J827" s="1" t="s">
        <v>1819</v>
      </c>
      <c r="K827" s="1" t="n">
        <v>114</v>
      </c>
      <c r="L827" s="11" t="n">
        <v>0.928191302950473</v>
      </c>
      <c r="M827" s="1" t="n">
        <f aca="false">SUMIF(Relatorio_AK!$A:$A,A827,Relatorio_AK!$B:$B)</f>
        <v>114</v>
      </c>
      <c r="N827" s="1" t="str">
        <f aca="false">IF(M827=K827,"OK","DIF")</f>
        <v>OK</v>
      </c>
      <c r="O827" s="12" t="str">
        <f aca="false">IFERROR(VLOOKUP($A827,Lista_Starke!$A:$E,3,0),"NÃO ESTÁ NA LISTA")</f>
        <v>SUZUKI: Grand Vitara 2.0 16V 06/15</v>
      </c>
      <c r="P827" s="12" t="str">
        <f aca="false">IFERROR(VLOOKUP($A827,Lista_Starke!$A:$E,2,0),"NÃO ESTÁ NA LISTA")</f>
        <v>CILINDRO MESTRE DE EMBREAGEM</v>
      </c>
    </row>
    <row r="828" customFormat="false" ht="15" hidden="false" customHeight="true" outlineLevel="0" collapsed="false">
      <c r="A828" s="10" t="s">
        <v>1820</v>
      </c>
      <c r="B828" s="10" t="str">
        <f aca="false">IFERROR(VLOOKUP(A828,Pedido!$A:$B,2,0),"")</f>
        <v/>
      </c>
      <c r="C828" s="10" t="str">
        <f aca="false">IF(B828="","NÃO COMPRA","COMPRA")</f>
        <v>NÃO COMPRA</v>
      </c>
      <c r="D828" s="1" t="n">
        <f aca="false">IFERROR(VLOOKUP(A828,Pedido!$A:$C,3,0),0)</f>
        <v>0</v>
      </c>
      <c r="E828" s="5" t="n">
        <f aca="false">IFERROR(VLOOKUP(A828,Pedido!$A:$E,5,0),0)</f>
        <v>0</v>
      </c>
      <c r="F828" s="1" t="s">
        <v>9</v>
      </c>
      <c r="G828" s="1" t="s">
        <v>841</v>
      </c>
      <c r="H828" s="1" t="s">
        <v>197</v>
      </c>
      <c r="I828" s="1" t="s">
        <v>50</v>
      </c>
      <c r="K828" s="1" t="n">
        <v>114</v>
      </c>
      <c r="L828" s="11" t="n">
        <v>0.928386189070308</v>
      </c>
      <c r="M828" s="1" t="n">
        <f aca="false">SUMIF(Relatorio_AK!$A:$A,A828,Relatorio_AK!$B:$B)</f>
        <v>114</v>
      </c>
      <c r="N828" s="1" t="str">
        <f aca="false">IF(M828=K828,"OK","DIF")</f>
        <v>OK</v>
      </c>
      <c r="O828" s="13" t="str">
        <f aca="false">IFERROR(VLOOKUP($A828,Lista_Starke!$A:$E,3,0),"NÃO ESTÁ NA LISTA")</f>
        <v>HONDA: City 1.5 16V 10/…
HONDA: Fit 1.4 16V / 1.5 16V 08/…</v>
      </c>
      <c r="P828" s="12" t="str">
        <f aca="false">IFERROR(VLOOKUP($A828,Lista_Starke!$A:$E,2,0),"NÃO ESTÁ NA LISTA")</f>
        <v>BOMBA D'ÁGUA</v>
      </c>
    </row>
    <row r="829" customFormat="false" ht="15" hidden="false" customHeight="true" outlineLevel="0" collapsed="false">
      <c r="A829" s="10" t="s">
        <v>1821</v>
      </c>
      <c r="B829" s="10" t="str">
        <f aca="false">IFERROR(VLOOKUP(A829,Pedido!$A:$B,2,0),"")</f>
        <v/>
      </c>
      <c r="C829" s="10" t="str">
        <f aca="false">IF(B829="","NÃO COMPRA","COMPRA")</f>
        <v>NÃO COMPRA</v>
      </c>
      <c r="D829" s="1" t="n">
        <f aca="false">IFERROR(VLOOKUP(A829,Pedido!$A:$C,3,0),0)</f>
        <v>0</v>
      </c>
      <c r="E829" s="5" t="n">
        <f aca="false">IFERROR(VLOOKUP(A829,Pedido!$A:$E,5,0),0)</f>
        <v>0</v>
      </c>
      <c r="F829" s="1" t="s">
        <v>9</v>
      </c>
      <c r="G829" s="1" t="s">
        <v>1822</v>
      </c>
      <c r="H829" s="1" t="s">
        <v>600</v>
      </c>
      <c r="I829" s="1" t="s">
        <v>1823</v>
      </c>
      <c r="J829" s="1" t="s">
        <v>1824</v>
      </c>
      <c r="K829" s="1" t="n">
        <v>114</v>
      </c>
      <c r="L829" s="11" t="n">
        <v>0.928581075190142</v>
      </c>
      <c r="M829" s="1" t="n">
        <f aca="false">SUMIF(Relatorio_AK!$A:$A,A829,Relatorio_AK!$B:$B)</f>
        <v>114</v>
      </c>
      <c r="N829" s="1" t="str">
        <f aca="false">IF(M829=K829,"OK","DIF")</f>
        <v>OK</v>
      </c>
      <c r="O829" s="13" t="str">
        <f aca="false">IFERROR(VLOOKUP($A829,Lista_Starke!$A:$E,3,0),"NÃO ESTÁ NA LISTA")</f>
        <v>JEEP: Grand Cherokee 2.7 20V OM612 02/04
MERCEDES-BENZ: Accelo 715C 2.7 20V OM612 02/11
MERCEDES-BENZ: Sprinter 311 / 313 / 411 / 413 2.2 16V OM611 02/12</v>
      </c>
      <c r="P829" s="12" t="str">
        <f aca="false">IFERROR(VLOOKUP($A829,Lista_Starke!$A:$E,2,0),"NÃO ESTÁ NA LISTA")</f>
        <v>BOMBA DE VÁCUO FREIO</v>
      </c>
    </row>
    <row r="830" customFormat="false" ht="15" hidden="false" customHeight="true" outlineLevel="0" collapsed="false">
      <c r="A830" s="10" t="s">
        <v>1825</v>
      </c>
      <c r="B830" s="10" t="str">
        <f aca="false">IFERROR(VLOOKUP(A830,Pedido!$A:$B,2,0),"")</f>
        <v/>
      </c>
      <c r="C830" s="10" t="str">
        <f aca="false">IF(B830="","NÃO COMPRA","COMPRA")</f>
        <v>NÃO COMPRA</v>
      </c>
      <c r="D830" s="1" t="n">
        <f aca="false">IFERROR(VLOOKUP(A830,Pedido!$A:$C,3,0),0)</f>
        <v>0</v>
      </c>
      <c r="E830" s="5" t="n">
        <f aca="false">IFERROR(VLOOKUP(A830,Pedido!$A:$E,5,0),0)</f>
        <v>0</v>
      </c>
      <c r="F830" s="1" t="s">
        <v>9</v>
      </c>
      <c r="G830" s="1" t="s">
        <v>1768</v>
      </c>
      <c r="H830" s="1" t="s">
        <v>235</v>
      </c>
      <c r="I830" s="1" t="s">
        <v>657</v>
      </c>
      <c r="J830" s="1" t="s">
        <v>1826</v>
      </c>
      <c r="K830" s="1" t="n">
        <v>114</v>
      </c>
      <c r="L830" s="11" t="n">
        <v>0.928775961309977</v>
      </c>
      <c r="M830" s="1" t="n">
        <f aca="false">SUMIF(Relatorio_AK!$A:$A,A830,Relatorio_AK!$B:$B)</f>
        <v>114</v>
      </c>
      <c r="N830" s="1" t="str">
        <f aca="false">IF(M830=K830,"OK","DIF")</f>
        <v>OK</v>
      </c>
      <c r="O830" s="13" t="str">
        <f aca="false">IFERROR(VLOOKUP($A830,Lista_Starke!$A:$E,3,0),"NÃO ESTÁ NA LISTA")</f>
        <v>FORD: Fusion 2.0 16V Turbo Ecoboost 13/...
JAGUAR: XE 2.0 16V TURBO 16/17
JAGUAR: XF 2.0 16V TURBO 13/17
LAND ROVER: Discovery Sport 2.0 16V Turbo 15/19
LAND ROVER: Evoque 2.0 Si4       204PT 11/…
LAND ROVER: Freelander 2 2.0 16V Turbo 13/15
VOLVO: XC60 T5 2.0 20V Turbo 5 cil 10/15</v>
      </c>
      <c r="P830" s="12" t="str">
        <f aca="false">IFERROR(VLOOKUP($A830,Lista_Starke!$A:$E,2,0),"NÃO ESTÁ NA LISTA")</f>
        <v>RESFRIADOR DE ÓLEO MOTOR</v>
      </c>
    </row>
    <row r="831" customFormat="false" ht="15" hidden="false" customHeight="true" outlineLevel="0" collapsed="false">
      <c r="A831" s="10" t="s">
        <v>1827</v>
      </c>
      <c r="B831" s="10" t="str">
        <f aca="false">IFERROR(VLOOKUP(A831,Pedido!$A:$B,2,0),"")</f>
        <v/>
      </c>
      <c r="C831" s="10" t="str">
        <f aca="false">IF(B831="","NÃO COMPRA","COMPRA")</f>
        <v>NÃO COMPRA</v>
      </c>
      <c r="D831" s="1" t="n">
        <f aca="false">IFERROR(VLOOKUP(A831,Pedido!$A:$C,3,0),0)</f>
        <v>0</v>
      </c>
      <c r="E831" s="5" t="n">
        <f aca="false">IFERROR(VLOOKUP(A831,Pedido!$A:$E,5,0),0)</f>
        <v>0</v>
      </c>
      <c r="F831" s="1" t="s">
        <v>9</v>
      </c>
      <c r="G831" s="1" t="s">
        <v>130</v>
      </c>
      <c r="H831" s="1" t="s">
        <v>131</v>
      </c>
      <c r="I831" s="1" t="s">
        <v>46</v>
      </c>
      <c r="J831" s="1" t="s">
        <v>1828</v>
      </c>
      <c r="K831" s="1" t="n">
        <v>114</v>
      </c>
      <c r="L831" s="11" t="n">
        <v>0.928970847429811</v>
      </c>
      <c r="M831" s="1" t="n">
        <f aca="false">SUMIF(Relatorio_AK!$A:$A,A831,Relatorio_AK!$B:$B)</f>
        <v>114</v>
      </c>
      <c r="N831" s="1" t="str">
        <f aca="false">IF(M831=K831,"OK","DIF")</f>
        <v>OK</v>
      </c>
      <c r="O831" s="13" t="str">
        <f aca="false">IFERROR(VLOOKUP($A831,Lista_Starke!$A:$E,3,0),"NÃO ESTÁ NA LISTA")</f>
        <v>FIAT: Doblo 1.3 16V 01/06
FIAT: Doblo 1.4 8V 09/16
FIAT: Doblo 1.4 8V 14/16
FIAT: Doblo 1.6 16V 01/06
FIAT: Doblo 1.8 16V 10/12
FIAT: Doblo 1.8 16V 11/15
FIAT: Doblo 1.8 16V 16/19
FIAT: Doblo 1.8 16V 16/21
FIAT: Doblo 1.8 16V Powertrain 06/10
FIAT: Doblo 1.8 8V 03/06
FIAT: Doblo 1.8 8V 09/10
FIAT: Doblo 1.8 8V Adventure 03/06
FIAT: Strada 1.4 8V 14/15
FIAT: Strada 1.4 8V Fire 11/19
FIAT: Strada 1.4 8V Fire 18/20
FIAT: Strada 1.8 16V Adventure Locker 10/13
FIAT: Strada 1.8 16V Adventure Locker 13/15
FIAT: Strada 1.8 8V Adventure Locker 08/12</v>
      </c>
      <c r="P831" s="12" t="str">
        <f aca="false">IFERROR(VLOOKUP($A831,Lista_Starke!$A:$E,2,0),"NÃO ESTÁ NA LISTA")</f>
        <v>SAPATA DE FREIO</v>
      </c>
    </row>
    <row r="832" customFormat="false" ht="15" hidden="false" customHeight="true" outlineLevel="0" collapsed="false">
      <c r="A832" s="10" t="s">
        <v>1829</v>
      </c>
      <c r="B832" s="10" t="str">
        <f aca="false">IFERROR(VLOOKUP(A832,Pedido!$A:$B,2,0),"")</f>
        <v/>
      </c>
      <c r="C832" s="10" t="str">
        <f aca="false">IF(B832="","NÃO COMPRA","COMPRA")</f>
        <v>NÃO COMPRA</v>
      </c>
      <c r="D832" s="1" t="n">
        <f aca="false">IFERROR(VLOOKUP(A832,Pedido!$A:$C,3,0),0)</f>
        <v>0</v>
      </c>
      <c r="E832" s="5" t="n">
        <f aca="false">IFERROR(VLOOKUP(A832,Pedido!$A:$E,5,0),0)</f>
        <v>0</v>
      </c>
      <c r="F832" s="1" t="s">
        <v>9</v>
      </c>
      <c r="G832" s="1" t="s">
        <v>1674</v>
      </c>
      <c r="H832" s="1" t="s">
        <v>1073</v>
      </c>
      <c r="I832" s="1" t="s">
        <v>295</v>
      </c>
      <c r="J832" s="1" t="s">
        <v>1830</v>
      </c>
      <c r="K832" s="1" t="n">
        <v>114</v>
      </c>
      <c r="L832" s="11" t="n">
        <v>0.929165733549646</v>
      </c>
      <c r="M832" s="1" t="n">
        <f aca="false">SUMIF(Relatorio_AK!$A:$A,A832,Relatorio_AK!$B:$B)</f>
        <v>114</v>
      </c>
      <c r="N832" s="1" t="str">
        <f aca="false">IF(M832=K832,"OK","DIF")</f>
        <v>OK</v>
      </c>
      <c r="O832" s="12" t="str">
        <f aca="false">IFERROR(VLOOKUP($A832,Lista_Starke!$A:$E,3,0),"NÃO ESTÁ NA LISTA")</f>
        <v>CHERY: Tiggo 2 1.5 16V Flex 4G15B 16/...</v>
      </c>
      <c r="P832" s="12" t="str">
        <f aca="false">IFERROR(VLOOKUP($A832,Lista_Starke!$A:$E,2,0),"NÃO ESTÁ NA LISTA")</f>
        <v>VÁLVULA TERMOSTÁTICA</v>
      </c>
    </row>
    <row r="833" customFormat="false" ht="15" hidden="false" customHeight="true" outlineLevel="0" collapsed="false">
      <c r="A833" s="10" t="s">
        <v>1831</v>
      </c>
      <c r="B833" s="10" t="str">
        <f aca="false">IFERROR(VLOOKUP(A833,Pedido!$A:$B,2,0),"")</f>
        <v/>
      </c>
      <c r="C833" s="10" t="str">
        <f aca="false">IF(B833="","NÃO COMPRA","COMPRA")</f>
        <v>NÃO COMPRA</v>
      </c>
      <c r="D833" s="1" t="n">
        <f aca="false">IFERROR(VLOOKUP(A833,Pedido!$A:$C,3,0),0)</f>
        <v>0</v>
      </c>
      <c r="E833" s="5" t="n">
        <f aca="false">IFERROR(VLOOKUP(A833,Pedido!$A:$E,5,0),0)</f>
        <v>0</v>
      </c>
      <c r="F833" s="1" t="s">
        <v>9</v>
      </c>
      <c r="G833" s="1" t="s">
        <v>1419</v>
      </c>
      <c r="H833" s="1" t="s">
        <v>1073</v>
      </c>
      <c r="I833" s="1" t="s">
        <v>77</v>
      </c>
      <c r="J833" s="1" t="s">
        <v>1832</v>
      </c>
      <c r="K833" s="1" t="n">
        <v>114</v>
      </c>
      <c r="L833" s="11" t="n">
        <v>0.92936061966948</v>
      </c>
      <c r="M833" s="1" t="n">
        <f aca="false">SUMIF(Relatorio_AK!$A:$A,A833,Relatorio_AK!$B:$B)</f>
        <v>114</v>
      </c>
      <c r="N833" s="1" t="str">
        <f aca="false">IF(M833=K833,"OK","DIF")</f>
        <v>OK</v>
      </c>
      <c r="O833" s="13" t="str">
        <f aca="false">IFERROR(VLOOKUP($A833,Lista_Starke!$A:$E,3,0),"NÃO ESTÁ NA LISTA")</f>
        <v>CITROEN: Aircross 1.6 16V TU5JP4 11/…
CITROEN: Berlingo 1.6 16V TU5JP4 96/…
CITROEN: C3 1.6 16V TU5JP4 02/…
CITROEN: C4 1.6 16V TU5JP4 07/…
CITROEN: Xsara 1.6 16V TU5JP4 00/…
CITROEN: Xsara Picasso 1.6 16V TU5JP4 01/…
PEUGEOT: 206 / 206 SW 1.6 16V TU5JP4 01/08
PEUGEOT: 207 1.6 16V TU5JP4 09/…
PEUGEOT: 307 / SW 1.6 16V TU5JP4 01/…
PEUGEOT: Partner 1.6 16V TU5JP4 01/…</v>
      </c>
      <c r="P833" s="12" t="str">
        <f aca="false">IFERROR(VLOOKUP($A833,Lista_Starke!$A:$E,2,0),"NÃO ESTÁ NA LISTA")</f>
        <v>VÁLVULA TERMOSTÁTICA</v>
      </c>
    </row>
    <row r="834" customFormat="false" ht="15" hidden="false" customHeight="true" outlineLevel="0" collapsed="false">
      <c r="A834" s="10" t="s">
        <v>1833</v>
      </c>
      <c r="B834" s="10" t="str">
        <f aca="false">IFERROR(VLOOKUP(A834,Pedido!$A:$B,2,0),"")</f>
        <v/>
      </c>
      <c r="C834" s="10" t="str">
        <f aca="false">IF(B834="","NÃO COMPRA","COMPRA")</f>
        <v>NÃO COMPRA</v>
      </c>
      <c r="D834" s="1" t="n">
        <f aca="false">IFERROR(VLOOKUP(A834,Pedido!$A:$C,3,0),0)</f>
        <v>0</v>
      </c>
      <c r="E834" s="5" t="n">
        <f aca="false">IFERROR(VLOOKUP(A834,Pedido!$A:$E,5,0),0)</f>
        <v>0</v>
      </c>
      <c r="F834" s="1" t="s">
        <v>9</v>
      </c>
      <c r="G834" s="1" t="s">
        <v>720</v>
      </c>
      <c r="H834" s="1" t="s">
        <v>197</v>
      </c>
      <c r="I834" s="1" t="s">
        <v>255</v>
      </c>
      <c r="K834" s="1" t="n">
        <v>113</v>
      </c>
      <c r="L834" s="11" t="n">
        <v>0.929553796261947</v>
      </c>
      <c r="M834" s="1" t="n">
        <f aca="false">SUMIF(Relatorio_AK!$A:$A,A834,Relatorio_AK!$B:$B)</f>
        <v>113</v>
      </c>
      <c r="N834" s="1" t="str">
        <f aca="false">IF(M834=K834,"OK","DIF")</f>
        <v>OK</v>
      </c>
      <c r="O834" s="12" t="str">
        <f aca="false">IFERROR(VLOOKUP($A834,Lista_Starke!$A:$E,3,0),"NÃO ESTÁ NA LISTA")</f>
        <v>MITSUBISHI: Outlander 2.2 16V Diesel 4N14 13/...</v>
      </c>
      <c r="P834" s="12" t="str">
        <f aca="false">IFERROR(VLOOKUP($A834,Lista_Starke!$A:$E,2,0),"NÃO ESTÁ NA LISTA")</f>
        <v>BOMBA D'ÁGUA</v>
      </c>
    </row>
    <row r="835" customFormat="false" ht="15" hidden="false" customHeight="true" outlineLevel="0" collapsed="false">
      <c r="A835" s="10" t="s">
        <v>1834</v>
      </c>
      <c r="B835" s="10" t="str">
        <f aca="false">IFERROR(VLOOKUP(A835,Pedido!$A:$B,2,0),"")</f>
        <v/>
      </c>
      <c r="C835" s="10" t="str">
        <f aca="false">IF(B835="","NÃO COMPRA","COMPRA")</f>
        <v>NÃO COMPRA</v>
      </c>
      <c r="D835" s="1" t="n">
        <f aca="false">IFERROR(VLOOKUP(A835,Pedido!$A:$C,3,0),0)</f>
        <v>0</v>
      </c>
      <c r="E835" s="5" t="n">
        <f aca="false">IFERROR(VLOOKUP(A835,Pedido!$A:$E,5,0),0)</f>
        <v>0</v>
      </c>
      <c r="F835" s="1" t="s">
        <v>9</v>
      </c>
      <c r="G835" s="1" t="s">
        <v>1835</v>
      </c>
      <c r="H835" s="1" t="s">
        <v>790</v>
      </c>
      <c r="I835" s="1" t="s">
        <v>177</v>
      </c>
      <c r="K835" s="1" t="n">
        <v>113</v>
      </c>
      <c r="L835" s="11" t="n">
        <v>0.929746972854415</v>
      </c>
      <c r="M835" s="1" t="n">
        <f aca="false">SUMIF(Relatorio_AK!$A:$A,A835,Relatorio_AK!$B:$B)</f>
        <v>113</v>
      </c>
      <c r="N835" s="1" t="str">
        <f aca="false">IF(M835=K835,"OK","DIF")</f>
        <v>OK</v>
      </c>
      <c r="O835" s="13" t="str">
        <f aca="false">IFERROR(VLOOKUP($A835,Lista_Starke!$A:$E,3,0),"NÃO ESTÁ NA LISTA")</f>
        <v>HONDA: CRV 2.0 16V E-CVT Híbrido 23/...
TOYOTA: Prius 1.8 16V Hybrid 09/...</v>
      </c>
      <c r="P835" s="12" t="str">
        <f aca="false">IFERROR(VLOOKUP($A835,Lista_Starke!$A:$E,2,0),"NÃO ESTÁ NA LISTA")</f>
        <v>BOMBA D'ÁGUA ELÉTRICA</v>
      </c>
    </row>
    <row r="836" customFormat="false" ht="15" hidden="false" customHeight="true" outlineLevel="0" collapsed="false">
      <c r="A836" s="10" t="s">
        <v>1836</v>
      </c>
      <c r="B836" s="10" t="str">
        <f aca="false">IFERROR(VLOOKUP(A836,Pedido!$A:$B,2,0),"")</f>
        <v/>
      </c>
      <c r="C836" s="10" t="str">
        <f aca="false">IF(B836="","NÃO COMPRA","COMPRA")</f>
        <v>NÃO COMPRA</v>
      </c>
      <c r="D836" s="1" t="n">
        <f aca="false">IFERROR(VLOOKUP(A836,Pedido!$A:$C,3,0),0)</f>
        <v>0</v>
      </c>
      <c r="E836" s="5" t="n">
        <f aca="false">IFERROR(VLOOKUP(A836,Pedido!$A:$E,5,0),0)</f>
        <v>0</v>
      </c>
      <c r="F836" s="1" t="s">
        <v>9</v>
      </c>
      <c r="G836" s="1" t="s">
        <v>1081</v>
      </c>
      <c r="H836" s="1" t="s">
        <v>235</v>
      </c>
      <c r="I836" s="1" t="s">
        <v>373</v>
      </c>
      <c r="J836" s="1" t="s">
        <v>1837</v>
      </c>
      <c r="K836" s="1" t="n">
        <v>113</v>
      </c>
      <c r="L836" s="11" t="n">
        <v>0.929940149446882</v>
      </c>
      <c r="M836" s="1" t="n">
        <f aca="false">SUMIF(Relatorio_AK!$A:$A,A836,Relatorio_AK!$B:$B)</f>
        <v>113</v>
      </c>
      <c r="N836" s="1" t="str">
        <f aca="false">IF(M836=K836,"OK","DIF")</f>
        <v>OK</v>
      </c>
      <c r="O836" s="13" t="str">
        <f aca="false">IFERROR(VLOOKUP($A836,Lista_Starke!$A:$E,3,0),"NÃO ESTÁ NA LISTA")</f>
        <v>MERCEDES-BENZ: Sprinter 315 CDI 2.0 16V OM654 20/...
MERCEDES-BENZ: Sprinter 417 CDI 2.0 16V OM654 23/...
MERCEDES-BENZ: Sprinter 517 CDI 2.0 16V OM654 23/...</v>
      </c>
      <c r="P836" s="12" t="str">
        <f aca="false">IFERROR(VLOOKUP($A836,Lista_Starke!$A:$E,2,0),"NÃO ESTÁ NA LISTA")</f>
        <v>RESFRIADOR DE ÓLEO MOTOR</v>
      </c>
    </row>
    <row r="837" customFormat="false" ht="15" hidden="false" customHeight="true" outlineLevel="0" collapsed="false">
      <c r="A837" s="10" t="s">
        <v>1838</v>
      </c>
      <c r="B837" s="10" t="str">
        <f aca="false">IFERROR(VLOOKUP(A837,Pedido!$A:$B,2,0),"")</f>
        <v/>
      </c>
      <c r="C837" s="10" t="str">
        <f aca="false">IF(B837="","NÃO COMPRA","COMPRA")</f>
        <v>NÃO COMPRA</v>
      </c>
      <c r="D837" s="1" t="n">
        <f aca="false">IFERROR(VLOOKUP(A837,Pedido!$A:$C,3,0),0)</f>
        <v>0</v>
      </c>
      <c r="E837" s="5" t="n">
        <f aca="false">IFERROR(VLOOKUP(A837,Pedido!$A:$E,5,0),0)</f>
        <v>0</v>
      </c>
      <c r="F837" s="1" t="s">
        <v>9</v>
      </c>
      <c r="G837" s="1" t="s">
        <v>440</v>
      </c>
      <c r="H837" s="1" t="s">
        <v>131</v>
      </c>
      <c r="I837" s="1" t="s">
        <v>281</v>
      </c>
      <c r="J837" s="1" t="s">
        <v>1839</v>
      </c>
      <c r="K837" s="1" t="n">
        <v>113</v>
      </c>
      <c r="L837" s="11" t="n">
        <v>0.93013332603935</v>
      </c>
      <c r="M837" s="1" t="n">
        <f aca="false">SUMIF(Relatorio_AK!$A:$A,A837,Relatorio_AK!$B:$B)</f>
        <v>113</v>
      </c>
      <c r="N837" s="1" t="str">
        <f aca="false">IF(M837=K837,"OK","DIF")</f>
        <v>OK</v>
      </c>
      <c r="O837" s="13" t="str">
        <f aca="false">IFERROR(VLOOKUP($A837,Lista_Starke!$A:$E,3,0),"NÃO ESTÁ NA LISTA")</f>
        <v>CITROEN: C4 Cactus 1.6 16V 19/...
CITROEN: C4 Cactus 1.6 16V 21/...
CITROEN: C4 Cactus 1.6 16V 23/...
CITROEN: C4 Cactus 1.6 16V THP 19/...</v>
      </c>
      <c r="P837" s="12" t="str">
        <f aca="false">IFERROR(VLOOKUP($A837,Lista_Starke!$A:$E,2,0),"NÃO ESTÁ NA LISTA")</f>
        <v>SAPATA DE FREIO</v>
      </c>
    </row>
    <row r="838" customFormat="false" ht="15" hidden="false" customHeight="true" outlineLevel="0" collapsed="false">
      <c r="A838" s="10" t="s">
        <v>1840</v>
      </c>
      <c r="B838" s="10" t="str">
        <f aca="false">IFERROR(VLOOKUP(A838,Pedido!$A:$B,2,0),"")</f>
        <v/>
      </c>
      <c r="C838" s="10" t="str">
        <f aca="false">IF(B838="","NÃO COMPRA","COMPRA")</f>
        <v>NÃO COMPRA</v>
      </c>
      <c r="D838" s="1" t="n">
        <f aca="false">IFERROR(VLOOKUP(A838,Pedido!$A:$C,3,0),0)</f>
        <v>0</v>
      </c>
      <c r="E838" s="5" t="n">
        <f aca="false">IFERROR(VLOOKUP(A838,Pedido!$A:$E,5,0),0)</f>
        <v>0</v>
      </c>
      <c r="F838" s="1" t="s">
        <v>9</v>
      </c>
      <c r="G838" s="1" t="s">
        <v>1841</v>
      </c>
      <c r="H838" s="1" t="s">
        <v>197</v>
      </c>
      <c r="I838" s="1" t="s">
        <v>226</v>
      </c>
      <c r="K838" s="1" t="n">
        <v>112</v>
      </c>
      <c r="L838" s="11" t="n">
        <v>0.93032479310445</v>
      </c>
      <c r="M838" s="1" t="n">
        <f aca="false">SUMIF(Relatorio_AK!$A:$A,A838,Relatorio_AK!$B:$B)</f>
        <v>112</v>
      </c>
      <c r="N838" s="1" t="str">
        <f aca="false">IF(M838=K838,"OK","DIF")</f>
        <v>OK</v>
      </c>
      <c r="O838" s="13" t="str">
        <f aca="false">IFERROR(VLOOKUP($A838,Lista_Starke!$A:$E,3,0),"NÃO ESTÁ NA LISTA")</f>
        <v>AUDI: A4 3.0 V6 TFSI CMUA/CRED 12/15
AUDI: A5 3.0 V6 TFSI CMUA/CRED/CHMB 11/17
AUDI: A6 3.0 V6 TFSI CGWB/CGXB/CTUA/CGWD 10/18
AUDI: Q5 3.0 V6 TFSI CTUC/CTVA 12/17
AUDI: Q7 3.0 V6 TFSI CTUC / CTVA 11/17
AUDI: S4 3.0 V6 TFSI CAKA/CCBA/CGXC/CTUB/CGWC/CREC 08/15
AUDI: S5 3.0 V6 TFSI CAKA/CGXC/CTUB/CGWC/CREC/CTDA 11/17
AUDI: SQ5 3.0 V6 TFSI CTUD/CTXA 13/17
VOLKSWAGEN: Touareg 3.0 V6 TSI CGFA/CGEA 10/18</v>
      </c>
      <c r="P838" s="12" t="str">
        <f aca="false">IFERROR(VLOOKUP($A838,Lista_Starke!$A:$E,2,0),"NÃO ESTÁ NA LISTA")</f>
        <v>BOMBA D'ÁGUA</v>
      </c>
    </row>
    <row r="839" customFormat="false" ht="15" hidden="false" customHeight="true" outlineLevel="0" collapsed="false">
      <c r="A839" s="10" t="s">
        <v>1842</v>
      </c>
      <c r="B839" s="10" t="str">
        <f aca="false">IFERROR(VLOOKUP(A839,Pedido!$A:$B,2,0),"")</f>
        <v/>
      </c>
      <c r="C839" s="10" t="str">
        <f aca="false">IF(B839="","NÃO COMPRA","COMPRA")</f>
        <v>NÃO COMPRA</v>
      </c>
      <c r="D839" s="1" t="n">
        <f aca="false">IFERROR(VLOOKUP(A839,Pedido!$A:$C,3,0),0)</f>
        <v>0</v>
      </c>
      <c r="E839" s="5" t="n">
        <f aca="false">IFERROR(VLOOKUP(A839,Pedido!$A:$E,5,0),0)</f>
        <v>0</v>
      </c>
      <c r="F839" s="1" t="s">
        <v>9</v>
      </c>
      <c r="G839" s="1" t="s">
        <v>1659</v>
      </c>
      <c r="H839" s="1" t="s">
        <v>197</v>
      </c>
      <c r="I839" s="1" t="s">
        <v>46</v>
      </c>
      <c r="J839" s="1" t="s">
        <v>1843</v>
      </c>
      <c r="K839" s="1" t="n">
        <v>112</v>
      </c>
      <c r="L839" s="11" t="n">
        <v>0.930516260169551</v>
      </c>
      <c r="M839" s="1" t="n">
        <f aca="false">SUMIF(Relatorio_AK!$A:$A,A839,Relatorio_AK!$B:$B)</f>
        <v>112</v>
      </c>
      <c r="N839" s="1" t="str">
        <f aca="false">IF(M839=K839,"OK","DIF")</f>
        <v>OK</v>
      </c>
      <c r="O839" s="13" t="str">
        <f aca="false">IFERROR(VLOOKUP($A839,Lista_Starke!$A:$E,3,0),"NÃO ESTÁ NA LISTA")</f>
        <v>FIAT: Bravo 1.8 16V E Torq 11/…
FIAT: Doblo 1.8 16V E Torq 11/…
FIAT: Grand Siena 1.6 16V E Torq 13/…
FIAT: Idea 1.6 16V E Torq 11/…
FIAT: Idea 1.8 16V E Torq 11/…
FIAT: Linea 1.8 16V E Torq 11/…
FIAT: Palio 1.6 16V E Torq 11/…
FIAT: Palio Weekend 1.6 16V E Torq 11/…
FIAT: Palio Weekend 1.8 16V E Torq 11/…
FIAT: Punto 1.6 16V E Torq 11/…
FIAT: Punto 1.8 16V E Torq 11/…
FIAT: Siena 1.6 16V E Torq 11/…
FIAT: Strada 1.8 16V E Torq 11/…
FIAT: Toro 1.8 16V E Torq 16/…</v>
      </c>
      <c r="P839" s="12" t="str">
        <f aca="false">IFERROR(VLOOKUP($A839,Lista_Starke!$A:$E,2,0),"NÃO ESTÁ NA LISTA")</f>
        <v>BOMBA D'ÁGUA</v>
      </c>
    </row>
    <row r="840" customFormat="false" ht="15" hidden="false" customHeight="true" outlineLevel="0" collapsed="false">
      <c r="A840" s="10" t="s">
        <v>1844</v>
      </c>
      <c r="B840" s="10" t="str">
        <f aca="false">IFERROR(VLOOKUP(A840,Pedido!$A:$B,2,0),"")</f>
        <v/>
      </c>
      <c r="C840" s="10" t="str">
        <f aca="false">IF(B840="","NÃO COMPRA","COMPRA")</f>
        <v>NÃO COMPRA</v>
      </c>
      <c r="D840" s="1" t="n">
        <f aca="false">IFERROR(VLOOKUP(A840,Pedido!$A:$C,3,0),0)</f>
        <v>0</v>
      </c>
      <c r="E840" s="5" t="n">
        <f aca="false">IFERROR(VLOOKUP(A840,Pedido!$A:$E,5,0),0)</f>
        <v>0</v>
      </c>
      <c r="F840" s="1" t="s">
        <v>9</v>
      </c>
      <c r="G840" s="1" t="s">
        <v>616</v>
      </c>
      <c r="H840" s="1" t="s">
        <v>197</v>
      </c>
      <c r="I840" s="1" t="s">
        <v>226</v>
      </c>
      <c r="K840" s="1" t="n">
        <v>111</v>
      </c>
      <c r="L840" s="11" t="n">
        <v>0.930706017707284</v>
      </c>
      <c r="M840" s="1" t="n">
        <f aca="false">SUMIF(Relatorio_AK!$A:$A,A840,Relatorio_AK!$B:$B)</f>
        <v>111</v>
      </c>
      <c r="N840" s="1" t="str">
        <f aca="false">IF(M840=K840,"OK","DIF")</f>
        <v>OK</v>
      </c>
      <c r="O840" s="13" t="str">
        <f aca="false">IFERROR(VLOOKUP($A840,Lista_Starke!$A:$E,3,0),"NÃO ESTÁ NA LISTA")</f>
        <v>AUDI: A3 2.0 TFSI AXX / BWA / CAWB / CCZA / CBFA 04/13
AUDI: A3 2.0 TFSI AXX / BWA / CAWB / CCZA 04/12
AUDI: A3  Quattro 2.0 TFSI AXX / BWA / CCZA 04/12
AUDI: A4 2.0 TFSI CDNB / CAEA / CFKA 08/15
AUDI: A4 2.0 TFSI CDNC / CAEB 08/13
AUDI: A4 2.0 TFSI CFKA 09/15
AUDI: A4 Quattro 2.0 TFSI CDNC / CPMA 08/16
AUDI: A4 Quattro 2.0 TFSI CPMB / CAED 13/16
AUDI: A5 2.0 TFSI CDNB 09/14
AUDI: A5 2.0 TFSI CDNC / CAEB / CAED 09/14
AUDI: A5 Quattro 2.0 TFSI CDNC / CAEB / CPMA 09/17
AUDI: A6 2.0 TFSI CDNB / CAEB / CHJA / CAED 11/...
AUDI: A8 2.0 TFSI CHJA 12/...
AUDI: Q3 2.0 TFSI CCZC / CPSA / CULC 11/...
AUDI: Q5 2.0 TFSI CDNB / CNCB / CDNC / CAEB / CPMA 09/...
AUDI: Q5 2.0 TFSI CHJA 11/...
AUDI: Q5 2.0 TFSI CPMB 13/...
AUDI: Tiguan 2.0 TSI CCZD 11/...
AUDI: TT 2.0 TFSI BWA / CCZA / CESA / CETA 06/14
VOLKSWAGEN: Beetle 2.0 TSI CCTA / CBFA / CCZA 11/...
VOLKSWAGEN: Golf GTI 2.0 TSI CBFA / CCTA / CCZA / CCZB 13/...
VOLKSWAGEN: Jetta 2.0 TSI CCTA / CBFA / CCZA 10/...
VOLKSWAGEN: Passat 2.0 FSI AXX / BWA / BPY / CAWB / CCTA / CBFA / CCZA 05/10
VOLKSWAGEN: Passat 2.0 TSI CCZB 10/14
VOLKSWAGEN: Passat CC 2.0 TSI CCZB 11/16
VOLKSWAGEN: Tiguan 2.0 TFSI CAWA / CCZC / CAWB / CCTA / CCZA 07/...</v>
      </c>
      <c r="P840" s="12" t="str">
        <f aca="false">IFERROR(VLOOKUP($A840,Lista_Starke!$A:$E,2,0),"NÃO ESTÁ NA LISTA")</f>
        <v>BOMBA D'ÁGUA</v>
      </c>
    </row>
    <row r="841" customFormat="false" ht="15" hidden="false" customHeight="true" outlineLevel="0" collapsed="false">
      <c r="A841" s="10" t="s">
        <v>1845</v>
      </c>
      <c r="B841" s="10" t="str">
        <f aca="false">IFERROR(VLOOKUP(A841,Pedido!$A:$B,2,0),"")</f>
        <v/>
      </c>
      <c r="C841" s="10" t="str">
        <f aca="false">IF(B841="","NÃO COMPRA","COMPRA")</f>
        <v>NÃO COMPRA</v>
      </c>
      <c r="D841" s="1" t="n">
        <f aca="false">IFERROR(VLOOKUP(A841,Pedido!$A:$C,3,0),0)</f>
        <v>0</v>
      </c>
      <c r="E841" s="5" t="n">
        <f aca="false">IFERROR(VLOOKUP(A841,Pedido!$A:$E,5,0),0)</f>
        <v>0</v>
      </c>
      <c r="F841" s="1" t="s">
        <v>9</v>
      </c>
      <c r="G841" s="1" t="s">
        <v>1846</v>
      </c>
      <c r="H841" s="1" t="s">
        <v>35</v>
      </c>
      <c r="I841" s="1" t="s">
        <v>57</v>
      </c>
      <c r="K841" s="1" t="n">
        <v>111</v>
      </c>
      <c r="L841" s="11" t="n">
        <v>0.930895775245018</v>
      </c>
      <c r="M841" s="1" t="n">
        <f aca="false">SUMIF(Relatorio_AK!$A:$A,A841,Relatorio_AK!$B:$B)</f>
        <v>111</v>
      </c>
      <c r="N841" s="1" t="str">
        <f aca="false">IF(M841=K841,"OK","DIF")</f>
        <v>OK</v>
      </c>
      <c r="O841" s="12" t="str">
        <f aca="false">IFERROR(VLOOKUP($A841,Lista_Starke!$A:$E,3,0),"NÃO ESTÁ NA LISTA")</f>
        <v>GM: Omega Australiano 3.6 24V V6 05/...</v>
      </c>
      <c r="P841" s="12" t="str">
        <f aca="false">IFERROR(VLOOKUP($A841,Lista_Starke!$A:$E,2,0),"NÃO ESTÁ NA LISTA")</f>
        <v>CILINDRO MESTRE DE FREIO</v>
      </c>
    </row>
    <row r="842" customFormat="false" ht="15" hidden="false" customHeight="true" outlineLevel="0" collapsed="false">
      <c r="A842" s="10" t="s">
        <v>1847</v>
      </c>
      <c r="B842" s="10" t="str">
        <f aca="false">IFERROR(VLOOKUP(A842,Pedido!$A:$B,2,0),"")</f>
        <v/>
      </c>
      <c r="C842" s="10" t="str">
        <f aca="false">IF(B842="","NÃO COMPRA","COMPRA")</f>
        <v>NÃO COMPRA</v>
      </c>
      <c r="D842" s="1" t="n">
        <f aca="false">IFERROR(VLOOKUP(A842,Pedido!$A:$C,3,0),0)</f>
        <v>0</v>
      </c>
      <c r="E842" s="5" t="n">
        <f aca="false">IFERROR(VLOOKUP(A842,Pedido!$A:$E,5,0),0)</f>
        <v>0</v>
      </c>
      <c r="F842" s="1" t="s">
        <v>9</v>
      </c>
      <c r="G842" s="1" t="s">
        <v>1161</v>
      </c>
      <c r="H842" s="1" t="s">
        <v>235</v>
      </c>
      <c r="I842" s="1" t="s">
        <v>29</v>
      </c>
      <c r="J842" s="1" t="s">
        <v>1848</v>
      </c>
      <c r="K842" s="1" t="n">
        <v>111</v>
      </c>
      <c r="L842" s="11" t="n">
        <v>0.931085532782751</v>
      </c>
      <c r="M842" s="1" t="n">
        <f aca="false">SUMIF(Relatorio_AK!$A:$A,A842,Relatorio_AK!$B:$B)</f>
        <v>111</v>
      </c>
      <c r="N842" s="1" t="str">
        <f aca="false">IF(M842=K842,"OK","DIF")</f>
        <v>OK</v>
      </c>
      <c r="O842" s="12" t="str">
        <f aca="false">IFERROR(VLOOKUP($A842,Lista_Starke!$A:$E,3,0),"NÃO ESTÁ NA LISTA")</f>
        <v>HYUNDAI: New Tucson 1.6 16V Turbo 17/...</v>
      </c>
      <c r="P842" s="12" t="str">
        <f aca="false">IFERROR(VLOOKUP($A842,Lista_Starke!$A:$E,2,0),"NÃO ESTÁ NA LISTA")</f>
        <v>RESFRIADOR DE ÓLEO MOTOR</v>
      </c>
    </row>
    <row r="843" customFormat="false" ht="15" hidden="false" customHeight="true" outlineLevel="0" collapsed="false">
      <c r="A843" s="10" t="s">
        <v>1849</v>
      </c>
      <c r="B843" s="10" t="str">
        <f aca="false">IFERROR(VLOOKUP(A843,Pedido!$A:$B,2,0),"")</f>
        <v/>
      </c>
      <c r="C843" s="10" t="str">
        <f aca="false">IF(B843="","NÃO COMPRA","COMPRA")</f>
        <v>NÃO COMPRA</v>
      </c>
      <c r="D843" s="1" t="n">
        <f aca="false">IFERROR(VLOOKUP(A843,Pedido!$A:$C,3,0),0)</f>
        <v>0</v>
      </c>
      <c r="E843" s="5" t="n">
        <f aca="false">IFERROR(VLOOKUP(A843,Pedido!$A:$E,5,0),0)</f>
        <v>0</v>
      </c>
      <c r="F843" s="1" t="s">
        <v>9</v>
      </c>
      <c r="G843" s="1" t="s">
        <v>1172</v>
      </c>
      <c r="H843" s="1" t="s">
        <v>235</v>
      </c>
      <c r="I843" s="1" t="s">
        <v>77</v>
      </c>
      <c r="J843" s="1" t="s">
        <v>1850</v>
      </c>
      <c r="K843" s="1" t="n">
        <v>111</v>
      </c>
      <c r="L843" s="11" t="n">
        <v>0.931275290320485</v>
      </c>
      <c r="M843" s="1" t="n">
        <f aca="false">SUMIF(Relatorio_AK!$A:$A,A843,Relatorio_AK!$B:$B)</f>
        <v>111</v>
      </c>
      <c r="N843" s="1" t="str">
        <f aca="false">IF(M843=K843,"OK","DIF")</f>
        <v>OK</v>
      </c>
      <c r="O843" s="13" t="str">
        <f aca="false">IFERROR(VLOOKUP($A843,Lista_Starke!$A:$E,3,0),"NÃO ESTÁ NA LISTA")</f>
        <v>CITROEN: Jumpy 1.6 8V Diesel DV6 16/...
PEUGEOT: Expert 1.6 8V Diesel DV6 16/...</v>
      </c>
      <c r="P843" s="12" t="str">
        <f aca="false">IFERROR(VLOOKUP($A843,Lista_Starke!$A:$E,2,0),"NÃO ESTÁ NA LISTA")</f>
        <v>RESFRIADOR DE ÓLEO MOTOR</v>
      </c>
    </row>
    <row r="844" customFormat="false" ht="15" hidden="false" customHeight="true" outlineLevel="0" collapsed="false">
      <c r="A844" s="10" t="s">
        <v>1851</v>
      </c>
      <c r="B844" s="10" t="str">
        <f aca="false">IFERROR(VLOOKUP(A844,Pedido!$A:$B,2,0),"")</f>
        <v/>
      </c>
      <c r="C844" s="10" t="str">
        <f aca="false">IF(B844="","NÃO COMPRA","COMPRA")</f>
        <v>NÃO COMPRA</v>
      </c>
      <c r="D844" s="1" t="n">
        <f aca="false">IFERROR(VLOOKUP(A844,Pedido!$A:$C,3,0),0)</f>
        <v>0</v>
      </c>
      <c r="E844" s="5" t="n">
        <f aca="false">IFERROR(VLOOKUP(A844,Pedido!$A:$E,5,0),0)</f>
        <v>0</v>
      </c>
      <c r="F844" s="1" t="s">
        <v>9</v>
      </c>
      <c r="G844" s="1" t="s">
        <v>41</v>
      </c>
      <c r="H844" s="1" t="s">
        <v>35</v>
      </c>
      <c r="I844" s="1" t="s">
        <v>42</v>
      </c>
      <c r="J844" s="1" t="s">
        <v>1852</v>
      </c>
      <c r="K844" s="1" t="n">
        <v>111</v>
      </c>
      <c r="L844" s="11" t="n">
        <v>0.931465047858218</v>
      </c>
      <c r="M844" s="1" t="n">
        <f aca="false">SUMIF(Relatorio_AK!$A:$A,A844,Relatorio_AK!$B:$B)</f>
        <v>111</v>
      </c>
      <c r="N844" s="1" t="str">
        <f aca="false">IF(M844=K844,"OK","DIF")</f>
        <v>OK</v>
      </c>
      <c r="O844" s="13" t="str">
        <f aca="false">IFERROR(VLOOKUP($A844,Lista_Starke!$A:$E,3,0),"NÃO ESTÁ NA LISTA")</f>
        <v>RENAULT: Megane 1.6 16V K4M 06/12
RENAULT: Megane 2.0 16V F4R 01/10
RENAULT: Megane Grand Tour 1.6 16V K4M 06/12
RENAULT: Megane Grand Tour 2.0 16V F4R 06/11</v>
      </c>
      <c r="P844" s="12" t="str">
        <f aca="false">IFERROR(VLOOKUP($A844,Lista_Starke!$A:$E,2,0),"NÃO ESTÁ NA LISTA")</f>
        <v>CILINDRO MESTRE DE FREIO</v>
      </c>
    </row>
    <row r="845" customFormat="false" ht="15" hidden="false" customHeight="true" outlineLevel="0" collapsed="false">
      <c r="A845" s="10" t="s">
        <v>1853</v>
      </c>
      <c r="B845" s="10" t="str">
        <f aca="false">IFERROR(VLOOKUP(A845,Pedido!$A:$B,2,0),"")</f>
        <v/>
      </c>
      <c r="C845" s="10" t="str">
        <f aca="false">IF(B845="","NÃO COMPRA","COMPRA")</f>
        <v>NÃO COMPRA</v>
      </c>
      <c r="D845" s="1" t="n">
        <f aca="false">IFERROR(VLOOKUP(A845,Pedido!$A:$C,3,0),0)</f>
        <v>0</v>
      </c>
      <c r="E845" s="5" t="n">
        <f aca="false">IFERROR(VLOOKUP(A845,Pedido!$A:$E,5,0),0)</f>
        <v>0</v>
      </c>
      <c r="F845" s="1" t="s">
        <v>9</v>
      </c>
      <c r="G845" s="1" t="s">
        <v>720</v>
      </c>
      <c r="H845" s="1" t="s">
        <v>197</v>
      </c>
      <c r="I845" s="1" t="s">
        <v>255</v>
      </c>
      <c r="K845" s="1" t="n">
        <v>110</v>
      </c>
      <c r="L845" s="11" t="n">
        <v>0.931653095868585</v>
      </c>
      <c r="M845" s="1" t="n">
        <f aca="false">SUMIF(Relatorio_AK!$A:$A,A845,Relatorio_AK!$B:$B)</f>
        <v>110</v>
      </c>
      <c r="N845" s="1" t="str">
        <f aca="false">IF(M845=K845,"OK","DIF")</f>
        <v>OK</v>
      </c>
      <c r="O845" s="13" t="str">
        <f aca="false">IFERROR(VLOOKUP($A845,Lista_Starke!$A:$E,3,0),"NÃO ESTÁ NA LISTA")</f>
        <v>MITSUBISHI: Pajero 2.4 16V Diesel 4N15 19/...
MITSUBISHI: Triton 2.4 16V Diesel 4N15 17/...</v>
      </c>
      <c r="P845" s="12" t="str">
        <f aca="false">IFERROR(VLOOKUP($A845,Lista_Starke!$A:$E,2,0),"NÃO ESTÁ NA LISTA")</f>
        <v>BOMBA D'ÁGUA</v>
      </c>
    </row>
    <row r="846" customFormat="false" ht="15" hidden="false" customHeight="true" outlineLevel="0" collapsed="false">
      <c r="A846" s="10" t="s">
        <v>1854</v>
      </c>
      <c r="B846" s="10" t="str">
        <f aca="false">IFERROR(VLOOKUP(A846,Pedido!$A:$B,2,0),"")</f>
        <v/>
      </c>
      <c r="C846" s="10" t="str">
        <f aca="false">IF(B846="","NÃO COMPRA","COMPRA")</f>
        <v>NÃO COMPRA</v>
      </c>
      <c r="D846" s="1" t="n">
        <f aca="false">IFERROR(VLOOKUP(A846,Pedido!$A:$C,3,0),0)</f>
        <v>0</v>
      </c>
      <c r="E846" s="5" t="n">
        <f aca="false">IFERROR(VLOOKUP(A846,Pedido!$A:$E,5,0),0)</f>
        <v>0</v>
      </c>
      <c r="F846" s="1" t="s">
        <v>9</v>
      </c>
      <c r="G846" s="1" t="s">
        <v>1442</v>
      </c>
      <c r="H846" s="1" t="s">
        <v>1131</v>
      </c>
      <c r="I846" s="1" t="s">
        <v>1855</v>
      </c>
      <c r="J846" s="1" t="s">
        <v>1856</v>
      </c>
      <c r="K846" s="1" t="n">
        <v>110</v>
      </c>
      <c r="L846" s="11" t="n">
        <v>0.931841143878952</v>
      </c>
      <c r="M846" s="1" t="n">
        <f aca="false">SUMIF(Relatorio_AK!$A:$A,A846,Relatorio_AK!$B:$B)</f>
        <v>110</v>
      </c>
      <c r="N846" s="1" t="str">
        <f aca="false">IF(M846=K846,"OK","DIF")</f>
        <v>OK</v>
      </c>
      <c r="O846" s="13" t="str">
        <f aca="false">IFERROR(VLOOKUP($A846,Lista_Starke!$A:$E,3,0),"NÃO ESTÁ NA LISTA")</f>
        <v>AUDI: Q7 3.6 V6 FSI 07/15
PORSCHE: Cayenne 3.6 V6 08/18
VOLKSWAGEN: Passat CC 3.6 V6 07/17
VOLKSWAGEN: Touareg 3.6 V6 07/17</v>
      </c>
      <c r="P846" s="12" t="str">
        <f aca="false">IFERROR(VLOOKUP($A846,Lista_Starke!$A:$E,2,0),"NÃO ESTÁ NA LISTA")</f>
        <v>BOMBA DE ALTA PRESSÃO GDI</v>
      </c>
    </row>
    <row r="847" customFormat="false" ht="15" hidden="false" customHeight="true" outlineLevel="0" collapsed="false">
      <c r="A847" s="10" t="s">
        <v>1857</v>
      </c>
      <c r="B847" s="10" t="str">
        <f aca="false">IFERROR(VLOOKUP(A847,Pedido!$A:$B,2,0),"")</f>
        <v/>
      </c>
      <c r="C847" s="10" t="str">
        <f aca="false">IF(B847="","NÃO COMPRA","COMPRA")</f>
        <v>NÃO COMPRA</v>
      </c>
      <c r="D847" s="1" t="n">
        <f aca="false">IFERROR(VLOOKUP(A847,Pedido!$A:$C,3,0),0)</f>
        <v>0</v>
      </c>
      <c r="E847" s="5" t="n">
        <f aca="false">IFERROR(VLOOKUP(A847,Pedido!$A:$E,5,0),0)</f>
        <v>0</v>
      </c>
      <c r="F847" s="1" t="s">
        <v>9</v>
      </c>
      <c r="G847" s="1" t="s">
        <v>1326</v>
      </c>
      <c r="H847" s="1" t="s">
        <v>197</v>
      </c>
      <c r="I847" s="1" t="s">
        <v>177</v>
      </c>
      <c r="J847" s="1" t="s">
        <v>1858</v>
      </c>
      <c r="K847" s="1" t="n">
        <v>108</v>
      </c>
      <c r="L847" s="11" t="n">
        <v>0.932025772834584</v>
      </c>
      <c r="M847" s="1" t="n">
        <f aca="false">SUMIF(Relatorio_AK!$A:$A,A847,Relatorio_AK!$B:$B)</f>
        <v>108</v>
      </c>
      <c r="N847" s="1" t="str">
        <f aca="false">IF(M847=K847,"OK","DIF")</f>
        <v>OK</v>
      </c>
      <c r="O847" s="13" t="str">
        <f aca="false">IFERROR(VLOOKUP($A847,Lista_Starke!$A:$E,3,0),"NÃO ESTÁ NA LISTA")</f>
        <v>TOYOTA: Hilux 2.5 Turbo Diesel 2KD 06/…
TOYOTA: Hilux 3.0 Turbo Diesel 1KD 06/…
TOYOTA: Land Cruiser Prado 3.0 Turbo Diesel 1KD 03/09
TOYOTA: SW4 3.0 Turbo Diesel 1KD 06/…</v>
      </c>
      <c r="P847" s="12" t="str">
        <f aca="false">IFERROR(VLOOKUP($A847,Lista_Starke!$A:$E,2,0),"NÃO ESTÁ NA LISTA")</f>
        <v>BOMBA D'ÁGUA</v>
      </c>
    </row>
    <row r="848" customFormat="false" ht="15" hidden="false" customHeight="true" outlineLevel="0" collapsed="false">
      <c r="A848" s="10" t="s">
        <v>1859</v>
      </c>
      <c r="B848" s="10" t="str">
        <f aca="false">IFERROR(VLOOKUP(A848,Pedido!$A:$B,2,0),"")</f>
        <v/>
      </c>
      <c r="C848" s="10" t="str">
        <f aca="false">IF(B848="","NÃO COMPRA","COMPRA")</f>
        <v>NÃO COMPRA</v>
      </c>
      <c r="D848" s="1" t="n">
        <f aca="false">IFERROR(VLOOKUP(A848,Pedido!$A:$C,3,0),0)</f>
        <v>0</v>
      </c>
      <c r="E848" s="5" t="n">
        <f aca="false">IFERROR(VLOOKUP(A848,Pedido!$A:$E,5,0),0)</f>
        <v>0</v>
      </c>
      <c r="F848" s="1" t="s">
        <v>9</v>
      </c>
      <c r="G848" s="1" t="s">
        <v>31</v>
      </c>
      <c r="H848" s="1" t="s">
        <v>32</v>
      </c>
      <c r="I848" s="1" t="s">
        <v>29</v>
      </c>
      <c r="K848" s="1" t="n">
        <v>108</v>
      </c>
      <c r="L848" s="11" t="n">
        <v>0.932210401790217</v>
      </c>
      <c r="M848" s="1" t="n">
        <f aca="false">SUMIF(Relatorio_AK!$A:$A,A848,Relatorio_AK!$B:$B)</f>
        <v>108</v>
      </c>
      <c r="N848" s="1" t="str">
        <f aca="false">IF(M848=K848,"OK","DIF")</f>
        <v>OK</v>
      </c>
      <c r="O848" s="12" t="str">
        <f aca="false">IFERROR(VLOOKUP($A848,Lista_Starke!$A:$E,3,0),"NÃO ESTÁ NA LISTA")</f>
        <v>HYUNDAI: HD78 3.0 16V 11/...</v>
      </c>
      <c r="P848" s="12" t="str">
        <f aca="false">IFERROR(VLOOKUP($A848,Lista_Starke!$A:$E,2,0),"NÃO ESTÁ NA LISTA")</f>
        <v>CILINDRO MESTRE DE EMBREAGEM</v>
      </c>
    </row>
    <row r="849" customFormat="false" ht="15" hidden="false" customHeight="true" outlineLevel="0" collapsed="false">
      <c r="A849" s="10" t="s">
        <v>1860</v>
      </c>
      <c r="B849" s="10" t="str">
        <f aca="false">IFERROR(VLOOKUP(A849,Pedido!$A:$B,2,0),"")</f>
        <v/>
      </c>
      <c r="C849" s="10" t="str">
        <f aca="false">IF(B849="","NÃO COMPRA","COMPRA")</f>
        <v>NÃO COMPRA</v>
      </c>
      <c r="D849" s="1" t="n">
        <f aca="false">IFERROR(VLOOKUP(A849,Pedido!$A:$C,3,0),0)</f>
        <v>0</v>
      </c>
      <c r="E849" s="5" t="n">
        <f aca="false">IFERROR(VLOOKUP(A849,Pedido!$A:$E,5,0),0)</f>
        <v>0</v>
      </c>
      <c r="F849" s="1" t="s">
        <v>9</v>
      </c>
      <c r="G849" s="1" t="s">
        <v>214</v>
      </c>
      <c r="H849" s="1" t="s">
        <v>35</v>
      </c>
      <c r="I849" s="1" t="s">
        <v>215</v>
      </c>
      <c r="K849" s="1" t="n">
        <v>108</v>
      </c>
      <c r="L849" s="11" t="n">
        <v>0.93239503074585</v>
      </c>
      <c r="M849" s="1" t="n">
        <f aca="false">SUMIF(Relatorio_AK!$A:$A,A849,Relatorio_AK!$B:$B)</f>
        <v>108</v>
      </c>
      <c r="N849" s="1" t="str">
        <f aca="false">IF(M849=K849,"OK","DIF")</f>
        <v>OK</v>
      </c>
      <c r="O849" s="12" t="str">
        <f aca="false">IFERROR(VLOOKUP($A849,Lista_Starke!$A:$E,3,0),"NÃO ESTÁ NA LISTA")</f>
        <v>NÃO ESTÁ NA LISTA</v>
      </c>
      <c r="P849" s="12" t="str">
        <f aca="false">IFERROR(VLOOKUP($A849,Lista_Starke!$A:$E,2,0),"NÃO ESTÁ NA LISTA")</f>
        <v>NÃO ESTÁ NA LISTA</v>
      </c>
    </row>
    <row r="850" customFormat="false" ht="15" hidden="false" customHeight="true" outlineLevel="0" collapsed="false">
      <c r="A850" s="10" t="s">
        <v>1861</v>
      </c>
      <c r="B850" s="10" t="str">
        <f aca="false">IFERROR(VLOOKUP(A850,Pedido!$A:$B,2,0),"")</f>
        <v/>
      </c>
      <c r="C850" s="10" t="str">
        <f aca="false">IF(B850="","NÃO COMPRA","COMPRA")</f>
        <v>NÃO COMPRA</v>
      </c>
      <c r="D850" s="1" t="n">
        <f aca="false">IFERROR(VLOOKUP(A850,Pedido!$A:$C,3,0),0)</f>
        <v>0</v>
      </c>
      <c r="E850" s="5" t="n">
        <f aca="false">IFERROR(VLOOKUP(A850,Pedido!$A:$E,5,0),0)</f>
        <v>0</v>
      </c>
      <c r="F850" s="1" t="s">
        <v>9</v>
      </c>
      <c r="G850" s="1" t="s">
        <v>1795</v>
      </c>
      <c r="H850" s="1" t="s">
        <v>1358</v>
      </c>
      <c r="I850" s="1" t="s">
        <v>215</v>
      </c>
      <c r="J850" s="1" t="s">
        <v>1862</v>
      </c>
      <c r="K850" s="1" t="n">
        <v>107</v>
      </c>
      <c r="L850" s="11" t="n">
        <v>0.932577950174115</v>
      </c>
      <c r="M850" s="1" t="n">
        <f aca="false">SUMIF(Relatorio_AK!$A:$A,A850,Relatorio_AK!$B:$B)</f>
        <v>107</v>
      </c>
      <c r="N850" s="1" t="str">
        <f aca="false">IF(M850=K850,"OK","DIF")</f>
        <v>OK</v>
      </c>
      <c r="O850" s="13" t="str">
        <f aca="false">IFERROR(VLOOKUP($A850,Lista_Starke!$A:$E,3,0),"NÃO ESTÁ NA LISTA")</f>
        <v>NISSAN: Kicks  17/...
NISSAN: Versa  21/...</v>
      </c>
      <c r="P850" s="12" t="str">
        <f aca="false">IFERROR(VLOOKUP($A850,Lista_Starke!$A:$E,2,0),"NÃO ESTÁ NA LISTA")</f>
        <v>BANDEJA INFERIOR COMPLETA LE</v>
      </c>
    </row>
    <row r="851" customFormat="false" ht="15" hidden="false" customHeight="true" outlineLevel="0" collapsed="false">
      <c r="A851" s="10" t="s">
        <v>1863</v>
      </c>
      <c r="B851" s="10" t="str">
        <f aca="false">IFERROR(VLOOKUP(A851,Pedido!$A:$B,2,0),"")</f>
        <v/>
      </c>
      <c r="C851" s="10" t="str">
        <f aca="false">IF(B851="","NÃO COMPRA","COMPRA")</f>
        <v>NÃO COMPRA</v>
      </c>
      <c r="D851" s="1" t="n">
        <f aca="false">IFERROR(VLOOKUP(A851,Pedido!$A:$C,3,0),0)</f>
        <v>0</v>
      </c>
      <c r="E851" s="5" t="n">
        <f aca="false">IFERROR(VLOOKUP(A851,Pedido!$A:$E,5,0),0)</f>
        <v>0</v>
      </c>
      <c r="F851" s="1" t="s">
        <v>9</v>
      </c>
      <c r="G851" s="1" t="s">
        <v>207</v>
      </c>
      <c r="H851" s="1" t="s">
        <v>197</v>
      </c>
      <c r="I851" s="1" t="s">
        <v>1772</v>
      </c>
      <c r="J851" s="1" t="s">
        <v>1864</v>
      </c>
      <c r="K851" s="1" t="n">
        <v>107</v>
      </c>
      <c r="L851" s="11" t="n">
        <v>0.932760869602381</v>
      </c>
      <c r="M851" s="1" t="n">
        <f aca="false">SUMIF(Relatorio_AK!$A:$A,A851,Relatorio_AK!$B:$B)</f>
        <v>107</v>
      </c>
      <c r="N851" s="1" t="str">
        <f aca="false">IF(M851=K851,"OK","DIF")</f>
        <v>OK</v>
      </c>
      <c r="O851" s="13" t="str">
        <f aca="false">IFERROR(VLOOKUP($A851,Lista_Starke!$A:$E,3,0),"NÃO ESTÁ NA LISTA")</f>
        <v>NISSAN: March 1.0 16V 11/...
PEUGEOT: 206 1.0 16V D4F 01/...
RENAULT: Clio 1.0 16V D4D/F 01/...
RENAULT: Kangoo 1.0 16V D4D/F 00/05
RENAULT: Logan 1.0 16V D4D/F 08/...
RENAULT: Sandero 1.0 16V D4D/F 08/...</v>
      </c>
      <c r="P851" s="12" t="str">
        <f aca="false">IFERROR(VLOOKUP($A851,Lista_Starke!$A:$E,2,0),"NÃO ESTÁ NA LISTA")</f>
        <v>BOMBA D'ÁGUA</v>
      </c>
    </row>
    <row r="852" customFormat="false" ht="15" hidden="false" customHeight="true" outlineLevel="0" collapsed="false">
      <c r="A852" s="10" t="s">
        <v>1865</v>
      </c>
      <c r="B852" s="10" t="str">
        <f aca="false">IFERROR(VLOOKUP(A852,Pedido!$A:$B,2,0),"")</f>
        <v/>
      </c>
      <c r="C852" s="10" t="str">
        <f aca="false">IF(B852="","NÃO COMPRA","COMPRA")</f>
        <v>NÃO COMPRA</v>
      </c>
      <c r="D852" s="1" t="n">
        <f aca="false">IFERROR(VLOOKUP(A852,Pedido!$A:$C,3,0),0)</f>
        <v>0</v>
      </c>
      <c r="E852" s="5" t="n">
        <f aca="false">IFERROR(VLOOKUP(A852,Pedido!$A:$E,5,0),0)</f>
        <v>0</v>
      </c>
      <c r="F852" s="1" t="s">
        <v>9</v>
      </c>
      <c r="G852" s="1" t="s">
        <v>1866</v>
      </c>
      <c r="H852" s="1" t="s">
        <v>131</v>
      </c>
      <c r="I852" s="1" t="s">
        <v>1310</v>
      </c>
      <c r="J852" s="1" t="s">
        <v>1867</v>
      </c>
      <c r="K852" s="1" t="n">
        <v>107</v>
      </c>
      <c r="L852" s="11" t="n">
        <v>0.932943789030646</v>
      </c>
      <c r="M852" s="1" t="n">
        <f aca="false">SUMIF(Relatorio_AK!$A:$A,A852,Relatorio_AK!$B:$B)</f>
        <v>107</v>
      </c>
      <c r="N852" s="1" t="str">
        <f aca="false">IF(M852=K852,"OK","DIF")</f>
        <v>OK</v>
      </c>
      <c r="O852" s="12" t="str">
        <f aca="false">IFERROR(VLOOKUP($A852,Lista_Starke!$A:$E,3,0),"NÃO ESTÁ NA LISTA")</f>
        <v>JINBEI: Topic 2.0 8V / 2.0 16V 08/...</v>
      </c>
      <c r="P852" s="12" t="str">
        <f aca="false">IFERROR(VLOOKUP($A852,Lista_Starke!$A:$E,2,0),"NÃO ESTÁ NA LISTA")</f>
        <v>SAPATA DE FREIO</v>
      </c>
    </row>
    <row r="853" customFormat="false" ht="15" hidden="false" customHeight="true" outlineLevel="0" collapsed="false">
      <c r="A853" s="10" t="s">
        <v>1868</v>
      </c>
      <c r="B853" s="10" t="str">
        <f aca="false">IFERROR(VLOOKUP(A853,Pedido!$A:$B,2,0),"")</f>
        <v/>
      </c>
      <c r="C853" s="10" t="str">
        <f aca="false">IF(B853="","NÃO COMPRA","COMPRA")</f>
        <v>NÃO COMPRA</v>
      </c>
      <c r="D853" s="1" t="n">
        <f aca="false">IFERROR(VLOOKUP(A853,Pedido!$A:$C,3,0),0)</f>
        <v>0</v>
      </c>
      <c r="E853" s="5" t="n">
        <f aca="false">IFERROR(VLOOKUP(A853,Pedido!$A:$E,5,0),0)</f>
        <v>0</v>
      </c>
      <c r="F853" s="1" t="s">
        <v>9</v>
      </c>
      <c r="G853" s="1" t="s">
        <v>240</v>
      </c>
      <c r="H853" s="1" t="s">
        <v>157</v>
      </c>
      <c r="I853" s="1" t="s">
        <v>57</v>
      </c>
      <c r="J853" s="1" t="s">
        <v>1869</v>
      </c>
      <c r="K853" s="1" t="n">
        <v>106</v>
      </c>
      <c r="L853" s="11" t="n">
        <v>0.933124998931545</v>
      </c>
      <c r="M853" s="1" t="n">
        <f aca="false">SUMIF(Relatorio_AK!$A:$A,A853,Relatorio_AK!$B:$B)</f>
        <v>106</v>
      </c>
      <c r="N853" s="1" t="str">
        <f aca="false">IF(M853=K853,"OK","DIF")</f>
        <v>OK</v>
      </c>
      <c r="O853" s="13" t="str">
        <f aca="false">IFERROR(VLOOKUP($A853,Lista_Starke!$A:$E,3,0),"NÃO ESTÁ NA LISTA")</f>
        <v>GM: Sonic 1.6 16V Ecotec 12/...
GM: Tracker 1.8 16V Ecotec 13/...</v>
      </c>
      <c r="P853" s="12" t="str">
        <f aca="false">IFERROR(VLOOKUP($A853,Lista_Starke!$A:$E,2,0),"NÃO ESTÁ NA LISTA")</f>
        <v>ATUADOR DE EMBREAGEM</v>
      </c>
    </row>
    <row r="854" customFormat="false" ht="15" hidden="false" customHeight="true" outlineLevel="0" collapsed="false">
      <c r="A854" s="10" t="s">
        <v>1870</v>
      </c>
      <c r="B854" s="10" t="str">
        <f aca="false">IFERROR(VLOOKUP(A854,Pedido!$A:$B,2,0),"")</f>
        <v/>
      </c>
      <c r="C854" s="10" t="str">
        <f aca="false">IF(B854="","NÃO COMPRA","COMPRA")</f>
        <v>NÃO COMPRA</v>
      </c>
      <c r="D854" s="1" t="n">
        <f aca="false">IFERROR(VLOOKUP(A854,Pedido!$A:$C,3,0),0)</f>
        <v>0</v>
      </c>
      <c r="E854" s="5" t="n">
        <f aca="false">IFERROR(VLOOKUP(A854,Pedido!$A:$E,5,0),0)</f>
        <v>0</v>
      </c>
      <c r="F854" s="1" t="s">
        <v>9</v>
      </c>
      <c r="G854" s="1" t="s">
        <v>377</v>
      </c>
      <c r="H854" s="1" t="s">
        <v>197</v>
      </c>
      <c r="J854" s="1" t="s">
        <v>1871</v>
      </c>
      <c r="K854" s="1" t="n">
        <v>106</v>
      </c>
      <c r="L854" s="11" t="n">
        <v>0.933306208832444</v>
      </c>
      <c r="M854" s="1" t="n">
        <f aca="false">SUMIF(Relatorio_AK!$A:$A,A854,Relatorio_AK!$B:$B)</f>
        <v>106</v>
      </c>
      <c r="N854" s="1" t="str">
        <f aca="false">IF(M854=K854,"OK","DIF")</f>
        <v>OK</v>
      </c>
      <c r="O854" s="12" t="str">
        <f aca="false">IFERROR(VLOOKUP($A854,Lista_Starke!$A:$E,3,0),"NÃO ESTÁ NA LISTA")</f>
        <v>Fiesta 1.0 / 1.1 / 1.3 HCS …/96</v>
      </c>
      <c r="P854" s="12" t="str">
        <f aca="false">IFERROR(VLOOKUP($A854,Lista_Starke!$A:$E,2,0),"NÃO ESTÁ NA LISTA")</f>
        <v>BOMBA D'ÁGUA</v>
      </c>
    </row>
    <row r="855" customFormat="false" ht="15" hidden="false" customHeight="true" outlineLevel="0" collapsed="false">
      <c r="A855" s="10" t="s">
        <v>1872</v>
      </c>
      <c r="B855" s="10" t="str">
        <f aca="false">IFERROR(VLOOKUP(A855,Pedido!$A:$B,2,0),"")</f>
        <v/>
      </c>
      <c r="C855" s="10" t="str">
        <f aca="false">IF(B855="","NÃO COMPRA","COMPRA")</f>
        <v>NÃO COMPRA</v>
      </c>
      <c r="D855" s="1" t="n">
        <f aca="false">IFERROR(VLOOKUP(A855,Pedido!$A:$C,3,0),0)</f>
        <v>0</v>
      </c>
      <c r="E855" s="5" t="n">
        <f aca="false">IFERROR(VLOOKUP(A855,Pedido!$A:$E,5,0),0)</f>
        <v>0</v>
      </c>
      <c r="F855" s="1" t="s">
        <v>9</v>
      </c>
      <c r="G855" s="1" t="s">
        <v>1873</v>
      </c>
      <c r="H855" s="1" t="s">
        <v>126</v>
      </c>
      <c r="I855" s="1" t="s">
        <v>286</v>
      </c>
      <c r="J855" s="1" t="s">
        <v>1874</v>
      </c>
      <c r="K855" s="1" t="n">
        <v>106</v>
      </c>
      <c r="L855" s="11" t="n">
        <v>0.933487418733342</v>
      </c>
      <c r="M855" s="1" t="n">
        <f aca="false">SUMIF(Relatorio_AK!$A:$A,A855,Relatorio_AK!$B:$B)</f>
        <v>106</v>
      </c>
      <c r="N855" s="1" t="str">
        <f aca="false">IF(M855=K855,"OK","DIF")</f>
        <v>OK</v>
      </c>
      <c r="O855" s="13" t="str">
        <f aca="false">IFERROR(VLOOKUP($A855,Lista_Starke!$A:$E,3,0),"NÃO ESTÁ NA LISTA")</f>
        <v>FORD: Ranger 2.2 16V TDCi 13/...
FORD: Ranger 3.2 20V TDCi 13/...
TROLLER: T4 3.2 20V TDCi 14/...</v>
      </c>
      <c r="P855" s="12" t="str">
        <f aca="false">IFERROR(VLOOKUP($A855,Lista_Starke!$A:$E,2,0),"NÃO ESTÁ NA LISTA")</f>
        <v>RESFRIADOR DE ÓLEO CÂMBIO</v>
      </c>
    </row>
    <row r="856" customFormat="false" ht="15" hidden="false" customHeight="true" outlineLevel="0" collapsed="false">
      <c r="A856" s="10" t="s">
        <v>1875</v>
      </c>
      <c r="B856" s="10" t="str">
        <f aca="false">IFERROR(VLOOKUP(A856,Pedido!$A:$B,2,0),"")</f>
        <v/>
      </c>
      <c r="C856" s="10" t="str">
        <f aca="false">IF(B856="","NÃO COMPRA","COMPRA")</f>
        <v>NÃO COMPRA</v>
      </c>
      <c r="D856" s="1" t="n">
        <f aca="false">IFERROR(VLOOKUP(A856,Pedido!$A:$C,3,0),0)</f>
        <v>0</v>
      </c>
      <c r="E856" s="5" t="n">
        <f aca="false">IFERROR(VLOOKUP(A856,Pedido!$A:$E,5,0),0)</f>
        <v>0</v>
      </c>
      <c r="F856" s="1" t="s">
        <v>9</v>
      </c>
      <c r="G856" s="1" t="s">
        <v>377</v>
      </c>
      <c r="H856" s="1" t="s">
        <v>197</v>
      </c>
      <c r="I856" s="1" t="s">
        <v>53</v>
      </c>
      <c r="J856" s="1" t="s">
        <v>1876</v>
      </c>
      <c r="K856" s="1" t="n">
        <v>106</v>
      </c>
      <c r="L856" s="11" t="n">
        <v>0.933668628634241</v>
      </c>
      <c r="M856" s="1" t="n">
        <f aca="false">SUMIF(Relatorio_AK!$A:$A,A856,Relatorio_AK!$B:$B)</f>
        <v>106</v>
      </c>
      <c r="N856" s="1" t="str">
        <f aca="false">IF(M856=K856,"OK","DIF")</f>
        <v>OK</v>
      </c>
      <c r="O856" s="12" t="str">
        <f aca="false">IFERROR(VLOOKUP($A856,Lista_Starke!$A:$E,3,0),"NÃO ESTÁ NA LISTA")</f>
        <v>FORD: Transit 2.0 16V Diesel Ecoblue 21/...</v>
      </c>
      <c r="P856" s="12" t="str">
        <f aca="false">IFERROR(VLOOKUP($A856,Lista_Starke!$A:$E,2,0),"NÃO ESTÁ NA LISTA")</f>
        <v>BOMBA D'ÁGUA</v>
      </c>
    </row>
    <row r="857" customFormat="false" ht="15" hidden="false" customHeight="true" outlineLevel="0" collapsed="false">
      <c r="A857" s="10" t="s">
        <v>1877</v>
      </c>
      <c r="B857" s="10" t="str">
        <f aca="false">IFERROR(VLOOKUP(A857,Pedido!$A:$B,2,0),"")</f>
        <v/>
      </c>
      <c r="C857" s="10" t="str">
        <f aca="false">IF(B857="","NÃO COMPRA","COMPRA")</f>
        <v>NÃO COMPRA</v>
      </c>
      <c r="D857" s="1" t="n">
        <f aca="false">IFERROR(VLOOKUP(A857,Pedido!$A:$C,3,0),0)</f>
        <v>0</v>
      </c>
      <c r="E857" s="5" t="n">
        <f aca="false">IFERROR(VLOOKUP(A857,Pedido!$A:$E,5,0),0)</f>
        <v>0</v>
      </c>
      <c r="F857" s="1" t="s">
        <v>9</v>
      </c>
      <c r="G857" s="1" t="s">
        <v>1878</v>
      </c>
      <c r="H857" s="1" t="s">
        <v>1358</v>
      </c>
      <c r="I857" s="1" t="s">
        <v>177</v>
      </c>
      <c r="J857" s="1" t="s">
        <v>1879</v>
      </c>
      <c r="K857" s="1" t="n">
        <v>105</v>
      </c>
      <c r="L857" s="11" t="n">
        <v>0.933848129007773</v>
      </c>
      <c r="M857" s="1" t="n">
        <f aca="false">SUMIF(Relatorio_AK!$A:$A,A857,Relatorio_AK!$B:$B)</f>
        <v>105</v>
      </c>
      <c r="N857" s="1" t="str">
        <f aca="false">IF(M857=K857,"OK","DIF")</f>
        <v>OK</v>
      </c>
      <c r="O857" s="13" t="str">
        <f aca="false">IFERROR(VLOOKUP($A857,Lista_Starke!$A:$E,3,0),"NÃO ESTÁ NA LISTA")</f>
        <v>TOYOTA: Etios 1.3 16V 12/18
TOYOTA: Etios 1.5 16V 12/18</v>
      </c>
      <c r="P857" s="12" t="str">
        <f aca="false">IFERROR(VLOOKUP($A857,Lista_Starke!$A:$E,2,0),"NÃO ESTÁ NA LISTA")</f>
        <v>BANDEJA INFERIOR COMPLETA LE</v>
      </c>
    </row>
    <row r="858" customFormat="false" ht="15" hidden="false" customHeight="true" outlineLevel="0" collapsed="false">
      <c r="A858" s="10" t="s">
        <v>1880</v>
      </c>
      <c r="B858" s="10" t="str">
        <f aca="false">IFERROR(VLOOKUP(A858,Pedido!$A:$B,2,0),"")</f>
        <v/>
      </c>
      <c r="C858" s="10" t="str">
        <f aca="false">IF(B858="","NÃO COMPRA","COMPRA")</f>
        <v>NÃO COMPRA</v>
      </c>
      <c r="D858" s="1" t="n">
        <f aca="false">IFERROR(VLOOKUP(A858,Pedido!$A:$C,3,0),0)</f>
        <v>0</v>
      </c>
      <c r="E858" s="5" t="n">
        <f aca="false">IFERROR(VLOOKUP(A858,Pedido!$A:$E,5,0),0)</f>
        <v>0</v>
      </c>
      <c r="F858" s="1" t="s">
        <v>9</v>
      </c>
      <c r="G858" s="1" t="s">
        <v>1881</v>
      </c>
      <c r="H858" s="1" t="s">
        <v>1358</v>
      </c>
      <c r="I858" s="1" t="s">
        <v>57</v>
      </c>
      <c r="J858" s="1" t="s">
        <v>1882</v>
      </c>
      <c r="K858" s="1" t="n">
        <v>105</v>
      </c>
      <c r="L858" s="11" t="n">
        <v>0.934027629381305</v>
      </c>
      <c r="M858" s="1" t="n">
        <f aca="false">SUMIF(Relatorio_AK!$A:$A,A858,Relatorio_AK!$B:$B)</f>
        <v>105</v>
      </c>
      <c r="N858" s="1" t="str">
        <f aca="false">IF(M858=K858,"OK","DIF")</f>
        <v>OK</v>
      </c>
      <c r="O858" s="13" t="str">
        <f aca="false">IFERROR(VLOOKUP($A858,Lista_Starke!$A:$E,3,0),"NÃO ESTÁ NA LISTA")</f>
        <v>GM: Cobalt  12/20
GM: Joy  19/...
GM: Joy Plus  19/...
GM: Onix  12/19
GM: Prisma  13/19
GM: Sonic  12/15
GM: Spin  12/22</v>
      </c>
      <c r="P858" s="12" t="str">
        <f aca="false">IFERROR(VLOOKUP($A858,Lista_Starke!$A:$E,2,0),"NÃO ESTÁ NA LISTA")</f>
        <v>BANDEJA INFERIOR COMPLETA LE</v>
      </c>
    </row>
    <row r="859" customFormat="false" ht="15" hidden="false" customHeight="true" outlineLevel="0" collapsed="false">
      <c r="A859" s="10" t="s">
        <v>1883</v>
      </c>
      <c r="B859" s="10" t="str">
        <f aca="false">IFERROR(VLOOKUP(A859,Pedido!$A:$B,2,0),"")</f>
        <v/>
      </c>
      <c r="C859" s="10" t="str">
        <f aca="false">IF(B859="","NÃO COMPRA","COMPRA")</f>
        <v>NÃO COMPRA</v>
      </c>
      <c r="D859" s="1" t="n">
        <f aca="false">IFERROR(VLOOKUP(A859,Pedido!$A:$C,3,0),0)</f>
        <v>0</v>
      </c>
      <c r="E859" s="5" t="n">
        <f aca="false">IFERROR(VLOOKUP(A859,Pedido!$A:$E,5,0),0)</f>
        <v>0</v>
      </c>
      <c r="F859" s="1" t="s">
        <v>9</v>
      </c>
      <c r="G859" s="1" t="s">
        <v>136</v>
      </c>
      <c r="H859" s="1" t="s">
        <v>32</v>
      </c>
      <c r="I859" s="1" t="s">
        <v>46</v>
      </c>
      <c r="J859" s="1" t="s">
        <v>1884</v>
      </c>
      <c r="K859" s="1" t="n">
        <v>105</v>
      </c>
      <c r="L859" s="11" t="n">
        <v>0.934207129754836</v>
      </c>
      <c r="M859" s="1" t="n">
        <f aca="false">SUMIF(Relatorio_AK!$A:$A,A859,Relatorio_AK!$B:$B)</f>
        <v>105</v>
      </c>
      <c r="N859" s="1" t="str">
        <f aca="false">IF(M859=K859,"OK","DIF")</f>
        <v>OK</v>
      </c>
      <c r="O859" s="12" t="str">
        <f aca="false">IFERROR(VLOOKUP($A859,Lista_Starke!$A:$E,3,0),"NÃO ESTÁ NA LISTA")</f>
        <v>FIAT: Doblo 1.8 8V 04/05</v>
      </c>
      <c r="P859" s="12" t="str">
        <f aca="false">IFERROR(VLOOKUP($A859,Lista_Starke!$A:$E,2,0),"NÃO ESTÁ NA LISTA")</f>
        <v>CILINDRO MESTRE DE EMBREAGEM</v>
      </c>
    </row>
    <row r="860" customFormat="false" ht="15" hidden="false" customHeight="true" outlineLevel="0" collapsed="false">
      <c r="A860" s="10" t="s">
        <v>1885</v>
      </c>
      <c r="B860" s="10" t="str">
        <f aca="false">IFERROR(VLOOKUP(A860,Pedido!$A:$B,2,0),"")</f>
        <v/>
      </c>
      <c r="C860" s="10" t="str">
        <f aca="false">IF(B860="","NÃO COMPRA","COMPRA")</f>
        <v>NÃO COMPRA</v>
      </c>
      <c r="D860" s="1" t="n">
        <f aca="false">IFERROR(VLOOKUP(A860,Pedido!$A:$C,3,0),0)</f>
        <v>0</v>
      </c>
      <c r="E860" s="5" t="n">
        <f aca="false">IFERROR(VLOOKUP(A860,Pedido!$A:$E,5,0),0)</f>
        <v>0</v>
      </c>
      <c r="F860" s="1" t="s">
        <v>9</v>
      </c>
      <c r="G860" s="1" t="s">
        <v>616</v>
      </c>
      <c r="H860" s="1" t="s">
        <v>906</v>
      </c>
      <c r="I860" s="1" t="s">
        <v>226</v>
      </c>
      <c r="J860" s="1" t="s">
        <v>1886</v>
      </c>
      <c r="K860" s="1" t="n">
        <v>105</v>
      </c>
      <c r="L860" s="11" t="n">
        <v>0.934386630128368</v>
      </c>
      <c r="M860" s="1" t="n">
        <f aca="false">SUMIF(Relatorio_AK!$A:$A,A860,Relatorio_AK!$B:$B)</f>
        <v>105</v>
      </c>
      <c r="N860" s="1" t="str">
        <f aca="false">IF(M860=K860,"OK","DIF")</f>
        <v>OK</v>
      </c>
      <c r="O860" s="13" t="str">
        <f aca="false">IFERROR(VLOOKUP($A860,Lista_Starke!$A:$E,3,0),"NÃO ESTÁ NA LISTA")</f>
        <v>AUDI: A3 2.0 16V TFSI   CCZA / CAWB 10/13
VOLKSWAGEN: Beetle 2.0 16V TSI   CBFA / CCTA / CCZA 11/...
VOLKSWAGEN: Golf GTI 2.0 16V TSI   CBFA / CCTA / CCZA 06/14
VOLKSWAGEN: Jetta 2.0 16V TSI   CBFA / CCTA / CCZA / CPLA / CPPA 11/18
VOLKSWAGEN: Passat / Variant 2.0 16V TSI   CCZB 09/…
VOLKSWAGEN: Passat CC 2.0 16V TSI   CBFA / CCTA / CCZA / CPLA / CPPA 11/…
VOLKSWAGEN: Tiguan 2.0 16V TFSI CAWB / CCTA / CCZA 08/…</v>
      </c>
      <c r="P860" s="12" t="str">
        <f aca="false">IFERROR(VLOOKUP($A860,Lista_Starke!$A:$E,2,0),"NÃO ESTÁ NA LISTA")</f>
        <v>BOMBA D'ÁGUA AUXILIAR</v>
      </c>
    </row>
    <row r="861" customFormat="false" ht="15" hidden="false" customHeight="true" outlineLevel="0" collapsed="false">
      <c r="A861" s="10" t="s">
        <v>1887</v>
      </c>
      <c r="B861" s="10" t="str">
        <f aca="false">IFERROR(VLOOKUP(A861,Pedido!$A:$B,2,0),"")</f>
        <v/>
      </c>
      <c r="C861" s="10" t="str">
        <f aca="false">IF(B861="","NÃO COMPRA","COMPRA")</f>
        <v>NÃO COMPRA</v>
      </c>
      <c r="D861" s="1" t="n">
        <f aca="false">IFERROR(VLOOKUP(A861,Pedido!$A:$C,3,0),0)</f>
        <v>0</v>
      </c>
      <c r="E861" s="5" t="n">
        <f aca="false">IFERROR(VLOOKUP(A861,Pedido!$A:$E,5,0),0)</f>
        <v>0</v>
      </c>
      <c r="F861" s="1" t="s">
        <v>9</v>
      </c>
      <c r="G861" s="1" t="s">
        <v>602</v>
      </c>
      <c r="H861" s="1" t="s">
        <v>35</v>
      </c>
      <c r="I861" s="1" t="s">
        <v>29</v>
      </c>
      <c r="K861" s="1" t="n">
        <v>105</v>
      </c>
      <c r="L861" s="11" t="n">
        <v>0.9345661305019</v>
      </c>
      <c r="M861" s="1" t="n">
        <f aca="false">SUMIF(Relatorio_AK!$A:$A,A861,Relatorio_AK!$B:$B)</f>
        <v>105</v>
      </c>
      <c r="N861" s="1" t="str">
        <f aca="false">IF(M861=K861,"OK","DIF")</f>
        <v>OK</v>
      </c>
      <c r="O861" s="12" t="str">
        <f aca="false">IFERROR(VLOOKUP($A861,Lista_Starke!$A:$E,3,0),"NÃO ESTÁ NA LISTA")</f>
        <v>HYUNDAI: Santa Fe 3.3 V6 13/19</v>
      </c>
      <c r="P861" s="12" t="str">
        <f aca="false">IFERROR(VLOOKUP($A861,Lista_Starke!$A:$E,2,0),"NÃO ESTÁ NA LISTA")</f>
        <v>CILINDRO MESTRE DE FREIO</v>
      </c>
    </row>
    <row r="862" customFormat="false" ht="15" hidden="false" customHeight="true" outlineLevel="0" collapsed="false">
      <c r="A862" s="10" t="s">
        <v>1888</v>
      </c>
      <c r="B862" s="10" t="str">
        <f aca="false">IFERROR(VLOOKUP(A862,Pedido!$A:$B,2,0),"")</f>
        <v/>
      </c>
      <c r="C862" s="10" t="str">
        <f aca="false">IF(B862="","NÃO COMPRA","COMPRA")</f>
        <v>NÃO COMPRA</v>
      </c>
      <c r="D862" s="1" t="n">
        <f aca="false">IFERROR(VLOOKUP(A862,Pedido!$A:$C,3,0),0)</f>
        <v>0</v>
      </c>
      <c r="E862" s="5" t="n">
        <f aca="false">IFERROR(VLOOKUP(A862,Pedido!$A:$E,5,0),0)</f>
        <v>0</v>
      </c>
      <c r="F862" s="1" t="s">
        <v>9</v>
      </c>
      <c r="G862" s="1" t="s">
        <v>720</v>
      </c>
      <c r="H862" s="1" t="s">
        <v>197</v>
      </c>
      <c r="I862" s="1" t="s">
        <v>255</v>
      </c>
      <c r="J862" s="1" t="s">
        <v>1889</v>
      </c>
      <c r="K862" s="1" t="n">
        <v>105</v>
      </c>
      <c r="L862" s="11" t="n">
        <v>0.934745630875432</v>
      </c>
      <c r="M862" s="1" t="n">
        <f aca="false">SUMIF(Relatorio_AK!$A:$A,A862,Relatorio_AK!$B:$B)</f>
        <v>105</v>
      </c>
      <c r="N862" s="1" t="str">
        <f aca="false">IF(M862=K862,"OK","DIF")</f>
        <v>OK</v>
      </c>
      <c r="O862" s="13" t="str">
        <f aca="false">IFERROR(VLOOKUP($A862,Lista_Starke!$A:$E,3,0),"NÃO ESTÁ NA LISTA")</f>
        <v>MITSUBISHI: Pajero 2.8 Turbo 4M40 Diesel 94/99
MITSUBISHI: Pajero 3.2 4M41 Diesel 99/…
MITSUBISHI: Pajero Full 3.2 Turbo 4M41 Diesel …/00
MITSUBISHI: Pajero Sport 2.8 Turbo 4M40 Diesel 93/…
MITSUBISHI: Pajero Sport 3.2 Turbo 4M41 Diesel 99/…</v>
      </c>
      <c r="P862" s="12" t="str">
        <f aca="false">IFERROR(VLOOKUP($A862,Lista_Starke!$A:$E,2,0),"NÃO ESTÁ NA LISTA")</f>
        <v>BOMBA D'ÁGUA</v>
      </c>
    </row>
    <row r="863" customFormat="false" ht="15" hidden="false" customHeight="true" outlineLevel="0" collapsed="false">
      <c r="A863" s="10" t="s">
        <v>1890</v>
      </c>
      <c r="B863" s="10" t="str">
        <f aca="false">IFERROR(VLOOKUP(A863,Pedido!$A:$B,2,0),"")</f>
        <v/>
      </c>
      <c r="C863" s="10" t="str">
        <f aca="false">IF(B863="","NÃO COMPRA","COMPRA")</f>
        <v>NÃO COMPRA</v>
      </c>
      <c r="D863" s="1" t="n">
        <f aca="false">IFERROR(VLOOKUP(A863,Pedido!$A:$C,3,0),0)</f>
        <v>0</v>
      </c>
      <c r="E863" s="5" t="n">
        <f aca="false">IFERROR(VLOOKUP(A863,Pedido!$A:$E,5,0),0)</f>
        <v>0</v>
      </c>
      <c r="F863" s="1" t="s">
        <v>9</v>
      </c>
      <c r="G863" s="1" t="s">
        <v>937</v>
      </c>
      <c r="H863" s="1" t="s">
        <v>790</v>
      </c>
      <c r="I863" s="1" t="s">
        <v>938</v>
      </c>
      <c r="J863" s="1" t="s">
        <v>1891</v>
      </c>
      <c r="K863" s="1" t="n">
        <v>105</v>
      </c>
      <c r="L863" s="11" t="n">
        <v>0.934925131248963</v>
      </c>
      <c r="M863" s="1" t="n">
        <f aca="false">SUMIF(Relatorio_AK!$A:$A,A863,Relatorio_AK!$B:$B)</f>
        <v>105</v>
      </c>
      <c r="N863" s="1" t="str">
        <f aca="false">IF(M863=K863,"OK","DIF")</f>
        <v>OK</v>
      </c>
      <c r="O863" s="13" t="str">
        <f aca="false">IFERROR(VLOOKUP($A863,Lista_Starke!$A:$E,3,0),"NÃO ESTÁ NA LISTA")</f>
        <v>JAGUAR: F-Pace 2.0 Ti4 MHEV PT204(AJ20P4) Híbrido 18/...
LAND ROVER: Discovery Sport 2.0 P200 MHEV PT204(AJ20P4) 19/...
LAND ROVER: Evoque 2.0 P200 Flex MHEV PT204(AJ20P4) Híbrido 20/...
LAND ROVER: Evoque 2.0 P200 MHEV PT204(AJ20P4) Híbrido 18/...
LAND ROVER: Evoque 2.0 P200 PT204(AJ20P4) Gasolina 18/...
LAND ROVER: Evoque 2.0 P250 MHEV PT204(AJ20P4) Híbrido 18/...
LAND ROVER: Evoque 2.0 P250 PT204(AJ20P4) Gasolina 15/...
LAND ROVER: Evoque 2.0 P300 MHEV PT204(AJ20P4) Híbrido 18/...
LAND ROVER: Evoque 2.0 P300 PT204(AJ20P4) Gasolina 20/...
LAND ROVER: Velar 2.0 P250 MHEV P204(AJ20P4) Híbrido 18/...
LAND ROVER: Velar 2.0 P300 MHEV PT204(AJ20P4) 18/...</v>
      </c>
      <c r="P863" s="12" t="str">
        <f aca="false">IFERROR(VLOOKUP($A863,Lista_Starke!$A:$E,2,0),"NÃO ESTÁ NA LISTA")</f>
        <v>BOMBA D'ÁGUA ELÉTRICA</v>
      </c>
    </row>
    <row r="864" customFormat="false" ht="15" hidden="false" customHeight="true" outlineLevel="0" collapsed="false">
      <c r="A864" s="10" t="s">
        <v>1892</v>
      </c>
      <c r="B864" s="10" t="str">
        <f aca="false">IFERROR(VLOOKUP(A864,Pedido!$A:$B,2,0),"")</f>
        <v/>
      </c>
      <c r="C864" s="10" t="str">
        <f aca="false">IF(B864="","NÃO COMPRA","COMPRA")</f>
        <v>NÃO COMPRA</v>
      </c>
      <c r="D864" s="1" t="n">
        <f aca="false">IFERROR(VLOOKUP(A864,Pedido!$A:$C,3,0),0)</f>
        <v>0</v>
      </c>
      <c r="E864" s="5" t="n">
        <f aca="false">IFERROR(VLOOKUP(A864,Pedido!$A:$E,5,0),0)</f>
        <v>0</v>
      </c>
      <c r="F864" s="1" t="s">
        <v>9</v>
      </c>
      <c r="G864" s="1" t="s">
        <v>264</v>
      </c>
      <c r="H864" s="1" t="s">
        <v>88</v>
      </c>
      <c r="I864" s="1" t="s">
        <v>165</v>
      </c>
      <c r="J864" s="1" t="s">
        <v>1893</v>
      </c>
      <c r="K864" s="1" t="n">
        <v>105</v>
      </c>
      <c r="L864" s="11" t="n">
        <v>0.935104631622495</v>
      </c>
      <c r="M864" s="1" t="n">
        <f aca="false">SUMIF(Relatorio_AK!$A:$A,A864,Relatorio_AK!$B:$B)</f>
        <v>105</v>
      </c>
      <c r="N864" s="1" t="str">
        <f aca="false">IF(M864=K864,"OK","DIF")</f>
        <v>OK</v>
      </c>
      <c r="O864" s="13" t="str">
        <f aca="false">IFERROR(VLOOKUP($A864,Lista_Starke!$A:$E,3,0),"NÃO ESTÁ NA LISTA")</f>
        <v>FORD: Fiesta 1.0 8V Endura 96/99
FORD: Fiesta 1.0 8V Zetec Rocam 99/06
FORD: Fiesta 1.3 8V Endura 96/99
FORD: Ka 1.0 8V Endura 97/99
FORD: Ka 1.0 8V Zetec Rocam 99/14
FORD: Ka 1.3 8V Endura 97/99
GM: Celta 1.0 8V 01/02</v>
      </c>
      <c r="P864" s="12" t="str">
        <f aca="false">IFERROR(VLOOKUP($A864,Lista_Starke!$A:$E,2,0),"NÃO ESTÁ NA LISTA")</f>
        <v>CILINDRO DE RODA LE/LD</v>
      </c>
    </row>
    <row r="865" customFormat="false" ht="15" hidden="false" customHeight="true" outlineLevel="0" collapsed="false">
      <c r="A865" s="10" t="s">
        <v>1894</v>
      </c>
      <c r="B865" s="10" t="str">
        <f aca="false">IFERROR(VLOOKUP(A865,Pedido!$A:$B,2,0),"")</f>
        <v/>
      </c>
      <c r="C865" s="10" t="str">
        <f aca="false">IF(B865="","NÃO COMPRA","COMPRA")</f>
        <v>NÃO COMPRA</v>
      </c>
      <c r="D865" s="1" t="n">
        <f aca="false">IFERROR(VLOOKUP(A865,Pedido!$A:$C,3,0),0)</f>
        <v>0</v>
      </c>
      <c r="E865" s="5" t="n">
        <f aca="false">IFERROR(VLOOKUP(A865,Pedido!$A:$E,5,0),0)</f>
        <v>0</v>
      </c>
      <c r="F865" s="1" t="s">
        <v>9</v>
      </c>
      <c r="G865" s="1" t="s">
        <v>1895</v>
      </c>
      <c r="H865" s="1" t="s">
        <v>35</v>
      </c>
      <c r="I865" s="1" t="s">
        <v>1896</v>
      </c>
      <c r="J865" s="1" t="s">
        <v>1897</v>
      </c>
      <c r="K865" s="1" t="n">
        <v>105</v>
      </c>
      <c r="L865" s="11" t="n">
        <v>0.935284131996027</v>
      </c>
      <c r="M865" s="1" t="n">
        <f aca="false">SUMIF(Relatorio_AK!$A:$A,A865,Relatorio_AK!$B:$B)</f>
        <v>105</v>
      </c>
      <c r="N865" s="1" t="str">
        <f aca="false">IF(M865=K865,"OK","DIF")</f>
        <v>OK</v>
      </c>
      <c r="O865" s="13" t="str">
        <f aca="false">IFERROR(VLOOKUP($A865,Lista_Starke!$A:$E,3,0),"NÃO ESTÁ NA LISTA")</f>
        <v>JEEP: Compass 2.0 16V Diesel 16/20
JEEP: Compass 2.0 16V Diesel 21/...</v>
      </c>
      <c r="P865" s="12" t="str">
        <f aca="false">IFERROR(VLOOKUP($A865,Lista_Starke!$A:$E,2,0),"NÃO ESTÁ NA LISTA")</f>
        <v>CILINDRO MESTRE DE FREIO</v>
      </c>
    </row>
    <row r="866" customFormat="false" ht="15" hidden="false" customHeight="true" outlineLevel="0" collapsed="false">
      <c r="A866" s="10" t="s">
        <v>1898</v>
      </c>
      <c r="B866" s="10" t="str">
        <f aca="false">IFERROR(VLOOKUP(A866,Pedido!$A:$B,2,0),"")</f>
        <v/>
      </c>
      <c r="C866" s="10" t="str">
        <f aca="false">IF(B866="","NÃO COMPRA","COMPRA")</f>
        <v>NÃO COMPRA</v>
      </c>
      <c r="D866" s="1" t="n">
        <f aca="false">IFERROR(VLOOKUP(A866,Pedido!$A:$C,3,0),0)</f>
        <v>0</v>
      </c>
      <c r="E866" s="5" t="n">
        <f aca="false">IFERROR(VLOOKUP(A866,Pedido!$A:$E,5,0),0)</f>
        <v>0</v>
      </c>
      <c r="F866" s="1" t="s">
        <v>9</v>
      </c>
      <c r="G866" s="1" t="s">
        <v>1899</v>
      </c>
      <c r="H866" s="1" t="s">
        <v>1358</v>
      </c>
      <c r="I866" s="1" t="s">
        <v>295</v>
      </c>
      <c r="K866" s="1" t="n">
        <v>104</v>
      </c>
      <c r="L866" s="11" t="n">
        <v>0.935461922842192</v>
      </c>
      <c r="M866" s="1" t="n">
        <f aca="false">SUMIF(Relatorio_AK!$A:$A,A866,Relatorio_AK!$B:$B)</f>
        <v>104</v>
      </c>
      <c r="N866" s="1" t="str">
        <f aca="false">IF(M866=K866,"OK","DIF")</f>
        <v>OK</v>
      </c>
      <c r="O866" s="13" t="str">
        <f aca="false">IFERROR(VLOOKUP($A866,Lista_Starke!$A:$E,3,0),"NÃO ESTÁ NA LISTA")</f>
        <v>CHERY: Tiggo 5X 1.5 16V Turbo 19/...
CHERY: Tiggo 5x Pro 1.5 16V Turbo 21/...
CHERY: Tiggo 7 1.6 16V Turbo 19/...</v>
      </c>
      <c r="P866" s="12" t="str">
        <f aca="false">IFERROR(VLOOKUP($A866,Lista_Starke!$A:$E,2,0),"NÃO ESTÁ NA LISTA")</f>
        <v>BANDEJA INFERIOR COMPLETA LE</v>
      </c>
    </row>
    <row r="867" customFormat="false" ht="15" hidden="false" customHeight="true" outlineLevel="0" collapsed="false">
      <c r="A867" s="10" t="s">
        <v>1900</v>
      </c>
      <c r="B867" s="10" t="str">
        <f aca="false">IFERROR(VLOOKUP(A867,Pedido!$A:$B,2,0),"")</f>
        <v/>
      </c>
      <c r="C867" s="10" t="str">
        <f aca="false">IF(B867="","NÃO COMPRA","COMPRA")</f>
        <v>NÃO COMPRA</v>
      </c>
      <c r="D867" s="1" t="n">
        <f aca="false">IFERROR(VLOOKUP(A867,Pedido!$A:$C,3,0),0)</f>
        <v>0</v>
      </c>
      <c r="E867" s="5" t="n">
        <f aca="false">IFERROR(VLOOKUP(A867,Pedido!$A:$E,5,0),0)</f>
        <v>0</v>
      </c>
      <c r="F867" s="1" t="s">
        <v>9</v>
      </c>
      <c r="G867" s="1" t="s">
        <v>1709</v>
      </c>
      <c r="H867" s="1" t="s">
        <v>32</v>
      </c>
      <c r="I867" s="1" t="s">
        <v>295</v>
      </c>
      <c r="K867" s="1" t="n">
        <v>104</v>
      </c>
      <c r="L867" s="11" t="n">
        <v>0.935639713688356</v>
      </c>
      <c r="M867" s="1" t="n">
        <f aca="false">SUMIF(Relatorio_AK!$A:$A,A867,Relatorio_AK!$B:$B)</f>
        <v>104</v>
      </c>
      <c r="N867" s="1" t="str">
        <f aca="false">IF(M867=K867,"OK","DIF")</f>
        <v>OK</v>
      </c>
      <c r="O867" s="12" t="str">
        <f aca="false">IFERROR(VLOOKUP($A867,Lista_Starke!$A:$E,3,0),"NÃO ESTÁ NA LISTA")</f>
        <v>CHERY: Cielo 1.6 16V 10/12</v>
      </c>
      <c r="P867" s="12" t="str">
        <f aca="false">IFERROR(VLOOKUP($A867,Lista_Starke!$A:$E,2,0),"NÃO ESTÁ NA LISTA")</f>
        <v>CILINDRO MESTRE DE EMBREAGEM</v>
      </c>
    </row>
    <row r="868" customFormat="false" ht="15" hidden="false" customHeight="true" outlineLevel="0" collapsed="false">
      <c r="A868" s="10" t="s">
        <v>1901</v>
      </c>
      <c r="B868" s="10" t="str">
        <f aca="false">IFERROR(VLOOKUP(A868,Pedido!$A:$B,2,0),"")</f>
        <v/>
      </c>
      <c r="C868" s="10" t="str">
        <f aca="false">IF(B868="","NÃO COMPRA","COMPRA")</f>
        <v>NÃO COMPRA</v>
      </c>
      <c r="D868" s="1" t="n">
        <f aca="false">IFERROR(VLOOKUP(A868,Pedido!$A:$C,3,0),0)</f>
        <v>0</v>
      </c>
      <c r="E868" s="5" t="n">
        <f aca="false">IFERROR(VLOOKUP(A868,Pedido!$A:$E,5,0),0)</f>
        <v>0</v>
      </c>
      <c r="F868" s="1" t="s">
        <v>9</v>
      </c>
      <c r="G868" s="1" t="s">
        <v>1189</v>
      </c>
      <c r="H868" s="1" t="s">
        <v>88</v>
      </c>
      <c r="I868" s="1" t="s">
        <v>57</v>
      </c>
      <c r="J868" s="1" t="s">
        <v>1902</v>
      </c>
      <c r="K868" s="1" t="n">
        <v>104</v>
      </c>
      <c r="L868" s="11" t="n">
        <v>0.935817504534521</v>
      </c>
      <c r="M868" s="1" t="n">
        <f aca="false">SUMIF(Relatorio_AK!$A:$A,A868,Relatorio_AK!$B:$B)</f>
        <v>104</v>
      </c>
      <c r="N868" s="1" t="str">
        <f aca="false">IF(M868=K868,"OK","DIF")</f>
        <v>OK</v>
      </c>
      <c r="O868" s="13" t="str">
        <f aca="false">IFERROR(VLOOKUP($A868,Lista_Starke!$A:$E,3,0),"NÃO ESTÁ NA LISTA")</f>
        <v>GM: Blazer 2.2 8V 95/00
GM: Blazer 4.3 V6 95/11
GM: S10 2.2 8V 97/00
GM: S10 2.4 8V 97/12
GM: S10 2.5 8V 97/00
GM: S10 2.8 12V 01/12
GM: S10 4.3 V6 97/03</v>
      </c>
      <c r="P868" s="12" t="str">
        <f aca="false">IFERROR(VLOOKUP($A868,Lista_Starke!$A:$E,2,0),"NÃO ESTÁ NA LISTA")</f>
        <v>CILINDRO DE RODA LE</v>
      </c>
    </row>
    <row r="869" customFormat="false" ht="15" hidden="false" customHeight="true" outlineLevel="0" collapsed="false">
      <c r="A869" s="10" t="s">
        <v>1903</v>
      </c>
      <c r="B869" s="10" t="str">
        <f aca="false">IFERROR(VLOOKUP(A869,Pedido!$A:$B,2,0),"")</f>
        <v/>
      </c>
      <c r="C869" s="10" t="str">
        <f aca="false">IF(B869="","NÃO COMPRA","COMPRA")</f>
        <v>NÃO COMPRA</v>
      </c>
      <c r="D869" s="1" t="n">
        <f aca="false">IFERROR(VLOOKUP(A869,Pedido!$A:$C,3,0),0)</f>
        <v>0</v>
      </c>
      <c r="E869" s="5" t="n">
        <f aca="false">IFERROR(VLOOKUP(A869,Pedido!$A:$E,5,0),0)</f>
        <v>0</v>
      </c>
      <c r="F869" s="1" t="s">
        <v>9</v>
      </c>
      <c r="G869" s="1" t="s">
        <v>1810</v>
      </c>
      <c r="H869" s="1" t="s">
        <v>1358</v>
      </c>
      <c r="I869" s="1" t="s">
        <v>215</v>
      </c>
      <c r="J869" s="1" t="s">
        <v>1904</v>
      </c>
      <c r="K869" s="1" t="n">
        <v>103</v>
      </c>
      <c r="L869" s="11" t="n">
        <v>0.935993585853319</v>
      </c>
      <c r="M869" s="1" t="n">
        <f aca="false">SUMIF(Relatorio_AK!$A:$A,A869,Relatorio_AK!$B:$B)</f>
        <v>103</v>
      </c>
      <c r="N869" s="1" t="str">
        <f aca="false">IF(M869=K869,"OK","DIF")</f>
        <v>OK</v>
      </c>
      <c r="O869" s="13" t="str">
        <f aca="false">IFERROR(VLOOKUP($A869,Lista_Starke!$A:$E,3,0),"NÃO ESTÁ NA LISTA")</f>
        <v>NISSAN: Kicks  17/...
NISSAN: Versa  21/...</v>
      </c>
      <c r="P869" s="12" t="str">
        <f aca="false">IFERROR(VLOOKUP($A869,Lista_Starke!$A:$E,2,0),"NÃO ESTÁ NA LISTA")</f>
        <v>BANDEJA INFERIOR COMPLETA LD</v>
      </c>
    </row>
    <row r="870" customFormat="false" ht="15" hidden="false" customHeight="true" outlineLevel="0" collapsed="false">
      <c r="A870" s="10" t="s">
        <v>1905</v>
      </c>
      <c r="B870" s="10" t="str">
        <f aca="false">IFERROR(VLOOKUP(A870,Pedido!$A:$B,2,0),"")</f>
        <v/>
      </c>
      <c r="C870" s="10" t="str">
        <f aca="false">IF(B870="","NÃO COMPRA","COMPRA")</f>
        <v>NÃO COMPRA</v>
      </c>
      <c r="D870" s="1" t="n">
        <f aca="false">IFERROR(VLOOKUP(A870,Pedido!$A:$C,3,0),0)</f>
        <v>0</v>
      </c>
      <c r="E870" s="5" t="n">
        <f aca="false">IFERROR(VLOOKUP(A870,Pedido!$A:$E,5,0),0)</f>
        <v>0</v>
      </c>
      <c r="F870" s="1" t="s">
        <v>9</v>
      </c>
      <c r="G870" s="1" t="s">
        <v>1906</v>
      </c>
      <c r="H870" s="1" t="s">
        <v>1358</v>
      </c>
      <c r="I870" s="1" t="s">
        <v>53</v>
      </c>
      <c r="J870" s="1" t="s">
        <v>1907</v>
      </c>
      <c r="K870" s="1" t="n">
        <v>103</v>
      </c>
      <c r="L870" s="11" t="n">
        <v>0.936169667172117</v>
      </c>
      <c r="M870" s="1" t="n">
        <f aca="false">SUMIF(Relatorio_AK!$A:$A,A870,Relatorio_AK!$B:$B)</f>
        <v>103</v>
      </c>
      <c r="N870" s="1" t="str">
        <f aca="false">IF(M870=K870,"OK","DIF")</f>
        <v>OK</v>
      </c>
      <c r="O870" s="12" t="str">
        <f aca="false">IFERROR(VLOOKUP($A870,Lista_Starke!$A:$E,3,0),"NÃO ESTÁ NA LISTA")</f>
        <v>FORD: Fusion  12/19</v>
      </c>
      <c r="P870" s="12" t="str">
        <f aca="false">IFERROR(VLOOKUP($A870,Lista_Starke!$A:$E,2,0),"NÃO ESTÁ NA LISTA")</f>
        <v>BANDEJA INFERIOR COMPLETA LE</v>
      </c>
    </row>
    <row r="871" customFormat="false" ht="15" hidden="false" customHeight="true" outlineLevel="0" collapsed="false">
      <c r="A871" s="10" t="s">
        <v>1908</v>
      </c>
      <c r="B871" s="10" t="str">
        <f aca="false">IFERROR(VLOOKUP(A871,Pedido!$A:$B,2,0),"")</f>
        <v/>
      </c>
      <c r="C871" s="10" t="str">
        <f aca="false">IF(B871="","NÃO COMPRA","COMPRA")</f>
        <v>NÃO COMPRA</v>
      </c>
      <c r="D871" s="1" t="n">
        <f aca="false">IFERROR(VLOOKUP(A871,Pedido!$A:$C,3,0),0)</f>
        <v>0</v>
      </c>
      <c r="E871" s="5" t="n">
        <f aca="false">IFERROR(VLOOKUP(A871,Pedido!$A:$E,5,0),0)</f>
        <v>0</v>
      </c>
      <c r="F871" s="1" t="s">
        <v>9</v>
      </c>
      <c r="G871" s="1" t="s">
        <v>1909</v>
      </c>
      <c r="H871" s="1" t="s">
        <v>1358</v>
      </c>
      <c r="I871" s="1" t="s">
        <v>29</v>
      </c>
      <c r="J871" s="1" t="s">
        <v>1910</v>
      </c>
      <c r="K871" s="1" t="n">
        <v>103</v>
      </c>
      <c r="L871" s="11" t="n">
        <v>0.936345748490914</v>
      </c>
      <c r="M871" s="1" t="n">
        <f aca="false">SUMIF(Relatorio_AK!$A:$A,A871,Relatorio_AK!$B:$B)</f>
        <v>103</v>
      </c>
      <c r="N871" s="1" t="str">
        <f aca="false">IF(M871=K871,"OK","DIF")</f>
        <v>OK</v>
      </c>
      <c r="O871" s="13" t="str">
        <f aca="false">IFERROR(VLOOKUP($A871,Lista_Starke!$A:$E,3,0),"NÃO ESTÁ NA LISTA")</f>
        <v>HB20 1.0 12V Turbo 
HYUNDAI: HB20 1.0 12V 20/...</v>
      </c>
      <c r="P871" s="12" t="str">
        <f aca="false">IFERROR(VLOOKUP($A871,Lista_Starke!$A:$E,2,0),"NÃO ESTÁ NA LISTA")</f>
        <v>BANDEJA INFERIOR COMPLETA LE</v>
      </c>
    </row>
    <row r="872" customFormat="false" ht="15" hidden="false" customHeight="true" outlineLevel="0" collapsed="false">
      <c r="A872" s="10" t="s">
        <v>1911</v>
      </c>
      <c r="B872" s="10" t="str">
        <f aca="false">IFERROR(VLOOKUP(A872,Pedido!$A:$B,2,0),"")</f>
        <v/>
      </c>
      <c r="C872" s="10" t="str">
        <f aca="false">IF(B872="","NÃO COMPRA","COMPRA")</f>
        <v>NÃO COMPRA</v>
      </c>
      <c r="D872" s="1" t="n">
        <f aca="false">IFERROR(VLOOKUP(A872,Pedido!$A:$C,3,0),0)</f>
        <v>0</v>
      </c>
      <c r="E872" s="5" t="n">
        <f aca="false">IFERROR(VLOOKUP(A872,Pedido!$A:$E,5,0),0)</f>
        <v>0</v>
      </c>
      <c r="F872" s="1" t="s">
        <v>9</v>
      </c>
      <c r="G872" s="1" t="s">
        <v>349</v>
      </c>
      <c r="H872" s="1" t="s">
        <v>197</v>
      </c>
      <c r="I872" s="1" t="s">
        <v>57</v>
      </c>
      <c r="J872" s="1" t="s">
        <v>1912</v>
      </c>
      <c r="K872" s="1" t="n">
        <v>103</v>
      </c>
      <c r="L872" s="11" t="n">
        <v>0.936521829809712</v>
      </c>
      <c r="M872" s="1" t="n">
        <f aca="false">SUMIF(Relatorio_AK!$A:$A,A872,Relatorio_AK!$B:$B)</f>
        <v>103</v>
      </c>
      <c r="N872" s="1" t="str">
        <f aca="false">IF(M872=K872,"OK","DIF")</f>
        <v>OK</v>
      </c>
      <c r="O872" s="13" t="str">
        <f aca="false">IFERROR(VLOOKUP($A872,Lista_Starke!$A:$E,3,0),"NÃO ESTÁ NA LISTA")</f>
        <v>GM: Cruze 1.8 16V Ecotec 11/…
GM: Sonic 1.6 16V Ecotec 12/…
GM: Tracker 1.8 16V Ecotec 14/…</v>
      </c>
      <c r="P872" s="12" t="str">
        <f aca="false">IFERROR(VLOOKUP($A872,Lista_Starke!$A:$E,2,0),"NÃO ESTÁ NA LISTA")</f>
        <v>BOMBA D'ÁGUA</v>
      </c>
    </row>
    <row r="873" customFormat="false" ht="15" hidden="false" customHeight="true" outlineLevel="0" collapsed="false">
      <c r="A873" s="10" t="s">
        <v>1913</v>
      </c>
      <c r="B873" s="10" t="str">
        <f aca="false">IFERROR(VLOOKUP(A873,Pedido!$A:$B,2,0),"")</f>
        <v/>
      </c>
      <c r="C873" s="10" t="str">
        <f aca="false">IF(B873="","NÃO COMPRA","COMPRA")</f>
        <v>NÃO COMPRA</v>
      </c>
      <c r="D873" s="1" t="n">
        <f aca="false">IFERROR(VLOOKUP(A873,Pedido!$A:$C,3,0),0)</f>
        <v>0</v>
      </c>
      <c r="E873" s="5" t="n">
        <f aca="false">IFERROR(VLOOKUP(A873,Pedido!$A:$E,5,0),0)</f>
        <v>0</v>
      </c>
      <c r="F873" s="1" t="s">
        <v>9</v>
      </c>
      <c r="G873" s="1" t="s">
        <v>1914</v>
      </c>
      <c r="H873" s="1" t="s">
        <v>197</v>
      </c>
      <c r="I873" s="1" t="s">
        <v>226</v>
      </c>
      <c r="J873" s="1" t="s">
        <v>1915</v>
      </c>
      <c r="K873" s="1" t="n">
        <v>103</v>
      </c>
      <c r="L873" s="11" t="n">
        <v>0.93669791112851</v>
      </c>
      <c r="M873" s="1" t="n">
        <f aca="false">SUMIF(Relatorio_AK!$A:$A,A873,Relatorio_AK!$B:$B)</f>
        <v>103</v>
      </c>
      <c r="N873" s="1" t="str">
        <f aca="false">IF(M873=K873,"OK","DIF")</f>
        <v>OK</v>
      </c>
      <c r="O873" s="13" t="str">
        <f aca="false">IFERROR(VLOOKUP($A873,Lista_Starke!$A:$E,3,0),"NÃO ESTÁ NA LISTA")</f>
        <v>AUDI: A3 1.8 20V Turbo 180 cv AJL 00/03
AUDI: A3 1.8 ADR 94/…
AUDI: A4 1.6 ADP 94/00
AUDI: A4 1.8 20V Turbo 180 cv AJL 94/00
AUDI: A4 1.8 ADR / AFY 94/00
AUDI: A6 1.8 ADR / AFY 94/00
AUDI: S4 1.8 20V Turbo 180 cv AJL 97/06
VOLKSWAGEN: Golf 2.0 93/98
VOLKSWAGEN: Golf GTI 2.0 93/98
VOLKSWAGEN: Passat 1.8 20V ADR / AFY 99/04</v>
      </c>
      <c r="P873" s="12" t="str">
        <f aca="false">IFERROR(VLOOKUP($A873,Lista_Starke!$A:$E,2,0),"NÃO ESTÁ NA LISTA")</f>
        <v>BOMBA D'ÁGUA</v>
      </c>
    </row>
    <row r="874" customFormat="false" ht="15" hidden="false" customHeight="true" outlineLevel="0" collapsed="false">
      <c r="A874" s="10" t="s">
        <v>1916</v>
      </c>
      <c r="B874" s="10" t="str">
        <f aca="false">IFERROR(VLOOKUP(A874,Pedido!$A:$B,2,0),"")</f>
        <v/>
      </c>
      <c r="C874" s="10" t="str">
        <f aca="false">IF(B874="","NÃO COMPRA","COMPRA")</f>
        <v>NÃO COMPRA</v>
      </c>
      <c r="D874" s="1" t="n">
        <f aca="false">IFERROR(VLOOKUP(A874,Pedido!$A:$C,3,0),0)</f>
        <v>0</v>
      </c>
      <c r="E874" s="5" t="n">
        <f aca="false">IFERROR(VLOOKUP(A874,Pedido!$A:$E,5,0),0)</f>
        <v>0</v>
      </c>
      <c r="F874" s="1" t="s">
        <v>9</v>
      </c>
      <c r="G874" s="1" t="s">
        <v>349</v>
      </c>
      <c r="H874" s="1" t="s">
        <v>197</v>
      </c>
      <c r="I874" s="1" t="s">
        <v>57</v>
      </c>
      <c r="J874" s="1" t="s">
        <v>1917</v>
      </c>
      <c r="K874" s="1" t="n">
        <v>103</v>
      </c>
      <c r="L874" s="11" t="n">
        <v>0.936873992447308</v>
      </c>
      <c r="M874" s="1" t="n">
        <f aca="false">SUMIF(Relatorio_AK!$A:$A,A874,Relatorio_AK!$B:$B)</f>
        <v>103</v>
      </c>
      <c r="N874" s="1" t="str">
        <f aca="false">IF(M874=K874,"OK","DIF")</f>
        <v>OK</v>
      </c>
      <c r="O874" s="13" t="str">
        <f aca="false">IFERROR(VLOOKUP($A874,Lista_Starke!$A:$E,3,0),"NÃO ESTÁ NA LISTA")</f>
        <v>GM: Captiva 2.4 16V Ecotec 10/…
GM: Malibu 2.4 16V Ecotec 11/…</v>
      </c>
      <c r="P874" s="12" t="str">
        <f aca="false">IFERROR(VLOOKUP($A874,Lista_Starke!$A:$E,2,0),"NÃO ESTÁ NA LISTA")</f>
        <v>BOMBA D'ÁGUA</v>
      </c>
    </row>
    <row r="875" customFormat="false" ht="15" hidden="false" customHeight="true" outlineLevel="0" collapsed="false">
      <c r="A875" s="10" t="s">
        <v>1918</v>
      </c>
      <c r="B875" s="10" t="str">
        <f aca="false">IFERROR(VLOOKUP(A875,Pedido!$A:$B,2,0),"")</f>
        <v/>
      </c>
      <c r="C875" s="10" t="str">
        <f aca="false">IF(B875="","NÃO COMPRA","COMPRA")</f>
        <v>NÃO COMPRA</v>
      </c>
      <c r="D875" s="1" t="n">
        <f aca="false">IFERROR(VLOOKUP(A875,Pedido!$A:$C,3,0),0)</f>
        <v>0</v>
      </c>
      <c r="E875" s="5" t="n">
        <f aca="false">IFERROR(VLOOKUP(A875,Pedido!$A:$E,5,0),0)</f>
        <v>0</v>
      </c>
      <c r="F875" s="1" t="s">
        <v>9</v>
      </c>
      <c r="G875" s="1" t="s">
        <v>1919</v>
      </c>
      <c r="H875" s="1" t="s">
        <v>1358</v>
      </c>
      <c r="I875" s="1" t="s">
        <v>177</v>
      </c>
      <c r="J875" s="1" t="s">
        <v>1920</v>
      </c>
      <c r="K875" s="1" t="n">
        <v>102</v>
      </c>
      <c r="L875" s="11" t="n">
        <v>0.937048364238739</v>
      </c>
      <c r="M875" s="1" t="n">
        <f aca="false">SUMIF(Relatorio_AK!$A:$A,A875,Relatorio_AK!$B:$B)</f>
        <v>102</v>
      </c>
      <c r="N875" s="1" t="str">
        <f aca="false">IF(M875=K875,"OK","DIF")</f>
        <v>OK</v>
      </c>
      <c r="O875" s="13" t="str">
        <f aca="false">IFERROR(VLOOKUP($A875,Lista_Starke!$A:$E,3,0),"NÃO ESTÁ NA LISTA")</f>
        <v>TOYOTA: Etios 1.3 16V 12/18
TOYOTA: Etios 1.5 16V 12/18</v>
      </c>
      <c r="P875" s="12" t="str">
        <f aca="false">IFERROR(VLOOKUP($A875,Lista_Starke!$A:$E,2,0),"NÃO ESTÁ NA LISTA")</f>
        <v>BANDEJA INFERIOR COMPLETA LD</v>
      </c>
    </row>
    <row r="876" customFormat="false" ht="15" hidden="false" customHeight="true" outlineLevel="0" collapsed="false">
      <c r="A876" s="10" t="s">
        <v>1921</v>
      </c>
      <c r="B876" s="10" t="str">
        <f aca="false">IFERROR(VLOOKUP(A876,Pedido!$A:$B,2,0),"")</f>
        <v/>
      </c>
      <c r="C876" s="10" t="str">
        <f aca="false">IF(B876="","NÃO COMPRA","COMPRA")</f>
        <v>NÃO COMPRA</v>
      </c>
      <c r="D876" s="1" t="n">
        <f aca="false">IFERROR(VLOOKUP(A876,Pedido!$A:$C,3,0),0)</f>
        <v>0</v>
      </c>
      <c r="E876" s="5" t="n">
        <f aca="false">IFERROR(VLOOKUP(A876,Pedido!$A:$E,5,0),0)</f>
        <v>0</v>
      </c>
      <c r="F876" s="1" t="s">
        <v>9</v>
      </c>
      <c r="G876" s="1" t="s">
        <v>826</v>
      </c>
      <c r="H876" s="1" t="s">
        <v>790</v>
      </c>
      <c r="I876" s="1" t="s">
        <v>1157</v>
      </c>
      <c r="K876" s="1" t="n">
        <v>102</v>
      </c>
      <c r="L876" s="11" t="n">
        <v>0.937222736030169</v>
      </c>
      <c r="M876" s="1" t="n">
        <f aca="false">SUMIF(Relatorio_AK!$A:$A,A876,Relatorio_AK!$B:$B)</f>
        <v>102</v>
      </c>
      <c r="N876" s="1" t="str">
        <f aca="false">IF(M876=K876,"OK","DIF")</f>
        <v>OK</v>
      </c>
      <c r="O876" s="13" t="str">
        <f aca="false">IFERROR(VLOOKUP($A876,Lista_Starke!$A:$E,3,0),"NÃO ESTÁ NA LISTA")</f>
        <v>BMW: 125 (F21) 2.0 16V N20B20A 11/...
BMW: 125i (F20) 2.0 16V N20B20A 12/17
BMW: 125i (F21) 2.0 16V N20B20A 11/19
BMW: 220i (F22) 2.0 16V N20B20A / N20B20B 13/21
BMW: 228i (F22) 2.0 16V N20B20A / N26B20B 14/16
BMW: 320i (F30/F80) 2.0 16V N20B20A / N20B20B / N20B20D 11/18
BMW: 328i (F30) 2.0 16V N20B20A / N26B20A 12/16
BMW: 428i (F32/F82) 2.0 16V N20B20A / N26B20B 13/17
BMW: 520i (F10) 2.0 16V N20B20A / N20B20B 11/16
BMW: 528i (F10) 2.0 16V N20B20A 11/16
BMW: X1 (E84) sDrive 20i 2.0 16V N20B20A 11/15
BMW: X1 (E84) xDrive 20i 2.0 16V N20B20A 11/15
BMW: X1 (E84) xDrive 28i 2.0 16V N20B20A 11/16
BMW: X3 (F25) xDrive 20i 2.0 16V N20B20A 11/17
BMW: X3 (F25) xDrive 28i 2.0 16V N20B20A 12/17
BMW: X4 (F26) xDrive 28i 2.0 16V N20B20A 14/18
BMW: X5 (F15/F85) xDrive 28i 2.0 16V N20B20A 15/18
BMW: X5 (F15/F85) xDrive 40e 2.0 16V N20B20A 15/18
BMW: Z4 (E89) sDrive 18i 2.0 16V N20B20A 13/16
BMW: Z4 (E89) sDrive 20i 2.0 16V N20B20A 11/16</v>
      </c>
      <c r="P876" s="12" t="str">
        <f aca="false">IFERROR(VLOOKUP($A876,Lista_Starke!$A:$E,2,0),"NÃO ESTÁ NA LISTA")</f>
        <v>BOMBA D'ÁGUA ELÉTRICA</v>
      </c>
    </row>
    <row r="877" customFormat="false" ht="15" hidden="false" customHeight="true" outlineLevel="0" collapsed="false">
      <c r="A877" s="10" t="s">
        <v>1922</v>
      </c>
      <c r="B877" s="10" t="str">
        <f aca="false">IFERROR(VLOOKUP(A877,Pedido!$A:$B,2,0),"")</f>
        <v/>
      </c>
      <c r="C877" s="10" t="str">
        <f aca="false">IF(B877="","NÃO COMPRA","COMPRA")</f>
        <v>NÃO COMPRA</v>
      </c>
      <c r="D877" s="1" t="n">
        <f aca="false">IFERROR(VLOOKUP(A877,Pedido!$A:$C,3,0),0)</f>
        <v>0</v>
      </c>
      <c r="E877" s="5" t="n">
        <f aca="false">IFERROR(VLOOKUP(A877,Pedido!$A:$E,5,0),0)</f>
        <v>0</v>
      </c>
      <c r="F877" s="1" t="s">
        <v>9</v>
      </c>
      <c r="G877" s="1" t="s">
        <v>602</v>
      </c>
      <c r="H877" s="1" t="s">
        <v>35</v>
      </c>
      <c r="I877" s="1" t="s">
        <v>29</v>
      </c>
      <c r="K877" s="1" t="n">
        <v>102</v>
      </c>
      <c r="L877" s="11" t="n">
        <v>0.9373971078216</v>
      </c>
      <c r="M877" s="1" t="n">
        <f aca="false">SUMIF(Relatorio_AK!$A:$A,A877,Relatorio_AK!$B:$B)</f>
        <v>102</v>
      </c>
      <c r="N877" s="1" t="str">
        <f aca="false">IF(M877=K877,"OK","DIF")</f>
        <v>OK</v>
      </c>
      <c r="O877" s="12" t="str">
        <f aca="false">IFERROR(VLOOKUP($A877,Lista_Starke!$A:$E,3,0),"NÃO ESTÁ NA LISTA")</f>
        <v>HYUNDAI: Azera 3.0 24V V6 12/...</v>
      </c>
      <c r="P877" s="12" t="str">
        <f aca="false">IFERROR(VLOOKUP($A877,Lista_Starke!$A:$E,2,0),"NÃO ESTÁ NA LISTA")</f>
        <v>CILINDRO MESTRE DE FREIO</v>
      </c>
    </row>
    <row r="878" customFormat="false" ht="15" hidden="false" customHeight="true" outlineLevel="0" collapsed="false">
      <c r="A878" s="10" t="s">
        <v>1923</v>
      </c>
      <c r="B878" s="10" t="str">
        <f aca="false">IFERROR(VLOOKUP(A878,Pedido!$A:$B,2,0),"")</f>
        <v/>
      </c>
      <c r="C878" s="10" t="str">
        <f aca="false">IF(B878="","NÃO COMPRA","COMPRA")</f>
        <v>NÃO COMPRA</v>
      </c>
      <c r="D878" s="1" t="n">
        <f aca="false">IFERROR(VLOOKUP(A878,Pedido!$A:$C,3,0),0)</f>
        <v>0</v>
      </c>
      <c r="E878" s="5" t="n">
        <f aca="false">IFERROR(VLOOKUP(A878,Pedido!$A:$E,5,0),0)</f>
        <v>0</v>
      </c>
      <c r="F878" s="1" t="s">
        <v>9</v>
      </c>
      <c r="G878" s="1" t="s">
        <v>297</v>
      </c>
      <c r="H878" s="1" t="s">
        <v>32</v>
      </c>
      <c r="I878" s="1" t="s">
        <v>255</v>
      </c>
      <c r="K878" s="1" t="n">
        <v>102</v>
      </c>
      <c r="L878" s="11" t="n">
        <v>0.937571479613031</v>
      </c>
      <c r="M878" s="1" t="n">
        <f aca="false">SUMIF(Relatorio_AK!$A:$A,A878,Relatorio_AK!$B:$B)</f>
        <v>102</v>
      </c>
      <c r="N878" s="1" t="str">
        <f aca="false">IF(M878=K878,"OK","DIF")</f>
        <v>OK</v>
      </c>
      <c r="O878" s="13" t="str">
        <f aca="false">IFERROR(VLOOKUP($A878,Lista_Starke!$A:$E,3,0),"NÃO ESTÁ NA LISTA")</f>
        <v>MITSUBISHI: Pajero Dakar 3.2 16V 4M41 10/19
MITSUBISHI: Pajero Full 3.2 16V 4M41 01/19
MITSUBISHI: Pajero Full 3.8 V6 6G75 01/19</v>
      </c>
      <c r="P878" s="12" t="str">
        <f aca="false">IFERROR(VLOOKUP($A878,Lista_Starke!$A:$E,2,0),"NÃO ESTÁ NA LISTA")</f>
        <v>CILINDRO MESTRE DE EMBREAGEM</v>
      </c>
    </row>
    <row r="879" customFormat="false" ht="15" hidden="false" customHeight="true" outlineLevel="0" collapsed="false">
      <c r="A879" s="10" t="s">
        <v>1924</v>
      </c>
      <c r="B879" s="10" t="str">
        <f aca="false">IFERROR(VLOOKUP(A879,Pedido!$A:$B,2,0),"")</f>
        <v/>
      </c>
      <c r="C879" s="10" t="str">
        <f aca="false">IF(B879="","NÃO COMPRA","COMPRA")</f>
        <v>NÃO COMPRA</v>
      </c>
      <c r="D879" s="1" t="n">
        <f aca="false">IFERROR(VLOOKUP(A879,Pedido!$A:$C,3,0),0)</f>
        <v>0</v>
      </c>
      <c r="E879" s="5" t="n">
        <f aca="false">IFERROR(VLOOKUP(A879,Pedido!$A:$E,5,0),0)</f>
        <v>0</v>
      </c>
      <c r="F879" s="1" t="s">
        <v>9</v>
      </c>
      <c r="G879" s="1" t="s">
        <v>1925</v>
      </c>
      <c r="H879" s="1" t="s">
        <v>1131</v>
      </c>
      <c r="I879" s="1" t="s">
        <v>77</v>
      </c>
      <c r="J879" s="1" t="s">
        <v>1926</v>
      </c>
      <c r="K879" s="1" t="n">
        <v>102</v>
      </c>
      <c r="L879" s="11" t="n">
        <v>0.937745851404462</v>
      </c>
      <c r="M879" s="1" t="n">
        <f aca="false">SUMIF(Relatorio_AK!$A:$A,A879,Relatorio_AK!$B:$B)</f>
        <v>102</v>
      </c>
      <c r="N879" s="1" t="str">
        <f aca="false">IF(M879=K879,"OK","DIF")</f>
        <v>OK</v>
      </c>
      <c r="O879" s="13" t="str">
        <f aca="false">IFERROR(VLOOKUP($A879,Lista_Starke!$A:$E,3,0),"NÃO ESTÁ NA LISTA")</f>
        <v>CITROEN: C4 / C4 Picasso 1.6 16V / 1.6 16V THP EP6 / EP6DT 14/18
CITROEN: C4 Lounge 1.6 16V THP EP6DT / EP6DTS 14/21
CITROEN: DS3 1.6 16V THP EP6DT / EP6DTS 12/15
CITROEN: DS4 1.6 16V THP EP6DT / EP6DTS 11/15
CITROEN: DS5 1.6 16V THP EP6DT / EP6DTS 11/15
PEUGEOT: 2008 1.6 16V THP EP6DT / EPDDTS 15/…
PEUGEOT: 3008 1.6 16V THP EP6DT / EPDDTS 13/18
PEUGEOT: 308 1.6 16V THP EP6DT / EPDDTS 13/17
PEUGEOT: 5008 1.6 16V THP EP6DT / EPDDTS 17/21
PEUGEOT: RCZ 1.6 16V THP EP6DT / EPDDTS 11/15</v>
      </c>
      <c r="P879" s="12" t="str">
        <f aca="false">IFERROR(VLOOKUP($A879,Lista_Starke!$A:$E,2,0),"NÃO ESTÁ NA LISTA")</f>
        <v>BOMBA DE ALTA PRESSÃO GDI</v>
      </c>
    </row>
    <row r="880" customFormat="false" ht="15" hidden="false" customHeight="true" outlineLevel="0" collapsed="false">
      <c r="A880" s="10" t="s">
        <v>1927</v>
      </c>
      <c r="B880" s="10" t="str">
        <f aca="false">IFERROR(VLOOKUP(A880,Pedido!$A:$B,2,0),"")</f>
        <v/>
      </c>
      <c r="C880" s="10" t="str">
        <f aca="false">IF(B880="","NÃO COMPRA","COMPRA")</f>
        <v>NÃO COMPRA</v>
      </c>
      <c r="D880" s="1" t="n">
        <f aca="false">IFERROR(VLOOKUP(A880,Pedido!$A:$C,3,0),0)</f>
        <v>0</v>
      </c>
      <c r="E880" s="5" t="n">
        <f aca="false">IFERROR(VLOOKUP(A880,Pedido!$A:$E,5,0),0)</f>
        <v>0</v>
      </c>
      <c r="F880" s="1" t="s">
        <v>9</v>
      </c>
      <c r="G880" s="1" t="s">
        <v>1928</v>
      </c>
      <c r="H880" s="1" t="s">
        <v>1358</v>
      </c>
      <c r="I880" s="1" t="s">
        <v>77</v>
      </c>
      <c r="J880" s="1" t="s">
        <v>1929</v>
      </c>
      <c r="K880" s="1" t="n">
        <v>101</v>
      </c>
      <c r="L880" s="11" t="n">
        <v>0.937918513668526</v>
      </c>
      <c r="M880" s="1" t="n">
        <f aca="false">SUMIF(Relatorio_AK!$A:$A,A880,Relatorio_AK!$B:$B)</f>
        <v>101</v>
      </c>
      <c r="N880" s="1" t="str">
        <f aca="false">IF(M880=K880,"OK","DIF")</f>
        <v>OK</v>
      </c>
      <c r="O880" s="13" t="str">
        <f aca="false">IFERROR(VLOOKUP($A880,Lista_Starke!$A:$E,3,0),"NÃO ESTÁ NA LISTA")</f>
        <v>CITROEN: Aircross  10/20
CITROEN: C3  03/20
CITROEN: C3 Picasso  11/15
CITROEN: C4 Cactus  14/...
CITROEN: DS3  12/16
PEUGEOT: 2008  15/21
PEUGEOT: 208  13/20</v>
      </c>
      <c r="P880" s="12" t="str">
        <f aca="false">IFERROR(VLOOKUP($A880,Lista_Starke!$A:$E,2,0),"NÃO ESTÁ NA LISTA")</f>
        <v>BANDEJA INFERIOR COMPLETA LD</v>
      </c>
    </row>
    <row r="881" customFormat="false" ht="15" hidden="false" customHeight="true" outlineLevel="0" collapsed="false">
      <c r="A881" s="10" t="s">
        <v>1930</v>
      </c>
      <c r="B881" s="10" t="str">
        <f aca="false">IFERROR(VLOOKUP(A881,Pedido!$A:$B,2,0),"")</f>
        <v/>
      </c>
      <c r="C881" s="10" t="str">
        <f aca="false">IF(B881="","NÃO COMPRA","COMPRA")</f>
        <v>NÃO COMPRA</v>
      </c>
      <c r="D881" s="1" t="n">
        <f aca="false">IFERROR(VLOOKUP(A881,Pedido!$A:$C,3,0),0)</f>
        <v>0</v>
      </c>
      <c r="E881" s="5" t="n">
        <f aca="false">IFERROR(VLOOKUP(A881,Pedido!$A:$E,5,0),0)</f>
        <v>0</v>
      </c>
      <c r="F881" s="1" t="s">
        <v>9</v>
      </c>
      <c r="G881" s="1" t="s">
        <v>1931</v>
      </c>
      <c r="H881" s="1" t="s">
        <v>1358</v>
      </c>
      <c r="I881" s="1" t="s">
        <v>53</v>
      </c>
      <c r="J881" s="1" t="s">
        <v>1932</v>
      </c>
      <c r="K881" s="1" t="n">
        <v>101</v>
      </c>
      <c r="L881" s="11" t="n">
        <v>0.93809117593259</v>
      </c>
      <c r="M881" s="1" t="n">
        <f aca="false">SUMIF(Relatorio_AK!$A:$A,A881,Relatorio_AK!$B:$B)</f>
        <v>101</v>
      </c>
      <c r="N881" s="1" t="str">
        <f aca="false">IF(M881=K881,"OK","DIF")</f>
        <v>OK</v>
      </c>
      <c r="O881" s="13" t="str">
        <f aca="false">IFERROR(VLOOKUP($A881,Lista_Starke!$A:$E,3,0),"NÃO ESTÁ NA LISTA")</f>
        <v>FORD: Ka / Ka+  14/20
FORD: New Fiesta  14/18</v>
      </c>
      <c r="P881" s="12" t="str">
        <f aca="false">IFERROR(VLOOKUP($A881,Lista_Starke!$A:$E,2,0),"NÃO ESTÁ NA LISTA")</f>
        <v>BANDEJA INFERIOR COMPLETA LD</v>
      </c>
    </row>
    <row r="882" customFormat="false" ht="15" hidden="false" customHeight="true" outlineLevel="0" collapsed="false">
      <c r="A882" s="10" t="s">
        <v>1933</v>
      </c>
      <c r="B882" s="10" t="str">
        <f aca="false">IFERROR(VLOOKUP(A882,Pedido!$A:$B,2,0),"")</f>
        <v/>
      </c>
      <c r="C882" s="10" t="str">
        <f aca="false">IF(B882="","NÃO COMPRA","COMPRA")</f>
        <v>NÃO COMPRA</v>
      </c>
      <c r="D882" s="1" t="n">
        <f aca="false">IFERROR(VLOOKUP(A882,Pedido!$A:$C,3,0),0)</f>
        <v>0</v>
      </c>
      <c r="E882" s="5" t="n">
        <f aca="false">IFERROR(VLOOKUP(A882,Pedido!$A:$E,5,0),0)</f>
        <v>0</v>
      </c>
      <c r="F882" s="1" t="s">
        <v>9</v>
      </c>
      <c r="G882" s="1" t="s">
        <v>1928</v>
      </c>
      <c r="H882" s="1" t="s">
        <v>1358</v>
      </c>
      <c r="I882" s="1" t="s">
        <v>77</v>
      </c>
      <c r="J882" s="1" t="s">
        <v>1934</v>
      </c>
      <c r="K882" s="1" t="n">
        <v>101</v>
      </c>
      <c r="L882" s="11" t="n">
        <v>0.938263838196654</v>
      </c>
      <c r="M882" s="1" t="n">
        <f aca="false">SUMIF(Relatorio_AK!$A:$A,A882,Relatorio_AK!$B:$B)</f>
        <v>101</v>
      </c>
      <c r="N882" s="1" t="str">
        <f aca="false">IF(M882=K882,"OK","DIF")</f>
        <v>OK</v>
      </c>
      <c r="O882" s="13" t="str">
        <f aca="false">IFERROR(VLOOKUP($A882,Lista_Starke!$A:$E,3,0),"NÃO ESTÁ NA LISTA")</f>
        <v>CITROEN: C4  016/13
CITROEN: C4 Pallas  06/13
CITROEN: C4 Picasso  06/19
PEUGEOT: 307  02/12</v>
      </c>
      <c r="P882" s="12" t="str">
        <f aca="false">IFERROR(VLOOKUP($A882,Lista_Starke!$A:$E,2,0),"NÃO ESTÁ NA LISTA")</f>
        <v>BANDEJA INFERIOR LD</v>
      </c>
    </row>
    <row r="883" customFormat="false" ht="15" hidden="false" customHeight="true" outlineLevel="0" collapsed="false">
      <c r="A883" s="10" t="s">
        <v>1935</v>
      </c>
      <c r="B883" s="10" t="str">
        <f aca="false">IFERROR(VLOOKUP(A883,Pedido!$A:$B,2,0),"")</f>
        <v/>
      </c>
      <c r="C883" s="10" t="str">
        <f aca="false">IF(B883="","NÃO COMPRA","COMPRA")</f>
        <v>NÃO COMPRA</v>
      </c>
      <c r="D883" s="1" t="n">
        <f aca="false">IFERROR(VLOOKUP(A883,Pedido!$A:$C,3,0),0)</f>
        <v>0</v>
      </c>
      <c r="E883" s="5" t="n">
        <f aca="false">IFERROR(VLOOKUP(A883,Pedido!$A:$E,5,0),0)</f>
        <v>0</v>
      </c>
      <c r="F883" s="1" t="s">
        <v>9</v>
      </c>
      <c r="G883" s="1" t="s">
        <v>1626</v>
      </c>
      <c r="H883" s="1" t="s">
        <v>1358</v>
      </c>
      <c r="I883" s="1" t="s">
        <v>46</v>
      </c>
      <c r="J883" s="1" t="s">
        <v>1936</v>
      </c>
      <c r="K883" s="1" t="n">
        <v>101</v>
      </c>
      <c r="L883" s="11" t="n">
        <v>0.938436500460718</v>
      </c>
      <c r="M883" s="1" t="n">
        <f aca="false">SUMIF(Relatorio_AK!$A:$A,A883,Relatorio_AK!$B:$B)</f>
        <v>101</v>
      </c>
      <c r="N883" s="1" t="str">
        <f aca="false">IF(M883=K883,"OK","DIF")</f>
        <v>OK</v>
      </c>
      <c r="O883" s="13" t="str">
        <f aca="false">IFERROR(VLOOKUP($A883,Lista_Starke!$A:$E,3,0),"NÃO ESTÁ NA LISTA")</f>
        <v>FIAT: Fastback 1.0 Turbo 23/...
FIAT: Fastback 1.3 Turbo 23/...
FIAT: Pulse 1.0 Turbo 22/...
FIAT: Pulse 1.3 Turbo 22/...</v>
      </c>
      <c r="P883" s="12" t="str">
        <f aca="false">IFERROR(VLOOKUP($A883,Lista_Starke!$A:$E,2,0),"NÃO ESTÁ NA LISTA")</f>
        <v>BANDEJA INFERIOR COMPLETA LE</v>
      </c>
    </row>
    <row r="884" customFormat="false" ht="15" hidden="false" customHeight="true" outlineLevel="0" collapsed="false">
      <c r="A884" s="10" t="s">
        <v>1937</v>
      </c>
      <c r="B884" s="10" t="str">
        <f aca="false">IFERROR(VLOOKUP(A884,Pedido!$A:$B,2,0),"")</f>
        <v/>
      </c>
      <c r="C884" s="10" t="str">
        <f aca="false">IF(B884="","NÃO COMPRA","COMPRA")</f>
        <v>NÃO COMPRA</v>
      </c>
      <c r="D884" s="1" t="n">
        <f aca="false">IFERROR(VLOOKUP(A884,Pedido!$A:$C,3,0),0)</f>
        <v>0</v>
      </c>
      <c r="E884" s="5" t="n">
        <f aca="false">IFERROR(VLOOKUP(A884,Pedido!$A:$E,5,0),0)</f>
        <v>0</v>
      </c>
      <c r="F884" s="1" t="s">
        <v>9</v>
      </c>
      <c r="G884" s="1" t="s">
        <v>1652</v>
      </c>
      <c r="H884" s="1" t="s">
        <v>1358</v>
      </c>
      <c r="I884" s="1" t="s">
        <v>46</v>
      </c>
      <c r="J884" s="1" t="s">
        <v>1938</v>
      </c>
      <c r="K884" s="1" t="n">
        <v>101</v>
      </c>
      <c r="L884" s="11" t="n">
        <v>0.938609162724781</v>
      </c>
      <c r="M884" s="1" t="n">
        <f aca="false">SUMIF(Relatorio_AK!$A:$A,A884,Relatorio_AK!$B:$B)</f>
        <v>101</v>
      </c>
      <c r="N884" s="1" t="str">
        <f aca="false">IF(M884=K884,"OK","DIF")</f>
        <v>OK</v>
      </c>
      <c r="O884" s="13" t="str">
        <f aca="false">IFERROR(VLOOKUP($A884,Lista_Starke!$A:$E,3,0),"NÃO ESTÁ NA LISTA")</f>
        <v>FIAT: Fastback 1.0 Turbo 23/...
FIAT: Fastback 1.3 Turbo 23/...
FIAT: Pulse 1.0 Turbo 22/...
FIAT: Pulse 1.3 Turbo 22/...</v>
      </c>
      <c r="P884" s="12" t="str">
        <f aca="false">IFERROR(VLOOKUP($A884,Lista_Starke!$A:$E,2,0),"NÃO ESTÁ NA LISTA")</f>
        <v>BANDEJA INFERIOR COMPLETA LD</v>
      </c>
    </row>
    <row r="885" customFormat="false" ht="15" hidden="false" customHeight="true" outlineLevel="0" collapsed="false">
      <c r="A885" s="10" t="s">
        <v>1939</v>
      </c>
      <c r="B885" s="10" t="str">
        <f aca="false">IFERROR(VLOOKUP(A885,Pedido!$A:$B,2,0),"")</f>
        <v/>
      </c>
      <c r="C885" s="10" t="str">
        <f aca="false">IF(B885="","NÃO COMPRA","COMPRA")</f>
        <v>NÃO COMPRA</v>
      </c>
      <c r="D885" s="1" t="n">
        <f aca="false">IFERROR(VLOOKUP(A885,Pedido!$A:$C,3,0),0)</f>
        <v>0</v>
      </c>
      <c r="E885" s="5" t="n">
        <f aca="false">IFERROR(VLOOKUP(A885,Pedido!$A:$E,5,0),0)</f>
        <v>0</v>
      </c>
      <c r="F885" s="1" t="s">
        <v>9</v>
      </c>
      <c r="G885" s="1" t="s">
        <v>1336</v>
      </c>
      <c r="H885" s="1" t="s">
        <v>35</v>
      </c>
      <c r="I885" s="1" t="s">
        <v>1182</v>
      </c>
      <c r="K885" s="1" t="n">
        <v>101</v>
      </c>
      <c r="L885" s="11" t="n">
        <v>0.938781824988845</v>
      </c>
      <c r="M885" s="1" t="n">
        <f aca="false">SUMIF(Relatorio_AK!$A:$A,A885,Relatorio_AK!$B:$B)</f>
        <v>101</v>
      </c>
      <c r="N885" s="1" t="str">
        <f aca="false">IF(M885=K885,"OK","DIF")</f>
        <v>OK</v>
      </c>
      <c r="O885" s="12" t="str">
        <f aca="false">IFERROR(VLOOKUP($A885,Lista_Starke!$A:$E,3,0),"NÃO ESTÁ NA LISTA")</f>
        <v>KIA: Sorento 2.5 CRDi Diesel 06/08</v>
      </c>
      <c r="P885" s="12" t="str">
        <f aca="false">IFERROR(VLOOKUP($A885,Lista_Starke!$A:$E,2,0),"NÃO ESTÁ NA LISTA")</f>
        <v>CILINDRO MESTRE DE FREIO</v>
      </c>
    </row>
    <row r="886" customFormat="false" ht="15" hidden="false" customHeight="true" outlineLevel="0" collapsed="false">
      <c r="A886" s="10" t="s">
        <v>1940</v>
      </c>
      <c r="B886" s="10" t="str">
        <f aca="false">IFERROR(VLOOKUP(A886,Pedido!$A:$B,2,0),"")</f>
        <v/>
      </c>
      <c r="C886" s="10" t="str">
        <f aca="false">IF(B886="","NÃO COMPRA","COMPRA")</f>
        <v>NÃO COMPRA</v>
      </c>
      <c r="D886" s="1" t="n">
        <f aca="false">IFERROR(VLOOKUP(A886,Pedido!$A:$C,3,0),0)</f>
        <v>0</v>
      </c>
      <c r="E886" s="5" t="n">
        <f aca="false">IFERROR(VLOOKUP(A886,Pedido!$A:$E,5,0),0)</f>
        <v>0</v>
      </c>
      <c r="F886" s="1" t="s">
        <v>9</v>
      </c>
      <c r="G886" s="1" t="s">
        <v>207</v>
      </c>
      <c r="H886" s="1" t="s">
        <v>197</v>
      </c>
      <c r="I886" s="1" t="s">
        <v>42</v>
      </c>
      <c r="J886" s="1" t="s">
        <v>1941</v>
      </c>
      <c r="K886" s="1" t="n">
        <v>101</v>
      </c>
      <c r="L886" s="11" t="n">
        <v>0.938954487252909</v>
      </c>
      <c r="M886" s="1" t="n">
        <f aca="false">SUMIF(Relatorio_AK!$A:$A,A886,Relatorio_AK!$B:$B)</f>
        <v>101</v>
      </c>
      <c r="N886" s="1" t="str">
        <f aca="false">IF(M886=K886,"OK","DIF")</f>
        <v>OK</v>
      </c>
      <c r="O886" s="13" t="str">
        <f aca="false">IFERROR(VLOOKUP($A886,Lista_Starke!$A:$E,3,0),"NÃO ESTÁ NA LISTA")</f>
        <v>RENAULT: Clio 1.6 8V + ar condicionado + DH K7M 96/…
RENAULT: Kangoo 1.6 8V K7M 96/…
RENAULT: Logan 1.6 8V Hi Torque K7M 08/…
RENAULT: Megane 1.6 8V + ar condicionado + DH K7M 98/04
RENAULT: Megane 1.6 8V K7M 05/…
RENAULT: Sandero 1.6 8V Hi Torque K7M 08/…
RENAULT: Scenic 1.6 8V K7M 96/…
RENAULT: Symbol 1.6 8V K7M 09/…</v>
      </c>
      <c r="P886" s="12" t="str">
        <f aca="false">IFERROR(VLOOKUP($A886,Lista_Starke!$A:$E,2,0),"NÃO ESTÁ NA LISTA")</f>
        <v>BOMBA D'ÁGUA</v>
      </c>
    </row>
    <row r="887" customFormat="false" ht="15" hidden="false" customHeight="true" outlineLevel="0" collapsed="false">
      <c r="A887" s="10" t="s">
        <v>1942</v>
      </c>
      <c r="B887" s="10" t="str">
        <f aca="false">IFERROR(VLOOKUP(A887,Pedido!$A:$B,2,0),"")</f>
        <v/>
      </c>
      <c r="C887" s="10" t="str">
        <f aca="false">IF(B887="","NÃO COMPRA","COMPRA")</f>
        <v>NÃO COMPRA</v>
      </c>
      <c r="D887" s="1" t="n">
        <f aca="false">IFERROR(VLOOKUP(A887,Pedido!$A:$C,3,0),0)</f>
        <v>0</v>
      </c>
      <c r="E887" s="5" t="n">
        <f aca="false">IFERROR(VLOOKUP(A887,Pedido!$A:$E,5,0),0)</f>
        <v>0</v>
      </c>
      <c r="F887" s="1" t="s">
        <v>9</v>
      </c>
      <c r="G887" s="1" t="s">
        <v>1649</v>
      </c>
      <c r="H887" s="1" t="s">
        <v>235</v>
      </c>
      <c r="I887" s="1" t="s">
        <v>1157</v>
      </c>
      <c r="J887" s="1" t="s">
        <v>1943</v>
      </c>
      <c r="K887" s="1" t="n">
        <v>101</v>
      </c>
      <c r="L887" s="11" t="n">
        <v>0.939127149516973</v>
      </c>
      <c r="M887" s="1" t="n">
        <f aca="false">SUMIF(Relatorio_AK!$A:$A,A887,Relatorio_AK!$B:$B)</f>
        <v>101</v>
      </c>
      <c r="N887" s="1" t="str">
        <f aca="false">IF(M887=K887,"OK","DIF")</f>
        <v>OK</v>
      </c>
      <c r="O887" s="13" t="str">
        <f aca="false">IFERROR(VLOOKUP($A887,Lista_Starke!$A:$E,3,0),"NÃO ESTÁ NA LISTA")</f>
        <v>BMW: 120i (F20/F21) 2.0 16V 16/...
BMW: 125i (F20/F21) 2.0 16V 16/...
BMW: 330i (G20) 3.0 24V 18/...
BMW: X3 (G01) sDrive 20i 2.0 16V 17/...
BMW: X4 (G02) xDrive 20i 2.0 16V 17/...</v>
      </c>
      <c r="P887" s="12" t="str">
        <f aca="false">IFERROR(VLOOKUP($A887,Lista_Starke!$A:$E,2,0),"NÃO ESTÁ NA LISTA")</f>
        <v>RESFRIADOR DE ÓLEO MOTOR</v>
      </c>
    </row>
    <row r="888" customFormat="false" ht="15" hidden="false" customHeight="true" outlineLevel="0" collapsed="false">
      <c r="A888" s="10" t="s">
        <v>1944</v>
      </c>
      <c r="B888" s="10" t="str">
        <f aca="false">IFERROR(VLOOKUP(A888,Pedido!$A:$B,2,0),"")</f>
        <v/>
      </c>
      <c r="C888" s="10" t="str">
        <f aca="false">IF(B888="","NÃO COMPRA","COMPRA")</f>
        <v>NÃO COMPRA</v>
      </c>
      <c r="D888" s="1" t="n">
        <f aca="false">IFERROR(VLOOKUP(A888,Pedido!$A:$C,3,0),0)</f>
        <v>0</v>
      </c>
      <c r="E888" s="5" t="n">
        <f aca="false">IFERROR(VLOOKUP(A888,Pedido!$A:$E,5,0),0)</f>
        <v>0</v>
      </c>
      <c r="F888" s="1" t="s">
        <v>9</v>
      </c>
      <c r="G888" s="1" t="s">
        <v>1520</v>
      </c>
      <c r="H888" s="1" t="s">
        <v>126</v>
      </c>
      <c r="I888" s="1" t="s">
        <v>215</v>
      </c>
      <c r="J888" s="1" t="s">
        <v>1945</v>
      </c>
      <c r="K888" s="1" t="n">
        <v>101</v>
      </c>
      <c r="L888" s="11" t="n">
        <v>0.939299811781037</v>
      </c>
      <c r="M888" s="1" t="n">
        <f aca="false">SUMIF(Relatorio_AK!$A:$A,A888,Relatorio_AK!$B:$B)</f>
        <v>101</v>
      </c>
      <c r="N888" s="1" t="str">
        <f aca="false">IF(M888=K888,"OK","DIF")</f>
        <v>OK</v>
      </c>
      <c r="O888" s="12" t="str">
        <f aca="false">IFERROR(VLOOKUP($A888,Lista_Starke!$A:$E,3,0),"NÃO ESTÁ NA LISTA")</f>
        <v>NISSAN: Sentra 2.0 16V 07/13</v>
      </c>
      <c r="P888" s="12" t="str">
        <f aca="false">IFERROR(VLOOKUP($A888,Lista_Starke!$A:$E,2,0),"NÃO ESTÁ NA LISTA")</f>
        <v>RESFRIADOR DE ÓLEO CÂMBIO</v>
      </c>
    </row>
    <row r="889" customFormat="false" ht="15" hidden="false" customHeight="true" outlineLevel="0" collapsed="false">
      <c r="A889" s="10" t="s">
        <v>1946</v>
      </c>
      <c r="B889" s="10" t="str">
        <f aca="false">IFERROR(VLOOKUP(A889,Pedido!$A:$B,2,0),"")</f>
        <v/>
      </c>
      <c r="C889" s="10" t="str">
        <f aca="false">IF(B889="","NÃO COMPRA","COMPRA")</f>
        <v>NÃO COMPRA</v>
      </c>
      <c r="D889" s="1" t="n">
        <f aca="false">IFERROR(VLOOKUP(A889,Pedido!$A:$C,3,0),0)</f>
        <v>0</v>
      </c>
      <c r="E889" s="5" t="n">
        <f aca="false">IFERROR(VLOOKUP(A889,Pedido!$A:$E,5,0),0)</f>
        <v>0</v>
      </c>
      <c r="F889" s="1" t="s">
        <v>9</v>
      </c>
      <c r="G889" s="1" t="s">
        <v>1947</v>
      </c>
      <c r="H889" s="1" t="s">
        <v>1358</v>
      </c>
      <c r="I889" s="1" t="s">
        <v>36</v>
      </c>
      <c r="J889" s="1" t="s">
        <v>1948</v>
      </c>
      <c r="K889" s="1" t="n">
        <v>100</v>
      </c>
      <c r="L889" s="11" t="n">
        <v>0.939470764517734</v>
      </c>
      <c r="M889" s="1" t="n">
        <f aca="false">SUMIF(Relatorio_AK!$A:$A,A889,Relatorio_AK!$B:$B)</f>
        <v>100</v>
      </c>
      <c r="N889" s="1" t="str">
        <f aca="false">IF(M889=K889,"OK","DIF")</f>
        <v>OK</v>
      </c>
      <c r="O889" s="13" t="str">
        <f aca="false">IFERROR(VLOOKUP($A889,Lista_Starke!$A:$E,3,0),"NÃO ESTÁ NA LISTA")</f>
        <v>VOLKSWAGEN: Nivus  20/...
VOLKSWAGEN: Polo  17/...
VOLKSWAGEN: T-Cross  19/...
VOLKSWAGEN: Virtus  18/...</v>
      </c>
      <c r="P889" s="12" t="str">
        <f aca="false">IFERROR(VLOOKUP($A889,Lista_Starke!$A:$E,2,0),"NÃO ESTÁ NA LISTA")</f>
        <v>BANDEJA INFERIOR COMPLETA LD</v>
      </c>
    </row>
    <row r="890" customFormat="false" ht="15" hidden="false" customHeight="true" outlineLevel="0" collapsed="false">
      <c r="A890" s="10" t="s">
        <v>1949</v>
      </c>
      <c r="B890" s="10" t="str">
        <f aca="false">IFERROR(VLOOKUP(A890,Pedido!$A:$B,2,0),"")</f>
        <v/>
      </c>
      <c r="C890" s="10" t="str">
        <f aca="false">IF(B890="","NÃO COMPRA","COMPRA")</f>
        <v>NÃO COMPRA</v>
      </c>
      <c r="D890" s="1" t="n">
        <f aca="false">IFERROR(VLOOKUP(A890,Pedido!$A:$C,3,0),0)</f>
        <v>0</v>
      </c>
      <c r="E890" s="5" t="n">
        <f aca="false">IFERROR(VLOOKUP(A890,Pedido!$A:$E,5,0),0)</f>
        <v>0</v>
      </c>
      <c r="F890" s="1" t="s">
        <v>9</v>
      </c>
      <c r="G890" s="1" t="s">
        <v>1950</v>
      </c>
      <c r="H890" s="1" t="s">
        <v>1951</v>
      </c>
      <c r="I890" s="1" t="s">
        <v>53</v>
      </c>
      <c r="J890" s="1" t="s">
        <v>1952</v>
      </c>
      <c r="K890" s="1" t="n">
        <v>100</v>
      </c>
      <c r="L890" s="11" t="n">
        <v>0.939641717254431</v>
      </c>
      <c r="M890" s="1" t="n">
        <f aca="false">SUMIF(Relatorio_AK!$A:$A,A890,Relatorio_AK!$B:$B)</f>
        <v>100</v>
      </c>
      <c r="N890" s="1" t="str">
        <f aca="false">IF(M890=K890,"OK","DIF")</f>
        <v>OK</v>
      </c>
      <c r="O890" s="13" t="str">
        <f aca="false">IFERROR(VLOOKUP($A890,Lista_Starke!$A:$E,3,0),"NÃO ESTÁ NA LISTA")</f>
        <v>FORD: Fusion 2.3 16V 06/09
FORD: Fusion 2.5 16V 09/12
FORD: Fusion 3.0 V6 09/12</v>
      </c>
      <c r="P890" s="12" t="str">
        <f aca="false">IFERROR(VLOOKUP($A890,Lista_Starke!$A:$E,2,0),"NÃO ESTÁ NA LISTA")</f>
        <v>BRAÇO OSCILANTE DIANT INFERIOR COMPLETO LE/LD</v>
      </c>
    </row>
    <row r="891" customFormat="false" ht="15" hidden="false" customHeight="true" outlineLevel="0" collapsed="false">
      <c r="A891" s="10" t="s">
        <v>1953</v>
      </c>
      <c r="B891" s="10" t="str">
        <f aca="false">IFERROR(VLOOKUP(A891,Pedido!$A:$B,2,0),"")</f>
        <v/>
      </c>
      <c r="C891" s="10" t="str">
        <f aca="false">IF(B891="","NÃO COMPRA","COMPRA")</f>
        <v>NÃO COMPRA</v>
      </c>
      <c r="D891" s="1" t="n">
        <f aca="false">IFERROR(VLOOKUP(A891,Pedido!$A:$C,3,0),0)</f>
        <v>0</v>
      </c>
      <c r="E891" s="5" t="n">
        <f aca="false">IFERROR(VLOOKUP(A891,Pedido!$A:$E,5,0),0)</f>
        <v>0</v>
      </c>
      <c r="F891" s="1" t="s">
        <v>9</v>
      </c>
      <c r="G891" s="1" t="s">
        <v>1954</v>
      </c>
      <c r="H891" s="1" t="s">
        <v>1358</v>
      </c>
      <c r="I891" s="1" t="s">
        <v>295</v>
      </c>
      <c r="J891" s="1" t="s">
        <v>1955</v>
      </c>
      <c r="K891" s="1" t="n">
        <v>100</v>
      </c>
      <c r="L891" s="11" t="n">
        <v>0.939812669991128</v>
      </c>
      <c r="M891" s="1" t="n">
        <f aca="false">SUMIF(Relatorio_AK!$A:$A,A891,Relatorio_AK!$B:$B)</f>
        <v>100</v>
      </c>
      <c r="N891" s="1" t="str">
        <f aca="false">IF(M891=K891,"OK","DIF")</f>
        <v>OK</v>
      </c>
      <c r="O891" s="12" t="str">
        <f aca="false">IFERROR(VLOOKUP($A891,Lista_Starke!$A:$E,3,0),"NÃO ESTÁ NA LISTA")</f>
        <v>CHERY: QQ  11/18</v>
      </c>
      <c r="P891" s="12" t="str">
        <f aca="false">IFERROR(VLOOKUP($A891,Lista_Starke!$A:$E,2,0),"NÃO ESTÁ NA LISTA")</f>
        <v>BANDEJA INFERIOR COMPLETA LE/LD</v>
      </c>
    </row>
    <row r="892" customFormat="false" ht="15" hidden="false" customHeight="true" outlineLevel="0" collapsed="false">
      <c r="A892" s="10" t="s">
        <v>1956</v>
      </c>
      <c r="B892" s="10" t="str">
        <f aca="false">IFERROR(VLOOKUP(A892,Pedido!$A:$B,2,0),"")</f>
        <v/>
      </c>
      <c r="C892" s="10" t="str">
        <f aca="false">IF(B892="","NÃO COMPRA","COMPRA")</f>
        <v>NÃO COMPRA</v>
      </c>
      <c r="D892" s="1" t="n">
        <f aca="false">IFERROR(VLOOKUP(A892,Pedido!$A:$C,3,0),0)</f>
        <v>0</v>
      </c>
      <c r="E892" s="5" t="n">
        <f aca="false">IFERROR(VLOOKUP(A892,Pedido!$A:$E,5,0),0)</f>
        <v>0</v>
      </c>
      <c r="F892" s="1" t="s">
        <v>9</v>
      </c>
      <c r="G892" s="1" t="s">
        <v>1931</v>
      </c>
      <c r="H892" s="1" t="s">
        <v>1358</v>
      </c>
      <c r="I892" s="1" t="s">
        <v>53</v>
      </c>
      <c r="J892" s="1" t="s">
        <v>1957</v>
      </c>
      <c r="K892" s="1" t="n">
        <v>100</v>
      </c>
      <c r="L892" s="11" t="n">
        <v>0.939983622727824</v>
      </c>
      <c r="M892" s="1" t="n">
        <f aca="false">SUMIF(Relatorio_AK!$A:$A,A892,Relatorio_AK!$B:$B)</f>
        <v>100</v>
      </c>
      <c r="N892" s="1" t="str">
        <f aca="false">IF(M892=K892,"OK","DIF")</f>
        <v>OK</v>
      </c>
      <c r="O892" s="12" t="str">
        <f aca="false">IFERROR(VLOOKUP($A892,Lista_Starke!$A:$E,3,0),"NÃO ESTÁ NA LISTA")</f>
        <v>FORD: Fusion  12/19</v>
      </c>
      <c r="P892" s="12" t="str">
        <f aca="false">IFERROR(VLOOKUP($A892,Lista_Starke!$A:$E,2,0),"NÃO ESTÁ NA LISTA")</f>
        <v>BANDEJA INFERIOR COMPLETA LD</v>
      </c>
    </row>
    <row r="893" customFormat="false" ht="15" hidden="false" customHeight="true" outlineLevel="0" collapsed="false">
      <c r="A893" s="10" t="s">
        <v>1958</v>
      </c>
      <c r="B893" s="10" t="str">
        <f aca="false">IFERROR(VLOOKUP(A893,Pedido!$A:$B,2,0),"")</f>
        <v/>
      </c>
      <c r="C893" s="10" t="str">
        <f aca="false">IF(B893="","NÃO COMPRA","COMPRA")</f>
        <v>NÃO COMPRA</v>
      </c>
      <c r="D893" s="1" t="n">
        <f aca="false">IFERROR(VLOOKUP(A893,Pedido!$A:$C,3,0),0)</f>
        <v>0</v>
      </c>
      <c r="E893" s="5" t="n">
        <f aca="false">IFERROR(VLOOKUP(A893,Pedido!$A:$E,5,0),0)</f>
        <v>0</v>
      </c>
      <c r="F893" s="1" t="s">
        <v>9</v>
      </c>
      <c r="G893" s="1" t="s">
        <v>1959</v>
      </c>
      <c r="H893" s="1" t="s">
        <v>1358</v>
      </c>
      <c r="I893" s="1" t="s">
        <v>29</v>
      </c>
      <c r="J893" s="1" t="s">
        <v>1960</v>
      </c>
      <c r="K893" s="1" t="n">
        <v>100</v>
      </c>
      <c r="L893" s="11" t="n">
        <v>0.940154575464521</v>
      </c>
      <c r="M893" s="1" t="n">
        <f aca="false">SUMIF(Relatorio_AK!$A:$A,A893,Relatorio_AK!$B:$B)</f>
        <v>100</v>
      </c>
      <c r="N893" s="1" t="str">
        <f aca="false">IF(M893=K893,"OK","DIF")</f>
        <v>OK</v>
      </c>
      <c r="O893" s="13" t="str">
        <f aca="false">IFERROR(VLOOKUP($A893,Lista_Starke!$A:$E,3,0),"NÃO ESTÁ NA LISTA")</f>
        <v>HB20 1.0 12V Turbo 
HYUNDAI: HB20 1.0 12V 20/...</v>
      </c>
      <c r="P893" s="12" t="str">
        <f aca="false">IFERROR(VLOOKUP($A893,Lista_Starke!$A:$E,2,0),"NÃO ESTÁ NA LISTA")</f>
        <v>BANDEJA INFERIOR COMPLETA LD</v>
      </c>
    </row>
    <row r="894" customFormat="false" ht="15" hidden="false" customHeight="true" outlineLevel="0" collapsed="false">
      <c r="A894" s="10" t="s">
        <v>1961</v>
      </c>
      <c r="B894" s="10" t="str">
        <f aca="false">IFERROR(VLOOKUP(A894,Pedido!$A:$B,2,0),"")</f>
        <v/>
      </c>
      <c r="C894" s="10" t="str">
        <f aca="false">IF(B894="","NÃO COMPRA","COMPRA")</f>
        <v>NÃO COMPRA</v>
      </c>
      <c r="D894" s="1" t="n">
        <f aca="false">IFERROR(VLOOKUP(A894,Pedido!$A:$C,3,0),0)</f>
        <v>0</v>
      </c>
      <c r="E894" s="5" t="n">
        <f aca="false">IFERROR(VLOOKUP(A894,Pedido!$A:$E,5,0),0)</f>
        <v>0</v>
      </c>
      <c r="F894" s="1" t="s">
        <v>9</v>
      </c>
      <c r="G894" s="1" t="s">
        <v>548</v>
      </c>
      <c r="H894" s="1" t="s">
        <v>157</v>
      </c>
      <c r="I894" s="1" t="s">
        <v>53</v>
      </c>
      <c r="J894" s="1" t="s">
        <v>1962</v>
      </c>
      <c r="K894" s="1" t="n">
        <v>100</v>
      </c>
      <c r="L894" s="11" t="n">
        <v>0.940325528201218</v>
      </c>
      <c r="M894" s="1" t="n">
        <f aca="false">SUMIF(Relatorio_AK!$A:$A,A894,Relatorio_AK!$B:$B)</f>
        <v>100</v>
      </c>
      <c r="N894" s="1" t="str">
        <f aca="false">IF(M894=K894,"OK","DIF")</f>
        <v>OK</v>
      </c>
      <c r="O894" s="12" t="str">
        <f aca="false">IFERROR(VLOOKUP($A894,Lista_Starke!$A:$E,3,0),"NÃO ESTÁ NA LISTA")</f>
        <v>FORD: Focus 2.0 16V Zetec 00/...</v>
      </c>
      <c r="P894" s="12" t="str">
        <f aca="false">IFERROR(VLOOKUP($A894,Lista_Starke!$A:$E,2,0),"NÃO ESTÁ NA LISTA")</f>
        <v>ATUADOR DE EMBREAGEM</v>
      </c>
    </row>
    <row r="895" customFormat="false" ht="15" hidden="false" customHeight="true" outlineLevel="0" collapsed="false">
      <c r="A895" s="10" t="s">
        <v>1963</v>
      </c>
      <c r="B895" s="10" t="str">
        <f aca="false">IFERROR(VLOOKUP(A895,Pedido!$A:$B,2,0),"")</f>
        <v/>
      </c>
      <c r="C895" s="10" t="str">
        <f aca="false">IF(B895="","NÃO COMPRA","COMPRA")</f>
        <v>NÃO COMPRA</v>
      </c>
      <c r="D895" s="1" t="n">
        <f aca="false">IFERROR(VLOOKUP(A895,Pedido!$A:$C,3,0),0)</f>
        <v>0</v>
      </c>
      <c r="E895" s="5" t="n">
        <f aca="false">IFERROR(VLOOKUP(A895,Pedido!$A:$E,5,0),0)</f>
        <v>0</v>
      </c>
      <c r="F895" s="1" t="s">
        <v>9</v>
      </c>
      <c r="G895" s="1" t="s">
        <v>1117</v>
      </c>
      <c r="H895" s="1" t="s">
        <v>96</v>
      </c>
      <c r="I895" s="1" t="s">
        <v>177</v>
      </c>
      <c r="K895" s="1" t="n">
        <v>100</v>
      </c>
      <c r="L895" s="11" t="n">
        <v>0.940496480937915</v>
      </c>
      <c r="M895" s="1" t="n">
        <f aca="false">SUMIF(Relatorio_AK!$A:$A,A895,Relatorio_AK!$B:$B)</f>
        <v>100</v>
      </c>
      <c r="N895" s="1" t="str">
        <f aca="false">IF(M895=K895,"OK","DIF")</f>
        <v>OK</v>
      </c>
      <c r="O895" s="12" t="str">
        <f aca="false">IFERROR(VLOOKUP($A895,Lista_Starke!$A:$E,3,0),"NÃO ESTÁ NA LISTA")</f>
        <v>TOYOTA: Bandeirante 3.7 14B 94/01</v>
      </c>
      <c r="P895" s="12" t="str">
        <f aca="false">IFERROR(VLOOKUP($A895,Lista_Starke!$A:$E,2,0),"NÃO ESTÁ NA LISTA")</f>
        <v>BOMBA DE VÁCUO</v>
      </c>
    </row>
    <row r="896" customFormat="false" ht="15" hidden="false" customHeight="true" outlineLevel="0" collapsed="false">
      <c r="A896" s="10" t="s">
        <v>1964</v>
      </c>
      <c r="B896" s="10" t="str">
        <f aca="false">IFERROR(VLOOKUP(A896,Pedido!$A:$B,2,0),"")</f>
        <v/>
      </c>
      <c r="C896" s="10" t="str">
        <f aca="false">IF(B896="","NÃO COMPRA","COMPRA")</f>
        <v>NÃO COMPRA</v>
      </c>
      <c r="D896" s="1" t="n">
        <f aca="false">IFERROR(VLOOKUP(A896,Pedido!$A:$C,3,0),0)</f>
        <v>0</v>
      </c>
      <c r="E896" s="5" t="n">
        <f aca="false">IFERROR(VLOOKUP(A896,Pedido!$A:$E,5,0),0)</f>
        <v>0</v>
      </c>
      <c r="F896" s="1" t="s">
        <v>9</v>
      </c>
      <c r="G896" s="1" t="s">
        <v>1088</v>
      </c>
      <c r="H896" s="1" t="s">
        <v>197</v>
      </c>
      <c r="I896" s="1" t="s">
        <v>286</v>
      </c>
      <c r="K896" s="1" t="n">
        <v>100</v>
      </c>
      <c r="L896" s="11" t="n">
        <v>0.940667433674612</v>
      </c>
      <c r="M896" s="1" t="n">
        <f aca="false">SUMIF(Relatorio_AK!$A:$A,A896,Relatorio_AK!$B:$B)</f>
        <v>100</v>
      </c>
      <c r="N896" s="1" t="str">
        <f aca="false">IF(M896=K896,"OK","DIF")</f>
        <v>OK</v>
      </c>
      <c r="O896" s="13" t="str">
        <f aca="false">IFERROR(VLOOKUP($A896,Lista_Starke!$A:$E,3,0),"NÃO ESTÁ NA LISTA")</f>
        <v>FORD: Ranger 3.2 20V TDCi 13/…
TROLLER: T4 3.2 20V TDCi 14/…</v>
      </c>
      <c r="P896" s="12" t="str">
        <f aca="false">IFERROR(VLOOKUP($A896,Lista_Starke!$A:$E,2,0),"NÃO ESTÁ NA LISTA")</f>
        <v>BOMBA D'ÁGUA</v>
      </c>
    </row>
    <row r="897" customFormat="false" ht="15" hidden="false" customHeight="true" outlineLevel="0" collapsed="false">
      <c r="A897" s="10" t="s">
        <v>1965</v>
      </c>
      <c r="B897" s="10" t="str">
        <f aca="false">IFERROR(VLOOKUP(A897,Pedido!$A:$B,2,0),"")</f>
        <v/>
      </c>
      <c r="C897" s="10" t="str">
        <f aca="false">IF(B897="","NÃO COMPRA","COMPRA")</f>
        <v>NÃO COMPRA</v>
      </c>
      <c r="D897" s="1" t="n">
        <f aca="false">IFERROR(VLOOKUP(A897,Pedido!$A:$C,3,0),0)</f>
        <v>0</v>
      </c>
      <c r="E897" s="5" t="n">
        <f aca="false">IFERROR(VLOOKUP(A897,Pedido!$A:$E,5,0),0)</f>
        <v>0</v>
      </c>
      <c r="F897" s="1" t="s">
        <v>9</v>
      </c>
      <c r="G897" s="1" t="s">
        <v>483</v>
      </c>
      <c r="H897" s="1" t="s">
        <v>197</v>
      </c>
      <c r="I897" s="1" t="s">
        <v>36</v>
      </c>
      <c r="K897" s="1" t="n">
        <v>100</v>
      </c>
      <c r="L897" s="11" t="n">
        <v>0.940838386411309</v>
      </c>
      <c r="M897" s="1" t="n">
        <f aca="false">SUMIF(Relatorio_AK!$A:$A,A897,Relatorio_AK!$B:$B)</f>
        <v>100</v>
      </c>
      <c r="N897" s="1" t="str">
        <f aca="false">IF(M897=K897,"OK","DIF")</f>
        <v>OK</v>
      </c>
      <c r="O897" s="13" t="str">
        <f aca="false">IFERROR(VLOOKUP($A897,Lista_Starke!$A:$E,3,0),"NÃO ESTÁ NA LISTA")</f>
        <v>VOLKSWAGEN: Crossfox 1.6 16V EA211 15/…
VOLKSWAGEN: Fox 1.0 12V 3 cil EA211 14/…
VOLKSWAGEN: Fox 1.6 16V EA211 15/…
VOLKSWAGEN: Fox Bluemotion 1.0 12V 3 cil EA211 14/…
VOLKSWAGEN: Gol 1.0 12V 3 cil EA211 14/…
VOLKSWAGEN: Gol 1.6 16V EA211 14/…
VOLKSWAGEN: Golf 1.6 16V EA211 16/…
VOLKSWAGEN: Saveiro 1.6 16V EA211 14/…
VOLKSWAGEN: Spacefox 1.6 16V EA211 14/…
VOLKSWAGEN: Up 1.0 12V 3 cil EA211 14/…
VOLKSWAGEN: Voyage 1.0 12V 3 cil EA211 16/…
VOLKSWAGEN: Voyage 1.6 16V EA211 14/…</v>
      </c>
      <c r="P897" s="12" t="str">
        <f aca="false">IFERROR(VLOOKUP($A897,Lista_Starke!$A:$E,2,0),"NÃO ESTÁ NA LISTA")</f>
        <v>BOMBA D'ÁGUA</v>
      </c>
    </row>
    <row r="898" customFormat="false" ht="15" hidden="false" customHeight="true" outlineLevel="0" collapsed="false">
      <c r="A898" s="10" t="s">
        <v>1966</v>
      </c>
      <c r="B898" s="10" t="str">
        <f aca="false">IFERROR(VLOOKUP(A898,Pedido!$A:$B,2,0),"")</f>
        <v/>
      </c>
      <c r="C898" s="10" t="str">
        <f aca="false">IF(B898="","NÃO COMPRA","COMPRA")</f>
        <v>NÃO COMPRA</v>
      </c>
      <c r="D898" s="1" t="n">
        <f aca="false">IFERROR(VLOOKUP(A898,Pedido!$A:$C,3,0),0)</f>
        <v>0</v>
      </c>
      <c r="E898" s="5" t="n">
        <f aca="false">IFERROR(VLOOKUP(A898,Pedido!$A:$E,5,0),0)</f>
        <v>0</v>
      </c>
      <c r="F898" s="1" t="s">
        <v>9</v>
      </c>
      <c r="G898" s="1" t="s">
        <v>826</v>
      </c>
      <c r="H898" s="1" t="s">
        <v>197</v>
      </c>
      <c r="I898" s="1" t="s">
        <v>1157</v>
      </c>
      <c r="K898" s="1" t="n">
        <v>100</v>
      </c>
      <c r="L898" s="11" t="n">
        <v>0.941009339148006</v>
      </c>
      <c r="M898" s="1" t="n">
        <f aca="false">SUMIF(Relatorio_AK!$A:$A,A898,Relatorio_AK!$B:$B)</f>
        <v>100</v>
      </c>
      <c r="N898" s="1" t="str">
        <f aca="false">IF(M898=K898,"OK","DIF")</f>
        <v>OK</v>
      </c>
      <c r="O898" s="13" t="str">
        <f aca="false">IFERROR(VLOOKUP($A898,Lista_Starke!$A:$E,3,0),"NÃO ESTÁ NA LISTA")</f>
        <v>BMW: 550i 4.4 8 cil N63 B44A 10/13
BMW: 550i xDrive 4.4 8 cil N63 B44A 10/13
BMW: 750i 4.4 8 cil N63 B44A 08/12
BMW: X5 xDrive 50i 4.4 8 cil N63 B44A 10/13
BMW: X6 xDrive 50i 4.4 8 cil N63 B44A 08/14</v>
      </c>
      <c r="P898" s="12" t="str">
        <f aca="false">IFERROR(VLOOKUP($A898,Lista_Starke!$A:$E,2,0),"NÃO ESTÁ NA LISTA")</f>
        <v>BOMBA D'ÁGUA</v>
      </c>
    </row>
    <row r="899" customFormat="false" ht="15" hidden="false" customHeight="true" outlineLevel="0" collapsed="false">
      <c r="A899" s="10" t="s">
        <v>1967</v>
      </c>
      <c r="B899" s="10" t="str">
        <f aca="false">IFERROR(VLOOKUP(A899,Pedido!$A:$B,2,0),"")</f>
        <v/>
      </c>
      <c r="C899" s="10" t="str">
        <f aca="false">IF(B899="","NÃO COMPRA","COMPRA")</f>
        <v>NÃO COMPRA</v>
      </c>
      <c r="D899" s="1" t="n">
        <f aca="false">IFERROR(VLOOKUP(A899,Pedido!$A:$C,3,0),0)</f>
        <v>0</v>
      </c>
      <c r="E899" s="5" t="n">
        <f aca="false">IFERROR(VLOOKUP(A899,Pedido!$A:$E,5,0),0)</f>
        <v>0</v>
      </c>
      <c r="F899" s="1" t="s">
        <v>9</v>
      </c>
      <c r="G899" s="1" t="s">
        <v>1442</v>
      </c>
      <c r="H899" s="1" t="s">
        <v>1131</v>
      </c>
      <c r="I899" s="1" t="s">
        <v>226</v>
      </c>
      <c r="J899" s="1" t="s">
        <v>1968</v>
      </c>
      <c r="K899" s="1" t="n">
        <v>100</v>
      </c>
      <c r="L899" s="11" t="n">
        <v>0.941180291884703</v>
      </c>
      <c r="M899" s="1" t="n">
        <f aca="false">SUMIF(Relatorio_AK!$A:$A,A899,Relatorio_AK!$B:$B)</f>
        <v>100</v>
      </c>
      <c r="N899" s="1" t="str">
        <f aca="false">IF(M899=K899,"OK","DIF")</f>
        <v>OK</v>
      </c>
      <c r="O899" s="13" t="str">
        <f aca="false">IFERROR(VLOOKUP($A899,Lista_Starke!$A:$E,3,0),"NÃO ESTÁ NA LISTA")</f>
        <v>AUDI: A3 1.8 TFSI BZB/CABD Gasolina 07/08
VOLKSWAGEN: Eos 2.0 FSI CCTA 08/15
VOLKSWAGEN: Tiguan 2.0 TSI CAWB 09/12</v>
      </c>
      <c r="P899" s="12" t="str">
        <f aca="false">IFERROR(VLOOKUP($A899,Lista_Starke!$A:$E,2,0),"NÃO ESTÁ NA LISTA")</f>
        <v>BOMBA DE ALTA PRESSÃO GDI</v>
      </c>
    </row>
    <row r="900" customFormat="false" ht="15" hidden="false" customHeight="true" outlineLevel="0" collapsed="false">
      <c r="A900" s="10" t="s">
        <v>1969</v>
      </c>
      <c r="B900" s="10" t="str">
        <f aca="false">IFERROR(VLOOKUP(A900,Pedido!$A:$B,2,0),"")</f>
        <v/>
      </c>
      <c r="C900" s="10" t="str">
        <f aca="false">IF(B900="","NÃO COMPRA","COMPRA")</f>
        <v>NÃO COMPRA</v>
      </c>
      <c r="D900" s="1" t="n">
        <f aca="false">IFERROR(VLOOKUP(A900,Pedido!$A:$C,3,0),0)</f>
        <v>0</v>
      </c>
      <c r="E900" s="5" t="n">
        <f aca="false">IFERROR(VLOOKUP(A900,Pedido!$A:$E,5,0),0)</f>
        <v>0</v>
      </c>
      <c r="F900" s="1" t="s">
        <v>9</v>
      </c>
      <c r="G900" s="1" t="s">
        <v>1970</v>
      </c>
      <c r="H900" s="1" t="s">
        <v>197</v>
      </c>
      <c r="I900" s="1" t="s">
        <v>403</v>
      </c>
      <c r="J900" s="1" t="s">
        <v>1971</v>
      </c>
      <c r="K900" s="1" t="n">
        <v>100</v>
      </c>
      <c r="L900" s="11" t="n">
        <v>0.941351244621399</v>
      </c>
      <c r="M900" s="1" t="n">
        <f aca="false">SUMIF(Relatorio_AK!$A:$A,A900,Relatorio_AK!$B:$B)</f>
        <v>100</v>
      </c>
      <c r="N900" s="1" t="str">
        <f aca="false">IF(M900=K900,"OK","DIF")</f>
        <v>OK</v>
      </c>
      <c r="O900" s="13" t="str">
        <f aca="false">IFERROR(VLOOKUP($A900,Lista_Starke!$A:$E,3,0),"NÃO ESTÁ NA LISTA")</f>
        <v>IVECO: Cavallino 320 FPT Cursor 8 Euro 3 07/08
IVECO: Cursor 330 FPT Cursor 8 Euro 3 09/11</v>
      </c>
      <c r="P900" s="12" t="str">
        <f aca="false">IFERROR(VLOOKUP($A900,Lista_Starke!$A:$E,2,0),"NÃO ESTÁ NA LISTA")</f>
        <v>BOMBA D'ÁGUA</v>
      </c>
    </row>
    <row r="901" customFormat="false" ht="15" hidden="false" customHeight="true" outlineLevel="0" collapsed="false">
      <c r="A901" s="10" t="s">
        <v>1972</v>
      </c>
      <c r="B901" s="10" t="str">
        <f aca="false">IFERROR(VLOOKUP(A901,Pedido!$A:$B,2,0),"")</f>
        <v/>
      </c>
      <c r="C901" s="10" t="str">
        <f aca="false">IF(B901="","NÃO COMPRA","COMPRA")</f>
        <v>NÃO COMPRA</v>
      </c>
      <c r="D901" s="1" t="n">
        <f aca="false">IFERROR(VLOOKUP(A901,Pedido!$A:$C,3,0),0)</f>
        <v>0</v>
      </c>
      <c r="E901" s="5" t="n">
        <f aca="false">IFERROR(VLOOKUP(A901,Pedido!$A:$E,5,0),0)</f>
        <v>0</v>
      </c>
      <c r="F901" s="1" t="s">
        <v>9</v>
      </c>
      <c r="G901" s="1" t="s">
        <v>1970</v>
      </c>
      <c r="H901" s="1" t="s">
        <v>197</v>
      </c>
      <c r="I901" s="1" t="s">
        <v>1973</v>
      </c>
      <c r="J901" s="1" t="s">
        <v>1974</v>
      </c>
      <c r="K901" s="1" t="n">
        <v>100</v>
      </c>
      <c r="L901" s="11" t="n">
        <v>0.941522197358096</v>
      </c>
      <c r="M901" s="1" t="n">
        <f aca="false">SUMIF(Relatorio_AK!$A:$A,A901,Relatorio_AK!$B:$B)</f>
        <v>100</v>
      </c>
      <c r="N901" s="1" t="str">
        <f aca="false">IF(M901=K901,"OK","DIF")</f>
        <v>OK</v>
      </c>
      <c r="O901" s="13" t="str">
        <f aca="false">IFERROR(VLOOKUP($A901,Lista_Starke!$A:$E,3,0),"NÃO ESTÁ NA LISTA")</f>
        <v>FORD: Cargo C2042 10L 24V L6 13/21
FORD: Cargo C2842 10L 24V L6 13/21
IVECO: Novo Stralis 200S38 Todos
IVECO: Novo Stralis 200S38NR Todos
IVECO: Novo Stralis 200S42 Todos
IVECO: Novo Stralis 380T38 / 380T42 Todos
IVECO: Novo Stralis 490S38T / 490S38T HR Todos
IVECO: Novo Stralis 490S38T NR / 490S38T/P / 490S39T NR Todos
IVECO: Novo Stralis 570S38T / 570S38T NR Todos
IVECO: Novo Stralis 720T42T Todos
IVECO: Novo Trakker 380T38 / 380T42 / 720T42T Todos
IVECO: Stralis 200S38 / 200S42 Todos
IVECO: Stralis 400/200-S37 02/07
IVECO: Stralis F3A / F3B 4x2/6x2/6x4 Todos</v>
      </c>
      <c r="P901" s="12" t="str">
        <f aca="false">IFERROR(VLOOKUP($A901,Lista_Starke!$A:$E,2,0),"NÃO ESTÁ NA LISTA")</f>
        <v>BOMBA D'ÁGUA</v>
      </c>
    </row>
    <row r="902" customFormat="false" ht="15" hidden="false" customHeight="true" outlineLevel="0" collapsed="false">
      <c r="A902" s="10" t="s">
        <v>1975</v>
      </c>
      <c r="B902" s="10" t="str">
        <f aca="false">IFERROR(VLOOKUP(A902,Pedido!$A:$B,2,0),"")</f>
        <v/>
      </c>
      <c r="C902" s="10" t="str">
        <f aca="false">IF(B902="","NÃO COMPRA","COMPRA")</f>
        <v>NÃO COMPRA</v>
      </c>
      <c r="D902" s="1" t="n">
        <f aca="false">IFERROR(VLOOKUP(A902,Pedido!$A:$C,3,0),0)</f>
        <v>0</v>
      </c>
      <c r="E902" s="5" t="n">
        <f aca="false">IFERROR(VLOOKUP(A902,Pedido!$A:$E,5,0),0)</f>
        <v>0</v>
      </c>
      <c r="F902" s="1" t="s">
        <v>9</v>
      </c>
      <c r="G902" s="1" t="s">
        <v>1783</v>
      </c>
      <c r="H902" s="1" t="s">
        <v>1073</v>
      </c>
      <c r="I902" s="1" t="s">
        <v>373</v>
      </c>
      <c r="J902" s="1" t="s">
        <v>1976</v>
      </c>
      <c r="K902" s="1" t="n">
        <v>100</v>
      </c>
      <c r="L902" s="11" t="n">
        <v>0.941693150094793</v>
      </c>
      <c r="M902" s="1" t="n">
        <f aca="false">SUMIF(Relatorio_AK!$A:$A,A902,Relatorio_AK!$B:$B)</f>
        <v>100</v>
      </c>
      <c r="N902" s="1" t="str">
        <f aca="false">IF(M902=K902,"OK","DIF")</f>
        <v>OK</v>
      </c>
      <c r="O902" s="13" t="str">
        <f aca="false">IFERROR(VLOOKUP($A902,Lista_Starke!$A:$E,3,0),"NÃO ESTÁ NA LISTA")</f>
        <v>MERCEDES-BENZ: C180 (W205) 1.6 16V M274.910 14/21
MERCEDES-BENZ: C180 (W205) 1.6 16V M274.910 18/21
MERCEDES-BENZ: C200 (W205) 2.0 16V M274.920 18/18
MERCEDES-BENZ: C250 (W205) 2.0 16V M274.920 14/18
MERCEDES-BENZ: C300 (W205) 2.0 16V M274.920 15/21
MERCEDES-BENZ: C350 (W205) 2.0 16V M274.920 15/18</v>
      </c>
      <c r="P902" s="12" t="str">
        <f aca="false">IFERROR(VLOOKUP($A902,Lista_Starke!$A:$E,2,0),"NÃO ESTÁ NA LISTA")</f>
        <v>VÁLVULA TERMOSTÁTICA</v>
      </c>
    </row>
    <row r="903" customFormat="false" ht="15" hidden="false" customHeight="true" outlineLevel="0" collapsed="false">
      <c r="A903" s="10" t="s">
        <v>1977</v>
      </c>
      <c r="B903" s="10" t="str">
        <f aca="false">IFERROR(VLOOKUP(A903,Pedido!$A:$B,2,0),"")</f>
        <v/>
      </c>
      <c r="C903" s="10" t="str">
        <f aca="false">IF(B903="","NÃO COMPRA","COMPRA")</f>
        <v>NÃO COMPRA</v>
      </c>
      <c r="D903" s="1" t="n">
        <f aca="false">IFERROR(VLOOKUP(A903,Pedido!$A:$C,3,0),0)</f>
        <v>0</v>
      </c>
      <c r="E903" s="5" t="n">
        <f aca="false">IFERROR(VLOOKUP(A903,Pedido!$A:$E,5,0),0)</f>
        <v>0</v>
      </c>
      <c r="F903" s="1" t="s">
        <v>9</v>
      </c>
      <c r="G903" s="1" t="s">
        <v>1783</v>
      </c>
      <c r="H903" s="1" t="s">
        <v>1073</v>
      </c>
      <c r="I903" s="1" t="s">
        <v>373</v>
      </c>
      <c r="J903" s="1" t="s">
        <v>1978</v>
      </c>
      <c r="K903" s="1" t="n">
        <v>100</v>
      </c>
      <c r="L903" s="11" t="n">
        <v>0.94186410283149</v>
      </c>
      <c r="M903" s="1" t="n">
        <f aca="false">SUMIF(Relatorio_AK!$A:$A,A903,Relatorio_AK!$B:$B)</f>
        <v>100</v>
      </c>
      <c r="N903" s="1" t="str">
        <f aca="false">IF(M903=K903,"OK","DIF")</f>
        <v>OK</v>
      </c>
      <c r="O903" s="13" t="str">
        <f aca="false">IFERROR(VLOOKUP($A903,Lista_Starke!$A:$E,3,0),"NÃO ESTÁ NA LISTA")</f>
        <v>MERCEDES-BENZ: Spirinter 416 2.2 CDI OM651 12/17
MERCEDES-BENZ: Sprinter 311 2.2 CDI OM651 12/17
MERCEDES-BENZ: Sprinter 313 2.2 CDI OM651 12/19
MERCEDES-BENZ: Sprinter 314 2.2 CDI OM651 20/21
MERCEDES-BENZ: Sprinter 415 2.2 CDI OM651 12/17
MERCEDES-BENZ: Sprinter 515 2.2 CDI OM651 12/17
MERCEDES-BENZ: Sprinter 516 2.2 CDI OM651 12/17</v>
      </c>
      <c r="P903" s="12" t="str">
        <f aca="false">IFERROR(VLOOKUP($A903,Lista_Starke!$A:$E,2,0),"NÃO ESTÁ NA LISTA")</f>
        <v>VÁLVULA TERMOSTÁTICA</v>
      </c>
    </row>
    <row r="904" customFormat="false" ht="15" hidden="false" customHeight="true" outlineLevel="0" collapsed="false">
      <c r="A904" s="10" t="s">
        <v>1979</v>
      </c>
      <c r="B904" s="10" t="str">
        <f aca="false">IFERROR(VLOOKUP(A904,Pedido!$A:$B,2,0),"")</f>
        <v/>
      </c>
      <c r="C904" s="10" t="str">
        <f aca="false">IF(B904="","NÃO COMPRA","COMPRA")</f>
        <v>NÃO COMPRA</v>
      </c>
      <c r="D904" s="1" t="n">
        <f aca="false">IFERROR(VLOOKUP(A904,Pedido!$A:$C,3,0),0)</f>
        <v>0</v>
      </c>
      <c r="E904" s="5" t="n">
        <f aca="false">IFERROR(VLOOKUP(A904,Pedido!$A:$E,5,0),0)</f>
        <v>0</v>
      </c>
      <c r="F904" s="1" t="s">
        <v>9</v>
      </c>
      <c r="G904" s="1" t="s">
        <v>1906</v>
      </c>
      <c r="H904" s="1" t="s">
        <v>1358</v>
      </c>
      <c r="I904" s="1" t="s">
        <v>53</v>
      </c>
      <c r="J904" s="1" t="s">
        <v>1980</v>
      </c>
      <c r="K904" s="1" t="n">
        <v>99</v>
      </c>
      <c r="L904" s="11" t="n">
        <v>0.94203334604082</v>
      </c>
      <c r="M904" s="1" t="n">
        <f aca="false">SUMIF(Relatorio_AK!$A:$A,A904,Relatorio_AK!$B:$B)</f>
        <v>99</v>
      </c>
      <c r="N904" s="1" t="str">
        <f aca="false">IF(M904=K904,"OK","DIF")</f>
        <v>OK</v>
      </c>
      <c r="O904" s="13" t="str">
        <f aca="false">IFERROR(VLOOKUP($A904,Lista_Starke!$A:$E,3,0),"NÃO ESTÁ NA LISTA")</f>
        <v>FORD: Ka / Ka+  14/20
FORD: New Fiesta  14/18</v>
      </c>
      <c r="P904" s="12" t="str">
        <f aca="false">IFERROR(VLOOKUP($A904,Lista_Starke!$A:$E,2,0),"NÃO ESTÁ NA LISTA")</f>
        <v>BANDEJA INFERIOR COMPLETA LE</v>
      </c>
    </row>
    <row r="905" customFormat="false" ht="15" hidden="false" customHeight="true" outlineLevel="0" collapsed="false">
      <c r="A905" s="10" t="s">
        <v>1981</v>
      </c>
      <c r="B905" s="10" t="str">
        <f aca="false">IFERROR(VLOOKUP(A905,Pedido!$A:$B,2,0),"")</f>
        <v/>
      </c>
      <c r="C905" s="10" t="str">
        <f aca="false">IF(B905="","NÃO COMPRA","COMPRA")</f>
        <v>NÃO COMPRA</v>
      </c>
      <c r="D905" s="1" t="n">
        <f aca="false">IFERROR(VLOOKUP(A905,Pedido!$A:$C,3,0),0)</f>
        <v>0</v>
      </c>
      <c r="E905" s="5" t="n">
        <f aca="false">IFERROR(VLOOKUP(A905,Pedido!$A:$E,5,0),0)</f>
        <v>0</v>
      </c>
      <c r="F905" s="1" t="s">
        <v>9</v>
      </c>
      <c r="G905" s="1" t="s">
        <v>1982</v>
      </c>
      <c r="H905" s="1" t="s">
        <v>1358</v>
      </c>
      <c r="I905" s="1" t="s">
        <v>295</v>
      </c>
      <c r="K905" s="1" t="n">
        <v>99</v>
      </c>
      <c r="L905" s="11" t="n">
        <v>0.94220258925015</v>
      </c>
      <c r="M905" s="1" t="n">
        <f aca="false">SUMIF(Relatorio_AK!$A:$A,A905,Relatorio_AK!$B:$B)</f>
        <v>99</v>
      </c>
      <c r="N905" s="1" t="str">
        <f aca="false">IF(M905=K905,"OK","DIF")</f>
        <v>OK</v>
      </c>
      <c r="O905" s="13" t="str">
        <f aca="false">IFERROR(VLOOKUP($A905,Lista_Starke!$A:$E,3,0),"NÃO ESTÁ NA LISTA")</f>
        <v>CHERY: Tiggo 5X 1.5 16V Turbo 19/...
CHERY: Tiggo 5x Pro 1.5 16V Turbo 21/...
CHERY: Tiggo 7 1.6 16V Turbo 19/...</v>
      </c>
      <c r="P905" s="12" t="str">
        <f aca="false">IFERROR(VLOOKUP($A905,Lista_Starke!$A:$E,2,0),"NÃO ESTÁ NA LISTA")</f>
        <v>BANDEJA INFERIOR COMPLETA LD</v>
      </c>
    </row>
    <row r="906" customFormat="false" ht="15" hidden="false" customHeight="true" outlineLevel="0" collapsed="false">
      <c r="A906" s="10" t="s">
        <v>1983</v>
      </c>
      <c r="B906" s="10" t="str">
        <f aca="false">IFERROR(VLOOKUP(A906,Pedido!$A:$B,2,0),"")</f>
        <v/>
      </c>
      <c r="C906" s="10" t="str">
        <f aca="false">IF(B906="","NÃO COMPRA","COMPRA")</f>
        <v>NÃO COMPRA</v>
      </c>
      <c r="D906" s="1" t="n">
        <f aca="false">IFERROR(VLOOKUP(A906,Pedido!$A:$C,3,0),0)</f>
        <v>0</v>
      </c>
      <c r="E906" s="5" t="n">
        <f aca="false">IFERROR(VLOOKUP(A906,Pedido!$A:$E,5,0),0)</f>
        <v>0</v>
      </c>
      <c r="F906" s="1" t="s">
        <v>9</v>
      </c>
      <c r="G906" s="1" t="s">
        <v>1419</v>
      </c>
      <c r="H906" s="1" t="s">
        <v>1073</v>
      </c>
      <c r="I906" s="1" t="s">
        <v>77</v>
      </c>
      <c r="J906" s="1" t="s">
        <v>1984</v>
      </c>
      <c r="K906" s="1" t="n">
        <v>99</v>
      </c>
      <c r="L906" s="11" t="n">
        <v>0.94237183245948</v>
      </c>
      <c r="M906" s="1" t="n">
        <f aca="false">SUMIF(Relatorio_AK!$A:$A,A906,Relatorio_AK!$B:$B)</f>
        <v>99</v>
      </c>
      <c r="N906" s="1" t="str">
        <f aca="false">IF(M906=K906,"OK","DIF")</f>
        <v>OK</v>
      </c>
      <c r="O906" s="13" t="str">
        <f aca="false">IFERROR(VLOOKUP($A906,Lista_Starke!$A:$E,3,0),"NÃO ESTÁ NA LISTA")</f>
        <v>CITROEN: Aircross 1.2 3 cil EB2F/EB2FA 17/...
CITROEN: C3 1.2 3 cil EB2F/EB2FB/EBFAD 16/...
CITROEN: C4 Cactus 1.2 3 cil EB2D/EB2FD 17/...
PEUGEOT: 2008 1.2 3 cil EB2/EB2F/EB2FA 18/...
PEUGEOT: 208 1.2 3 cil EB2FAD 18/...</v>
      </c>
      <c r="P906" s="12" t="str">
        <f aca="false">IFERROR(VLOOKUP($A906,Lista_Starke!$A:$E,2,0),"NÃO ESTÁ NA LISTA")</f>
        <v>VÁLVULA TERMOSTÁTICA</v>
      </c>
    </row>
    <row r="907" customFormat="false" ht="15" hidden="false" customHeight="true" outlineLevel="0" collapsed="false">
      <c r="A907" s="10" t="s">
        <v>1985</v>
      </c>
      <c r="B907" s="10" t="str">
        <f aca="false">IFERROR(VLOOKUP(A907,Pedido!$A:$B,2,0),"")</f>
        <v/>
      </c>
      <c r="C907" s="10" t="str">
        <f aca="false">IF(B907="","NÃO COMPRA","COMPRA")</f>
        <v>NÃO COMPRA</v>
      </c>
      <c r="D907" s="1" t="n">
        <f aca="false">IFERROR(VLOOKUP(A907,Pedido!$A:$C,3,0),0)</f>
        <v>0</v>
      </c>
      <c r="E907" s="5" t="n">
        <f aca="false">IFERROR(VLOOKUP(A907,Pedido!$A:$E,5,0),0)</f>
        <v>0</v>
      </c>
      <c r="F907" s="1" t="s">
        <v>9</v>
      </c>
      <c r="G907" s="1" t="s">
        <v>1986</v>
      </c>
      <c r="H907" s="1" t="s">
        <v>1358</v>
      </c>
      <c r="I907" s="1" t="s">
        <v>1987</v>
      </c>
      <c r="K907" s="1" t="n">
        <v>98</v>
      </c>
      <c r="L907" s="11" t="n">
        <v>0.942539366141443</v>
      </c>
      <c r="M907" s="1" t="n">
        <f aca="false">SUMIF(Relatorio_AK!$A:$A,A907,Relatorio_AK!$B:$B)</f>
        <v>98</v>
      </c>
      <c r="N907" s="1" t="str">
        <f aca="false">IF(M907=K907,"OK","DIF")</f>
        <v>OK</v>
      </c>
      <c r="O907" s="12" t="str">
        <f aca="false">IFERROR(VLOOKUP($A907,Lista_Starke!$A:$E,3,0),"NÃO ESTÁ NA LISTA")</f>
        <v>BYD: Dolphin EV 23/...</v>
      </c>
      <c r="P907" s="12" t="str">
        <f aca="false">IFERROR(VLOOKUP($A907,Lista_Starke!$A:$E,2,0),"NÃO ESTÁ NA LISTA")</f>
        <v>BANDEJA INFERIOR COMPLETA LD</v>
      </c>
    </row>
    <row r="908" customFormat="false" ht="15" hidden="false" customHeight="true" outlineLevel="0" collapsed="false">
      <c r="A908" s="10" t="s">
        <v>1988</v>
      </c>
      <c r="B908" s="10" t="str">
        <f aca="false">IFERROR(VLOOKUP(A908,Pedido!$A:$B,2,0),"")</f>
        <v/>
      </c>
      <c r="C908" s="10" t="str">
        <f aca="false">IF(B908="","NÃO COMPRA","COMPRA")</f>
        <v>NÃO COMPRA</v>
      </c>
      <c r="D908" s="1" t="n">
        <f aca="false">IFERROR(VLOOKUP(A908,Pedido!$A:$C,3,0),0)</f>
        <v>0</v>
      </c>
      <c r="E908" s="5" t="n">
        <f aca="false">IFERROR(VLOOKUP(A908,Pedido!$A:$E,5,0),0)</f>
        <v>0</v>
      </c>
      <c r="F908" s="1" t="s">
        <v>9</v>
      </c>
      <c r="G908" s="1" t="s">
        <v>176</v>
      </c>
      <c r="H908" s="1" t="s">
        <v>35</v>
      </c>
      <c r="I908" s="1" t="s">
        <v>177</v>
      </c>
      <c r="K908" s="1" t="n">
        <v>98</v>
      </c>
      <c r="L908" s="11" t="n">
        <v>0.942706899823406</v>
      </c>
      <c r="M908" s="1" t="n">
        <f aca="false">SUMIF(Relatorio_AK!$A:$A,A908,Relatorio_AK!$B:$B)</f>
        <v>98</v>
      </c>
      <c r="N908" s="1" t="str">
        <f aca="false">IF(M908=K908,"OK","DIF")</f>
        <v>OK</v>
      </c>
      <c r="O908" s="12" t="str">
        <f aca="false">IFERROR(VLOOKUP($A908,Lista_Starke!$A:$E,3,0),"NÃO ESTÁ NA LISTA")</f>
        <v>TOYOTA: RAV4 2.0 16V 01/05</v>
      </c>
      <c r="P908" s="12" t="str">
        <f aca="false">IFERROR(VLOOKUP($A908,Lista_Starke!$A:$E,2,0),"NÃO ESTÁ NA LISTA")</f>
        <v>CILINDRO MESTRE DE FREIO</v>
      </c>
    </row>
    <row r="909" customFormat="false" ht="15" hidden="false" customHeight="true" outlineLevel="0" collapsed="false">
      <c r="A909" s="10" t="s">
        <v>1989</v>
      </c>
      <c r="B909" s="10" t="str">
        <f aca="false">IFERROR(VLOOKUP(A909,Pedido!$A:$B,2,0),"")</f>
        <v/>
      </c>
      <c r="C909" s="10" t="str">
        <f aca="false">IF(B909="","NÃO COMPRA","COMPRA")</f>
        <v>NÃO COMPRA</v>
      </c>
      <c r="D909" s="1" t="n">
        <f aca="false">IFERROR(VLOOKUP(A909,Pedido!$A:$C,3,0),0)</f>
        <v>0</v>
      </c>
      <c r="E909" s="5" t="n">
        <f aca="false">IFERROR(VLOOKUP(A909,Pedido!$A:$E,5,0),0)</f>
        <v>0</v>
      </c>
      <c r="F909" s="1" t="s">
        <v>9</v>
      </c>
      <c r="G909" s="1" t="s">
        <v>349</v>
      </c>
      <c r="H909" s="1" t="s">
        <v>197</v>
      </c>
      <c r="I909" s="1" t="s">
        <v>57</v>
      </c>
      <c r="J909" s="1" t="s">
        <v>1990</v>
      </c>
      <c r="K909" s="1" t="n">
        <v>98</v>
      </c>
      <c r="L909" s="11" t="n">
        <v>0.942874433505369</v>
      </c>
      <c r="M909" s="1" t="n">
        <f aca="false">SUMIF(Relatorio_AK!$A:$A,A909,Relatorio_AK!$B:$B)</f>
        <v>98</v>
      </c>
      <c r="N909" s="1" t="str">
        <f aca="false">IF(M909=K909,"OK","DIF")</f>
        <v>OK</v>
      </c>
      <c r="O909" s="13" t="str">
        <f aca="false">IFERROR(VLOOKUP($A909,Lista_Starke!$A:$E,3,0),"NÃO ESTÁ NA LISTA")</f>
        <v>GM: Camaro 3.6 24V V6 10/14
GM: Captiva 3.0 24V V6 11/…
GM: Captiva 3.6 24V V6 08/12
GM: Omega 3.6 24V V6 08/12</v>
      </c>
      <c r="P909" s="12" t="str">
        <f aca="false">IFERROR(VLOOKUP($A909,Lista_Starke!$A:$E,2,0),"NÃO ESTÁ NA LISTA")</f>
        <v>BOMBA D'ÁGUA</v>
      </c>
    </row>
    <row r="910" customFormat="false" ht="15" hidden="false" customHeight="true" outlineLevel="0" collapsed="false">
      <c r="A910" s="10" t="s">
        <v>1991</v>
      </c>
      <c r="B910" s="10" t="str">
        <f aca="false">IFERROR(VLOOKUP(A910,Pedido!$A:$B,2,0),"")</f>
        <v/>
      </c>
      <c r="C910" s="10" t="str">
        <f aca="false">IF(B910="","NÃO COMPRA","COMPRA")</f>
        <v>NÃO COMPRA</v>
      </c>
      <c r="D910" s="1" t="n">
        <f aca="false">IFERROR(VLOOKUP(A910,Pedido!$A:$C,3,0),0)</f>
        <v>0</v>
      </c>
      <c r="E910" s="5" t="n">
        <f aca="false">IFERROR(VLOOKUP(A910,Pedido!$A:$E,5,0),0)</f>
        <v>0</v>
      </c>
      <c r="F910" s="1" t="s">
        <v>9</v>
      </c>
      <c r="G910" s="1" t="s">
        <v>349</v>
      </c>
      <c r="H910" s="1" t="s">
        <v>197</v>
      </c>
      <c r="I910" s="1" t="s">
        <v>57</v>
      </c>
      <c r="J910" s="1" t="s">
        <v>1992</v>
      </c>
      <c r="K910" s="1" t="n">
        <v>98</v>
      </c>
      <c r="L910" s="11" t="n">
        <v>0.943041967187332</v>
      </c>
      <c r="M910" s="1" t="n">
        <f aca="false">SUMIF(Relatorio_AK!$A:$A,A910,Relatorio_AK!$B:$B)</f>
        <v>98</v>
      </c>
      <c r="N910" s="1" t="str">
        <f aca="false">IF(M910=K910,"OK","DIF")</f>
        <v>OK</v>
      </c>
      <c r="O910" s="13" t="str">
        <f aca="false">IFERROR(VLOOKUP($A910,Lista_Starke!$A:$E,3,0),"NÃO ESTÁ NA LISTA")</f>
        <v>GM: C20 4.1 6 cil 96
GM: Grand Blazer 4.1 6 cil 97/99
GM: Omega / Suprema 4.1 6 cil 94/98
GM: Silverado 4.1 6 cil 97/01</v>
      </c>
      <c r="P910" s="12" t="str">
        <f aca="false">IFERROR(VLOOKUP($A910,Lista_Starke!$A:$E,2,0),"NÃO ESTÁ NA LISTA")</f>
        <v>BOMBA D'ÁGUA</v>
      </c>
    </row>
    <row r="911" customFormat="false" ht="15" hidden="false" customHeight="true" outlineLevel="0" collapsed="false">
      <c r="A911" s="10" t="s">
        <v>1993</v>
      </c>
      <c r="B911" s="10" t="str">
        <f aca="false">IFERROR(VLOOKUP(A911,Pedido!$A:$B,2,0),"")</f>
        <v/>
      </c>
      <c r="C911" s="10" t="str">
        <f aca="false">IF(B911="","NÃO COMPRA","COMPRA")</f>
        <v>NÃO COMPRA</v>
      </c>
      <c r="D911" s="1" t="n">
        <f aca="false">IFERROR(VLOOKUP(A911,Pedido!$A:$C,3,0),0)</f>
        <v>0</v>
      </c>
      <c r="E911" s="5" t="n">
        <f aca="false">IFERROR(VLOOKUP(A911,Pedido!$A:$E,5,0),0)</f>
        <v>0</v>
      </c>
      <c r="F911" s="1" t="s">
        <v>9</v>
      </c>
      <c r="G911" s="1" t="s">
        <v>176</v>
      </c>
      <c r="H911" s="1" t="s">
        <v>35</v>
      </c>
      <c r="I911" s="1" t="s">
        <v>177</v>
      </c>
      <c r="J911" s="1" t="s">
        <v>1994</v>
      </c>
      <c r="K911" s="1" t="n">
        <v>98</v>
      </c>
      <c r="L911" s="11" t="n">
        <v>0.943209500869295</v>
      </c>
      <c r="M911" s="1" t="n">
        <f aca="false">SUMIF(Relatorio_AK!$A:$A,A911,Relatorio_AK!$B:$B)</f>
        <v>98</v>
      </c>
      <c r="N911" s="1" t="str">
        <f aca="false">IF(M911=K911,"OK","DIF")</f>
        <v>OK</v>
      </c>
      <c r="O911" s="13" t="str">
        <f aca="false">IFERROR(VLOOKUP($A911,Lista_Starke!$A:$E,3,0),"NÃO ESTÁ NA LISTA")</f>
        <v>TOYOTA: RAV4 2.0 16V 1AZFE 06/13
TOYOTA: RAV4 2.0 16V 3ZRFAE 08/18
TOYOTA: RAV4 2.0 16V 3ZRFE 12/19
TOYOTA: RAV4 2.5 16V 2ARFE 12/18</v>
      </c>
      <c r="P911" s="12" t="str">
        <f aca="false">IFERROR(VLOOKUP($A911,Lista_Starke!$A:$E,2,0),"NÃO ESTÁ NA LISTA")</f>
        <v>CILINDRO MESTRE DE FREIO</v>
      </c>
    </row>
    <row r="912" customFormat="false" ht="15" hidden="false" customHeight="true" outlineLevel="0" collapsed="false">
      <c r="A912" s="10" t="s">
        <v>1995</v>
      </c>
      <c r="B912" s="10" t="str">
        <f aca="false">IFERROR(VLOOKUP(A912,Pedido!$A:$B,2,0),"")</f>
        <v/>
      </c>
      <c r="C912" s="10" t="str">
        <f aca="false">IF(B912="","NÃO COMPRA","COMPRA")</f>
        <v>NÃO COMPRA</v>
      </c>
      <c r="D912" s="1" t="n">
        <f aca="false">IFERROR(VLOOKUP(A912,Pedido!$A:$C,3,0),0)</f>
        <v>0</v>
      </c>
      <c r="E912" s="5" t="n">
        <f aca="false">IFERROR(VLOOKUP(A912,Pedido!$A:$E,5,0),0)</f>
        <v>0</v>
      </c>
      <c r="F912" s="1" t="s">
        <v>9</v>
      </c>
      <c r="G912" s="1" t="s">
        <v>191</v>
      </c>
      <c r="H912" s="1" t="s">
        <v>35</v>
      </c>
      <c r="I912" s="1" t="s">
        <v>50</v>
      </c>
      <c r="J912" s="1" t="s">
        <v>1996</v>
      </c>
      <c r="K912" s="1" t="n">
        <v>98</v>
      </c>
      <c r="L912" s="11" t="n">
        <v>0.943377034551258</v>
      </c>
      <c r="M912" s="1" t="n">
        <f aca="false">SUMIF(Relatorio_AK!$A:$A,A912,Relatorio_AK!$B:$B)</f>
        <v>98</v>
      </c>
      <c r="N912" s="1" t="str">
        <f aca="false">IF(M912=K912,"OK","DIF")</f>
        <v>OK</v>
      </c>
      <c r="O912" s="12" t="str">
        <f aca="false">IFERROR(VLOOKUP($A912,Lista_Starke!$A:$E,3,0),"NÃO ESTÁ NA LISTA")</f>
        <v>HONDA: CRV 2.0 16V 07/11</v>
      </c>
      <c r="P912" s="12" t="str">
        <f aca="false">IFERROR(VLOOKUP($A912,Lista_Starke!$A:$E,2,0),"NÃO ESTÁ NA LISTA")</f>
        <v>CILINDRO MESTRE DE FREIO</v>
      </c>
    </row>
    <row r="913" customFormat="false" ht="15" hidden="false" customHeight="true" outlineLevel="0" collapsed="false">
      <c r="A913" s="10" t="s">
        <v>1997</v>
      </c>
      <c r="B913" s="10" t="str">
        <f aca="false">IFERROR(VLOOKUP(A913,Pedido!$A:$B,2,0),"")</f>
        <v/>
      </c>
      <c r="C913" s="10" t="str">
        <f aca="false">IF(B913="","NÃO COMPRA","COMPRA")</f>
        <v>NÃO COMPRA</v>
      </c>
      <c r="D913" s="1" t="n">
        <f aca="false">IFERROR(VLOOKUP(A913,Pedido!$A:$C,3,0),0)</f>
        <v>0</v>
      </c>
      <c r="E913" s="5" t="n">
        <f aca="false">IFERROR(VLOOKUP(A913,Pedido!$A:$E,5,0),0)</f>
        <v>0</v>
      </c>
      <c r="F913" s="1" t="s">
        <v>9</v>
      </c>
      <c r="G913" s="1" t="s">
        <v>1072</v>
      </c>
      <c r="H913" s="1" t="s">
        <v>1073</v>
      </c>
      <c r="I913" s="1" t="s">
        <v>677</v>
      </c>
      <c r="J913" s="1" t="s">
        <v>1998</v>
      </c>
      <c r="K913" s="1" t="n">
        <v>98</v>
      </c>
      <c r="L913" s="11" t="n">
        <v>0.943544568233221</v>
      </c>
      <c r="M913" s="1" t="n">
        <f aca="false">SUMIF(Relatorio_AK!$A:$A,A913,Relatorio_AK!$B:$B)</f>
        <v>98</v>
      </c>
      <c r="N913" s="1" t="str">
        <f aca="false">IF(M913=K913,"OK","DIF")</f>
        <v>OK</v>
      </c>
      <c r="O913" s="13" t="str">
        <f aca="false">IFERROR(VLOOKUP($A913,Lista_Starke!$A:$E,3,0),"NÃO ESTÁ NA LISTA")</f>
        <v>CITROEN: Jumper 2.3 16V Diesel   F1 06/
CITROEN: Jumper 2.8 HDI 00/09
FIAT: Ducato 2.3 16V Multijet Diesel   F1 10/…
FIAT: Ducato 2.5 Diesel / 2.5 Turbo Diesel 94/…
FIAT: Ducato 2.8 Diesel / 2.8 Turbo Diesel 94/…
IVECO: Daily 35 C 10 2.3 16v Diesel   F1 06/…
IVECO: Daily 35 C 15 2.3 16v Diesel   F1 06/…
IVECO: Daily 35 C 18 2.3 16v Diesel   F1 06/…
IVECO: Daily 35 S 14 2.3 16v Diesel   F1 06/…
IVECO: Daily 35 S 15 2.3 16v Diesel   F1 06/…
IVECO: Daily 35 S 18 2.3 16v Diesel   F1 06/…
IVECO: Daily 40 C 12 2.3 16v Diesel   F1 06/…
IVECO: Daily 40 C 15 2.3 16v Diesel   F1 06/…
IVECO: Daily 40 C 18 2.3 16v Diesel   F1 06/…
IVECO: Daily 40 S 14 2.3 16v Diesel   F1 06/…
IVECO: Daily 50 C 15 2.3 16v Diesel   F1 06/…
IVECO: Daily 50 C 18 2.3 16v Diesel   F1 06/…
IVECO: Daily 55 C 16 2.3 16v Diesel   F1 06/…
IVECO: Daily 60 C 15 2.3 16v Diesel   F1 06/…
IVECO: Daily 60 C 18 2.3 16v Diesel   F1 06/…
IVECO: Daily 65 C 15 2.3 16v Diesel   F1 06/…
IVECO: Daily 65 C 18 2.3 16v Diesel   F1 06/…
PEUGEOT: Boxer 2.3 16V Diesel   F1 06/…
PEUGEOT: Boxer 2.5 Diesel / 2.8 Diesel / 2.8 Turbo Diesel 99/…</v>
      </c>
      <c r="P913" s="12" t="str">
        <f aca="false">IFERROR(VLOOKUP($A913,Lista_Starke!$A:$E,2,0),"NÃO ESTÁ NA LISTA")</f>
        <v>VÁLVULA TERMOSTÁTICA</v>
      </c>
    </row>
    <row r="914" customFormat="false" ht="15" hidden="false" customHeight="true" outlineLevel="0" collapsed="false">
      <c r="A914" s="10" t="s">
        <v>1999</v>
      </c>
      <c r="B914" s="10" t="str">
        <f aca="false">IFERROR(VLOOKUP(A914,Pedido!$A:$B,2,0),"")</f>
        <v/>
      </c>
      <c r="C914" s="10" t="str">
        <f aca="false">IF(B914="","NÃO COMPRA","COMPRA")</f>
        <v>NÃO COMPRA</v>
      </c>
      <c r="D914" s="1" t="n">
        <f aca="false">IFERROR(VLOOKUP(A914,Pedido!$A:$C,3,0),0)</f>
        <v>0</v>
      </c>
      <c r="E914" s="5" t="n">
        <f aca="false">IFERROR(VLOOKUP(A914,Pedido!$A:$E,5,0),0)</f>
        <v>0</v>
      </c>
      <c r="F914" s="1" t="s">
        <v>9</v>
      </c>
      <c r="G914" s="1" t="s">
        <v>1072</v>
      </c>
      <c r="H914" s="1" t="s">
        <v>1073</v>
      </c>
      <c r="I914" s="1" t="s">
        <v>46</v>
      </c>
      <c r="J914" s="1" t="s">
        <v>2000</v>
      </c>
      <c r="K914" s="1" t="n">
        <v>98</v>
      </c>
      <c r="L914" s="11" t="n">
        <v>0.943712101915184</v>
      </c>
      <c r="M914" s="1" t="n">
        <f aca="false">SUMIF(Relatorio_AK!$A:$A,A914,Relatorio_AK!$B:$B)</f>
        <v>98</v>
      </c>
      <c r="N914" s="1" t="str">
        <f aca="false">IF(M914=K914,"OK","DIF")</f>
        <v>OK</v>
      </c>
      <c r="O914" s="12" t="str">
        <f aca="false">IFERROR(VLOOKUP($A914,Lista_Starke!$A:$E,3,0),"NÃO ESTÁ NA LISTA")</f>
        <v>FIAT: Ducato 2.3 16V 18/23</v>
      </c>
      <c r="P914" s="12" t="str">
        <f aca="false">IFERROR(VLOOKUP($A914,Lista_Starke!$A:$E,2,0),"NÃO ESTÁ NA LISTA")</f>
        <v>VÁLVULA TERMOSTÁTICA</v>
      </c>
    </row>
    <row r="915" customFormat="false" ht="15" hidden="false" customHeight="true" outlineLevel="0" collapsed="false">
      <c r="A915" s="10" t="s">
        <v>2001</v>
      </c>
      <c r="B915" s="10" t="str">
        <f aca="false">IFERROR(VLOOKUP(A915,Pedido!$A:$B,2,0),"")</f>
        <v/>
      </c>
      <c r="C915" s="10" t="str">
        <f aca="false">IF(B915="","NÃO COMPRA","COMPRA")</f>
        <v>NÃO COMPRA</v>
      </c>
      <c r="D915" s="1" t="n">
        <f aca="false">IFERROR(VLOOKUP(A915,Pedido!$A:$C,3,0),0)</f>
        <v>0</v>
      </c>
      <c r="E915" s="5" t="n">
        <f aca="false">IFERROR(VLOOKUP(A915,Pedido!$A:$E,5,0),0)</f>
        <v>0</v>
      </c>
      <c r="F915" s="1" t="s">
        <v>9</v>
      </c>
      <c r="G915" s="1" t="s">
        <v>1072</v>
      </c>
      <c r="H915" s="1" t="s">
        <v>1073</v>
      </c>
      <c r="I915" s="1" t="s">
        <v>97</v>
      </c>
      <c r="J915" s="1" t="s">
        <v>2002</v>
      </c>
      <c r="K915" s="1" t="n">
        <v>98</v>
      </c>
      <c r="L915" s="11" t="n">
        <v>0.943879635597146</v>
      </c>
      <c r="M915" s="1" t="n">
        <f aca="false">SUMIF(Relatorio_AK!$A:$A,A915,Relatorio_AK!$B:$B)</f>
        <v>98</v>
      </c>
      <c r="N915" s="1" t="str">
        <f aca="false">IF(M915=K915,"OK","DIF")</f>
        <v>OK</v>
      </c>
      <c r="O915" s="13" t="str">
        <f aca="false">IFERROR(VLOOKUP($A915,Lista_Starke!$A:$E,3,0),"NÃO ESTÁ NA LISTA")</f>
        <v>FIAT: Toro 2.4 16V 16/21
JEEP: Compass 2.0 16V Flex 16/21</v>
      </c>
      <c r="P915" s="12" t="str">
        <f aca="false">IFERROR(VLOOKUP($A915,Lista_Starke!$A:$E,2,0),"NÃO ESTÁ NA LISTA")</f>
        <v>VÁLVULA TERMOSTÁTICA</v>
      </c>
    </row>
    <row r="916" customFormat="false" ht="15" hidden="false" customHeight="true" outlineLevel="0" collapsed="false">
      <c r="A916" s="10" t="s">
        <v>2003</v>
      </c>
      <c r="B916" s="10" t="str">
        <f aca="false">IFERROR(VLOOKUP(A916,Pedido!$A:$B,2,0),"")</f>
        <v/>
      </c>
      <c r="C916" s="10" t="str">
        <f aca="false">IF(B916="","NÃO COMPRA","COMPRA")</f>
        <v>NÃO COMPRA</v>
      </c>
      <c r="D916" s="1" t="n">
        <f aca="false">IFERROR(VLOOKUP(A916,Pedido!$A:$C,3,0),0)</f>
        <v>0</v>
      </c>
      <c r="E916" s="5" t="n">
        <f aca="false">IFERROR(VLOOKUP(A916,Pedido!$A:$E,5,0),0)</f>
        <v>0</v>
      </c>
      <c r="F916" s="1" t="s">
        <v>9</v>
      </c>
      <c r="G916" s="1" t="s">
        <v>1072</v>
      </c>
      <c r="H916" s="1" t="s">
        <v>1073</v>
      </c>
      <c r="I916" s="1" t="s">
        <v>2004</v>
      </c>
      <c r="J916" s="1" t="s">
        <v>2005</v>
      </c>
      <c r="K916" s="1" t="n">
        <v>98</v>
      </c>
      <c r="L916" s="11" t="n">
        <v>0.944047169279109</v>
      </c>
      <c r="M916" s="1" t="n">
        <f aca="false">SUMIF(Relatorio_AK!$A:$A,A916,Relatorio_AK!$B:$B)</f>
        <v>98</v>
      </c>
      <c r="N916" s="1" t="str">
        <f aca="false">IF(M916=K916,"OK","DIF")</f>
        <v>OK</v>
      </c>
      <c r="O916" s="13" t="str">
        <f aca="false">IFERROR(VLOOKUP($A916,Lista_Starke!$A:$E,3,0),"NÃO ESTÁ NA LISTA")</f>
        <v>FIAT: Toro 2.0 16V JTD Diesel 16/…
JEEP: Commander 2.0 16V Turbo Diesel 21/...
JEEP: Compass 2.0 16V JTD Diesel 16/…
JEEP: Renegade 2.0 16V JTD Diesel 16/…
RAM: Rampage 2.0 16V Turbo Diesel 23/...</v>
      </c>
      <c r="P916" s="12" t="str">
        <f aca="false">IFERROR(VLOOKUP($A916,Lista_Starke!$A:$E,2,0),"NÃO ESTÁ NA LISTA")</f>
        <v>VÁLVULA TERMOSTÁTICA</v>
      </c>
    </row>
    <row r="917" customFormat="false" ht="15" hidden="false" customHeight="true" outlineLevel="0" collapsed="false">
      <c r="A917" s="10" t="s">
        <v>2006</v>
      </c>
      <c r="B917" s="10" t="str">
        <f aca="false">IFERROR(VLOOKUP(A917,Pedido!$A:$B,2,0),"")</f>
        <v/>
      </c>
      <c r="C917" s="10" t="str">
        <f aca="false">IF(B917="","NÃO COMPRA","COMPRA")</f>
        <v>NÃO COMPRA</v>
      </c>
      <c r="D917" s="1" t="n">
        <f aca="false">IFERROR(VLOOKUP(A917,Pedido!$A:$C,3,0),0)</f>
        <v>0</v>
      </c>
      <c r="E917" s="5" t="n">
        <f aca="false">IFERROR(VLOOKUP(A917,Pedido!$A:$E,5,0),0)</f>
        <v>0</v>
      </c>
      <c r="F917" s="1" t="s">
        <v>9</v>
      </c>
      <c r="G917" s="1" t="s">
        <v>1321</v>
      </c>
      <c r="H917" s="1" t="s">
        <v>1073</v>
      </c>
      <c r="I917" s="1" t="s">
        <v>42</v>
      </c>
      <c r="J917" s="1" t="s">
        <v>2007</v>
      </c>
      <c r="K917" s="1" t="n">
        <v>98</v>
      </c>
      <c r="L917" s="11" t="n">
        <v>0.944214702961072</v>
      </c>
      <c r="M917" s="1" t="n">
        <f aca="false">SUMIF(Relatorio_AK!$A:$A,A917,Relatorio_AK!$B:$B)</f>
        <v>98</v>
      </c>
      <c r="N917" s="1" t="str">
        <f aca="false">IF(M917=K917,"OK","DIF")</f>
        <v>OK</v>
      </c>
      <c r="O917" s="13" t="str">
        <f aca="false">IFERROR(VLOOKUP($A917,Lista_Starke!$A:$E,3,0),"NÃO ESTÁ NA LISTA")</f>
        <v>RENAULT: Captur 1.3 3cil Turbo H5H470 20/...
RENAULT: Duster 1.3 3cil Turbo H5H470 20/...
RENAULT: Oroch 1.3 3cil Turbo H5H470 20/...</v>
      </c>
      <c r="P917" s="12" t="str">
        <f aca="false">IFERROR(VLOOKUP($A917,Lista_Starke!$A:$E,2,0),"NÃO ESTÁ NA LISTA")</f>
        <v>VÁLVULA TERMOSTÁTICA</v>
      </c>
    </row>
    <row r="918" customFormat="false" ht="15" hidden="false" customHeight="true" outlineLevel="0" collapsed="false">
      <c r="A918" s="10" t="s">
        <v>2008</v>
      </c>
      <c r="B918" s="10" t="str">
        <f aca="false">IFERROR(VLOOKUP(A918,Pedido!$A:$B,2,0),"")</f>
        <v/>
      </c>
      <c r="C918" s="10" t="str">
        <f aca="false">IF(B918="","NÃO COMPRA","COMPRA")</f>
        <v>NÃO COMPRA</v>
      </c>
      <c r="D918" s="1" t="n">
        <f aca="false">IFERROR(VLOOKUP(A918,Pedido!$A:$C,3,0),0)</f>
        <v>0</v>
      </c>
      <c r="E918" s="5" t="n">
        <f aca="false">IFERROR(VLOOKUP(A918,Pedido!$A:$E,5,0),0)</f>
        <v>0</v>
      </c>
      <c r="F918" s="1" t="s">
        <v>9</v>
      </c>
      <c r="G918" s="1" t="s">
        <v>2009</v>
      </c>
      <c r="H918" s="1" t="s">
        <v>1951</v>
      </c>
      <c r="I918" s="1" t="s">
        <v>46</v>
      </c>
      <c r="J918" s="1" t="s">
        <v>2010</v>
      </c>
      <c r="K918" s="1" t="n">
        <v>97</v>
      </c>
      <c r="L918" s="11" t="n">
        <v>0.944380527115668</v>
      </c>
      <c r="M918" s="1" t="n">
        <f aca="false">SUMIF(Relatorio_AK!$A:$A,A918,Relatorio_AK!$B:$B)</f>
        <v>97</v>
      </c>
      <c r="N918" s="1" t="str">
        <f aca="false">IF(M918=K918,"OK","DIF")</f>
        <v>OK</v>
      </c>
      <c r="O918" s="13" t="str">
        <f aca="false">IFERROR(VLOOKUP($A918,Lista_Starke!$A:$E,3,0),"NÃO ESTÁ NA LISTA")</f>
        <v>FIAT: Elba  86/96
FIAT: Elba Weekend  86/96
FIAT: Fiorino Exceto Treking e Working 88/10
FIAT: Prêmio  86/95
FIAT: Uno Exceto Turbo 86/10</v>
      </c>
      <c r="P918" s="12" t="str">
        <f aca="false">IFERROR(VLOOKUP($A918,Lista_Starke!$A:$E,2,0),"NÃO ESTÁ NA LISTA")</f>
        <v>BRAÇO OSCILANTE DIANT COMPLETO LE/LD</v>
      </c>
    </row>
    <row r="919" customFormat="false" ht="15" hidden="false" customHeight="true" outlineLevel="0" collapsed="false">
      <c r="A919" s="10" t="s">
        <v>2011</v>
      </c>
      <c r="B919" s="10" t="str">
        <f aca="false">IFERROR(VLOOKUP(A919,Pedido!$A:$B,2,0),"")</f>
        <v/>
      </c>
      <c r="C919" s="10" t="str">
        <f aca="false">IF(B919="","NÃO COMPRA","COMPRA")</f>
        <v>NÃO COMPRA</v>
      </c>
      <c r="D919" s="1" t="n">
        <f aca="false">IFERROR(VLOOKUP(A919,Pedido!$A:$C,3,0),0)</f>
        <v>0</v>
      </c>
      <c r="E919" s="5" t="n">
        <f aca="false">IFERROR(VLOOKUP(A919,Pedido!$A:$E,5,0),0)</f>
        <v>0</v>
      </c>
      <c r="F919" s="1" t="s">
        <v>9</v>
      </c>
      <c r="G919" s="1" t="s">
        <v>1357</v>
      </c>
      <c r="H919" s="1" t="s">
        <v>1358</v>
      </c>
      <c r="I919" s="1" t="s">
        <v>42</v>
      </c>
      <c r="J919" s="1" t="s">
        <v>2012</v>
      </c>
      <c r="K919" s="1" t="n">
        <v>97</v>
      </c>
      <c r="L919" s="11" t="n">
        <v>0.944546351270264</v>
      </c>
      <c r="M919" s="1" t="n">
        <f aca="false">SUMIF(Relatorio_AK!$A:$A,A919,Relatorio_AK!$B:$B)</f>
        <v>97</v>
      </c>
      <c r="N919" s="1" t="str">
        <f aca="false">IF(M919=K919,"OK","DIF")</f>
        <v>OK</v>
      </c>
      <c r="O919" s="13" t="str">
        <f aca="false">IFERROR(VLOOKUP($A919,Lista_Starke!$A:$E,3,0),"NÃO ESTÁ NA LISTA")</f>
        <v>RENAULT: Duster 1.6 / 2.0 11/20
RENAULT: Oroch 1.6 / 2.0 16/21</v>
      </c>
      <c r="P919" s="12" t="str">
        <f aca="false">IFERROR(VLOOKUP($A919,Lista_Starke!$A:$E,2,0),"NÃO ESTÁ NA LISTA")</f>
        <v>BANDEJA INFERIOR COMPLETA LD</v>
      </c>
    </row>
    <row r="920" customFormat="false" ht="15" hidden="false" customHeight="true" outlineLevel="0" collapsed="false">
      <c r="A920" s="10" t="s">
        <v>2013</v>
      </c>
      <c r="B920" s="10" t="str">
        <f aca="false">IFERROR(VLOOKUP(A920,Pedido!$A:$B,2,0),"")</f>
        <v/>
      </c>
      <c r="C920" s="10" t="str">
        <f aca="false">IF(B920="","NÃO COMPRA","COMPRA")</f>
        <v>NÃO COMPRA</v>
      </c>
      <c r="D920" s="1" t="n">
        <f aca="false">IFERROR(VLOOKUP(A920,Pedido!$A:$C,3,0),0)</f>
        <v>0</v>
      </c>
      <c r="E920" s="5" t="n">
        <f aca="false">IFERROR(VLOOKUP(A920,Pedido!$A:$E,5,0),0)</f>
        <v>0</v>
      </c>
      <c r="F920" s="1" t="s">
        <v>9</v>
      </c>
      <c r="G920" s="1" t="s">
        <v>214</v>
      </c>
      <c r="H920" s="1" t="s">
        <v>35</v>
      </c>
      <c r="I920" s="1" t="s">
        <v>215</v>
      </c>
      <c r="K920" s="1" t="n">
        <v>97</v>
      </c>
      <c r="L920" s="11" t="n">
        <v>0.94471217542486</v>
      </c>
      <c r="M920" s="1" t="n">
        <f aca="false">SUMIF(Relatorio_AK!$A:$A,A920,Relatorio_AK!$B:$B)</f>
        <v>97</v>
      </c>
      <c r="N920" s="1" t="str">
        <f aca="false">IF(M920=K920,"OK","DIF")</f>
        <v>OK</v>
      </c>
      <c r="O920" s="12" t="str">
        <f aca="false">IFERROR(VLOOKUP($A920,Lista_Starke!$A:$E,3,0),"NÃO ESTÁ NA LISTA")</f>
        <v>NISSAN: Frontier 2.3 16V Turbo 17/...</v>
      </c>
      <c r="P920" s="12" t="str">
        <f aca="false">IFERROR(VLOOKUP($A920,Lista_Starke!$A:$E,2,0),"NÃO ESTÁ NA LISTA")</f>
        <v>CILINDRO MESTRE DE FREIO</v>
      </c>
    </row>
    <row r="921" customFormat="false" ht="15" hidden="false" customHeight="true" outlineLevel="0" collapsed="false">
      <c r="A921" s="10" t="s">
        <v>2014</v>
      </c>
      <c r="B921" s="10" t="str">
        <f aca="false">IFERROR(VLOOKUP(A921,Pedido!$A:$B,2,0),"")</f>
        <v/>
      </c>
      <c r="C921" s="10" t="str">
        <f aca="false">IF(B921="","NÃO COMPRA","COMPRA")</f>
        <v>NÃO COMPRA</v>
      </c>
      <c r="D921" s="1" t="n">
        <f aca="false">IFERROR(VLOOKUP(A921,Pedido!$A:$C,3,0),0)</f>
        <v>0</v>
      </c>
      <c r="E921" s="5" t="n">
        <f aca="false">IFERROR(VLOOKUP(A921,Pedido!$A:$E,5,0),0)</f>
        <v>0</v>
      </c>
      <c r="F921" s="1" t="s">
        <v>9</v>
      </c>
      <c r="G921" s="1" t="s">
        <v>1330</v>
      </c>
      <c r="H921" s="1" t="s">
        <v>96</v>
      </c>
      <c r="I921" s="1" t="s">
        <v>255</v>
      </c>
      <c r="K921" s="1" t="n">
        <v>97</v>
      </c>
      <c r="L921" s="11" t="n">
        <v>0.944877999579456</v>
      </c>
      <c r="M921" s="1" t="n">
        <f aca="false">SUMIF(Relatorio_AK!$A:$A,A921,Relatorio_AK!$B:$B)</f>
        <v>97</v>
      </c>
      <c r="N921" s="1" t="str">
        <f aca="false">IF(M921=K921,"OK","DIF")</f>
        <v>OK</v>
      </c>
      <c r="O921" s="13" t="str">
        <f aca="false">IFERROR(VLOOKUP($A921,Lista_Starke!$A:$E,3,0),"NÃO ESTÁ NA LISTA")</f>
        <v>MITSUBISHI: Pajero Dakar 3.2 16V 4M41 10/16
MITSUBISHI: Pajero Full 3.2 16V 4M41 08/21
MITSUBISHI: Triton 3.2 16V 4M41 08/18</v>
      </c>
      <c r="P921" s="12" t="str">
        <f aca="false">IFERROR(VLOOKUP($A921,Lista_Starke!$A:$E,2,0),"NÃO ESTÁ NA LISTA")</f>
        <v>BOMBA DE VÁCUO</v>
      </c>
    </row>
    <row r="922" customFormat="false" ht="15" hidden="false" customHeight="true" outlineLevel="0" collapsed="false">
      <c r="A922" s="10" t="s">
        <v>2015</v>
      </c>
      <c r="B922" s="10" t="str">
        <f aca="false">IFERROR(VLOOKUP(A922,Pedido!$A:$B,2,0),"")</f>
        <v/>
      </c>
      <c r="C922" s="10" t="str">
        <f aca="false">IF(B922="","NÃO COMPRA","COMPRA")</f>
        <v>NÃO COMPRA</v>
      </c>
      <c r="D922" s="1" t="n">
        <f aca="false">IFERROR(VLOOKUP(A922,Pedido!$A:$C,3,0),0)</f>
        <v>0</v>
      </c>
      <c r="E922" s="5" t="n">
        <f aca="false">IFERROR(VLOOKUP(A922,Pedido!$A:$E,5,0),0)</f>
        <v>0</v>
      </c>
      <c r="F922" s="1" t="s">
        <v>9</v>
      </c>
      <c r="G922" s="1" t="s">
        <v>2016</v>
      </c>
      <c r="H922" s="1" t="s">
        <v>1358</v>
      </c>
      <c r="I922" s="1" t="s">
        <v>1987</v>
      </c>
      <c r="K922" s="1" t="n">
        <v>97</v>
      </c>
      <c r="L922" s="11" t="n">
        <v>0.945043823734052</v>
      </c>
      <c r="M922" s="1" t="n">
        <f aca="false">SUMIF(Relatorio_AK!$A:$A,A922,Relatorio_AK!$B:$B)</f>
        <v>97</v>
      </c>
      <c r="N922" s="1" t="str">
        <f aca="false">IF(M922=K922,"OK","DIF")</f>
        <v>OK</v>
      </c>
      <c r="O922" s="12" t="str">
        <f aca="false">IFERROR(VLOOKUP($A922,Lista_Starke!$A:$E,3,0),"NÃO ESTÁ NA LISTA")</f>
        <v>BYD: Dolphin EV 23/...</v>
      </c>
      <c r="P922" s="12" t="str">
        <f aca="false">IFERROR(VLOOKUP($A922,Lista_Starke!$A:$E,2,0),"NÃO ESTÁ NA LISTA")</f>
        <v>BANDEJA INFERIOR COMPLETA LE</v>
      </c>
    </row>
    <row r="923" customFormat="false" ht="15" hidden="false" customHeight="true" outlineLevel="0" collapsed="false">
      <c r="A923" s="10" t="s">
        <v>2017</v>
      </c>
      <c r="B923" s="10" t="str">
        <f aca="false">IFERROR(VLOOKUP(A923,Pedido!$A:$B,2,0),"")</f>
        <v/>
      </c>
      <c r="C923" s="10" t="str">
        <f aca="false">IF(B923="","NÃO COMPRA","COMPRA")</f>
        <v>NÃO COMPRA</v>
      </c>
      <c r="D923" s="1" t="n">
        <f aca="false">IFERROR(VLOOKUP(A923,Pedido!$A:$C,3,0),0)</f>
        <v>0</v>
      </c>
      <c r="E923" s="5" t="n">
        <f aca="false">IFERROR(VLOOKUP(A923,Pedido!$A:$E,5,0),0)</f>
        <v>0</v>
      </c>
      <c r="F923" s="1" t="s">
        <v>9</v>
      </c>
      <c r="G923" s="1" t="s">
        <v>1326</v>
      </c>
      <c r="H923" s="1" t="s">
        <v>197</v>
      </c>
      <c r="I923" s="1" t="s">
        <v>177</v>
      </c>
      <c r="J923" s="1" t="s">
        <v>2018</v>
      </c>
      <c r="K923" s="1" t="n">
        <v>97</v>
      </c>
      <c r="L923" s="11" t="n">
        <v>0.945209647888648</v>
      </c>
      <c r="M923" s="1" t="n">
        <f aca="false">SUMIF(Relatorio_AK!$A:$A,A923,Relatorio_AK!$B:$B)</f>
        <v>97</v>
      </c>
      <c r="N923" s="1" t="str">
        <f aca="false">IF(M923=K923,"OK","DIF")</f>
        <v>OK</v>
      </c>
      <c r="O923" s="13" t="str">
        <f aca="false">IFERROR(VLOOKUP($A923,Lista_Starke!$A:$E,3,0),"NÃO ESTÁ NA LISTA")</f>
        <v>TOYOTA: Celica 1.8 16V 94/97
TOYOTA: Corolla 1.8 16V 96/02</v>
      </c>
      <c r="P923" s="12" t="str">
        <f aca="false">IFERROR(VLOOKUP($A923,Lista_Starke!$A:$E,2,0),"NÃO ESTÁ NA LISTA")</f>
        <v>BOMBA D'ÁGUA</v>
      </c>
    </row>
    <row r="924" customFormat="false" ht="15" hidden="false" customHeight="true" outlineLevel="0" collapsed="false">
      <c r="A924" s="10" t="s">
        <v>2019</v>
      </c>
      <c r="B924" s="10" t="str">
        <f aca="false">IFERROR(VLOOKUP(A924,Pedido!$A:$B,2,0),"")</f>
        <v/>
      </c>
      <c r="C924" s="10" t="str">
        <f aca="false">IF(B924="","NÃO COMPRA","COMPRA")</f>
        <v>NÃO COMPRA</v>
      </c>
      <c r="D924" s="1" t="n">
        <f aca="false">IFERROR(VLOOKUP(A924,Pedido!$A:$C,3,0),0)</f>
        <v>0</v>
      </c>
      <c r="E924" s="5" t="n">
        <f aca="false">IFERROR(VLOOKUP(A924,Pedido!$A:$E,5,0),0)</f>
        <v>0</v>
      </c>
      <c r="F924" s="1" t="s">
        <v>9</v>
      </c>
      <c r="G924" s="1" t="s">
        <v>2020</v>
      </c>
      <c r="H924" s="1" t="s">
        <v>2021</v>
      </c>
      <c r="I924" s="1" t="s">
        <v>929</v>
      </c>
      <c r="J924" s="1" t="s">
        <v>2022</v>
      </c>
      <c r="K924" s="1" t="n">
        <v>97</v>
      </c>
      <c r="L924" s="11" t="n">
        <v>0.945375472043244</v>
      </c>
      <c r="M924" s="1" t="n">
        <f aca="false">SUMIF(Relatorio_AK!$A:$A,A924,Relatorio_AK!$B:$B)</f>
        <v>97</v>
      </c>
      <c r="N924" s="1" t="str">
        <f aca="false">IF(M924=K924,"OK","DIF")</f>
        <v>OK</v>
      </c>
      <c r="O924" s="13" t="str">
        <f aca="false">IFERROR(VLOOKUP($A924,Lista_Starke!$A:$E,3,0),"NÃO ESTÁ NA LISTA")</f>
        <v>SUZUKI: Grand Vitara 2.0 16V 05/15
SUZUKI: Grand Vitara 3.2 V6 05/15</v>
      </c>
      <c r="P924" s="12" t="str">
        <f aca="false">IFERROR(VLOOKUP($A924,Lista_Starke!$A:$E,2,0),"NÃO ESTÁ NA LISTA")</f>
        <v>CILINDRO MESTRE DUPLO</v>
      </c>
    </row>
    <row r="925" customFormat="false" ht="15" hidden="false" customHeight="true" outlineLevel="0" collapsed="false">
      <c r="A925" s="10" t="s">
        <v>2023</v>
      </c>
      <c r="B925" s="10" t="str">
        <f aca="false">IFERROR(VLOOKUP(A925,Pedido!$A:$B,2,0),"")</f>
        <v/>
      </c>
      <c r="C925" s="10" t="str">
        <f aca="false">IF(B925="","NÃO COMPRA","COMPRA")</f>
        <v>NÃO COMPRA</v>
      </c>
      <c r="D925" s="1" t="n">
        <f aca="false">IFERROR(VLOOKUP(A925,Pedido!$A:$C,3,0),0)</f>
        <v>0</v>
      </c>
      <c r="E925" s="5" t="n">
        <f aca="false">IFERROR(VLOOKUP(A925,Pedido!$A:$E,5,0),0)</f>
        <v>0</v>
      </c>
      <c r="F925" s="1" t="s">
        <v>9</v>
      </c>
      <c r="G925" s="1" t="s">
        <v>191</v>
      </c>
      <c r="H925" s="1" t="s">
        <v>35</v>
      </c>
      <c r="I925" s="1" t="s">
        <v>50</v>
      </c>
      <c r="J925" s="1" t="s">
        <v>2024</v>
      </c>
      <c r="K925" s="1" t="n">
        <v>97</v>
      </c>
      <c r="L925" s="11" t="n">
        <v>0.94554129619784</v>
      </c>
      <c r="M925" s="1" t="n">
        <f aca="false">SUMIF(Relatorio_AK!$A:$A,A925,Relatorio_AK!$B:$B)</f>
        <v>97</v>
      </c>
      <c r="N925" s="1" t="str">
        <f aca="false">IF(M925=K925,"OK","DIF")</f>
        <v>OK</v>
      </c>
      <c r="O925" s="12" t="str">
        <f aca="false">IFERROR(VLOOKUP($A925,Lista_Starke!$A:$E,3,0),"NÃO ESTÁ NA LISTA")</f>
        <v>HONDA: CRV 2.0 16V 12/...</v>
      </c>
      <c r="P925" s="12" t="str">
        <f aca="false">IFERROR(VLOOKUP($A925,Lista_Starke!$A:$E,2,0),"NÃO ESTÁ NA LISTA")</f>
        <v>CILINDRO MESTRE DE FREIO</v>
      </c>
    </row>
    <row r="926" customFormat="false" ht="15" hidden="false" customHeight="true" outlineLevel="0" collapsed="false">
      <c r="A926" s="10" t="s">
        <v>2025</v>
      </c>
      <c r="B926" s="10" t="str">
        <f aca="false">IFERROR(VLOOKUP(A926,Pedido!$A:$B,2,0),"")</f>
        <v/>
      </c>
      <c r="C926" s="10" t="str">
        <f aca="false">IF(B926="","NÃO COMPRA","COMPRA")</f>
        <v>NÃO COMPRA</v>
      </c>
      <c r="D926" s="1" t="n">
        <f aca="false">IFERROR(VLOOKUP(A926,Pedido!$A:$C,3,0),0)</f>
        <v>0</v>
      </c>
      <c r="E926" s="5" t="n">
        <f aca="false">IFERROR(VLOOKUP(A926,Pedido!$A:$E,5,0),0)</f>
        <v>0</v>
      </c>
      <c r="F926" s="1" t="s">
        <v>9</v>
      </c>
      <c r="G926" s="1" t="s">
        <v>2026</v>
      </c>
      <c r="H926" s="1" t="s">
        <v>1073</v>
      </c>
      <c r="I926" s="1" t="s">
        <v>1157</v>
      </c>
      <c r="J926" s="1" t="s">
        <v>2027</v>
      </c>
      <c r="K926" s="1" t="n">
        <v>97</v>
      </c>
      <c r="L926" s="11" t="n">
        <v>0.945707120352436</v>
      </c>
      <c r="M926" s="1" t="n">
        <f aca="false">SUMIF(Relatorio_AK!$A:$A,A926,Relatorio_AK!$B:$B)</f>
        <v>97</v>
      </c>
      <c r="N926" s="1" t="str">
        <f aca="false">IF(M926=K926,"OK","DIF")</f>
        <v>OK</v>
      </c>
      <c r="O926" s="13" t="str">
        <f aca="false">IFERROR(VLOOKUP($A926,Lista_Starke!$A:$E,3,0),"NÃO ESTÁ NA LISTA")</f>
        <v>BMW: 218i (G42/G87) 2.0 B48B20A 22/...
BMW: 220i (G42/G87) 2.0 B48B20A 21/...
BMW: 230i (G42/G87) 2.0 B48B20B 22/...
BMW: 320e Hybrid (G20/G28/G80) 2.0 B48B20A 20/...
BMW: 320e Hybrid (G21/G81) 2.0 B48B20A 20/...
BMW: 320i (G20/G28/G80) 2.0 B48B20A / B48B20B / B46B20B 19/...
BMW: 320i (G21/G81) 2.0 B48B20A / B46B20B 19/...
BMW: 330e Hybrid (G20/G28/G80) 2.0 B48B20A / B48B20B / B46B20B 19/...
BMW: 330e Hybrid (G21/G81) 2.0 B48B20A 20/...
BMW: 330i (G20/G28/G80) 2.0 B48B20B / B46B20B 18/...
BMW: 330i (G21/G81) 2.0 B48B20B 19/...
BMW: X3 (G01/G08/F97) 2.0 B48B20A 17/...
BMW: X3 (G01/G08/F97) 2.0 Plug-in Hybrid B48B20A / B46B20B 19/...</v>
      </c>
      <c r="P926" s="12" t="str">
        <f aca="false">IFERROR(VLOOKUP($A926,Lista_Starke!$A:$E,2,0),"NÃO ESTÁ NA LISTA")</f>
        <v>VÁLVULA TERMOSTÁTICA</v>
      </c>
    </row>
    <row r="927" customFormat="false" ht="15" hidden="false" customHeight="true" outlineLevel="0" collapsed="false">
      <c r="A927" s="10" t="s">
        <v>2028</v>
      </c>
      <c r="B927" s="10" t="str">
        <f aca="false">IFERROR(VLOOKUP(A927,Pedido!$A:$B,2,0),"")</f>
        <v/>
      </c>
      <c r="C927" s="10" t="str">
        <f aca="false">IF(B927="","NÃO COMPRA","COMPRA")</f>
        <v>NÃO COMPRA</v>
      </c>
      <c r="D927" s="1" t="n">
        <f aca="false">IFERROR(VLOOKUP(A927,Pedido!$A:$C,3,0),0)</f>
        <v>0</v>
      </c>
      <c r="E927" s="5" t="n">
        <f aca="false">IFERROR(VLOOKUP(A927,Pedido!$A:$E,5,0),0)</f>
        <v>0</v>
      </c>
      <c r="F927" s="1" t="s">
        <v>9</v>
      </c>
      <c r="G927" s="1" t="s">
        <v>1321</v>
      </c>
      <c r="H927" s="1" t="s">
        <v>1073</v>
      </c>
      <c r="I927" s="1" t="s">
        <v>42</v>
      </c>
      <c r="J927" s="1" t="s">
        <v>2029</v>
      </c>
      <c r="K927" s="1" t="n">
        <v>97</v>
      </c>
      <c r="L927" s="11" t="n">
        <v>0.945872944507032</v>
      </c>
      <c r="M927" s="1" t="n">
        <f aca="false">SUMIF(Relatorio_AK!$A:$A,A927,Relatorio_AK!$B:$B)</f>
        <v>97</v>
      </c>
      <c r="N927" s="1" t="str">
        <f aca="false">IF(M927=K927,"OK","DIF")</f>
        <v>OK</v>
      </c>
      <c r="O927" s="12" t="str">
        <f aca="false">IFERROR(VLOOKUP($A927,Lista_Starke!$A:$E,3,0),"NÃO ESTÁ NA LISTA")</f>
        <v>RENAULT: Master 2.3 16V Turbo 13/…</v>
      </c>
      <c r="P927" s="12" t="str">
        <f aca="false">IFERROR(VLOOKUP($A927,Lista_Starke!$A:$E,2,0),"NÃO ESTÁ NA LISTA")</f>
        <v>VÁLVULA TERMOSTÁTICA</v>
      </c>
    </row>
    <row r="928" customFormat="false" ht="15" hidden="false" customHeight="true" outlineLevel="0" collapsed="false">
      <c r="A928" s="10" t="s">
        <v>2030</v>
      </c>
      <c r="B928" s="10" t="str">
        <f aca="false">IFERROR(VLOOKUP(A928,Pedido!$A:$B,2,0),"")</f>
        <v/>
      </c>
      <c r="C928" s="10" t="str">
        <f aca="false">IF(B928="","NÃO COMPRA","COMPRA")</f>
        <v>NÃO COMPRA</v>
      </c>
      <c r="D928" s="1" t="n">
        <f aca="false">IFERROR(VLOOKUP(A928,Pedido!$A:$C,3,0),0)</f>
        <v>0</v>
      </c>
      <c r="E928" s="5" t="n">
        <f aca="false">IFERROR(VLOOKUP(A928,Pedido!$A:$E,5,0),0)</f>
        <v>0</v>
      </c>
      <c r="F928" s="1" t="s">
        <v>9</v>
      </c>
      <c r="G928" s="1" t="s">
        <v>2031</v>
      </c>
      <c r="H928" s="1" t="s">
        <v>1358</v>
      </c>
      <c r="I928" s="1" t="s">
        <v>36</v>
      </c>
      <c r="J928" s="1" t="s">
        <v>2032</v>
      </c>
      <c r="K928" s="1" t="n">
        <v>96</v>
      </c>
      <c r="L928" s="11" t="n">
        <v>0.946037059134261</v>
      </c>
      <c r="M928" s="1" t="n">
        <f aca="false">SUMIF(Relatorio_AK!$A:$A,A928,Relatorio_AK!$B:$B)</f>
        <v>96</v>
      </c>
      <c r="N928" s="1" t="str">
        <f aca="false">IF(M928=K928,"OK","DIF")</f>
        <v>OK</v>
      </c>
      <c r="O928" s="13" t="str">
        <f aca="false">IFERROR(VLOOKUP($A928,Lista_Starke!$A:$E,3,0),"NÃO ESTÁ NA LISTA")</f>
        <v>VOLKSWAGEN: Nivus  20/...
VOLKSWAGEN: Polo  17/...
VOLKSWAGEN: T-Cross  19/...
VOLKSWAGEN: Virtus  18/...</v>
      </c>
      <c r="P928" s="12" t="str">
        <f aca="false">IFERROR(VLOOKUP($A928,Lista_Starke!$A:$E,2,0),"NÃO ESTÁ NA LISTA")</f>
        <v>BANDEJA INFERIOR COMPLETA LE</v>
      </c>
    </row>
    <row r="929" customFormat="false" ht="15" hidden="false" customHeight="true" outlineLevel="0" collapsed="false">
      <c r="A929" s="10" t="s">
        <v>2033</v>
      </c>
      <c r="B929" s="10" t="str">
        <f aca="false">IFERROR(VLOOKUP(A929,Pedido!$A:$B,2,0),"")</f>
        <v/>
      </c>
      <c r="C929" s="10" t="str">
        <f aca="false">IF(B929="","NÃO COMPRA","COMPRA")</f>
        <v>NÃO COMPRA</v>
      </c>
      <c r="D929" s="1" t="n">
        <f aca="false">IFERROR(VLOOKUP(A929,Pedido!$A:$C,3,0),0)</f>
        <v>0</v>
      </c>
      <c r="E929" s="5" t="n">
        <f aca="false">IFERROR(VLOOKUP(A929,Pedido!$A:$E,5,0),0)</f>
        <v>0</v>
      </c>
      <c r="F929" s="1" t="s">
        <v>9</v>
      </c>
      <c r="G929" s="1" t="s">
        <v>2034</v>
      </c>
      <c r="H929" s="1" t="s">
        <v>1714</v>
      </c>
      <c r="I929" s="1" t="s">
        <v>172</v>
      </c>
      <c r="J929" s="1" t="s">
        <v>2035</v>
      </c>
      <c r="K929" s="1" t="n">
        <v>96</v>
      </c>
      <c r="L929" s="11" t="n">
        <v>0.94620117376149</v>
      </c>
      <c r="M929" s="1" t="n">
        <f aca="false">SUMIF(Relatorio_AK!$A:$A,A929,Relatorio_AK!$B:$B)</f>
        <v>96</v>
      </c>
      <c r="N929" s="1" t="str">
        <f aca="false">IF(M929=K929,"OK","DIF")</f>
        <v>OK</v>
      </c>
      <c r="O929" s="13" t="str">
        <f aca="false">IFERROR(VLOOKUP($A929,Lista_Starke!$A:$E,3,0),"NÃO ESTÁ NA LISTA")</f>
        <v>HYUNDAI: HR 2.5 16V CRDi Diesel D4CB 13/...
KIA: Bongo K2500 2.5 16V CRDi Diesel D4CB 13/...
KIA: Sorento 2.5 16V CRDi Diesel D4CB 13/...</v>
      </c>
      <c r="P929" s="12" t="str">
        <f aca="false">IFERROR(VLOOKUP($A929,Lista_Starke!$A:$E,2,0),"NÃO ESTÁ NA LISTA")</f>
        <v>POLIA VISCOSA</v>
      </c>
    </row>
    <row r="930" customFormat="false" ht="15" hidden="false" customHeight="true" outlineLevel="0" collapsed="false">
      <c r="A930" s="10" t="s">
        <v>2036</v>
      </c>
      <c r="B930" s="10" t="str">
        <f aca="false">IFERROR(VLOOKUP(A930,Pedido!$A:$B,2,0),"")</f>
        <v/>
      </c>
      <c r="C930" s="10" t="str">
        <f aca="false">IF(B930="","NÃO COMPRA","COMPRA")</f>
        <v>NÃO COMPRA</v>
      </c>
      <c r="D930" s="1" t="n">
        <f aca="false">IFERROR(VLOOKUP(A930,Pedido!$A:$C,3,0),0)</f>
        <v>0</v>
      </c>
      <c r="E930" s="5" t="n">
        <f aca="false">IFERROR(VLOOKUP(A930,Pedido!$A:$E,5,0),0)</f>
        <v>0</v>
      </c>
      <c r="F930" s="1" t="s">
        <v>9</v>
      </c>
      <c r="G930" s="1" t="s">
        <v>1321</v>
      </c>
      <c r="H930" s="1" t="s">
        <v>1073</v>
      </c>
      <c r="I930" s="1" t="s">
        <v>42</v>
      </c>
      <c r="J930" s="1" t="s">
        <v>2037</v>
      </c>
      <c r="K930" s="1" t="n">
        <v>96</v>
      </c>
      <c r="L930" s="11" t="n">
        <v>0.946365288388719</v>
      </c>
      <c r="M930" s="1" t="n">
        <f aca="false">SUMIF(Relatorio_AK!$A:$A,A930,Relatorio_AK!$B:$B)</f>
        <v>96</v>
      </c>
      <c r="N930" s="1" t="str">
        <f aca="false">IF(M930=K930,"OK","DIF")</f>
        <v>OK</v>
      </c>
      <c r="O930" s="12" t="str">
        <f aca="false">IFERROR(VLOOKUP($A930,Lista_Starke!$A:$E,3,0),"NÃO ESTÁ NA LISTA")</f>
        <v>RENAULT: Master 2.5 16V Diesel G9U 05/13</v>
      </c>
      <c r="P930" s="12" t="str">
        <f aca="false">IFERROR(VLOOKUP($A930,Lista_Starke!$A:$E,2,0),"NÃO ESTÁ NA LISTA")</f>
        <v>VÁLVULA TERMOSTÁTICA</v>
      </c>
    </row>
    <row r="931" customFormat="false" ht="15" hidden="false" customHeight="true" outlineLevel="0" collapsed="false">
      <c r="A931" s="10" t="s">
        <v>2038</v>
      </c>
      <c r="B931" s="10" t="str">
        <f aca="false">IFERROR(VLOOKUP(A931,Pedido!$A:$B,2,0),"")</f>
        <v/>
      </c>
      <c r="C931" s="10" t="str">
        <f aca="false">IF(B931="","NÃO COMPRA","COMPRA")</f>
        <v>NÃO COMPRA</v>
      </c>
      <c r="D931" s="1" t="n">
        <f aca="false">IFERROR(VLOOKUP(A931,Pedido!$A:$C,3,0),0)</f>
        <v>0</v>
      </c>
      <c r="E931" s="5" t="n">
        <f aca="false">IFERROR(VLOOKUP(A931,Pedido!$A:$E,5,0),0)</f>
        <v>0</v>
      </c>
      <c r="F931" s="1" t="s">
        <v>9</v>
      </c>
      <c r="G931" s="1" t="s">
        <v>1390</v>
      </c>
      <c r="H931" s="1" t="s">
        <v>1358</v>
      </c>
      <c r="I931" s="1" t="s">
        <v>42</v>
      </c>
      <c r="J931" s="1" t="s">
        <v>2039</v>
      </c>
      <c r="K931" s="1" t="n">
        <v>95</v>
      </c>
      <c r="L931" s="11" t="n">
        <v>0.946527693488581</v>
      </c>
      <c r="M931" s="1" t="n">
        <f aca="false">SUMIF(Relatorio_AK!$A:$A,A931,Relatorio_AK!$B:$B)</f>
        <v>95</v>
      </c>
      <c r="N931" s="1" t="str">
        <f aca="false">IF(M931=K931,"OK","DIF")</f>
        <v>OK</v>
      </c>
      <c r="O931" s="13" t="str">
        <f aca="false">IFERROR(VLOOKUP($A931,Lista_Starke!$A:$E,3,0),"NÃO ESTÁ NA LISTA")</f>
        <v>RENAULT: Duster 1.6 / 2.0 11/20
RENAULT: Oroch 1.6 / 2.0 16/21</v>
      </c>
      <c r="P931" s="12" t="str">
        <f aca="false">IFERROR(VLOOKUP($A931,Lista_Starke!$A:$E,2,0),"NÃO ESTÁ NA LISTA")</f>
        <v>BANDEJA INFERIOR COMPLETA LE</v>
      </c>
    </row>
    <row r="932" customFormat="false" ht="15" hidden="false" customHeight="true" outlineLevel="0" collapsed="false">
      <c r="A932" s="10" t="s">
        <v>2040</v>
      </c>
      <c r="B932" s="10" t="str">
        <f aca="false">IFERROR(VLOOKUP(A932,Pedido!$A:$B,2,0),"")</f>
        <v/>
      </c>
      <c r="C932" s="10" t="str">
        <f aca="false">IF(B932="","NÃO COMPRA","COMPRA")</f>
        <v>NÃO COMPRA</v>
      </c>
      <c r="D932" s="1" t="n">
        <f aca="false">IFERROR(VLOOKUP(A932,Pedido!$A:$C,3,0),0)</f>
        <v>0</v>
      </c>
      <c r="E932" s="5" t="n">
        <f aca="false">IFERROR(VLOOKUP(A932,Pedido!$A:$E,5,0),0)</f>
        <v>0</v>
      </c>
      <c r="F932" s="1" t="s">
        <v>9</v>
      </c>
      <c r="G932" s="1" t="s">
        <v>2041</v>
      </c>
      <c r="H932" s="1" t="s">
        <v>1358</v>
      </c>
      <c r="I932" s="1" t="s">
        <v>77</v>
      </c>
      <c r="J932" s="1" t="s">
        <v>2042</v>
      </c>
      <c r="K932" s="1" t="n">
        <v>95</v>
      </c>
      <c r="L932" s="11" t="n">
        <v>0.946690098588443</v>
      </c>
      <c r="M932" s="1" t="n">
        <f aca="false">SUMIF(Relatorio_AK!$A:$A,A932,Relatorio_AK!$B:$B)</f>
        <v>95</v>
      </c>
      <c r="N932" s="1" t="str">
        <f aca="false">IF(M932=K932,"OK","DIF")</f>
        <v>OK</v>
      </c>
      <c r="O932" s="13" t="str">
        <f aca="false">IFERROR(VLOOKUP($A932,Lista_Starke!$A:$E,3,0),"NÃO ESTÁ NA LISTA")</f>
        <v>CITROEN: C4  016/13
CITROEN: C4 Pallas  06/13
CITROEN: C4 Picasso  06/19
PEUGEOT: 307  02/12</v>
      </c>
      <c r="P932" s="12" t="str">
        <f aca="false">IFERROR(VLOOKUP($A932,Lista_Starke!$A:$E,2,0),"NÃO ESTÁ NA LISTA")</f>
        <v>BANDEJA INFERIOR LE</v>
      </c>
    </row>
    <row r="933" customFormat="false" ht="15" hidden="false" customHeight="true" outlineLevel="0" collapsed="false">
      <c r="A933" s="10" t="s">
        <v>2043</v>
      </c>
      <c r="B933" s="10" t="str">
        <f aca="false">IFERROR(VLOOKUP(A933,Pedido!$A:$B,2,0),"")</f>
        <v/>
      </c>
      <c r="C933" s="10" t="str">
        <f aca="false">IF(B933="","NÃO COMPRA","COMPRA")</f>
        <v>NÃO COMPRA</v>
      </c>
      <c r="D933" s="1" t="n">
        <f aca="false">IFERROR(VLOOKUP(A933,Pedido!$A:$C,3,0),0)</f>
        <v>0</v>
      </c>
      <c r="E933" s="5" t="n">
        <f aca="false">IFERROR(VLOOKUP(A933,Pedido!$A:$E,5,0),0)</f>
        <v>0</v>
      </c>
      <c r="F933" s="1" t="s">
        <v>9</v>
      </c>
      <c r="G933" s="1" t="s">
        <v>763</v>
      </c>
      <c r="H933" s="1" t="s">
        <v>197</v>
      </c>
      <c r="I933" s="1" t="s">
        <v>373</v>
      </c>
      <c r="K933" s="1" t="n">
        <v>95</v>
      </c>
      <c r="L933" s="11" t="n">
        <v>0.946852503688306</v>
      </c>
      <c r="M933" s="1" t="n">
        <f aca="false">SUMIF(Relatorio_AK!$A:$A,A933,Relatorio_AK!$B:$B)</f>
        <v>95</v>
      </c>
      <c r="N933" s="1" t="str">
        <f aca="false">IF(M933=K933,"OK","DIF")</f>
        <v>OK</v>
      </c>
      <c r="O933" s="13" t="str">
        <f aca="false">IFERROR(VLOOKUP($A933,Lista_Starke!$A:$E,3,0),"NÃO ESTÁ NA LISTA")</f>
        <v>MERCEDES-BENZ: A45 AMG (W176) 2.0 16V Turbo M133.980 13/...
MERCEDES-BENZ: CLA45 AMG (C117) 2.0 16v Turbo M133.980 13/...
MERCEDES-BENZ: GLA45 AMG (X156) 2.0 16V Turbo M133.980 14/...</v>
      </c>
      <c r="P933" s="12" t="str">
        <f aca="false">IFERROR(VLOOKUP($A933,Lista_Starke!$A:$E,2,0),"NÃO ESTÁ NA LISTA")</f>
        <v>BOMBA D'ÁGUA</v>
      </c>
    </row>
    <row r="934" customFormat="false" ht="15" hidden="false" customHeight="true" outlineLevel="0" collapsed="false">
      <c r="A934" s="10" t="s">
        <v>2044</v>
      </c>
      <c r="B934" s="10" t="str">
        <f aca="false">IFERROR(VLOOKUP(A934,Pedido!$A:$B,2,0),"")</f>
        <v/>
      </c>
      <c r="C934" s="10" t="str">
        <f aca="false">IF(B934="","NÃO COMPRA","COMPRA")</f>
        <v>NÃO COMPRA</v>
      </c>
      <c r="D934" s="1" t="n">
        <f aca="false">IFERROR(VLOOKUP(A934,Pedido!$A:$C,3,0),0)</f>
        <v>0</v>
      </c>
      <c r="E934" s="5" t="n">
        <f aca="false">IFERROR(VLOOKUP(A934,Pedido!$A:$E,5,0),0)</f>
        <v>0</v>
      </c>
      <c r="F934" s="1" t="s">
        <v>9</v>
      </c>
      <c r="G934" s="1" t="s">
        <v>720</v>
      </c>
      <c r="H934" s="1" t="s">
        <v>197</v>
      </c>
      <c r="I934" s="1" t="s">
        <v>255</v>
      </c>
      <c r="J934" s="1" t="s">
        <v>2045</v>
      </c>
      <c r="K934" s="1" t="n">
        <v>95</v>
      </c>
      <c r="L934" s="11" t="n">
        <v>0.947014908788168</v>
      </c>
      <c r="M934" s="1" t="n">
        <f aca="false">SUMIF(Relatorio_AK!$A:$A,A934,Relatorio_AK!$B:$B)</f>
        <v>95</v>
      </c>
      <c r="N934" s="1" t="str">
        <f aca="false">IF(M934=K934,"OK","DIF")</f>
        <v>OK</v>
      </c>
      <c r="O934" s="13" t="str">
        <f aca="false">IFERROR(VLOOKUP($A934,Lista_Starke!$A:$E,3,0),"NÃO ESTÁ NA LISTA")</f>
        <v>MITSUBISHI: Pajero Dakar 3.2 16V Diesel 4M41 DI-D 07/…
MITSUBISHI: Pajero Full 3.2 16V Diesel 4M41 DI-D 07/…
MITSUBISHI: Triton 3.2 16V Diesel 4M41 DI-D 07/…</v>
      </c>
      <c r="P934" s="12" t="str">
        <f aca="false">IFERROR(VLOOKUP($A934,Lista_Starke!$A:$E,2,0),"NÃO ESTÁ NA LISTA")</f>
        <v>BOMBA D'ÁGUA</v>
      </c>
    </row>
    <row r="935" customFormat="false" ht="15" hidden="false" customHeight="true" outlineLevel="0" collapsed="false">
      <c r="A935" s="10" t="s">
        <v>2046</v>
      </c>
      <c r="B935" s="10" t="str">
        <f aca="false">IFERROR(VLOOKUP(A935,Pedido!$A:$B,2,0),"")</f>
        <v/>
      </c>
      <c r="C935" s="10" t="str">
        <f aca="false">IF(B935="","NÃO COMPRA","COMPRA")</f>
        <v>NÃO COMPRA</v>
      </c>
      <c r="D935" s="1" t="n">
        <f aca="false">IFERROR(VLOOKUP(A935,Pedido!$A:$C,3,0),0)</f>
        <v>0</v>
      </c>
      <c r="E935" s="5" t="n">
        <f aca="false">IFERROR(VLOOKUP(A935,Pedido!$A:$E,5,0),0)</f>
        <v>0</v>
      </c>
      <c r="F935" s="1" t="s">
        <v>9</v>
      </c>
      <c r="G935" s="1" t="s">
        <v>789</v>
      </c>
      <c r="H935" s="1" t="s">
        <v>197</v>
      </c>
      <c r="I935" s="1" t="s">
        <v>77</v>
      </c>
      <c r="J935" s="1" t="s">
        <v>2047</v>
      </c>
      <c r="K935" s="1" t="n">
        <v>95</v>
      </c>
      <c r="L935" s="11" t="n">
        <v>0.94717731388803</v>
      </c>
      <c r="M935" s="1" t="n">
        <f aca="false">SUMIF(Relatorio_AK!$A:$A,A935,Relatorio_AK!$B:$B)</f>
        <v>95</v>
      </c>
      <c r="N935" s="1" t="str">
        <f aca="false">IF(M935=K935,"OK","DIF")</f>
        <v>OK</v>
      </c>
      <c r="O935" s="13" t="str">
        <f aca="false">IFERROR(VLOOKUP($A935,Lista_Starke!$A:$E,3,0),"NÃO ESTÁ NA LISTA")</f>
        <v>CITROEN: C4 / C4 Picasso 2.0 16V RHE/AHR 09/...
CITROEN: C4 Grand Picasso 2.0 16V RHE/RHH 09/...
CITROEN: C5 2.0 16V RHE/RHH 09/...
CITROEN: DS4 2.0 16V AHV/RHD/AHS 11/15
CITROEN: DS5 2.0 16V RHD/RHH/RHC 11/15
PEUGEOT: 3008 2.0 16V RHD/RHE/RHH 09/16
PEUGEOT: 308 2.0 16V RHE/RHH 11/14
PEUGEOT: 407 2.0 16V RHH 09/...
PEUGEOT: 508 2.016V RHH/RHC 10/18
PEUGEOT: 807 2.0 16V RHR/RHH 09/...</v>
      </c>
      <c r="P935" s="12" t="str">
        <f aca="false">IFERROR(VLOOKUP($A935,Lista_Starke!$A:$E,2,0),"NÃO ESTÁ NA LISTA")</f>
        <v>BOMBA D'ÁGUA</v>
      </c>
    </row>
    <row r="936" customFormat="false" ht="15" hidden="false" customHeight="true" outlineLevel="0" collapsed="false">
      <c r="A936" s="10" t="s">
        <v>2048</v>
      </c>
      <c r="B936" s="10" t="str">
        <f aca="false">IFERROR(VLOOKUP(A936,Pedido!$A:$B,2,0),"")</f>
        <v/>
      </c>
      <c r="C936" s="10" t="str">
        <f aca="false">IF(B936="","NÃO COMPRA","COMPRA")</f>
        <v>NÃO COMPRA</v>
      </c>
      <c r="D936" s="1" t="n">
        <f aca="false">IFERROR(VLOOKUP(A936,Pedido!$A:$C,3,0),0)</f>
        <v>0</v>
      </c>
      <c r="E936" s="5" t="n">
        <f aca="false">IFERROR(VLOOKUP(A936,Pedido!$A:$E,5,0),0)</f>
        <v>0</v>
      </c>
      <c r="F936" s="1" t="s">
        <v>9</v>
      </c>
      <c r="G936" s="1" t="s">
        <v>56</v>
      </c>
      <c r="H936" s="1" t="s">
        <v>35</v>
      </c>
      <c r="I936" s="1" t="s">
        <v>57</v>
      </c>
      <c r="J936" s="1" t="s">
        <v>2049</v>
      </c>
      <c r="K936" s="1" t="n">
        <v>95</v>
      </c>
      <c r="L936" s="11" t="n">
        <v>0.947339718987892</v>
      </c>
      <c r="M936" s="1" t="n">
        <f aca="false">SUMIF(Relatorio_AK!$A:$A,A936,Relatorio_AK!$B:$B)</f>
        <v>95</v>
      </c>
      <c r="N936" s="1" t="str">
        <f aca="false">IF(M936=K936,"OK","DIF")</f>
        <v>OK</v>
      </c>
      <c r="O936" s="13" t="str">
        <f aca="false">IFERROR(VLOOKUP($A936,Lista_Starke!$A:$E,3,0),"NÃO ESTÁ NA LISTA")</f>
        <v>GM: S10 2.5 Flex 15/...
GM: S10 2.8 Turbodiedel 13/...
GM: Trailblazer 2.8 Turbodiesel 13/...</v>
      </c>
      <c r="P936" s="12" t="str">
        <f aca="false">IFERROR(VLOOKUP($A936,Lista_Starke!$A:$E,2,0),"NÃO ESTÁ NA LISTA")</f>
        <v>CILINDRO MESTRE DE FREIO</v>
      </c>
    </row>
    <row r="937" customFormat="false" ht="15" hidden="false" customHeight="true" outlineLevel="0" collapsed="false">
      <c r="A937" s="10" t="s">
        <v>2050</v>
      </c>
      <c r="B937" s="10" t="str">
        <f aca="false">IFERROR(VLOOKUP(A937,Pedido!$A:$B,2,0),"")</f>
        <v/>
      </c>
      <c r="C937" s="10" t="str">
        <f aca="false">IF(B937="","NÃO COMPRA","COMPRA")</f>
        <v>NÃO COMPRA</v>
      </c>
      <c r="D937" s="1" t="n">
        <f aca="false">IFERROR(VLOOKUP(A937,Pedido!$A:$C,3,0),0)</f>
        <v>0</v>
      </c>
      <c r="E937" s="5" t="n">
        <f aca="false">IFERROR(VLOOKUP(A937,Pedido!$A:$E,5,0),0)</f>
        <v>0</v>
      </c>
      <c r="F937" s="1" t="s">
        <v>9</v>
      </c>
      <c r="G937" s="1" t="s">
        <v>214</v>
      </c>
      <c r="H937" s="1" t="s">
        <v>35</v>
      </c>
      <c r="I937" s="1" t="s">
        <v>215</v>
      </c>
      <c r="K937" s="1" t="n">
        <v>94</v>
      </c>
      <c r="L937" s="11" t="n">
        <v>0.947500414560387</v>
      </c>
      <c r="M937" s="1" t="n">
        <f aca="false">SUMIF(Relatorio_AK!$A:$A,A937,Relatorio_AK!$B:$B)</f>
        <v>94</v>
      </c>
      <c r="N937" s="1" t="str">
        <f aca="false">IF(M937=K937,"OK","DIF")</f>
        <v>OK</v>
      </c>
      <c r="O937" s="12" t="str">
        <f aca="false">IFERROR(VLOOKUP($A937,Lista_Starke!$A:$E,3,0),"NÃO ESTÁ NA LISTA")</f>
        <v>NISSAN: Sentra 2.0 16V 11/13</v>
      </c>
      <c r="P937" s="12" t="str">
        <f aca="false">IFERROR(VLOOKUP($A937,Lista_Starke!$A:$E,2,0),"NÃO ESTÁ NA LISTA")</f>
        <v>CILINDRO MESTRE DE FREIO</v>
      </c>
    </row>
    <row r="938" customFormat="false" ht="15" hidden="false" customHeight="true" outlineLevel="0" collapsed="false">
      <c r="A938" s="10" t="s">
        <v>2051</v>
      </c>
      <c r="B938" s="10" t="str">
        <f aca="false">IFERROR(VLOOKUP(A938,Pedido!$A:$B,2,0),"")</f>
        <v/>
      </c>
      <c r="C938" s="10" t="str">
        <f aca="false">IF(B938="","NÃO COMPRA","COMPRA")</f>
        <v>NÃO COMPRA</v>
      </c>
      <c r="D938" s="1" t="n">
        <f aca="false">IFERROR(VLOOKUP(A938,Pedido!$A:$C,3,0),0)</f>
        <v>0</v>
      </c>
      <c r="E938" s="5" t="n">
        <f aca="false">IFERROR(VLOOKUP(A938,Pedido!$A:$E,5,0),0)</f>
        <v>0</v>
      </c>
      <c r="F938" s="1" t="s">
        <v>9</v>
      </c>
      <c r="G938" s="1" t="s">
        <v>841</v>
      </c>
      <c r="H938" s="1" t="s">
        <v>197</v>
      </c>
      <c r="I938" s="1" t="s">
        <v>50</v>
      </c>
      <c r="K938" s="1" t="n">
        <v>94</v>
      </c>
      <c r="L938" s="11" t="n">
        <v>0.947661110132882</v>
      </c>
      <c r="M938" s="1" t="n">
        <f aca="false">SUMIF(Relatorio_AK!$A:$A,A938,Relatorio_AK!$B:$B)</f>
        <v>94</v>
      </c>
      <c r="N938" s="1" t="str">
        <f aca="false">IF(M938=K938,"OK","DIF")</f>
        <v>OK</v>
      </c>
      <c r="O938" s="12" t="str">
        <f aca="false">IFERROR(VLOOKUP($A938,Lista_Starke!$A:$E,3,0),"NÃO ESTÁ NA LISTA")</f>
        <v>HONDA: New Civic 1.5 16V Turbo 15B7 15/...</v>
      </c>
      <c r="P938" s="12" t="str">
        <f aca="false">IFERROR(VLOOKUP($A938,Lista_Starke!$A:$E,2,0),"NÃO ESTÁ NA LISTA")</f>
        <v>BOMBA D'ÁGUA</v>
      </c>
    </row>
    <row r="939" customFormat="false" ht="15" hidden="false" customHeight="true" outlineLevel="0" collapsed="false">
      <c r="A939" s="10" t="s">
        <v>2052</v>
      </c>
      <c r="B939" s="10" t="str">
        <f aca="false">IFERROR(VLOOKUP(A939,Pedido!$A:$B,2,0),"")</f>
        <v/>
      </c>
      <c r="C939" s="10" t="str">
        <f aca="false">IF(B939="","NÃO COMPRA","COMPRA")</f>
        <v>NÃO COMPRA</v>
      </c>
      <c r="D939" s="1" t="n">
        <f aca="false">IFERROR(VLOOKUP(A939,Pedido!$A:$C,3,0),0)</f>
        <v>0</v>
      </c>
      <c r="E939" s="5" t="n">
        <f aca="false">IFERROR(VLOOKUP(A939,Pedido!$A:$E,5,0),0)</f>
        <v>0</v>
      </c>
      <c r="F939" s="1" t="s">
        <v>9</v>
      </c>
      <c r="G939" s="1" t="s">
        <v>1914</v>
      </c>
      <c r="H939" s="1" t="s">
        <v>197</v>
      </c>
      <c r="I939" s="1" t="s">
        <v>226</v>
      </c>
      <c r="J939" s="1" t="s">
        <v>2053</v>
      </c>
      <c r="K939" s="1" t="n">
        <v>94</v>
      </c>
      <c r="L939" s="11" t="n">
        <v>0.947821805705377</v>
      </c>
      <c r="M939" s="1" t="n">
        <f aca="false">SUMIF(Relatorio_AK!$A:$A,A939,Relatorio_AK!$B:$B)</f>
        <v>94</v>
      </c>
      <c r="N939" s="1" t="str">
        <f aca="false">IF(M939=K939,"OK","DIF")</f>
        <v>OK</v>
      </c>
      <c r="O939" s="13" t="str">
        <f aca="false">IFERROR(VLOOKUP($A939,Lista_Starke!$A:$E,3,0),"NÃO ESTÁ NA LISTA")</f>
        <v>AUDI: A3 1.6 8V AEH 96/…
AUDI: A3 1.6 8V AKL 96/…
AUDI: A3 Sportback 1.6 8V 03/…
AUDI: A4 1.6 00/04
AUDI: A4 2.0 00/04
AUDI: A6 2.0 01/05
VOLKSWAGEN: Golf 1.6 8V AEH 96/01
VOLKSWAGEN: Golf 1.6 8V AKL 96/01
VOLKSWAGEN: New Beetle 1.6 8V AEH / AKL 98/…
VOLKSWAGEN: Passat 2.0 20V 01/…
VOLKSWAGEN: Varaint 2.0 20V 01/…</v>
      </c>
      <c r="P939" s="12" t="str">
        <f aca="false">IFERROR(VLOOKUP($A939,Lista_Starke!$A:$E,2,0),"NÃO ESTÁ NA LISTA")</f>
        <v>BOMBA D'ÁGUA</v>
      </c>
    </row>
    <row r="940" customFormat="false" ht="15" hidden="false" customHeight="true" outlineLevel="0" collapsed="false">
      <c r="A940" s="10" t="s">
        <v>2054</v>
      </c>
      <c r="B940" s="10" t="str">
        <f aca="false">IFERROR(VLOOKUP(A940,Pedido!$A:$B,2,0),"")</f>
        <v/>
      </c>
      <c r="C940" s="10" t="str">
        <f aca="false">IF(B940="","NÃO COMPRA","COMPRA")</f>
        <v>NÃO COMPRA</v>
      </c>
      <c r="D940" s="1" t="n">
        <f aca="false">IFERROR(VLOOKUP(A940,Pedido!$A:$C,3,0),0)</f>
        <v>0</v>
      </c>
      <c r="E940" s="5" t="n">
        <f aca="false">IFERROR(VLOOKUP(A940,Pedido!$A:$E,5,0),0)</f>
        <v>0</v>
      </c>
      <c r="F940" s="1" t="s">
        <v>9</v>
      </c>
      <c r="G940" s="1" t="s">
        <v>1326</v>
      </c>
      <c r="H940" s="1" t="s">
        <v>197</v>
      </c>
      <c r="I940" s="1" t="s">
        <v>177</v>
      </c>
      <c r="J940" s="1" t="s">
        <v>2055</v>
      </c>
      <c r="K940" s="1" t="n">
        <v>94</v>
      </c>
      <c r="L940" s="11" t="n">
        <v>0.947982501277872</v>
      </c>
      <c r="M940" s="1" t="n">
        <f aca="false">SUMIF(Relatorio_AK!$A:$A,A940,Relatorio_AK!$B:$B)</f>
        <v>94</v>
      </c>
      <c r="N940" s="1" t="str">
        <f aca="false">IF(M940=K940,"OK","DIF")</f>
        <v>OK</v>
      </c>
      <c r="O940" s="13" t="str">
        <f aca="false">IFERROR(VLOOKUP($A940,Lista_Starke!$A:$E,3,0),"NÃO ESTÁ NA LISTA")</f>
        <v>TOYOTA: Hilux 2.8 TURBODIESEL 16/...
TOYOTA: NOVA SW4 TURBODIESEL 16/...</v>
      </c>
      <c r="P940" s="12" t="str">
        <f aca="false">IFERROR(VLOOKUP($A940,Lista_Starke!$A:$E,2,0),"NÃO ESTÁ NA LISTA")</f>
        <v>BOMBA D'ÁGUA</v>
      </c>
    </row>
    <row r="941" customFormat="false" ht="15" hidden="false" customHeight="true" outlineLevel="0" collapsed="false">
      <c r="A941" s="10" t="s">
        <v>2056</v>
      </c>
      <c r="B941" s="10" t="str">
        <f aca="false">IFERROR(VLOOKUP(A941,Pedido!$A:$B,2,0),"")</f>
        <v/>
      </c>
      <c r="C941" s="10" t="str">
        <f aca="false">IF(B941="","NÃO COMPRA","COMPRA")</f>
        <v>NÃO COMPRA</v>
      </c>
      <c r="D941" s="1" t="n">
        <f aca="false">IFERROR(VLOOKUP(A941,Pedido!$A:$C,3,0),0)</f>
        <v>0</v>
      </c>
      <c r="E941" s="5" t="n">
        <f aca="false">IFERROR(VLOOKUP(A941,Pedido!$A:$E,5,0),0)</f>
        <v>0</v>
      </c>
      <c r="F941" s="1" t="s">
        <v>9</v>
      </c>
      <c r="G941" s="1" t="s">
        <v>763</v>
      </c>
      <c r="H941" s="1" t="s">
        <v>197</v>
      </c>
      <c r="I941" s="1" t="s">
        <v>373</v>
      </c>
      <c r="J941" s="1" t="s">
        <v>2057</v>
      </c>
      <c r="K941" s="1" t="n">
        <v>94</v>
      </c>
      <c r="L941" s="11" t="n">
        <v>0.948143196850367</v>
      </c>
      <c r="M941" s="1" t="n">
        <f aca="false">SUMIF(Relatorio_AK!$A:$A,A941,Relatorio_AK!$B:$B)</f>
        <v>94</v>
      </c>
      <c r="N941" s="1" t="str">
        <f aca="false">IF(M941=K941,"OK","DIF")</f>
        <v>OK</v>
      </c>
      <c r="O941" s="13" t="str">
        <f aca="false">IFERROR(VLOOKUP($A941,Lista_Starke!$A:$E,3,0),"NÃO ESTÁ NA LISTA")</f>
        <v>MERCEDES-BENZ: C230 (W203) 2.5 6cil M272.920 05/07
MERCEDES-BENZ: C230 (W204) 2.5 6cil M.272.921 07/14
MERCEDES-BENZ: C280 (W203) 3.0 6cil M272.940 / M272.941 05/07
MERCEDES-BENZ: C280 (W204) 3.0 6cil M272.947 07/14
MERCEDES-BENZ: C350 (W203) 3.5 6cil M272.960 / M272.970 05/07
MERCEDES-BENZ: C350 (W204) 3.5 6cil M272.961 07/14
MERCEDES-BENZ: CLK280 (C209) 3.0 6cil M.272.940 05/09
MERCEDES-BENZ: CLK350 (C209) 3.5 6cil M.272.960 05/09
MERCEDES-BENZ: CLS280 (C219) 3.0 6cil M272.943 08/10
MERCEDES-BENZ: CLS300 (C219) 3.0 6cil M272.943 09/10
MERCEDES-BENZ: CLS350 (C219) 3.5 6cil M272.964 04/10
MERCEDES-BENZ: E230 (W211) 2.5 6cil M272.922 07/08
MERCEDES-BENZ: E280 (W211) 3.0 6cil M272.943 / M272.944 05/08
MERCEDES-BENZ: E300 (W212) 3.0 6cil M.272.952 09/...
MERCEDES-BENZ: E350 (W211) 3.5 6cil M272.964 / M272.972 05/08
MERCEDES-BENZ: E350 (W212) 3.5 6cil M272.980 / M.272.977 09/...
MERCEDES-BENZ: GLK 350 (X204) 3.5 6cil M272.971 / M272.991 08/15
MERCEDES-BENZ: GLK280 (X204) 3.0 6cil M272.948 08/09
MERCEDES-BENZ: GLK300 (X204) 3.0 6cil M272.948 09/11
MERCEDES-BENZ: ML350 (W164) 3.5 6cil M272.967 05/11
MERCEDES-BENZ: S280 (W221) 3.0 6cil M272.946 06/13
MERCEDES-BENZ: S300 (W221) 3.0 6cil M272.965 / M272.975 05/13
MERCEDES-BENZ: SLK280 (R171) 3.0 6cil M272.942 05/11
MERCEDES-BENZ: SLK300 (R171) 3.0 6cil M272.942 09/11
MERCEDES-BENZ: SLK350 (R171) 3.5 6cil M.272.962 / M272.963 04/11</v>
      </c>
      <c r="P941" s="12" t="str">
        <f aca="false">IFERROR(VLOOKUP($A941,Lista_Starke!$A:$E,2,0),"NÃO ESTÁ NA LISTA")</f>
        <v>BOMBA D'ÁGUA</v>
      </c>
    </row>
    <row r="942" customFormat="false" ht="15" hidden="false" customHeight="true" outlineLevel="0" collapsed="false">
      <c r="A942" s="10" t="s">
        <v>2058</v>
      </c>
      <c r="B942" s="10" t="str">
        <f aca="false">IFERROR(VLOOKUP(A942,Pedido!$A:$B,2,0),"")</f>
        <v/>
      </c>
      <c r="C942" s="10" t="str">
        <f aca="false">IF(B942="","NÃO COMPRA","COMPRA")</f>
        <v>NÃO COMPRA</v>
      </c>
      <c r="D942" s="1" t="n">
        <f aca="false">IFERROR(VLOOKUP(A942,Pedido!$A:$C,3,0),0)</f>
        <v>0</v>
      </c>
      <c r="E942" s="5" t="n">
        <f aca="false">IFERROR(VLOOKUP(A942,Pedido!$A:$E,5,0),0)</f>
        <v>0</v>
      </c>
      <c r="F942" s="1" t="s">
        <v>9</v>
      </c>
      <c r="G942" s="1" t="s">
        <v>1402</v>
      </c>
      <c r="H942" s="1" t="s">
        <v>1073</v>
      </c>
      <c r="I942" s="1" t="s">
        <v>53</v>
      </c>
      <c r="J942" s="1" t="s">
        <v>2059</v>
      </c>
      <c r="K942" s="1" t="n">
        <v>94</v>
      </c>
      <c r="L942" s="11" t="n">
        <v>0.948303892422862</v>
      </c>
      <c r="M942" s="1" t="n">
        <f aca="false">SUMIF(Relatorio_AK!$A:$A,A942,Relatorio_AK!$B:$B)</f>
        <v>94</v>
      </c>
      <c r="N942" s="1" t="str">
        <f aca="false">IF(M942=K942,"OK","DIF")</f>
        <v>OK</v>
      </c>
      <c r="O942" s="13" t="str">
        <f aca="false">IFERROR(VLOOKUP($A942,Lista_Starke!$A:$E,3,0),"NÃO ESTÁ NA LISTA")</f>
        <v>FORD: Ecosport 2.0 16V Duratec 03/…
FORD: Mondeo 2.0 16V Duratec / 2.5 16V Duratec 01/05
FORD: Ranger 2.3 16V Duratec 01/10</v>
      </c>
      <c r="P942" s="12" t="str">
        <f aca="false">IFERROR(VLOOKUP($A942,Lista_Starke!$A:$E,2,0),"NÃO ESTÁ NA LISTA")</f>
        <v>VÁLVULA TERMOSTÁTICA</v>
      </c>
    </row>
    <row r="943" customFormat="false" ht="15" hidden="false" customHeight="true" outlineLevel="0" collapsed="false">
      <c r="A943" s="10" t="s">
        <v>2060</v>
      </c>
      <c r="B943" s="10" t="str">
        <f aca="false">IFERROR(VLOOKUP(A943,Pedido!$A:$B,2,0),"")</f>
        <v/>
      </c>
      <c r="C943" s="10" t="str">
        <f aca="false">IF(B943="","NÃO COMPRA","COMPRA")</f>
        <v>NÃO COMPRA</v>
      </c>
      <c r="D943" s="1" t="n">
        <f aca="false">IFERROR(VLOOKUP(A943,Pedido!$A:$C,3,0),0)</f>
        <v>0</v>
      </c>
      <c r="E943" s="5" t="n">
        <f aca="false">IFERROR(VLOOKUP(A943,Pedido!$A:$E,5,0),0)</f>
        <v>0</v>
      </c>
      <c r="F943" s="1" t="s">
        <v>9</v>
      </c>
      <c r="G943" s="1" t="s">
        <v>2061</v>
      </c>
      <c r="H943" s="1" t="s">
        <v>88</v>
      </c>
      <c r="I943" s="1" t="s">
        <v>2062</v>
      </c>
      <c r="K943" s="1" t="n">
        <v>93</v>
      </c>
      <c r="L943" s="11" t="n">
        <v>0.94846287846799</v>
      </c>
      <c r="M943" s="1" t="n">
        <f aca="false">SUMIF(Relatorio_AK!$A:$A,A943,Relatorio_AK!$B:$B)</f>
        <v>93</v>
      </c>
      <c r="N943" s="1" t="str">
        <f aca="false">IF(M943=K943,"OK","DIF")</f>
        <v>OK</v>
      </c>
      <c r="O943" s="13" t="str">
        <f aca="false">IFERROR(VLOOKUP($A943,Lista_Starke!$A:$E,3,0),"NÃO ESTÁ NA LISTA")</f>
        <v>HAFEI: Towner Jr Pick Up 1.0 8V 07/…
HAFEI: Towner Jr Van 1.0 8V 07/…</v>
      </c>
      <c r="P943" s="12" t="str">
        <f aca="false">IFERROR(VLOOKUP($A943,Lista_Starke!$A:$E,2,0),"NÃO ESTÁ NA LISTA")</f>
        <v>CILINDRO DE RODA LD</v>
      </c>
    </row>
    <row r="944" customFormat="false" ht="15" hidden="false" customHeight="true" outlineLevel="0" collapsed="false">
      <c r="A944" s="10" t="s">
        <v>2063</v>
      </c>
      <c r="B944" s="10" t="str">
        <f aca="false">IFERROR(VLOOKUP(A944,Pedido!$A:$B,2,0),"")</f>
        <v/>
      </c>
      <c r="C944" s="10" t="str">
        <f aca="false">IF(B944="","NÃO COMPRA","COMPRA")</f>
        <v>NÃO COMPRA</v>
      </c>
      <c r="D944" s="1" t="n">
        <f aca="false">IFERROR(VLOOKUP(A944,Pedido!$A:$C,3,0),0)</f>
        <v>0</v>
      </c>
      <c r="E944" s="5" t="n">
        <f aca="false">IFERROR(VLOOKUP(A944,Pedido!$A:$E,5,0),0)</f>
        <v>0</v>
      </c>
      <c r="F944" s="1" t="s">
        <v>9</v>
      </c>
      <c r="G944" s="1" t="s">
        <v>2064</v>
      </c>
      <c r="H944" s="1" t="s">
        <v>35</v>
      </c>
      <c r="I944" s="1" t="s">
        <v>1310</v>
      </c>
      <c r="K944" s="1" t="n">
        <v>93</v>
      </c>
      <c r="L944" s="11" t="n">
        <v>0.948621864513119</v>
      </c>
      <c r="M944" s="1" t="n">
        <f aca="false">SUMIF(Relatorio_AK!$A:$A,A944,Relatorio_AK!$B:$B)</f>
        <v>93</v>
      </c>
      <c r="N944" s="1" t="str">
        <f aca="false">IF(M944=K944,"OK","DIF")</f>
        <v>OK</v>
      </c>
      <c r="O944" s="12" t="str">
        <f aca="false">IFERROR(VLOOKUP($A944,Lista_Starke!$A:$E,3,0),"NÃO ESTÁ NA LISTA")</f>
        <v>JINBEI: Topic 2.0 8V / 2.0 16V 08/...</v>
      </c>
      <c r="P944" s="12" t="str">
        <f aca="false">IFERROR(VLOOKUP($A944,Lista_Starke!$A:$E,2,0),"NÃO ESTÁ NA LISTA")</f>
        <v>CILINDRO MESTRE DE FREIO</v>
      </c>
    </row>
    <row r="945" customFormat="false" ht="15" hidden="false" customHeight="true" outlineLevel="0" collapsed="false">
      <c r="A945" s="10" t="s">
        <v>2065</v>
      </c>
      <c r="B945" s="10" t="str">
        <f aca="false">IFERROR(VLOOKUP(A945,Pedido!$A:$B,2,0),"")</f>
        <v/>
      </c>
      <c r="C945" s="10" t="str">
        <f aca="false">IF(B945="","NÃO COMPRA","COMPRA")</f>
        <v>NÃO COMPRA</v>
      </c>
      <c r="D945" s="1" t="n">
        <f aca="false">IFERROR(VLOOKUP(A945,Pedido!$A:$C,3,0),0)</f>
        <v>0</v>
      </c>
      <c r="E945" s="5" t="n">
        <f aca="false">IFERROR(VLOOKUP(A945,Pedido!$A:$E,5,0),0)</f>
        <v>0</v>
      </c>
      <c r="F945" s="1" t="s">
        <v>9</v>
      </c>
      <c r="G945" s="1" t="s">
        <v>2066</v>
      </c>
      <c r="H945" s="1" t="s">
        <v>197</v>
      </c>
      <c r="I945" s="1" t="s">
        <v>2067</v>
      </c>
      <c r="K945" s="1" t="n">
        <v>93</v>
      </c>
      <c r="L945" s="11" t="n">
        <v>0.948780850558247</v>
      </c>
      <c r="M945" s="1" t="n">
        <f aca="false">SUMIF(Relatorio_AK!$A:$A,A945,Relatorio_AK!$B:$B)</f>
        <v>93</v>
      </c>
      <c r="N945" s="1" t="str">
        <f aca="false">IF(M945=K945,"OK","DIF")</f>
        <v>OK</v>
      </c>
      <c r="O945" s="13" t="str">
        <f aca="false">IFERROR(VLOOKUP($A945,Lista_Starke!$A:$E,3,0),"NÃO ESTÁ NA LISTA")</f>
        <v>CHRYSLER: 300C 2.7 V6 04/12
CHRYSLER: 300M 2.7 V6 98/04
CHRYSLER: Stratus 2.7 V6 01/06
DODGE: Journey 2.7 V6 09/10</v>
      </c>
      <c r="P945" s="12" t="str">
        <f aca="false">IFERROR(VLOOKUP($A945,Lista_Starke!$A:$E,2,0),"NÃO ESTÁ NA LISTA")</f>
        <v>BOMBA D'ÁGUA</v>
      </c>
    </row>
    <row r="946" customFormat="false" ht="15" hidden="false" customHeight="true" outlineLevel="0" collapsed="false">
      <c r="A946" s="10" t="s">
        <v>2068</v>
      </c>
      <c r="B946" s="10" t="str">
        <f aca="false">IFERROR(VLOOKUP(A946,Pedido!$A:$B,2,0),"")</f>
        <v/>
      </c>
      <c r="C946" s="10" t="str">
        <f aca="false">IF(B946="","NÃO COMPRA","COMPRA")</f>
        <v>NÃO COMPRA</v>
      </c>
      <c r="D946" s="1" t="n">
        <f aca="false">IFERROR(VLOOKUP(A946,Pedido!$A:$C,3,0),0)</f>
        <v>0</v>
      </c>
      <c r="E946" s="5" t="n">
        <f aca="false">IFERROR(VLOOKUP(A946,Pedido!$A:$E,5,0),0)</f>
        <v>0</v>
      </c>
      <c r="F946" s="1" t="s">
        <v>9</v>
      </c>
      <c r="G946" s="1" t="s">
        <v>2069</v>
      </c>
      <c r="H946" s="1" t="s">
        <v>126</v>
      </c>
      <c r="I946" s="1" t="s">
        <v>373</v>
      </c>
      <c r="J946" s="1" t="s">
        <v>2070</v>
      </c>
      <c r="K946" s="1" t="n">
        <v>93</v>
      </c>
      <c r="L946" s="11" t="n">
        <v>0.948939836603375</v>
      </c>
      <c r="M946" s="1" t="n">
        <f aca="false">SUMIF(Relatorio_AK!$A:$A,A946,Relatorio_AK!$B:$B)</f>
        <v>93</v>
      </c>
      <c r="N946" s="1" t="str">
        <f aca="false">IF(M946=K946,"OK","DIF")</f>
        <v>OK</v>
      </c>
      <c r="O946" s="13" t="str">
        <f aca="false">IFERROR(VLOOKUP($A946,Lista_Starke!$A:$E,3,0),"NÃO ESTÁ NA LISTA")</f>
        <v>MERCEDES-BENZ: A200 (W176) 1.6 4cil M270.910 14/...
MERCEDES-BENZ: A220 (W176) 2.0 4cil M270.920 14/...
MERCEDES-BENZ: A250 (W176) 2.0 4cil M270.920 12/...
MERCEDES-BENZ: B200 (W242/W246) 1.6 4cil M270.910 11/...
MERCEDES-BENZ: B220 (W242/W246) 2.0 4cil M270.920 13/...
MERCEDES-BENZ: B250 (W242/W246) 2.0 4cil M270.920 12/...
MERCEDES-BENZ: CLA200 (X117) 1.6 4cil M270.910 15/...
MERCEDES-BENZ: CLA220 (X117) 2.0 4cil M270.920 15/...
MERCEDES-BENZ: CLA250 (X117) 2.0 4cil M270.920 15/...
MERCEDES-BENZ: GLA200 (X156) 1.6 4cil M270.910 13/...
MERCEDES-BENZ: GLA220 (X156) 2.0 4cil M270.920 17/...
MERCEDES-BENZ: GLA250 (X156) 2.0 4cil M270.920 13/...</v>
      </c>
      <c r="P946" s="12" t="str">
        <f aca="false">IFERROR(VLOOKUP($A946,Lista_Starke!$A:$E,2,0),"NÃO ESTÁ NA LISTA")</f>
        <v>RESFRIADOR DE ÓLEO CÂMBIO</v>
      </c>
    </row>
    <row r="947" customFormat="false" ht="15" hidden="false" customHeight="true" outlineLevel="0" collapsed="false">
      <c r="A947" s="10" t="s">
        <v>2071</v>
      </c>
      <c r="B947" s="10" t="str">
        <f aca="false">IFERROR(VLOOKUP(A947,Pedido!$A:$B,2,0),"")</f>
        <v/>
      </c>
      <c r="C947" s="10" t="str">
        <f aca="false">IF(B947="","NÃO COMPRA","COMPRA")</f>
        <v>NÃO COMPRA</v>
      </c>
      <c r="D947" s="1" t="n">
        <f aca="false">IFERROR(VLOOKUP(A947,Pedido!$A:$C,3,0),0)</f>
        <v>0</v>
      </c>
      <c r="E947" s="5" t="n">
        <f aca="false">IFERROR(VLOOKUP(A947,Pedido!$A:$E,5,0),0)</f>
        <v>0</v>
      </c>
      <c r="F947" s="1" t="s">
        <v>9</v>
      </c>
      <c r="G947" s="1" t="s">
        <v>2072</v>
      </c>
      <c r="H947" s="1" t="s">
        <v>88</v>
      </c>
      <c r="I947" s="1" t="s">
        <v>1182</v>
      </c>
      <c r="J947" s="1" t="s">
        <v>2073</v>
      </c>
      <c r="K947" s="1" t="n">
        <v>93</v>
      </c>
      <c r="L947" s="11" t="n">
        <v>0.949098822648503</v>
      </c>
      <c r="M947" s="1" t="n">
        <f aca="false">SUMIF(Relatorio_AK!$A:$A,A947,Relatorio_AK!$B:$B)</f>
        <v>93</v>
      </c>
      <c r="N947" s="1" t="str">
        <f aca="false">IF(M947=K947,"OK","DIF")</f>
        <v>OK</v>
      </c>
      <c r="O947" s="12" t="str">
        <f aca="false">IFERROR(VLOOKUP($A947,Lista_Starke!$A:$E,3,0),"NÃO ESTÁ NA LISTA")</f>
        <v>KIA: Picanto 1.0 12V 3 cil. 12/20</v>
      </c>
      <c r="P947" s="12" t="str">
        <f aca="false">IFERROR(VLOOKUP($A947,Lista_Starke!$A:$E,2,0),"NÃO ESTÁ NA LISTA")</f>
        <v>CILINDRO DE RODA LD</v>
      </c>
    </row>
    <row r="948" customFormat="false" ht="15" hidden="false" customHeight="true" outlineLevel="0" collapsed="false">
      <c r="A948" s="10" t="s">
        <v>2074</v>
      </c>
      <c r="B948" s="10" t="str">
        <f aca="false">IFERROR(VLOOKUP(A948,Pedido!$A:$B,2,0),"")</f>
        <v/>
      </c>
      <c r="C948" s="10" t="str">
        <f aca="false">IF(B948="","NÃO COMPRA","COMPRA")</f>
        <v>NÃO COMPRA</v>
      </c>
      <c r="D948" s="1" t="n">
        <f aca="false">IFERROR(VLOOKUP(A948,Pedido!$A:$C,3,0),0)</f>
        <v>0</v>
      </c>
      <c r="E948" s="5" t="n">
        <f aca="false">IFERROR(VLOOKUP(A948,Pedido!$A:$E,5,0),0)</f>
        <v>0</v>
      </c>
      <c r="F948" s="1" t="s">
        <v>9</v>
      </c>
      <c r="G948" s="1" t="s">
        <v>841</v>
      </c>
      <c r="H948" s="1" t="s">
        <v>197</v>
      </c>
      <c r="I948" s="1" t="s">
        <v>50</v>
      </c>
      <c r="J948" s="1" t="s">
        <v>2075</v>
      </c>
      <c r="K948" s="1" t="n">
        <v>92</v>
      </c>
      <c r="L948" s="11" t="n">
        <v>0.949256099166264</v>
      </c>
      <c r="M948" s="1" t="n">
        <f aca="false">SUMIF(Relatorio_AK!$A:$A,A948,Relatorio_AK!$B:$B)</f>
        <v>92</v>
      </c>
      <c r="N948" s="1" t="str">
        <f aca="false">IF(M948=K948,"OK","DIF")</f>
        <v>OK</v>
      </c>
      <c r="O948" s="13" t="str">
        <f aca="false">IFERROR(VLOOKUP($A948,Lista_Starke!$A:$E,3,0),"NÃO ESTÁ NA LISTA")</f>
        <v>HONDA: Civic 1.6 16V D16Y7 96/00
HONDA: Civic 1.7 16V D16Y8 96/00</v>
      </c>
      <c r="P948" s="12" t="str">
        <f aca="false">IFERROR(VLOOKUP($A948,Lista_Starke!$A:$E,2,0),"NÃO ESTÁ NA LISTA")</f>
        <v>BOMBA D'ÁGUA</v>
      </c>
    </row>
    <row r="949" customFormat="false" ht="15" hidden="false" customHeight="true" outlineLevel="0" collapsed="false">
      <c r="A949" s="10" t="s">
        <v>2076</v>
      </c>
      <c r="B949" s="10" t="str">
        <f aca="false">IFERROR(VLOOKUP(A949,Pedido!$A:$B,2,0),"")</f>
        <v/>
      </c>
      <c r="C949" s="10" t="str">
        <f aca="false">IF(B949="","NÃO COMPRA","COMPRA")</f>
        <v>NÃO COMPRA</v>
      </c>
      <c r="D949" s="1" t="n">
        <f aca="false">IFERROR(VLOOKUP(A949,Pedido!$A:$C,3,0),0)</f>
        <v>0</v>
      </c>
      <c r="E949" s="5" t="n">
        <f aca="false">IFERROR(VLOOKUP(A949,Pedido!$A:$E,5,0),0)</f>
        <v>0</v>
      </c>
      <c r="F949" s="1" t="s">
        <v>9</v>
      </c>
      <c r="G949" s="1" t="s">
        <v>1959</v>
      </c>
      <c r="H949" s="1" t="s">
        <v>1358</v>
      </c>
      <c r="I949" s="1" t="s">
        <v>29</v>
      </c>
      <c r="J949" s="1" t="s">
        <v>2077</v>
      </c>
      <c r="K949" s="1" t="n">
        <v>92</v>
      </c>
      <c r="L949" s="11" t="n">
        <v>0.949413375684025</v>
      </c>
      <c r="M949" s="1" t="n">
        <f aca="false">SUMIF(Relatorio_AK!$A:$A,A949,Relatorio_AK!$B:$B)</f>
        <v>92</v>
      </c>
      <c r="N949" s="1" t="str">
        <f aca="false">IF(M949=K949,"OK","DIF")</f>
        <v>OK</v>
      </c>
      <c r="O949" s="12" t="str">
        <f aca="false">IFERROR(VLOOKUP($A949,Lista_Starke!$A:$E,3,0),"NÃO ESTÁ NA LISTA")</f>
        <v>HYUNDAI: Creta 1.6 16V 21/...</v>
      </c>
      <c r="P949" s="12" t="str">
        <f aca="false">IFERROR(VLOOKUP($A949,Lista_Starke!$A:$E,2,0),"NÃO ESTÁ NA LISTA")</f>
        <v>BANDEJA INFERIOR COMPLETA LD</v>
      </c>
    </row>
    <row r="950" customFormat="false" ht="15" hidden="false" customHeight="true" outlineLevel="0" collapsed="false">
      <c r="A950" s="10" t="s">
        <v>2078</v>
      </c>
      <c r="B950" s="10" t="str">
        <f aca="false">IFERROR(VLOOKUP(A950,Pedido!$A:$B,2,0),"")</f>
        <v/>
      </c>
      <c r="C950" s="10" t="str">
        <f aca="false">IF(B950="","NÃO COMPRA","COMPRA")</f>
        <v>NÃO COMPRA</v>
      </c>
      <c r="D950" s="1" t="n">
        <f aca="false">IFERROR(VLOOKUP(A950,Pedido!$A:$C,3,0),0)</f>
        <v>0</v>
      </c>
      <c r="E950" s="5" t="n">
        <f aca="false">IFERROR(VLOOKUP(A950,Pedido!$A:$E,5,0),0)</f>
        <v>0</v>
      </c>
      <c r="F950" s="1" t="s">
        <v>9</v>
      </c>
      <c r="G950" s="1" t="s">
        <v>2079</v>
      </c>
      <c r="H950" s="1" t="s">
        <v>1358</v>
      </c>
      <c r="I950" s="1" t="s">
        <v>1987</v>
      </c>
      <c r="K950" s="1" t="n">
        <v>92</v>
      </c>
      <c r="L950" s="11" t="n">
        <v>0.949570652201786</v>
      </c>
      <c r="M950" s="1" t="n">
        <f aca="false">SUMIF(Relatorio_AK!$A:$A,A950,Relatorio_AK!$B:$B)</f>
        <v>92</v>
      </c>
      <c r="N950" s="1" t="str">
        <f aca="false">IF(M950=K950,"OK","DIF")</f>
        <v>OK</v>
      </c>
      <c r="O950" s="12" t="str">
        <f aca="false">IFERROR(VLOOKUP($A950,Lista_Starke!$A:$E,3,0),"NÃO ESTÁ NA LISTA")</f>
        <v>BYD: Song Plus 1.5 16V 23/...</v>
      </c>
      <c r="P950" s="12" t="str">
        <f aca="false">IFERROR(VLOOKUP($A950,Lista_Starke!$A:$E,2,0),"NÃO ESTÁ NA LISTA")</f>
        <v>BANDEJA INFERIOR COMPLETA LD</v>
      </c>
    </row>
    <row r="951" customFormat="false" ht="15" hidden="false" customHeight="true" outlineLevel="0" collapsed="false">
      <c r="A951" s="10" t="s">
        <v>2080</v>
      </c>
      <c r="B951" s="10" t="str">
        <f aca="false">IFERROR(VLOOKUP(A951,Pedido!$A:$B,2,0),"")</f>
        <v/>
      </c>
      <c r="C951" s="10" t="str">
        <f aca="false">IF(B951="","NÃO COMPRA","COMPRA")</f>
        <v>NÃO COMPRA</v>
      </c>
      <c r="D951" s="1" t="n">
        <f aca="false">IFERROR(VLOOKUP(A951,Pedido!$A:$C,3,0),0)</f>
        <v>0</v>
      </c>
      <c r="E951" s="5" t="n">
        <f aca="false">IFERROR(VLOOKUP(A951,Pedido!$A:$E,5,0),0)</f>
        <v>0</v>
      </c>
      <c r="F951" s="1" t="s">
        <v>9</v>
      </c>
      <c r="G951" s="1" t="s">
        <v>1659</v>
      </c>
      <c r="H951" s="1" t="s">
        <v>197</v>
      </c>
      <c r="I951" s="1" t="s">
        <v>46</v>
      </c>
      <c r="J951" s="1" t="s">
        <v>2081</v>
      </c>
      <c r="K951" s="1" t="n">
        <v>92</v>
      </c>
      <c r="L951" s="11" t="n">
        <v>0.949727928719547</v>
      </c>
      <c r="M951" s="1" t="n">
        <f aca="false">SUMIF(Relatorio_AK!$A:$A,A951,Relatorio_AK!$B:$B)</f>
        <v>92</v>
      </c>
      <c r="N951" s="1" t="str">
        <f aca="false">IF(M951=K951,"OK","DIF")</f>
        <v>OK</v>
      </c>
      <c r="O951" s="13" t="str">
        <f aca="false">IFERROR(VLOOKUP($A951,Lista_Starke!$A:$E,3,0),"NÃO ESTÁ NA LISTA")</f>
        <v>FIAT: Brava 1.6 16V MPI + Ar Cond + Dir Hdr 00/06
FIAT: Doblo 1.6 16V MPI + Ar Cond + Dir Hdr 00/08
FIAT: Linea 1.9 16V MPI + Ar Cond + Dir Hdr 08/10
FIAT: Marea 1.6 16V MPI + Ar Cond + Dir Hdr 06/...
FIAT: Marea Weekend 1.6 16V MPI + Ar Cond + Dir Hdr 06/07
FIAT: Palio 1.6 16V MPI + Ar Cond + Dir Hdr 96/08
FIAT: Palio Weekend 1.6 16V MPI + Ar Cond + Dir Hdr 97/08
FIAT: Siena 1.6 16V MPI + Ar Cond + Dir Hdr 98/08
FIAT: Strada 1.6 16V MPI + Ar Cond + Dir Hdr 99/02</v>
      </c>
      <c r="P951" s="12" t="str">
        <f aca="false">IFERROR(VLOOKUP($A951,Lista_Starke!$A:$E,2,0),"NÃO ESTÁ NA LISTA")</f>
        <v>BOMBA D'ÁGUA</v>
      </c>
    </row>
    <row r="952" customFormat="false" ht="15" hidden="false" customHeight="true" outlineLevel="0" collapsed="false">
      <c r="A952" s="10" t="s">
        <v>2082</v>
      </c>
      <c r="B952" s="10" t="str">
        <f aca="false">IFERROR(VLOOKUP(A952,Pedido!$A:$B,2,0),"")</f>
        <v/>
      </c>
      <c r="C952" s="10" t="str">
        <f aca="false">IF(B952="","NÃO COMPRA","COMPRA")</f>
        <v>NÃO COMPRA</v>
      </c>
      <c r="D952" s="1" t="n">
        <f aca="false">IFERROR(VLOOKUP(A952,Pedido!$A:$C,3,0),0)</f>
        <v>0</v>
      </c>
      <c r="E952" s="5" t="n">
        <f aca="false">IFERROR(VLOOKUP(A952,Pedido!$A:$E,5,0),0)</f>
        <v>0</v>
      </c>
      <c r="F952" s="1" t="s">
        <v>9</v>
      </c>
      <c r="G952" s="1" t="s">
        <v>1536</v>
      </c>
      <c r="H952" s="1" t="s">
        <v>197</v>
      </c>
      <c r="I952" s="1" t="s">
        <v>77</v>
      </c>
      <c r="J952" s="1" t="s">
        <v>2083</v>
      </c>
      <c r="K952" s="1" t="n">
        <v>92</v>
      </c>
      <c r="L952" s="11" t="n">
        <v>0.949885205237308</v>
      </c>
      <c r="M952" s="1" t="n">
        <f aca="false">SUMIF(Relatorio_AK!$A:$A,A952,Relatorio_AK!$B:$B)</f>
        <v>92</v>
      </c>
      <c r="N952" s="1" t="str">
        <f aca="false">IF(M952=K952,"OK","DIF")</f>
        <v>OK</v>
      </c>
      <c r="O952" s="13" t="str">
        <f aca="false">IFERROR(VLOOKUP($A952,Lista_Starke!$A:$E,3,0),"NÃO ESTÁ NA LISTA")</f>
        <v>CITROEN: C4 1.816V EWJ4 99/05
CITROEN: C4 2.0 16V EW10J4 / EW10A 00/…
CITROEN: C4 Grand Picasso 2.0 16V EW10J4 / EW10A 08/…
CITROEN: C4 Pallas 2.0 16V EW10J4 / EW10A 05/…
CITROEN: C4 Picasso 2.0 16V EW10J4 / EW10A 08/…
CITROEN: C5 2.0 16V EW10J4 / EW10A 02/…
CITROEN: Xsara 2.0 16V EW10J4 / EW10A 02/…
CITROEN: Xsara Picasso 2.0 16V EW10J4 / EW10A 02/…
PEUGEOT: 307 / SW 2.0 16V EW10J4 / EW10A 02/…
PEUGEOT: 407 2.0 16V EW10J4 / EW10A 04/…
PEUGEOT: 607 2.2 16V EW10J4 / EW10A 00/…
PEUGEOT: 807 2.2 16V EW10J4 / EW10A 02/…</v>
      </c>
      <c r="P952" s="12" t="str">
        <f aca="false">IFERROR(VLOOKUP($A952,Lista_Starke!$A:$E,2,0),"NÃO ESTÁ NA LISTA")</f>
        <v>BOMBA D'ÁGUA</v>
      </c>
    </row>
    <row r="953" customFormat="false" ht="15" hidden="false" customHeight="true" outlineLevel="0" collapsed="false">
      <c r="A953" s="10" t="s">
        <v>2084</v>
      </c>
      <c r="B953" s="10" t="str">
        <f aca="false">IFERROR(VLOOKUP(A953,Pedido!$A:$B,2,0),"")</f>
        <v/>
      </c>
      <c r="C953" s="10" t="str">
        <f aca="false">IF(B953="","NÃO COMPRA","COMPRA")</f>
        <v>NÃO COMPRA</v>
      </c>
      <c r="D953" s="1" t="n">
        <f aca="false">IFERROR(VLOOKUP(A953,Pedido!$A:$C,3,0),0)</f>
        <v>0</v>
      </c>
      <c r="E953" s="5" t="n">
        <f aca="false">IFERROR(VLOOKUP(A953,Pedido!$A:$E,5,0),0)</f>
        <v>0</v>
      </c>
      <c r="F953" s="1" t="s">
        <v>9</v>
      </c>
      <c r="G953" s="1" t="s">
        <v>509</v>
      </c>
      <c r="H953" s="1" t="s">
        <v>197</v>
      </c>
      <c r="I953" s="1" t="s">
        <v>77</v>
      </c>
      <c r="J953" s="1" t="s">
        <v>2085</v>
      </c>
      <c r="K953" s="1" t="n">
        <v>92</v>
      </c>
      <c r="L953" s="11" t="n">
        <v>0.950042481755069</v>
      </c>
      <c r="M953" s="1" t="n">
        <f aca="false">SUMIF(Relatorio_AK!$A:$A,A953,Relatorio_AK!$B:$B)</f>
        <v>92</v>
      </c>
      <c r="N953" s="1" t="str">
        <f aca="false">IF(M953=K953,"OK","DIF")</f>
        <v>OK</v>
      </c>
      <c r="O953" s="13" t="str">
        <f aca="false">IFERROR(VLOOKUP($A953,Lista_Starke!$A:$E,3,0),"NÃO ESTÁ NA LISTA")</f>
        <v>CITROEN: Xantia 2.0 16V XU10J4R 94/…
CITROEN: Xsara 2.0 16V XU10J4R 94/…
CITROEN: Xsara Picasso 2.0 16V XU10J4R 01/…
PEUGEOT: 306 2.0 16V XU10J4R 96/…
PEUGEOT: 406 2.0 16V XU10J4R 99/…
PEUGEOT: 605 2.0 16V XU10J4R 94/99
PEUGEOT: 806 2.0 16V XU10J4R 94/…</v>
      </c>
      <c r="P953" s="12" t="str">
        <f aca="false">IFERROR(VLOOKUP($A953,Lista_Starke!$A:$E,2,0),"NÃO ESTÁ NA LISTA")</f>
        <v>BOMBA D'ÁGUA</v>
      </c>
    </row>
    <row r="954" customFormat="false" ht="15" hidden="false" customHeight="true" outlineLevel="0" collapsed="false">
      <c r="A954" s="10" t="s">
        <v>2086</v>
      </c>
      <c r="B954" s="10" t="str">
        <f aca="false">IFERROR(VLOOKUP(A954,Pedido!$A:$B,2,0),"")</f>
        <v/>
      </c>
      <c r="C954" s="10" t="str">
        <f aca="false">IF(B954="","NÃO COMPRA","COMPRA")</f>
        <v>NÃO COMPRA</v>
      </c>
      <c r="D954" s="1" t="n">
        <f aca="false">IFERROR(VLOOKUP(A954,Pedido!$A:$C,3,0),0)</f>
        <v>0</v>
      </c>
      <c r="E954" s="5" t="n">
        <f aca="false">IFERROR(VLOOKUP(A954,Pedido!$A:$E,5,0),0)</f>
        <v>0</v>
      </c>
      <c r="F954" s="1" t="s">
        <v>9</v>
      </c>
      <c r="G954" s="1" t="s">
        <v>2087</v>
      </c>
      <c r="H954" s="1" t="s">
        <v>197</v>
      </c>
      <c r="I954" s="1" t="s">
        <v>2088</v>
      </c>
      <c r="J954" s="1" t="s">
        <v>2089</v>
      </c>
      <c r="K954" s="1" t="n">
        <v>92</v>
      </c>
      <c r="L954" s="11" t="n">
        <v>0.950199758272831</v>
      </c>
      <c r="M954" s="1" t="n">
        <f aca="false">SUMIF(Relatorio_AK!$A:$A,A954,Relatorio_AK!$B:$B)</f>
        <v>92</v>
      </c>
      <c r="N954" s="1" t="str">
        <f aca="false">IF(M954=K954,"OK","DIF")</f>
        <v>OK</v>
      </c>
      <c r="O954" s="13" t="str">
        <f aca="false">IFERROR(VLOOKUP($A954,Lista_Starke!$A:$E,3,0),"NÃO ESTÁ NA LISTA")</f>
        <v>AUDI: A4 3.2 V6 24V FSI AUK 06/09
AUDI: A5 3.0 V6 24V TFSI CMUA / CRED / CHMB 11/17
AUDI: A6 2.4 V6 24V BDW 04/08
AUDI: A6 3.0 V6 24V TFSI CAJA 08/11
AUDI: A6 3.0 V6 24V TFSI CREC 14/...
AUDI: A6 3.2 V6 24V FSI AUK / BKH 04/11
AUDI: A8 3.0 V6 24V TFSI CGWD / CREA 11/...
AUDI: A8 3.2 V6 24V FSI BPK 05/10
AUDI: Q7 3.0 V6 24V TFSI CJTC / CJWC / CNAA / CTWA 10/15
AUDI: Q7 3.0 V6 24V TFSI CJWE / CTWB 11/15
AUDI: Q7 3.0 V6 24V TFSI CREC 15/...
AUDI: S4 3.0 V6 24V CAKA / CCBA / CGXC / CTUB / CGWC / CREC 08/15
AUDI: S5 3.0 V6 24V CAKA / CGXC / CTUB / CGWC / CREC / CTDA 09/17
PORSCHE: Panamera 3.0 V6 24V MCG.FA / MCG.EA 11/13</v>
      </c>
      <c r="P954" s="12" t="str">
        <f aca="false">IFERROR(VLOOKUP($A954,Lista_Starke!$A:$E,2,0),"NÃO ESTÁ NA LISTA")</f>
        <v>BOMBA D'ÁGUA</v>
      </c>
    </row>
    <row r="955" customFormat="false" ht="15" hidden="false" customHeight="true" outlineLevel="0" collapsed="false">
      <c r="A955" s="10" t="s">
        <v>2090</v>
      </c>
      <c r="B955" s="10" t="str">
        <f aca="false">IFERROR(VLOOKUP(A955,Pedido!$A:$B,2,0),"")</f>
        <v/>
      </c>
      <c r="C955" s="10" t="str">
        <f aca="false">IF(B955="","NÃO COMPRA","COMPRA")</f>
        <v>NÃO COMPRA</v>
      </c>
      <c r="D955" s="1" t="n">
        <f aca="false">IFERROR(VLOOKUP(A955,Pedido!$A:$C,3,0),0)</f>
        <v>0</v>
      </c>
      <c r="E955" s="5" t="n">
        <f aca="false">IFERROR(VLOOKUP(A955,Pedido!$A:$E,5,0),0)</f>
        <v>0</v>
      </c>
      <c r="F955" s="1" t="s">
        <v>9</v>
      </c>
      <c r="G955" s="1" t="s">
        <v>1419</v>
      </c>
      <c r="H955" s="1" t="s">
        <v>1073</v>
      </c>
      <c r="I955" s="1" t="s">
        <v>77</v>
      </c>
      <c r="J955" s="1" t="s">
        <v>2091</v>
      </c>
      <c r="K955" s="1" t="n">
        <v>92</v>
      </c>
      <c r="L955" s="11" t="n">
        <v>0.950357034790592</v>
      </c>
      <c r="M955" s="1" t="n">
        <f aca="false">SUMIF(Relatorio_AK!$A:$A,A955,Relatorio_AK!$B:$B)</f>
        <v>92</v>
      </c>
      <c r="N955" s="1" t="str">
        <f aca="false">IF(M955=K955,"OK","DIF")</f>
        <v>OK</v>
      </c>
      <c r="O955" s="13" t="str">
        <f aca="false">IFERROR(VLOOKUP($A955,Lista_Starke!$A:$E,3,0),"NÃO ESTÁ NA LISTA")</f>
        <v>CITROEN: Jumpy 2.0 16V BlueHDI AHX / AHH 16/22
PEUGEOT: Boxer 2.0 16V BlueHDI AHM / AHN 16/23</v>
      </c>
      <c r="P955" s="12" t="str">
        <f aca="false">IFERROR(VLOOKUP($A955,Lista_Starke!$A:$E,2,0),"NÃO ESTÁ NA LISTA")</f>
        <v>VÁLVULA TERMOSTÁTICA</v>
      </c>
    </row>
    <row r="956" customFormat="false" ht="15" hidden="false" customHeight="true" outlineLevel="0" collapsed="false">
      <c r="A956" s="10" t="s">
        <v>2092</v>
      </c>
      <c r="B956" s="10" t="str">
        <f aca="false">IFERROR(VLOOKUP(A956,Pedido!$A:$B,2,0),"")</f>
        <v/>
      </c>
      <c r="C956" s="10" t="str">
        <f aca="false">IF(B956="","NÃO COMPRA","COMPRA")</f>
        <v>NÃO COMPRA</v>
      </c>
      <c r="D956" s="1" t="n">
        <f aca="false">IFERROR(VLOOKUP(A956,Pedido!$A:$C,3,0),0)</f>
        <v>0</v>
      </c>
      <c r="E956" s="5" t="n">
        <f aca="false">IFERROR(VLOOKUP(A956,Pedido!$A:$E,5,0),0)</f>
        <v>0</v>
      </c>
      <c r="F956" s="1" t="s">
        <v>9</v>
      </c>
      <c r="G956" s="1" t="s">
        <v>1072</v>
      </c>
      <c r="H956" s="1" t="s">
        <v>1073</v>
      </c>
      <c r="I956" s="1" t="s">
        <v>581</v>
      </c>
      <c r="J956" s="1" t="s">
        <v>2093</v>
      </c>
      <c r="K956" s="1" t="n">
        <v>92</v>
      </c>
      <c r="L956" s="11" t="n">
        <v>0.950514311308353</v>
      </c>
      <c r="M956" s="1" t="n">
        <f aca="false">SUMIF(Relatorio_AK!$A:$A,A956,Relatorio_AK!$B:$B)</f>
        <v>92</v>
      </c>
      <c r="N956" s="1" t="str">
        <f aca="false">IF(M956=K956,"OK","DIF")</f>
        <v>OK</v>
      </c>
      <c r="O956" s="13" t="str">
        <f aca="false">IFERROR(VLOOKUP($A956,Lista_Starke!$A:$E,3,0),"NÃO ESTÁ NA LISTA")</f>
        <v>DODGE: Journey 2.4 16V 4 cil    ED3 / EDG3 08/...
FIAT: Freemont 2.4 16V 11/11
FIAT: Toro 2.4 16V Gasolina 16/…
JEEP: Compass 2.0 16V   ECN 11/15
JEEP: Compass 2.4 16V   ERZ 07/15</v>
      </c>
      <c r="P956" s="12" t="str">
        <f aca="false">IFERROR(VLOOKUP($A956,Lista_Starke!$A:$E,2,0),"NÃO ESTÁ NA LISTA")</f>
        <v>VÁLVULA TERMOSTÁTICA</v>
      </c>
    </row>
    <row r="957" customFormat="false" ht="15" hidden="false" customHeight="true" outlineLevel="0" collapsed="false">
      <c r="A957" s="10" t="s">
        <v>2094</v>
      </c>
      <c r="B957" s="10" t="str">
        <f aca="false">IFERROR(VLOOKUP(A957,Pedido!$A:$B,2,0),"")</f>
        <v/>
      </c>
      <c r="C957" s="10" t="str">
        <f aca="false">IF(B957="","NÃO COMPRA","COMPRA")</f>
        <v>NÃO COMPRA</v>
      </c>
      <c r="D957" s="1" t="n">
        <f aca="false">IFERROR(VLOOKUP(A957,Pedido!$A:$C,3,0),0)</f>
        <v>0</v>
      </c>
      <c r="E957" s="5" t="n">
        <f aca="false">IFERROR(VLOOKUP(A957,Pedido!$A:$E,5,0),0)</f>
        <v>0</v>
      </c>
      <c r="F957" s="1" t="s">
        <v>9</v>
      </c>
      <c r="G957" s="1" t="s">
        <v>65</v>
      </c>
      <c r="H957" s="1" t="s">
        <v>35</v>
      </c>
      <c r="I957" s="1" t="s">
        <v>46</v>
      </c>
      <c r="J957" s="1" t="s">
        <v>2095</v>
      </c>
      <c r="K957" s="1" t="n">
        <v>92</v>
      </c>
      <c r="L957" s="11" t="n">
        <v>0.950671587826114</v>
      </c>
      <c r="M957" s="1" t="n">
        <f aca="false">SUMIF(Relatorio_AK!$A:$A,A957,Relatorio_AK!$B:$B)</f>
        <v>92</v>
      </c>
      <c r="N957" s="1" t="str">
        <f aca="false">IF(M957=K957,"OK","DIF")</f>
        <v>OK</v>
      </c>
      <c r="O957" s="13" t="str">
        <f aca="false">IFERROR(VLOOKUP($A957,Lista_Starke!$A:$E,3,0),"NÃO ESTÁ NA LISTA")</f>
        <v>FIAT: Grand Siena 1.4 8V Fire EVO 12/...
FIAT: Grand Siena 1.6 16V Etorq 12/...
FIAT: Grand Siena 1.6 16V Etorq Dualogic 12/...
FIAT: Palio 1.0 8V Fire EVO 12/...
FIAT: Palio 1.4 8V Fire EVO 12/...
FIAT: Palio 1.6 16V Etorq 12/...
FIAT: Palio 1.6 16V Etorq Dualogic 12/...
FIAT: Uno 1.0 8V Fire EVO 12/...
FIAT: Uno 1.4 8V Fire EVO 12/...</v>
      </c>
      <c r="P957" s="12" t="str">
        <f aca="false">IFERROR(VLOOKUP($A957,Lista_Starke!$A:$E,2,0),"NÃO ESTÁ NA LISTA")</f>
        <v>CLINDRO MESTRE DE FREIO</v>
      </c>
    </row>
    <row r="958" customFormat="false" ht="15" hidden="false" customHeight="true" outlineLevel="0" collapsed="false">
      <c r="A958" s="10" t="s">
        <v>2096</v>
      </c>
      <c r="B958" s="10" t="str">
        <f aca="false">IFERROR(VLOOKUP(A958,Pedido!$A:$B,2,0),"")</f>
        <v/>
      </c>
      <c r="C958" s="10" t="str">
        <f aca="false">IF(B958="","NÃO COMPRA","COMPRA")</f>
        <v>NÃO COMPRA</v>
      </c>
      <c r="D958" s="1" t="n">
        <f aca="false">IFERROR(VLOOKUP(A958,Pedido!$A:$C,3,0),0)</f>
        <v>0</v>
      </c>
      <c r="E958" s="5" t="n">
        <f aca="false">IFERROR(VLOOKUP(A958,Pedido!$A:$E,5,0),0)</f>
        <v>0</v>
      </c>
      <c r="F958" s="1" t="s">
        <v>9</v>
      </c>
      <c r="G958" s="1" t="s">
        <v>1084</v>
      </c>
      <c r="H958" s="1" t="s">
        <v>88</v>
      </c>
      <c r="I958" s="1" t="s">
        <v>57</v>
      </c>
      <c r="J958" s="1" t="s">
        <v>2097</v>
      </c>
      <c r="K958" s="1" t="n">
        <v>92</v>
      </c>
      <c r="L958" s="11" t="n">
        <v>0.950828864343875</v>
      </c>
      <c r="M958" s="1" t="n">
        <f aca="false">SUMIF(Relatorio_AK!$A:$A,A958,Relatorio_AK!$B:$B)</f>
        <v>92</v>
      </c>
      <c r="N958" s="1" t="str">
        <f aca="false">IF(M958=K958,"OK","DIF")</f>
        <v>OK</v>
      </c>
      <c r="O958" s="13" t="str">
        <f aca="false">IFERROR(VLOOKUP($A958,Lista_Starke!$A:$E,3,0),"NÃO ESTÁ NA LISTA")</f>
        <v>GM: Blazer 2.2 8V 95/00
GM: Blazer 4.3 V6 95/11
GM: S10 2.2 8V 97/00
GM: S10 2.4 8V 97/12
GM: S10 2.5 8V 97/00
GM: S10 2.8 12V 01/12
GM: S10 4.3 V6 97/03</v>
      </c>
      <c r="P958" s="12" t="str">
        <f aca="false">IFERROR(VLOOKUP($A958,Lista_Starke!$A:$E,2,0),"NÃO ESTÁ NA LISTA")</f>
        <v>CILINDRO DE RODA LD</v>
      </c>
    </row>
    <row r="959" customFormat="false" ht="15" hidden="false" customHeight="true" outlineLevel="0" collapsed="false">
      <c r="A959" s="10" t="s">
        <v>2098</v>
      </c>
      <c r="B959" s="10" t="str">
        <f aca="false">IFERROR(VLOOKUP(A959,Pedido!$A:$B,2,0),"")</f>
        <v/>
      </c>
      <c r="C959" s="10" t="str">
        <f aca="false">IF(B959="","NÃO COMPRA","COMPRA")</f>
        <v>NÃO COMPRA</v>
      </c>
      <c r="D959" s="1" t="n">
        <f aca="false">IFERROR(VLOOKUP(A959,Pedido!$A:$C,3,0),0)</f>
        <v>0</v>
      </c>
      <c r="E959" s="5" t="n">
        <f aca="false">IFERROR(VLOOKUP(A959,Pedido!$A:$E,5,0),0)</f>
        <v>0</v>
      </c>
      <c r="F959" s="1" t="s">
        <v>9</v>
      </c>
      <c r="G959" s="1" t="s">
        <v>2099</v>
      </c>
      <c r="H959" s="1" t="s">
        <v>1358</v>
      </c>
      <c r="I959" s="1" t="s">
        <v>57</v>
      </c>
      <c r="J959" s="1" t="s">
        <v>2100</v>
      </c>
      <c r="K959" s="1" t="n">
        <v>91</v>
      </c>
      <c r="L959" s="11" t="n">
        <v>0.950984431334269</v>
      </c>
      <c r="M959" s="1" t="n">
        <f aca="false">SUMIF(Relatorio_AK!$A:$A,A959,Relatorio_AK!$B:$B)</f>
        <v>91</v>
      </c>
      <c r="N959" s="1" t="str">
        <f aca="false">IF(M959=K959,"OK","DIF")</f>
        <v>OK</v>
      </c>
      <c r="O959" s="13" t="str">
        <f aca="false">IFERROR(VLOOKUP($A959,Lista_Starke!$A:$E,3,0),"NÃO ESTÁ NA LISTA")</f>
        <v>GM: Cobalt  12/20
GM: Joy  19/...
GM: Joy Plus  19/...
GM: Onix  12/19
GM: Prisma  13/19
GM: Sonic  12/15
GM: Spin  12/22</v>
      </c>
      <c r="P959" s="12" t="str">
        <f aca="false">IFERROR(VLOOKUP($A959,Lista_Starke!$A:$E,2,0),"NÃO ESTÁ NA LISTA")</f>
        <v>BANDEJA INFERIOR COMPLETA LD</v>
      </c>
    </row>
    <row r="960" customFormat="false" ht="15" hidden="false" customHeight="true" outlineLevel="0" collapsed="false">
      <c r="A960" s="10" t="s">
        <v>2101</v>
      </c>
      <c r="B960" s="10" t="str">
        <f aca="false">IFERROR(VLOOKUP(A960,Pedido!$A:$B,2,0),"")</f>
        <v/>
      </c>
      <c r="C960" s="10" t="str">
        <f aca="false">IF(B960="","NÃO COMPRA","COMPRA")</f>
        <v>NÃO COMPRA</v>
      </c>
      <c r="D960" s="1" t="n">
        <f aca="false">IFERROR(VLOOKUP(A960,Pedido!$A:$C,3,0),0)</f>
        <v>0</v>
      </c>
      <c r="E960" s="5" t="n">
        <f aca="false">IFERROR(VLOOKUP(A960,Pedido!$A:$E,5,0),0)</f>
        <v>0</v>
      </c>
      <c r="F960" s="1" t="s">
        <v>9</v>
      </c>
      <c r="G960" s="1" t="s">
        <v>483</v>
      </c>
      <c r="H960" s="1" t="s">
        <v>197</v>
      </c>
      <c r="I960" s="1" t="s">
        <v>36</v>
      </c>
      <c r="K960" s="1" t="n">
        <v>91</v>
      </c>
      <c r="L960" s="11" t="n">
        <v>0.951139998324663</v>
      </c>
      <c r="M960" s="1" t="n">
        <f aca="false">SUMIF(Relatorio_AK!$A:$A,A960,Relatorio_AK!$B:$B)</f>
        <v>91</v>
      </c>
      <c r="N960" s="1" t="str">
        <f aca="false">IF(M960=K960,"OK","DIF")</f>
        <v>OK</v>
      </c>
      <c r="O960" s="12" t="str">
        <f aca="false">IFERROR(VLOOKUP($A960,Lista_Starke!$A:$E,3,0),"NÃO ESTÁ NA LISTA")</f>
        <v>NÃO ESTÁ NA LISTA</v>
      </c>
      <c r="P960" s="12" t="str">
        <f aca="false">IFERROR(VLOOKUP($A960,Lista_Starke!$A:$E,2,0),"NÃO ESTÁ NA LISTA")</f>
        <v>NÃO ESTÁ NA LISTA</v>
      </c>
    </row>
    <row r="961" customFormat="false" ht="15" hidden="false" customHeight="true" outlineLevel="0" collapsed="false">
      <c r="A961" s="10" t="s">
        <v>2102</v>
      </c>
      <c r="B961" s="10" t="str">
        <f aca="false">IFERROR(VLOOKUP(A961,Pedido!$A:$B,2,0),"")</f>
        <v/>
      </c>
      <c r="C961" s="10" t="str">
        <f aca="false">IF(B961="","NÃO COMPRA","COMPRA")</f>
        <v>NÃO COMPRA</v>
      </c>
      <c r="D961" s="1" t="n">
        <f aca="false">IFERROR(VLOOKUP(A961,Pedido!$A:$C,3,0),0)</f>
        <v>0</v>
      </c>
      <c r="E961" s="5" t="n">
        <f aca="false">IFERROR(VLOOKUP(A961,Pedido!$A:$E,5,0),0)</f>
        <v>0</v>
      </c>
      <c r="F961" s="1" t="s">
        <v>9</v>
      </c>
      <c r="G961" s="1" t="s">
        <v>841</v>
      </c>
      <c r="H961" s="1" t="s">
        <v>197</v>
      </c>
      <c r="I961" s="1" t="s">
        <v>50</v>
      </c>
      <c r="J961" s="1" t="s">
        <v>2103</v>
      </c>
      <c r="K961" s="1" t="n">
        <v>91</v>
      </c>
      <c r="L961" s="11" t="n">
        <v>0.951295565315058</v>
      </c>
      <c r="M961" s="1" t="n">
        <f aca="false">SUMIF(Relatorio_AK!$A:$A,A961,Relatorio_AK!$B:$B)</f>
        <v>91</v>
      </c>
      <c r="N961" s="1" t="str">
        <f aca="false">IF(M961=K961,"OK","DIF")</f>
        <v>OK</v>
      </c>
      <c r="O961" s="13" t="str">
        <f aca="false">IFERROR(VLOOKUP($A961,Lista_Starke!$A:$E,3,0),"NÃO ESTÁ NA LISTA")</f>
        <v>HONDA: Accord 1.8 16V F18A 96/98
HONDA: Accord 1.8 F18A2KB 90/91
HONDA: Accord 2.0 16V F20A4KG / KS 90/92
HONDA: Accord 2.0 16V F20A7 / A8 / B3 90/97
HONDA: Accord 2.0 16V F20Z1 / F20Z2 92/95
HONDA: Accord 2.2 16V SOHC 90/97
HONDA: Accord 2.2 16V VTEC 94/98
HONDA: Prelude 2.0 16V F20A4 92/…
HONDA: Prelude 2.2 16V SOHC 94/…</v>
      </c>
      <c r="P961" s="12" t="str">
        <f aca="false">IFERROR(VLOOKUP($A961,Lista_Starke!$A:$E,2,0),"NÃO ESTÁ NA LISTA")</f>
        <v>BOMBA D'ÁGUA</v>
      </c>
    </row>
    <row r="962" customFormat="false" ht="15" hidden="false" customHeight="true" outlineLevel="0" collapsed="false">
      <c r="A962" s="10" t="s">
        <v>2104</v>
      </c>
      <c r="B962" s="10" t="str">
        <f aca="false">IFERROR(VLOOKUP(A962,Pedido!$A:$B,2,0),"")</f>
        <v/>
      </c>
      <c r="C962" s="10" t="str">
        <f aca="false">IF(B962="","NÃO COMPRA","COMPRA")</f>
        <v>NÃO COMPRA</v>
      </c>
      <c r="D962" s="1" t="n">
        <f aca="false">IFERROR(VLOOKUP(A962,Pedido!$A:$C,3,0),0)</f>
        <v>0</v>
      </c>
      <c r="E962" s="5" t="n">
        <f aca="false">IFERROR(VLOOKUP(A962,Pedido!$A:$E,5,0),0)</f>
        <v>0</v>
      </c>
      <c r="F962" s="1" t="s">
        <v>9</v>
      </c>
      <c r="G962" s="1" t="s">
        <v>763</v>
      </c>
      <c r="H962" s="1" t="s">
        <v>197</v>
      </c>
      <c r="I962" s="1" t="s">
        <v>373</v>
      </c>
      <c r="J962" s="1" t="s">
        <v>2105</v>
      </c>
      <c r="K962" s="1" t="n">
        <v>91</v>
      </c>
      <c r="L962" s="11" t="n">
        <v>0.951451132305452</v>
      </c>
      <c r="M962" s="1" t="n">
        <f aca="false">SUMIF(Relatorio_AK!$A:$A,A962,Relatorio_AK!$B:$B)</f>
        <v>91</v>
      </c>
      <c r="N962" s="1" t="str">
        <f aca="false">IF(M962=K962,"OK","DIF")</f>
        <v>OK</v>
      </c>
      <c r="O962" s="13" t="str">
        <f aca="false">IFERROR(VLOOKUP($A962,Lista_Starke!$A:$E,3,0),"NÃO ESTÁ NA LISTA")</f>
        <v>MERCEDES-BENZ: C240 (W202) 2.4   M112.910 97/00
MERCEDES-BENZ: C240 (W203) 2.5   M112.912 00/07
MERCEDES-BENZ: C240 4 Matic (W203) 2.5   M112.916 02/07
MERCEDES-BENZ: C280 (W202) 2.8   M104.941 93/00
MERCEDES-BENZ: C280 (W202) 2.8   M112.920 97/00
MERCEDES-BENZ: C280 (W203) 3.0   M272.940 05/07
MERCEDES-BENZ: C280 4 Matic (W203) 3.0   M272.941 05/07
MERCEDES-BENZ: C320 (W203) 3.2   M112.946 00/07
MERCEDES-BENZ: C320 4 Matic (W203) 3.2   M112.953 02/07
MERCEDES-BENZ: CLK200 (C208) 2.0   M111.945 97/02
MERCEDES-BENZ: CLK200 CGI (C209) 1.8   M271.942 03/09
MERCEDES-BENZ: CLK200 Kompressor (C208) 2.0   M111.944 97/00
MERCEDES-BENZ: CLK200 Kompressor (C208) 2.0   M111.956 00/02
MERCEDES-BENZ: CLK200 Kompressor (C209) 1.8   M271.940 02/09
MERCEDES-BENZ: CLK200 Kompressor (C209) 1.8   M271.955 06/…
MERCEDES-BENZ: CLK230 Kompressor (C208) 2.2   M111973 / M111.975 / M111.982 97/02
MERCEDES-BENZ: CLK240 (C209) 2.5   M112.912 02/09
MERCEDES-BENZ: CLK280 (C209) 3.0   M272.940 05/09
MERCEDES-BENZ: CLK320 (C208) 3.2   M112.940 97/02
MERCEDES-BENZ: CLK320 (C209) 3.2   M112.955 02/09
MERCEDES-BENZ: CLK430 (C208) 4.2   M113.943 68/02
MERCEDES-BENZ: E200 (W210) 2.0   M111.942 95/00
MERCEDES-BENZ: E200 Kompressor (W210) 2.0   M111.957 / M111.947 97/02
MERCEDES-BENZ: E200 Kompressor (W211) 1.8   M271.941 02/08
MERCEDES-BENZ: E200 Kompressor (W211) 1.8   M271.956 06/…
MERCEDES-BENZ: E230 (W210) 2.3   M111.970 95/97
MERCEDES-BENZ: E230 (W211) 2.5   M272.922 07/08
MERCEDES-BENZ: E240 (W210) 2.4   M112.911 / M112.914 97/02
MERCEDES-BENZ: E240 (W211) 2.5   M112.913 / M112.917 02/08
MERCEDES-BENZ: E240 4 Matic (W211) 2.5   M112.917 03/08
MERCEDES-BENZ: E280 (W210) 3.0   M104.945 / M112.921 96/02
MERCEDES-BENZ: E280 (W211) 3.0   M272.943 05/08
MERCEDES-BENZ: E280 4 Matic (W210) 2.8   M112.921 96/02
MERCEDES-BENZ: E280 4 Matic (W211) 3.0   M272.943 06/08
MERCEDES-BENZ: E320 (W210) 3.2   M104.955 / M112.941 95/02
MERCEDES-BENZ: E320 (W211) 3.2   M112.949 02/08
MERCEDES-BENZ: E320 4 Matic (W210) 3.2   M112.941 97/02
MERCEDES-BENZ: E320 4 Matic (W211) 3.2   M112.954 03/08
MERCEDES-BENZ: E420 (W210) 4.2   M119.985 96/07
MERCEDES-BENZ: E430 (W210) 4.2   M113.940 96/02
MERCEDES-BENZ: ML320 (W163) 3.2   M112.942 98/02
MERCEDES-BENZ: ML350 4 Matic (W163) 3.7   M112.970 03/05
MERCEDES-BENZ: ML430 (W163) 4.3   M113.942 98/05</v>
      </c>
      <c r="P962" s="12" t="str">
        <f aca="false">IFERROR(VLOOKUP($A962,Lista_Starke!$A:$E,2,0),"NÃO ESTÁ NA LISTA")</f>
        <v>BOMBA D'ÁGUA</v>
      </c>
    </row>
    <row r="963" customFormat="false" ht="15" hidden="false" customHeight="true" outlineLevel="0" collapsed="false">
      <c r="A963" s="10" t="s">
        <v>2106</v>
      </c>
      <c r="B963" s="10" t="str">
        <f aca="false">IFERROR(VLOOKUP(A963,Pedido!$A:$B,2,0),"")</f>
        <v/>
      </c>
      <c r="C963" s="10" t="str">
        <f aca="false">IF(B963="","NÃO COMPRA","COMPRA")</f>
        <v>NÃO COMPRA</v>
      </c>
      <c r="D963" s="1" t="n">
        <f aca="false">IFERROR(VLOOKUP(A963,Pedido!$A:$C,3,0),0)</f>
        <v>0</v>
      </c>
      <c r="E963" s="5" t="n">
        <f aca="false">IFERROR(VLOOKUP(A963,Pedido!$A:$E,5,0),0)</f>
        <v>0</v>
      </c>
      <c r="F963" s="1" t="s">
        <v>9</v>
      </c>
      <c r="G963" s="1" t="s">
        <v>377</v>
      </c>
      <c r="H963" s="1" t="s">
        <v>197</v>
      </c>
      <c r="I963" s="1" t="s">
        <v>53</v>
      </c>
      <c r="K963" s="1" t="n">
        <v>91</v>
      </c>
      <c r="L963" s="11" t="n">
        <v>0.951606699295846</v>
      </c>
      <c r="M963" s="1" t="n">
        <f aca="false">SUMIF(Relatorio_AK!$A:$A,A963,Relatorio_AK!$B:$B)</f>
        <v>91</v>
      </c>
      <c r="N963" s="1" t="str">
        <f aca="false">IF(M963=K963,"OK","DIF")</f>
        <v>OK</v>
      </c>
      <c r="O963" s="12" t="str">
        <f aca="false">IFERROR(VLOOKUP($A963,Lista_Starke!$A:$E,3,0),"NÃO ESTÁ NA LISTA")</f>
        <v>FORD: Edge 3.5 24V V6 Duratec 08/10</v>
      </c>
      <c r="P963" s="12" t="str">
        <f aca="false">IFERROR(VLOOKUP($A963,Lista_Starke!$A:$E,2,0),"NÃO ESTÁ NA LISTA")</f>
        <v>BOMBA D'ÁGUA</v>
      </c>
    </row>
    <row r="964" customFormat="false" ht="15" hidden="false" customHeight="true" outlineLevel="0" collapsed="false">
      <c r="A964" s="10" t="s">
        <v>2107</v>
      </c>
      <c r="B964" s="10" t="str">
        <f aca="false">IFERROR(VLOOKUP(A964,Pedido!$A:$B,2,0),"")</f>
        <v/>
      </c>
      <c r="C964" s="10" t="str">
        <f aca="false">IF(B964="","NÃO COMPRA","COMPRA")</f>
        <v>NÃO COMPRA</v>
      </c>
      <c r="D964" s="1" t="n">
        <f aca="false">IFERROR(VLOOKUP(A964,Pedido!$A:$C,3,0),0)</f>
        <v>0</v>
      </c>
      <c r="E964" s="5" t="n">
        <f aca="false">IFERROR(VLOOKUP(A964,Pedido!$A:$E,5,0),0)</f>
        <v>0</v>
      </c>
      <c r="F964" s="1" t="s">
        <v>9</v>
      </c>
      <c r="G964" s="1" t="s">
        <v>377</v>
      </c>
      <c r="H964" s="1" t="s">
        <v>197</v>
      </c>
      <c r="I964" s="1" t="s">
        <v>53</v>
      </c>
      <c r="J964" s="1" t="s">
        <v>2108</v>
      </c>
      <c r="K964" s="1" t="n">
        <v>91</v>
      </c>
      <c r="L964" s="11" t="n">
        <v>0.95176226628624</v>
      </c>
      <c r="M964" s="1" t="n">
        <f aca="false">SUMIF(Relatorio_AK!$A:$A,A964,Relatorio_AK!$B:$B)</f>
        <v>91</v>
      </c>
      <c r="N964" s="1" t="str">
        <f aca="false">IF(M964=K964,"OK","DIF")</f>
        <v>OK</v>
      </c>
      <c r="O964" s="13" t="str">
        <f aca="false">IFERROR(VLOOKUP($A964,Lista_Starke!$A:$E,3,0),"NÃO ESTÁ NA LISTA")</f>
        <v>FORD: Ecosport 1.8 16V / 2.0 16V ZH18 / ZH20 03/…
FORD: Focus / Focus Sedan 1.8 16V / 2.0 16V ZH18 / ZH20 01/…
FORD: Mondeo 2.0 16V ZH20 98/02</v>
      </c>
      <c r="P964" s="12" t="str">
        <f aca="false">IFERROR(VLOOKUP($A964,Lista_Starke!$A:$E,2,0),"NÃO ESTÁ NA LISTA")</f>
        <v>BOMBA D'ÁGUA</v>
      </c>
    </row>
    <row r="965" customFormat="false" ht="15" hidden="false" customHeight="true" outlineLevel="0" collapsed="false">
      <c r="A965" s="10" t="s">
        <v>2109</v>
      </c>
      <c r="B965" s="10" t="str">
        <f aca="false">IFERROR(VLOOKUP(A965,Pedido!$A:$B,2,0),"")</f>
        <v>SOC 9031</v>
      </c>
      <c r="C965" s="10" t="str">
        <f aca="false">IF(B965="","NÃO COMPRA","COMPRA")</f>
        <v>COMPRA</v>
      </c>
      <c r="D965" s="1" t="n">
        <f aca="false">IFERROR(VLOOKUP(A965,Pedido!$A:$C,3,0),0)</f>
        <v>2</v>
      </c>
      <c r="E965" s="5" t="n">
        <f aca="false">IFERROR(VLOOKUP(A965,Pedido!$A:$E,5,0),0)</f>
        <v>1149.98</v>
      </c>
      <c r="F965" s="1" t="s">
        <v>9</v>
      </c>
      <c r="G965" s="1" t="s">
        <v>2110</v>
      </c>
      <c r="H965" s="1" t="s">
        <v>235</v>
      </c>
      <c r="I965" s="1" t="s">
        <v>42</v>
      </c>
      <c r="J965" s="1" t="s">
        <v>2111</v>
      </c>
      <c r="K965" s="1" t="n">
        <v>91</v>
      </c>
      <c r="L965" s="11" t="n">
        <v>0.951917833276634</v>
      </c>
      <c r="M965" s="1" t="n">
        <f aca="false">SUMIF(Relatorio_AK!$A:$A,A965,Relatorio_AK!$B:$B)</f>
        <v>91</v>
      </c>
      <c r="N965" s="1" t="str">
        <f aca="false">IF(M965=K965,"OK","DIF")</f>
        <v>OK</v>
      </c>
      <c r="O965" s="12" t="str">
        <f aca="false">IFERROR(VLOOKUP($A965,Lista_Starke!$A:$E,3,0),"NÃO ESTÁ NA LISTA")</f>
        <v>RENAULT: Master 2.5 16V Diesel 12/13</v>
      </c>
      <c r="P965" s="12" t="str">
        <f aca="false">IFERROR(VLOOKUP($A965,Lista_Starke!$A:$E,2,0),"NÃO ESTÁ NA LISTA")</f>
        <v>RESFRIADOR DE ÓLEO MOTOR</v>
      </c>
    </row>
    <row r="966" customFormat="false" ht="15" hidden="false" customHeight="true" outlineLevel="0" collapsed="false">
      <c r="A966" s="10" t="s">
        <v>2112</v>
      </c>
      <c r="B966" s="10" t="str">
        <f aca="false">IFERROR(VLOOKUP(A966,Pedido!$A:$B,2,0),"")</f>
        <v/>
      </c>
      <c r="C966" s="10" t="str">
        <f aca="false">IF(B966="","NÃO COMPRA","COMPRA")</f>
        <v>NÃO COMPRA</v>
      </c>
      <c r="D966" s="1" t="n">
        <f aca="false">IFERROR(VLOOKUP(A966,Pedido!$A:$C,3,0),0)</f>
        <v>0</v>
      </c>
      <c r="E966" s="5" t="n">
        <f aca="false">IFERROR(VLOOKUP(A966,Pedido!$A:$E,5,0),0)</f>
        <v>0</v>
      </c>
      <c r="F966" s="1" t="s">
        <v>9</v>
      </c>
      <c r="G966" s="1" t="s">
        <v>602</v>
      </c>
      <c r="H966" s="1" t="s">
        <v>35</v>
      </c>
      <c r="I966" s="1" t="s">
        <v>29</v>
      </c>
      <c r="K966" s="1" t="n">
        <v>90</v>
      </c>
      <c r="L966" s="11" t="n">
        <v>0.952071690739662</v>
      </c>
      <c r="M966" s="1" t="n">
        <f aca="false">SUMIF(Relatorio_AK!$A:$A,A966,Relatorio_AK!$B:$B)</f>
        <v>90</v>
      </c>
      <c r="N966" s="1" t="str">
        <f aca="false">IF(M966=K966,"OK","DIF")</f>
        <v>OK</v>
      </c>
      <c r="O966" s="12" t="str">
        <f aca="false">IFERROR(VLOOKUP($A966,Lista_Starke!$A:$E,3,0),"NÃO ESTÁ NA LISTA")</f>
        <v>HYUNDAI: Elantra 1.8 16V 16/...</v>
      </c>
      <c r="P966" s="12" t="str">
        <f aca="false">IFERROR(VLOOKUP($A966,Lista_Starke!$A:$E,2,0),"NÃO ESTÁ NA LISTA")</f>
        <v>CILINDRO MESTRE DE FREIO</v>
      </c>
    </row>
    <row r="967" customFormat="false" ht="15" hidden="false" customHeight="true" outlineLevel="0" collapsed="false">
      <c r="A967" s="10" t="s">
        <v>2113</v>
      </c>
      <c r="B967" s="10" t="str">
        <f aca="false">IFERROR(VLOOKUP(A967,Pedido!$A:$B,2,0),"")</f>
        <v/>
      </c>
      <c r="C967" s="10" t="str">
        <f aca="false">IF(B967="","NÃO COMPRA","COMPRA")</f>
        <v>NÃO COMPRA</v>
      </c>
      <c r="D967" s="1" t="n">
        <f aca="false">IFERROR(VLOOKUP(A967,Pedido!$A:$C,3,0),0)</f>
        <v>0</v>
      </c>
      <c r="E967" s="5" t="n">
        <f aca="false">IFERROR(VLOOKUP(A967,Pedido!$A:$E,5,0),0)</f>
        <v>0</v>
      </c>
      <c r="F967" s="1" t="s">
        <v>9</v>
      </c>
      <c r="G967" s="1" t="s">
        <v>1914</v>
      </c>
      <c r="H967" s="1" t="s">
        <v>197</v>
      </c>
      <c r="I967" s="1" t="s">
        <v>226</v>
      </c>
      <c r="J967" s="1" t="s">
        <v>2114</v>
      </c>
      <c r="K967" s="1" t="n">
        <v>90</v>
      </c>
      <c r="L967" s="11" t="n">
        <v>0.952225548202689</v>
      </c>
      <c r="M967" s="1" t="n">
        <f aca="false">SUMIF(Relatorio_AK!$A:$A,A967,Relatorio_AK!$B:$B)</f>
        <v>90</v>
      </c>
      <c r="N967" s="1" t="str">
        <f aca="false">IF(M967=K967,"OK","DIF")</f>
        <v>OK</v>
      </c>
      <c r="O967" s="13" t="str">
        <f aca="false">IFERROR(VLOOKUP($A967,Lista_Starke!$A:$E,3,0),"NÃO ESTÁ NA LISTA")</f>
        <v>AUDI: A3 1.8 20V 150 cv 99/06
AUDI: A3 1.8 20V Turbo 180 cv 99/06
AUDI: A4 1.8 20V Turbo 180 cv AWT / AEB / AJL 95/01
AUDI: A4 1.8 20V Turbo 8E2 / B6 / 8H7 02/…
AUDI: A4 1.8 20V Turbo AVJ / BFB 00/04
AUDI: A4 Avant 1.8 20V Turbo 180 cv AJL / AEB 94/00
AUDI: A6 1.8 20V Turbo 180 cv AFY / AJL 97/04
AUDI: A6 1.8 20V Turbo AWT 95/01
AUDI: A6 Avant 1.8 20V Turbo 180 cv AEB / AJL 94/00
AUDI: TT 1.8 20V Turbo 98/…
VOLKSWAGEN: Bora 1.8 20V Turbo Higline 99/05
VOLKSWAGEN: Bora 2.0 8V APK / AZG / AZH / AQYAZJ / BER / CBPA 00/02
VOLKSWAGEN: Golf 1.6 8V 99/01
VOLKSWAGEN: Golf 1.8 20V Turbo AUM / AGU / AGN / AUQ 98/…
VOLKSWAGEN: Golf 1.8 8V Flex / 2.0 20V Flex Black Edition 10/…
VOLKSWAGEN: Golf 2.0 8V APK AQY AZG AZJ 99/…
VOLKSWAGEN: New Beetle 1.8 20V Turbo 98/…
VOLKSWAGEN: New Beetle 2.0 8V AWV / AWU / AQY 99/…
VOLKSWAGEN: Passat 1.8 01/05
VOLKSWAGEN: Passat 2.0 AZM 01/05
VOLKSWAGEN: Polo 2.0 8V 02/…
VOLKSWAGEN: Polo GTI 1.8 20V Turbo 06/08
VOLKSWAGEN: Variant 1.8 01/05
VOLKSWAGEN: Variant 2.0 AZM 01/05</v>
      </c>
      <c r="P967" s="12" t="str">
        <f aca="false">IFERROR(VLOOKUP($A967,Lista_Starke!$A:$E,2,0),"NÃO ESTÁ NA LISTA")</f>
        <v>BOMBA D'ÁGUA</v>
      </c>
    </row>
    <row r="968" customFormat="false" ht="15" hidden="false" customHeight="true" outlineLevel="0" collapsed="false">
      <c r="A968" s="10" t="s">
        <v>2115</v>
      </c>
      <c r="B968" s="10" t="str">
        <f aca="false">IFERROR(VLOOKUP(A968,Pedido!$A:$B,2,0),"")</f>
        <v/>
      </c>
      <c r="C968" s="10" t="str">
        <f aca="false">IF(B968="","NÃO COMPRA","COMPRA")</f>
        <v>NÃO COMPRA</v>
      </c>
      <c r="D968" s="1" t="n">
        <f aca="false">IFERROR(VLOOKUP(A968,Pedido!$A:$C,3,0),0)</f>
        <v>0</v>
      </c>
      <c r="E968" s="5" t="n">
        <f aca="false">IFERROR(VLOOKUP(A968,Pedido!$A:$E,5,0),0)</f>
        <v>0</v>
      </c>
      <c r="F968" s="1" t="s">
        <v>9</v>
      </c>
      <c r="G968" s="1" t="s">
        <v>2116</v>
      </c>
      <c r="H968" s="1" t="s">
        <v>1131</v>
      </c>
      <c r="I968" s="1" t="s">
        <v>1157</v>
      </c>
      <c r="J968" s="1" t="s">
        <v>2117</v>
      </c>
      <c r="K968" s="1" t="n">
        <v>90</v>
      </c>
      <c r="L968" s="11" t="n">
        <v>0.952379405665716</v>
      </c>
      <c r="M968" s="1" t="n">
        <f aca="false">SUMIF(Relatorio_AK!$A:$A,A968,Relatorio_AK!$B:$B)</f>
        <v>90</v>
      </c>
      <c r="N968" s="1" t="str">
        <f aca="false">IF(M968=K968,"OK","DIF")</f>
        <v>OK</v>
      </c>
      <c r="O968" s="13" t="str">
        <f aca="false">IFERROR(VLOOKUP($A968,Lista_Starke!$A:$E,3,0),"NÃO ESTÁ NA LISTA")</f>
        <v>BMW: 125i (F20/F21) 2.0 16V N20B20 11/18
BMW: 220i (F22) 2.0 16V N20B20 13/18
BMW: 220i (F23) 2.0 16V N20B20 14/18
BMW: 228i (F22) 2.0 16V N20B20 14/18
BMW: 228i (F23) 2.0 16V N20B20 14/18
BMW: 320i (F30/F80) 2.0 16V N20B20 11/18
BMW: 320i (F31) 2.0 16V N20B20 12/15
BMW: 320i GT (F34) 2.0 16v N20B20 12/16
BMW: 328i (F31) 2.0 16V N20B20 12/16
BMW: 420i (F32/F82) 2.0 16V N20B20 13/18
BMW: 420i (F36) 2.0 16V N20B20 14/18
BMW: 428i (F32/F82) 2.0 16V N20B20 13/18
BMW: 428i (F36) 2.0 16V N20B20 14/18
BMW: 520i (F10/F18) 2.0 16V N20B20 10/16
BMW: 520i (F11) 2.0 16V N20B20 10/...
BMW: 528i (F10/F18) 2.0 16V N20B20 10/16
BMW: 528i (F11) 2.0 16V N20B20 11/...
BMW: X1 (E84) sDrive 16i 1.6 16V N20B20 13/15
BMW: X1 (E84) sDrive 20i 2.0 16V N20B20 11/15
BMW: X1 (E84) xDrive 28i 2.0 16V N20B20 11/15
BMW: X3 (F25) sDrive 20i 2.0 16V N20B20 14/18
BMW: X3 (F25) xDrive 28i 2.0 6V N20B20 11/18
BMW: X4 (F26) xDrive 20i 2.0 16V N20B20 14/18
BMW: X4 (F26) xDrive 28i 2.0 16V N20B20 14/18
BMW: X5 (F15/F85) xDrive 40e 2.0 16V N20B20 15/18
BMW: Z4 (E89) sDrive 18i 2.0 16V N20B20 13/18
BMW: Z4 (E89) sDrive 20i 2.0 16V N20B20 11/18</v>
      </c>
      <c r="P968" s="12" t="str">
        <f aca="false">IFERROR(VLOOKUP($A968,Lista_Starke!$A:$E,2,0),"NÃO ESTÁ NA LISTA")</f>
        <v>BOMBA DE ALTA PRESSÃO GDI</v>
      </c>
    </row>
    <row r="969" customFormat="false" ht="15" hidden="false" customHeight="true" outlineLevel="0" collapsed="false">
      <c r="A969" s="10" t="s">
        <v>2118</v>
      </c>
      <c r="B969" s="10" t="str">
        <f aca="false">IFERROR(VLOOKUP(A969,Pedido!$A:$B,2,0),"")</f>
        <v/>
      </c>
      <c r="C969" s="10" t="str">
        <f aca="false">IF(B969="","NÃO COMPRA","COMPRA")</f>
        <v>NÃO COMPRA</v>
      </c>
      <c r="D969" s="1" t="n">
        <f aca="false">IFERROR(VLOOKUP(A969,Pedido!$A:$C,3,0),0)</f>
        <v>0</v>
      </c>
      <c r="E969" s="5" t="n">
        <f aca="false">IFERROR(VLOOKUP(A969,Pedido!$A:$E,5,0),0)</f>
        <v>0</v>
      </c>
      <c r="F969" s="1" t="s">
        <v>9</v>
      </c>
      <c r="G969" s="1" t="s">
        <v>1659</v>
      </c>
      <c r="H969" s="1" t="s">
        <v>197</v>
      </c>
      <c r="I969" s="1" t="s">
        <v>137</v>
      </c>
      <c r="J969" s="1" t="s">
        <v>2119</v>
      </c>
      <c r="K969" s="1" t="n">
        <v>90</v>
      </c>
      <c r="L969" s="11" t="n">
        <v>0.952533263128743</v>
      </c>
      <c r="M969" s="1" t="n">
        <f aca="false">SUMIF(Relatorio_AK!$A:$A,A969,Relatorio_AK!$B:$B)</f>
        <v>90</v>
      </c>
      <c r="N969" s="1" t="str">
        <f aca="false">IF(M969=K969,"OK","DIF")</f>
        <v>OK</v>
      </c>
      <c r="O969" s="13" t="str">
        <f aca="false">IFERROR(VLOOKUP($A969,Lista_Starke!$A:$E,3,0),"NÃO ESTÁ NA LISTA")</f>
        <v>CITROEN: Jumpy 1.5 16V HDI 22/...
FIAT: Scudo 1.5 16V Diesel 22/...
PEUGEOT: Expert 1.5 16V HDI 22/...</v>
      </c>
      <c r="P969" s="12" t="str">
        <f aca="false">IFERROR(VLOOKUP($A969,Lista_Starke!$A:$E,2,0),"NÃO ESTÁ NA LISTA")</f>
        <v>BOMBA D'ÁGUA</v>
      </c>
    </row>
    <row r="970" customFormat="false" ht="15" hidden="false" customHeight="true" outlineLevel="0" collapsed="false">
      <c r="A970" s="10" t="s">
        <v>2120</v>
      </c>
      <c r="B970" s="10" t="str">
        <f aca="false">IFERROR(VLOOKUP(A970,Pedido!$A:$B,2,0),"")</f>
        <v/>
      </c>
      <c r="C970" s="10" t="str">
        <f aca="false">IF(B970="","NÃO COMPRA","COMPRA")</f>
        <v>NÃO COMPRA</v>
      </c>
      <c r="D970" s="1" t="n">
        <f aca="false">IFERROR(VLOOKUP(A970,Pedido!$A:$C,3,0),0)</f>
        <v>0</v>
      </c>
      <c r="E970" s="5" t="n">
        <f aca="false">IFERROR(VLOOKUP(A970,Pedido!$A:$E,5,0),0)</f>
        <v>0</v>
      </c>
      <c r="F970" s="1" t="s">
        <v>9</v>
      </c>
      <c r="G970" s="1" t="s">
        <v>1783</v>
      </c>
      <c r="H970" s="1" t="s">
        <v>1073</v>
      </c>
      <c r="I970" s="1" t="s">
        <v>373</v>
      </c>
      <c r="J970" s="1" t="s">
        <v>2121</v>
      </c>
      <c r="K970" s="1" t="n">
        <v>90</v>
      </c>
      <c r="L970" s="11" t="n">
        <v>0.95268712059177</v>
      </c>
      <c r="M970" s="1" t="n">
        <f aca="false">SUMIF(Relatorio_AK!$A:$A,A970,Relatorio_AK!$B:$B)</f>
        <v>90</v>
      </c>
      <c r="N970" s="1" t="str">
        <f aca="false">IF(M970=K970,"OK","DIF")</f>
        <v>OK</v>
      </c>
      <c r="O970" s="13" t="str">
        <f aca="false">IFERROR(VLOOKUP($A970,Lista_Starke!$A:$E,3,0),"NÃO ESTÁ NA LISTA")</f>
        <v>MERCEDES-BENZ: C180 CGI (W204) 1.8 16V M271.820 07/14
MERCEDES-BENZ: C200 CGI (W204) 1.8 16V M271.860 / M271.820 07/14
MERCEDES-BENZ: C250 CGI (W204) 1.8 16V M271.860 09/14</v>
      </c>
      <c r="P970" s="12" t="str">
        <f aca="false">IFERROR(VLOOKUP($A970,Lista_Starke!$A:$E,2,0),"NÃO ESTÁ NA LISTA")</f>
        <v>VÁLVULA TERMOSTÁTICA</v>
      </c>
    </row>
    <row r="971" customFormat="false" ht="15" hidden="false" customHeight="true" outlineLevel="0" collapsed="false">
      <c r="A971" s="10" t="s">
        <v>2122</v>
      </c>
      <c r="B971" s="10" t="str">
        <f aca="false">IFERROR(VLOOKUP(A971,Pedido!$A:$B,2,0),"")</f>
        <v/>
      </c>
      <c r="C971" s="10" t="str">
        <f aca="false">IF(B971="","NÃO COMPRA","COMPRA")</f>
        <v>NÃO COMPRA</v>
      </c>
      <c r="D971" s="1" t="n">
        <f aca="false">IFERROR(VLOOKUP(A971,Pedido!$A:$C,3,0),0)</f>
        <v>0</v>
      </c>
      <c r="E971" s="5" t="n">
        <f aca="false">IFERROR(VLOOKUP(A971,Pedido!$A:$E,5,0),0)</f>
        <v>0</v>
      </c>
      <c r="F971" s="1" t="s">
        <v>9</v>
      </c>
      <c r="G971" s="1" t="s">
        <v>176</v>
      </c>
      <c r="H971" s="1" t="s">
        <v>35</v>
      </c>
      <c r="I971" s="1" t="s">
        <v>177</v>
      </c>
      <c r="J971" s="1" t="s">
        <v>2123</v>
      </c>
      <c r="K971" s="1" t="n">
        <v>90</v>
      </c>
      <c r="L971" s="11" t="n">
        <v>0.952840978054798</v>
      </c>
      <c r="M971" s="1" t="n">
        <f aca="false">SUMIF(Relatorio_AK!$A:$A,A971,Relatorio_AK!$B:$B)</f>
        <v>90</v>
      </c>
      <c r="N971" s="1" t="str">
        <f aca="false">IF(M971=K971,"OK","DIF")</f>
        <v>OK</v>
      </c>
      <c r="O971" s="13" t="str">
        <f aca="false">IFERROR(VLOOKUP($A971,Lista_Starke!$A:$E,3,0),"NÃO ESTÁ NA LISTA")</f>
        <v>TOYOTA: Corolla 1.8 16V Flex 19/...
TOYOTA: Corolla 2.0 16V 19/...</v>
      </c>
      <c r="P971" s="12" t="str">
        <f aca="false">IFERROR(VLOOKUP($A971,Lista_Starke!$A:$E,2,0),"NÃO ESTÁ NA LISTA")</f>
        <v>CILINDRO MESTRE DE FREIO</v>
      </c>
    </row>
    <row r="972" customFormat="false" ht="15" hidden="false" customHeight="true" outlineLevel="0" collapsed="false">
      <c r="A972" s="10" t="s">
        <v>2124</v>
      </c>
      <c r="B972" s="10" t="str">
        <f aca="false">IFERROR(VLOOKUP(A972,Pedido!$A:$B,2,0),"")</f>
        <v/>
      </c>
      <c r="C972" s="10" t="str">
        <f aca="false">IF(B972="","NÃO COMPRA","COMPRA")</f>
        <v>NÃO COMPRA</v>
      </c>
      <c r="D972" s="1" t="n">
        <f aca="false">IFERROR(VLOOKUP(A972,Pedido!$A:$C,3,0),0)</f>
        <v>0</v>
      </c>
      <c r="E972" s="5" t="n">
        <f aca="false">IFERROR(VLOOKUP(A972,Pedido!$A:$E,5,0),0)</f>
        <v>0</v>
      </c>
      <c r="F972" s="1" t="s">
        <v>9</v>
      </c>
      <c r="G972" s="1" t="s">
        <v>2125</v>
      </c>
      <c r="H972" s="1" t="s">
        <v>790</v>
      </c>
      <c r="I972" s="1" t="s">
        <v>177</v>
      </c>
      <c r="K972" s="1" t="n">
        <v>89</v>
      </c>
      <c r="L972" s="11" t="n">
        <v>0.952993125990458</v>
      </c>
      <c r="M972" s="1" t="n">
        <f aca="false">SUMIF(Relatorio_AK!$A:$A,A972,Relatorio_AK!$B:$B)</f>
        <v>89</v>
      </c>
      <c r="N972" s="1" t="str">
        <f aca="false">IF(M972=K972,"OK","DIF")</f>
        <v>OK</v>
      </c>
      <c r="O972" s="13" t="str">
        <f aca="false">IFERROR(VLOOKUP($A972,Lista_Starke!$A:$E,3,0),"NÃO ESTÁ NA LISTA")</f>
        <v>TOYOTA: Corolla 1.8 16V Hybrid 20/...
TOYOTA: Corolla Cross 1.8 16V Hybrid 21/...</v>
      </c>
      <c r="P972" s="12" t="str">
        <f aca="false">IFERROR(VLOOKUP($A972,Lista_Starke!$A:$E,2,0),"NÃO ESTÁ NA LISTA")</f>
        <v>BOMBA D'ÁGUA ELÉTRICA</v>
      </c>
    </row>
    <row r="973" customFormat="false" ht="15" hidden="false" customHeight="true" outlineLevel="0" collapsed="false">
      <c r="A973" s="10" t="s">
        <v>2126</v>
      </c>
      <c r="B973" s="10" t="str">
        <f aca="false">IFERROR(VLOOKUP(A973,Pedido!$A:$B,2,0),"")</f>
        <v/>
      </c>
      <c r="C973" s="10" t="str">
        <f aca="false">IF(B973="","NÃO COMPRA","COMPRA")</f>
        <v>NÃO COMPRA</v>
      </c>
      <c r="D973" s="1" t="n">
        <f aca="false">IFERROR(VLOOKUP(A973,Pedido!$A:$C,3,0),0)</f>
        <v>0</v>
      </c>
      <c r="E973" s="5" t="n">
        <f aca="false">IFERROR(VLOOKUP(A973,Pedido!$A:$E,5,0),0)</f>
        <v>0</v>
      </c>
      <c r="F973" s="1" t="s">
        <v>9</v>
      </c>
      <c r="G973" s="1" t="s">
        <v>841</v>
      </c>
      <c r="H973" s="1" t="s">
        <v>197</v>
      </c>
      <c r="I973" s="1" t="s">
        <v>50</v>
      </c>
      <c r="K973" s="1" t="n">
        <v>89</v>
      </c>
      <c r="L973" s="11" t="n">
        <v>0.953145273926118</v>
      </c>
      <c r="M973" s="1" t="n">
        <f aca="false">SUMIF(Relatorio_AK!$A:$A,A973,Relatorio_AK!$B:$B)</f>
        <v>89</v>
      </c>
      <c r="N973" s="1" t="str">
        <f aca="false">IF(M973=K973,"OK","DIF")</f>
        <v>OK</v>
      </c>
      <c r="O973" s="12" t="str">
        <f aca="false">IFERROR(VLOOKUP($A973,Lista_Starke!$A:$E,3,0),"NÃO ESTÁ NA LISTA")</f>
        <v>HONDA: HRV 1.8 16V 15/...</v>
      </c>
      <c r="P973" s="12" t="str">
        <f aca="false">IFERROR(VLOOKUP($A973,Lista_Starke!$A:$E,2,0),"NÃO ESTÁ NA LISTA")</f>
        <v>BOMBA D'ÁGUA</v>
      </c>
    </row>
    <row r="974" customFormat="false" ht="15" hidden="false" customHeight="true" outlineLevel="0" collapsed="false">
      <c r="A974" s="10" t="s">
        <v>2127</v>
      </c>
      <c r="B974" s="10" t="str">
        <f aca="false">IFERROR(VLOOKUP(A974,Pedido!$A:$B,2,0),"")</f>
        <v/>
      </c>
      <c r="C974" s="10" t="str">
        <f aca="false">IF(B974="","NÃO COMPRA","COMPRA")</f>
        <v>NÃO COMPRA</v>
      </c>
      <c r="D974" s="1" t="n">
        <f aca="false">IFERROR(VLOOKUP(A974,Pedido!$A:$C,3,0),0)</f>
        <v>0</v>
      </c>
      <c r="E974" s="5" t="n">
        <f aca="false">IFERROR(VLOOKUP(A974,Pedido!$A:$E,5,0),0)</f>
        <v>0</v>
      </c>
      <c r="F974" s="1" t="s">
        <v>9</v>
      </c>
      <c r="G974" s="1" t="s">
        <v>483</v>
      </c>
      <c r="H974" s="1" t="s">
        <v>197</v>
      </c>
      <c r="I974" s="1" t="s">
        <v>36</v>
      </c>
      <c r="J974" s="1" t="s">
        <v>2128</v>
      </c>
      <c r="K974" s="1" t="n">
        <v>89</v>
      </c>
      <c r="L974" s="11" t="n">
        <v>0.953297421861778</v>
      </c>
      <c r="M974" s="1" t="n">
        <f aca="false">SUMIF(Relatorio_AK!$A:$A,A974,Relatorio_AK!$B:$B)</f>
        <v>89</v>
      </c>
      <c r="N974" s="1" t="str">
        <f aca="false">IF(M974=K974,"OK","DIF")</f>
        <v>OK</v>
      </c>
      <c r="O974" s="12" t="str">
        <f aca="false">IFERROR(VLOOKUP($A974,Lista_Starke!$A:$E,3,0),"NÃO ESTÁ NA LISTA")</f>
        <v>VOLKSWAGEN: Amarok 2.0 16V TDI   CDBA / CNFA 10/…</v>
      </c>
      <c r="P974" s="12" t="str">
        <f aca="false">IFERROR(VLOOKUP($A974,Lista_Starke!$A:$E,2,0),"NÃO ESTÁ NA LISTA")</f>
        <v>BOMBA D'ÁGUA</v>
      </c>
    </row>
    <row r="975" customFormat="false" ht="15" hidden="false" customHeight="true" outlineLevel="0" collapsed="false">
      <c r="A975" s="10" t="s">
        <v>2129</v>
      </c>
      <c r="B975" s="10" t="str">
        <f aca="false">IFERROR(VLOOKUP(A975,Pedido!$A:$B,2,0),"")</f>
        <v/>
      </c>
      <c r="C975" s="10" t="str">
        <f aca="false">IF(B975="","NÃO COMPRA","COMPRA")</f>
        <v>NÃO COMPRA</v>
      </c>
      <c r="D975" s="1" t="n">
        <f aca="false">IFERROR(VLOOKUP(A975,Pedido!$A:$C,3,0),0)</f>
        <v>0</v>
      </c>
      <c r="E975" s="5" t="n">
        <f aca="false">IFERROR(VLOOKUP(A975,Pedido!$A:$E,5,0),0)</f>
        <v>0</v>
      </c>
      <c r="F975" s="1" t="s">
        <v>9</v>
      </c>
      <c r="G975" s="1" t="s">
        <v>748</v>
      </c>
      <c r="H975" s="1" t="s">
        <v>600</v>
      </c>
      <c r="I975" s="1" t="s">
        <v>1157</v>
      </c>
      <c r="J975" s="1" t="s">
        <v>2130</v>
      </c>
      <c r="K975" s="1" t="n">
        <v>89</v>
      </c>
      <c r="L975" s="11" t="n">
        <v>0.953449569797438</v>
      </c>
      <c r="M975" s="1" t="n">
        <f aca="false">SUMIF(Relatorio_AK!$A:$A,A975,Relatorio_AK!$B:$B)</f>
        <v>89</v>
      </c>
      <c r="N975" s="1" t="str">
        <f aca="false">IF(M975=K975,"OK","DIF")</f>
        <v>OK</v>
      </c>
      <c r="O975" s="13" t="str">
        <f aca="false">IFERROR(VLOOKUP($A975,Lista_Starke!$A:$E,3,0),"NÃO ESTÁ NA LISTA")</f>
        <v>BMW: 120i (F20) 2.0 N20 B20A 15/16
BMW: 320i (F30/F80) 2.0 16V N20 B20A / N20 B20 B 12/18
BMW: 523i (F10/F11) 2.0 16V N20 B20A / N20 B20B 11/17
BMW: X1 (E84) sDrive 28i 2.0 16V N20 B20A / N20 B20B 09/...
BMW: X1 xDrive 20i 2.0 16V N20 B20A 11/14
BMW: X3 (F25) sDrive 28i 2.0 16V N20 B20A 14/17
BMW: X3 (F25) xDrive 20i 2.0 16V N20 B16A / N20 B20A 11/17
BMW: X5 (F15/F85)  15/18
BMW: X6 (F16/F86)  15/19</v>
      </c>
      <c r="P975" s="12" t="str">
        <f aca="false">IFERROR(VLOOKUP($A975,Lista_Starke!$A:$E,2,0),"NÃO ESTÁ NA LISTA")</f>
        <v>BOMBA DE VÁCUO FREIO</v>
      </c>
    </row>
    <row r="976" customFormat="false" ht="15" hidden="false" customHeight="true" outlineLevel="0" collapsed="false">
      <c r="A976" s="10" t="s">
        <v>2131</v>
      </c>
      <c r="B976" s="10" t="str">
        <f aca="false">IFERROR(VLOOKUP(A976,Pedido!$A:$B,2,0),"")</f>
        <v/>
      </c>
      <c r="C976" s="10" t="str">
        <f aca="false">IF(B976="","NÃO COMPRA","COMPRA")</f>
        <v>NÃO COMPRA</v>
      </c>
      <c r="D976" s="1" t="n">
        <f aca="false">IFERROR(VLOOKUP(A976,Pedido!$A:$C,3,0),0)</f>
        <v>0</v>
      </c>
      <c r="E976" s="5" t="n">
        <f aca="false">IFERROR(VLOOKUP(A976,Pedido!$A:$E,5,0),0)</f>
        <v>0</v>
      </c>
      <c r="F976" s="1" t="s">
        <v>9</v>
      </c>
      <c r="G976" s="1" t="s">
        <v>2132</v>
      </c>
      <c r="H976" s="1" t="s">
        <v>131</v>
      </c>
      <c r="I976" s="1" t="s">
        <v>1194</v>
      </c>
      <c r="J976" s="1" t="s">
        <v>2133</v>
      </c>
      <c r="K976" s="1" t="n">
        <v>88</v>
      </c>
      <c r="L976" s="11" t="n">
        <v>0.953600008205732</v>
      </c>
      <c r="M976" s="1" t="n">
        <f aca="false">SUMIF(Relatorio_AK!$A:$A,A976,Relatorio_AK!$B:$B)</f>
        <v>88</v>
      </c>
      <c r="N976" s="1" t="str">
        <f aca="false">IF(M976=K976,"OK","DIF")</f>
        <v>OK</v>
      </c>
      <c r="O976" s="13" t="str">
        <f aca="false">IFERROR(VLOOKUP($A976,Lista_Starke!$A:$E,3,0),"NÃO ESTÁ NA LISTA")</f>
        <v>CHANA: Cargo 1.0 8V 06/…
CHANA: Family 1.0 8V 06/…
CHANA: Utility 1.0 8V 06/…
EFFA MOTORS: K01 Pick Up Simples 1.0 8V 08/…
EFFA MOTORS: K02 Pick Up Dupla 1.0 8V 08/…
EFFA MOTORS: Start 1.0 8V 06/...
HAFEI: Towner Jr Pick Up 1.0 8V 07/…
HAFEI: Towner Jr Van 1.0 8V 07/…</v>
      </c>
      <c r="P976" s="12" t="str">
        <f aca="false">IFERROR(VLOOKUP($A976,Lista_Starke!$A:$E,2,0),"NÃO ESTÁ NA LISTA")</f>
        <v>SAPATA DE FREIO</v>
      </c>
    </row>
    <row r="977" customFormat="false" ht="15" hidden="false" customHeight="true" outlineLevel="0" collapsed="false">
      <c r="A977" s="10" t="s">
        <v>2134</v>
      </c>
      <c r="B977" s="10" t="str">
        <f aca="false">IFERROR(VLOOKUP(A977,Pedido!$A:$B,2,0),"")</f>
        <v/>
      </c>
      <c r="C977" s="10" t="str">
        <f aca="false">IF(B977="","NÃO COMPRA","COMPRA")</f>
        <v>NÃO COMPRA</v>
      </c>
      <c r="D977" s="1" t="n">
        <f aca="false">IFERROR(VLOOKUP(A977,Pedido!$A:$C,3,0),0)</f>
        <v>0</v>
      </c>
      <c r="E977" s="5" t="n">
        <f aca="false">IFERROR(VLOOKUP(A977,Pedido!$A:$E,5,0),0)</f>
        <v>0</v>
      </c>
      <c r="F977" s="1" t="s">
        <v>9</v>
      </c>
      <c r="G977" s="1" t="s">
        <v>1081</v>
      </c>
      <c r="H977" s="1" t="s">
        <v>235</v>
      </c>
      <c r="I977" s="1" t="s">
        <v>373</v>
      </c>
      <c r="J977" s="1" t="s">
        <v>2135</v>
      </c>
      <c r="K977" s="1" t="n">
        <v>88</v>
      </c>
      <c r="L977" s="11" t="n">
        <v>0.953750446614025</v>
      </c>
      <c r="M977" s="1" t="n">
        <f aca="false">SUMIF(Relatorio_AK!$A:$A,A977,Relatorio_AK!$B:$B)</f>
        <v>88</v>
      </c>
      <c r="N977" s="1" t="str">
        <f aca="false">IF(M977=K977,"OK","DIF")</f>
        <v>OK</v>
      </c>
      <c r="O977" s="13" t="str">
        <f aca="false">IFERROR(VLOOKUP($A977,Lista_Starke!$A:$E,3,0),"NÃO ESTÁ NA LISTA")</f>
        <v>MERCEDES-BENZ: C180 (W205) 1.6 16V Turbo M274.910 14/...
MERCEDES-BENZ: C180 (W205) 1.6 16V Turbo M274.910 14/21
MERCEDES-BENZ: C200 (W205) 2.0 16V Turbo M274.920 13/18
MERCEDES-BENZ: C250 (W205) 2.0 16V Turbo M274.920 14/18
MERCEDES-BENZ: C300 (W205) 2.0 16V Turbo M274.920 13/...
MERCEDES-BENZ: C300 (W205) 2.0 16V Turbo M274.920 19/21
MERCEDES-BENZ: C350 (W205) 2.0 16V Turbo M274.920 15/18
MERCEDES-BENZ: GLC250 (X253) 2.0 16V Turbo M274.920 15/19
MERCEDES-BENZ: GLC300 (X253) 2.0 16V Turbo M274.920 15/22</v>
      </c>
      <c r="P977" s="12" t="str">
        <f aca="false">IFERROR(VLOOKUP($A977,Lista_Starke!$A:$E,2,0),"NÃO ESTÁ NA LISTA")</f>
        <v>RESFRIADOR DE ÓLEO MOTOR</v>
      </c>
    </row>
    <row r="978" customFormat="false" ht="15" hidden="false" customHeight="true" outlineLevel="0" collapsed="false">
      <c r="A978" s="10" t="s">
        <v>2136</v>
      </c>
      <c r="B978" s="10" t="str">
        <f aca="false">IFERROR(VLOOKUP(A978,Pedido!$A:$B,2,0),"")</f>
        <v/>
      </c>
      <c r="C978" s="10" t="str">
        <f aca="false">IF(B978="","NÃO COMPRA","COMPRA")</f>
        <v>NÃO COMPRA</v>
      </c>
      <c r="D978" s="1" t="n">
        <f aca="false">IFERROR(VLOOKUP(A978,Pedido!$A:$C,3,0),0)</f>
        <v>0</v>
      </c>
      <c r="E978" s="5" t="n">
        <f aca="false">IFERROR(VLOOKUP(A978,Pedido!$A:$E,5,0),0)</f>
        <v>0</v>
      </c>
      <c r="F978" s="1" t="s">
        <v>9</v>
      </c>
      <c r="G978" s="1" t="s">
        <v>2137</v>
      </c>
      <c r="H978" s="1" t="s">
        <v>197</v>
      </c>
      <c r="I978" s="1" t="s">
        <v>1182</v>
      </c>
      <c r="J978" s="1" t="s">
        <v>2138</v>
      </c>
      <c r="K978" s="1" t="n">
        <v>87</v>
      </c>
      <c r="L978" s="11" t="n">
        <v>0.953899175494951</v>
      </c>
      <c r="M978" s="1" t="n">
        <f aca="false">SUMIF(Relatorio_AK!$A:$A,A978,Relatorio_AK!$B:$B)</f>
        <v>87</v>
      </c>
      <c r="N978" s="1" t="str">
        <f aca="false">IF(M978=K978,"OK","DIF")</f>
        <v>OK</v>
      </c>
      <c r="O978" s="13" t="str">
        <f aca="false">IFERROR(VLOOKUP($A978,Lista_Starke!$A:$E,3,0),"NÃO ESTÁ NA LISTA")</f>
        <v>KIA: Besta GS 2.7 Diesel / 2.8 Diesel 98/…
KIA: Bongo K2700 2.7 Diesel 99/…</v>
      </c>
      <c r="P978" s="12" t="str">
        <f aca="false">IFERROR(VLOOKUP($A978,Lista_Starke!$A:$E,2,0),"NÃO ESTÁ NA LISTA")</f>
        <v>BOMBA D'ÁGUA</v>
      </c>
    </row>
    <row r="979" customFormat="false" ht="15" hidden="false" customHeight="true" outlineLevel="0" collapsed="false">
      <c r="A979" s="10" t="s">
        <v>2139</v>
      </c>
      <c r="B979" s="10" t="str">
        <f aca="false">IFERROR(VLOOKUP(A979,Pedido!$A:$B,2,0),"")</f>
        <v/>
      </c>
      <c r="C979" s="10" t="str">
        <f aca="false">IF(B979="","NÃO COMPRA","COMPRA")</f>
        <v>NÃO COMPRA</v>
      </c>
      <c r="D979" s="1" t="n">
        <f aca="false">IFERROR(VLOOKUP(A979,Pedido!$A:$C,3,0),0)</f>
        <v>0</v>
      </c>
      <c r="E979" s="5" t="n">
        <f aca="false">IFERROR(VLOOKUP(A979,Pedido!$A:$E,5,0),0)</f>
        <v>0</v>
      </c>
      <c r="F979" s="1" t="s">
        <v>9</v>
      </c>
      <c r="G979" s="1" t="s">
        <v>1326</v>
      </c>
      <c r="H979" s="1" t="s">
        <v>197</v>
      </c>
      <c r="I979" s="1" t="s">
        <v>177</v>
      </c>
      <c r="J979" s="1" t="s">
        <v>2140</v>
      </c>
      <c r="K979" s="1" t="n">
        <v>87</v>
      </c>
      <c r="L979" s="11" t="n">
        <v>0.954047904375877</v>
      </c>
      <c r="M979" s="1" t="n">
        <f aca="false">SUMIF(Relatorio_AK!$A:$A,A979,Relatorio_AK!$B:$B)</f>
        <v>87</v>
      </c>
      <c r="N979" s="1" t="str">
        <f aca="false">IF(M979=K979,"OK","DIF")</f>
        <v>OK</v>
      </c>
      <c r="O979" s="13" t="str">
        <f aca="false">IFERROR(VLOOKUP($A979,Lista_Starke!$A:$E,3,0),"NÃO ESTÁ NA LISTA")</f>
        <v>TOYOTA: Hilux 2.8 Diesel 2L 93/…
TOYOTA: SW 2.8 Diesel 2L 93/96</v>
      </c>
      <c r="P979" s="12" t="str">
        <f aca="false">IFERROR(VLOOKUP($A979,Lista_Starke!$A:$E,2,0),"NÃO ESTÁ NA LISTA")</f>
        <v>BOMBA D'ÁGUA</v>
      </c>
    </row>
    <row r="980" customFormat="false" ht="15" hidden="false" customHeight="true" outlineLevel="0" collapsed="false">
      <c r="A980" s="10" t="s">
        <v>2141</v>
      </c>
      <c r="B980" s="10" t="str">
        <f aca="false">IFERROR(VLOOKUP(A980,Pedido!$A:$B,2,0),"")</f>
        <v/>
      </c>
      <c r="C980" s="10" t="str">
        <f aca="false">IF(B980="","NÃO COMPRA","COMPRA")</f>
        <v>NÃO COMPRA</v>
      </c>
      <c r="D980" s="1" t="n">
        <f aca="false">IFERROR(VLOOKUP(A980,Pedido!$A:$C,3,0),0)</f>
        <v>0</v>
      </c>
      <c r="E980" s="5" t="n">
        <f aca="false">IFERROR(VLOOKUP(A980,Pedido!$A:$E,5,0),0)</f>
        <v>0</v>
      </c>
      <c r="F980" s="1" t="s">
        <v>9</v>
      </c>
      <c r="G980" s="1" t="s">
        <v>2142</v>
      </c>
      <c r="H980" s="1" t="s">
        <v>1358</v>
      </c>
      <c r="I980" s="1" t="s">
        <v>36</v>
      </c>
      <c r="J980" s="1" t="s">
        <v>2143</v>
      </c>
      <c r="K980" s="1" t="n">
        <v>86</v>
      </c>
      <c r="L980" s="11" t="n">
        <v>0.954194923729437</v>
      </c>
      <c r="M980" s="1" t="n">
        <f aca="false">SUMIF(Relatorio_AK!$A:$A,A980,Relatorio_AK!$B:$B)</f>
        <v>86</v>
      </c>
      <c r="N980" s="1" t="str">
        <f aca="false">IF(M980=K980,"OK","DIF")</f>
        <v>OK</v>
      </c>
      <c r="O980" s="13" t="str">
        <f aca="false">IFERROR(VLOOKUP($A980,Lista_Starke!$A:$E,3,0),"NÃO ESTÁ NA LISTA")</f>
        <v>VOLKSWAGEN: Gol  93/08
VOLKSWAGEN: Parati  93/08
VOLKSWAGEN: Saveiro  93/08
VOLKSWAGEN: Voyage  93/95</v>
      </c>
      <c r="P980" s="12" t="str">
        <f aca="false">IFERROR(VLOOKUP($A980,Lista_Starke!$A:$E,2,0),"NÃO ESTÁ NA LISTA")</f>
        <v>BANDEJA INFERIOR LE/LD</v>
      </c>
    </row>
    <row r="981" customFormat="false" ht="15" hidden="false" customHeight="true" outlineLevel="0" collapsed="false">
      <c r="A981" s="10" t="s">
        <v>2144</v>
      </c>
      <c r="B981" s="10" t="str">
        <f aca="false">IFERROR(VLOOKUP(A981,Pedido!$A:$B,2,0),"")</f>
        <v/>
      </c>
      <c r="C981" s="10" t="str">
        <f aca="false">IF(B981="","NÃO COMPRA","COMPRA")</f>
        <v>NÃO COMPRA</v>
      </c>
      <c r="D981" s="1" t="n">
        <f aca="false">IFERROR(VLOOKUP(A981,Pedido!$A:$C,3,0),0)</f>
        <v>0</v>
      </c>
      <c r="E981" s="5" t="n">
        <f aca="false">IFERROR(VLOOKUP(A981,Pedido!$A:$E,5,0),0)</f>
        <v>0</v>
      </c>
      <c r="F981" s="1" t="s">
        <v>9</v>
      </c>
      <c r="G981" s="1" t="s">
        <v>52</v>
      </c>
      <c r="H981" s="1" t="s">
        <v>35</v>
      </c>
      <c r="I981" s="1" t="s">
        <v>53</v>
      </c>
      <c r="K981" s="1" t="n">
        <v>86</v>
      </c>
      <c r="L981" s="11" t="n">
        <v>0.954341943082996</v>
      </c>
      <c r="M981" s="1" t="n">
        <f aca="false">SUMIF(Relatorio_AK!$A:$A,A981,Relatorio_AK!$B:$B)</f>
        <v>86</v>
      </c>
      <c r="N981" s="1" t="str">
        <f aca="false">IF(M981=K981,"OK","DIF")</f>
        <v>OK</v>
      </c>
      <c r="O981" s="12" t="str">
        <f aca="false">IFERROR(VLOOKUP($A981,Lista_Starke!$A:$E,3,0),"NÃO ESTÁ NA LISTA")</f>
        <v>FORD: Transit 2.4 16V 06/...</v>
      </c>
      <c r="P981" s="12" t="str">
        <f aca="false">IFERROR(VLOOKUP($A981,Lista_Starke!$A:$E,2,0),"NÃO ESTÁ NA LISTA")</f>
        <v>CILINDRO MESTRE DE FREIO</v>
      </c>
    </row>
    <row r="982" customFormat="false" ht="15" hidden="false" customHeight="true" outlineLevel="0" collapsed="false">
      <c r="A982" s="10" t="s">
        <v>2145</v>
      </c>
      <c r="B982" s="10" t="str">
        <f aca="false">IFERROR(VLOOKUP(A982,Pedido!$A:$B,2,0),"")</f>
        <v/>
      </c>
      <c r="C982" s="10" t="str">
        <f aca="false">IF(B982="","NÃO COMPRA","COMPRA")</f>
        <v>NÃO COMPRA</v>
      </c>
      <c r="D982" s="1" t="n">
        <f aca="false">IFERROR(VLOOKUP(A982,Pedido!$A:$C,3,0),0)</f>
        <v>0</v>
      </c>
      <c r="E982" s="5" t="n">
        <f aca="false">IFERROR(VLOOKUP(A982,Pedido!$A:$E,5,0),0)</f>
        <v>0</v>
      </c>
      <c r="F982" s="1" t="s">
        <v>9</v>
      </c>
      <c r="G982" s="1" t="s">
        <v>377</v>
      </c>
      <c r="H982" s="1" t="s">
        <v>197</v>
      </c>
      <c r="I982" s="1" t="s">
        <v>53</v>
      </c>
      <c r="J982" s="1" t="s">
        <v>2146</v>
      </c>
      <c r="K982" s="1" t="n">
        <v>86</v>
      </c>
      <c r="L982" s="11" t="n">
        <v>0.954488962436555</v>
      </c>
      <c r="M982" s="1" t="n">
        <f aca="false">SUMIF(Relatorio_AK!$A:$A,A982,Relatorio_AK!$B:$B)</f>
        <v>86</v>
      </c>
      <c r="N982" s="1" t="str">
        <f aca="false">IF(M982=K982,"OK","DIF")</f>
        <v>OK</v>
      </c>
      <c r="O982" s="12" t="str">
        <f aca="false">IFERROR(VLOOKUP($A982,Lista_Starke!$A:$E,3,0),"NÃO ESTÁ NA LISTA")</f>
        <v>FORD: Ranger 2.0 16V Turbo Diesel 23/...</v>
      </c>
      <c r="P982" s="12" t="str">
        <f aca="false">IFERROR(VLOOKUP($A982,Lista_Starke!$A:$E,2,0),"NÃO ESTÁ NA LISTA")</f>
        <v>BOMBA D'ÁGUA</v>
      </c>
    </row>
    <row r="983" customFormat="false" ht="15" hidden="false" customHeight="true" outlineLevel="0" collapsed="false">
      <c r="A983" s="10" t="s">
        <v>2147</v>
      </c>
      <c r="B983" s="10" t="str">
        <f aca="false">IFERROR(VLOOKUP(A983,Pedido!$A:$B,2,0),"")</f>
        <v/>
      </c>
      <c r="C983" s="10" t="str">
        <f aca="false">IF(B983="","NÃO COMPRA","COMPRA")</f>
        <v>NÃO COMPRA</v>
      </c>
      <c r="D983" s="1" t="n">
        <f aca="false">IFERROR(VLOOKUP(A983,Pedido!$A:$C,3,0),0)</f>
        <v>0</v>
      </c>
      <c r="E983" s="5" t="n">
        <f aca="false">IFERROR(VLOOKUP(A983,Pedido!$A:$E,5,0),0)</f>
        <v>0</v>
      </c>
      <c r="F983" s="1" t="s">
        <v>9</v>
      </c>
      <c r="G983" s="1" t="s">
        <v>1659</v>
      </c>
      <c r="H983" s="1" t="s">
        <v>197</v>
      </c>
      <c r="I983" s="1" t="s">
        <v>137</v>
      </c>
      <c r="K983" s="1" t="n">
        <v>86</v>
      </c>
      <c r="L983" s="11" t="n">
        <v>0.954635981790115</v>
      </c>
      <c r="M983" s="1" t="n">
        <f aca="false">SUMIF(Relatorio_AK!$A:$A,A983,Relatorio_AK!$B:$B)</f>
        <v>86</v>
      </c>
      <c r="N983" s="1" t="str">
        <f aca="false">IF(M983=K983,"OK","DIF")</f>
        <v>OK</v>
      </c>
      <c r="O983" s="13" t="str">
        <f aca="false">IFERROR(VLOOKUP($A983,Lista_Starke!$A:$E,3,0),"NÃO ESTÁ NA LISTA")</f>
        <v>CITROEN: Jumper 2.2 16V 19/...
FIAT: Ducato 2.2 16V 21/...
PEUGEOT: Boxer 2.2 16V 19/...</v>
      </c>
      <c r="P983" s="12" t="str">
        <f aca="false">IFERROR(VLOOKUP($A983,Lista_Starke!$A:$E,2,0),"NÃO ESTÁ NA LISTA")</f>
        <v>BOMBA D'ÁGUA</v>
      </c>
    </row>
    <row r="984" customFormat="false" ht="15" hidden="false" customHeight="true" outlineLevel="0" collapsed="false">
      <c r="A984" s="10" t="s">
        <v>2148</v>
      </c>
      <c r="B984" s="10" t="str">
        <f aca="false">IFERROR(VLOOKUP(A984,Pedido!$A:$B,2,0),"")</f>
        <v/>
      </c>
      <c r="C984" s="10" t="str">
        <f aca="false">IF(B984="","NÃO COMPRA","COMPRA")</f>
        <v>NÃO COMPRA</v>
      </c>
      <c r="D984" s="1" t="n">
        <f aca="false">IFERROR(VLOOKUP(A984,Pedido!$A:$C,3,0),0)</f>
        <v>0</v>
      </c>
      <c r="E984" s="5" t="n">
        <f aca="false">IFERROR(VLOOKUP(A984,Pedido!$A:$E,5,0),0)</f>
        <v>0</v>
      </c>
      <c r="F984" s="1" t="s">
        <v>9</v>
      </c>
      <c r="G984" s="1" t="s">
        <v>1390</v>
      </c>
      <c r="H984" s="1" t="s">
        <v>1358</v>
      </c>
      <c r="I984" s="1" t="s">
        <v>42</v>
      </c>
      <c r="J984" s="1" t="s">
        <v>2149</v>
      </c>
      <c r="K984" s="1" t="n">
        <v>85</v>
      </c>
      <c r="L984" s="11" t="n">
        <v>0.954781291616307</v>
      </c>
      <c r="M984" s="1" t="n">
        <f aca="false">SUMIF(Relatorio_AK!$A:$A,A984,Relatorio_AK!$B:$B)</f>
        <v>85</v>
      </c>
      <c r="N984" s="1" t="str">
        <f aca="false">IF(M984=K984,"OK","DIF")</f>
        <v>OK</v>
      </c>
      <c r="O984" s="13" t="str">
        <f aca="false">IFERROR(VLOOKUP($A984,Lista_Starke!$A:$E,3,0),"NÃO ESTÁ NA LISTA")</f>
        <v>RENAULT: Clio  05/16
RENAULT: Symbol  09/13</v>
      </c>
      <c r="P984" s="12" t="str">
        <f aca="false">IFERROR(VLOOKUP($A984,Lista_Starke!$A:$E,2,0),"NÃO ESTÁ NA LISTA")</f>
        <v>BANDEJA INFERIOR COMPLETA LE</v>
      </c>
    </row>
    <row r="985" customFormat="false" ht="15" hidden="false" customHeight="true" outlineLevel="0" collapsed="false">
      <c r="A985" s="10" t="s">
        <v>2150</v>
      </c>
      <c r="B985" s="10" t="str">
        <f aca="false">IFERROR(VLOOKUP(A985,Pedido!$A:$B,2,0),"")</f>
        <v/>
      </c>
      <c r="C985" s="10" t="str">
        <f aca="false">IF(B985="","NÃO COMPRA","COMPRA")</f>
        <v>NÃO COMPRA</v>
      </c>
      <c r="D985" s="1" t="n">
        <f aca="false">IFERROR(VLOOKUP(A985,Pedido!$A:$C,3,0),0)</f>
        <v>0</v>
      </c>
      <c r="E985" s="5" t="n">
        <f aca="false">IFERROR(VLOOKUP(A985,Pedido!$A:$E,5,0),0)</f>
        <v>0</v>
      </c>
      <c r="F985" s="1" t="s">
        <v>9</v>
      </c>
      <c r="G985" s="1" t="s">
        <v>2151</v>
      </c>
      <c r="H985" s="1" t="s">
        <v>600</v>
      </c>
      <c r="I985" s="1" t="s">
        <v>2152</v>
      </c>
      <c r="J985" s="1" t="s">
        <v>2153</v>
      </c>
      <c r="K985" s="1" t="n">
        <v>85</v>
      </c>
      <c r="L985" s="11" t="n">
        <v>0.954926601442499</v>
      </c>
      <c r="M985" s="1" t="n">
        <f aca="false">SUMIF(Relatorio_AK!$A:$A,A985,Relatorio_AK!$B:$B)</f>
        <v>85</v>
      </c>
      <c r="N985" s="1" t="str">
        <f aca="false">IF(M985=K985,"OK","DIF")</f>
        <v>OK</v>
      </c>
      <c r="O985" s="13" t="str">
        <f aca="false">IFERROR(VLOOKUP($A985,Lista_Starke!$A:$E,3,0),"NÃO ESTÁ NA LISTA")</f>
        <v>AGRALE: Marrua AM 100 2.8 Diesel Cummins ISF 12/15
AGRALE: Marrua AM 150 CD 2.8 Diesel Cummins ISF 12/15
AGRALE: Marrua AM 200 2.8 Diesel Cumins ISF 12/...
AGRALE: Marrua AM 300 2.8 Diesel Cumins ISF 15/...
AGRALE: Marrua AM2/AM11/AM21/AM23/AM31 2.8 Diesel Cumins ISF 12/...
FORD: F350 2.8 Diesel Cummins ISF 14/...
FORD: F4000 2.8 Diesel Cummins ISF 14/...
FOTON: Aumark 3.5 11DT/11ST/12DT/14DT/14ST 2.8 Diesel Cummins ISF 16/...
FOTON: Aumark 3.50AK 2.8 Diesel Cummins ISF 14/15
FOTON: Aumark S Citytruck 6.5-15 2.8 Diesel Cummins ISF 21/...
FOTON: Minitruck 3.5 12DT/14DT/14ST 2.8 Diesel Cummins ISF 17/...
JAC MOTORS: JAC T140 2.8 Diesel Cumins ISF 12/17
MARCOPOLO: Volare Cinco Escolar 2.8 Diesel Cumins ISF 13/19
MARCOPOLO: Volare Cinco Executivo 2.8 Diesel Cumins ISF 13/...
MARCOPOLO: Volare Cinco Executivo Plus 2.8 Diesel Cumins ISF 13/18
VOLKSWAGEN: Delive 4.160 Express 2.8 Diesel Cumins ISF 20/...
VOLKSWAGEN: Delivery 4.150 Express 2.8 Diesel Cumins ISF 18/...
VOLKSWAGEN: Delivery 6.160 Express 2.8 Diesel Cumins ISF 18/...</v>
      </c>
      <c r="P985" s="12" t="str">
        <f aca="false">IFERROR(VLOOKUP($A985,Lista_Starke!$A:$E,2,0),"NÃO ESTÁ NA LISTA")</f>
        <v>BOMBA DE VÁCUO FREIO</v>
      </c>
    </row>
    <row r="986" customFormat="false" ht="15" hidden="false" customHeight="true" outlineLevel="0" collapsed="false">
      <c r="A986" s="10" t="s">
        <v>2154</v>
      </c>
      <c r="B986" s="10" t="str">
        <f aca="false">IFERROR(VLOOKUP(A986,Pedido!$A:$B,2,0),"")</f>
        <v/>
      </c>
      <c r="C986" s="10" t="str">
        <f aca="false">IF(B986="","NÃO COMPRA","COMPRA")</f>
        <v>NÃO COMPRA</v>
      </c>
      <c r="D986" s="1" t="n">
        <f aca="false">IFERROR(VLOOKUP(A986,Pedido!$A:$C,3,0),0)</f>
        <v>0</v>
      </c>
      <c r="E986" s="5" t="n">
        <f aca="false">IFERROR(VLOOKUP(A986,Pedido!$A:$E,5,0),0)</f>
        <v>0</v>
      </c>
      <c r="F986" s="1" t="s">
        <v>9</v>
      </c>
      <c r="G986" s="1" t="s">
        <v>1442</v>
      </c>
      <c r="H986" s="1" t="s">
        <v>1131</v>
      </c>
      <c r="I986" s="1" t="s">
        <v>226</v>
      </c>
      <c r="J986" s="1" t="s">
        <v>2155</v>
      </c>
      <c r="K986" s="1" t="n">
        <v>85</v>
      </c>
      <c r="L986" s="11" t="n">
        <v>0.955071911268692</v>
      </c>
      <c r="M986" s="1" t="n">
        <f aca="false">SUMIF(Relatorio_AK!$A:$A,A986,Relatorio_AK!$B:$B)</f>
        <v>85</v>
      </c>
      <c r="N986" s="1" t="str">
        <f aca="false">IF(M986=K986,"OK","DIF")</f>
        <v>OK</v>
      </c>
      <c r="O986" s="13" t="str">
        <f aca="false">IFERROR(VLOOKUP($A986,Lista_Starke!$A:$E,3,0),"NÃO ESTÁ NA LISTA")</f>
        <v>AUDI: A3 2.0 16V FSI 150CV 03/08
AUDI: A4 2.0 16V FSI 04/08
VOLKSWAGEN: Jetta 2.5 20V 5 cil 07/11
VOLKSWAGEN: Passat 2.0 16V B6 05/10</v>
      </c>
      <c r="P986" s="12" t="str">
        <f aca="false">IFERROR(VLOOKUP($A986,Lista_Starke!$A:$E,2,0),"NÃO ESTÁ NA LISTA")</f>
        <v>BOMBA DE ALTA PRESSÃO GDI</v>
      </c>
    </row>
    <row r="987" customFormat="false" ht="15" hidden="false" customHeight="true" outlineLevel="0" collapsed="false">
      <c r="A987" s="10" t="s">
        <v>2156</v>
      </c>
      <c r="B987" s="10" t="str">
        <f aca="false">IFERROR(VLOOKUP(A987,Pedido!$A:$B,2,0),"")</f>
        <v/>
      </c>
      <c r="C987" s="10" t="str">
        <f aca="false">IF(B987="","NÃO COMPRA","COMPRA")</f>
        <v>NÃO COMPRA</v>
      </c>
      <c r="D987" s="1" t="n">
        <f aca="false">IFERROR(VLOOKUP(A987,Pedido!$A:$C,3,0),0)</f>
        <v>0</v>
      </c>
      <c r="E987" s="5" t="n">
        <f aca="false">IFERROR(VLOOKUP(A987,Pedido!$A:$E,5,0),0)</f>
        <v>0</v>
      </c>
      <c r="F987" s="1" t="s">
        <v>9</v>
      </c>
      <c r="G987" s="1" t="s">
        <v>1659</v>
      </c>
      <c r="H987" s="1" t="s">
        <v>197</v>
      </c>
      <c r="I987" s="1" t="s">
        <v>46</v>
      </c>
      <c r="J987" s="1" t="s">
        <v>2157</v>
      </c>
      <c r="K987" s="1" t="n">
        <v>85</v>
      </c>
      <c r="L987" s="11" t="n">
        <v>0.955217221094884</v>
      </c>
      <c r="M987" s="1" t="n">
        <f aca="false">SUMIF(Relatorio_AK!$A:$A,A987,Relatorio_AK!$B:$B)</f>
        <v>85</v>
      </c>
      <c r="N987" s="1" t="str">
        <f aca="false">IF(M987=K987,"OK","DIF")</f>
        <v>OK</v>
      </c>
      <c r="O987" s="13" t="str">
        <f aca="false">IFERROR(VLOOKUP($A987,Lista_Starke!$A:$E,3,0),"NÃO ESTÁ NA LISTA")</f>
        <v>FIAT: Bravo 1.8 16V Etorq 11/16
FIAT: Doblo 1.8 16V Etorq 11/...
FIAT: Grand Siena 1.6 16V Etorq 13/...
FIAT: Idea 1.8 16V Etorq 09/...
FIAT: Linea 1.8 16V Etorq 09/...
FIAT: Palio 1.6 16V Etorq 11/...
FIAT: Palio 1.8 16V Etorq 11/...
FIAT: Palio Weekend 1.8 16V Etorq 11/...
FIAT: Punto 1.6 16V Etorq 11/...
FIAT: Punto 1.8 16V Etorq 11/...
FIAT: Siena 1.6 16V Etorq 11/...
FIAT: Siena 1.8 16V Etorq 11/...</v>
      </c>
      <c r="P987" s="12" t="str">
        <f aca="false">IFERROR(VLOOKUP($A987,Lista_Starke!$A:$E,2,0),"NÃO ESTÁ NA LISTA")</f>
        <v>BOMBA D'ÁGUA</v>
      </c>
    </row>
    <row r="988" customFormat="false" ht="15" hidden="false" customHeight="true" outlineLevel="0" collapsed="false">
      <c r="A988" s="10" t="s">
        <v>2158</v>
      </c>
      <c r="B988" s="10" t="str">
        <f aca="false">IFERROR(VLOOKUP(A988,Pedido!$A:$B,2,0),"")</f>
        <v/>
      </c>
      <c r="C988" s="10" t="str">
        <f aca="false">IF(B988="","NÃO COMPRA","COMPRA")</f>
        <v>NÃO COMPRA</v>
      </c>
      <c r="D988" s="1" t="n">
        <f aca="false">IFERROR(VLOOKUP(A988,Pedido!$A:$C,3,0),0)</f>
        <v>0</v>
      </c>
      <c r="E988" s="5" t="n">
        <f aca="false">IFERROR(VLOOKUP(A988,Pedido!$A:$E,5,0),0)</f>
        <v>0</v>
      </c>
      <c r="F988" s="1" t="s">
        <v>9</v>
      </c>
      <c r="G988" s="1" t="s">
        <v>2041</v>
      </c>
      <c r="H988" s="1" t="s">
        <v>1358</v>
      </c>
      <c r="I988" s="1" t="s">
        <v>77</v>
      </c>
      <c r="J988" s="1" t="s">
        <v>2159</v>
      </c>
      <c r="K988" s="1" t="n">
        <v>84</v>
      </c>
      <c r="L988" s="11" t="n">
        <v>0.955360821393709</v>
      </c>
      <c r="M988" s="1" t="n">
        <f aca="false">SUMIF(Relatorio_AK!$A:$A,A988,Relatorio_AK!$B:$B)</f>
        <v>84</v>
      </c>
      <c r="N988" s="1" t="str">
        <f aca="false">IF(M988=K988,"OK","DIF")</f>
        <v>OK</v>
      </c>
      <c r="O988" s="13" t="str">
        <f aca="false">IFERROR(VLOOKUP($A988,Lista_Starke!$A:$E,3,0),"NÃO ESTÁ NA LISTA")</f>
        <v>CITROEN: Aircross  10/20
CITROEN: C3  03/20
CITROEN: C3 Picasso  11/15
CITROEN: C4 Cactus  14/...
CITROEN: DS3  12/16
PEUGEOT: 2008  15/21
PEUGEOT: 208  13/20</v>
      </c>
      <c r="P988" s="12" t="str">
        <f aca="false">IFERROR(VLOOKUP($A988,Lista_Starke!$A:$E,2,0),"NÃO ESTÁ NA LISTA")</f>
        <v>BANDEJA INFERIOR COMPLETA LE</v>
      </c>
    </row>
    <row r="989" customFormat="false" ht="15" hidden="false" customHeight="true" outlineLevel="0" collapsed="false">
      <c r="A989" s="10" t="s">
        <v>2160</v>
      </c>
      <c r="B989" s="10" t="str">
        <f aca="false">IFERROR(VLOOKUP(A989,Pedido!$A:$B,2,0),"")</f>
        <v/>
      </c>
      <c r="C989" s="10" t="str">
        <f aca="false">IF(B989="","NÃO COMPRA","COMPRA")</f>
        <v>NÃO COMPRA</v>
      </c>
      <c r="D989" s="1" t="n">
        <f aca="false">IFERROR(VLOOKUP(A989,Pedido!$A:$C,3,0),0)</f>
        <v>0</v>
      </c>
      <c r="E989" s="5" t="n">
        <f aca="false">IFERROR(VLOOKUP(A989,Pedido!$A:$E,5,0),0)</f>
        <v>0</v>
      </c>
      <c r="F989" s="1" t="s">
        <v>9</v>
      </c>
      <c r="G989" s="1" t="s">
        <v>349</v>
      </c>
      <c r="H989" s="1" t="s">
        <v>197</v>
      </c>
      <c r="I989" s="1" t="s">
        <v>57</v>
      </c>
      <c r="J989" s="1" t="s">
        <v>2161</v>
      </c>
      <c r="K989" s="1" t="n">
        <v>84</v>
      </c>
      <c r="L989" s="11" t="n">
        <v>0.955504421692535</v>
      </c>
      <c r="M989" s="1" t="n">
        <f aca="false">SUMIF(Relatorio_AK!$A:$A,A989,Relatorio_AK!$B:$B)</f>
        <v>84</v>
      </c>
      <c r="N989" s="1" t="str">
        <f aca="false">IF(M989=K989,"OK","DIF")</f>
        <v>OK</v>
      </c>
      <c r="O989" s="13" t="str">
        <f aca="false">IFERROR(VLOOKUP($A989,Lista_Starke!$A:$E,3,0),"NÃO ESTÁ NA LISTA")</f>
        <v>GM: S10 2.8 16V Turbodiesel Duramax 180cv 13/13
GM: S10 2.8 16V Turbodiesel Duramax 200cv 14/...
GM: Trailblazer 2.8 16V Turbodiesel Duramax 180cv 13/13
GM: Trailblazer 2.8 16V Turbodiesel Duramax 200cv 14/...</v>
      </c>
      <c r="P989" s="12" t="str">
        <f aca="false">IFERROR(VLOOKUP($A989,Lista_Starke!$A:$E,2,0),"NÃO ESTÁ NA LISTA")</f>
        <v>BOMBA D'ÁGUA</v>
      </c>
    </row>
    <row r="990" customFormat="false" ht="15" hidden="false" customHeight="true" outlineLevel="0" collapsed="false">
      <c r="A990" s="10" t="s">
        <v>2162</v>
      </c>
      <c r="B990" s="10" t="str">
        <f aca="false">IFERROR(VLOOKUP(A990,Pedido!$A:$B,2,0),"")</f>
        <v/>
      </c>
      <c r="C990" s="10" t="str">
        <f aca="false">IF(B990="","NÃO COMPRA","COMPRA")</f>
        <v>NÃO COMPRA</v>
      </c>
      <c r="D990" s="1" t="n">
        <f aca="false">IFERROR(VLOOKUP(A990,Pedido!$A:$C,3,0),0)</f>
        <v>0</v>
      </c>
      <c r="E990" s="5" t="n">
        <f aca="false">IFERROR(VLOOKUP(A990,Pedido!$A:$E,5,0),0)</f>
        <v>0</v>
      </c>
      <c r="F990" s="1" t="s">
        <v>9</v>
      </c>
      <c r="G990" s="1" t="s">
        <v>1822</v>
      </c>
      <c r="H990" s="1" t="s">
        <v>96</v>
      </c>
      <c r="I990" s="1" t="s">
        <v>373</v>
      </c>
      <c r="J990" s="1" t="s">
        <v>1824</v>
      </c>
      <c r="K990" s="1" t="n">
        <v>84</v>
      </c>
      <c r="L990" s="11" t="n">
        <v>0.95564802199136</v>
      </c>
      <c r="M990" s="1" t="n">
        <f aca="false">SUMIF(Relatorio_AK!$A:$A,A990,Relatorio_AK!$B:$B)</f>
        <v>84</v>
      </c>
      <c r="N990" s="1" t="str">
        <f aca="false">IF(M990=K990,"OK","DIF")</f>
        <v>OK</v>
      </c>
      <c r="O990" s="13" t="str">
        <f aca="false">IFERROR(VLOOKUP($A990,Lista_Starke!$A:$E,3,0),"NÃO ESTÁ NA LISTA")</f>
        <v>MERCEDES-BENZ: C180 (W203) 1.8 16V M271.976 00/07
MERCEDES-BENZ: C200 (W203) 1.8 16V M271.940 00/07</v>
      </c>
      <c r="P990" s="12" t="str">
        <f aca="false">IFERROR(VLOOKUP($A990,Lista_Starke!$A:$E,2,0),"NÃO ESTÁ NA LISTA")</f>
        <v>BOMBA DE VÁCUO</v>
      </c>
    </row>
    <row r="991" customFormat="false" ht="15" hidden="false" customHeight="true" outlineLevel="0" collapsed="false">
      <c r="A991" s="10" t="s">
        <v>2163</v>
      </c>
      <c r="B991" s="10" t="str">
        <f aca="false">IFERROR(VLOOKUP(A991,Pedido!$A:$B,2,0),"")</f>
        <v/>
      </c>
      <c r="C991" s="10" t="str">
        <f aca="false">IF(B991="","NÃO COMPRA","COMPRA")</f>
        <v>NÃO COMPRA</v>
      </c>
      <c r="D991" s="1" t="n">
        <f aca="false">IFERROR(VLOOKUP(A991,Pedido!$A:$C,3,0),0)</f>
        <v>0</v>
      </c>
      <c r="E991" s="5" t="n">
        <f aca="false">IFERROR(VLOOKUP(A991,Pedido!$A:$E,5,0),0)</f>
        <v>0</v>
      </c>
      <c r="F991" s="1" t="s">
        <v>9</v>
      </c>
      <c r="G991" s="1" t="s">
        <v>2116</v>
      </c>
      <c r="H991" s="1" t="s">
        <v>1131</v>
      </c>
      <c r="I991" s="1" t="s">
        <v>1157</v>
      </c>
      <c r="J991" s="1" t="s">
        <v>2164</v>
      </c>
      <c r="K991" s="1" t="n">
        <v>84</v>
      </c>
      <c r="L991" s="11" t="n">
        <v>0.955791622290186</v>
      </c>
      <c r="M991" s="1" t="n">
        <f aca="false">SUMIF(Relatorio_AK!$A:$A,A991,Relatorio_AK!$B:$B)</f>
        <v>84</v>
      </c>
      <c r="N991" s="1" t="str">
        <f aca="false">IF(M991=K991,"OK","DIF")</f>
        <v>OK</v>
      </c>
      <c r="O991" s="13" t="str">
        <f aca="false">IFERROR(VLOOKUP($A991,Lista_Starke!$A:$E,3,0),"NÃO ESTÁ NA LISTA")</f>
        <v>BMW: 116i (F20) 1.6 16V N13B16A 10/...
BMW: 116i (F21) 1.6 16V N13B16A 11/...
BMW: 118i (F20) 1.6 16V N13B16A 10/...
BMW: 118i (F21) 1.6 16V N13B16A 12/...
BMW: 120i (F20) 2.0 16V N13B16A 15/...
BMW: 120i (F21) 2.0 16V N13B16A 15/...
BMW: 316i (F30/F80) 1.6 16V N13B16A 12/16
BMW: 320i (F30/F80) 1.6 16V N13B16A 12/16</v>
      </c>
      <c r="P991" s="12" t="str">
        <f aca="false">IFERROR(VLOOKUP($A991,Lista_Starke!$A:$E,2,0),"NÃO ESTÁ NA LISTA")</f>
        <v>BOMBA DE ALTA PRESSÃO GDI</v>
      </c>
    </row>
    <row r="992" customFormat="false" ht="15" hidden="false" customHeight="true" outlineLevel="0" collapsed="false">
      <c r="A992" s="10" t="s">
        <v>2165</v>
      </c>
      <c r="B992" s="10" t="str">
        <f aca="false">IFERROR(VLOOKUP(A992,Pedido!$A:$B,2,0),"")</f>
        <v/>
      </c>
      <c r="C992" s="10" t="str">
        <f aca="false">IF(B992="","NÃO COMPRA","COMPRA")</f>
        <v>NÃO COMPRA</v>
      </c>
      <c r="D992" s="1" t="n">
        <f aca="false">IFERROR(VLOOKUP(A992,Pedido!$A:$C,3,0),0)</f>
        <v>0</v>
      </c>
      <c r="E992" s="5" t="n">
        <f aca="false">IFERROR(VLOOKUP(A992,Pedido!$A:$E,5,0),0)</f>
        <v>0</v>
      </c>
      <c r="F992" s="1" t="s">
        <v>9</v>
      </c>
      <c r="G992" s="1" t="s">
        <v>1928</v>
      </c>
      <c r="H992" s="1" t="s">
        <v>1358</v>
      </c>
      <c r="I992" s="1" t="s">
        <v>77</v>
      </c>
      <c r="J992" s="1" t="s">
        <v>2166</v>
      </c>
      <c r="K992" s="1" t="n">
        <v>83</v>
      </c>
      <c r="L992" s="11" t="n">
        <v>0.955933513061644</v>
      </c>
      <c r="M992" s="1" t="n">
        <f aca="false">SUMIF(Relatorio_AK!$A:$A,A992,Relatorio_AK!$B:$B)</f>
        <v>83</v>
      </c>
      <c r="N992" s="1" t="str">
        <f aca="false">IF(M992=K992,"OK","DIF")</f>
        <v>OK</v>
      </c>
      <c r="O992" s="13" t="str">
        <f aca="false">IFERROR(VLOOKUP($A992,Lista_Starke!$A:$E,3,0),"NÃO ESTÁ NA LISTA")</f>
        <v>CITROEN: C3  12/18
CITROEN: C3 Picasso  12/...
PEUGEOT: 2008  13/18
PEUGEOT: 208  13/16</v>
      </c>
      <c r="P992" s="12" t="str">
        <f aca="false">IFERROR(VLOOKUP($A992,Lista_Starke!$A:$E,2,0),"NÃO ESTÁ NA LISTA")</f>
        <v>BANDEJA INFERIOR COMPLETA LD</v>
      </c>
    </row>
    <row r="993" customFormat="false" ht="15" hidden="false" customHeight="true" outlineLevel="0" collapsed="false">
      <c r="A993" s="10" t="s">
        <v>2167</v>
      </c>
      <c r="B993" s="10" t="str">
        <f aca="false">IFERROR(VLOOKUP(A993,Pedido!$A:$B,2,0),"")</f>
        <v/>
      </c>
      <c r="C993" s="10" t="str">
        <f aca="false">IF(B993="","NÃO COMPRA","COMPRA")</f>
        <v>NÃO COMPRA</v>
      </c>
      <c r="D993" s="1" t="n">
        <f aca="false">IFERROR(VLOOKUP(A993,Pedido!$A:$C,3,0),0)</f>
        <v>0</v>
      </c>
      <c r="E993" s="5" t="n">
        <f aca="false">IFERROR(VLOOKUP(A993,Pedido!$A:$E,5,0),0)</f>
        <v>0</v>
      </c>
      <c r="F993" s="1" t="s">
        <v>9</v>
      </c>
      <c r="G993" s="1" t="s">
        <v>377</v>
      </c>
      <c r="H993" s="1" t="s">
        <v>197</v>
      </c>
      <c r="I993" s="1" t="s">
        <v>53</v>
      </c>
      <c r="K993" s="1" t="n">
        <v>83</v>
      </c>
      <c r="L993" s="11" t="n">
        <v>0.956075403833103</v>
      </c>
      <c r="M993" s="1" t="n">
        <f aca="false">SUMIF(Relatorio_AK!$A:$A,A993,Relatorio_AK!$B:$B)</f>
        <v>83</v>
      </c>
      <c r="N993" s="1" t="str">
        <f aca="false">IF(M993=K993,"OK","DIF")</f>
        <v>OK</v>
      </c>
      <c r="O993" s="12" t="str">
        <f aca="false">IFERROR(VLOOKUP($A993,Lista_Starke!$A:$E,3,0),"NÃO ESTÁ NA LISTA")</f>
        <v>FORD: Ranger 2.2 16V TDCi 13/...</v>
      </c>
      <c r="P993" s="12" t="str">
        <f aca="false">IFERROR(VLOOKUP($A993,Lista_Starke!$A:$E,2,0),"NÃO ESTÁ NA LISTA")</f>
        <v>BOMBA D'ÁGUA</v>
      </c>
    </row>
    <row r="994" customFormat="false" ht="15" hidden="false" customHeight="true" outlineLevel="0" collapsed="false">
      <c r="A994" s="10" t="s">
        <v>2168</v>
      </c>
      <c r="B994" s="10" t="str">
        <f aca="false">IFERROR(VLOOKUP(A994,Pedido!$A:$B,2,0),"")</f>
        <v/>
      </c>
      <c r="C994" s="10" t="str">
        <f aca="false">IF(B994="","NÃO COMPRA","COMPRA")</f>
        <v>NÃO COMPRA</v>
      </c>
      <c r="D994" s="1" t="n">
        <f aca="false">IFERROR(VLOOKUP(A994,Pedido!$A:$C,3,0),0)</f>
        <v>0</v>
      </c>
      <c r="E994" s="5" t="n">
        <f aca="false">IFERROR(VLOOKUP(A994,Pedido!$A:$E,5,0),0)</f>
        <v>0</v>
      </c>
      <c r="F994" s="1" t="s">
        <v>9</v>
      </c>
      <c r="G994" s="1" t="s">
        <v>1257</v>
      </c>
      <c r="H994" s="1" t="s">
        <v>845</v>
      </c>
      <c r="I994" s="1" t="s">
        <v>2169</v>
      </c>
      <c r="J994" s="1" t="s">
        <v>2170</v>
      </c>
      <c r="K994" s="1" t="n">
        <v>83</v>
      </c>
      <c r="L994" s="11" t="n">
        <v>0.956217294604561</v>
      </c>
      <c r="M994" s="1" t="n">
        <f aca="false">SUMIF(Relatorio_AK!$A:$A,A994,Relatorio_AK!$B:$B)</f>
        <v>83</v>
      </c>
      <c r="N994" s="1" t="str">
        <f aca="false">IF(M994=K994,"OK","DIF")</f>
        <v>OK</v>
      </c>
      <c r="O994" s="13" t="str">
        <f aca="false">IFERROR(VLOOKUP($A994,Lista_Starke!$A:$E,3,0),"NÃO ESTÁ NA LISTA")</f>
        <v>MITSUBISHI: ASX 2.0 16V 11/...
MITSUBISHI: Lancer 2.0 16V 12/...
MITSUBISHI: Outlander  06/...
SUBARU: Impreza 2.0 / 2.5 06/...
SUBARU: Legacy 2.0 / 2.5 10/...</v>
      </c>
      <c r="P994" s="12" t="str">
        <f aca="false">IFERROR(VLOOKUP($A994,Lista_Starke!$A:$E,2,0),"NÃO ESTÁ NA LISTA")</f>
        <v>SAPATA DE FREIO DE MÃO</v>
      </c>
    </row>
    <row r="995" customFormat="false" ht="15" hidden="false" customHeight="true" outlineLevel="0" collapsed="false">
      <c r="A995" s="10" t="s">
        <v>2171</v>
      </c>
      <c r="B995" s="10" t="str">
        <f aca="false">IFERROR(VLOOKUP(A995,Pedido!$A:$B,2,0),"")</f>
        <v/>
      </c>
      <c r="C995" s="10" t="str">
        <f aca="false">IF(B995="","NÃO COMPRA","COMPRA")</f>
        <v>NÃO COMPRA</v>
      </c>
      <c r="D995" s="1" t="n">
        <f aca="false">IFERROR(VLOOKUP(A995,Pedido!$A:$C,3,0),0)</f>
        <v>0</v>
      </c>
      <c r="E995" s="5" t="n">
        <f aca="false">IFERROR(VLOOKUP(A995,Pedido!$A:$E,5,0),0)</f>
        <v>0</v>
      </c>
      <c r="F995" s="1" t="s">
        <v>9</v>
      </c>
      <c r="G995" s="1" t="s">
        <v>2172</v>
      </c>
      <c r="H995" s="1" t="s">
        <v>1714</v>
      </c>
      <c r="I995" s="1" t="s">
        <v>606</v>
      </c>
      <c r="J995" s="1" t="s">
        <v>2173</v>
      </c>
      <c r="K995" s="1" t="n">
        <v>83</v>
      </c>
      <c r="L995" s="11" t="n">
        <v>0.956359185376019</v>
      </c>
      <c r="M995" s="1" t="n">
        <f aca="false">SUMIF(Relatorio_AK!$A:$A,A995,Relatorio_AK!$B:$B)</f>
        <v>83</v>
      </c>
      <c r="N995" s="1" t="str">
        <f aca="false">IF(M995=K995,"OK","DIF")</f>
        <v>OK</v>
      </c>
      <c r="O995" s="13" t="str">
        <f aca="false">IFERROR(VLOOKUP($A995,Lista_Starke!$A:$E,3,0),"NÃO ESTÁ NA LISTA")</f>
        <v>GM: Blazer 2.8 4 cil Turbo Diesel MWM 4.07T / 4.07TCA 00/12
GM: S10 2.8 4 cil Turbo Diesel MWM 4.07T / 4.07TCA 00/12
NISSAN: Frontier 2.8 4 cil Turbo Diesel MWM 4.07T / 4.07TCA 02/…
NISSAN: X Terra 2.8 4 cil Turbo Diesel MWM 4.07T / 4.07TCA 02/…
TROLLER: T4 2.8 4 cil Diesel MWM 4.07T / 4.07TCA 98/…</v>
      </c>
      <c r="P995" s="12" t="str">
        <f aca="false">IFERROR(VLOOKUP($A995,Lista_Starke!$A:$E,2,0),"NÃO ESTÁ NA LISTA")</f>
        <v>POLIA VISCOSA</v>
      </c>
    </row>
    <row r="996" customFormat="false" ht="15" hidden="false" customHeight="true" outlineLevel="0" collapsed="false">
      <c r="A996" s="10" t="s">
        <v>2174</v>
      </c>
      <c r="B996" s="10" t="str">
        <f aca="false">IFERROR(VLOOKUP(A996,Pedido!$A:$B,2,0),"")</f>
        <v/>
      </c>
      <c r="C996" s="10" t="str">
        <f aca="false">IF(B996="","NÃO COMPRA","COMPRA")</f>
        <v>NÃO COMPRA</v>
      </c>
      <c r="D996" s="1" t="n">
        <f aca="false">IFERROR(VLOOKUP(A996,Pedido!$A:$C,3,0),0)</f>
        <v>0</v>
      </c>
      <c r="E996" s="5" t="n">
        <f aca="false">IFERROR(VLOOKUP(A996,Pedido!$A:$E,5,0),0)</f>
        <v>0</v>
      </c>
      <c r="F996" s="1" t="s">
        <v>9</v>
      </c>
      <c r="G996" s="1" t="s">
        <v>2175</v>
      </c>
      <c r="H996" s="1" t="s">
        <v>1073</v>
      </c>
      <c r="I996" s="1" t="s">
        <v>50</v>
      </c>
      <c r="J996" s="1" t="s">
        <v>2176</v>
      </c>
      <c r="K996" s="1" t="n">
        <v>83</v>
      </c>
      <c r="L996" s="11" t="n">
        <v>0.956501076147478</v>
      </c>
      <c r="M996" s="1" t="n">
        <f aca="false">SUMIF(Relatorio_AK!$A:$A,A996,Relatorio_AK!$B:$B)</f>
        <v>83</v>
      </c>
      <c r="N996" s="1" t="str">
        <f aca="false">IF(M996=K996,"OK","DIF")</f>
        <v>OK</v>
      </c>
      <c r="O996" s="13" t="str">
        <f aca="false">IFERROR(VLOOKUP($A996,Lista_Starke!$A:$E,3,0),"NÃO ESTÁ NA LISTA")</f>
        <v>HONDA: City 1.5 16V 10/…
HONDA: Civic 1.6 16V SOHC 01/05
HONDA: Civic 1.7 16V VTEC 01/05
HONDA: Civic 1.8 16V 00/…
HONDA: Fit 1.4 16V / 1.5 16V 08/…
HONDA: Fit 1.4 8V SOHC L13A1 03/08
HONDA: Fit 1.5 16V SOHC L14A1 03/08
HONDA: HRV 1.8 16V Flex 15/…
HONDA: New Civic 1.8 16V 06/…</v>
      </c>
      <c r="P996" s="12" t="str">
        <f aca="false">IFERROR(VLOOKUP($A996,Lista_Starke!$A:$E,2,0),"NÃO ESTÁ NA LISTA")</f>
        <v>VÁLVULA TERMOSTÁTICA</v>
      </c>
    </row>
    <row r="997" customFormat="false" ht="15" hidden="false" customHeight="true" outlineLevel="0" collapsed="false">
      <c r="A997" s="10" t="s">
        <v>2177</v>
      </c>
      <c r="B997" s="10" t="str">
        <f aca="false">IFERROR(VLOOKUP(A997,Pedido!$A:$B,2,0),"")</f>
        <v/>
      </c>
      <c r="C997" s="10" t="str">
        <f aca="false">IF(B997="","NÃO COMPRA","COMPRA")</f>
        <v>NÃO COMPRA</v>
      </c>
      <c r="D997" s="1" t="n">
        <f aca="false">IFERROR(VLOOKUP(A997,Pedido!$A:$C,3,0),0)</f>
        <v>0</v>
      </c>
      <c r="E997" s="5" t="n">
        <f aca="false">IFERROR(VLOOKUP(A997,Pedido!$A:$E,5,0),0)</f>
        <v>0</v>
      </c>
      <c r="F997" s="1" t="s">
        <v>9</v>
      </c>
      <c r="G997" s="1" t="s">
        <v>432</v>
      </c>
      <c r="H997" s="1" t="s">
        <v>131</v>
      </c>
      <c r="I997" s="1" t="s">
        <v>36</v>
      </c>
      <c r="J997" s="1" t="s">
        <v>2178</v>
      </c>
      <c r="K997" s="1" t="n">
        <v>83</v>
      </c>
      <c r="L997" s="11" t="n">
        <v>0.956642966918936</v>
      </c>
      <c r="M997" s="1" t="n">
        <f aca="false">SUMIF(Relatorio_AK!$A:$A,A997,Relatorio_AK!$B:$B)</f>
        <v>83</v>
      </c>
      <c r="N997" s="1" t="str">
        <f aca="false">IF(M997=K997,"OK","DIF")</f>
        <v>OK</v>
      </c>
      <c r="O997" s="13" t="str">
        <f aca="false">IFERROR(VLOOKUP($A997,Lista_Starke!$A:$E,3,0),"NÃO ESTÁ NA LISTA")</f>
        <v>VOLKSWAGEN: Gol 1.0 8V 08/14
VOLKSWAGEN: Gol 1.0 8V 13/14
VOLKSWAGEN: Gol 1300 Ar 80/81
VOLKSWAGEN: Gol 1600 Ar 82/86
VOLKSWAGEN: Gol GT 1.8 8V 84/87
VOLKSWAGEN: Gol GTI 2.0 16V 94/02
VOLKSWAGEN: Gol GTI 2.0 8V 94/96
VOLKSWAGEN: Parati 1.6 8V 08/12
VOLKSWAGEN: Saveiro 1.6 8V 08/09
VOLKSWAGEN: Saveiro 1.6 8V 86/93
VOLKSWAGEN: Saveiro 1.8 8V 08/09
VOLKSWAGEN: Voyage 1.5 8V 81/82
VOLKSWAGEN: Voyage 1.6 8V 83/95
VOLKSWAGEN: Voyage 1.8 8V 86/95</v>
      </c>
      <c r="P997" s="12" t="str">
        <f aca="false">IFERROR(VLOOKUP($A997,Lista_Starke!$A:$E,2,0),"NÃO ESTÁ NA LISTA")</f>
        <v>SAPATA DE FREIO</v>
      </c>
    </row>
    <row r="998" customFormat="false" ht="15" hidden="false" customHeight="true" outlineLevel="0" collapsed="false">
      <c r="A998" s="10" t="s">
        <v>2179</v>
      </c>
      <c r="B998" s="10" t="str">
        <f aca="false">IFERROR(VLOOKUP(A998,Pedido!$A:$B,2,0),"")</f>
        <v/>
      </c>
      <c r="C998" s="10" t="str">
        <f aca="false">IF(B998="","NÃO COMPRA","COMPRA")</f>
        <v>NÃO COMPRA</v>
      </c>
      <c r="D998" s="1" t="n">
        <f aca="false">IFERROR(VLOOKUP(A998,Pedido!$A:$C,3,0),0)</f>
        <v>0</v>
      </c>
      <c r="E998" s="5" t="n">
        <f aca="false">IFERROR(VLOOKUP(A998,Pedido!$A:$E,5,0),0)</f>
        <v>0</v>
      </c>
      <c r="F998" s="1" t="s">
        <v>9</v>
      </c>
      <c r="G998" s="1" t="s">
        <v>440</v>
      </c>
      <c r="H998" s="1" t="s">
        <v>131</v>
      </c>
      <c r="I998" s="1" t="s">
        <v>77</v>
      </c>
      <c r="J998" s="1" t="s">
        <v>2180</v>
      </c>
      <c r="K998" s="1" t="n">
        <v>83</v>
      </c>
      <c r="L998" s="11" t="n">
        <v>0.956784857690395</v>
      </c>
      <c r="M998" s="1" t="n">
        <f aca="false">SUMIF(Relatorio_AK!$A:$A,A998,Relatorio_AK!$B:$B)</f>
        <v>83</v>
      </c>
      <c r="N998" s="1" t="str">
        <f aca="false">IF(M998=K998,"OK","DIF")</f>
        <v>OK</v>
      </c>
      <c r="O998" s="13" t="str">
        <f aca="false">IFERROR(VLOOKUP($A998,Lista_Starke!$A:$E,3,0),"NÃO ESTÁ NA LISTA")</f>
        <v>CITROEN: C3 1.2 12V 3 cil. 16/21
CITROEN: C3 1.5 8V 12/16
CITROEN: C3 1.6 16V 12/20
CITROEN: C3 1.6 16V 17/21
PEUGEOT: 208 1.0 12V 3 cil. 22/...
PEUGEOT: 208 1.2 12V 3 cil. 17/22
PEUGEOT: 208 1.5 8V 13/16
PEUGEOT: 208 1.6 16V 13/16
PEUGEOT: 208 1.6 16V 18/20
PEUGEOT: 208 1.6 16V 19/23
PEUGEOT: 208 1.6 16V 22/...</v>
      </c>
      <c r="P998" s="12" t="str">
        <f aca="false">IFERROR(VLOOKUP($A998,Lista_Starke!$A:$E,2,0),"NÃO ESTÁ NA LISTA")</f>
        <v>SAPATA DE FREIO</v>
      </c>
    </row>
    <row r="999" customFormat="false" ht="15" hidden="false" customHeight="true" outlineLevel="0" collapsed="false">
      <c r="A999" s="10" t="s">
        <v>2181</v>
      </c>
      <c r="B999" s="10" t="str">
        <f aca="false">IFERROR(VLOOKUP(A999,Pedido!$A:$B,2,0),"")</f>
        <v/>
      </c>
      <c r="C999" s="10" t="str">
        <f aca="false">IF(B999="","NÃO COMPRA","COMPRA")</f>
        <v>NÃO COMPRA</v>
      </c>
      <c r="D999" s="1" t="n">
        <f aca="false">IFERROR(VLOOKUP(A999,Pedido!$A:$C,3,0),0)</f>
        <v>0</v>
      </c>
      <c r="E999" s="5" t="n">
        <f aca="false">IFERROR(VLOOKUP(A999,Pedido!$A:$E,5,0),0)</f>
        <v>0</v>
      </c>
      <c r="F999" s="1" t="s">
        <v>9</v>
      </c>
      <c r="G999" s="1" t="s">
        <v>2182</v>
      </c>
      <c r="H999" s="1" t="s">
        <v>88</v>
      </c>
      <c r="I999" s="1" t="s">
        <v>1182</v>
      </c>
      <c r="J999" s="1" t="s">
        <v>2183</v>
      </c>
      <c r="K999" s="1" t="n">
        <v>83</v>
      </c>
      <c r="L999" s="11" t="n">
        <v>0.956926748461853</v>
      </c>
      <c r="M999" s="1" t="n">
        <f aca="false">SUMIF(Relatorio_AK!$A:$A,A999,Relatorio_AK!$B:$B)</f>
        <v>83</v>
      </c>
      <c r="N999" s="1" t="str">
        <f aca="false">IF(M999=K999,"OK","DIF")</f>
        <v>OK</v>
      </c>
      <c r="O999" s="13" t="str">
        <f aca="false">IFERROR(VLOOKUP($A999,Lista_Starke!$A:$E,3,0),"NÃO ESTÁ NA LISTA")</f>
        <v>KIA: Picanto 1.0 12V 3 cil. 19
KIA: Picanto 1.0 12V 4 cil. 08/11
KIA: Picanto 1.1 12V 4 cil. 04/08</v>
      </c>
      <c r="P999" s="12" t="str">
        <f aca="false">IFERROR(VLOOKUP($A999,Lista_Starke!$A:$E,2,0),"NÃO ESTÁ NA LISTA")</f>
        <v>CILINDRO DE RODA LE/LD</v>
      </c>
    </row>
    <row r="1000" customFormat="false" ht="15" hidden="false" customHeight="true" outlineLevel="0" collapsed="false">
      <c r="A1000" s="10" t="s">
        <v>2184</v>
      </c>
      <c r="B1000" s="10" t="str">
        <f aca="false">IFERROR(VLOOKUP(A1000,Pedido!$A:$B,2,0),"")</f>
        <v/>
      </c>
      <c r="C1000" s="10" t="str">
        <f aca="false">IF(B1000="","NÃO COMPRA","COMPRA")</f>
        <v>NÃO COMPRA</v>
      </c>
      <c r="D1000" s="1" t="n">
        <f aca="false">IFERROR(VLOOKUP(A1000,Pedido!$A:$C,3,0),0)</f>
        <v>0</v>
      </c>
      <c r="E1000" s="5" t="n">
        <f aca="false">IFERROR(VLOOKUP(A1000,Pedido!$A:$E,5,0),0)</f>
        <v>0</v>
      </c>
      <c r="F1000" s="1" t="s">
        <v>9</v>
      </c>
      <c r="G1000" s="1" t="s">
        <v>214</v>
      </c>
      <c r="H1000" s="1" t="s">
        <v>35</v>
      </c>
      <c r="I1000" s="1" t="s">
        <v>215</v>
      </c>
      <c r="J1000" s="1" t="s">
        <v>2185</v>
      </c>
      <c r="K1000" s="1" t="n">
        <v>83</v>
      </c>
      <c r="L1000" s="11" t="n">
        <v>0.957068639233312</v>
      </c>
      <c r="M1000" s="1" t="n">
        <f aca="false">SUMIF(Relatorio_AK!$A:$A,A1000,Relatorio_AK!$B:$B)</f>
        <v>83</v>
      </c>
      <c r="N1000" s="1" t="str">
        <f aca="false">IF(M1000=K1000,"OK","DIF")</f>
        <v>OK</v>
      </c>
      <c r="O1000" s="12" t="str">
        <f aca="false">IFERROR(VLOOKUP($A1000,Lista_Starke!$A:$E,3,0),"NÃO ESTÁ NA LISTA")</f>
        <v>NISSAN: Versa 1.6 16V 20/...</v>
      </c>
      <c r="P1000" s="12" t="str">
        <f aca="false">IFERROR(VLOOKUP($A1000,Lista_Starke!$A:$E,2,0),"NÃO ESTÁ NA LISTA")</f>
        <v>CILINDRO MESTRE DE FREIO</v>
      </c>
    </row>
    <row r="1001" customFormat="false" ht="15" hidden="false" customHeight="true" outlineLevel="0" collapsed="false">
      <c r="A1001" s="10" t="s">
        <v>2186</v>
      </c>
      <c r="B1001" s="10" t="str">
        <f aca="false">IFERROR(VLOOKUP(A1001,Pedido!$A:$B,2,0),"")</f>
        <v/>
      </c>
      <c r="C1001" s="10" t="str">
        <f aca="false">IF(B1001="","NÃO COMPRA","COMPRA")</f>
        <v>NÃO COMPRA</v>
      </c>
      <c r="D1001" s="1" t="n">
        <f aca="false">IFERROR(VLOOKUP(A1001,Pedido!$A:$C,3,0),0)</f>
        <v>0</v>
      </c>
      <c r="E1001" s="5" t="n">
        <f aca="false">IFERROR(VLOOKUP(A1001,Pedido!$A:$E,5,0),0)</f>
        <v>0</v>
      </c>
      <c r="F1001" s="1" t="s">
        <v>9</v>
      </c>
      <c r="G1001" s="1" t="s">
        <v>117</v>
      </c>
      <c r="H1001" s="1" t="s">
        <v>32</v>
      </c>
      <c r="I1001" s="1" t="s">
        <v>57</v>
      </c>
      <c r="J1001" s="1" t="s">
        <v>2187</v>
      </c>
      <c r="K1001" s="1" t="n">
        <v>82</v>
      </c>
      <c r="L1001" s="11" t="n">
        <v>0.957208820477403</v>
      </c>
      <c r="M1001" s="1" t="n">
        <f aca="false">SUMIF(Relatorio_AK!$A:$A,A1001,Relatorio_AK!$B:$B)</f>
        <v>82</v>
      </c>
      <c r="N1001" s="1" t="str">
        <f aca="false">IF(M1001=K1001,"OK","DIF")</f>
        <v>OK</v>
      </c>
      <c r="O1001" s="12" t="str">
        <f aca="false">IFERROR(VLOOKUP($A1001,Lista_Starke!$A:$E,3,0),"NÃO ESTÁ NA LISTA")</f>
        <v>GM: Cruze 1.8 16V 12/17</v>
      </c>
      <c r="P1001" s="12" t="str">
        <f aca="false">IFERROR(VLOOKUP($A1001,Lista_Starke!$A:$E,2,0),"NÃO ESTÁ NA LISTA")</f>
        <v>CILINDRO MESTRE DE EMBREAGEM</v>
      </c>
    </row>
    <row r="1002" customFormat="false" ht="15" hidden="false" customHeight="true" outlineLevel="0" collapsed="false">
      <c r="A1002" s="10" t="s">
        <v>2188</v>
      </c>
      <c r="B1002" s="10" t="str">
        <f aca="false">IFERROR(VLOOKUP(A1002,Pedido!$A:$B,2,0),"")</f>
        <v/>
      </c>
      <c r="C1002" s="10" t="str">
        <f aca="false">IF(B1002="","NÃO COMPRA","COMPRA")</f>
        <v>NÃO COMPRA</v>
      </c>
      <c r="D1002" s="1" t="n">
        <f aca="false">IFERROR(VLOOKUP(A1002,Pedido!$A:$C,3,0),0)</f>
        <v>0</v>
      </c>
      <c r="E1002" s="5" t="n">
        <f aca="false">IFERROR(VLOOKUP(A1002,Pedido!$A:$E,5,0),0)</f>
        <v>0</v>
      </c>
      <c r="F1002" s="1" t="s">
        <v>9</v>
      </c>
      <c r="G1002" s="1" t="s">
        <v>2189</v>
      </c>
      <c r="H1002" s="1" t="s">
        <v>845</v>
      </c>
      <c r="I1002" s="1" t="s">
        <v>1157</v>
      </c>
      <c r="J1002" s="1" t="s">
        <v>2190</v>
      </c>
      <c r="K1002" s="1" t="n">
        <v>82</v>
      </c>
      <c r="L1002" s="11" t="n">
        <v>0.957349001721495</v>
      </c>
      <c r="M1002" s="1" t="n">
        <f aca="false">SUMIF(Relatorio_AK!$A:$A,A1002,Relatorio_AK!$B:$B)</f>
        <v>82</v>
      </c>
      <c r="N1002" s="1" t="str">
        <f aca="false">IF(M1002=K1002,"OK","DIF")</f>
        <v>OK</v>
      </c>
      <c r="O1002" s="13" t="str">
        <f aca="false">IFERROR(VLOOKUP($A1002,Lista_Starke!$A:$E,3,0),"NÃO ESTÁ NA LISTA")</f>
        <v>BMW: 130i (E81)  06/11
BMW: 130i (E87)  05/11
BMW: 320i (E90)  05/08
BMW: 320i (F30/F80)  12/18
BMW: 320i (F31)  12/19
BMW: 328i (F30/F80)  11/18
BMW: 328i (F31)  12/15
BMW: 330e (F30/F80)  15/18
BMW: 330i (E46)  00/05
BMW: 330i (E90)  04/11
BMW: 330i (F30/F80)  11/18
BMW: 330i (F31)  13/15
BMW: 335i (E90)  06/11
BMW: 335i (F31)  13/15
BMW: 340i (F30/F80)  15/18
BMW: 340i (F31)  15/19
BMW: X1 (E84) sDrive 16i  13/15
BMW: X1 (E84) sDrive 18i  10/15
BMW: X1 (E84) sDrive 20i  11/15
BMW: X1 (E84) sDrive 28i  12/15
BMW: X1 (E84) xDrive 20i  11/15
BMW: X1 (E84) xDrive 25i  10/11
BMW: X1 (E84) xDrive 28i  09/15</v>
      </c>
      <c r="P1002" s="12" t="str">
        <f aca="false">IFERROR(VLOOKUP($A1002,Lista_Starke!$A:$E,2,0),"NÃO ESTÁ NA LISTA")</f>
        <v>SAPATA DE FREIO DE MÃO</v>
      </c>
    </row>
    <row r="1003" customFormat="false" ht="15" hidden="false" customHeight="true" outlineLevel="0" collapsed="false">
      <c r="A1003" s="10" t="s">
        <v>2191</v>
      </c>
      <c r="B1003" s="10" t="str">
        <f aca="false">IFERROR(VLOOKUP(A1003,Pedido!$A:$B,2,0),"")</f>
        <v/>
      </c>
      <c r="C1003" s="10" t="str">
        <f aca="false">IF(B1003="","NÃO COMPRA","COMPRA")</f>
        <v>NÃO COMPRA</v>
      </c>
      <c r="D1003" s="1" t="n">
        <f aca="false">IFERROR(VLOOKUP(A1003,Pedido!$A:$C,3,0),0)</f>
        <v>0</v>
      </c>
      <c r="E1003" s="5" t="n">
        <f aca="false">IFERROR(VLOOKUP(A1003,Pedido!$A:$E,5,0),0)</f>
        <v>0</v>
      </c>
      <c r="F1003" s="1" t="s">
        <v>9</v>
      </c>
      <c r="G1003" s="1" t="s">
        <v>1816</v>
      </c>
      <c r="H1003" s="1" t="s">
        <v>845</v>
      </c>
      <c r="I1003" s="1" t="s">
        <v>403</v>
      </c>
      <c r="J1003" s="1" t="s">
        <v>2192</v>
      </c>
      <c r="K1003" s="1" t="n">
        <v>82</v>
      </c>
      <c r="L1003" s="11" t="n">
        <v>0.957489182965586</v>
      </c>
      <c r="M1003" s="1" t="n">
        <f aca="false">SUMIF(Relatorio_AK!$A:$A,A1003,Relatorio_AK!$B:$B)</f>
        <v>82</v>
      </c>
      <c r="N1003" s="1" t="str">
        <f aca="false">IF(M1003=K1003,"OK","DIF")</f>
        <v>OK</v>
      </c>
      <c r="O1003" s="12" t="str">
        <f aca="false">IFERROR(VLOOKUP($A1003,Lista_Starke!$A:$E,3,0),"NÃO ESTÁ NA LISTA")</f>
        <v>IVECO: Daily 70 C 3.0 Turbo Diesel   F1C 08/…</v>
      </c>
      <c r="P1003" s="12" t="str">
        <f aca="false">IFERROR(VLOOKUP($A1003,Lista_Starke!$A:$E,2,0),"NÃO ESTÁ NA LISTA")</f>
        <v>SAPATA DE FREIO DE MÃO</v>
      </c>
    </row>
    <row r="1004" customFormat="false" ht="15" hidden="false" customHeight="true" outlineLevel="0" collapsed="false">
      <c r="A1004" s="10" t="s">
        <v>2193</v>
      </c>
      <c r="B1004" s="10" t="str">
        <f aca="false">IFERROR(VLOOKUP(A1004,Pedido!$A:$B,2,0),"")</f>
        <v/>
      </c>
      <c r="C1004" s="10" t="str">
        <f aca="false">IF(B1004="","NÃO COMPRA","COMPRA")</f>
        <v>NÃO COMPRA</v>
      </c>
      <c r="D1004" s="1" t="n">
        <f aca="false">IFERROR(VLOOKUP(A1004,Pedido!$A:$C,3,0),0)</f>
        <v>0</v>
      </c>
      <c r="E1004" s="5" t="n">
        <f aca="false">IFERROR(VLOOKUP(A1004,Pedido!$A:$E,5,0),0)</f>
        <v>0</v>
      </c>
      <c r="F1004" s="1" t="s">
        <v>9</v>
      </c>
      <c r="G1004" s="1" t="s">
        <v>2194</v>
      </c>
      <c r="H1004" s="1" t="s">
        <v>197</v>
      </c>
      <c r="I1004" s="1" t="s">
        <v>2195</v>
      </c>
      <c r="K1004" s="1" t="n">
        <v>82</v>
      </c>
      <c r="L1004" s="11" t="n">
        <v>0.957629364209677</v>
      </c>
      <c r="M1004" s="1" t="n">
        <f aca="false">SUMIF(Relatorio_AK!$A:$A,A1004,Relatorio_AK!$B:$B)</f>
        <v>82</v>
      </c>
      <c r="N1004" s="1" t="str">
        <f aca="false">IF(M1004=K1004,"OK","DIF")</f>
        <v>OK</v>
      </c>
      <c r="O1004" s="12" t="str">
        <f aca="false">IFERROR(VLOOKUP($A1004,Lista_Starke!$A:$E,3,0),"NÃO ESTÁ NA LISTA")</f>
        <v>NÃO ESTÁ NA LISTA</v>
      </c>
      <c r="P1004" s="12" t="str">
        <f aca="false">IFERROR(VLOOKUP($A1004,Lista_Starke!$A:$E,2,0),"NÃO ESTÁ NA LISTA")</f>
        <v>NÃO ESTÁ NA LISTA</v>
      </c>
    </row>
    <row r="1005" customFormat="false" ht="15" hidden="false" customHeight="true" outlineLevel="0" collapsed="false">
      <c r="A1005" s="10" t="s">
        <v>2196</v>
      </c>
      <c r="B1005" s="10" t="str">
        <f aca="false">IFERROR(VLOOKUP(A1005,Pedido!$A:$B,2,0),"")</f>
        <v/>
      </c>
      <c r="C1005" s="10" t="str">
        <f aca="false">IF(B1005="","NÃO COMPRA","COMPRA")</f>
        <v>NÃO COMPRA</v>
      </c>
      <c r="D1005" s="1" t="n">
        <f aca="false">IFERROR(VLOOKUP(A1005,Pedido!$A:$C,3,0),0)</f>
        <v>0</v>
      </c>
      <c r="E1005" s="5" t="n">
        <f aca="false">IFERROR(VLOOKUP(A1005,Pedido!$A:$E,5,0),0)</f>
        <v>0</v>
      </c>
      <c r="F1005" s="1" t="s">
        <v>9</v>
      </c>
      <c r="G1005" s="1" t="s">
        <v>720</v>
      </c>
      <c r="H1005" s="1" t="s">
        <v>197</v>
      </c>
      <c r="I1005" s="1" t="s">
        <v>255</v>
      </c>
      <c r="K1005" s="1" t="n">
        <v>82</v>
      </c>
      <c r="L1005" s="11" t="n">
        <v>0.957769545453769</v>
      </c>
      <c r="M1005" s="1" t="n">
        <f aca="false">SUMIF(Relatorio_AK!$A:$A,A1005,Relatorio_AK!$B:$B)</f>
        <v>82</v>
      </c>
      <c r="N1005" s="1" t="str">
        <f aca="false">IF(M1005=K1005,"OK","DIF")</f>
        <v>OK</v>
      </c>
      <c r="O1005" s="13" t="str">
        <f aca="false">IFERROR(VLOOKUP($A1005,Lista_Starke!$A:$E,3,0),"NÃO ESTÁ NA LISTA")</f>
        <v>MITSUBISHI: Pajero 2.8 Turbo 4M40 Diesel 94/99
MITSUBISHI: Pajero 3.2 4M41 Diesel 99/…
MITSUBISHI: Pajero Full 3.2 Turbo 4M41 Diesel …/00
MITSUBISHI: Pajero Sport 2.8 Turbo 4M40 Diesel 93/…
MITSUBISHI: Pajero Sport 3.2 Turbo 4M41 Diesel 99/…</v>
      </c>
      <c r="P1005" s="12" t="str">
        <f aca="false">IFERROR(VLOOKUP($A1005,Lista_Starke!$A:$E,2,0),"NÃO ESTÁ NA LISTA")</f>
        <v>BOMBA D'ÁGUA</v>
      </c>
    </row>
    <row r="1006" customFormat="false" ht="15" hidden="false" customHeight="true" outlineLevel="0" collapsed="false">
      <c r="A1006" s="10" t="s">
        <v>2197</v>
      </c>
      <c r="B1006" s="10" t="str">
        <f aca="false">IFERROR(VLOOKUP(A1006,Pedido!$A:$B,2,0),"")</f>
        <v/>
      </c>
      <c r="C1006" s="10" t="str">
        <f aca="false">IF(B1006="","NÃO COMPRA","COMPRA")</f>
        <v>NÃO COMPRA</v>
      </c>
      <c r="D1006" s="1" t="n">
        <f aca="false">IFERROR(VLOOKUP(A1006,Pedido!$A:$C,3,0),0)</f>
        <v>0</v>
      </c>
      <c r="E1006" s="5" t="n">
        <f aca="false">IFERROR(VLOOKUP(A1006,Pedido!$A:$E,5,0),0)</f>
        <v>0</v>
      </c>
      <c r="F1006" s="1" t="s">
        <v>9</v>
      </c>
      <c r="G1006" s="1" t="s">
        <v>2198</v>
      </c>
      <c r="H1006" s="1" t="s">
        <v>1073</v>
      </c>
      <c r="I1006" s="1" t="s">
        <v>403</v>
      </c>
      <c r="J1006" s="1" t="s">
        <v>2199</v>
      </c>
      <c r="K1006" s="1" t="n">
        <v>82</v>
      </c>
      <c r="L1006" s="11" t="n">
        <v>0.95790972669786</v>
      </c>
      <c r="M1006" s="1" t="n">
        <f aca="false">SUMIF(Relatorio_AK!$A:$A,A1006,Relatorio_AK!$B:$B)</f>
        <v>82</v>
      </c>
      <c r="N1006" s="1" t="str">
        <f aca="false">IF(M1006=K1006,"OK","DIF")</f>
        <v>OK</v>
      </c>
      <c r="O1006" s="13" t="str">
        <f aca="false">IFERROR(VLOOKUP($A1006,Lista_Starke!$A:$E,3,0),"NÃO ESTÁ NA LISTA")</f>
        <v>IVECO: Daily 35 S 14 3.0 Turbo Diesel   F1C 08/…
IVECO: Daily 45 S 14 3.0 Turbo Diesel   F1C 08/…
IVECO: Daily 55 C 16 3.0 Turbo Diesel   F1C 08/…
IVECO: Daily 70 C 16 3.0 Turbo Diesel   F1C 08/…</v>
      </c>
      <c r="P1006" s="12" t="str">
        <f aca="false">IFERROR(VLOOKUP($A1006,Lista_Starke!$A:$E,2,0),"NÃO ESTÁ NA LISTA")</f>
        <v>VÁLVULA TERMOSTÁTICA</v>
      </c>
    </row>
    <row r="1007" customFormat="false" ht="15" hidden="false" customHeight="true" outlineLevel="0" collapsed="false">
      <c r="A1007" s="10" t="s">
        <v>2200</v>
      </c>
      <c r="B1007" s="10" t="str">
        <f aca="false">IFERROR(VLOOKUP(A1007,Pedido!$A:$B,2,0),"")</f>
        <v/>
      </c>
      <c r="C1007" s="10" t="str">
        <f aca="false">IF(B1007="","NÃO COMPRA","COMPRA")</f>
        <v>NÃO COMPRA</v>
      </c>
      <c r="D1007" s="1" t="n">
        <f aca="false">IFERROR(VLOOKUP(A1007,Pedido!$A:$C,3,0),0)</f>
        <v>0</v>
      </c>
      <c r="E1007" s="5" t="n">
        <f aca="false">IFERROR(VLOOKUP(A1007,Pedido!$A:$E,5,0),0)</f>
        <v>0</v>
      </c>
      <c r="F1007" s="1" t="s">
        <v>9</v>
      </c>
      <c r="G1007" s="1" t="s">
        <v>2201</v>
      </c>
      <c r="H1007" s="1" t="s">
        <v>126</v>
      </c>
      <c r="I1007" s="1" t="s">
        <v>215</v>
      </c>
      <c r="J1007" s="1" t="s">
        <v>2202</v>
      </c>
      <c r="K1007" s="1" t="n">
        <v>82</v>
      </c>
      <c r="L1007" s="11" t="n">
        <v>0.958049907941952</v>
      </c>
      <c r="M1007" s="1" t="n">
        <f aca="false">SUMIF(Relatorio_AK!$A:$A,A1007,Relatorio_AK!$B:$B)</f>
        <v>82</v>
      </c>
      <c r="N1007" s="1" t="str">
        <f aca="false">IF(M1007=K1007,"OK","DIF")</f>
        <v>OK</v>
      </c>
      <c r="O1007" s="13" t="str">
        <f aca="false">IFERROR(VLOOKUP($A1007,Lista_Starke!$A:$E,3,0),"NÃO ESTÁ NA LISTA")</f>
        <v>NISSAN: Kicks 1.6 16V 16/...
NISSAN: March 1.6 16V HR16DE 11/…
NISSAN: Versa 1.6 16V HR16DE 11/…</v>
      </c>
      <c r="P1007" s="12" t="str">
        <f aca="false">IFERROR(VLOOKUP($A1007,Lista_Starke!$A:$E,2,0),"NÃO ESTÁ NA LISTA")</f>
        <v>RESFRIADOR DE ÓLEO CÂMBIO</v>
      </c>
    </row>
    <row r="1008" customFormat="false" ht="15" hidden="false" customHeight="true" outlineLevel="0" collapsed="false">
      <c r="A1008" s="10" t="s">
        <v>2203</v>
      </c>
      <c r="B1008" s="10" t="str">
        <f aca="false">IFERROR(VLOOKUP(A1008,Pedido!$A:$B,2,0),"")</f>
        <v/>
      </c>
      <c r="C1008" s="10" t="str">
        <f aca="false">IF(B1008="","NÃO COMPRA","COMPRA")</f>
        <v>NÃO COMPRA</v>
      </c>
      <c r="D1008" s="1" t="n">
        <f aca="false">IFERROR(VLOOKUP(A1008,Pedido!$A:$C,3,0),0)</f>
        <v>0</v>
      </c>
      <c r="E1008" s="5" t="n">
        <f aca="false">IFERROR(VLOOKUP(A1008,Pedido!$A:$E,5,0),0)</f>
        <v>0</v>
      </c>
      <c r="F1008" s="1" t="s">
        <v>9</v>
      </c>
      <c r="G1008" s="1" t="s">
        <v>229</v>
      </c>
      <c r="H1008" s="1" t="s">
        <v>157</v>
      </c>
      <c r="I1008" s="1" t="s">
        <v>42</v>
      </c>
      <c r="J1008" s="1" t="s">
        <v>2204</v>
      </c>
      <c r="K1008" s="1" t="n">
        <v>82</v>
      </c>
      <c r="L1008" s="11" t="n">
        <v>0.958190089186043</v>
      </c>
      <c r="M1008" s="1" t="n">
        <f aca="false">SUMIF(Relatorio_AK!$A:$A,A1008,Relatorio_AK!$B:$B)</f>
        <v>82</v>
      </c>
      <c r="N1008" s="1" t="str">
        <f aca="false">IF(M1008=K1008,"OK","DIF")</f>
        <v>OK</v>
      </c>
      <c r="O1008" s="13" t="str">
        <f aca="false">IFERROR(VLOOKUP($A1008,Lista_Starke!$A:$E,3,0),"NÃO ESTÁ NA LISTA")</f>
        <v>RENAULT: Duster 1.6 16V SCE H4M 20/...
RENAULT: Oroch 1.6 16V SCE H4M 20/...</v>
      </c>
      <c r="P1008" s="12" t="str">
        <f aca="false">IFERROR(VLOOKUP($A1008,Lista_Starke!$A:$E,2,0),"NÃO ESTÁ NA LISTA")</f>
        <v>ATUADOR DE EMBREAGEM</v>
      </c>
    </row>
    <row r="1009" customFormat="false" ht="15" hidden="false" customHeight="true" outlineLevel="0" collapsed="false">
      <c r="A1009" s="10" t="s">
        <v>2205</v>
      </c>
      <c r="B1009" s="10" t="str">
        <f aca="false">IFERROR(VLOOKUP(A1009,Pedido!$A:$B,2,0),"")</f>
        <v/>
      </c>
      <c r="C1009" s="10" t="str">
        <f aca="false">IF(B1009="","NÃO COMPRA","COMPRA")</f>
        <v>NÃO COMPRA</v>
      </c>
      <c r="D1009" s="1" t="n">
        <f aca="false">IFERROR(VLOOKUP(A1009,Pedido!$A:$C,3,0),0)</f>
        <v>0</v>
      </c>
      <c r="E1009" s="5" t="n">
        <f aca="false">IFERROR(VLOOKUP(A1009,Pedido!$A:$E,5,0),0)</f>
        <v>0</v>
      </c>
      <c r="F1009" s="1" t="s">
        <v>9</v>
      </c>
      <c r="G1009" s="1" t="s">
        <v>2206</v>
      </c>
      <c r="H1009" s="1" t="s">
        <v>35</v>
      </c>
      <c r="I1009" s="1" t="s">
        <v>373</v>
      </c>
      <c r="J1009" s="1" t="s">
        <v>2207</v>
      </c>
      <c r="K1009" s="1" t="n">
        <v>82</v>
      </c>
      <c r="L1009" s="11" t="n">
        <v>0.958330270430135</v>
      </c>
      <c r="M1009" s="1" t="n">
        <f aca="false">SUMIF(Relatorio_AK!$A:$A,A1009,Relatorio_AK!$B:$B)</f>
        <v>82</v>
      </c>
      <c r="N1009" s="1" t="str">
        <f aca="false">IF(M1009=K1009,"OK","DIF")</f>
        <v>OK</v>
      </c>
      <c r="O1009" s="13" t="str">
        <f aca="false">IFERROR(VLOOKUP($A1009,Lista_Starke!$A:$E,3,0),"NÃO ESTÁ NA LISTA")</f>
        <v>MERCEDES-BENZ: 912 OM364A 4.0 L 8V SOHV L4 88/03
MERCEDES-BENZ: 914 OM364LA 4.0 L 8V SOHV L4 88/03
MERCEDES-BENZ: L1114 OM352 5.7 L 12V SOHV L6 96/97
MERCEDES-BENZ: LB/LO 814 OM364 4.0 L 8V SOHV L4 97/05</v>
      </c>
      <c r="P1009" s="12" t="str">
        <f aca="false">IFERROR(VLOOKUP($A1009,Lista_Starke!$A:$E,2,0),"NÃO ESTÁ NA LISTA")</f>
        <v>CILINDRO MESTRE DE FREIO</v>
      </c>
    </row>
    <row r="1010" customFormat="false" ht="15" hidden="false" customHeight="true" outlineLevel="0" collapsed="false">
      <c r="A1010" s="10" t="s">
        <v>2208</v>
      </c>
      <c r="B1010" s="10" t="str">
        <f aca="false">IFERROR(VLOOKUP(A1010,Pedido!$A:$B,2,0),"")</f>
        <v/>
      </c>
      <c r="C1010" s="10" t="str">
        <f aca="false">IF(B1010="","NÃO COMPRA","COMPRA")</f>
        <v>NÃO COMPRA</v>
      </c>
      <c r="D1010" s="1" t="n">
        <f aca="false">IFERROR(VLOOKUP(A1010,Pedido!$A:$C,3,0),0)</f>
        <v>0</v>
      </c>
      <c r="E1010" s="5" t="n">
        <f aca="false">IFERROR(VLOOKUP(A1010,Pedido!$A:$E,5,0),0)</f>
        <v>0</v>
      </c>
      <c r="F1010" s="1" t="s">
        <v>9</v>
      </c>
      <c r="G1010" s="1" t="s">
        <v>2209</v>
      </c>
      <c r="H1010" s="1" t="s">
        <v>1951</v>
      </c>
      <c r="I1010" s="1" t="s">
        <v>53</v>
      </c>
      <c r="J1010" s="1" t="s">
        <v>2210</v>
      </c>
      <c r="K1010" s="1" t="n">
        <v>81</v>
      </c>
      <c r="L1010" s="11" t="n">
        <v>0.958468742146859</v>
      </c>
      <c r="M1010" s="1" t="n">
        <f aca="false">SUMIF(Relatorio_AK!$A:$A,A1010,Relatorio_AK!$B:$B)</f>
        <v>81</v>
      </c>
      <c r="N1010" s="1" t="str">
        <f aca="false">IF(M1010=K1010,"OK","DIF")</f>
        <v>OK</v>
      </c>
      <c r="O1010" s="12" t="str">
        <f aca="false">IFERROR(VLOOKUP($A1010,Lista_Starke!$A:$E,3,0),"NÃO ESTÁ NA LISTA")</f>
        <v>FORD: Fusion  06/16</v>
      </c>
      <c r="P1010" s="12" t="str">
        <f aca="false">IFERROR(VLOOKUP($A1010,Lista_Starke!$A:$E,2,0),"NÃO ESTÁ NA LISTA")</f>
        <v>BRAÇO OSCILANTE DIANT COMPLETO LE</v>
      </c>
    </row>
    <row r="1011" customFormat="false" ht="15" hidden="false" customHeight="true" outlineLevel="0" collapsed="false">
      <c r="A1011" s="10" t="s">
        <v>2211</v>
      </c>
      <c r="B1011" s="10" t="str">
        <f aca="false">IFERROR(VLOOKUP(A1011,Pedido!$A:$B,2,0),"")</f>
        <v/>
      </c>
      <c r="C1011" s="10" t="str">
        <f aca="false">IF(B1011="","NÃO COMPRA","COMPRA")</f>
        <v>NÃO COMPRA</v>
      </c>
      <c r="D1011" s="1" t="n">
        <f aca="false">IFERROR(VLOOKUP(A1011,Pedido!$A:$C,3,0),0)</f>
        <v>0</v>
      </c>
      <c r="E1011" s="5" t="n">
        <f aca="false">IFERROR(VLOOKUP(A1011,Pedido!$A:$E,5,0),0)</f>
        <v>0</v>
      </c>
      <c r="F1011" s="1" t="s">
        <v>9</v>
      </c>
      <c r="G1011" s="1" t="s">
        <v>2212</v>
      </c>
      <c r="H1011" s="1" t="s">
        <v>1951</v>
      </c>
      <c r="I1011" s="1" t="s">
        <v>53</v>
      </c>
      <c r="J1011" s="1" t="s">
        <v>2213</v>
      </c>
      <c r="K1011" s="1" t="n">
        <v>81</v>
      </c>
      <c r="L1011" s="11" t="n">
        <v>0.958607213863583</v>
      </c>
      <c r="M1011" s="1" t="n">
        <f aca="false">SUMIF(Relatorio_AK!$A:$A,A1011,Relatorio_AK!$B:$B)</f>
        <v>81</v>
      </c>
      <c r="N1011" s="1" t="str">
        <f aca="false">IF(M1011=K1011,"OK","DIF")</f>
        <v>OK</v>
      </c>
      <c r="O1011" s="12" t="str">
        <f aca="false">IFERROR(VLOOKUP($A1011,Lista_Starke!$A:$E,3,0),"NÃO ESTÁ NA LISTA")</f>
        <v>FORD: Fusion  06/16</v>
      </c>
      <c r="P1011" s="12" t="str">
        <f aca="false">IFERROR(VLOOKUP($A1011,Lista_Starke!$A:$E,2,0),"NÃO ESTÁ NA LISTA")</f>
        <v>BRAÇO OSCILANTE DIANT COMPLETO LD</v>
      </c>
    </row>
    <row r="1012" customFormat="false" ht="15" hidden="false" customHeight="true" outlineLevel="0" collapsed="false">
      <c r="A1012" s="10" t="s">
        <v>2214</v>
      </c>
      <c r="B1012" s="10" t="str">
        <f aca="false">IFERROR(VLOOKUP(A1012,Pedido!$A:$B,2,0),"")</f>
        <v/>
      </c>
      <c r="C1012" s="10" t="str">
        <f aca="false">IF(B1012="","NÃO COMPRA","COMPRA")</f>
        <v>NÃO COMPRA</v>
      </c>
      <c r="D1012" s="1" t="n">
        <f aca="false">IFERROR(VLOOKUP(A1012,Pedido!$A:$C,3,0),0)</f>
        <v>0</v>
      </c>
      <c r="E1012" s="5" t="n">
        <f aca="false">IFERROR(VLOOKUP(A1012,Pedido!$A:$E,5,0),0)</f>
        <v>0</v>
      </c>
      <c r="F1012" s="1" t="s">
        <v>9</v>
      </c>
      <c r="G1012" s="1" t="s">
        <v>2215</v>
      </c>
      <c r="H1012" s="1" t="s">
        <v>88</v>
      </c>
      <c r="I1012" s="1" t="s">
        <v>2062</v>
      </c>
      <c r="K1012" s="1" t="n">
        <v>81</v>
      </c>
      <c r="L1012" s="11" t="n">
        <v>0.958745685580308</v>
      </c>
      <c r="M1012" s="1" t="n">
        <f aca="false">SUMIF(Relatorio_AK!$A:$A,A1012,Relatorio_AK!$B:$B)</f>
        <v>81</v>
      </c>
      <c r="N1012" s="1" t="str">
        <f aca="false">IF(M1012=K1012,"OK","DIF")</f>
        <v>OK</v>
      </c>
      <c r="O1012" s="13" t="str">
        <f aca="false">IFERROR(VLOOKUP($A1012,Lista_Starke!$A:$E,3,0),"NÃO ESTÁ NA LISTA")</f>
        <v>HAFEI: Towner Jr Pick Up 1.0 8V 07/…
HAFEI: Towner Jr Van 1.0 8V 07/…</v>
      </c>
      <c r="P1012" s="12" t="str">
        <f aca="false">IFERROR(VLOOKUP($A1012,Lista_Starke!$A:$E,2,0),"NÃO ESTÁ NA LISTA")</f>
        <v>CILINDRO DE RODA LE</v>
      </c>
    </row>
    <row r="1013" customFormat="false" ht="15" hidden="false" customHeight="true" outlineLevel="0" collapsed="false">
      <c r="A1013" s="10" t="s">
        <v>2216</v>
      </c>
      <c r="B1013" s="10" t="str">
        <f aca="false">IFERROR(VLOOKUP(A1013,Pedido!$A:$B,2,0),"")</f>
        <v/>
      </c>
      <c r="C1013" s="10" t="str">
        <f aca="false">IF(B1013="","NÃO COMPRA","COMPRA")</f>
        <v>NÃO COMPRA</v>
      </c>
      <c r="D1013" s="1" t="n">
        <f aca="false">IFERROR(VLOOKUP(A1013,Pedido!$A:$C,3,0),0)</f>
        <v>0</v>
      </c>
      <c r="E1013" s="5" t="n">
        <f aca="false">IFERROR(VLOOKUP(A1013,Pedido!$A:$E,5,0),0)</f>
        <v>0</v>
      </c>
      <c r="F1013" s="1" t="s">
        <v>9</v>
      </c>
      <c r="G1013" s="1" t="s">
        <v>2041</v>
      </c>
      <c r="H1013" s="1" t="s">
        <v>1358</v>
      </c>
      <c r="I1013" s="1" t="s">
        <v>77</v>
      </c>
      <c r="J1013" s="1" t="s">
        <v>2217</v>
      </c>
      <c r="K1013" s="1" t="n">
        <v>81</v>
      </c>
      <c r="L1013" s="11" t="n">
        <v>0.958884157297032</v>
      </c>
      <c r="M1013" s="1" t="n">
        <f aca="false">SUMIF(Relatorio_AK!$A:$A,A1013,Relatorio_AK!$B:$B)</f>
        <v>81</v>
      </c>
      <c r="N1013" s="1" t="str">
        <f aca="false">IF(M1013=K1013,"OK","DIF")</f>
        <v>OK</v>
      </c>
      <c r="O1013" s="13" t="str">
        <f aca="false">IFERROR(VLOOKUP($A1013,Lista_Starke!$A:$E,3,0),"NÃO ESTÁ NA LISTA")</f>
        <v>CITROEN: C3  12/18
CITROEN: C3 Picasso  12/...
PEUGEOT: 2008  13/18
PEUGEOT: 208  13/16</v>
      </c>
      <c r="P1013" s="12" t="str">
        <f aca="false">IFERROR(VLOOKUP($A1013,Lista_Starke!$A:$E,2,0),"NÃO ESTÁ NA LISTA")</f>
        <v>BANDEJA INFERIOR COMPLETA LE</v>
      </c>
    </row>
    <row r="1014" customFormat="false" ht="15" hidden="false" customHeight="true" outlineLevel="0" collapsed="false">
      <c r="A1014" s="10" t="s">
        <v>2218</v>
      </c>
      <c r="B1014" s="10" t="str">
        <f aca="false">IFERROR(VLOOKUP(A1014,Pedido!$A:$B,2,0),"")</f>
        <v/>
      </c>
      <c r="C1014" s="10" t="str">
        <f aca="false">IF(B1014="","NÃO COMPRA","COMPRA")</f>
        <v>NÃO COMPRA</v>
      </c>
      <c r="D1014" s="1" t="n">
        <f aca="false">IFERROR(VLOOKUP(A1014,Pedido!$A:$C,3,0),0)</f>
        <v>0</v>
      </c>
      <c r="E1014" s="5" t="n">
        <f aca="false">IFERROR(VLOOKUP(A1014,Pedido!$A:$E,5,0),0)</f>
        <v>0</v>
      </c>
      <c r="F1014" s="1" t="s">
        <v>9</v>
      </c>
      <c r="G1014" s="1" t="s">
        <v>1626</v>
      </c>
      <c r="H1014" s="1" t="s">
        <v>1358</v>
      </c>
      <c r="I1014" s="1" t="s">
        <v>97</v>
      </c>
      <c r="J1014" s="1" t="s">
        <v>2219</v>
      </c>
      <c r="K1014" s="1" t="n">
        <v>81</v>
      </c>
      <c r="L1014" s="11" t="n">
        <v>0.959022629013757</v>
      </c>
      <c r="M1014" s="1" t="n">
        <f aca="false">SUMIF(Relatorio_AK!$A:$A,A1014,Relatorio_AK!$B:$B)</f>
        <v>81</v>
      </c>
      <c r="N1014" s="1" t="str">
        <f aca="false">IF(M1014=K1014,"OK","DIF")</f>
        <v>OK</v>
      </c>
      <c r="O1014" s="13" t="str">
        <f aca="false">IFERROR(VLOOKUP($A1014,Lista_Starke!$A:$E,3,0),"NÃO ESTÁ NA LISTA")</f>
        <v>FIAT: Toro 4x2 16/...
JEEP: Compass 4x2 16/...
JEEP: Renegade  16/...</v>
      </c>
      <c r="P1014" s="12" t="str">
        <f aca="false">IFERROR(VLOOKUP($A1014,Lista_Starke!$A:$E,2,0),"NÃO ESTÁ NA LISTA")</f>
        <v>BANDEJA INFERIOR COMPLETA LE</v>
      </c>
    </row>
    <row r="1015" customFormat="false" ht="15" hidden="false" customHeight="true" outlineLevel="0" collapsed="false">
      <c r="A1015" s="10" t="s">
        <v>2220</v>
      </c>
      <c r="B1015" s="10" t="str">
        <f aca="false">IFERROR(VLOOKUP(A1015,Pedido!$A:$B,2,0),"")</f>
        <v/>
      </c>
      <c r="C1015" s="10" t="str">
        <f aca="false">IF(B1015="","NÃO COMPRA","COMPRA")</f>
        <v>NÃO COMPRA</v>
      </c>
      <c r="D1015" s="1" t="n">
        <f aca="false">IFERROR(VLOOKUP(A1015,Pedido!$A:$C,3,0),0)</f>
        <v>0</v>
      </c>
      <c r="E1015" s="5" t="n">
        <f aca="false">IFERROR(VLOOKUP(A1015,Pedido!$A:$E,5,0),0)</f>
        <v>0</v>
      </c>
      <c r="F1015" s="1" t="s">
        <v>9</v>
      </c>
      <c r="G1015" s="1" t="s">
        <v>552</v>
      </c>
      <c r="H1015" s="1" t="s">
        <v>197</v>
      </c>
      <c r="I1015" s="1" t="s">
        <v>172</v>
      </c>
      <c r="K1015" s="1" t="n">
        <v>81</v>
      </c>
      <c r="L1015" s="11" t="n">
        <v>0.959161100730481</v>
      </c>
      <c r="M1015" s="1" t="n">
        <f aca="false">SUMIF(Relatorio_AK!$A:$A,A1015,Relatorio_AK!$B:$B)</f>
        <v>81</v>
      </c>
      <c r="N1015" s="1" t="str">
        <f aca="false">IF(M1015=K1015,"OK","DIF")</f>
        <v>OK</v>
      </c>
      <c r="O1015" s="13" t="str">
        <f aca="false">IFERROR(VLOOKUP($A1015,Lista_Starke!$A:$E,3,0),"NÃO ESTÁ NA LISTA")</f>
        <v>HYUNDAI: iX35 2.0 16V   GKD 11/…
HYUNDAI: Sonata 2.4 16V   GKE 11/…
KIA: Sportage 2.0 16V   GKD 11/…</v>
      </c>
      <c r="P1015" s="12" t="str">
        <f aca="false">IFERROR(VLOOKUP($A1015,Lista_Starke!$A:$E,2,0),"NÃO ESTÁ NA LISTA")</f>
        <v>BOMBA D'ÁGUA</v>
      </c>
    </row>
    <row r="1016" customFormat="false" ht="15" hidden="false" customHeight="true" outlineLevel="0" collapsed="false">
      <c r="A1016" s="10" t="s">
        <v>2221</v>
      </c>
      <c r="B1016" s="10" t="str">
        <f aca="false">IFERROR(VLOOKUP(A1016,Pedido!$A:$B,2,0),"")</f>
        <v/>
      </c>
      <c r="C1016" s="10" t="str">
        <f aca="false">IF(B1016="","NÃO COMPRA","COMPRA")</f>
        <v>NÃO COMPRA</v>
      </c>
      <c r="D1016" s="1" t="n">
        <f aca="false">IFERROR(VLOOKUP(A1016,Pedido!$A:$C,3,0),0)</f>
        <v>0</v>
      </c>
      <c r="E1016" s="5" t="n">
        <f aca="false">IFERROR(VLOOKUP(A1016,Pedido!$A:$E,5,0),0)</f>
        <v>0</v>
      </c>
      <c r="F1016" s="1" t="s">
        <v>9</v>
      </c>
      <c r="G1016" s="1" t="s">
        <v>1326</v>
      </c>
      <c r="H1016" s="1" t="s">
        <v>197</v>
      </c>
      <c r="I1016" s="1" t="s">
        <v>177</v>
      </c>
      <c r="J1016" s="1" t="s">
        <v>2222</v>
      </c>
      <c r="K1016" s="1" t="n">
        <v>81</v>
      </c>
      <c r="L1016" s="11" t="n">
        <v>0.959299572447206</v>
      </c>
      <c r="M1016" s="1" t="n">
        <f aca="false">SUMIF(Relatorio_AK!$A:$A,A1016,Relatorio_AK!$B:$B)</f>
        <v>81</v>
      </c>
      <c r="N1016" s="1" t="str">
        <f aca="false">IF(M1016=K1016,"OK","DIF")</f>
        <v>OK</v>
      </c>
      <c r="O1016" s="13" t="str">
        <f aca="false">IFERROR(VLOOKUP($A1016,Lista_Starke!$A:$E,3,0),"NÃO ESTÁ NA LISTA")</f>
        <v>TOYOTA: Camry 2.4 16V 02/11
TOYOTA: RAV 4 2.0 16V   1AZFSE / 2AZFSE 01/03
TOYOTA: RAV 4 2.4 16V 04/08
TOYOTA: RAV 4 2.4 16V 2AZ FE 06/12</v>
      </c>
      <c r="P1016" s="12" t="str">
        <f aca="false">IFERROR(VLOOKUP($A1016,Lista_Starke!$A:$E,2,0),"NÃO ESTÁ NA LISTA")</f>
        <v>BOMBA D'ÁGUA</v>
      </c>
    </row>
    <row r="1017" customFormat="false" ht="15" hidden="false" customHeight="true" outlineLevel="0" collapsed="false">
      <c r="A1017" s="10" t="s">
        <v>2223</v>
      </c>
      <c r="B1017" s="10" t="str">
        <f aca="false">IFERROR(VLOOKUP(A1017,Pedido!$A:$B,2,0),"")</f>
        <v/>
      </c>
      <c r="C1017" s="10" t="str">
        <f aca="false">IF(B1017="","NÃO COMPRA","COMPRA")</f>
        <v>NÃO COMPRA</v>
      </c>
      <c r="D1017" s="1" t="n">
        <f aca="false">IFERROR(VLOOKUP(A1017,Pedido!$A:$C,3,0),0)</f>
        <v>0</v>
      </c>
      <c r="E1017" s="5" t="n">
        <f aca="false">IFERROR(VLOOKUP(A1017,Pedido!$A:$E,5,0),0)</f>
        <v>0</v>
      </c>
      <c r="F1017" s="1" t="s">
        <v>9</v>
      </c>
      <c r="G1017" s="1" t="s">
        <v>1336</v>
      </c>
      <c r="H1017" s="1" t="s">
        <v>35</v>
      </c>
      <c r="I1017" s="1" t="s">
        <v>1182</v>
      </c>
      <c r="J1017" s="1" t="s">
        <v>2224</v>
      </c>
      <c r="K1017" s="1" t="n">
        <v>81</v>
      </c>
      <c r="L1017" s="11" t="n">
        <v>0.95943804416393</v>
      </c>
      <c r="M1017" s="1" t="n">
        <f aca="false">SUMIF(Relatorio_AK!$A:$A,A1017,Relatorio_AK!$B:$B)</f>
        <v>81</v>
      </c>
      <c r="N1017" s="1" t="str">
        <f aca="false">IF(M1017=K1017,"OK","DIF")</f>
        <v>OK</v>
      </c>
      <c r="O1017" s="12" t="str">
        <f aca="false">IFERROR(VLOOKUP($A1017,Lista_Starke!$A:$E,3,0),"NÃO ESTÁ NA LISTA")</f>
        <v>KIA: Picanto 1.0 12V 12/15</v>
      </c>
      <c r="P1017" s="12" t="str">
        <f aca="false">IFERROR(VLOOKUP($A1017,Lista_Starke!$A:$E,2,0),"NÃO ESTÁ NA LISTA")</f>
        <v>CILINDRO MESTRE DE FREIO</v>
      </c>
    </row>
    <row r="1018" customFormat="false" ht="15" hidden="false" customHeight="true" outlineLevel="0" collapsed="false">
      <c r="A1018" s="10" t="s">
        <v>2225</v>
      </c>
      <c r="B1018" s="10" t="str">
        <f aca="false">IFERROR(VLOOKUP(A1018,Pedido!$A:$B,2,0),"")</f>
        <v/>
      </c>
      <c r="C1018" s="10" t="str">
        <f aca="false">IF(B1018="","NÃO COMPRA","COMPRA")</f>
        <v>NÃO COMPRA</v>
      </c>
      <c r="D1018" s="1" t="n">
        <f aca="false">IFERROR(VLOOKUP(A1018,Pedido!$A:$C,3,0),0)</f>
        <v>0</v>
      </c>
      <c r="E1018" s="5" t="n">
        <f aca="false">IFERROR(VLOOKUP(A1018,Pedido!$A:$E,5,0),0)</f>
        <v>0</v>
      </c>
      <c r="F1018" s="1" t="s">
        <v>9</v>
      </c>
      <c r="G1018" s="1" t="s">
        <v>1813</v>
      </c>
      <c r="H1018" s="1" t="s">
        <v>1073</v>
      </c>
      <c r="I1018" s="1" t="s">
        <v>36</v>
      </c>
      <c r="J1018" s="1" t="s">
        <v>2226</v>
      </c>
      <c r="K1018" s="1" t="n">
        <v>81</v>
      </c>
      <c r="L1018" s="11" t="n">
        <v>0.959576515880654</v>
      </c>
      <c r="M1018" s="1" t="n">
        <f aca="false">SUMIF(Relatorio_AK!$A:$A,A1018,Relatorio_AK!$B:$B)</f>
        <v>81</v>
      </c>
      <c r="N1018" s="1" t="str">
        <f aca="false">IF(M1018=K1018,"OK","DIF")</f>
        <v>OK</v>
      </c>
      <c r="O1018" s="12" t="str">
        <f aca="false">IFERROR(VLOOKUP($A1018,Lista_Starke!$A:$E,3,0),"NÃO ESTÁ NA LISTA")</f>
        <v>VOLKSWAGEN: Amarok 2.0 16V TDI   CDBA / CNFA 10/…</v>
      </c>
      <c r="P1018" s="12" t="str">
        <f aca="false">IFERROR(VLOOKUP($A1018,Lista_Starke!$A:$E,2,0),"NÃO ESTÁ NA LISTA")</f>
        <v>VÁLVULA TERMOSTÁTICA</v>
      </c>
    </row>
    <row r="1019" customFormat="false" ht="15" hidden="false" customHeight="true" outlineLevel="0" collapsed="false">
      <c r="A1019" s="10" t="s">
        <v>2227</v>
      </c>
      <c r="B1019" s="10" t="str">
        <f aca="false">IFERROR(VLOOKUP(A1019,Pedido!$A:$B,2,0),"")</f>
        <v/>
      </c>
      <c r="C1019" s="10" t="str">
        <f aca="false">IF(B1019="","NÃO COMPRA","COMPRA")</f>
        <v>NÃO COMPRA</v>
      </c>
      <c r="D1019" s="1" t="n">
        <f aca="false">IFERROR(VLOOKUP(A1019,Pedido!$A:$C,3,0),0)</f>
        <v>0</v>
      </c>
      <c r="E1019" s="5" t="n">
        <f aca="false">IFERROR(VLOOKUP(A1019,Pedido!$A:$E,5,0),0)</f>
        <v>0</v>
      </c>
      <c r="F1019" s="1" t="s">
        <v>9</v>
      </c>
      <c r="G1019" s="1" t="s">
        <v>1652</v>
      </c>
      <c r="H1019" s="1" t="s">
        <v>1358</v>
      </c>
      <c r="I1019" s="1" t="s">
        <v>97</v>
      </c>
      <c r="J1019" s="1" t="s">
        <v>2228</v>
      </c>
      <c r="K1019" s="1" t="n">
        <v>80</v>
      </c>
      <c r="L1019" s="11" t="n">
        <v>0.959713278070012</v>
      </c>
      <c r="M1019" s="1" t="n">
        <f aca="false">SUMIF(Relatorio_AK!$A:$A,A1019,Relatorio_AK!$B:$B)</f>
        <v>80</v>
      </c>
      <c r="N1019" s="1" t="str">
        <f aca="false">IF(M1019=K1019,"OK","DIF")</f>
        <v>OK</v>
      </c>
      <c r="O1019" s="13" t="str">
        <f aca="false">IFERROR(VLOOKUP($A1019,Lista_Starke!$A:$E,3,0),"NÃO ESTÁ NA LISTA")</f>
        <v>FIAT: Toro 4x2 16/...
JEEP: Compass 4x2 16/...
JEEP: Renegade  16/...</v>
      </c>
      <c r="P1019" s="12" t="str">
        <f aca="false">IFERROR(VLOOKUP($A1019,Lista_Starke!$A:$E,2,0),"NÃO ESTÁ NA LISTA")</f>
        <v>BANDEJA INFERIOR COMPLETA LD</v>
      </c>
    </row>
    <row r="1020" customFormat="false" ht="15" hidden="false" customHeight="true" outlineLevel="0" collapsed="false">
      <c r="A1020" s="10" t="s">
        <v>2229</v>
      </c>
      <c r="B1020" s="10" t="str">
        <f aca="false">IFERROR(VLOOKUP(A1020,Pedido!$A:$B,2,0),"")</f>
        <v/>
      </c>
      <c r="C1020" s="10" t="str">
        <f aca="false">IF(B1020="","NÃO COMPRA","COMPRA")</f>
        <v>NÃO COMPRA</v>
      </c>
      <c r="D1020" s="1" t="n">
        <f aca="false">IFERROR(VLOOKUP(A1020,Pedido!$A:$C,3,0),0)</f>
        <v>0</v>
      </c>
      <c r="E1020" s="5" t="n">
        <f aca="false">IFERROR(VLOOKUP(A1020,Pedido!$A:$E,5,0),0)</f>
        <v>0</v>
      </c>
      <c r="F1020" s="1" t="s">
        <v>9</v>
      </c>
      <c r="G1020" s="1" t="s">
        <v>349</v>
      </c>
      <c r="H1020" s="1" t="s">
        <v>197</v>
      </c>
      <c r="I1020" s="1" t="s">
        <v>57</v>
      </c>
      <c r="K1020" s="1" t="n">
        <v>80</v>
      </c>
      <c r="L1020" s="11" t="n">
        <v>0.959850040259369</v>
      </c>
      <c r="M1020" s="1" t="n">
        <f aca="false">SUMIF(Relatorio_AK!$A:$A,A1020,Relatorio_AK!$B:$B)</f>
        <v>80</v>
      </c>
      <c r="N1020" s="1" t="str">
        <f aca="false">IF(M1020=K1020,"OK","DIF")</f>
        <v>OK</v>
      </c>
      <c r="O1020" s="12" t="str">
        <f aca="false">IFERROR(VLOOKUP($A1020,Lista_Starke!$A:$E,3,0),"NÃO ESTÁ NA LISTA")</f>
        <v>GM: S10 2.5 Flex 15/...</v>
      </c>
      <c r="P1020" s="12" t="str">
        <f aca="false">IFERROR(VLOOKUP($A1020,Lista_Starke!$A:$E,2,0),"NÃO ESTÁ NA LISTA")</f>
        <v>BOMBA D'ÁGUA</v>
      </c>
    </row>
    <row r="1021" customFormat="false" ht="15" hidden="false" customHeight="true" outlineLevel="0" collapsed="false">
      <c r="A1021" s="10" t="s">
        <v>2230</v>
      </c>
      <c r="B1021" s="10" t="str">
        <f aca="false">IFERROR(VLOOKUP(A1021,Pedido!$A:$B,2,0),"")</f>
        <v/>
      </c>
      <c r="C1021" s="10" t="str">
        <f aca="false">IF(B1021="","NÃO COMPRA","COMPRA")</f>
        <v>NÃO COMPRA</v>
      </c>
      <c r="D1021" s="1" t="n">
        <f aca="false">IFERROR(VLOOKUP(A1021,Pedido!$A:$C,3,0),0)</f>
        <v>0</v>
      </c>
      <c r="E1021" s="5" t="n">
        <f aca="false">IFERROR(VLOOKUP(A1021,Pedido!$A:$E,5,0),0)</f>
        <v>0</v>
      </c>
      <c r="F1021" s="1" t="s">
        <v>9</v>
      </c>
      <c r="G1021" s="1" t="s">
        <v>2099</v>
      </c>
      <c r="H1021" s="1" t="s">
        <v>1358</v>
      </c>
      <c r="I1021" s="1" t="s">
        <v>57</v>
      </c>
      <c r="J1021" s="1" t="s">
        <v>2231</v>
      </c>
      <c r="K1021" s="1" t="n">
        <v>80</v>
      </c>
      <c r="L1021" s="11" t="n">
        <v>0.959986802448727</v>
      </c>
      <c r="M1021" s="1" t="n">
        <f aca="false">SUMIF(Relatorio_AK!$A:$A,A1021,Relatorio_AK!$B:$B)</f>
        <v>80</v>
      </c>
      <c r="N1021" s="1" t="str">
        <f aca="false">IF(M1021=K1021,"OK","DIF")</f>
        <v>OK</v>
      </c>
      <c r="O1021" s="13" t="str">
        <f aca="false">IFERROR(VLOOKUP($A1021,Lista_Starke!$A:$E,3,0),"NÃO ESTÁ NA LISTA")</f>
        <v>GM: Montana 1.2 12V Turbo 23/...
GM: Tracker 1.0 12V Turbo 20/...
GM: Tracker 1.2 12V Turbo 20/...</v>
      </c>
      <c r="P1021" s="12" t="str">
        <f aca="false">IFERROR(VLOOKUP($A1021,Lista_Starke!$A:$E,2,0),"NÃO ESTÁ NA LISTA")</f>
        <v>BANDEJA INFERIOR COMPLETA LD</v>
      </c>
    </row>
    <row r="1022" customFormat="false" ht="15" hidden="false" customHeight="true" outlineLevel="0" collapsed="false">
      <c r="A1022" s="10" t="s">
        <v>2232</v>
      </c>
      <c r="B1022" s="10" t="str">
        <f aca="false">IFERROR(VLOOKUP(A1022,Pedido!$A:$B,2,0),"")</f>
        <v/>
      </c>
      <c r="C1022" s="10" t="str">
        <f aca="false">IF(B1022="","NÃO COMPRA","COMPRA")</f>
        <v>NÃO COMPRA</v>
      </c>
      <c r="D1022" s="1" t="n">
        <f aca="false">IFERROR(VLOOKUP(A1022,Pedido!$A:$C,3,0),0)</f>
        <v>0</v>
      </c>
      <c r="E1022" s="5" t="n">
        <f aca="false">IFERROR(VLOOKUP(A1022,Pedido!$A:$E,5,0),0)</f>
        <v>0</v>
      </c>
      <c r="F1022" s="1" t="s">
        <v>9</v>
      </c>
      <c r="G1022" s="1" t="s">
        <v>2233</v>
      </c>
      <c r="H1022" s="1" t="s">
        <v>1358</v>
      </c>
      <c r="I1022" s="1" t="s">
        <v>50</v>
      </c>
      <c r="J1022" s="1" t="s">
        <v>2234</v>
      </c>
      <c r="K1022" s="1" t="n">
        <v>80</v>
      </c>
      <c r="L1022" s="11" t="n">
        <v>0.960123564638085</v>
      </c>
      <c r="M1022" s="1" t="n">
        <f aca="false">SUMIF(Relatorio_AK!$A:$A,A1022,Relatorio_AK!$B:$B)</f>
        <v>80</v>
      </c>
      <c r="N1022" s="1" t="str">
        <f aca="false">IF(M1022=K1022,"OK","DIF")</f>
        <v>OK</v>
      </c>
      <c r="O1022" s="12" t="str">
        <f aca="false">IFERROR(VLOOKUP($A1022,Lista_Starke!$A:$E,3,0),"NÃO ESTÁ NA LISTA")</f>
        <v>HONDA: New Civic 2.0 16V 16/...</v>
      </c>
      <c r="P1022" s="12" t="str">
        <f aca="false">IFERROR(VLOOKUP($A1022,Lista_Starke!$A:$E,2,0),"NÃO ESTÁ NA LISTA")</f>
        <v>BANDEJA INFERIOR COMPLETA LD</v>
      </c>
    </row>
    <row r="1023" customFormat="false" ht="15" hidden="false" customHeight="true" outlineLevel="0" collapsed="false">
      <c r="A1023" s="10" t="s">
        <v>2235</v>
      </c>
      <c r="B1023" s="10" t="str">
        <f aca="false">IFERROR(VLOOKUP(A1023,Pedido!$A:$B,2,0),"")</f>
        <v/>
      </c>
      <c r="C1023" s="10" t="str">
        <f aca="false">IF(B1023="","NÃO COMPRA","COMPRA")</f>
        <v>NÃO COMPRA</v>
      </c>
      <c r="D1023" s="1" t="n">
        <f aca="false">IFERROR(VLOOKUP(A1023,Pedido!$A:$C,3,0),0)</f>
        <v>0</v>
      </c>
      <c r="E1023" s="5" t="n">
        <f aca="false">IFERROR(VLOOKUP(A1023,Pedido!$A:$E,5,0),0)</f>
        <v>0</v>
      </c>
      <c r="F1023" s="1" t="s">
        <v>9</v>
      </c>
      <c r="G1023" s="1" t="s">
        <v>31</v>
      </c>
      <c r="H1023" s="1" t="s">
        <v>32</v>
      </c>
      <c r="I1023" s="1" t="s">
        <v>29</v>
      </c>
      <c r="K1023" s="1" t="n">
        <v>80</v>
      </c>
      <c r="L1023" s="11" t="n">
        <v>0.960260326827442</v>
      </c>
      <c r="M1023" s="1" t="n">
        <f aca="false">SUMIF(Relatorio_AK!$A:$A,A1023,Relatorio_AK!$B:$B)</f>
        <v>80</v>
      </c>
      <c r="N1023" s="1" t="str">
        <f aca="false">IF(M1023=K1023,"OK","DIF")</f>
        <v>OK</v>
      </c>
      <c r="O1023" s="12" t="str">
        <f aca="false">IFERROR(VLOOKUP($A1023,Lista_Starke!$A:$E,3,0),"NÃO ESTÁ NA LISTA")</f>
        <v>HYUNDAI: HD78 3.0 16V 11/...</v>
      </c>
      <c r="P1023" s="12" t="str">
        <f aca="false">IFERROR(VLOOKUP($A1023,Lista_Starke!$A:$E,2,0),"NÃO ESTÁ NA LISTA")</f>
        <v>CILINDRO MESTRE DE EMBREAGEM</v>
      </c>
    </row>
    <row r="1024" customFormat="false" ht="15" hidden="false" customHeight="true" outlineLevel="0" collapsed="false">
      <c r="A1024" s="10" t="s">
        <v>2236</v>
      </c>
      <c r="B1024" s="10" t="str">
        <f aca="false">IFERROR(VLOOKUP(A1024,Pedido!$A:$B,2,0),"")</f>
        <v/>
      </c>
      <c r="C1024" s="10" t="str">
        <f aca="false">IF(B1024="","NÃO COMPRA","COMPRA")</f>
        <v>NÃO COMPRA</v>
      </c>
      <c r="D1024" s="1" t="n">
        <f aca="false">IFERROR(VLOOKUP(A1024,Pedido!$A:$C,3,0),0)</f>
        <v>0</v>
      </c>
      <c r="E1024" s="5" t="n">
        <f aca="false">IFERROR(VLOOKUP(A1024,Pedido!$A:$E,5,0),0)</f>
        <v>0</v>
      </c>
      <c r="F1024" s="1" t="s">
        <v>9</v>
      </c>
      <c r="G1024" s="1" t="s">
        <v>2237</v>
      </c>
      <c r="H1024" s="1" t="s">
        <v>235</v>
      </c>
      <c r="I1024" s="1" t="s">
        <v>295</v>
      </c>
      <c r="J1024" s="1" t="s">
        <v>2238</v>
      </c>
      <c r="K1024" s="1" t="n">
        <v>80</v>
      </c>
      <c r="L1024" s="11" t="n">
        <v>0.9603970890168</v>
      </c>
      <c r="M1024" s="1" t="n">
        <f aca="false">SUMIF(Relatorio_AK!$A:$A,A1024,Relatorio_AK!$B:$B)</f>
        <v>80</v>
      </c>
      <c r="N1024" s="1" t="str">
        <f aca="false">IF(M1024=K1024,"OK","DIF")</f>
        <v>OK</v>
      </c>
      <c r="O1024" s="13" t="str">
        <f aca="false">IFERROR(VLOOKUP($A1024,Lista_Starke!$A:$E,3,0),"NÃO ESTÁ NA LISTA")</f>
        <v>CHERY: Tiggo 5X 1.5 16V Turbo E4T15B / E4G16 19/...
CHERY: Tiggo 5x Pro 1.5 16V Turbo Hybrid 22/...
CHERY: Tiggo 7 Pro 1.5 16V Turbo Hybrid 22/...</v>
      </c>
      <c r="P1024" s="12" t="str">
        <f aca="false">IFERROR(VLOOKUP($A1024,Lista_Starke!$A:$E,2,0),"NÃO ESTÁ NA LISTA")</f>
        <v>RESFRIADOR DE ÓLEO MOTOR</v>
      </c>
    </row>
    <row r="1025" customFormat="false" ht="15" hidden="false" customHeight="true" outlineLevel="0" collapsed="false">
      <c r="A1025" s="10" t="s">
        <v>2239</v>
      </c>
      <c r="B1025" s="10" t="str">
        <f aca="false">IFERROR(VLOOKUP(A1025,Pedido!$A:$B,2,0),"")</f>
        <v/>
      </c>
      <c r="C1025" s="10" t="str">
        <f aca="false">IF(B1025="","NÃO COMPRA","COMPRA")</f>
        <v>NÃO COMPRA</v>
      </c>
      <c r="D1025" s="1" t="n">
        <f aca="false">IFERROR(VLOOKUP(A1025,Pedido!$A:$C,3,0),0)</f>
        <v>0</v>
      </c>
      <c r="E1025" s="5" t="n">
        <f aca="false">IFERROR(VLOOKUP(A1025,Pedido!$A:$E,5,0),0)</f>
        <v>0</v>
      </c>
      <c r="F1025" s="1" t="s">
        <v>9</v>
      </c>
      <c r="G1025" s="1" t="s">
        <v>1909</v>
      </c>
      <c r="H1025" s="1" t="s">
        <v>1358</v>
      </c>
      <c r="I1025" s="1" t="s">
        <v>29</v>
      </c>
      <c r="J1025" s="1" t="s">
        <v>2240</v>
      </c>
      <c r="K1025" s="1" t="n">
        <v>79</v>
      </c>
      <c r="L1025" s="11" t="n">
        <v>0.96053214167879</v>
      </c>
      <c r="M1025" s="1" t="n">
        <f aca="false">SUMIF(Relatorio_AK!$A:$A,A1025,Relatorio_AK!$B:$B)</f>
        <v>79</v>
      </c>
      <c r="N1025" s="1" t="str">
        <f aca="false">IF(M1025=K1025,"OK","DIF")</f>
        <v>OK</v>
      </c>
      <c r="O1025" s="12" t="str">
        <f aca="false">IFERROR(VLOOKUP($A1025,Lista_Starke!$A:$E,3,0),"NÃO ESTÁ NA LISTA")</f>
        <v>HYUNDAI: HR  05/20</v>
      </c>
      <c r="P1025" s="12" t="str">
        <f aca="false">IFERROR(VLOOKUP($A1025,Lista_Starke!$A:$E,2,0),"NÃO ESTÁ NA LISTA")</f>
        <v>BANDEJA INFERIOR COMPLETA LE</v>
      </c>
    </row>
    <row r="1026" customFormat="false" ht="15" hidden="false" customHeight="true" outlineLevel="0" collapsed="false">
      <c r="A1026" s="10" t="s">
        <v>2241</v>
      </c>
      <c r="B1026" s="10" t="str">
        <f aca="false">IFERROR(VLOOKUP(A1026,Pedido!$A:$B,2,0),"")</f>
        <v/>
      </c>
      <c r="C1026" s="10" t="str">
        <f aca="false">IF(B1026="","NÃO COMPRA","COMPRA")</f>
        <v>NÃO COMPRA</v>
      </c>
      <c r="D1026" s="1" t="n">
        <f aca="false">IFERROR(VLOOKUP(A1026,Pedido!$A:$C,3,0),0)</f>
        <v>0</v>
      </c>
      <c r="E1026" s="5" t="n">
        <f aca="false">IFERROR(VLOOKUP(A1026,Pedido!$A:$E,5,0),0)</f>
        <v>0</v>
      </c>
      <c r="F1026" s="1" t="s">
        <v>9</v>
      </c>
      <c r="G1026" s="1" t="s">
        <v>829</v>
      </c>
      <c r="H1026" s="1" t="s">
        <v>28</v>
      </c>
      <c r="I1026" s="1" t="s">
        <v>255</v>
      </c>
      <c r="K1026" s="1" t="n">
        <v>79</v>
      </c>
      <c r="L1026" s="11" t="n">
        <v>0.960667194340781</v>
      </c>
      <c r="M1026" s="1" t="n">
        <f aca="false">SUMIF(Relatorio_AK!$A:$A,A1026,Relatorio_AK!$B:$B)</f>
        <v>79</v>
      </c>
      <c r="N1026" s="1" t="str">
        <f aca="false">IF(M1026=K1026,"OK","DIF")</f>
        <v>OK</v>
      </c>
      <c r="O1026" s="13" t="str">
        <f aca="false">IFERROR(VLOOKUP($A1026,Lista_Starke!$A:$E,3,0),"NÃO ESTÁ NA LISTA")</f>
        <v>MITSUBISHI: Pajero Dakar 3.2 16V 4M41 10/19
MITSUBISHI: Pajero Full 3.2 16V 4M41 01/19
MITSUBISHI: Pajero Full 3.8 V6 6G75 01/19</v>
      </c>
      <c r="P1026" s="12" t="str">
        <f aca="false">IFERROR(VLOOKUP($A1026,Lista_Starke!$A:$E,2,0),"NÃO ESTÁ NA LISTA")</f>
        <v>CILINDRO AUXILIAR DE EMBREAGEM</v>
      </c>
    </row>
    <row r="1027" customFormat="false" ht="15" hidden="false" customHeight="true" outlineLevel="0" collapsed="false">
      <c r="A1027" s="10" t="s">
        <v>2242</v>
      </c>
      <c r="B1027" s="10" t="str">
        <f aca="false">IFERROR(VLOOKUP(A1027,Pedido!$A:$B,2,0),"")</f>
        <v/>
      </c>
      <c r="C1027" s="10" t="str">
        <f aca="false">IF(B1027="","NÃO COMPRA","COMPRA")</f>
        <v>NÃO COMPRA</v>
      </c>
      <c r="D1027" s="1" t="n">
        <f aca="false">IFERROR(VLOOKUP(A1027,Pedido!$A:$C,3,0),0)</f>
        <v>0</v>
      </c>
      <c r="E1027" s="5" t="n">
        <f aca="false">IFERROR(VLOOKUP(A1027,Pedido!$A:$E,5,0),0)</f>
        <v>0</v>
      </c>
      <c r="F1027" s="1" t="s">
        <v>9</v>
      </c>
      <c r="G1027" s="1" t="s">
        <v>1564</v>
      </c>
      <c r="H1027" s="1" t="s">
        <v>197</v>
      </c>
      <c r="I1027" s="1" t="s">
        <v>2243</v>
      </c>
      <c r="J1027" s="1" t="s">
        <v>2244</v>
      </c>
      <c r="K1027" s="1" t="n">
        <v>79</v>
      </c>
      <c r="L1027" s="11" t="n">
        <v>0.960802247002771</v>
      </c>
      <c r="M1027" s="1" t="n">
        <f aca="false">SUMIF(Relatorio_AK!$A:$A,A1027,Relatorio_AK!$B:$B)</f>
        <v>79</v>
      </c>
      <c r="N1027" s="1" t="str">
        <f aca="false">IF(M1027=K1027,"OK","DIF")</f>
        <v>OK</v>
      </c>
      <c r="O1027" s="13" t="str">
        <f aca="false">IFERROR(VLOOKUP($A1027,Lista_Starke!$A:$E,3,0),"NÃO ESTÁ NA LISTA")</f>
        <v>FORD: F250 4.2 V6 Turbo MWM 4.07T / 4.07 TCA 99/12
GM: Blazer 2.8 4 cil Turbo Diesel MWM 4.07T / 4.07TCA 00/12
GM: Grand Blazer 4.2 V6 Turbo MWM 4.07T / 4.07TCA 97/01
GM: S10 2.8 4 cil Turbo Diesel MWM 4.07T / 4.07TCA 00/12
GM: Silverado 4.2 V6 Turbo MWM 4.07T / 4.07TCA 97/01
NISSAN: Frontier 2.8 4 cil Turbo Diesel MWM 4.07T / 4.07TCA 02/…
NISSAN: X Terra 2.8 4 cil Turbo Diesel MWM 4.07T / 4.07TCA 02/…
TROLLER: T4 2.8 4 cil Diesel MWM 4.07T / 4.07TCA 98/…</v>
      </c>
      <c r="P1027" s="12" t="str">
        <f aca="false">IFERROR(VLOOKUP($A1027,Lista_Starke!$A:$E,2,0),"NÃO ESTÁ NA LISTA")</f>
        <v>BOMBA D'ÁGUA</v>
      </c>
    </row>
    <row r="1028" customFormat="false" ht="15" hidden="false" customHeight="true" outlineLevel="0" collapsed="false">
      <c r="A1028" s="10" t="s">
        <v>2245</v>
      </c>
      <c r="B1028" s="10" t="str">
        <f aca="false">IFERROR(VLOOKUP(A1028,Pedido!$A:$B,2,0),"")</f>
        <v/>
      </c>
      <c r="C1028" s="10" t="str">
        <f aca="false">IF(B1028="","NÃO COMPRA","COMPRA")</f>
        <v>NÃO COMPRA</v>
      </c>
      <c r="D1028" s="1" t="n">
        <f aca="false">IFERROR(VLOOKUP(A1028,Pedido!$A:$C,3,0),0)</f>
        <v>0</v>
      </c>
      <c r="E1028" s="5" t="n">
        <f aca="false">IFERROR(VLOOKUP(A1028,Pedido!$A:$E,5,0),0)</f>
        <v>0</v>
      </c>
      <c r="F1028" s="1" t="s">
        <v>9</v>
      </c>
      <c r="G1028" s="1" t="s">
        <v>763</v>
      </c>
      <c r="H1028" s="1" t="s">
        <v>197</v>
      </c>
      <c r="I1028" s="1" t="s">
        <v>373</v>
      </c>
      <c r="K1028" s="1" t="n">
        <v>79</v>
      </c>
      <c r="L1028" s="11" t="n">
        <v>0.960937299664762</v>
      </c>
      <c r="M1028" s="1" t="n">
        <f aca="false">SUMIF(Relatorio_AK!$A:$A,A1028,Relatorio_AK!$B:$B)</f>
        <v>79</v>
      </c>
      <c r="N1028" s="1" t="str">
        <f aca="false">IF(M1028=K1028,"OK","DIF")</f>
        <v>OK</v>
      </c>
      <c r="O1028" s="12" t="str">
        <f aca="false">IFERROR(VLOOKUP($A1028,Lista_Starke!$A:$E,3,0),"NÃO ESTÁ NA LISTA")</f>
        <v>MERCEDES-BENZ: C180 (W203) 2.0 4cil M111.951 00/07</v>
      </c>
      <c r="P1028" s="12" t="str">
        <f aca="false">IFERROR(VLOOKUP($A1028,Lista_Starke!$A:$E,2,0),"NÃO ESTÁ NA LISTA")</f>
        <v>BOMBA D'ÁGUA</v>
      </c>
    </row>
    <row r="1029" customFormat="false" ht="15" hidden="false" customHeight="true" outlineLevel="0" collapsed="false">
      <c r="A1029" s="10" t="s">
        <v>2246</v>
      </c>
      <c r="B1029" s="10" t="str">
        <f aca="false">IFERROR(VLOOKUP(A1029,Pedido!$A:$B,2,0),"")</f>
        <v/>
      </c>
      <c r="C1029" s="10" t="str">
        <f aca="false">IF(B1029="","NÃO COMPRA","COMPRA")</f>
        <v>NÃO COMPRA</v>
      </c>
      <c r="D1029" s="1" t="n">
        <f aca="false">IFERROR(VLOOKUP(A1029,Pedido!$A:$C,3,0),0)</f>
        <v>0</v>
      </c>
      <c r="E1029" s="5" t="n">
        <f aca="false">IFERROR(VLOOKUP(A1029,Pedido!$A:$E,5,0),0)</f>
        <v>0</v>
      </c>
      <c r="F1029" s="1" t="s">
        <v>9</v>
      </c>
      <c r="G1029" s="1" t="s">
        <v>1285</v>
      </c>
      <c r="H1029" s="1" t="s">
        <v>131</v>
      </c>
      <c r="I1029" s="1" t="s">
        <v>1182</v>
      </c>
      <c r="J1029" s="1" t="s">
        <v>2247</v>
      </c>
      <c r="K1029" s="1" t="n">
        <v>79</v>
      </c>
      <c r="L1029" s="11" t="n">
        <v>0.961072352326752</v>
      </c>
      <c r="M1029" s="1" t="n">
        <f aca="false">SUMIF(Relatorio_AK!$A:$A,A1029,Relatorio_AK!$B:$B)</f>
        <v>79</v>
      </c>
      <c r="N1029" s="1" t="str">
        <f aca="false">IF(M1029=K1029,"OK","DIF")</f>
        <v>OK</v>
      </c>
      <c r="O1029" s="13" t="str">
        <f aca="false">IFERROR(VLOOKUP($A1029,Lista_Starke!$A:$E,3,0),"NÃO ESTÁ NA LISTA")</f>
        <v>KIA: Cerato 1.6 16V 04/16
KIA: Cerato Koup 2.0 16V 11/13
KIA: Soul 1.6 16V 11/20</v>
      </c>
      <c r="P1029" s="12" t="str">
        <f aca="false">IFERROR(VLOOKUP($A1029,Lista_Starke!$A:$E,2,0),"NÃO ESTÁ NA LISTA")</f>
        <v>SAPATA DE FREIO</v>
      </c>
    </row>
    <row r="1030" customFormat="false" ht="15" hidden="false" customHeight="true" outlineLevel="0" collapsed="false">
      <c r="A1030" s="10" t="s">
        <v>2248</v>
      </c>
      <c r="B1030" s="10" t="str">
        <f aca="false">IFERROR(VLOOKUP(A1030,Pedido!$A:$B,2,0),"")</f>
        <v/>
      </c>
      <c r="C1030" s="10" t="str">
        <f aca="false">IF(B1030="","NÃO COMPRA","COMPRA")</f>
        <v>NÃO COMPRA</v>
      </c>
      <c r="D1030" s="1" t="n">
        <f aca="false">IFERROR(VLOOKUP(A1030,Pedido!$A:$C,3,0),0)</f>
        <v>0</v>
      </c>
      <c r="E1030" s="5" t="n">
        <f aca="false">IFERROR(VLOOKUP(A1030,Pedido!$A:$E,5,0),0)</f>
        <v>0</v>
      </c>
      <c r="F1030" s="1" t="s">
        <v>9</v>
      </c>
      <c r="G1030" s="1" t="s">
        <v>207</v>
      </c>
      <c r="H1030" s="1" t="s">
        <v>906</v>
      </c>
      <c r="I1030" s="1" t="s">
        <v>42</v>
      </c>
      <c r="J1030" s="1" t="s">
        <v>2249</v>
      </c>
      <c r="K1030" s="1" t="n">
        <v>79</v>
      </c>
      <c r="L1030" s="11" t="n">
        <v>0.961207404988743</v>
      </c>
      <c r="M1030" s="1" t="n">
        <f aca="false">SUMIF(Relatorio_AK!$A:$A,A1030,Relatorio_AK!$B:$B)</f>
        <v>79</v>
      </c>
      <c r="N1030" s="1" t="str">
        <f aca="false">IF(M1030=K1030,"OK","DIF")</f>
        <v>OK</v>
      </c>
      <c r="O1030" s="13" t="str">
        <f aca="false">IFERROR(VLOOKUP($A1030,Lista_Starke!$A:$E,3,0),"NÃO ESTÁ NA LISTA")</f>
        <v>RENAULT: Captur 1.3 3cil Turbo H5H470 20/...
RENAULT: Duster 1.3 3cil Turbo H5H470 22/...</v>
      </c>
      <c r="P1030" s="12" t="str">
        <f aca="false">IFERROR(VLOOKUP($A1030,Lista_Starke!$A:$E,2,0),"NÃO ESTÁ NA LISTA")</f>
        <v>BOMBA D'ÁGUA AUXILIAR</v>
      </c>
    </row>
    <row r="1031" customFormat="false" ht="15" hidden="false" customHeight="true" outlineLevel="0" collapsed="false">
      <c r="A1031" s="10" t="s">
        <v>2250</v>
      </c>
      <c r="B1031" s="10" t="str">
        <f aca="false">IFERROR(VLOOKUP(A1031,Pedido!$A:$B,2,0),"")</f>
        <v/>
      </c>
      <c r="C1031" s="10" t="str">
        <f aca="false">IF(B1031="","NÃO COMPRA","COMPRA")</f>
        <v>NÃO COMPRA</v>
      </c>
      <c r="D1031" s="1" t="n">
        <f aca="false">IFERROR(VLOOKUP(A1031,Pedido!$A:$C,3,0),0)</f>
        <v>0</v>
      </c>
      <c r="E1031" s="5" t="n">
        <f aca="false">IFERROR(VLOOKUP(A1031,Pedido!$A:$E,5,0),0)</f>
        <v>0</v>
      </c>
      <c r="F1031" s="1" t="s">
        <v>9</v>
      </c>
      <c r="G1031" s="1" t="s">
        <v>1402</v>
      </c>
      <c r="H1031" s="1" t="s">
        <v>1073</v>
      </c>
      <c r="I1031" s="1" t="s">
        <v>2251</v>
      </c>
      <c r="J1031" s="1" t="s">
        <v>2252</v>
      </c>
      <c r="K1031" s="1" t="n">
        <v>79</v>
      </c>
      <c r="L1031" s="11" t="n">
        <v>0.961342457650733</v>
      </c>
      <c r="M1031" s="1" t="n">
        <f aca="false">SUMIF(Relatorio_AK!$A:$A,A1031,Relatorio_AK!$B:$B)</f>
        <v>79</v>
      </c>
      <c r="N1031" s="1" t="str">
        <f aca="false">IF(M1031=K1031,"OK","DIF")</f>
        <v>OK</v>
      </c>
      <c r="O1031" s="13" t="str">
        <f aca="false">IFERROR(VLOOKUP($A1031,Lista_Starke!$A:$E,3,0),"NÃO ESTÁ NA LISTA")</f>
        <v>FORD: Fusion 2.0 16V Turbo Ecoboost 13/…
LAND ROVER: Evoque 2.0 Si4       204PT 11/…
VOLVO: C30 1.8 16V / 2.0 16V 06/…
VOLVO: S40 1.8 16V / 2.0 16V 07/…
VOLVO: S60 2.0 20V Turbo 5 cil 05/…
VOLVO: S60 T5 2.0 20V Turbo 5 cil 05/…
VOLVO: S80 2.0 16V 07/…
VOLVO: S80 2.0 20V Turbo 5 cil 10/…
VOLVO: V60 2.0 20V Turbo 5 cil 06/…
VOLVO: V60 T5 2.0 20V Turbo 5 cil 10/…
VOLVO: V70 2.0 16V 07/…
VOLVO: V70 2.0 20V Turbo 5 cil 10/…
VOLVO: V70 T5 2.0 20V Turbo 5 cil 10/…
VOLVO: XC60 2.0 20V Turbo 5 cil 10/…
VOLVO: XC60 T5 2.0 20V Turbo 5 cil 10/…</v>
      </c>
      <c r="P1031" s="12" t="str">
        <f aca="false">IFERROR(VLOOKUP($A1031,Lista_Starke!$A:$E,2,0),"NÃO ESTÁ NA LISTA")</f>
        <v>VÁLVULA TERMOSTÁTICA</v>
      </c>
    </row>
    <row r="1032" customFormat="false" ht="15" hidden="false" customHeight="true" outlineLevel="0" collapsed="false">
      <c r="A1032" s="10" t="s">
        <v>2253</v>
      </c>
      <c r="B1032" s="10" t="str">
        <f aca="false">IFERROR(VLOOKUP(A1032,Pedido!$A:$B,2,0),"")</f>
        <v/>
      </c>
      <c r="C1032" s="10" t="str">
        <f aca="false">IF(B1032="","NÃO COMPRA","COMPRA")</f>
        <v>NÃO COMPRA</v>
      </c>
      <c r="D1032" s="1" t="n">
        <f aca="false">IFERROR(VLOOKUP(A1032,Pedido!$A:$C,3,0),0)</f>
        <v>0</v>
      </c>
      <c r="E1032" s="5" t="n">
        <f aca="false">IFERROR(VLOOKUP(A1032,Pedido!$A:$E,5,0),0)</f>
        <v>0</v>
      </c>
      <c r="F1032" s="1" t="s">
        <v>9</v>
      </c>
      <c r="G1032" s="1" t="s">
        <v>52</v>
      </c>
      <c r="H1032" s="1" t="s">
        <v>35</v>
      </c>
      <c r="I1032" s="1" t="s">
        <v>53</v>
      </c>
      <c r="J1032" s="1" t="s">
        <v>2254</v>
      </c>
      <c r="K1032" s="1" t="n">
        <v>79</v>
      </c>
      <c r="L1032" s="11" t="n">
        <v>0.961477510312724</v>
      </c>
      <c r="M1032" s="1" t="n">
        <f aca="false">SUMIF(Relatorio_AK!$A:$A,A1032,Relatorio_AK!$B:$B)</f>
        <v>79</v>
      </c>
      <c r="N1032" s="1" t="str">
        <f aca="false">IF(M1032=K1032,"OK","DIF")</f>
        <v>OK</v>
      </c>
      <c r="O1032" s="12" t="str">
        <f aca="false">IFERROR(VLOOKUP($A1032,Lista_Starke!$A:$E,3,0),"NÃO ESTÁ NA LISTA")</f>
        <v>FORD: New Fiesta 1.5 16V / 1.6 16V Sigma 10/18</v>
      </c>
      <c r="P1032" s="12" t="str">
        <f aca="false">IFERROR(VLOOKUP($A1032,Lista_Starke!$A:$E,2,0),"NÃO ESTÁ NA LISTA")</f>
        <v>CILINDRO MESTRE DE FREIO</v>
      </c>
    </row>
    <row r="1033" customFormat="false" ht="15" hidden="false" customHeight="true" outlineLevel="0" collapsed="false">
      <c r="A1033" s="10" t="s">
        <v>2255</v>
      </c>
      <c r="B1033" s="10" t="str">
        <f aca="false">IFERROR(VLOOKUP(A1033,Pedido!$A:$B,2,0),"")</f>
        <v/>
      </c>
      <c r="C1033" s="10" t="str">
        <f aca="false">IF(B1033="","NÃO COMPRA","COMPRA")</f>
        <v>NÃO COMPRA</v>
      </c>
      <c r="D1033" s="1" t="n">
        <f aca="false">IFERROR(VLOOKUP(A1033,Pedido!$A:$C,3,0),0)</f>
        <v>0</v>
      </c>
      <c r="E1033" s="5" t="n">
        <f aca="false">IFERROR(VLOOKUP(A1033,Pedido!$A:$E,5,0),0)</f>
        <v>0</v>
      </c>
      <c r="F1033" s="1" t="s">
        <v>9</v>
      </c>
      <c r="G1033" s="1" t="s">
        <v>826</v>
      </c>
      <c r="H1033" s="1" t="s">
        <v>197</v>
      </c>
      <c r="I1033" s="1" t="s">
        <v>1157</v>
      </c>
      <c r="K1033" s="1" t="n">
        <v>78</v>
      </c>
      <c r="L1033" s="11" t="n">
        <v>0.961610853447348</v>
      </c>
      <c r="M1033" s="1" t="n">
        <f aca="false">SUMIF(Relatorio_AK!$A:$A,A1033,Relatorio_AK!$B:$B)</f>
        <v>78</v>
      </c>
      <c r="N1033" s="1" t="str">
        <f aca="false">IF(M1033=K1033,"OK","DIF")</f>
        <v>OK</v>
      </c>
      <c r="O1033" s="13" t="str">
        <f aca="false">IFERROR(VLOOKUP($A1033,Lista_Starke!$A:$E,3,0),"NÃO ESTÁ NA LISTA")</f>
        <v>BMW: 120i (F20/F21) 2.0 16V B48B20A 16/19
BMW: 125i (F20/F21) 2.0 16V B48B20A 16/19
BMW: 220i (F22/F87) 2.0 16V B48B20A 15/21
BMW: 230i (F22/F87) 2.0 16V B48B20B / B46B20B 16/21
BMW: 320i (F30/F80) 2.0 16V B48B20A 15/18
BMW: 320i (F31) 2.0 16V 15/19
BMW: 320i (G20) 1.6 16V B48B16A 19/...
BMW: 330i (F30/F80) 2.0 16V B48B20A . B46B20B 15/18
BMW: 330i (F31) 2.0 16V B48B20A / B46B20B 15/19
BMW: 420i (F32/F82) 2.0 16V B48B20A 16/20
BMW: 430i (F32/F82) 2.0 16V B48B20B / B46B20B 16/20
BMW: 530i (G30/G21) 2.0 16V B48B20A / B46B20B 15/20
BMW: 630i (G32) 2.0 16V B48B20A / B46B20B 15/20
BMW: 730i (G11/G12) 2.0 16V B48B20A / B46B20B 14/20
BMW: X3 (G01) sDrive 20i 1.6 16V B48B16A 17/...
BMW: X3 (G01) sDrive 20i 2.0 16V B48B20A 17/...
BMW: X3 (G01) xDrive 20i 2.016V B48N20A / B48V20B 17/...
BMW: X4 (G02) xDrive 20i 2.0 16V B48B20A 18/...
BMW: X4 (G02) xDrive 30i 2.0 16V B48B20B / B46B20B 18/...</v>
      </c>
      <c r="P1033" s="12" t="str">
        <f aca="false">IFERROR(VLOOKUP($A1033,Lista_Starke!$A:$E,2,0),"NÃO ESTÁ NA LISTA")</f>
        <v>BOMBA D'ÁGUA</v>
      </c>
    </row>
    <row r="1034" customFormat="false" ht="15" hidden="false" customHeight="true" outlineLevel="0" collapsed="false">
      <c r="A1034" s="10" t="s">
        <v>2256</v>
      </c>
      <c r="B1034" s="10" t="str">
        <f aca="false">IFERROR(VLOOKUP(A1034,Pedido!$A:$B,2,0),"")</f>
        <v/>
      </c>
      <c r="C1034" s="10" t="str">
        <f aca="false">IF(B1034="","NÃO COMPRA","COMPRA")</f>
        <v>NÃO COMPRA</v>
      </c>
      <c r="D1034" s="1" t="n">
        <f aca="false">IFERROR(VLOOKUP(A1034,Pedido!$A:$C,3,0),0)</f>
        <v>0</v>
      </c>
      <c r="E1034" s="5" t="n">
        <f aca="false">IFERROR(VLOOKUP(A1034,Pedido!$A:$E,5,0),0)</f>
        <v>0</v>
      </c>
      <c r="F1034" s="1" t="s">
        <v>9</v>
      </c>
      <c r="G1034" s="1" t="s">
        <v>2016</v>
      </c>
      <c r="H1034" s="1" t="s">
        <v>1358</v>
      </c>
      <c r="I1034" s="1" t="s">
        <v>1987</v>
      </c>
      <c r="K1034" s="1" t="n">
        <v>78</v>
      </c>
      <c r="L1034" s="11" t="n">
        <v>0.961744196581971</v>
      </c>
      <c r="M1034" s="1" t="n">
        <f aca="false">SUMIF(Relatorio_AK!$A:$A,A1034,Relatorio_AK!$B:$B)</f>
        <v>78</v>
      </c>
      <c r="N1034" s="1" t="str">
        <f aca="false">IF(M1034=K1034,"OK","DIF")</f>
        <v>OK</v>
      </c>
      <c r="O1034" s="12" t="str">
        <f aca="false">IFERROR(VLOOKUP($A1034,Lista_Starke!$A:$E,3,0),"NÃO ESTÁ NA LISTA")</f>
        <v>BYD: Song Plus 1.5 16V 23/...</v>
      </c>
      <c r="P1034" s="12" t="str">
        <f aca="false">IFERROR(VLOOKUP($A1034,Lista_Starke!$A:$E,2,0),"NÃO ESTÁ NA LISTA")</f>
        <v>BANDEJA INFERIOR COMPLETA LE</v>
      </c>
    </row>
    <row r="1035" customFormat="false" ht="15" hidden="false" customHeight="true" outlineLevel="0" collapsed="false">
      <c r="A1035" s="10" t="s">
        <v>2257</v>
      </c>
      <c r="B1035" s="10" t="str">
        <f aca="false">IFERROR(VLOOKUP(A1035,Pedido!$A:$B,2,0),"")</f>
        <v/>
      </c>
      <c r="C1035" s="10" t="str">
        <f aca="false">IF(B1035="","NÃO COMPRA","COMPRA")</f>
        <v>NÃO COMPRA</v>
      </c>
      <c r="D1035" s="1" t="n">
        <f aca="false">IFERROR(VLOOKUP(A1035,Pedido!$A:$C,3,0),0)</f>
        <v>0</v>
      </c>
      <c r="E1035" s="5" t="n">
        <f aca="false">IFERROR(VLOOKUP(A1035,Pedido!$A:$E,5,0),0)</f>
        <v>0</v>
      </c>
      <c r="F1035" s="1" t="s">
        <v>9</v>
      </c>
      <c r="G1035" s="1" t="s">
        <v>1175</v>
      </c>
      <c r="H1035" s="1" t="s">
        <v>197</v>
      </c>
      <c r="I1035" s="1" t="s">
        <v>1030</v>
      </c>
      <c r="J1035" s="1" t="s">
        <v>2258</v>
      </c>
      <c r="K1035" s="1" t="n">
        <v>78</v>
      </c>
      <c r="L1035" s="11" t="n">
        <v>0.961877539716595</v>
      </c>
      <c r="M1035" s="1" t="n">
        <f aca="false">SUMIF(Relatorio_AK!$A:$A,A1035,Relatorio_AK!$B:$B)</f>
        <v>78</v>
      </c>
      <c r="N1035" s="1" t="str">
        <f aca="false">IF(M1035=K1035,"OK","DIF")</f>
        <v>OK</v>
      </c>
      <c r="O1035" s="13" t="str">
        <f aca="false">IFERROR(VLOOKUP($A1035,Lista_Starke!$A:$E,3,0),"NÃO ESTÁ NA LISTA")</f>
        <v>DODGE: Dakota 3.9 V6 318 93/02
DODGE: Dakota 5.2 V8 360 93/98
DODGE: Dakota 5.9 V8 360 98/02
DODGE: Ram 1500 / 2500 / 3500 3.9 V6 318 94/97
DODGE: Ram 1500 / 2500 / 3500 5.2 V8 360 94/01
DODGE: Ram 1500 / 2500 / 3500 5.9 V8 360 94/02
JEEP: Grand Cherokee 5.2 V8 360 93/98
JEEP: Grand Cherokee 5.9 V8 360 98</v>
      </c>
      <c r="P1035" s="12" t="str">
        <f aca="false">IFERROR(VLOOKUP($A1035,Lista_Starke!$A:$E,2,0),"NÃO ESTÁ NA LISTA")</f>
        <v>BOMBA D'ÁGUA</v>
      </c>
    </row>
    <row r="1036" customFormat="false" ht="15" hidden="false" customHeight="true" outlineLevel="0" collapsed="false">
      <c r="A1036" s="10" t="s">
        <v>2259</v>
      </c>
      <c r="B1036" s="10" t="str">
        <f aca="false">IFERROR(VLOOKUP(A1036,Pedido!$A:$B,2,0),"")</f>
        <v/>
      </c>
      <c r="C1036" s="10" t="str">
        <f aca="false">IF(B1036="","NÃO COMPRA","COMPRA")</f>
        <v>NÃO COMPRA</v>
      </c>
      <c r="D1036" s="1" t="n">
        <f aca="false">IFERROR(VLOOKUP(A1036,Pedido!$A:$C,3,0),0)</f>
        <v>0</v>
      </c>
      <c r="E1036" s="5" t="n">
        <f aca="false">IFERROR(VLOOKUP(A1036,Pedido!$A:$E,5,0),0)</f>
        <v>0</v>
      </c>
      <c r="F1036" s="1" t="s">
        <v>9</v>
      </c>
      <c r="G1036" s="1" t="s">
        <v>349</v>
      </c>
      <c r="H1036" s="1" t="s">
        <v>197</v>
      </c>
      <c r="I1036" s="1" t="s">
        <v>57</v>
      </c>
      <c r="K1036" s="1" t="n">
        <v>78</v>
      </c>
      <c r="L1036" s="11" t="n">
        <v>0.962010882851218</v>
      </c>
      <c r="M1036" s="1" t="n">
        <f aca="false">SUMIF(Relatorio_AK!$A:$A,A1036,Relatorio_AK!$B:$B)</f>
        <v>78</v>
      </c>
      <c r="N1036" s="1" t="str">
        <f aca="false">IF(M1036=K1036,"OK","DIF")</f>
        <v>OK</v>
      </c>
      <c r="O1036" s="12" t="str">
        <f aca="false">IFERROR(VLOOKUP($A1036,Lista_Starke!$A:$E,3,0),"NÃO ESTÁ NA LISTA")</f>
        <v>GM: S10 2.5 Flex 15/...</v>
      </c>
      <c r="P1036" s="12" t="str">
        <f aca="false">IFERROR(VLOOKUP($A1036,Lista_Starke!$A:$E,2,0),"NÃO ESTÁ NA LISTA")</f>
        <v>BOMBA D'ÁGUA</v>
      </c>
    </row>
    <row r="1037" customFormat="false" ht="15" hidden="false" customHeight="true" outlineLevel="0" collapsed="false">
      <c r="A1037" s="10" t="s">
        <v>2260</v>
      </c>
      <c r="B1037" s="10" t="str">
        <f aca="false">IFERROR(VLOOKUP(A1037,Pedido!$A:$B,2,0),"")</f>
        <v/>
      </c>
      <c r="C1037" s="10" t="str">
        <f aca="false">IF(B1037="","NÃO COMPRA","COMPRA")</f>
        <v>NÃO COMPRA</v>
      </c>
      <c r="D1037" s="1" t="n">
        <f aca="false">IFERROR(VLOOKUP(A1037,Pedido!$A:$C,3,0),0)</f>
        <v>0</v>
      </c>
      <c r="E1037" s="5" t="n">
        <f aca="false">IFERROR(VLOOKUP(A1037,Pedido!$A:$E,5,0),0)</f>
        <v>0</v>
      </c>
      <c r="F1037" s="1" t="s">
        <v>9</v>
      </c>
      <c r="G1037" s="1" t="s">
        <v>1326</v>
      </c>
      <c r="H1037" s="1" t="s">
        <v>197</v>
      </c>
      <c r="I1037" s="1" t="s">
        <v>177</v>
      </c>
      <c r="J1037" s="1" t="s">
        <v>2261</v>
      </c>
      <c r="K1037" s="1" t="n">
        <v>78</v>
      </c>
      <c r="L1037" s="11" t="n">
        <v>0.962144225985842</v>
      </c>
      <c r="M1037" s="1" t="n">
        <f aca="false">SUMIF(Relatorio_AK!$A:$A,A1037,Relatorio_AK!$B:$B)</f>
        <v>78</v>
      </c>
      <c r="N1037" s="1" t="str">
        <f aca="false">IF(M1037=K1037,"OK","DIF")</f>
        <v>OK</v>
      </c>
      <c r="O1037" s="13" t="str">
        <f aca="false">IFERROR(VLOOKUP($A1037,Lista_Starke!$A:$E,3,0),"NÃO ESTÁ NA LISTA")</f>
        <v>TOYOTA: Etios 1.3 16V 17/21
TOYOTA: Yaris 1.5 16V 18/...</v>
      </c>
      <c r="P1037" s="12" t="str">
        <f aca="false">IFERROR(VLOOKUP($A1037,Lista_Starke!$A:$E,2,0),"NÃO ESTÁ NA LISTA")</f>
        <v>BOMBA D'ÁGUA</v>
      </c>
    </row>
    <row r="1038" customFormat="false" ht="15" hidden="false" customHeight="true" outlineLevel="0" collapsed="false">
      <c r="A1038" s="10" t="s">
        <v>2262</v>
      </c>
      <c r="B1038" s="10" t="str">
        <f aca="false">IFERROR(VLOOKUP(A1038,Pedido!$A:$B,2,0),"")</f>
        <v/>
      </c>
      <c r="C1038" s="10" t="str">
        <f aca="false">IF(B1038="","NÃO COMPRA","COMPRA")</f>
        <v>NÃO COMPRA</v>
      </c>
      <c r="D1038" s="1" t="n">
        <f aca="false">IFERROR(VLOOKUP(A1038,Pedido!$A:$C,3,0),0)</f>
        <v>0</v>
      </c>
      <c r="E1038" s="5" t="n">
        <f aca="false">IFERROR(VLOOKUP(A1038,Pedido!$A:$E,5,0),0)</f>
        <v>0</v>
      </c>
      <c r="F1038" s="1" t="s">
        <v>9</v>
      </c>
      <c r="G1038" s="1" t="s">
        <v>356</v>
      </c>
      <c r="H1038" s="1" t="s">
        <v>845</v>
      </c>
      <c r="I1038" s="1" t="s">
        <v>172</v>
      </c>
      <c r="J1038" s="1" t="s">
        <v>2263</v>
      </c>
      <c r="K1038" s="1" t="n">
        <v>78</v>
      </c>
      <c r="L1038" s="11" t="n">
        <v>0.962277569120465</v>
      </c>
      <c r="M1038" s="1" t="n">
        <f aca="false">SUMIF(Relatorio_AK!$A:$A,A1038,Relatorio_AK!$B:$B)</f>
        <v>78</v>
      </c>
      <c r="N1038" s="1" t="str">
        <f aca="false">IF(M1038=K1038,"OK","DIF")</f>
        <v>OK</v>
      </c>
      <c r="O1038" s="13" t="str">
        <f aca="false">IFERROR(VLOOKUP($A1038,Lista_Starke!$A:$E,3,0),"NÃO ESTÁ NA LISTA")</f>
        <v>HYUNDAI: Azera 3.3 24V V6   G6DB 07/11
HYUNDAI: Santa Fe 2.7 V6 G6BA / G6EA 06/…
HYUNDAI: Santa Fe 3.3 24V V6   G6DB 13/…
KIA: Sorento 3.3 24V V6   G6DG 07/…</v>
      </c>
      <c r="P1038" s="12" t="str">
        <f aca="false">IFERROR(VLOOKUP($A1038,Lista_Starke!$A:$E,2,0),"NÃO ESTÁ NA LISTA")</f>
        <v>SAPATA DE FREIO DE MÃO</v>
      </c>
    </row>
    <row r="1039" customFormat="false" ht="15" hidden="false" customHeight="true" outlineLevel="0" collapsed="false">
      <c r="A1039" s="10" t="s">
        <v>2264</v>
      </c>
      <c r="B1039" s="10" t="str">
        <f aca="false">IFERROR(VLOOKUP(A1039,Pedido!$A:$B,2,0),"")</f>
        <v/>
      </c>
      <c r="C1039" s="10" t="str">
        <f aca="false">IF(B1039="","NÃO COMPRA","COMPRA")</f>
        <v>NÃO COMPRA</v>
      </c>
      <c r="D1039" s="1" t="n">
        <f aca="false">IFERROR(VLOOKUP(A1039,Pedido!$A:$C,3,0),0)</f>
        <v>0</v>
      </c>
      <c r="E1039" s="5" t="n">
        <f aca="false">IFERROR(VLOOKUP(A1039,Pedido!$A:$E,5,0),0)</f>
        <v>0</v>
      </c>
      <c r="F1039" s="1" t="s">
        <v>9</v>
      </c>
      <c r="G1039" s="1" t="s">
        <v>2265</v>
      </c>
      <c r="H1039" s="1" t="s">
        <v>88</v>
      </c>
      <c r="I1039" s="1" t="s">
        <v>1182</v>
      </c>
      <c r="J1039" s="1" t="s">
        <v>2266</v>
      </c>
      <c r="K1039" s="1" t="n">
        <v>78</v>
      </c>
      <c r="L1039" s="11" t="n">
        <v>0.962410912255089</v>
      </c>
      <c r="M1039" s="1" t="n">
        <f aca="false">SUMIF(Relatorio_AK!$A:$A,A1039,Relatorio_AK!$B:$B)</f>
        <v>78</v>
      </c>
      <c r="N1039" s="1" t="str">
        <f aca="false">IF(M1039=K1039,"OK","DIF")</f>
        <v>OK</v>
      </c>
      <c r="O1039" s="12" t="str">
        <f aca="false">IFERROR(VLOOKUP($A1039,Lista_Starke!$A:$E,3,0),"NÃO ESTÁ NA LISTA")</f>
        <v>KIA: Picanto 1.0 12V 3 cil. 12/20</v>
      </c>
      <c r="P1039" s="12" t="str">
        <f aca="false">IFERROR(VLOOKUP($A1039,Lista_Starke!$A:$E,2,0),"NÃO ESTÁ NA LISTA")</f>
        <v>CILINDRO DE RODA LE</v>
      </c>
    </row>
    <row r="1040" customFormat="false" ht="15" hidden="false" customHeight="true" outlineLevel="0" collapsed="false">
      <c r="A1040" s="10" t="s">
        <v>2267</v>
      </c>
      <c r="B1040" s="10" t="str">
        <f aca="false">IFERROR(VLOOKUP(A1040,Pedido!$A:$B,2,0),"")</f>
        <v/>
      </c>
      <c r="C1040" s="10" t="str">
        <f aca="false">IF(B1040="","NÃO COMPRA","COMPRA")</f>
        <v>NÃO COMPRA</v>
      </c>
      <c r="D1040" s="1" t="n">
        <f aca="false">IFERROR(VLOOKUP(A1040,Pedido!$A:$C,3,0),0)</f>
        <v>0</v>
      </c>
      <c r="E1040" s="5" t="n">
        <f aca="false">IFERROR(VLOOKUP(A1040,Pedido!$A:$E,5,0),0)</f>
        <v>0</v>
      </c>
      <c r="F1040" s="1" t="s">
        <v>9</v>
      </c>
      <c r="G1040" s="1" t="s">
        <v>214</v>
      </c>
      <c r="H1040" s="1" t="s">
        <v>35</v>
      </c>
      <c r="I1040" s="1" t="s">
        <v>215</v>
      </c>
      <c r="J1040" s="1" t="s">
        <v>2268</v>
      </c>
      <c r="K1040" s="1" t="n">
        <v>78</v>
      </c>
      <c r="L1040" s="11" t="n">
        <v>0.962544255389712</v>
      </c>
      <c r="M1040" s="1" t="n">
        <f aca="false">SUMIF(Relatorio_AK!$A:$A,A1040,Relatorio_AK!$B:$B)</f>
        <v>78</v>
      </c>
      <c r="N1040" s="1" t="str">
        <f aca="false">IF(M1040=K1040,"OK","DIF")</f>
        <v>OK</v>
      </c>
      <c r="O1040" s="12" t="str">
        <f aca="false">IFERROR(VLOOKUP($A1040,Lista_Starke!$A:$E,3,0),"NÃO ESTÁ NA LISTA")</f>
        <v>NISSAN: Versa 1.6 16V 20/...</v>
      </c>
      <c r="P1040" s="12" t="str">
        <f aca="false">IFERROR(VLOOKUP($A1040,Lista_Starke!$A:$E,2,0),"NÃO ESTÁ NA LISTA")</f>
        <v>CILINDRO MESTRE DE FREIO</v>
      </c>
    </row>
    <row r="1041" customFormat="false" ht="15" hidden="false" customHeight="true" outlineLevel="0" collapsed="false">
      <c r="A1041" s="10" t="s">
        <v>2269</v>
      </c>
      <c r="B1041" s="10" t="str">
        <f aca="false">IFERROR(VLOOKUP(A1041,Pedido!$A:$B,2,0),"")</f>
        <v/>
      </c>
      <c r="C1041" s="10" t="str">
        <f aca="false">IF(B1041="","NÃO COMPRA","COMPRA")</f>
        <v>NÃO COMPRA</v>
      </c>
      <c r="D1041" s="1" t="n">
        <f aca="false">IFERROR(VLOOKUP(A1041,Pedido!$A:$C,3,0),0)</f>
        <v>0</v>
      </c>
      <c r="E1041" s="5" t="n">
        <f aca="false">IFERROR(VLOOKUP(A1041,Pedido!$A:$E,5,0),0)</f>
        <v>0</v>
      </c>
      <c r="F1041" s="1" t="s">
        <v>9</v>
      </c>
      <c r="G1041" s="1" t="s">
        <v>1909</v>
      </c>
      <c r="H1041" s="1" t="s">
        <v>1358</v>
      </c>
      <c r="I1041" s="1" t="s">
        <v>29</v>
      </c>
      <c r="J1041" s="1" t="s">
        <v>2270</v>
      </c>
      <c r="K1041" s="1" t="n">
        <v>77</v>
      </c>
      <c r="L1041" s="11" t="n">
        <v>0.962675888996969</v>
      </c>
      <c r="M1041" s="1" t="n">
        <f aca="false">SUMIF(Relatorio_AK!$A:$A,A1041,Relatorio_AK!$B:$B)</f>
        <v>77</v>
      </c>
      <c r="N1041" s="1" t="str">
        <f aca="false">IF(M1041=K1041,"OK","DIF")</f>
        <v>OK</v>
      </c>
      <c r="O1041" s="12" t="str">
        <f aca="false">IFERROR(VLOOKUP($A1041,Lista_Starke!$A:$E,3,0),"NÃO ESTÁ NA LISTA")</f>
        <v>HYUNDAI: Creta 1.6 16V 21/...</v>
      </c>
      <c r="P1041" s="12" t="str">
        <f aca="false">IFERROR(VLOOKUP($A1041,Lista_Starke!$A:$E,2,0),"NÃO ESTÁ NA LISTA")</f>
        <v>BANDEJA INFERIOR COMPLETA LE</v>
      </c>
    </row>
    <row r="1042" customFormat="false" ht="15" hidden="false" customHeight="true" outlineLevel="0" collapsed="false">
      <c r="A1042" s="10" t="s">
        <v>2271</v>
      </c>
      <c r="B1042" s="10" t="str">
        <f aca="false">IFERROR(VLOOKUP(A1042,Pedido!$A:$B,2,0),"")</f>
        <v/>
      </c>
      <c r="C1042" s="10" t="str">
        <f aca="false">IF(B1042="","NÃO COMPRA","COMPRA")</f>
        <v>NÃO COMPRA</v>
      </c>
      <c r="D1042" s="1" t="n">
        <f aca="false">IFERROR(VLOOKUP(A1042,Pedido!$A:$C,3,0),0)</f>
        <v>0</v>
      </c>
      <c r="E1042" s="5" t="n">
        <f aca="false">IFERROR(VLOOKUP(A1042,Pedido!$A:$E,5,0),0)</f>
        <v>0</v>
      </c>
      <c r="F1042" s="1" t="s">
        <v>9</v>
      </c>
      <c r="G1042" s="1" t="s">
        <v>1326</v>
      </c>
      <c r="H1042" s="1" t="s">
        <v>197</v>
      </c>
      <c r="I1042" s="1" t="s">
        <v>177</v>
      </c>
      <c r="J1042" s="1" t="s">
        <v>2272</v>
      </c>
      <c r="K1042" s="1" t="n">
        <v>77</v>
      </c>
      <c r="L1042" s="11" t="n">
        <v>0.962807522604226</v>
      </c>
      <c r="M1042" s="1" t="n">
        <f aca="false">SUMIF(Relatorio_AK!$A:$A,A1042,Relatorio_AK!$B:$B)</f>
        <v>77</v>
      </c>
      <c r="N1042" s="1" t="str">
        <f aca="false">IF(M1042=K1042,"OK","DIF")</f>
        <v>OK</v>
      </c>
      <c r="O1042" s="13" t="str">
        <f aca="false">IFERROR(VLOOKUP($A1042,Lista_Starke!$A:$E,3,0),"NÃO ESTÁ NA LISTA")</f>
        <v>TOYOTA: Hilux 2.7 16V Flex   3RZ FE 12/…
TOYOTA: SW4 2.7 16V Flex   3RZ FE 12/…</v>
      </c>
      <c r="P1042" s="12" t="str">
        <f aca="false">IFERROR(VLOOKUP($A1042,Lista_Starke!$A:$E,2,0),"NÃO ESTÁ NA LISTA")</f>
        <v>BOMBA D'ÁGUA</v>
      </c>
    </row>
    <row r="1043" customFormat="false" ht="15" hidden="false" customHeight="true" outlineLevel="0" collapsed="false">
      <c r="A1043" s="10" t="s">
        <v>2273</v>
      </c>
      <c r="B1043" s="10" t="str">
        <f aca="false">IFERROR(VLOOKUP(A1043,Pedido!$A:$B,2,0),"")</f>
        <v/>
      </c>
      <c r="C1043" s="10" t="str">
        <f aca="false">IF(B1043="","NÃO COMPRA","COMPRA")</f>
        <v>NÃO COMPRA</v>
      </c>
      <c r="D1043" s="1" t="n">
        <f aca="false">IFERROR(VLOOKUP(A1043,Pedido!$A:$C,3,0),0)</f>
        <v>0</v>
      </c>
      <c r="E1043" s="5" t="n">
        <f aca="false">IFERROR(VLOOKUP(A1043,Pedido!$A:$E,5,0),0)</f>
        <v>0</v>
      </c>
      <c r="F1043" s="1" t="s">
        <v>9</v>
      </c>
      <c r="G1043" s="1" t="s">
        <v>695</v>
      </c>
      <c r="H1043" s="1" t="s">
        <v>906</v>
      </c>
      <c r="I1043" s="1" t="s">
        <v>295</v>
      </c>
      <c r="J1043" s="1" t="s">
        <v>2274</v>
      </c>
      <c r="K1043" s="1" t="n">
        <v>77</v>
      </c>
      <c r="L1043" s="11" t="n">
        <v>0.962939156211482</v>
      </c>
      <c r="M1043" s="1" t="n">
        <f aca="false">SUMIF(Relatorio_AK!$A:$A,A1043,Relatorio_AK!$B:$B)</f>
        <v>77</v>
      </c>
      <c r="N1043" s="1" t="str">
        <f aca="false">IF(M1043=K1043,"OK","DIF")</f>
        <v>OK</v>
      </c>
      <c r="O1043" s="13" t="str">
        <f aca="false">IFERROR(VLOOKUP($A1043,Lista_Starke!$A:$E,3,0),"NÃO ESTÁ NA LISTA")</f>
        <v>CHERY: Arrizo 6 1.5 16V Turbo E4T15B / E4G16 19/...
CHERY: Tiggo 5X 1.5 16V Turbo E4T15B / E4G16 19/...
CHERY: Tiggo 7 1.5 16V Turbo 19/...
CHERY: Tiggo 8 1.5 16V Turbo 21/...</v>
      </c>
      <c r="P1043" s="12" t="str">
        <f aca="false">IFERROR(VLOOKUP($A1043,Lista_Starke!$A:$E,2,0),"NÃO ESTÁ NA LISTA")</f>
        <v>BOMBA D'ÁGUA AUXILIAR</v>
      </c>
    </row>
    <row r="1044" customFormat="false" ht="15" hidden="false" customHeight="true" outlineLevel="0" collapsed="false">
      <c r="A1044" s="10" t="s">
        <v>2275</v>
      </c>
      <c r="B1044" s="10" t="str">
        <f aca="false">IFERROR(VLOOKUP(A1044,Pedido!$A:$B,2,0),"")</f>
        <v/>
      </c>
      <c r="C1044" s="10" t="str">
        <f aca="false">IF(B1044="","NÃO COMPRA","COMPRA")</f>
        <v>NÃO COMPRA</v>
      </c>
      <c r="D1044" s="1" t="n">
        <f aca="false">IFERROR(VLOOKUP(A1044,Pedido!$A:$C,3,0),0)</f>
        <v>0</v>
      </c>
      <c r="E1044" s="5" t="n">
        <f aca="false">IFERROR(VLOOKUP(A1044,Pedido!$A:$E,5,0),0)</f>
        <v>0</v>
      </c>
      <c r="F1044" s="1" t="s">
        <v>9</v>
      </c>
      <c r="G1044" s="1" t="s">
        <v>2237</v>
      </c>
      <c r="H1044" s="1" t="s">
        <v>235</v>
      </c>
      <c r="I1044" s="1" t="s">
        <v>295</v>
      </c>
      <c r="J1044" s="1" t="s">
        <v>2276</v>
      </c>
      <c r="K1044" s="1" t="n">
        <v>77</v>
      </c>
      <c r="L1044" s="11" t="n">
        <v>0.963070789818739</v>
      </c>
      <c r="M1044" s="1" t="n">
        <f aca="false">SUMIF(Relatorio_AK!$A:$A,A1044,Relatorio_AK!$B:$B)</f>
        <v>77</v>
      </c>
      <c r="N1044" s="1" t="str">
        <f aca="false">IF(M1044=K1044,"OK","DIF")</f>
        <v>OK</v>
      </c>
      <c r="O1044" s="13" t="str">
        <f aca="false">IFERROR(VLOOKUP($A1044,Lista_Starke!$A:$E,3,0),"NÃO ESTÁ NA LISTA")</f>
        <v>CHERY: Tiggo 7 Pro 1.6 16V Turbo 22/...
CHERY: Tiggo 7 Pro Max 1.6 16V Turbo 23/...
CHERY: Tiggo 8 1.6 16V Turbo 20/...
CHERY: Tiggo 8 Pro 1.6 16V Turbo 22/...</v>
      </c>
      <c r="P1044" s="12" t="str">
        <f aca="false">IFERROR(VLOOKUP($A1044,Lista_Starke!$A:$E,2,0),"NÃO ESTÁ NA LISTA")</f>
        <v>RESFRIADOR DE ÓLEO MOTOR</v>
      </c>
    </row>
    <row r="1045" customFormat="false" ht="15" hidden="false" customHeight="true" outlineLevel="0" collapsed="false">
      <c r="A1045" s="10" t="s">
        <v>2277</v>
      </c>
      <c r="B1045" s="10" t="str">
        <f aca="false">IFERROR(VLOOKUP(A1045,Pedido!$A:$B,2,0),"")</f>
        <v/>
      </c>
      <c r="C1045" s="10" t="str">
        <f aca="false">IF(B1045="","NÃO COMPRA","COMPRA")</f>
        <v>NÃO COMPRA</v>
      </c>
      <c r="D1045" s="1" t="n">
        <f aca="false">IFERROR(VLOOKUP(A1045,Pedido!$A:$C,3,0),0)</f>
        <v>0</v>
      </c>
      <c r="E1045" s="5" t="n">
        <f aca="false">IFERROR(VLOOKUP(A1045,Pedido!$A:$E,5,0),0)</f>
        <v>0</v>
      </c>
      <c r="F1045" s="1" t="s">
        <v>9</v>
      </c>
      <c r="G1045" s="1" t="s">
        <v>2278</v>
      </c>
      <c r="H1045" s="1" t="s">
        <v>88</v>
      </c>
      <c r="I1045" s="1" t="s">
        <v>115</v>
      </c>
      <c r="J1045" s="1" t="s">
        <v>2279</v>
      </c>
      <c r="K1045" s="1" t="n">
        <v>77</v>
      </c>
      <c r="L1045" s="11" t="n">
        <v>0.963202423425996</v>
      </c>
      <c r="M1045" s="1" t="n">
        <f aca="false">SUMIF(Relatorio_AK!$A:$A,A1045,Relatorio_AK!$B:$B)</f>
        <v>77</v>
      </c>
      <c r="N1045" s="1" t="str">
        <f aca="false">IF(M1045=K1045,"OK","DIF")</f>
        <v>OK</v>
      </c>
      <c r="O1045" s="12" t="str">
        <f aca="false">IFERROR(VLOOKUP($A1045,Lista_Starke!$A:$E,3,0),"NÃO ESTÁ NA LISTA")</f>
        <v>JAC MOTORS: J3 1.4 16V 11/...</v>
      </c>
      <c r="P1045" s="12" t="str">
        <f aca="false">IFERROR(VLOOKUP($A1045,Lista_Starke!$A:$E,2,0),"NÃO ESTÁ NA LISTA")</f>
        <v>CILINDRO DE RODA LE/LD</v>
      </c>
    </row>
    <row r="1046" customFormat="false" ht="15" hidden="false" customHeight="true" outlineLevel="0" collapsed="false">
      <c r="A1046" s="10" t="s">
        <v>2280</v>
      </c>
      <c r="B1046" s="10" t="str">
        <f aca="false">IFERROR(VLOOKUP(A1046,Pedido!$A:$B,2,0),"")</f>
        <v/>
      </c>
      <c r="C1046" s="10" t="str">
        <f aca="false">IF(B1046="","NÃO COMPRA","COMPRA")</f>
        <v>NÃO COMPRA</v>
      </c>
      <c r="D1046" s="1" t="n">
        <f aca="false">IFERROR(VLOOKUP(A1046,Pedido!$A:$C,3,0),0)</f>
        <v>0</v>
      </c>
      <c r="E1046" s="5" t="n">
        <f aca="false">IFERROR(VLOOKUP(A1046,Pedido!$A:$E,5,0),0)</f>
        <v>0</v>
      </c>
      <c r="F1046" s="1" t="s">
        <v>9</v>
      </c>
      <c r="G1046" s="1" t="s">
        <v>2281</v>
      </c>
      <c r="H1046" s="1" t="s">
        <v>1358</v>
      </c>
      <c r="I1046" s="1" t="s">
        <v>255</v>
      </c>
      <c r="J1046" s="1" t="s">
        <v>2282</v>
      </c>
      <c r="K1046" s="1" t="n">
        <v>76</v>
      </c>
      <c r="L1046" s="11" t="n">
        <v>0.963332347505885</v>
      </c>
      <c r="M1046" s="1" t="n">
        <f aca="false">SUMIF(Relatorio_AK!$A:$A,A1046,Relatorio_AK!$B:$B)</f>
        <v>76</v>
      </c>
      <c r="N1046" s="1" t="str">
        <f aca="false">IF(M1046=K1046,"OK","DIF")</f>
        <v>OK</v>
      </c>
      <c r="O1046" s="12" t="str">
        <f aca="false">IFERROR(VLOOKUP($A1046,Lista_Starke!$A:$E,3,0),"NÃO ESTÁ NA LISTA")</f>
        <v>MITSUBISHI: Pajero TR4  02/14</v>
      </c>
      <c r="P1046" s="12" t="str">
        <f aca="false">IFERROR(VLOOKUP($A1046,Lista_Starke!$A:$E,2,0),"NÃO ESTÁ NA LISTA")</f>
        <v>BANDEJA INFERIOR COMPLETA LE</v>
      </c>
    </row>
    <row r="1047" customFormat="false" ht="15" hidden="false" customHeight="true" outlineLevel="0" collapsed="false">
      <c r="A1047" s="10" t="s">
        <v>2283</v>
      </c>
      <c r="B1047" s="10" t="str">
        <f aca="false">IFERROR(VLOOKUP(A1047,Pedido!$A:$B,2,0),"")</f>
        <v/>
      </c>
      <c r="C1047" s="10" t="str">
        <f aca="false">IF(B1047="","NÃO COMPRA","COMPRA")</f>
        <v>NÃO COMPRA</v>
      </c>
      <c r="D1047" s="1" t="n">
        <f aca="false">IFERROR(VLOOKUP(A1047,Pedido!$A:$C,3,0),0)</f>
        <v>0</v>
      </c>
      <c r="E1047" s="5" t="n">
        <f aca="false">IFERROR(VLOOKUP(A1047,Pedido!$A:$E,5,0),0)</f>
        <v>0</v>
      </c>
      <c r="F1047" s="1" t="s">
        <v>9</v>
      </c>
      <c r="G1047" s="1" t="s">
        <v>2284</v>
      </c>
      <c r="H1047" s="1" t="s">
        <v>1358</v>
      </c>
      <c r="I1047" s="1" t="s">
        <v>255</v>
      </c>
      <c r="J1047" s="1" t="s">
        <v>2285</v>
      </c>
      <c r="K1047" s="1" t="n">
        <v>76</v>
      </c>
      <c r="L1047" s="11" t="n">
        <v>0.963462271585775</v>
      </c>
      <c r="M1047" s="1" t="n">
        <f aca="false">SUMIF(Relatorio_AK!$A:$A,A1047,Relatorio_AK!$B:$B)</f>
        <v>76</v>
      </c>
      <c r="N1047" s="1" t="str">
        <f aca="false">IF(M1047=K1047,"OK","DIF")</f>
        <v>OK</v>
      </c>
      <c r="O1047" s="12" t="str">
        <f aca="false">IFERROR(VLOOKUP($A1047,Lista_Starke!$A:$E,3,0),"NÃO ESTÁ NA LISTA")</f>
        <v>MITSUBISHI: Pajero TR4  02/14</v>
      </c>
      <c r="P1047" s="12" t="str">
        <f aca="false">IFERROR(VLOOKUP($A1047,Lista_Starke!$A:$E,2,0),"NÃO ESTÁ NA LISTA")</f>
        <v>BANDEJA INFERIOR COMPLETA LD</v>
      </c>
    </row>
    <row r="1048" customFormat="false" ht="15" hidden="false" customHeight="true" outlineLevel="0" collapsed="false">
      <c r="A1048" s="10" t="s">
        <v>2286</v>
      </c>
      <c r="B1048" s="10" t="str">
        <f aca="false">IFERROR(VLOOKUP(A1048,Pedido!$A:$B,2,0),"")</f>
        <v/>
      </c>
      <c r="C1048" s="10" t="str">
        <f aca="false">IF(B1048="","NÃO COMPRA","COMPRA")</f>
        <v>NÃO COMPRA</v>
      </c>
      <c r="D1048" s="1" t="n">
        <f aca="false">IFERROR(VLOOKUP(A1048,Pedido!$A:$C,3,0),0)</f>
        <v>0</v>
      </c>
      <c r="E1048" s="5" t="n">
        <f aca="false">IFERROR(VLOOKUP(A1048,Pedido!$A:$E,5,0),0)</f>
        <v>0</v>
      </c>
      <c r="F1048" s="1" t="s">
        <v>9</v>
      </c>
      <c r="G1048" s="1" t="s">
        <v>2026</v>
      </c>
      <c r="H1048" s="1" t="s">
        <v>1073</v>
      </c>
      <c r="I1048" s="1" t="s">
        <v>510</v>
      </c>
      <c r="J1048" s="1" t="s">
        <v>2287</v>
      </c>
      <c r="K1048" s="1" t="n">
        <v>76</v>
      </c>
      <c r="L1048" s="11" t="n">
        <v>0.963592195665665</v>
      </c>
      <c r="M1048" s="1" t="n">
        <f aca="false">SUMIF(Relatorio_AK!$A:$A,A1048,Relatorio_AK!$B:$B)</f>
        <v>76</v>
      </c>
      <c r="N1048" s="1" t="str">
        <f aca="false">IF(M1048=K1048,"OK","DIF")</f>
        <v>OK</v>
      </c>
      <c r="O1048" s="13" t="str">
        <f aca="false">IFERROR(VLOOKUP($A1048,Lista_Starke!$A:$E,3,0),"NÃO ESTÁ NA LISTA")</f>
        <v>BMW: 116i (F20) 1.6 N13B16A 11/...
BMW: 116i (F21) 1.6 N13B16A 11/...
BMW: 118i (F20) 1.6 N13B16A 10/...
BMW: 118i (F20) 1.6 N13B16A 15/...
BMW: 118i (F21) 1.6 N13B16A 12/...
BMW: 118i (F21) 1.6 N13B16A 15/...
BMW: 120i (F20) 1.6 N13B16A 15/...
BMW: 120i (F21) 1.6 N13B16A 15/...
BMW: 316i (F30/F80) 1.6 N13B16A 12/16
BMW: 320i (F30/F80) 1.6 N13B16A 12/16
CITROEN: C4 / C4 Picasso 1.6 16V / 1.6 16V THP EP6 / EP6DT 09/…
CITROEN: C4 Lounge 1.6 16V THP EP6DT / EP6DTS 13/…
CITROEN: DS3 1.6 16V THP EP6DT / EP6DTS 12/…
CITROEN: DS4 1.6 16V THP EP6DT / EP6DTS 12/…
CITROEN: DS5 1.6 16V THP EP6DT / EP6DTS 12/…
MINI: Cooper 1.6 16V N12B16A / N16B16AM 06/09
MINI: Cooper 1.6 16V N16B16AU 10/…
MINI: Cooper S 1.6 16V Turbo N12B16A / N14B16C 06/…
MINI: Cooper S 1.6 16V Turbo N16B16AM 10/…
MINI: Cooper S 1.6 16V Turbo N18B16AMO 09/…
MINI: Cooper S 1.6 16V W11B16A-163 07/09
MINI: One 1.4 16V N12B14A 07/09
MINI: One 1.6 16V N16B16K / N16B16AU 09/…
MINI: One 1.6 16V N16BAU 10/…
PEUGEOT: 2008 1.6 16V THP EP6DT / EPDDTS 15/…
PEUGEOT: 3008 1.6 16V THP EP6DT / EPDDTS 11/…
PEUGEOT: 308 1.6 16V THP EP6DT / EPDDTS 07/…
PEUGEOT: 408 1.6 16V THP EP6DT / EPDDTS 11/…
PEUGEOT: 508 1.6 16V THP EP6DT / EPDDTS 11/…
PEUGEOT: RCZ 1.6 16V THP EP6DT / EPDDTS 11/…</v>
      </c>
      <c r="P1048" s="12" t="str">
        <f aca="false">IFERROR(VLOOKUP($A1048,Lista_Starke!$A:$E,2,0),"NÃO ESTÁ NA LISTA")</f>
        <v>VÁLVULA TERMOSTÁTICA</v>
      </c>
    </row>
    <row r="1049" customFormat="false" ht="15" hidden="false" customHeight="true" outlineLevel="0" collapsed="false">
      <c r="A1049" s="10" t="s">
        <v>2288</v>
      </c>
      <c r="B1049" s="10" t="str">
        <f aca="false">IFERROR(VLOOKUP(A1049,Pedido!$A:$B,2,0),"")</f>
        <v/>
      </c>
      <c r="C1049" s="10" t="str">
        <f aca="false">IF(B1049="","NÃO COMPRA","COMPRA")</f>
        <v>NÃO COMPRA</v>
      </c>
      <c r="D1049" s="1" t="n">
        <f aca="false">IFERROR(VLOOKUP(A1049,Pedido!$A:$C,3,0),0)</f>
        <v>0</v>
      </c>
      <c r="E1049" s="5" t="n">
        <f aca="false">IFERROR(VLOOKUP(A1049,Pedido!$A:$E,5,0),0)</f>
        <v>0</v>
      </c>
      <c r="F1049" s="1" t="s">
        <v>9</v>
      </c>
      <c r="G1049" s="1" t="s">
        <v>254</v>
      </c>
      <c r="H1049" s="1" t="s">
        <v>35</v>
      </c>
      <c r="I1049" s="1" t="s">
        <v>255</v>
      </c>
      <c r="J1049" s="1" t="s">
        <v>2289</v>
      </c>
      <c r="K1049" s="1" t="n">
        <v>76</v>
      </c>
      <c r="L1049" s="11" t="n">
        <v>0.963722119745554</v>
      </c>
      <c r="M1049" s="1" t="n">
        <f aca="false">SUMIF(Relatorio_AK!$A:$A,A1049,Relatorio_AK!$B:$B)</f>
        <v>76</v>
      </c>
      <c r="N1049" s="1" t="str">
        <f aca="false">IF(M1049=K1049,"OK","DIF")</f>
        <v>OK</v>
      </c>
      <c r="O1049" s="13" t="str">
        <f aca="false">IFERROR(VLOOKUP($A1049,Lista_Starke!$A:$E,3,0),"NÃO ESTÁ NA LISTA")</f>
        <v>MITSUBISHI: ASX 2.0 16V 13/15
MITSUBISHI: Outlander 2.0 16V 13/19</v>
      </c>
      <c r="P1049" s="12" t="str">
        <f aca="false">IFERROR(VLOOKUP($A1049,Lista_Starke!$A:$E,2,0),"NÃO ESTÁ NA LISTA")</f>
        <v>CILINDRO MESTRE DE FREIO</v>
      </c>
    </row>
    <row r="1050" customFormat="false" ht="15" hidden="false" customHeight="true" outlineLevel="0" collapsed="false">
      <c r="A1050" s="10" t="s">
        <v>2290</v>
      </c>
      <c r="B1050" s="10" t="str">
        <f aca="false">IFERROR(VLOOKUP(A1050,Pedido!$A:$B,2,0),"")</f>
        <v/>
      </c>
      <c r="C1050" s="10" t="str">
        <f aca="false">IF(B1050="","NÃO COMPRA","COMPRA")</f>
        <v>NÃO COMPRA</v>
      </c>
      <c r="D1050" s="1" t="n">
        <f aca="false">IFERROR(VLOOKUP(A1050,Pedido!$A:$C,3,0),0)</f>
        <v>0</v>
      </c>
      <c r="E1050" s="5" t="n">
        <f aca="false">IFERROR(VLOOKUP(A1050,Pedido!$A:$E,5,0),0)</f>
        <v>0</v>
      </c>
      <c r="F1050" s="1" t="s">
        <v>9</v>
      </c>
      <c r="G1050" s="1" t="s">
        <v>841</v>
      </c>
      <c r="H1050" s="1" t="s">
        <v>197</v>
      </c>
      <c r="I1050" s="1" t="s">
        <v>50</v>
      </c>
      <c r="K1050" s="1" t="n">
        <v>75</v>
      </c>
      <c r="L1050" s="11" t="n">
        <v>0.963850334298077</v>
      </c>
      <c r="M1050" s="1" t="n">
        <f aca="false">SUMIF(Relatorio_AK!$A:$A,A1050,Relatorio_AK!$B:$B)</f>
        <v>75</v>
      </c>
      <c r="N1050" s="1" t="str">
        <f aca="false">IF(M1050=K1050,"OK","DIF")</f>
        <v>OK</v>
      </c>
      <c r="O1050" s="13" t="str">
        <f aca="false">IFERROR(VLOOKUP($A1050,Lista_Starke!$A:$E,3,0),"NÃO ESTÁ NA LISTA")</f>
        <v>HONDA: HRV 1.5 16V 22/...
HONDA: New Fit 1.5 16V L15B2 15/...</v>
      </c>
      <c r="P1050" s="12" t="str">
        <f aca="false">IFERROR(VLOOKUP($A1050,Lista_Starke!$A:$E,2,0),"NÃO ESTÁ NA LISTA")</f>
        <v>BOMBA D'ÁGUA</v>
      </c>
    </row>
    <row r="1051" customFormat="false" ht="15" hidden="false" customHeight="true" outlineLevel="0" collapsed="false">
      <c r="A1051" s="10" t="s">
        <v>2291</v>
      </c>
      <c r="B1051" s="10" t="str">
        <f aca="false">IFERROR(VLOOKUP(A1051,Pedido!$A:$B,2,0),"")</f>
        <v/>
      </c>
      <c r="C1051" s="10" t="str">
        <f aca="false">IF(B1051="","NÃO COMPRA","COMPRA")</f>
        <v>NÃO COMPRA</v>
      </c>
      <c r="D1051" s="1" t="n">
        <f aca="false">IFERROR(VLOOKUP(A1051,Pedido!$A:$C,3,0),0)</f>
        <v>0</v>
      </c>
      <c r="E1051" s="5" t="n">
        <f aca="false">IFERROR(VLOOKUP(A1051,Pedido!$A:$E,5,0),0)</f>
        <v>0</v>
      </c>
      <c r="F1051" s="1" t="s">
        <v>9</v>
      </c>
      <c r="G1051" s="1" t="s">
        <v>2292</v>
      </c>
      <c r="H1051" s="1" t="s">
        <v>1714</v>
      </c>
      <c r="I1051" s="1" t="s">
        <v>286</v>
      </c>
      <c r="J1051" s="1" t="s">
        <v>2293</v>
      </c>
      <c r="K1051" s="1" t="n">
        <v>75</v>
      </c>
      <c r="L1051" s="11" t="n">
        <v>0.9639785488506</v>
      </c>
      <c r="M1051" s="1" t="n">
        <f aca="false">SUMIF(Relatorio_AK!$A:$A,A1051,Relatorio_AK!$B:$B)</f>
        <v>75</v>
      </c>
      <c r="N1051" s="1" t="str">
        <f aca="false">IF(M1051=K1051,"OK","DIF")</f>
        <v>OK</v>
      </c>
      <c r="O1051" s="13" t="str">
        <f aca="false">IFERROR(VLOOKUP($A1051,Lista_Starke!$A:$E,3,0),"NÃO ESTÁ NA LISTA")</f>
        <v>FORD: Ranger 2.2 16V TDCi 13/...
FORD: Ranger 3.2 20V TDCi 13/...
TROLLER: T4 3.2 20V TDCi 14/...</v>
      </c>
      <c r="P1051" s="12" t="str">
        <f aca="false">IFERROR(VLOOKUP($A1051,Lista_Starke!$A:$E,2,0),"NÃO ESTÁ NA LISTA")</f>
        <v>POLIA VISCOSA</v>
      </c>
    </row>
    <row r="1052" customFormat="false" ht="15" hidden="false" customHeight="true" outlineLevel="0" collapsed="false">
      <c r="A1052" s="10" t="s">
        <v>2294</v>
      </c>
      <c r="B1052" s="10" t="str">
        <f aca="false">IFERROR(VLOOKUP(A1052,Pedido!$A:$B,2,0),"")</f>
        <v/>
      </c>
      <c r="C1052" s="10" t="str">
        <f aca="false">IF(B1052="","NÃO COMPRA","COMPRA")</f>
        <v>NÃO COMPRA</v>
      </c>
      <c r="D1052" s="1" t="n">
        <f aca="false">IFERROR(VLOOKUP(A1052,Pedido!$A:$C,3,0),0)</f>
        <v>0</v>
      </c>
      <c r="E1052" s="5" t="n">
        <f aca="false">IFERROR(VLOOKUP(A1052,Pedido!$A:$E,5,0),0)</f>
        <v>0</v>
      </c>
      <c r="F1052" s="1" t="s">
        <v>9</v>
      </c>
      <c r="G1052" s="1" t="s">
        <v>277</v>
      </c>
      <c r="H1052" s="1" t="s">
        <v>131</v>
      </c>
      <c r="I1052" s="1" t="s">
        <v>53</v>
      </c>
      <c r="J1052" s="1" t="s">
        <v>2295</v>
      </c>
      <c r="K1052" s="1" t="n">
        <v>75</v>
      </c>
      <c r="L1052" s="11" t="n">
        <v>0.964106763403122</v>
      </c>
      <c r="M1052" s="1" t="n">
        <f aca="false">SUMIF(Relatorio_AK!$A:$A,A1052,Relatorio_AK!$B:$B)</f>
        <v>75</v>
      </c>
      <c r="N1052" s="1" t="str">
        <f aca="false">IF(M1052=K1052,"OK","DIF")</f>
        <v>OK</v>
      </c>
      <c r="O1052" s="13" t="str">
        <f aca="false">IFERROR(VLOOKUP($A1052,Lista_Starke!$A:$E,3,0),"NÃO ESTÁ NA LISTA")</f>
        <v>FORD: F250 3.9 16V 98/12
FORD: F250 4.2 8V 6 cil 99/06
FORD: F350  98/12</v>
      </c>
      <c r="P1052" s="12" t="str">
        <f aca="false">IFERROR(VLOOKUP($A1052,Lista_Starke!$A:$E,2,0),"NÃO ESTÁ NA LISTA")</f>
        <v>SAPATA DE FREIO</v>
      </c>
    </row>
    <row r="1053" customFormat="false" ht="15" hidden="false" customHeight="true" outlineLevel="0" collapsed="false">
      <c r="A1053" s="10" t="s">
        <v>2296</v>
      </c>
      <c r="B1053" s="10" t="str">
        <f aca="false">IFERROR(VLOOKUP(A1053,Pedido!$A:$B,2,0),"")</f>
        <v/>
      </c>
      <c r="C1053" s="10" t="str">
        <f aca="false">IF(B1053="","NÃO COMPRA","COMPRA")</f>
        <v>NÃO COMPRA</v>
      </c>
      <c r="D1053" s="1" t="n">
        <f aca="false">IFERROR(VLOOKUP(A1053,Pedido!$A:$C,3,0),0)</f>
        <v>0</v>
      </c>
      <c r="E1053" s="5" t="n">
        <f aca="false">IFERROR(VLOOKUP(A1053,Pedido!$A:$E,5,0),0)</f>
        <v>0</v>
      </c>
      <c r="F1053" s="1" t="s">
        <v>9</v>
      </c>
      <c r="G1053" s="1" t="s">
        <v>1175</v>
      </c>
      <c r="H1053" s="1" t="s">
        <v>197</v>
      </c>
      <c r="I1053" s="1" t="s">
        <v>1315</v>
      </c>
      <c r="K1053" s="1" t="n">
        <v>75</v>
      </c>
      <c r="L1053" s="11" t="n">
        <v>0.964234977955645</v>
      </c>
      <c r="M1053" s="1" t="n">
        <f aca="false">SUMIF(Relatorio_AK!$A:$A,A1053,Relatorio_AK!$B:$B)</f>
        <v>75</v>
      </c>
      <c r="N1053" s="1" t="str">
        <f aca="false">IF(M1053=K1053,"OK","DIF")</f>
        <v>OK</v>
      </c>
      <c r="O1053" s="13" t="str">
        <f aca="false">IFERROR(VLOOKUP($A1053,Lista_Starke!$A:$E,3,0),"NÃO ESTÁ NA LISTA")</f>
        <v>CHRYSLER: 300C 5.7 V8 11/20
CHRYSLER: 300C 6.4 V8 12/14
DODGE: Challenger 5.7 V8 11/20
DODGE: Challenger 6.4 V8 11/20
DODGE: Charger 5.7 V8 11/20
DODGE: Charger 6.4 V8 11/20
DODGE: Durango 5.7 V8 11/20
DODGE: Durango 6.4 V8 11/20
JEEP: Grand Cherokee 5.7 V8 11/20
JEEP: Grand Cherokee 6.4 V8 12/20</v>
      </c>
      <c r="P1053" s="12" t="str">
        <f aca="false">IFERROR(VLOOKUP($A1053,Lista_Starke!$A:$E,2,0),"NÃO ESTÁ NA LISTA")</f>
        <v>BOMBA D'ÁGUA</v>
      </c>
    </row>
    <row r="1054" customFormat="false" ht="15" hidden="false" customHeight="true" outlineLevel="0" collapsed="false">
      <c r="A1054" s="10" t="s">
        <v>2297</v>
      </c>
      <c r="B1054" s="10" t="str">
        <f aca="false">IFERROR(VLOOKUP(A1054,Pedido!$A:$B,2,0),"")</f>
        <v/>
      </c>
      <c r="C1054" s="10" t="str">
        <f aca="false">IF(B1054="","NÃO COMPRA","COMPRA")</f>
        <v>NÃO COMPRA</v>
      </c>
      <c r="D1054" s="1" t="n">
        <f aca="false">IFERROR(VLOOKUP(A1054,Pedido!$A:$C,3,0),0)</f>
        <v>0</v>
      </c>
      <c r="E1054" s="5" t="n">
        <f aca="false">IFERROR(VLOOKUP(A1054,Pedido!$A:$E,5,0),0)</f>
        <v>0</v>
      </c>
      <c r="F1054" s="1" t="s">
        <v>9</v>
      </c>
      <c r="G1054" s="1" t="s">
        <v>1081</v>
      </c>
      <c r="H1054" s="1" t="s">
        <v>235</v>
      </c>
      <c r="I1054" s="1" t="s">
        <v>373</v>
      </c>
      <c r="J1054" s="1" t="s">
        <v>2298</v>
      </c>
      <c r="K1054" s="1" t="n">
        <v>75</v>
      </c>
      <c r="L1054" s="11" t="n">
        <v>0.964363192508167</v>
      </c>
      <c r="M1054" s="1" t="n">
        <f aca="false">SUMIF(Relatorio_AK!$A:$A,A1054,Relatorio_AK!$B:$B)</f>
        <v>75</v>
      </c>
      <c r="N1054" s="1" t="str">
        <f aca="false">IF(M1054=K1054,"OK","DIF")</f>
        <v>OK</v>
      </c>
      <c r="O1054" s="13" t="str">
        <f aca="false">IFERROR(VLOOKUP($A1054,Lista_Starke!$A:$E,3,0),"NÃO ESTÁ NA LISTA")</f>
        <v>MERCEDES-BENZ: C180 (C204) 1.6   M274.910 13/…
MERCEDES-BENZ: C180 (C204) 1.8   M271.820 11/…
MERCEDES-BENZ: C180 (W203) 2.0   M111.951 00/02
MERCEDES-BENZ: C180 CGI (W204) 1.6   M274.910 08/…
MERCEDES-BENZ: C180 CGI (W204) 1.8   M271.820 07/…
MERCEDES-BENZ: C180 Kompressor (W203) 1.8   M271.976 02/07
MERCEDES-BENZ: C180 Kompressor (W204) 1.6   M271.910 08/…
MERCEDES-BENZ: C180 Kompressor (W204) 1.8   M271.952 07/08
MERCEDES-BENZ: C200 (W204) 1.8   M271.820 11/…
MERCEDES-BENZ: C200 CGI (C204) 1.8   M271.820 11/…
MERCEDES-BENZ: C200 CGI (W204) 1.8   M271.820 07/…
MERCEDES-BENZ: C200 CGI Kompressor (W203) 1.8   M271.942 03/07
MERCEDES-BENZ: C200 Kompressor (W203) 1.8   M271.940 02/07
MERCEDES-BENZ: C200 Kompressor (W203) 2.0   M111.955 00/02
MERCEDES-BENZ: C200 Kompressor (W204) 1.8   M271.950 07/08
MERCEDES-BENZ: C230 (W203) 2.5   M272.920 05/07
MERCEDES-BENZ: C230 (W204) 2.5   M272.921 07/08
MERCEDES-BENZ: C230 4 Matic (W204) 2.5   M272.911 07/…
MERCEDES-BENZ: C230 Kompressor (W203) 1.8   M271.948 04/07
MERCEDES-BENZ: C240 (W203) 2.5   M112.912 00/07
MERCEDES-BENZ: C240 4 Matic (W203) 2.5   M112.916 02/07
MERCEDES-BENZ: C250 (C204) 1.8   M271.860 11/…
MERCEDES-BENZ: C250 CGI (W204) 1.8   M272.820 09/…
MERCEDES-BENZ: C280 (W203) 3.0   M272.940 05/07
MERCEDES-BENZ: C280 (W204) 3.0   M272.947 07/08
MERCEDES-BENZ: C280 4 Matic (W203) 3.0   M272.941 05/07
MERCEDES-BENZ: C280 4 Matic (W204) 3.0   M272.948 07/…
MERCEDES-BENZ: C300 (W204) 3.0   M272.947 09/…
MERCEDES-BENZ: C300 (W204) 3.0   M276.957 11/…
MERCEDES-BENZ: C300 4 Matic (W204) 3.0   M272.948 07/…
MERCEDES-BENZ: C300 4 Matic (W204) 3.0   M276.957 11/…
MERCEDES-BENZ: C32 AMG 3.2   M112.961 01/07
MERCEDES-BENZ: C320 (W203) 3.2   M112.946 00/07
MERCEDES-BENZ: C320 4 Matic (W203) 3.2   M112.953 02/07
MERCEDES-BENZ: C350 (W203) 3.5   M272.960 05/07
MERCEDES-BENZ: C350 (W204) 3.5   M272.961 07/08
MERCEDES-BENZ: C350 (W204) 3.5   M276.957 11/…
MERCEDES-BENZ: C350 4 Matic (W203) 3.5   M272.960 / M272.970 05/07
MERCEDES-BENZ: C350 4 Matic (W204) 3.5   M272.972 / M276.957 07/…
MERCEDES-BENZ: C350 CGI (W204) 3.5   M272.982 08/…
MERCEDES-BENZ: C55 AMG (W203) 5.4   M113.988 04/07
MERCEDES-BENZ: C63 AMG (W204) 6.2   M156.985 08/…
MERCEDES-BENZ: CLK200 CGI (C209) 1.8   M271.942 03/09
MERCEDES-BENZ: CLK200 Kompressor (C209) 1.8   M271.940 02/09
MERCEDES-BENZ: CLK200 Kompressor (C209) 1.8   M271.955 06/…
MERCEDES-BENZ: CLK240 (C209) 2.5   M112.912 02/09
MERCEDES-BENZ: CLK280 (C209) 3.0   M272.940 05/09
MERCEDES-BENZ: CLK320 (C209) 3.2   M112.955 02/09
MERCEDES-BENZ: CLK350 (C209) 3.5   M272.960 05/09
MERCEDES-BENZ: E200 Kompressor (W211) 1.8   M271.941 02/08
MERCEDES-BENZ: E200 Kompressor (W211) 1.8   M271.956 06/…
MERCEDES-BENZ: E230 (W211) 2.5   M272.922 07/08
MERCEDES-BENZ: E240 (W211) 2.5   M112.913 / M112.917 02/08
MERCEDES-BENZ: E240 4 Matic (W211) 2.5   M112.917 03/08
MERCEDES-BENZ: E280 (W211) 3.0   M272.943 05/08
MERCEDES-BENZ: E280 4 Matic (W211) 3.0   M272.943 06/08
MERCEDES-BENZ: E320 (W211) 3.2   M112.949 02/08
MERCEDES-BENZ: E320 4 Matic (W211) 3.2   M112.954 03/08
MERCEDES-BENZ: E350 (W211) 3.5   M272.964 05/08
MERCEDES-BENZ: E350 4 matic (W211) 3.5   M272.972 05/08
MERCEDES-BENZ: E350 CGI (W211) 3.5   M272.985 08/…
MERCEDES-BENZ: SLK200 Kompressor (R171) 1.8   M271.944 / M271.954 04/11
MERCEDES-BENZ: SLK280 (R171) 3.0   M272.942 05/11
MERCEDES-BENZ: SLK300 (R171) 3.0   M272.942 09/11
MERCEDES-BENZ: SLK350 (R171) 3.5   M272.963 / M272.965 02/11</v>
      </c>
      <c r="P1054" s="12" t="str">
        <f aca="false">IFERROR(VLOOKUP($A1054,Lista_Starke!$A:$E,2,0),"NÃO ESTÁ NA LISTA")</f>
        <v>RESFRIADOR DE ÓLEO MOTOR</v>
      </c>
    </row>
    <row r="1055" customFormat="false" ht="15" hidden="false" customHeight="true" outlineLevel="0" collapsed="false">
      <c r="A1055" s="10" t="s">
        <v>2299</v>
      </c>
      <c r="B1055" s="10" t="str">
        <f aca="false">IFERROR(VLOOKUP(A1055,Pedido!$A:$B,2,0),"")</f>
        <v/>
      </c>
      <c r="C1055" s="10" t="str">
        <f aca="false">IF(B1055="","NÃO COMPRA","COMPRA")</f>
        <v>NÃO COMPRA</v>
      </c>
      <c r="D1055" s="1" t="n">
        <f aca="false">IFERROR(VLOOKUP(A1055,Pedido!$A:$C,3,0),0)</f>
        <v>0</v>
      </c>
      <c r="E1055" s="5" t="n">
        <f aca="false">IFERROR(VLOOKUP(A1055,Pedido!$A:$E,5,0),0)</f>
        <v>0</v>
      </c>
      <c r="F1055" s="1" t="s">
        <v>9</v>
      </c>
      <c r="G1055" s="1" t="s">
        <v>557</v>
      </c>
      <c r="H1055" s="1" t="s">
        <v>88</v>
      </c>
      <c r="I1055" s="1" t="s">
        <v>50</v>
      </c>
      <c r="J1055" s="1" t="s">
        <v>2300</v>
      </c>
      <c r="K1055" s="1" t="n">
        <v>75</v>
      </c>
      <c r="L1055" s="11" t="n">
        <v>0.96449140706069</v>
      </c>
      <c r="M1055" s="1" t="n">
        <f aca="false">SUMIF(Relatorio_AK!$A:$A,A1055,Relatorio_AK!$B:$B)</f>
        <v>75</v>
      </c>
      <c r="N1055" s="1" t="str">
        <f aca="false">IF(M1055=K1055,"OK","DIF")</f>
        <v>OK</v>
      </c>
      <c r="O1055" s="12" t="str">
        <f aca="false">IFERROR(VLOOKUP($A1055,Lista_Starke!$A:$E,3,0),"NÃO ESTÁ NA LISTA")</f>
        <v>HONDA: Fit 1.4 8V / 1.5 16V 03/08</v>
      </c>
      <c r="P1055" s="12" t="str">
        <f aca="false">IFERROR(VLOOKUP($A1055,Lista_Starke!$A:$E,2,0),"NÃO ESTÁ NA LISTA")</f>
        <v>CILINDRO DE RODA LE/LD</v>
      </c>
    </row>
    <row r="1056" customFormat="false" ht="15" hidden="false" customHeight="true" outlineLevel="0" collapsed="false">
      <c r="A1056" s="10" t="s">
        <v>2301</v>
      </c>
      <c r="B1056" s="10" t="str">
        <f aca="false">IFERROR(VLOOKUP(A1056,Pedido!$A:$B,2,0),"")</f>
        <v/>
      </c>
      <c r="C1056" s="10" t="str">
        <f aca="false">IF(B1056="","NÃO COMPRA","COMPRA")</f>
        <v>NÃO COMPRA</v>
      </c>
      <c r="D1056" s="1" t="n">
        <f aca="false">IFERROR(VLOOKUP(A1056,Pedido!$A:$C,3,0),0)</f>
        <v>0</v>
      </c>
      <c r="E1056" s="5" t="n">
        <f aca="false">IFERROR(VLOOKUP(A1056,Pedido!$A:$E,5,0),0)</f>
        <v>0</v>
      </c>
      <c r="F1056" s="1" t="s">
        <v>9</v>
      </c>
      <c r="G1056" s="1" t="s">
        <v>548</v>
      </c>
      <c r="H1056" s="1" t="s">
        <v>157</v>
      </c>
      <c r="I1056" s="1" t="s">
        <v>53</v>
      </c>
      <c r="J1056" s="1" t="s">
        <v>2302</v>
      </c>
      <c r="K1056" s="1" t="n">
        <v>74</v>
      </c>
      <c r="L1056" s="11" t="n">
        <v>0.964617912085846</v>
      </c>
      <c r="M1056" s="1" t="n">
        <f aca="false">SUMIF(Relatorio_AK!$A:$A,A1056,Relatorio_AK!$B:$B)</f>
        <v>74</v>
      </c>
      <c r="N1056" s="1" t="str">
        <f aca="false">IF(M1056=K1056,"OK","DIF")</f>
        <v>OK</v>
      </c>
      <c r="O1056" s="13" t="str">
        <f aca="false">IFERROR(VLOOKUP($A1056,Lista_Starke!$A:$E,3,0),"NÃO ESTÁ NA LISTA")</f>
        <v>FORD: Mondeo 1.8 16V Zetec 94/96
FORD: Mondeo 2.0 16V Zetec 02/...
FORD: Mondeo 2.0 16V Zetec 96/01</v>
      </c>
      <c r="P1056" s="12" t="str">
        <f aca="false">IFERROR(VLOOKUP($A1056,Lista_Starke!$A:$E,2,0),"NÃO ESTÁ NA LISTA")</f>
        <v>ATUADOR DE EMBREAGEM</v>
      </c>
    </row>
    <row r="1057" customFormat="false" ht="15" hidden="false" customHeight="true" outlineLevel="0" collapsed="false">
      <c r="A1057" s="10" t="s">
        <v>2303</v>
      </c>
      <c r="B1057" s="10" t="str">
        <f aca="false">IFERROR(VLOOKUP(A1057,Pedido!$A:$B,2,0),"")</f>
        <v/>
      </c>
      <c r="C1057" s="10" t="str">
        <f aca="false">IF(B1057="","NÃO COMPRA","COMPRA")</f>
        <v>NÃO COMPRA</v>
      </c>
      <c r="D1057" s="1" t="n">
        <f aca="false">IFERROR(VLOOKUP(A1057,Pedido!$A:$C,3,0),0)</f>
        <v>0</v>
      </c>
      <c r="E1057" s="5" t="n">
        <f aca="false">IFERROR(VLOOKUP(A1057,Pedido!$A:$E,5,0),0)</f>
        <v>0</v>
      </c>
      <c r="F1057" s="1" t="s">
        <v>9</v>
      </c>
      <c r="G1057" s="1" t="s">
        <v>2066</v>
      </c>
      <c r="H1057" s="1" t="s">
        <v>197</v>
      </c>
      <c r="I1057" s="1" t="s">
        <v>2304</v>
      </c>
      <c r="J1057" s="1" t="s">
        <v>2305</v>
      </c>
      <c r="K1057" s="1" t="n">
        <v>74</v>
      </c>
      <c r="L1057" s="11" t="n">
        <v>0.964744417111001</v>
      </c>
      <c r="M1057" s="1" t="n">
        <f aca="false">SUMIF(Relatorio_AK!$A:$A,A1057,Relatorio_AK!$B:$B)</f>
        <v>74</v>
      </c>
      <c r="N1057" s="1" t="str">
        <f aca="false">IF(M1057=K1057,"OK","DIF")</f>
        <v>OK</v>
      </c>
      <c r="O1057" s="13" t="str">
        <f aca="false">IFERROR(VLOOKUP($A1057,Lista_Starke!$A:$E,3,0),"NÃO ESTÁ NA LISTA")</f>
        <v>CHRYSLER: Caravan 3.3 V6 90/00
CHRYSLER: Caravan 3.8 V6 94/00
CHRYSLER: Grand Caravan 3.3 V6 90/00
CHRYSLER: Grand Caravan 3.8 V6 94/00
CHRYSLER: Grand Voyager 3.3 V6 90/00
CHRYSLER: Grand Voyager 3.8 V6 94/00
CHRYSLER: Voyager 3.3 V6 90/00
CHRYSLER: Voyager 3.8 V6 94/00</v>
      </c>
      <c r="P1057" s="12" t="str">
        <f aca="false">IFERROR(VLOOKUP($A1057,Lista_Starke!$A:$E,2,0),"NÃO ESTÁ NA LISTA")</f>
        <v>BOMBA D'ÁGUA</v>
      </c>
    </row>
    <row r="1058" customFormat="false" ht="15" hidden="false" customHeight="true" outlineLevel="0" collapsed="false">
      <c r="A1058" s="10" t="s">
        <v>2306</v>
      </c>
      <c r="B1058" s="10" t="str">
        <f aca="false">IFERROR(VLOOKUP(A1058,Pedido!$A:$B,2,0),"")</f>
        <v/>
      </c>
      <c r="C1058" s="10" t="str">
        <f aca="false">IF(B1058="","NÃO COMPRA","COMPRA")</f>
        <v>NÃO COMPRA</v>
      </c>
      <c r="D1058" s="1" t="n">
        <f aca="false">IFERROR(VLOOKUP(A1058,Pedido!$A:$C,3,0),0)</f>
        <v>0</v>
      </c>
      <c r="E1058" s="5" t="n">
        <f aca="false">IFERROR(VLOOKUP(A1058,Pedido!$A:$E,5,0),0)</f>
        <v>0</v>
      </c>
      <c r="F1058" s="1" t="s">
        <v>9</v>
      </c>
      <c r="G1058" s="1" t="s">
        <v>1873</v>
      </c>
      <c r="H1058" s="1" t="s">
        <v>126</v>
      </c>
      <c r="I1058" s="1" t="s">
        <v>53</v>
      </c>
      <c r="J1058" s="1" t="s">
        <v>2307</v>
      </c>
      <c r="K1058" s="1" t="n">
        <v>74</v>
      </c>
      <c r="L1058" s="11" t="n">
        <v>0.964870922136157</v>
      </c>
      <c r="M1058" s="1" t="n">
        <f aca="false">SUMIF(Relatorio_AK!$A:$A,A1058,Relatorio_AK!$B:$B)</f>
        <v>74</v>
      </c>
      <c r="N1058" s="1" t="str">
        <f aca="false">IF(M1058=K1058,"OK","DIF")</f>
        <v>OK</v>
      </c>
      <c r="O1058" s="12" t="str">
        <f aca="false">IFERROR(VLOOKUP($A1058,Lista_Starke!$A:$E,3,0),"NÃO ESTÁ NA LISTA")</f>
        <v>FORD: Fusion 2.0 16V Turbo Ecoboost 13/...</v>
      </c>
      <c r="P1058" s="12" t="str">
        <f aca="false">IFERROR(VLOOKUP($A1058,Lista_Starke!$A:$E,2,0),"NÃO ESTÁ NA LISTA")</f>
        <v>RESFRIADOR DE ÓLEO CÂMBIO</v>
      </c>
    </row>
    <row r="1059" customFormat="false" ht="15" hidden="false" customHeight="true" outlineLevel="0" collapsed="false">
      <c r="A1059" s="10" t="s">
        <v>2308</v>
      </c>
      <c r="B1059" s="10" t="str">
        <f aca="false">IFERROR(VLOOKUP(A1059,Pedido!$A:$B,2,0),"")</f>
        <v/>
      </c>
      <c r="C1059" s="10" t="str">
        <f aca="false">IF(B1059="","NÃO COMPRA","COMPRA")</f>
        <v>NÃO COMPRA</v>
      </c>
      <c r="D1059" s="1" t="n">
        <f aca="false">IFERROR(VLOOKUP(A1059,Pedido!$A:$C,3,0),0)</f>
        <v>0</v>
      </c>
      <c r="E1059" s="5" t="n">
        <f aca="false">IFERROR(VLOOKUP(A1059,Pedido!$A:$E,5,0),0)</f>
        <v>0</v>
      </c>
      <c r="F1059" s="1" t="s">
        <v>9</v>
      </c>
      <c r="G1059" s="1" t="s">
        <v>1442</v>
      </c>
      <c r="H1059" s="1" t="s">
        <v>1131</v>
      </c>
      <c r="I1059" s="1" t="s">
        <v>226</v>
      </c>
      <c r="J1059" s="1" t="s">
        <v>2309</v>
      </c>
      <c r="K1059" s="1" t="n">
        <v>74</v>
      </c>
      <c r="L1059" s="11" t="n">
        <v>0.964997427161313</v>
      </c>
      <c r="M1059" s="1" t="n">
        <f aca="false">SUMIF(Relatorio_AK!$A:$A,A1059,Relatorio_AK!$B:$B)</f>
        <v>74</v>
      </c>
      <c r="N1059" s="1" t="str">
        <f aca="false">IF(M1059=K1059,"OK","DIF")</f>
        <v>OK</v>
      </c>
      <c r="O1059" s="13" t="str">
        <f aca="false">IFERROR(VLOOKUP($A1059,Lista_Starke!$A:$E,3,0),"NÃO ESTÁ NA LISTA")</f>
        <v>AUDI: A1 1.4 16V TFSI 14/18
AUDI: A3 1.4 16V TFSI 14/20
AUDI: Q3 1.4 16V TFSI 19/21
VOLKSWAGEN: Golf 1.4 16V TSI 14/17
VOLKSWAGEN: Golf Variant 1.4 16V TSI 15/18
VOLKSWAGEN: Jetta 1.4 16V TSI 16/18
VOLKSWAGEN: Jetta 1.4 16V TSI 18/20
VOLKSWAGEN: Polo GTS 1.4 16V TSI 20/...
VOLKSWAGEN: Tiguan 1.4 16V TSI 17/21</v>
      </c>
      <c r="P1059" s="12" t="str">
        <f aca="false">IFERROR(VLOOKUP($A1059,Lista_Starke!$A:$E,2,0),"NÃO ESTÁ NA LISTA")</f>
        <v>BOMBA DE ALTA PRESSÃO GDI</v>
      </c>
    </row>
    <row r="1060" customFormat="false" ht="15" hidden="false" customHeight="true" outlineLevel="0" collapsed="false">
      <c r="A1060" s="10" t="s">
        <v>2310</v>
      </c>
      <c r="B1060" s="10" t="str">
        <f aca="false">IFERROR(VLOOKUP(A1060,Pedido!$A:$B,2,0),"")</f>
        <v/>
      </c>
      <c r="C1060" s="10" t="str">
        <f aca="false">IF(B1060="","NÃO COMPRA","COMPRA")</f>
        <v>NÃO COMPRA</v>
      </c>
      <c r="D1060" s="1" t="n">
        <f aca="false">IFERROR(VLOOKUP(A1060,Pedido!$A:$C,3,0),0)</f>
        <v>0</v>
      </c>
      <c r="E1060" s="5" t="n">
        <f aca="false">IFERROR(VLOOKUP(A1060,Pedido!$A:$E,5,0),0)</f>
        <v>0</v>
      </c>
      <c r="F1060" s="1" t="s">
        <v>9</v>
      </c>
      <c r="G1060" s="1" t="s">
        <v>2311</v>
      </c>
      <c r="H1060" s="1" t="s">
        <v>235</v>
      </c>
      <c r="I1060" s="1" t="s">
        <v>57</v>
      </c>
      <c r="J1060" s="1" t="s">
        <v>2312</v>
      </c>
      <c r="K1060" s="1" t="n">
        <v>74</v>
      </c>
      <c r="L1060" s="11" t="n">
        <v>0.965123932186468</v>
      </c>
      <c r="M1060" s="1" t="n">
        <f aca="false">SUMIF(Relatorio_AK!$A:$A,A1060,Relatorio_AK!$B:$B)</f>
        <v>74</v>
      </c>
      <c r="N1060" s="1" t="str">
        <f aca="false">IF(M1060=K1060,"OK","DIF")</f>
        <v>OK</v>
      </c>
      <c r="O1060" s="13" t="str">
        <f aca="false">IFERROR(VLOOKUP($A1060,Lista_Starke!$A:$E,3,0),"NÃO ESTÁ NA LISTA")</f>
        <v>GM: Cruze 1.4 16V Turbo LE2 16/...
GM: Tracker 1.4 16V Turbo LE2 16/19</v>
      </c>
      <c r="P1060" s="12" t="str">
        <f aca="false">IFERROR(VLOOKUP($A1060,Lista_Starke!$A:$E,2,0),"NÃO ESTÁ NA LISTA")</f>
        <v>RESFRIADOR DE ÓLEO MOTOR</v>
      </c>
    </row>
    <row r="1061" customFormat="false" ht="15" hidden="false" customHeight="true" outlineLevel="0" collapsed="false">
      <c r="A1061" s="10" t="s">
        <v>2313</v>
      </c>
      <c r="B1061" s="10" t="str">
        <f aca="false">IFERROR(VLOOKUP(A1061,Pedido!$A:$B,2,0),"")</f>
        <v/>
      </c>
      <c r="C1061" s="10" t="str">
        <f aca="false">IF(B1061="","NÃO COMPRA","COMPRA")</f>
        <v>NÃO COMPRA</v>
      </c>
      <c r="D1061" s="1" t="n">
        <f aca="false">IFERROR(VLOOKUP(A1061,Pedido!$A:$C,3,0),0)</f>
        <v>0</v>
      </c>
      <c r="E1061" s="5" t="n">
        <f aca="false">IFERROR(VLOOKUP(A1061,Pedido!$A:$E,5,0),0)</f>
        <v>0</v>
      </c>
      <c r="F1061" s="1" t="s">
        <v>9</v>
      </c>
      <c r="G1061" s="1" t="s">
        <v>901</v>
      </c>
      <c r="H1061" s="1" t="s">
        <v>845</v>
      </c>
      <c r="I1061" s="1" t="s">
        <v>373</v>
      </c>
      <c r="J1061" s="1" t="s">
        <v>2314</v>
      </c>
      <c r="K1061" s="1" t="n">
        <v>74</v>
      </c>
      <c r="L1061" s="11" t="n">
        <v>0.965250437211624</v>
      </c>
      <c r="M1061" s="1" t="n">
        <f aca="false">SUMIF(Relatorio_AK!$A:$A,A1061,Relatorio_AK!$B:$B)</f>
        <v>74</v>
      </c>
      <c r="N1061" s="1" t="str">
        <f aca="false">IF(M1061=K1061,"OK","DIF")</f>
        <v>OK</v>
      </c>
      <c r="O1061" s="13" t="str">
        <f aca="false">IFERROR(VLOOKUP($A1061,Lista_Starke!$A:$E,3,0),"NÃO ESTÁ NA LISTA")</f>
        <v>MERCEDES-BENZ: eSprinter  23/...
MERCEDES-BENZ: Sprinter 311  11/18
MERCEDES-BENZ: Sprinter 313 CDI  06/19
MERCEDES-BENZ: Sprinter 314 CDI  15/...
MERCEDES-BENZ: Sprinter 314 CDI  18/...
MERCEDES-BENZ: Sprinter 315 CDI  20/...
MERCEDES-BENZ: Sprinter 415 CDI 2.1 CDI Eletrônico OM651.955 / OM651.956 13/20
MERCEDES-BENZ: Sprinter 416 CDI/RWD  18/...
MERCEDES-BENZ: Sprinter 417 CDI  20/...
MERCEDES-BENZ: Sprinter 515 CDI 2.2 16V 13/20
MERCEDES-BENZ: Sprinter 516 CDI  18/...
MERCEDES-BENZ: Sprinter 517 CDI  23/...</v>
      </c>
      <c r="P1061" s="12" t="str">
        <f aca="false">IFERROR(VLOOKUP($A1061,Lista_Starke!$A:$E,2,0),"NÃO ESTÁ NA LISTA")</f>
        <v>SAPATA DE FREIO DE MÃO</v>
      </c>
    </row>
    <row r="1062" customFormat="false" ht="15" hidden="false" customHeight="true" outlineLevel="0" collapsed="false">
      <c r="A1062" s="10" t="s">
        <v>2315</v>
      </c>
      <c r="B1062" s="10" t="str">
        <f aca="false">IFERROR(VLOOKUP(A1062,Pedido!$A:$B,2,0),"")</f>
        <v/>
      </c>
      <c r="C1062" s="10" t="str">
        <f aca="false">IF(B1062="","NÃO COMPRA","COMPRA")</f>
        <v>NÃO COMPRA</v>
      </c>
      <c r="D1062" s="1" t="n">
        <f aca="false">IFERROR(VLOOKUP(A1062,Pedido!$A:$C,3,0),0)</f>
        <v>0</v>
      </c>
      <c r="E1062" s="5" t="n">
        <f aca="false">IFERROR(VLOOKUP(A1062,Pedido!$A:$E,5,0),0)</f>
        <v>0</v>
      </c>
      <c r="F1062" s="1" t="s">
        <v>9</v>
      </c>
      <c r="G1062" s="1" t="s">
        <v>1336</v>
      </c>
      <c r="H1062" s="1" t="s">
        <v>35</v>
      </c>
      <c r="I1062" s="1" t="s">
        <v>1182</v>
      </c>
      <c r="J1062" s="1" t="s">
        <v>2316</v>
      </c>
      <c r="K1062" s="1" t="n">
        <v>74</v>
      </c>
      <c r="L1062" s="11" t="n">
        <v>0.96537694223678</v>
      </c>
      <c r="M1062" s="1" t="n">
        <f aca="false">SUMIF(Relatorio_AK!$A:$A,A1062,Relatorio_AK!$B:$B)</f>
        <v>74</v>
      </c>
      <c r="N1062" s="1" t="str">
        <f aca="false">IF(M1062=K1062,"OK","DIF")</f>
        <v>OK</v>
      </c>
      <c r="O1062" s="12" t="str">
        <f aca="false">IFERROR(VLOOKUP($A1062,Lista_Starke!$A:$E,3,0),"NÃO ESTÁ NA LISTA")</f>
        <v>KIA: Picanto 1.0 12V 12/15</v>
      </c>
      <c r="P1062" s="12" t="str">
        <f aca="false">IFERROR(VLOOKUP($A1062,Lista_Starke!$A:$E,2,0),"NÃO ESTÁ NA LISTA")</f>
        <v>CILINDRO MESTRE DE FREIO</v>
      </c>
    </row>
    <row r="1063" customFormat="false" ht="15" hidden="false" customHeight="true" outlineLevel="0" collapsed="false">
      <c r="A1063" s="10" t="s">
        <v>2317</v>
      </c>
      <c r="B1063" s="10" t="str">
        <f aca="false">IFERROR(VLOOKUP(A1063,Pedido!$A:$B,2,0),"")</f>
        <v/>
      </c>
      <c r="C1063" s="10" t="str">
        <f aca="false">IF(B1063="","NÃO COMPRA","COMPRA")</f>
        <v>NÃO COMPRA</v>
      </c>
      <c r="D1063" s="1" t="n">
        <f aca="false">IFERROR(VLOOKUP(A1063,Pedido!$A:$C,3,0),0)</f>
        <v>0</v>
      </c>
      <c r="E1063" s="5" t="n">
        <f aca="false">IFERROR(VLOOKUP(A1063,Pedido!$A:$E,5,0),0)</f>
        <v>0</v>
      </c>
      <c r="F1063" s="1" t="s">
        <v>9</v>
      </c>
      <c r="G1063" s="1" t="s">
        <v>1881</v>
      </c>
      <c r="H1063" s="1" t="s">
        <v>1358</v>
      </c>
      <c r="I1063" s="1" t="s">
        <v>57</v>
      </c>
      <c r="J1063" s="1" t="s">
        <v>2318</v>
      </c>
      <c r="K1063" s="1" t="n">
        <v>73</v>
      </c>
      <c r="L1063" s="11" t="n">
        <v>0.965501737734568</v>
      </c>
      <c r="M1063" s="1" t="n">
        <f aca="false">SUMIF(Relatorio_AK!$A:$A,A1063,Relatorio_AK!$B:$B)</f>
        <v>73</v>
      </c>
      <c r="N1063" s="1" t="str">
        <f aca="false">IF(M1063=K1063,"OK","DIF")</f>
        <v>OK</v>
      </c>
      <c r="O1063" s="13" t="str">
        <f aca="false">IFERROR(VLOOKUP($A1063,Lista_Starke!$A:$E,3,0),"NÃO ESTÁ NA LISTA")</f>
        <v>GM: Montana 1.2 12V Turbo 23/...
GM: Tracker 1.0 12V Turbo 20/...
GM: Tracker 1.2 12V Turbo 20/...</v>
      </c>
      <c r="P1063" s="12" t="str">
        <f aca="false">IFERROR(VLOOKUP($A1063,Lista_Starke!$A:$E,2,0),"NÃO ESTÁ NA LISTA")</f>
        <v>BANDEJA INFERIOR COMPLETA LE</v>
      </c>
    </row>
    <row r="1064" customFormat="false" ht="15" hidden="false" customHeight="true" outlineLevel="0" collapsed="false">
      <c r="A1064" s="10" t="s">
        <v>2319</v>
      </c>
      <c r="B1064" s="10" t="str">
        <f aca="false">IFERROR(VLOOKUP(A1064,Pedido!$A:$B,2,0),"")</f>
        <v/>
      </c>
      <c r="C1064" s="10" t="str">
        <f aca="false">IF(B1064="","NÃO COMPRA","COMPRA")</f>
        <v>NÃO COMPRA</v>
      </c>
      <c r="D1064" s="1" t="n">
        <f aca="false">IFERROR(VLOOKUP(A1064,Pedido!$A:$C,3,0),0)</f>
        <v>0</v>
      </c>
      <c r="E1064" s="5" t="n">
        <f aca="false">IFERROR(VLOOKUP(A1064,Pedido!$A:$E,5,0),0)</f>
        <v>0</v>
      </c>
      <c r="F1064" s="1" t="s">
        <v>9</v>
      </c>
      <c r="G1064" s="1" t="s">
        <v>735</v>
      </c>
      <c r="H1064" s="1" t="s">
        <v>197</v>
      </c>
      <c r="I1064" s="1" t="s">
        <v>172</v>
      </c>
      <c r="J1064" s="1" t="s">
        <v>2320</v>
      </c>
      <c r="K1064" s="1" t="n">
        <v>73</v>
      </c>
      <c r="L1064" s="11" t="n">
        <v>0.965626533232357</v>
      </c>
      <c r="M1064" s="1" t="n">
        <f aca="false">SUMIF(Relatorio_AK!$A:$A,A1064,Relatorio_AK!$B:$B)</f>
        <v>73</v>
      </c>
      <c r="N1064" s="1" t="str">
        <f aca="false">IF(M1064=K1064,"OK","DIF")</f>
        <v>OK</v>
      </c>
      <c r="O1064" s="13" t="str">
        <f aca="false">IFERROR(VLOOKUP($A1064,Lista_Starke!$A:$E,3,0),"NÃO ESTÁ NA LISTA")</f>
        <v>HYUNDAI: Atos 1.0 12V G4AC / G4HG / G4HE 97/03
HYUNDAI: Atos 1.1 12V G4AC / G4HG / G4HE 97/03
HYUNDAI: Atos Prime 1.0 12V G4AC / G4HG / G4HE 97/03
HYUNDAI: Atos Prime 1.1 12V G4AC / G4HG G4HE 97/03
KIA: Picanto 1.0 12V G4AC / G4HG / G4HE 05/11
KIA: Picanto 1.1 12V G4AC / G4HG / G4HE 04/11</v>
      </c>
      <c r="P1064" s="12" t="str">
        <f aca="false">IFERROR(VLOOKUP($A1064,Lista_Starke!$A:$E,2,0),"NÃO ESTÁ NA LISTA")</f>
        <v>BOMBA D'ÁGUA</v>
      </c>
    </row>
    <row r="1065" customFormat="false" ht="15" hidden="false" customHeight="true" outlineLevel="0" collapsed="false">
      <c r="A1065" s="10" t="s">
        <v>2321</v>
      </c>
      <c r="B1065" s="10" t="str">
        <f aca="false">IFERROR(VLOOKUP(A1065,Pedido!$A:$B,2,0),"")</f>
        <v/>
      </c>
      <c r="C1065" s="10" t="str">
        <f aca="false">IF(B1065="","NÃO COMPRA","COMPRA")</f>
        <v>NÃO COMPRA</v>
      </c>
      <c r="D1065" s="1" t="n">
        <f aca="false">IFERROR(VLOOKUP(A1065,Pedido!$A:$C,3,0),0)</f>
        <v>0</v>
      </c>
      <c r="E1065" s="5" t="n">
        <f aca="false">IFERROR(VLOOKUP(A1065,Pedido!$A:$E,5,0),0)</f>
        <v>0</v>
      </c>
      <c r="F1065" s="1" t="s">
        <v>9</v>
      </c>
      <c r="G1065" s="1" t="s">
        <v>1479</v>
      </c>
      <c r="H1065" s="1" t="s">
        <v>197</v>
      </c>
      <c r="I1065" s="1" t="s">
        <v>1480</v>
      </c>
      <c r="J1065" s="1" t="s">
        <v>2322</v>
      </c>
      <c r="K1065" s="1" t="n">
        <v>73</v>
      </c>
      <c r="L1065" s="11" t="n">
        <v>0.965751328730146</v>
      </c>
      <c r="M1065" s="1" t="n">
        <f aca="false">SUMIF(Relatorio_AK!$A:$A,A1065,Relatorio_AK!$B:$B)</f>
        <v>73</v>
      </c>
      <c r="N1065" s="1" t="str">
        <f aca="false">IF(M1065=K1065,"OK","DIF")</f>
        <v>OK</v>
      </c>
      <c r="O1065" s="13" t="str">
        <f aca="false">IFERROR(VLOOKUP($A1065,Lista_Starke!$A:$E,3,0),"NÃO ESTÁ NA LISTA")</f>
        <v>SUBARU: Forester 2.0 Turbo   EJ20 / EJ205 98/02
SUBARU: Forester 2.0 Turbo   EJ205 02/…
SUBARU: Forester 2.5   EJ25 03/…
SUBARU: Impreza 2.0 Turbo   EJ257 08/…
SUBARU: Impreza 2.5 Turbo   EJ20G 96/00
SUBARU: Impreza WRX 2.5 Turbo   EJ255 05/…
SUBARU: Impreza WRX 2.5 Turbo   EJ257 11/…
SUBARU: Lagacy 2.0 Turbo   EJ20GN 92/…
SUBARU: Legacy 2.5 Turbo   EJ25 92/…</v>
      </c>
      <c r="P1065" s="12" t="str">
        <f aca="false">IFERROR(VLOOKUP($A1065,Lista_Starke!$A:$E,2,0),"NÃO ESTÁ NA LISTA")</f>
        <v>BOMBA D'ÁGUA</v>
      </c>
    </row>
    <row r="1066" customFormat="false" ht="15" hidden="false" customHeight="true" outlineLevel="0" collapsed="false">
      <c r="A1066" s="10" t="s">
        <v>2323</v>
      </c>
      <c r="B1066" s="10" t="str">
        <f aca="false">IFERROR(VLOOKUP(A1066,Pedido!$A:$B,2,0),"")</f>
        <v/>
      </c>
      <c r="C1066" s="10" t="str">
        <f aca="false">IF(B1066="","NÃO COMPRA","COMPRA")</f>
        <v>NÃO COMPRA</v>
      </c>
      <c r="D1066" s="1" t="n">
        <f aca="false">IFERROR(VLOOKUP(A1066,Pedido!$A:$C,3,0),0)</f>
        <v>0</v>
      </c>
      <c r="E1066" s="5" t="n">
        <f aca="false">IFERROR(VLOOKUP(A1066,Pedido!$A:$E,5,0),0)</f>
        <v>0</v>
      </c>
      <c r="F1066" s="1" t="s">
        <v>9</v>
      </c>
      <c r="G1066" s="1" t="s">
        <v>1419</v>
      </c>
      <c r="H1066" s="1" t="s">
        <v>1073</v>
      </c>
      <c r="I1066" s="1" t="s">
        <v>77</v>
      </c>
      <c r="J1066" s="1" t="s">
        <v>2324</v>
      </c>
      <c r="K1066" s="1" t="n">
        <v>73</v>
      </c>
      <c r="L1066" s="11" t="n">
        <v>0.965876124227935</v>
      </c>
      <c r="M1066" s="1" t="n">
        <f aca="false">SUMIF(Relatorio_AK!$A:$A,A1066,Relatorio_AK!$B:$B)</f>
        <v>73</v>
      </c>
      <c r="N1066" s="1" t="str">
        <f aca="false">IF(M1066=K1066,"OK","DIF")</f>
        <v>OK</v>
      </c>
      <c r="O1066" s="13" t="str">
        <f aca="false">IFERROR(VLOOKUP($A1066,Lista_Starke!$A:$E,3,0),"NÃO ESTÁ NA LISTA")</f>
        <v>CITROEN: Aircross 1.2 THP EB2DT/EB2ADT/EB2DTS/EB2ADTS 17/...
CITROEN: C3 1.2 THP EB2DT 17/...
PEUGEOT: 2008 1.2 THP EB2ADTD/EB2ADTS/EB2ADTX 19/...
PEUGEOT: 208 1.2 THP EB2ADT/EB2DTS/EB2ADTS 19/...
PEUGEOT: 308 1.2 THP EB2ADT/EB2ADTS 21/...</v>
      </c>
      <c r="P1066" s="12" t="str">
        <f aca="false">IFERROR(VLOOKUP($A1066,Lista_Starke!$A:$E,2,0),"NÃO ESTÁ NA LISTA")</f>
        <v>VÁLVULA TERMOSTÁTICA</v>
      </c>
    </row>
    <row r="1067" customFormat="false" ht="15" hidden="false" customHeight="true" outlineLevel="0" collapsed="false">
      <c r="A1067" s="10" t="s">
        <v>2325</v>
      </c>
      <c r="B1067" s="10" t="str">
        <f aca="false">IFERROR(VLOOKUP(A1067,Pedido!$A:$B,2,0),"")</f>
        <v/>
      </c>
      <c r="C1067" s="10" t="str">
        <f aca="false">IF(B1067="","NÃO COMPRA","COMPRA")</f>
        <v>NÃO COMPRA</v>
      </c>
      <c r="D1067" s="1" t="n">
        <f aca="false">IFERROR(VLOOKUP(A1067,Pedido!$A:$C,3,0),0)</f>
        <v>0</v>
      </c>
      <c r="E1067" s="5" t="n">
        <f aca="false">IFERROR(VLOOKUP(A1067,Pedido!$A:$E,5,0),0)</f>
        <v>0</v>
      </c>
      <c r="F1067" s="1" t="s">
        <v>9</v>
      </c>
      <c r="G1067" s="1" t="s">
        <v>176</v>
      </c>
      <c r="H1067" s="1" t="s">
        <v>35</v>
      </c>
      <c r="I1067" s="1" t="s">
        <v>177</v>
      </c>
      <c r="J1067" s="1" t="s">
        <v>2326</v>
      </c>
      <c r="K1067" s="1" t="n">
        <v>73</v>
      </c>
      <c r="L1067" s="11" t="n">
        <v>0.966000919725724</v>
      </c>
      <c r="M1067" s="1" t="n">
        <f aca="false">SUMIF(Relatorio_AK!$A:$A,A1067,Relatorio_AK!$B:$B)</f>
        <v>73</v>
      </c>
      <c r="N1067" s="1" t="str">
        <f aca="false">IF(M1067=K1067,"OK","DIF")</f>
        <v>OK</v>
      </c>
      <c r="O1067" s="13" t="str">
        <f aca="false">IFERROR(VLOOKUP($A1067,Lista_Starke!$A:$E,3,0),"NÃO ESTÁ NA LISTA")</f>
        <v>TOYOTA: Hilux 2.5 16V 2KD 05/11
TOYOTA: Hilux 3.0 16V 1KD 05/11
TOYOTA: Hilux 3.0 Diesel 5L / 5LE 02/05
TOYOTA: SW4 3.0 16V 1KD 05/11</v>
      </c>
      <c r="P1067" s="12" t="str">
        <f aca="false">IFERROR(VLOOKUP($A1067,Lista_Starke!$A:$E,2,0),"NÃO ESTÁ NA LISTA")</f>
        <v>CILINDRO MESTRE DE FREIO</v>
      </c>
    </row>
    <row r="1068" customFormat="false" ht="15" hidden="false" customHeight="true" outlineLevel="0" collapsed="false">
      <c r="A1068" s="10" t="s">
        <v>2327</v>
      </c>
      <c r="B1068" s="10" t="str">
        <f aca="false">IFERROR(VLOOKUP(A1068,Pedido!$A:$B,2,0),"")</f>
        <v/>
      </c>
      <c r="C1068" s="10" t="str">
        <f aca="false">IF(B1068="","NÃO COMPRA","COMPRA")</f>
        <v>NÃO COMPRA</v>
      </c>
      <c r="D1068" s="1" t="n">
        <f aca="false">IFERROR(VLOOKUP(A1068,Pedido!$A:$C,3,0),0)</f>
        <v>0</v>
      </c>
      <c r="E1068" s="5" t="n">
        <f aca="false">IFERROR(VLOOKUP(A1068,Pedido!$A:$E,5,0),0)</f>
        <v>0</v>
      </c>
      <c r="F1068" s="1" t="s">
        <v>9</v>
      </c>
      <c r="G1068" s="1" t="s">
        <v>1959</v>
      </c>
      <c r="H1068" s="1" t="s">
        <v>1358</v>
      </c>
      <c r="I1068" s="1" t="s">
        <v>29</v>
      </c>
      <c r="J1068" s="1" t="s">
        <v>2328</v>
      </c>
      <c r="K1068" s="1" t="n">
        <v>72</v>
      </c>
      <c r="L1068" s="11" t="n">
        <v>0.966124005696145</v>
      </c>
      <c r="M1068" s="1" t="n">
        <f aca="false">SUMIF(Relatorio_AK!$A:$A,A1068,Relatorio_AK!$B:$B)</f>
        <v>72</v>
      </c>
      <c r="N1068" s="1" t="str">
        <f aca="false">IF(M1068=K1068,"OK","DIF")</f>
        <v>OK</v>
      </c>
      <c r="O1068" s="12" t="str">
        <f aca="false">IFERROR(VLOOKUP($A1068,Lista_Starke!$A:$E,3,0),"NÃO ESTÁ NA LISTA")</f>
        <v>HYUNDAI: HR  05/20</v>
      </c>
      <c r="P1068" s="12" t="str">
        <f aca="false">IFERROR(VLOOKUP($A1068,Lista_Starke!$A:$E,2,0),"NÃO ESTÁ NA LISTA")</f>
        <v>BANDEJA INFERIOR COMPLETA LD</v>
      </c>
    </row>
    <row r="1069" customFormat="false" ht="15" hidden="false" customHeight="true" outlineLevel="0" collapsed="false">
      <c r="A1069" s="10" t="s">
        <v>2329</v>
      </c>
      <c r="B1069" s="10" t="str">
        <f aca="false">IFERROR(VLOOKUP(A1069,Pedido!$A:$B,2,0),"")</f>
        <v/>
      </c>
      <c r="C1069" s="10" t="str">
        <f aca="false">IF(B1069="","NÃO COMPRA","COMPRA")</f>
        <v>NÃO COMPRA</v>
      </c>
      <c r="D1069" s="1" t="n">
        <f aca="false">IFERROR(VLOOKUP(A1069,Pedido!$A:$C,3,0),0)</f>
        <v>0</v>
      </c>
      <c r="E1069" s="5" t="n">
        <f aca="false">IFERROR(VLOOKUP(A1069,Pedido!$A:$E,5,0),0)</f>
        <v>0</v>
      </c>
      <c r="F1069" s="1" t="s">
        <v>9</v>
      </c>
      <c r="G1069" s="1" t="s">
        <v>1881</v>
      </c>
      <c r="H1069" s="1" t="s">
        <v>1358</v>
      </c>
      <c r="I1069" s="1" t="s">
        <v>57</v>
      </c>
      <c r="J1069" s="1" t="s">
        <v>2330</v>
      </c>
      <c r="K1069" s="1" t="n">
        <v>72</v>
      </c>
      <c r="L1069" s="11" t="n">
        <v>0.966247091666567</v>
      </c>
      <c r="M1069" s="1" t="n">
        <f aca="false">SUMIF(Relatorio_AK!$A:$A,A1069,Relatorio_AK!$B:$B)</f>
        <v>72</v>
      </c>
      <c r="N1069" s="1" t="str">
        <f aca="false">IF(M1069=K1069,"OK","DIF")</f>
        <v>OK</v>
      </c>
      <c r="O1069" s="12" t="str">
        <f aca="false">IFERROR(VLOOKUP($A1069,Lista_Starke!$A:$E,3,0),"NÃO ESTÁ NA LISTA")</f>
        <v>GM: Cruze 1.4 16V Turbo 16/...</v>
      </c>
      <c r="P1069" s="12" t="str">
        <f aca="false">IFERROR(VLOOKUP($A1069,Lista_Starke!$A:$E,2,0),"NÃO ESTÁ NA LISTA")</f>
        <v>BANDEJA INFERIOR COMPLETA LE</v>
      </c>
    </row>
    <row r="1070" customFormat="false" ht="15" hidden="false" customHeight="true" outlineLevel="0" collapsed="false">
      <c r="A1070" s="10" t="s">
        <v>2331</v>
      </c>
      <c r="B1070" s="10" t="str">
        <f aca="false">IFERROR(VLOOKUP(A1070,Pedido!$A:$B,2,0),"")</f>
        <v/>
      </c>
      <c r="C1070" s="10" t="str">
        <f aca="false">IF(B1070="","NÃO COMPRA","COMPRA")</f>
        <v>NÃO COMPRA</v>
      </c>
      <c r="D1070" s="1" t="n">
        <f aca="false">IFERROR(VLOOKUP(A1070,Pedido!$A:$C,3,0),0)</f>
        <v>0</v>
      </c>
      <c r="E1070" s="5" t="n">
        <f aca="false">IFERROR(VLOOKUP(A1070,Pedido!$A:$E,5,0),0)</f>
        <v>0</v>
      </c>
      <c r="F1070" s="1" t="s">
        <v>9</v>
      </c>
      <c r="G1070" s="1" t="s">
        <v>720</v>
      </c>
      <c r="H1070" s="1" t="s">
        <v>197</v>
      </c>
      <c r="I1070" s="1" t="s">
        <v>255</v>
      </c>
      <c r="K1070" s="1" t="n">
        <v>72</v>
      </c>
      <c r="L1070" s="11" t="n">
        <v>0.966370177636989</v>
      </c>
      <c r="M1070" s="1" t="n">
        <f aca="false">SUMIF(Relatorio_AK!$A:$A,A1070,Relatorio_AK!$B:$B)</f>
        <v>72</v>
      </c>
      <c r="N1070" s="1" t="str">
        <f aca="false">IF(M1070=K1070,"OK","DIF")</f>
        <v>OK</v>
      </c>
      <c r="O1070" s="12" t="str">
        <f aca="false">IFERROR(VLOOKUP($A1070,Lista_Starke!$A:$E,3,0),"NÃO ESTÁ NA LISTA")</f>
        <v>MITSUBISHI: Outlander 2.2 16V Diesel 4N14 13/...</v>
      </c>
      <c r="P1070" s="12" t="str">
        <f aca="false">IFERROR(VLOOKUP($A1070,Lista_Starke!$A:$E,2,0),"NÃO ESTÁ NA LISTA")</f>
        <v>BOMBA D'ÁGUA</v>
      </c>
    </row>
    <row r="1071" customFormat="false" ht="15" hidden="false" customHeight="true" outlineLevel="0" collapsed="false">
      <c r="A1071" s="10" t="s">
        <v>2332</v>
      </c>
      <c r="B1071" s="10" t="str">
        <f aca="false">IFERROR(VLOOKUP(A1071,Pedido!$A:$B,2,0),"")</f>
        <v/>
      </c>
      <c r="C1071" s="10" t="str">
        <f aca="false">IF(B1071="","NÃO COMPRA","COMPRA")</f>
        <v>NÃO COMPRA</v>
      </c>
      <c r="D1071" s="1" t="n">
        <f aca="false">IFERROR(VLOOKUP(A1071,Pedido!$A:$C,3,0),0)</f>
        <v>0</v>
      </c>
      <c r="E1071" s="5" t="n">
        <f aca="false">IFERROR(VLOOKUP(A1071,Pedido!$A:$E,5,0),0)</f>
        <v>0</v>
      </c>
      <c r="F1071" s="1" t="s">
        <v>9</v>
      </c>
      <c r="G1071" s="1" t="s">
        <v>1357</v>
      </c>
      <c r="H1071" s="1" t="s">
        <v>1358</v>
      </c>
      <c r="I1071" s="1" t="s">
        <v>42</v>
      </c>
      <c r="J1071" s="1" t="s">
        <v>2333</v>
      </c>
      <c r="K1071" s="1" t="n">
        <v>71</v>
      </c>
      <c r="L1071" s="11" t="n">
        <v>0.966491554080044</v>
      </c>
      <c r="M1071" s="1" t="n">
        <f aca="false">SUMIF(Relatorio_AK!$A:$A,A1071,Relatorio_AK!$B:$B)</f>
        <v>71</v>
      </c>
      <c r="N1071" s="1" t="str">
        <f aca="false">IF(M1071=K1071,"OK","DIF")</f>
        <v>OK</v>
      </c>
      <c r="O1071" s="13" t="str">
        <f aca="false">IFERROR(VLOOKUP($A1071,Lista_Starke!$A:$E,3,0),"NÃO ESTÁ NA LISTA")</f>
        <v>RENAULT: Clio  05/16
RENAULT: Symbol  09/13</v>
      </c>
      <c r="P1071" s="12" t="str">
        <f aca="false">IFERROR(VLOOKUP($A1071,Lista_Starke!$A:$E,2,0),"NÃO ESTÁ NA LISTA")</f>
        <v>BANDEJA INFERIOR COMPLETA LD</v>
      </c>
    </row>
    <row r="1072" customFormat="false" ht="15" hidden="false" customHeight="true" outlineLevel="0" collapsed="false">
      <c r="A1072" s="10" t="s">
        <v>2334</v>
      </c>
      <c r="B1072" s="10" t="str">
        <f aca="false">IFERROR(VLOOKUP(A1072,Pedido!$A:$B,2,0),"")</f>
        <v/>
      </c>
      <c r="C1072" s="10" t="str">
        <f aca="false">IF(B1072="","NÃO COMPRA","COMPRA")</f>
        <v>NÃO COMPRA</v>
      </c>
      <c r="D1072" s="1" t="n">
        <f aca="false">IFERROR(VLOOKUP(A1072,Pedido!$A:$C,3,0),0)</f>
        <v>0</v>
      </c>
      <c r="E1072" s="5" t="n">
        <f aca="false">IFERROR(VLOOKUP(A1072,Pedido!$A:$E,5,0),0)</f>
        <v>0</v>
      </c>
      <c r="F1072" s="1" t="s">
        <v>9</v>
      </c>
      <c r="G1072" s="1" t="s">
        <v>1970</v>
      </c>
      <c r="H1072" s="1" t="s">
        <v>197</v>
      </c>
      <c r="I1072" s="1" t="s">
        <v>403</v>
      </c>
      <c r="J1072" s="1" t="s">
        <v>2335</v>
      </c>
      <c r="K1072" s="1" t="n">
        <v>71</v>
      </c>
      <c r="L1072" s="11" t="n">
        <v>0.966612930523098</v>
      </c>
      <c r="M1072" s="1" t="n">
        <f aca="false">SUMIF(Relatorio_AK!$A:$A,A1072,Relatorio_AK!$B:$B)</f>
        <v>71</v>
      </c>
      <c r="N1072" s="1" t="str">
        <f aca="false">IF(M1072=K1072,"OK","DIF")</f>
        <v>OK</v>
      </c>
      <c r="O1072" s="13" t="str">
        <f aca="false">IFERROR(VLOOKUP($A1072,Lista_Starke!$A:$E,3,0),"NÃO ESTÁ NA LISTA")</f>
        <v>IVECO: Daily 35 S 14 3.0 Turbo Diesel   F1C 08/…
IVECO: Daily 45 S 14 3.0 Turbo Diesel   F1C 08/…
IVECO: Daily 55 C 16 3.0 Turbo Diesel   F1C 08/…
IVECO: Daily 70 C 16 3.0 Turbo Diesel   F1C 08/…</v>
      </c>
      <c r="P1072" s="12" t="str">
        <f aca="false">IFERROR(VLOOKUP($A1072,Lista_Starke!$A:$E,2,0),"NÃO ESTÁ NA LISTA")</f>
        <v>BOMBA D'ÁGUA</v>
      </c>
    </row>
    <row r="1073" customFormat="false" ht="15" hidden="false" customHeight="true" outlineLevel="0" collapsed="false">
      <c r="A1073" s="10" t="s">
        <v>2336</v>
      </c>
      <c r="B1073" s="10" t="str">
        <f aca="false">IFERROR(VLOOKUP(A1073,Pedido!$A:$B,2,0),"")</f>
        <v/>
      </c>
      <c r="C1073" s="10" t="str">
        <f aca="false">IF(B1073="","NÃO COMPRA","COMPRA")</f>
        <v>NÃO COMPRA</v>
      </c>
      <c r="D1073" s="1" t="n">
        <f aca="false">IFERROR(VLOOKUP(A1073,Pedido!$A:$C,3,0),0)</f>
        <v>0</v>
      </c>
      <c r="E1073" s="5" t="n">
        <f aca="false">IFERROR(VLOOKUP(A1073,Pedido!$A:$E,5,0),0)</f>
        <v>0</v>
      </c>
      <c r="F1073" s="1" t="s">
        <v>9</v>
      </c>
      <c r="G1073" s="1" t="s">
        <v>1285</v>
      </c>
      <c r="H1073" s="1" t="s">
        <v>845</v>
      </c>
      <c r="I1073" s="1" t="s">
        <v>172</v>
      </c>
      <c r="J1073" s="1" t="s">
        <v>2337</v>
      </c>
      <c r="K1073" s="1" t="n">
        <v>71</v>
      </c>
      <c r="L1073" s="11" t="n">
        <v>0.966734306966153</v>
      </c>
      <c r="M1073" s="1" t="n">
        <f aca="false">SUMIF(Relatorio_AK!$A:$A,A1073,Relatorio_AK!$B:$B)</f>
        <v>71</v>
      </c>
      <c r="N1073" s="1" t="str">
        <f aca="false">IF(M1073=K1073,"OK","DIF")</f>
        <v>OK</v>
      </c>
      <c r="O1073" s="13" t="str">
        <f aca="false">IFERROR(VLOOKUP($A1073,Lista_Starke!$A:$E,3,0),"NÃO ESTÁ NA LISTA")</f>
        <v>HYUNDAI: Accent 1.4/ 1.5 / 1.6 05/12
KIA: Cerato 1.6 16V / 2.0 16V 09/...
KIA: Rio 1.6 16V 05/...</v>
      </c>
      <c r="P1073" s="12" t="str">
        <f aca="false">IFERROR(VLOOKUP($A1073,Lista_Starke!$A:$E,2,0),"NÃO ESTÁ NA LISTA")</f>
        <v>SAPATA DE FREIO DE MÃO</v>
      </c>
    </row>
    <row r="1074" customFormat="false" ht="15" hidden="false" customHeight="true" outlineLevel="0" collapsed="false">
      <c r="A1074" s="10" t="s">
        <v>2338</v>
      </c>
      <c r="B1074" s="10" t="str">
        <f aca="false">IFERROR(VLOOKUP(A1074,Pedido!$A:$B,2,0),"")</f>
        <v/>
      </c>
      <c r="C1074" s="10" t="str">
        <f aca="false">IF(B1074="","NÃO COMPRA","COMPRA")</f>
        <v>NÃO COMPRA</v>
      </c>
      <c r="D1074" s="1" t="n">
        <f aca="false">IFERROR(VLOOKUP(A1074,Pedido!$A:$C,3,0),0)</f>
        <v>0</v>
      </c>
      <c r="E1074" s="5" t="n">
        <f aca="false">IFERROR(VLOOKUP(A1074,Pedido!$A:$E,5,0),0)</f>
        <v>0</v>
      </c>
      <c r="F1074" s="1" t="s">
        <v>9</v>
      </c>
      <c r="G1074" s="1" t="s">
        <v>2339</v>
      </c>
      <c r="H1074" s="1" t="s">
        <v>88</v>
      </c>
      <c r="I1074" s="1" t="s">
        <v>281</v>
      </c>
      <c r="J1074" s="1" t="s">
        <v>2340</v>
      </c>
      <c r="K1074" s="1" t="n">
        <v>71</v>
      </c>
      <c r="L1074" s="11" t="n">
        <v>0.966855683409208</v>
      </c>
      <c r="M1074" s="1" t="n">
        <f aca="false">SUMIF(Relatorio_AK!$A:$A,A1074,Relatorio_AK!$B:$B)</f>
        <v>71</v>
      </c>
      <c r="N1074" s="1" t="str">
        <f aca="false">IF(M1074=K1074,"OK","DIF")</f>
        <v>OK</v>
      </c>
      <c r="O1074" s="13" t="str">
        <f aca="false">IFERROR(VLOOKUP($A1074,Lista_Starke!$A:$E,3,0),"NÃO ESTÁ NA LISTA")</f>
        <v>CITROEN: C3 1.4 8V TU3JP 05/09
CITROEN: C3 1.6 16V TU5JP4 05/09</v>
      </c>
      <c r="P1074" s="12" t="str">
        <f aca="false">IFERROR(VLOOKUP($A1074,Lista_Starke!$A:$E,2,0),"NÃO ESTÁ NA LISTA")</f>
        <v>CILINDRO DE RODA LE</v>
      </c>
    </row>
    <row r="1075" customFormat="false" ht="15" hidden="false" customHeight="true" outlineLevel="0" collapsed="false">
      <c r="A1075" s="10" t="s">
        <v>2341</v>
      </c>
      <c r="B1075" s="10" t="str">
        <f aca="false">IFERROR(VLOOKUP(A1075,Pedido!$A:$B,2,0),"")</f>
        <v/>
      </c>
      <c r="C1075" s="10" t="str">
        <f aca="false">IF(B1075="","NÃO COMPRA","COMPRA")</f>
        <v>NÃO COMPRA</v>
      </c>
      <c r="D1075" s="1" t="n">
        <f aca="false">IFERROR(VLOOKUP(A1075,Pedido!$A:$C,3,0),0)</f>
        <v>0</v>
      </c>
      <c r="E1075" s="5" t="n">
        <f aca="false">IFERROR(VLOOKUP(A1075,Pedido!$A:$E,5,0),0)</f>
        <v>0</v>
      </c>
      <c r="F1075" s="1" t="s">
        <v>9</v>
      </c>
      <c r="G1075" s="1" t="s">
        <v>1652</v>
      </c>
      <c r="H1075" s="1" t="s">
        <v>1358</v>
      </c>
      <c r="I1075" s="1" t="s">
        <v>46</v>
      </c>
      <c r="J1075" s="1" t="s">
        <v>2342</v>
      </c>
      <c r="K1075" s="1" t="n">
        <v>70</v>
      </c>
      <c r="L1075" s="11" t="n">
        <v>0.966975350324896</v>
      </c>
      <c r="M1075" s="1" t="n">
        <f aca="false">SUMIF(Relatorio_AK!$A:$A,A1075,Relatorio_AK!$B:$B)</f>
        <v>70</v>
      </c>
      <c r="N1075" s="1" t="str">
        <f aca="false">IF(M1075=K1075,"OK","DIF")</f>
        <v>OK</v>
      </c>
      <c r="O1075" s="13" t="str">
        <f aca="false">IFERROR(VLOOKUP($A1075,Lista_Starke!$A:$E,3,0),"NÃO ESTÁ NA LISTA")</f>
        <v>FIAT: Argo 1.8 17/23
FIAT: Cronos  17/23
FIAT: Strada  20/...</v>
      </c>
      <c r="P1075" s="12" t="str">
        <f aca="false">IFERROR(VLOOKUP($A1075,Lista_Starke!$A:$E,2,0),"NÃO ESTÁ NA LISTA")</f>
        <v>BANDEJA INFERIOR COMPLETA LD</v>
      </c>
    </row>
    <row r="1076" customFormat="false" ht="15" hidden="false" customHeight="true" outlineLevel="0" collapsed="false">
      <c r="A1076" s="10" t="s">
        <v>2343</v>
      </c>
      <c r="B1076" s="10" t="str">
        <f aca="false">IFERROR(VLOOKUP(A1076,Pedido!$A:$B,2,0),"")</f>
        <v/>
      </c>
      <c r="C1076" s="10" t="str">
        <f aca="false">IF(B1076="","NÃO COMPRA","COMPRA")</f>
        <v>NÃO COMPRA</v>
      </c>
      <c r="D1076" s="1" t="n">
        <f aca="false">IFERROR(VLOOKUP(A1076,Pedido!$A:$C,3,0),0)</f>
        <v>0</v>
      </c>
      <c r="E1076" s="5" t="n">
        <f aca="false">IFERROR(VLOOKUP(A1076,Pedido!$A:$E,5,0),0)</f>
        <v>0</v>
      </c>
      <c r="F1076" s="1" t="s">
        <v>9</v>
      </c>
      <c r="G1076" s="1" t="s">
        <v>2344</v>
      </c>
      <c r="H1076" s="1" t="s">
        <v>1358</v>
      </c>
      <c r="I1076" s="1" t="s">
        <v>50</v>
      </c>
      <c r="J1076" s="1" t="s">
        <v>2345</v>
      </c>
      <c r="K1076" s="1" t="n">
        <v>70</v>
      </c>
      <c r="L1076" s="11" t="n">
        <v>0.967095017240583</v>
      </c>
      <c r="M1076" s="1" t="n">
        <f aca="false">SUMIF(Relatorio_AK!$A:$A,A1076,Relatorio_AK!$B:$B)</f>
        <v>70</v>
      </c>
      <c r="N1076" s="1" t="str">
        <f aca="false">IF(M1076=K1076,"OK","DIF")</f>
        <v>OK</v>
      </c>
      <c r="O1076" s="12" t="str">
        <f aca="false">IFERROR(VLOOKUP($A1076,Lista_Starke!$A:$E,3,0),"NÃO ESTÁ NA LISTA")</f>
        <v>HONDA: New Civic 2.0 16V 16/...</v>
      </c>
      <c r="P1076" s="12" t="str">
        <f aca="false">IFERROR(VLOOKUP($A1076,Lista_Starke!$A:$E,2,0),"NÃO ESTÁ NA LISTA")</f>
        <v>BANDEJA INFERIOR COMPLETA LE</v>
      </c>
    </row>
    <row r="1077" customFormat="false" ht="15" hidden="false" customHeight="true" outlineLevel="0" collapsed="false">
      <c r="A1077" s="10" t="s">
        <v>2346</v>
      </c>
      <c r="B1077" s="10" t="str">
        <f aca="false">IFERROR(VLOOKUP(A1077,Pedido!$A:$B,2,0),"")</f>
        <v/>
      </c>
      <c r="C1077" s="10" t="str">
        <f aca="false">IF(B1077="","NÃO COMPRA","COMPRA")</f>
        <v>NÃO COMPRA</v>
      </c>
      <c r="D1077" s="1" t="n">
        <f aca="false">IFERROR(VLOOKUP(A1077,Pedido!$A:$C,3,0),0)</f>
        <v>0</v>
      </c>
      <c r="E1077" s="5" t="n">
        <f aca="false">IFERROR(VLOOKUP(A1077,Pedido!$A:$E,5,0),0)</f>
        <v>0</v>
      </c>
      <c r="F1077" s="1" t="s">
        <v>9</v>
      </c>
      <c r="G1077" s="1" t="s">
        <v>1326</v>
      </c>
      <c r="H1077" s="1" t="s">
        <v>197</v>
      </c>
      <c r="I1077" s="1" t="s">
        <v>2347</v>
      </c>
      <c r="K1077" s="1" t="n">
        <v>70</v>
      </c>
      <c r="L1077" s="11" t="n">
        <v>0.967214684156271</v>
      </c>
      <c r="M1077" s="1" t="n">
        <f aca="false">SUMIF(Relatorio_AK!$A:$A,A1077,Relatorio_AK!$B:$B)</f>
        <v>70</v>
      </c>
      <c r="N1077" s="1" t="str">
        <f aca="false">IF(M1077=K1077,"OK","DIF")</f>
        <v>OK</v>
      </c>
      <c r="O1077" s="13" t="str">
        <f aca="false">IFERROR(VLOOKUP($A1077,Lista_Starke!$A:$E,3,0),"NÃO ESTÁ NA LISTA")</f>
        <v>LEXUS: ES350 3.5 V6   2GR FE / 2GR FXE 07/14
TOYOTA: Camry 3.5 V6   2GR FE / 2GR FXE 07/14</v>
      </c>
      <c r="P1077" s="12" t="str">
        <f aca="false">IFERROR(VLOOKUP($A1077,Lista_Starke!$A:$E,2,0),"NÃO ESTÁ NA LISTA")</f>
        <v>BOMBA D'ÁGUA</v>
      </c>
    </row>
    <row r="1078" customFormat="false" ht="15" hidden="false" customHeight="true" outlineLevel="0" collapsed="false">
      <c r="A1078" s="10" t="s">
        <v>2348</v>
      </c>
      <c r="B1078" s="10" t="str">
        <f aca="false">IFERROR(VLOOKUP(A1078,Pedido!$A:$B,2,0),"")</f>
        <v/>
      </c>
      <c r="C1078" s="10" t="str">
        <f aca="false">IF(B1078="","NÃO COMPRA","COMPRA")</f>
        <v>NÃO COMPRA</v>
      </c>
      <c r="D1078" s="1" t="n">
        <f aca="false">IFERROR(VLOOKUP(A1078,Pedido!$A:$C,3,0),0)</f>
        <v>0</v>
      </c>
      <c r="E1078" s="5" t="n">
        <f aca="false">IFERROR(VLOOKUP(A1078,Pedido!$A:$E,5,0),0)</f>
        <v>0</v>
      </c>
      <c r="F1078" s="1" t="s">
        <v>9</v>
      </c>
      <c r="G1078" s="1" t="s">
        <v>31</v>
      </c>
      <c r="H1078" s="1" t="s">
        <v>32</v>
      </c>
      <c r="I1078" s="1" t="s">
        <v>29</v>
      </c>
      <c r="K1078" s="1" t="n">
        <v>70</v>
      </c>
      <c r="L1078" s="11" t="n">
        <v>0.967334351071959</v>
      </c>
      <c r="M1078" s="1" t="n">
        <f aca="false">SUMIF(Relatorio_AK!$A:$A,A1078,Relatorio_AK!$B:$B)</f>
        <v>70</v>
      </c>
      <c r="N1078" s="1" t="str">
        <f aca="false">IF(M1078=K1078,"OK","DIF")</f>
        <v>OK</v>
      </c>
      <c r="O1078" s="12" t="str">
        <f aca="false">IFERROR(VLOOKUP($A1078,Lista_Starke!$A:$E,3,0),"NÃO ESTÁ NA LISTA")</f>
        <v>HYUNDAI: H100 2.5 8V Diesel 95/04</v>
      </c>
      <c r="P1078" s="12" t="str">
        <f aca="false">IFERROR(VLOOKUP($A1078,Lista_Starke!$A:$E,2,0),"NÃO ESTÁ NA LISTA")</f>
        <v>CILINDRO MESTRE DE EMBREAGEM</v>
      </c>
    </row>
    <row r="1079" customFormat="false" ht="15" hidden="false" customHeight="true" outlineLevel="0" collapsed="false">
      <c r="A1079" s="10" t="s">
        <v>2349</v>
      </c>
      <c r="B1079" s="10" t="str">
        <f aca="false">IFERROR(VLOOKUP(A1079,Pedido!$A:$B,2,0),"")</f>
        <v/>
      </c>
      <c r="C1079" s="10" t="str">
        <f aca="false">IF(B1079="","NÃO COMPRA","COMPRA")</f>
        <v>NÃO COMPRA</v>
      </c>
      <c r="D1079" s="1" t="n">
        <f aca="false">IFERROR(VLOOKUP(A1079,Pedido!$A:$C,3,0),0)</f>
        <v>0</v>
      </c>
      <c r="E1079" s="5" t="n">
        <f aca="false">IFERROR(VLOOKUP(A1079,Pedido!$A:$E,5,0),0)</f>
        <v>0</v>
      </c>
      <c r="F1079" s="1" t="s">
        <v>9</v>
      </c>
      <c r="G1079" s="1" t="s">
        <v>1722</v>
      </c>
      <c r="H1079" s="1" t="s">
        <v>197</v>
      </c>
      <c r="I1079" s="1" t="s">
        <v>1723</v>
      </c>
      <c r="K1079" s="1" t="n">
        <v>70</v>
      </c>
      <c r="L1079" s="11" t="n">
        <v>0.967454017987647</v>
      </c>
      <c r="M1079" s="1" t="n">
        <f aca="false">SUMIF(Relatorio_AK!$A:$A,A1079,Relatorio_AK!$B:$B)</f>
        <v>70</v>
      </c>
      <c r="N1079" s="1" t="str">
        <f aca="false">IF(M1079=K1079,"OK","DIF")</f>
        <v>OK</v>
      </c>
      <c r="O1079" s="12" t="str">
        <f aca="false">IFERROR(VLOOKUP($A1079,Lista_Starke!$A:$E,3,0),"NÃO ESTÁ NA LISTA")</f>
        <v>PORSCHE: Cayenne 3.6 6 cil M5502 / MCEYA 10/...</v>
      </c>
      <c r="P1079" s="12" t="str">
        <f aca="false">IFERROR(VLOOKUP($A1079,Lista_Starke!$A:$E,2,0),"NÃO ESTÁ NA LISTA")</f>
        <v>BOMBA D'ÁGUA</v>
      </c>
    </row>
    <row r="1080" customFormat="false" ht="15" hidden="false" customHeight="true" outlineLevel="0" collapsed="false">
      <c r="A1080" s="10" t="s">
        <v>2350</v>
      </c>
      <c r="B1080" s="10" t="str">
        <f aca="false">IFERROR(VLOOKUP(A1080,Pedido!$A:$B,2,0),"")</f>
        <v/>
      </c>
      <c r="C1080" s="10" t="str">
        <f aca="false">IF(B1080="","NÃO COMPRA","COMPRA")</f>
        <v>NÃO COMPRA</v>
      </c>
      <c r="D1080" s="1" t="n">
        <f aca="false">IFERROR(VLOOKUP(A1080,Pedido!$A:$C,3,0),0)</f>
        <v>0</v>
      </c>
      <c r="E1080" s="5" t="n">
        <f aca="false">IFERROR(VLOOKUP(A1080,Pedido!$A:$E,5,0),0)</f>
        <v>0</v>
      </c>
      <c r="F1080" s="1" t="s">
        <v>9</v>
      </c>
      <c r="G1080" s="1" t="s">
        <v>1695</v>
      </c>
      <c r="H1080" s="1" t="s">
        <v>235</v>
      </c>
      <c r="I1080" s="1" t="s">
        <v>1431</v>
      </c>
      <c r="J1080" s="1" t="s">
        <v>2351</v>
      </c>
      <c r="K1080" s="1" t="n">
        <v>70</v>
      </c>
      <c r="L1080" s="11" t="n">
        <v>0.967573684903335</v>
      </c>
      <c r="M1080" s="1" t="n">
        <f aca="false">SUMIF(Relatorio_AK!$A:$A,A1080,Relatorio_AK!$B:$B)</f>
        <v>70</v>
      </c>
      <c r="N1080" s="1" t="str">
        <f aca="false">IF(M1080=K1080,"OK","DIF")</f>
        <v>OK</v>
      </c>
      <c r="O1080" s="12" t="str">
        <f aca="false">IFERROR(VLOOKUP($A1080,Lista_Starke!$A:$E,3,0),"NÃO ESTÁ NA LISTA")</f>
        <v>VOLVO: XC60 T5 2.0 16V TURBO 15/...</v>
      </c>
      <c r="P1080" s="12" t="str">
        <f aca="false">IFERROR(VLOOKUP($A1080,Lista_Starke!$A:$E,2,0),"NÃO ESTÁ NA LISTA")</f>
        <v>RESFRIADOR DE ÓLEO MOTOR</v>
      </c>
    </row>
    <row r="1081" customFormat="false" ht="15" hidden="false" customHeight="true" outlineLevel="0" collapsed="false">
      <c r="A1081" s="10" t="s">
        <v>2352</v>
      </c>
      <c r="B1081" s="10" t="str">
        <f aca="false">IFERROR(VLOOKUP(A1081,Pedido!$A:$B,2,0),"")</f>
        <v/>
      </c>
      <c r="C1081" s="10" t="str">
        <f aca="false">IF(B1081="","NÃO COMPRA","COMPRA")</f>
        <v>NÃO COMPRA</v>
      </c>
      <c r="D1081" s="1" t="n">
        <f aca="false">IFERROR(VLOOKUP(A1081,Pedido!$A:$C,3,0),0)</f>
        <v>0</v>
      </c>
      <c r="E1081" s="5" t="n">
        <f aca="false">IFERROR(VLOOKUP(A1081,Pedido!$A:$E,5,0),0)</f>
        <v>0</v>
      </c>
      <c r="F1081" s="1" t="s">
        <v>9</v>
      </c>
      <c r="G1081" s="1" t="s">
        <v>2069</v>
      </c>
      <c r="H1081" s="1" t="s">
        <v>126</v>
      </c>
      <c r="I1081" s="1" t="s">
        <v>373</v>
      </c>
      <c r="J1081" s="1" t="s">
        <v>2353</v>
      </c>
      <c r="K1081" s="1" t="n">
        <v>70</v>
      </c>
      <c r="L1081" s="11" t="n">
        <v>0.967693351819022</v>
      </c>
      <c r="M1081" s="1" t="n">
        <f aca="false">SUMIF(Relatorio_AK!$A:$A,A1081,Relatorio_AK!$B:$B)</f>
        <v>70</v>
      </c>
      <c r="N1081" s="1" t="str">
        <f aca="false">IF(M1081=K1081,"OK","DIF")</f>
        <v>OK</v>
      </c>
      <c r="O1081" s="13" t="str">
        <f aca="false">IFERROR(VLOOKUP($A1081,Lista_Starke!$A:$E,3,0),"NÃO ESTÁ NA LISTA")</f>
        <v>MERCEDES-BENZ: C180 CGI (W204) 1.6 16V Turbo 13/14
MERCEDES-BENZ: C180 CGI (W204) 1.8 16V Turbo 11/12
MERCEDES-BENZ: C200 (W204) 1.8 16V Turbo 10/14
MERCEDES-BENZ: C250 CGI (W204) 1.8 16V Turbo 11/14</v>
      </c>
      <c r="P1081" s="12" t="str">
        <f aca="false">IFERROR(VLOOKUP($A1081,Lista_Starke!$A:$E,2,0),"NÃO ESTÁ NA LISTA")</f>
        <v>RESFRIADOR DE ÓLEO CÂMBIO</v>
      </c>
    </row>
    <row r="1082" customFormat="false" ht="15" hidden="false" customHeight="true" outlineLevel="0" collapsed="false">
      <c r="A1082" s="10" t="s">
        <v>2354</v>
      </c>
      <c r="B1082" s="10" t="str">
        <f aca="false">IFERROR(VLOOKUP(A1082,Pedido!$A:$B,2,0),"")</f>
        <v/>
      </c>
      <c r="C1082" s="10" t="str">
        <f aca="false">IF(B1082="","NÃO COMPRA","COMPRA")</f>
        <v>NÃO COMPRA</v>
      </c>
      <c r="D1082" s="1" t="n">
        <f aca="false">IFERROR(VLOOKUP(A1082,Pedido!$A:$C,3,0),0)</f>
        <v>0</v>
      </c>
      <c r="E1082" s="5" t="n">
        <f aca="false">IFERROR(VLOOKUP(A1082,Pedido!$A:$E,5,0),0)</f>
        <v>0</v>
      </c>
      <c r="F1082" s="1" t="s">
        <v>9</v>
      </c>
      <c r="G1082" s="1" t="s">
        <v>2355</v>
      </c>
      <c r="H1082" s="1" t="s">
        <v>1131</v>
      </c>
      <c r="I1082" s="1" t="s">
        <v>373</v>
      </c>
      <c r="J1082" s="1" t="s">
        <v>2356</v>
      </c>
      <c r="K1082" s="1" t="n">
        <v>70</v>
      </c>
      <c r="L1082" s="11" t="n">
        <v>0.96781301873471</v>
      </c>
      <c r="M1082" s="1" t="n">
        <f aca="false">SUMIF(Relatorio_AK!$A:$A,A1082,Relatorio_AK!$B:$B)</f>
        <v>70</v>
      </c>
      <c r="N1082" s="1" t="str">
        <f aca="false">IF(M1082=K1082,"OK","DIF")</f>
        <v>OK</v>
      </c>
      <c r="O1082" s="13" t="str">
        <f aca="false">IFERROR(VLOOKUP($A1082,Lista_Starke!$A:$E,3,0),"NÃO ESTÁ NA LISTA")</f>
        <v>MERCEDES-BENZ: C180 CGI (W204) 1.6 16V M274 08/14
MERCEDES-BENZ: C180 CGI (W205) 1.6 16V M274 15/19
MERCEDES-BENZ: C200 (W205) 2.0 16V M274 14/19
MERCEDES-BENZ: C250 (W205) 2.0 16V M274 14/19
MERCEDES-BENZ: C300 (W205) 2.0 16V M274 15/19
MERCEDES-BENZ: C350 (W205) 2.0 16V M274 15/19
MERCEDES-BENZ: E250 (W213) 2.0 16V M274 16/19
MERCEDES-BENZ: E300 (W213) 2.0 16V M274 16/19
MERCEDES-BENZ: E350 (W213) 2.0 16V M274 16/19
MERCEDES-BENZ: GLC250 (X253) 2.0 16V M274 15/19
MERCEDES-BENZ: GLC350 (X253) 2.0 16V M274 15/19
MERCEDES-BENZ: GLK250 (X204) 2.0 16V M274 13/15
MERCEDES-BENZ: SLC300 (R172) 2.0 16V M274 16/19
MERCEDES-BENZ: SLK300 (R172) 2.0 16M M274 15/19</v>
      </c>
      <c r="P1082" s="12" t="str">
        <f aca="false">IFERROR(VLOOKUP($A1082,Lista_Starke!$A:$E,2,0),"NÃO ESTÁ NA LISTA")</f>
        <v>BOMBA DE ALTA PRESSÃO GDI</v>
      </c>
    </row>
    <row r="1083" customFormat="false" ht="15" hidden="false" customHeight="true" outlineLevel="0" collapsed="false">
      <c r="A1083" s="10" t="s">
        <v>2357</v>
      </c>
      <c r="B1083" s="10" t="str">
        <f aca="false">IFERROR(VLOOKUP(A1083,Pedido!$A:$B,2,0),"")</f>
        <v/>
      </c>
      <c r="C1083" s="10" t="str">
        <f aca="false">IF(B1083="","NÃO COMPRA","COMPRA")</f>
        <v>NÃO COMPRA</v>
      </c>
      <c r="D1083" s="1" t="n">
        <f aca="false">IFERROR(VLOOKUP(A1083,Pedido!$A:$C,3,0),0)</f>
        <v>0</v>
      </c>
      <c r="E1083" s="5" t="n">
        <f aca="false">IFERROR(VLOOKUP(A1083,Pedido!$A:$E,5,0),0)</f>
        <v>0</v>
      </c>
      <c r="F1083" s="1" t="s">
        <v>9</v>
      </c>
      <c r="G1083" s="1" t="s">
        <v>2358</v>
      </c>
      <c r="H1083" s="1" t="s">
        <v>1131</v>
      </c>
      <c r="I1083" s="1" t="s">
        <v>50</v>
      </c>
      <c r="J1083" s="1" t="s">
        <v>2359</v>
      </c>
      <c r="K1083" s="1" t="n">
        <v>70</v>
      </c>
      <c r="L1083" s="11" t="n">
        <v>0.967932685650398</v>
      </c>
      <c r="M1083" s="1" t="n">
        <f aca="false">SUMIF(Relatorio_AK!$A:$A,A1083,Relatorio_AK!$B:$B)</f>
        <v>70</v>
      </c>
      <c r="N1083" s="1" t="str">
        <f aca="false">IF(M1083=K1083,"OK","DIF")</f>
        <v>OK</v>
      </c>
      <c r="O1083" s="12" t="str">
        <f aca="false">IFERROR(VLOOKUP($A1083,Lista_Starke!$A:$E,3,0),"NÃO ESTÁ NA LISTA")</f>
        <v>HONDA: New Civic 1.5 16V Turbo 15B7 15/...</v>
      </c>
      <c r="P1083" s="12" t="str">
        <f aca="false">IFERROR(VLOOKUP($A1083,Lista_Starke!$A:$E,2,0),"NÃO ESTÁ NA LISTA")</f>
        <v>BOMBA DE ALTA PRESSÃO GDI</v>
      </c>
    </row>
    <row r="1084" customFormat="false" ht="15" hidden="false" customHeight="true" outlineLevel="0" collapsed="false">
      <c r="A1084" s="10" t="s">
        <v>2360</v>
      </c>
      <c r="B1084" s="10" t="str">
        <f aca="false">IFERROR(VLOOKUP(A1084,Pedido!$A:$B,2,0),"")</f>
        <v/>
      </c>
      <c r="C1084" s="10" t="str">
        <f aca="false">IF(B1084="","NÃO COMPRA","COMPRA")</f>
        <v>NÃO COMPRA</v>
      </c>
      <c r="D1084" s="1" t="n">
        <f aca="false">IFERROR(VLOOKUP(A1084,Pedido!$A:$C,3,0),0)</f>
        <v>0</v>
      </c>
      <c r="E1084" s="5" t="n">
        <f aca="false">IFERROR(VLOOKUP(A1084,Pedido!$A:$E,5,0),0)</f>
        <v>0</v>
      </c>
      <c r="F1084" s="1" t="s">
        <v>9</v>
      </c>
      <c r="G1084" s="1" t="s">
        <v>34</v>
      </c>
      <c r="H1084" s="1" t="s">
        <v>35</v>
      </c>
      <c r="I1084" s="1" t="s">
        <v>36</v>
      </c>
      <c r="J1084" s="1" t="s">
        <v>2361</v>
      </c>
      <c r="K1084" s="1" t="n">
        <v>70</v>
      </c>
      <c r="L1084" s="11" t="n">
        <v>0.968052352566086</v>
      </c>
      <c r="M1084" s="1" t="n">
        <f aca="false">SUMIF(Relatorio_AK!$A:$A,A1084,Relatorio_AK!$B:$B)</f>
        <v>70</v>
      </c>
      <c r="N1084" s="1" t="str">
        <f aca="false">IF(M1084=K1084,"OK","DIF")</f>
        <v>OK</v>
      </c>
      <c r="O1084" s="12" t="str">
        <f aca="false">IFERROR(VLOOKUP($A1084,Lista_Starke!$A:$E,3,0),"NÃO ESTÁ NA LISTA")</f>
        <v>VOLKSWAGEN: Jetta 1.4 16V TSI 16/...</v>
      </c>
      <c r="P1084" s="12" t="str">
        <f aca="false">IFERROR(VLOOKUP($A1084,Lista_Starke!$A:$E,2,0),"NÃO ESTÁ NA LISTA")</f>
        <v>CILINDRO MESTRE DE FREIO</v>
      </c>
    </row>
    <row r="1085" customFormat="false" ht="15" hidden="false" customHeight="true" outlineLevel="0" collapsed="false">
      <c r="A1085" s="10" t="s">
        <v>2362</v>
      </c>
      <c r="B1085" s="10" t="str">
        <f aca="false">IFERROR(VLOOKUP(A1085,Pedido!$A:$B,2,0),"")</f>
        <v/>
      </c>
      <c r="C1085" s="10" t="str">
        <f aca="false">IF(B1085="","NÃO COMPRA","COMPRA")</f>
        <v>NÃO COMPRA</v>
      </c>
      <c r="D1085" s="1" t="n">
        <f aca="false">IFERROR(VLOOKUP(A1085,Pedido!$A:$C,3,0),0)</f>
        <v>0</v>
      </c>
      <c r="E1085" s="5" t="n">
        <f aca="false">IFERROR(VLOOKUP(A1085,Pedido!$A:$E,5,0),0)</f>
        <v>0</v>
      </c>
      <c r="F1085" s="1" t="s">
        <v>9</v>
      </c>
      <c r="G1085" s="1" t="s">
        <v>65</v>
      </c>
      <c r="H1085" s="1" t="s">
        <v>35</v>
      </c>
      <c r="I1085" s="1" t="s">
        <v>46</v>
      </c>
      <c r="J1085" s="1" t="s">
        <v>2363</v>
      </c>
      <c r="K1085" s="1" t="n">
        <v>70</v>
      </c>
      <c r="L1085" s="11" t="n">
        <v>0.968172019481773</v>
      </c>
      <c r="M1085" s="1" t="n">
        <f aca="false">SUMIF(Relatorio_AK!$A:$A,A1085,Relatorio_AK!$B:$B)</f>
        <v>70</v>
      </c>
      <c r="N1085" s="1" t="str">
        <f aca="false">IF(M1085=K1085,"OK","DIF")</f>
        <v>OK</v>
      </c>
      <c r="O1085" s="13" t="str">
        <f aca="false">IFERROR(VLOOKUP($A1085,Lista_Starke!$A:$E,3,0),"NÃO ESTÁ NA LISTA")</f>
        <v>FIAT: Toro 1.8 16V Etorq 16/...
FIAT: Toro 1.8 16V Flex Etorq 21/...
FIAT: Toro 2.4 16V Tigershark 16/20</v>
      </c>
      <c r="P1085" s="12" t="str">
        <f aca="false">IFERROR(VLOOKUP($A1085,Lista_Starke!$A:$E,2,0),"NÃO ESTÁ NA LISTA")</f>
        <v>CILINDRO MESTRE DE FREIO</v>
      </c>
    </row>
    <row r="1086" customFormat="false" ht="15" hidden="false" customHeight="true" outlineLevel="0" collapsed="false">
      <c r="A1086" s="10" t="s">
        <v>2364</v>
      </c>
      <c r="B1086" s="10" t="str">
        <f aca="false">IFERROR(VLOOKUP(A1086,Pedido!$A:$B,2,0),"")</f>
        <v/>
      </c>
      <c r="C1086" s="10" t="str">
        <f aca="false">IF(B1086="","NÃO COMPRA","COMPRA")</f>
        <v>NÃO COMPRA</v>
      </c>
      <c r="D1086" s="1" t="n">
        <f aca="false">IFERROR(VLOOKUP(A1086,Pedido!$A:$C,3,0),0)</f>
        <v>0</v>
      </c>
      <c r="E1086" s="5" t="n">
        <f aca="false">IFERROR(VLOOKUP(A1086,Pedido!$A:$E,5,0),0)</f>
        <v>0</v>
      </c>
      <c r="F1086" s="1" t="s">
        <v>9</v>
      </c>
      <c r="G1086" s="1" t="s">
        <v>2365</v>
      </c>
      <c r="H1086" s="1" t="s">
        <v>197</v>
      </c>
      <c r="I1086" s="1" t="s">
        <v>677</v>
      </c>
      <c r="J1086" s="1" t="s">
        <v>2366</v>
      </c>
      <c r="K1086" s="1" t="n">
        <v>69</v>
      </c>
      <c r="L1086" s="11" t="n">
        <v>0.968289976870094</v>
      </c>
      <c r="M1086" s="1" t="n">
        <f aca="false">SUMIF(Relatorio_AK!$A:$A,A1086,Relatorio_AK!$B:$B)</f>
        <v>69</v>
      </c>
      <c r="N1086" s="1" t="str">
        <f aca="false">IF(M1086=K1086,"OK","DIF")</f>
        <v>OK</v>
      </c>
      <c r="O1086" s="13" t="str">
        <f aca="false">IFERROR(VLOOKUP($A1086,Lista_Starke!$A:$E,3,0),"NÃO ESTÁ NA LISTA")</f>
        <v>CITROEN: Jumper 2.3 16V Diesel   F1 06/
FIAT: Ducato 2.3 16V Multijet Diesel   F1 10/…
IVECO: Daily 35 C 10 2.3 16v Diesel   F1 06/…
IVECO: Daily 35 C 15 2.3 16v Diesel   F1 06/…
IVECO: Daily 35 C 18 2.3 16v Diesel   F1 06/…
IVECO: Daily 35 S 14 2.3 16v Diesel   F1 06/…
IVECO: Daily 35 S 15 2.3 16v Diesel   F1 06/…
IVECO: Daily 35 S 18 2.3 16v Diesel   F1 06/…
IVECO: Daily 40 C 12 2.3 16v Diesel   F1 06/…
IVECO: Daily 40 C 15 2.3 16v Diesel   F1 06/…
IVECO: Daily 40 C 18 2.3 16v Diesel   F1 06/…
IVECO: Daily 40 S 14 2.3 16v Diesel   F1 06/…
IVECO: Daily 50 C 15 2.3 16v Diesel   F1 06/…
IVECO: Daily 50 C 18 2.3 16v Diesel   F1 06/…
IVECO: Daily 55 C 16 2.3 16v Diesel   F1 06/…
IVECO: Daily 60 C 15 2.3 16v Diesel   F1 06/…
IVECO: Daily 60 C 18 2.3 16v Diesel   F1 06/…
IVECO: Daily 65 C 15 2.3 16v Diesel   F1 06/…
IVECO: Daily 65 C 18 2.3 16v Diesel   F1 06/…
PEUGEOT: Boxer 2.3 16V Diesel   F1 06/…</v>
      </c>
      <c r="P1086" s="12" t="str">
        <f aca="false">IFERROR(VLOOKUP($A1086,Lista_Starke!$A:$E,2,0),"NÃO ESTÁ NA LISTA")</f>
        <v>BOMBA D'ÁGUA</v>
      </c>
    </row>
    <row r="1087" customFormat="false" ht="15" hidden="false" customHeight="true" outlineLevel="0" collapsed="false">
      <c r="A1087" s="10" t="s">
        <v>2367</v>
      </c>
      <c r="B1087" s="10" t="str">
        <f aca="false">IFERROR(VLOOKUP(A1087,Pedido!$A:$B,2,0),"")</f>
        <v/>
      </c>
      <c r="C1087" s="10" t="str">
        <f aca="false">IF(B1087="","NÃO COMPRA","COMPRA")</f>
        <v>NÃO COMPRA</v>
      </c>
      <c r="D1087" s="1" t="n">
        <f aca="false">IFERROR(VLOOKUP(A1087,Pedido!$A:$C,3,0),0)</f>
        <v>0</v>
      </c>
      <c r="E1087" s="5" t="n">
        <f aca="false">IFERROR(VLOOKUP(A1087,Pedido!$A:$E,5,0),0)</f>
        <v>0</v>
      </c>
      <c r="F1087" s="1" t="s">
        <v>9</v>
      </c>
      <c r="G1087" s="1" t="s">
        <v>720</v>
      </c>
      <c r="H1087" s="1" t="s">
        <v>197</v>
      </c>
      <c r="I1087" s="1" t="s">
        <v>255</v>
      </c>
      <c r="J1087" s="1" t="s">
        <v>2368</v>
      </c>
      <c r="K1087" s="1" t="n">
        <v>69</v>
      </c>
      <c r="L1087" s="11" t="n">
        <v>0.968407934258415</v>
      </c>
      <c r="M1087" s="1" t="n">
        <f aca="false">SUMIF(Relatorio_AK!$A:$A,A1087,Relatorio_AK!$B:$B)</f>
        <v>69</v>
      </c>
      <c r="N1087" s="1" t="str">
        <f aca="false">IF(M1087=K1087,"OK","DIF")</f>
        <v>OK</v>
      </c>
      <c r="O1087" s="12" t="str">
        <f aca="false">IFERROR(VLOOKUP($A1087,Lista_Starke!$A:$E,3,0),"NÃO ESTÁ NA LISTA")</f>
        <v>MITSUBISHI: Outlander 3.0 V6 24V 06/17</v>
      </c>
      <c r="P1087" s="12" t="str">
        <f aca="false">IFERROR(VLOOKUP($A1087,Lista_Starke!$A:$E,2,0),"NÃO ESTÁ NA LISTA")</f>
        <v>BOMBA D'ÁGUA</v>
      </c>
    </row>
    <row r="1088" customFormat="false" ht="15" hidden="false" customHeight="true" outlineLevel="0" collapsed="false">
      <c r="A1088" s="10" t="s">
        <v>2369</v>
      </c>
      <c r="B1088" s="10" t="str">
        <f aca="false">IFERROR(VLOOKUP(A1088,Pedido!$A:$B,2,0),"")</f>
        <v/>
      </c>
      <c r="C1088" s="10" t="str">
        <f aca="false">IF(B1088="","NÃO COMPRA","COMPRA")</f>
        <v>NÃO COMPRA</v>
      </c>
      <c r="D1088" s="1" t="n">
        <f aca="false">IFERROR(VLOOKUP(A1088,Pedido!$A:$C,3,0),0)</f>
        <v>0</v>
      </c>
      <c r="E1088" s="5" t="n">
        <f aca="false">IFERROR(VLOOKUP(A1088,Pedido!$A:$E,5,0),0)</f>
        <v>0</v>
      </c>
      <c r="F1088" s="1" t="s">
        <v>9</v>
      </c>
      <c r="G1088" s="1" t="s">
        <v>1659</v>
      </c>
      <c r="H1088" s="1" t="s">
        <v>197</v>
      </c>
      <c r="I1088" s="1" t="s">
        <v>97</v>
      </c>
      <c r="J1088" s="1" t="s">
        <v>2370</v>
      </c>
      <c r="K1088" s="1" t="n">
        <v>69</v>
      </c>
      <c r="L1088" s="11" t="n">
        <v>0.968525891646736</v>
      </c>
      <c r="M1088" s="1" t="n">
        <f aca="false">SUMIF(Relatorio_AK!$A:$A,A1088,Relatorio_AK!$B:$B)</f>
        <v>69</v>
      </c>
      <c r="N1088" s="1" t="str">
        <f aca="false">IF(M1088=K1088,"OK","DIF")</f>
        <v>OK</v>
      </c>
      <c r="O1088" s="13" t="str">
        <f aca="false">IFERROR(VLOOKUP($A1088,Lista_Starke!$A:$E,3,0),"NÃO ESTÁ NA LISTA")</f>
        <v>FIAT: Bravo 1.8 16V E Torq 11/…
FIAT: Doblo 1.8 16V E Torq 11/…
FIAT: Grand Siena 1.6 16V E Torq 13/…
FIAT: Idea 1.6 16V E Torq 11/…
FIAT: Idea 1.8 16V E Torq 11/…
FIAT: Linea 1.8 16V E Torq 11/…
FIAT: Palio 1.6 16V E Torq 11/…
FIAT: Palio Weekend 1.6 16V E Torq 11/…
FIAT: Palio Weekend 1.8 16V E Torq 11/…
FIAT: Punto 1.6 16V E Torq 11/…
FIAT: Punto 1.8 16V E Torq 11/…
FIAT: Siena 1.6 16V E Torq 11/…
FIAT: Strada 1.8 16V E Torq 11/…
FIAT: Toro 1.8 16V E Torq 16/…
JEEP: Renegade 1.8 16V Fiat E Torq 16/…</v>
      </c>
      <c r="P1088" s="12" t="str">
        <f aca="false">IFERROR(VLOOKUP($A1088,Lista_Starke!$A:$E,2,0),"NÃO ESTÁ NA LISTA")</f>
        <v>BOMBA D'ÁGUA</v>
      </c>
    </row>
    <row r="1089" customFormat="false" ht="15" hidden="false" customHeight="true" outlineLevel="0" collapsed="false">
      <c r="A1089" s="10" t="s">
        <v>2371</v>
      </c>
      <c r="B1089" s="10" t="str">
        <f aca="false">IFERROR(VLOOKUP(A1089,Pedido!$A:$B,2,0),"")</f>
        <v/>
      </c>
      <c r="C1089" s="10" t="str">
        <f aca="false">IF(B1089="","NÃO COMPRA","COMPRA")</f>
        <v>NÃO COMPRA</v>
      </c>
      <c r="D1089" s="1" t="n">
        <f aca="false">IFERROR(VLOOKUP(A1089,Pedido!$A:$C,3,0),0)</f>
        <v>0</v>
      </c>
      <c r="E1089" s="5" t="n">
        <f aca="false">IFERROR(VLOOKUP(A1089,Pedido!$A:$E,5,0),0)</f>
        <v>0</v>
      </c>
      <c r="F1089" s="1" t="s">
        <v>9</v>
      </c>
      <c r="G1089" s="1" t="s">
        <v>1397</v>
      </c>
      <c r="H1089" s="1" t="s">
        <v>235</v>
      </c>
      <c r="I1089" s="1" t="s">
        <v>53</v>
      </c>
      <c r="J1089" s="1" t="s">
        <v>2372</v>
      </c>
      <c r="K1089" s="1" t="n">
        <v>69</v>
      </c>
      <c r="L1089" s="11" t="n">
        <v>0.968643849035057</v>
      </c>
      <c r="M1089" s="1" t="n">
        <f aca="false">SUMIF(Relatorio_AK!$A:$A,A1089,Relatorio_AK!$B:$B)</f>
        <v>69</v>
      </c>
      <c r="N1089" s="1" t="str">
        <f aca="false">IF(M1089=K1089,"OK","DIF")</f>
        <v>OK</v>
      </c>
      <c r="O1089" s="12" t="str">
        <f aca="false">IFERROR(VLOOKUP($A1089,Lista_Starke!$A:$E,3,0),"NÃO ESTÁ NA LISTA")</f>
        <v>FORD: Edge 3.5 V6 11/...</v>
      </c>
      <c r="P1089" s="12" t="str">
        <f aca="false">IFERROR(VLOOKUP($A1089,Lista_Starke!$A:$E,2,0),"NÃO ESTÁ NA LISTA")</f>
        <v>RESFRIADOR DE ÓLEO MOTOR</v>
      </c>
    </row>
    <row r="1090" customFormat="false" ht="15" hidden="false" customHeight="true" outlineLevel="0" collapsed="false">
      <c r="A1090" s="10" t="s">
        <v>2373</v>
      </c>
      <c r="B1090" s="10" t="str">
        <f aca="false">IFERROR(VLOOKUP(A1090,Pedido!$A:$B,2,0),"")</f>
        <v/>
      </c>
      <c r="C1090" s="10" t="str">
        <f aca="false">IF(B1090="","NÃO COMPRA","COMPRA")</f>
        <v>NÃO COMPRA</v>
      </c>
      <c r="D1090" s="1" t="n">
        <f aca="false">IFERROR(VLOOKUP(A1090,Pedido!$A:$C,3,0),0)</f>
        <v>0</v>
      </c>
      <c r="E1090" s="5" t="n">
        <f aca="false">IFERROR(VLOOKUP(A1090,Pedido!$A:$E,5,0),0)</f>
        <v>0</v>
      </c>
      <c r="F1090" s="1" t="s">
        <v>9</v>
      </c>
      <c r="G1090" s="1" t="s">
        <v>1397</v>
      </c>
      <c r="H1090" s="1" t="s">
        <v>235</v>
      </c>
      <c r="I1090" s="1" t="s">
        <v>876</v>
      </c>
      <c r="J1090" s="1" t="s">
        <v>2374</v>
      </c>
      <c r="K1090" s="1" t="n">
        <v>69</v>
      </c>
      <c r="L1090" s="11" t="n">
        <v>0.968761806423378</v>
      </c>
      <c r="M1090" s="1" t="n">
        <f aca="false">SUMIF(Relatorio_AK!$A:$A,A1090,Relatorio_AK!$B:$B)</f>
        <v>69</v>
      </c>
      <c r="N1090" s="1" t="str">
        <f aca="false">IF(M1090=K1090,"OK","DIF")</f>
        <v>OK</v>
      </c>
      <c r="O1090" s="13" t="str">
        <f aca="false">IFERROR(VLOOKUP($A1090,Lista_Starke!$A:$E,3,0),"NÃO ESTÁ NA LISTA")</f>
        <v>FORD: Transit 2.2 16V Turbo 12/14
FORD: Transit 2.4 16V 08/12
LAND ROVER: Defender 2.4 16V 08/...</v>
      </c>
      <c r="P1090" s="12" t="str">
        <f aca="false">IFERROR(VLOOKUP($A1090,Lista_Starke!$A:$E,2,0),"NÃO ESTÁ NA LISTA")</f>
        <v>RESFRIADOR DE ÓLEO MOTOR</v>
      </c>
    </row>
    <row r="1091" customFormat="false" ht="15" hidden="false" customHeight="true" outlineLevel="0" collapsed="false">
      <c r="A1091" s="10" t="s">
        <v>2375</v>
      </c>
      <c r="B1091" s="10" t="str">
        <f aca="false">IFERROR(VLOOKUP(A1091,Pedido!$A:$B,2,0),"")</f>
        <v/>
      </c>
      <c r="C1091" s="10" t="str">
        <f aca="false">IF(B1091="","NÃO COMPRA","COMPRA")</f>
        <v>NÃO COMPRA</v>
      </c>
      <c r="D1091" s="1" t="n">
        <f aca="false">IFERROR(VLOOKUP(A1091,Pedido!$A:$C,3,0),0)</f>
        <v>0</v>
      </c>
      <c r="E1091" s="5" t="n">
        <f aca="false">IFERROR(VLOOKUP(A1091,Pedido!$A:$E,5,0),0)</f>
        <v>0</v>
      </c>
      <c r="F1091" s="1" t="s">
        <v>9</v>
      </c>
      <c r="G1091" s="1" t="s">
        <v>2116</v>
      </c>
      <c r="H1091" s="1" t="s">
        <v>1131</v>
      </c>
      <c r="I1091" s="1" t="s">
        <v>1157</v>
      </c>
      <c r="J1091" s="1" t="s">
        <v>2376</v>
      </c>
      <c r="K1091" s="1" t="n">
        <v>69</v>
      </c>
      <c r="L1091" s="11" t="n">
        <v>0.968879763811699</v>
      </c>
      <c r="M1091" s="1" t="n">
        <f aca="false">SUMIF(Relatorio_AK!$A:$A,A1091,Relatorio_AK!$B:$B)</f>
        <v>69</v>
      </c>
      <c r="N1091" s="1" t="str">
        <f aca="false">IF(M1091=K1091,"OK","DIF")</f>
        <v>OK</v>
      </c>
      <c r="O1091" s="13" t="str">
        <f aca="false">IFERROR(VLOOKUP($A1091,Lista_Starke!$A:$E,3,0),"NÃO ESTÁ NA LISTA")</f>
        <v>BMW: 125i (F20) 2.0 16V N20B20 12/16
BMW: 125i (F21) 2.0 16V N20B20 12/16
BMW: 320i 2.0 16V N20B20 12/16
BMW: 320i (F30/F80) 2.0 16V N20B20 11/...
BMW: 320i GT (F34) 2.0 16v N20B20 12/16
BMW: 328i 2.0 16V N20B20A 12/16
BMW: 420i (F32/F82) 2.0 16V N20B20 11/...
BMW: 428i (F32/F82) 2.0 16V N20B20A 13/...
BMW: 520i (F10/F18) 2.0 16V N20B20A 10/16
BMW: 528i (F10/F18) 2.0 16V N20B20A 10/16
BMW: X1 (E84) sDrive 16i 1.6 16V N20B20A 13/15
BMW: X1 (E84) sDrive 20i 2.0 16V N20B20A 11/15
BMW: X1 (E84) xDrive 20i 2.0 16V N20B20A 11/15
BMW: X1 (E84) xDrive 28i 2.0 16V N20B20A 11/15
BMW: X3 (F25) xDrive 20i 2.0 16V N20B20A 11/...
BMW: X3 (F25) xDrive 28i 2.0 16V N20B20A 11/...
BMW: Z4 (E89) sDrive 18i 2.0 16V N20B20A 13/...
BMW: Z4 (E89) sDrive 20i 2.0 16V N20B20 11/...</v>
      </c>
      <c r="P1091" s="12" t="str">
        <f aca="false">IFERROR(VLOOKUP($A1091,Lista_Starke!$A:$E,2,0),"NÃO ESTÁ NA LISTA")</f>
        <v>BOMBA DE ALTA PRESSÃO GDI</v>
      </c>
    </row>
    <row r="1092" customFormat="false" ht="15" hidden="false" customHeight="true" outlineLevel="0" collapsed="false">
      <c r="A1092" s="10" t="s">
        <v>2377</v>
      </c>
      <c r="B1092" s="10" t="str">
        <f aca="false">IFERROR(VLOOKUP(A1092,Pedido!$A:$B,2,0),"")</f>
        <v/>
      </c>
      <c r="C1092" s="10" t="str">
        <f aca="false">IF(B1092="","NÃO COMPRA","COMPRA")</f>
        <v>NÃO COMPRA</v>
      </c>
      <c r="D1092" s="1" t="n">
        <f aca="false">IFERROR(VLOOKUP(A1092,Pedido!$A:$C,3,0),0)</f>
        <v>0</v>
      </c>
      <c r="E1092" s="5" t="n">
        <f aca="false">IFERROR(VLOOKUP(A1092,Pedido!$A:$E,5,0),0)</f>
        <v>0</v>
      </c>
      <c r="F1092" s="1" t="s">
        <v>9</v>
      </c>
      <c r="G1092" s="1" t="s">
        <v>2378</v>
      </c>
      <c r="H1092" s="1" t="s">
        <v>126</v>
      </c>
      <c r="I1092" s="1" t="s">
        <v>255</v>
      </c>
      <c r="J1092" s="1" t="s">
        <v>2379</v>
      </c>
      <c r="K1092" s="1" t="n">
        <v>69</v>
      </c>
      <c r="L1092" s="11" t="n">
        <v>0.968997721200019</v>
      </c>
      <c r="M1092" s="1" t="n">
        <f aca="false">SUMIF(Relatorio_AK!$A:$A,A1092,Relatorio_AK!$B:$B)</f>
        <v>69</v>
      </c>
      <c r="N1092" s="1" t="str">
        <f aca="false">IF(M1092=K1092,"OK","DIF")</f>
        <v>OK</v>
      </c>
      <c r="O1092" s="13" t="str">
        <f aca="false">IFERROR(VLOOKUP($A1092,Lista_Starke!$A:$E,3,0),"NÃO ESTÁ NA LISTA")</f>
        <v>MITSUBISHI: ASX 2.0 16V 12/16
MITSUBISHI: Eclipse Cross 1.5 16V Turbo 18/...
MITSUBISHI: Outlander 2.4 16V Gasolina 12/...
MITSUBISHI: Outlander Sport 2.0 16V 20/...</v>
      </c>
      <c r="P1092" s="12" t="str">
        <f aca="false">IFERROR(VLOOKUP($A1092,Lista_Starke!$A:$E,2,0),"NÃO ESTÁ NA LISTA")</f>
        <v>RESFRIADOR DE ÓLEO CÂMBIO</v>
      </c>
    </row>
    <row r="1093" customFormat="false" ht="15" hidden="false" customHeight="true" outlineLevel="0" collapsed="false">
      <c r="A1093" s="10" t="s">
        <v>2380</v>
      </c>
      <c r="B1093" s="10" t="str">
        <f aca="false">IFERROR(VLOOKUP(A1093,Pedido!$A:$B,2,0),"")</f>
        <v/>
      </c>
      <c r="C1093" s="10" t="str">
        <f aca="false">IF(B1093="","NÃO COMPRA","COMPRA")</f>
        <v>NÃO COMPRA</v>
      </c>
      <c r="D1093" s="1" t="n">
        <f aca="false">IFERROR(VLOOKUP(A1093,Pedido!$A:$C,3,0),0)</f>
        <v>0</v>
      </c>
      <c r="E1093" s="5" t="n">
        <f aca="false">IFERROR(VLOOKUP(A1093,Pedido!$A:$E,5,0),0)</f>
        <v>0</v>
      </c>
      <c r="F1093" s="1" t="s">
        <v>9</v>
      </c>
      <c r="G1093" s="1" t="s">
        <v>2381</v>
      </c>
      <c r="H1093" s="1" t="s">
        <v>235</v>
      </c>
      <c r="I1093" s="1" t="s">
        <v>177</v>
      </c>
      <c r="J1093" s="1" t="s">
        <v>2382</v>
      </c>
      <c r="K1093" s="1" t="n">
        <v>69</v>
      </c>
      <c r="L1093" s="11" t="n">
        <v>0.96911567858834</v>
      </c>
      <c r="M1093" s="1" t="n">
        <f aca="false">SUMIF(Relatorio_AK!$A:$A,A1093,Relatorio_AK!$B:$B)</f>
        <v>69</v>
      </c>
      <c r="N1093" s="1" t="str">
        <f aca="false">IF(M1093=K1093,"OK","DIF")</f>
        <v>OK</v>
      </c>
      <c r="O1093" s="13" t="str">
        <f aca="false">IFERROR(VLOOKUP($A1093,Lista_Starke!$A:$E,3,0),"NÃO ESTÁ NA LISTA")</f>
        <v>TOYOTA: Hilux 2.8 16V Turbo Diesel 1GD 16/...
TOYOTA: SW4 2.8 16V Turbo Diesel 1GD 16/...</v>
      </c>
      <c r="P1093" s="12" t="str">
        <f aca="false">IFERROR(VLOOKUP($A1093,Lista_Starke!$A:$E,2,0),"NÃO ESTÁ NA LISTA")</f>
        <v>RESFRIADOR DE ÓLEO MOTOR</v>
      </c>
    </row>
    <row r="1094" customFormat="false" ht="15" hidden="false" customHeight="true" outlineLevel="0" collapsed="false">
      <c r="A1094" s="10" t="s">
        <v>2383</v>
      </c>
      <c r="B1094" s="10" t="str">
        <f aca="false">IFERROR(VLOOKUP(A1094,Pedido!$A:$B,2,0),"")</f>
        <v/>
      </c>
      <c r="C1094" s="10" t="str">
        <f aca="false">IF(B1094="","NÃO COMPRA","COMPRA")</f>
        <v>NÃO COMPRA</v>
      </c>
      <c r="D1094" s="1" t="n">
        <f aca="false">IFERROR(VLOOKUP(A1094,Pedido!$A:$C,3,0),0)</f>
        <v>0</v>
      </c>
      <c r="E1094" s="5" t="n">
        <f aca="false">IFERROR(VLOOKUP(A1094,Pedido!$A:$E,5,0),0)</f>
        <v>0</v>
      </c>
      <c r="F1094" s="1" t="s">
        <v>9</v>
      </c>
      <c r="G1094" s="1" t="s">
        <v>2384</v>
      </c>
      <c r="H1094" s="1" t="s">
        <v>88</v>
      </c>
      <c r="I1094" s="1" t="s">
        <v>2385</v>
      </c>
      <c r="J1094" s="1" t="s">
        <v>2386</v>
      </c>
      <c r="K1094" s="1" t="n">
        <v>69</v>
      </c>
      <c r="L1094" s="11" t="n">
        <v>0.969233635976661</v>
      </c>
      <c r="M1094" s="1" t="n">
        <f aca="false">SUMIF(Relatorio_AK!$A:$A,A1094,Relatorio_AK!$B:$B)</f>
        <v>69</v>
      </c>
      <c r="N1094" s="1" t="str">
        <f aca="false">IF(M1094=K1094,"OK","DIF")</f>
        <v>OK</v>
      </c>
      <c r="O1094" s="13" t="str">
        <f aca="false">IFERROR(VLOOKUP($A1094,Lista_Starke!$A:$E,3,0),"NÃO ESTÁ NA LISTA")</f>
        <v>FORD: Ranger 2.3 16V Duratec 01/12
FORD: Ranger 3.0 16V Power Stroke 05/12
MERCEDES-BENZ: Sprinter 310 / 312 / 412 2.5 8V Maxion HS 97/00</v>
      </c>
      <c r="P1094" s="12" t="str">
        <f aca="false">IFERROR(VLOOKUP($A1094,Lista_Starke!$A:$E,2,0),"NÃO ESTÁ NA LISTA")</f>
        <v>CILINDRO DE RODA LD</v>
      </c>
    </row>
    <row r="1095" customFormat="false" ht="15" hidden="false" customHeight="true" outlineLevel="0" collapsed="false">
      <c r="A1095" s="10" t="s">
        <v>2387</v>
      </c>
      <c r="B1095" s="10" t="str">
        <f aca="false">IFERROR(VLOOKUP(A1095,Pedido!$A:$B,2,0),"")</f>
        <v/>
      </c>
      <c r="C1095" s="10" t="str">
        <f aca="false">IF(B1095="","NÃO COMPRA","COMPRA")</f>
        <v>NÃO COMPRA</v>
      </c>
      <c r="D1095" s="1" t="n">
        <f aca="false">IFERROR(VLOOKUP(A1095,Pedido!$A:$C,3,0),0)</f>
        <v>0</v>
      </c>
      <c r="E1095" s="5" t="n">
        <f aca="false">IFERROR(VLOOKUP(A1095,Pedido!$A:$E,5,0),0)</f>
        <v>0</v>
      </c>
      <c r="F1095" s="1" t="s">
        <v>9</v>
      </c>
      <c r="G1095" s="1" t="s">
        <v>1390</v>
      </c>
      <c r="H1095" s="1" t="s">
        <v>1358</v>
      </c>
      <c r="I1095" s="1" t="s">
        <v>42</v>
      </c>
      <c r="J1095" s="1" t="s">
        <v>2388</v>
      </c>
      <c r="K1095" s="1" t="n">
        <v>68</v>
      </c>
      <c r="L1095" s="11" t="n">
        <v>0.969349883837615</v>
      </c>
      <c r="M1095" s="1" t="n">
        <f aca="false">SUMIF(Relatorio_AK!$A:$A,A1095,Relatorio_AK!$B:$B)</f>
        <v>68</v>
      </c>
      <c r="N1095" s="1" t="str">
        <f aca="false">IF(M1095=K1095,"OK","DIF")</f>
        <v>OK</v>
      </c>
      <c r="O1095" s="13" t="str">
        <f aca="false">IFERROR(VLOOKUP($A1095,Lista_Starke!$A:$E,3,0),"NÃO ESTÁ NA LISTA")</f>
        <v>RENAULT: Captur  17/21
RENAULT: Captur  21/...
RENAULT: Duster  22/...</v>
      </c>
      <c r="P1095" s="12" t="str">
        <f aca="false">IFERROR(VLOOKUP($A1095,Lista_Starke!$A:$E,2,0),"NÃO ESTÁ NA LISTA")</f>
        <v>BANDEJA INFERIOR COMPLETA LE</v>
      </c>
    </row>
    <row r="1096" customFormat="false" ht="15" hidden="false" customHeight="true" outlineLevel="0" collapsed="false">
      <c r="A1096" s="10" t="s">
        <v>2389</v>
      </c>
      <c r="B1096" s="10" t="str">
        <f aca="false">IFERROR(VLOOKUP(A1096,Pedido!$A:$B,2,0),"")</f>
        <v/>
      </c>
      <c r="C1096" s="10" t="str">
        <f aca="false">IF(B1096="","NÃO COMPRA","COMPRA")</f>
        <v>NÃO COMPRA</v>
      </c>
      <c r="D1096" s="1" t="n">
        <f aca="false">IFERROR(VLOOKUP(A1096,Pedido!$A:$C,3,0),0)</f>
        <v>0</v>
      </c>
      <c r="E1096" s="5" t="n">
        <f aca="false">IFERROR(VLOOKUP(A1096,Pedido!$A:$E,5,0),0)</f>
        <v>0</v>
      </c>
      <c r="F1096" s="1" t="s">
        <v>9</v>
      </c>
      <c r="G1096" s="1" t="s">
        <v>377</v>
      </c>
      <c r="H1096" s="1" t="s">
        <v>197</v>
      </c>
      <c r="I1096" s="1" t="s">
        <v>53</v>
      </c>
      <c r="K1096" s="1" t="n">
        <v>68</v>
      </c>
      <c r="L1096" s="11" t="n">
        <v>0.969466131698569</v>
      </c>
      <c r="M1096" s="1" t="n">
        <f aca="false">SUMIF(Relatorio_AK!$A:$A,A1096,Relatorio_AK!$B:$B)</f>
        <v>68</v>
      </c>
      <c r="N1096" s="1" t="str">
        <f aca="false">IF(M1096=K1096,"OK","DIF")</f>
        <v>OK</v>
      </c>
      <c r="O1096" s="13" t="str">
        <f aca="false">IFERROR(VLOOKUP($A1096,Lista_Starke!$A:$E,3,0),"NÃO ESTÁ NA LISTA")</f>
        <v>FORD: Fusion 1.5 Ecoboost 19/...
FORD: Territory 1.5 Ecoboost 20/...</v>
      </c>
      <c r="P1096" s="12" t="str">
        <f aca="false">IFERROR(VLOOKUP($A1096,Lista_Starke!$A:$E,2,0),"NÃO ESTÁ NA LISTA")</f>
        <v>BOMBA D'ÁGUA</v>
      </c>
    </row>
    <row r="1097" customFormat="false" ht="15" hidden="false" customHeight="true" outlineLevel="0" collapsed="false">
      <c r="A1097" s="10" t="s">
        <v>2390</v>
      </c>
      <c r="B1097" s="10" t="str">
        <f aca="false">IFERROR(VLOOKUP(A1097,Pedido!$A:$B,2,0),"")</f>
        <v/>
      </c>
      <c r="C1097" s="10" t="str">
        <f aca="false">IF(B1097="","NÃO COMPRA","COMPRA")</f>
        <v>NÃO COMPRA</v>
      </c>
      <c r="D1097" s="1" t="n">
        <f aca="false">IFERROR(VLOOKUP(A1097,Pedido!$A:$C,3,0),0)</f>
        <v>0</v>
      </c>
      <c r="E1097" s="5" t="n">
        <f aca="false">IFERROR(VLOOKUP(A1097,Pedido!$A:$E,5,0),0)</f>
        <v>0</v>
      </c>
      <c r="F1097" s="1" t="s">
        <v>9</v>
      </c>
      <c r="G1097" s="1" t="s">
        <v>1768</v>
      </c>
      <c r="H1097" s="1" t="s">
        <v>235</v>
      </c>
      <c r="I1097" s="1" t="s">
        <v>684</v>
      </c>
      <c r="J1097" s="1" t="s">
        <v>2391</v>
      </c>
      <c r="K1097" s="1" t="n">
        <v>68</v>
      </c>
      <c r="L1097" s="11" t="n">
        <v>0.969582379559523</v>
      </c>
      <c r="M1097" s="1" t="n">
        <f aca="false">SUMIF(Relatorio_AK!$A:$A,A1097,Relatorio_AK!$B:$B)</f>
        <v>68</v>
      </c>
      <c r="N1097" s="1" t="str">
        <f aca="false">IF(M1097=K1097,"OK","DIF")</f>
        <v>OK</v>
      </c>
      <c r="O1097" s="13" t="str">
        <f aca="false">IFERROR(VLOOKUP($A1097,Lista_Starke!$A:$E,3,0),"NÃO ESTÁ NA LISTA")</f>
        <v>LAND ROVER: Discovery Sport 2.2 TD4      224DT 15/…
LAND ROVER: Evoque 2.2 TD4      224DT 14/…
LAND ROVER: Freelander 2 2.2 TD4      224DT / DW12BTED4 06/14</v>
      </c>
      <c r="P1097" s="12" t="str">
        <f aca="false">IFERROR(VLOOKUP($A1097,Lista_Starke!$A:$E,2,0),"NÃO ESTÁ NA LISTA")</f>
        <v>RESFRIADOR DE ÓLEO MOTOR</v>
      </c>
    </row>
    <row r="1098" customFormat="false" ht="15" hidden="false" customHeight="true" outlineLevel="0" collapsed="false">
      <c r="A1098" s="10" t="s">
        <v>2392</v>
      </c>
      <c r="B1098" s="10" t="str">
        <f aca="false">IFERROR(VLOOKUP(A1098,Pedido!$A:$B,2,0),"")</f>
        <v/>
      </c>
      <c r="C1098" s="10" t="str">
        <f aca="false">IF(B1098="","NÃO COMPRA","COMPRA")</f>
        <v>NÃO COMPRA</v>
      </c>
      <c r="D1098" s="1" t="n">
        <f aca="false">IFERROR(VLOOKUP(A1098,Pedido!$A:$C,3,0),0)</f>
        <v>0</v>
      </c>
      <c r="E1098" s="5" t="n">
        <f aca="false">IFERROR(VLOOKUP(A1098,Pedido!$A:$E,5,0),0)</f>
        <v>0</v>
      </c>
      <c r="F1098" s="1" t="s">
        <v>9</v>
      </c>
      <c r="G1098" s="1" t="s">
        <v>1600</v>
      </c>
      <c r="H1098" s="1" t="s">
        <v>126</v>
      </c>
      <c r="I1098" s="1" t="s">
        <v>1157</v>
      </c>
      <c r="J1098" s="1" t="s">
        <v>2393</v>
      </c>
      <c r="K1098" s="1" t="n">
        <v>68</v>
      </c>
      <c r="L1098" s="11" t="n">
        <v>0.969698627420477</v>
      </c>
      <c r="M1098" s="1" t="n">
        <f aca="false">SUMIF(Relatorio_AK!$A:$A,A1098,Relatorio_AK!$B:$B)</f>
        <v>68</v>
      </c>
      <c r="N1098" s="1" t="str">
        <f aca="false">IF(M1098=K1098,"OK","DIF")</f>
        <v>OK</v>
      </c>
      <c r="O1098" s="13" t="str">
        <f aca="false">IFERROR(VLOOKUP($A1098,Lista_Starke!$A:$E,3,0),"NÃO ESTÁ NA LISTA")</f>
        <v>BMW: X3 (F25) xDrive 20i 2.0 16V Turbo 12/17
BMW: X3 (F25) xDrive 28i 2.0 16vV Turbo 13/14
BMW: X3 (F25) xDrive 28i 3.0 24V Turbo 11/14
BMW: X3 (F25) xDrive 35i 3.0 24V Turbo 11/17
BMW: X4 (F26) xDrive 28i 2.0 16V Turbo 15/18
BMW: X4 (F26) xDrive 35i 3.0 24V Turbo 15/17</v>
      </c>
      <c r="P1098" s="12" t="str">
        <f aca="false">IFERROR(VLOOKUP($A1098,Lista_Starke!$A:$E,2,0),"NÃO ESTÁ NA LISTA")</f>
        <v>RESFRIADOR DE ÓLEO CÂMBIO</v>
      </c>
    </row>
    <row r="1099" customFormat="false" ht="15" hidden="false" customHeight="true" outlineLevel="0" collapsed="false">
      <c r="A1099" s="10" t="s">
        <v>2394</v>
      </c>
      <c r="B1099" s="10" t="str">
        <f aca="false">IFERROR(VLOOKUP(A1099,Pedido!$A:$B,2,0),"")</f>
        <v/>
      </c>
      <c r="C1099" s="10" t="str">
        <f aca="false">IF(B1099="","NÃO COMPRA","COMPRA")</f>
        <v>NÃO COMPRA</v>
      </c>
      <c r="D1099" s="1" t="n">
        <f aca="false">IFERROR(VLOOKUP(A1099,Pedido!$A:$C,3,0),0)</f>
        <v>0</v>
      </c>
      <c r="E1099" s="5" t="n">
        <f aca="false">IFERROR(VLOOKUP(A1099,Pedido!$A:$E,5,0),0)</f>
        <v>0</v>
      </c>
      <c r="F1099" s="1" t="s">
        <v>9</v>
      </c>
      <c r="G1099" s="1" t="s">
        <v>2395</v>
      </c>
      <c r="H1099" s="1" t="s">
        <v>197</v>
      </c>
      <c r="I1099" s="1" t="s">
        <v>2396</v>
      </c>
      <c r="J1099" s="1" t="s">
        <v>2397</v>
      </c>
      <c r="K1099" s="1" t="n">
        <v>68</v>
      </c>
      <c r="L1099" s="11" t="n">
        <v>0.969814875281431</v>
      </c>
      <c r="M1099" s="1" t="n">
        <f aca="false">SUMIF(Relatorio_AK!$A:$A,A1099,Relatorio_AK!$B:$B)</f>
        <v>68</v>
      </c>
      <c r="N1099" s="1" t="str">
        <f aca="false">IF(M1099=K1099,"OK","DIF")</f>
        <v>OK</v>
      </c>
      <c r="O1099" s="13" t="str">
        <f aca="false">IFERROR(VLOOKUP($A1099,Lista_Starke!$A:$E,3,0),"NÃO ESTÁ NA LISTA")</f>
        <v>RAM: RAM 2500 6.7 L6 19/...
RAM: RAM 3500 6.7 L6 19/...</v>
      </c>
      <c r="P1099" s="12" t="str">
        <f aca="false">IFERROR(VLOOKUP($A1099,Lista_Starke!$A:$E,2,0),"NÃO ESTÁ NA LISTA")</f>
        <v>BOMBA D'ÁGUA</v>
      </c>
    </row>
    <row r="1100" customFormat="false" ht="15" hidden="false" customHeight="true" outlineLevel="0" collapsed="false">
      <c r="A1100" s="10" t="s">
        <v>2398</v>
      </c>
      <c r="B1100" s="10" t="str">
        <f aca="false">IFERROR(VLOOKUP(A1100,Pedido!$A:$B,2,0),"")</f>
        <v/>
      </c>
      <c r="C1100" s="10" t="str">
        <f aca="false">IF(B1100="","NÃO COMPRA","COMPRA")</f>
        <v>NÃO COMPRA</v>
      </c>
      <c r="D1100" s="1" t="n">
        <f aca="false">IFERROR(VLOOKUP(A1100,Pedido!$A:$C,3,0),0)</f>
        <v>0</v>
      </c>
      <c r="E1100" s="5" t="n">
        <f aca="false">IFERROR(VLOOKUP(A1100,Pedido!$A:$E,5,0),0)</f>
        <v>0</v>
      </c>
      <c r="F1100" s="1" t="s">
        <v>9</v>
      </c>
      <c r="G1100" s="1" t="s">
        <v>176</v>
      </c>
      <c r="H1100" s="1" t="s">
        <v>35</v>
      </c>
      <c r="I1100" s="1" t="s">
        <v>177</v>
      </c>
      <c r="J1100" s="1" t="s">
        <v>178</v>
      </c>
      <c r="K1100" s="1" t="n">
        <v>68</v>
      </c>
      <c r="L1100" s="11" t="n">
        <v>0.969931123142384</v>
      </c>
      <c r="M1100" s="1" t="n">
        <f aca="false">SUMIF(Relatorio_AK!$A:$A,A1100,Relatorio_AK!$B:$B)</f>
        <v>68</v>
      </c>
      <c r="N1100" s="1" t="str">
        <f aca="false">IF(M1100=K1100,"OK","DIF")</f>
        <v>OK</v>
      </c>
      <c r="O1100" s="13" t="str">
        <f aca="false">IFERROR(VLOOKUP($A1100,Lista_Starke!$A:$E,3,0),"NÃO ESTÁ NA LISTA")</f>
        <v>TOYOTA: Etios 1.3 16V 12/16
TOYOTA: Etios 1.5 16V 12/16
TOYOTA: Etios 1.5 16V Platinum 16/...</v>
      </c>
      <c r="P1100" s="12" t="str">
        <f aca="false">IFERROR(VLOOKUP($A1100,Lista_Starke!$A:$E,2,0),"NÃO ESTÁ NA LISTA")</f>
        <v>CILINDRO MESTRE DE FREIO</v>
      </c>
    </row>
    <row r="1101" customFormat="false" ht="15" hidden="false" customHeight="true" outlineLevel="0" collapsed="false">
      <c r="A1101" s="10" t="s">
        <v>2399</v>
      </c>
      <c r="B1101" s="10" t="str">
        <f aca="false">IFERROR(VLOOKUP(A1101,Pedido!$A:$B,2,0),"")</f>
        <v/>
      </c>
      <c r="C1101" s="10" t="str">
        <f aca="false">IF(B1101="","NÃO COMPRA","COMPRA")</f>
        <v>NÃO COMPRA</v>
      </c>
      <c r="D1101" s="1" t="n">
        <f aca="false">IFERROR(VLOOKUP(A1101,Pedido!$A:$C,3,0),0)</f>
        <v>0</v>
      </c>
      <c r="E1101" s="5" t="n">
        <f aca="false">IFERROR(VLOOKUP(A1101,Pedido!$A:$E,5,0),0)</f>
        <v>0</v>
      </c>
      <c r="F1101" s="1" t="s">
        <v>9</v>
      </c>
      <c r="G1101" s="1" t="s">
        <v>2400</v>
      </c>
      <c r="H1101" s="1" t="s">
        <v>197</v>
      </c>
      <c r="I1101" s="1" t="s">
        <v>2401</v>
      </c>
      <c r="K1101" s="1" t="n">
        <v>67</v>
      </c>
      <c r="L1101" s="11" t="n">
        <v>0.970045661475971</v>
      </c>
      <c r="M1101" s="1" t="n">
        <f aca="false">SUMIF(Relatorio_AK!$A:$A,A1101,Relatorio_AK!$B:$B)</f>
        <v>67</v>
      </c>
      <c r="N1101" s="1" t="str">
        <f aca="false">IF(M1101=K1101,"OK","DIF")</f>
        <v>OK</v>
      </c>
      <c r="O1101" s="13" t="str">
        <f aca="false">IFERROR(VLOOKUP($A1101,Lista_Starke!$A:$E,3,0),"NÃO ESTÁ NA LISTA")</f>
        <v>SSANGYONG: Actyon 2.0 16V   D20DT 05/…
SSANGYONG: Actyon Sports 2.0 16V   D20DT 07/…
SSANGYONG: Actyon Sports 2.0 16V   D20DTR 11/…
SSANGYONG: Korando 2.0 16V   D20DTR 11/…
SSANGYONG: Kyron 2.0 16V   D20DT 05/…
SSANGYONG: Kyron 2.0 16V   D20DT 10/…
SSANGYONG: Kyron 2.7 20V   D27DT 06/…
SSANGYONG: Rexton 2.7 20V   D27DT 04/…
SSANGYONG: Rexton 2.7 20V Turbo   D27DTP 11/…</v>
      </c>
      <c r="P1101" s="12" t="str">
        <f aca="false">IFERROR(VLOOKUP($A1101,Lista_Starke!$A:$E,2,0),"NÃO ESTÁ NA LISTA")</f>
        <v>BOMBA D'ÁGUA</v>
      </c>
    </row>
    <row r="1102" customFormat="false" ht="15" hidden="false" customHeight="true" outlineLevel="0" collapsed="false">
      <c r="A1102" s="10" t="s">
        <v>2402</v>
      </c>
      <c r="B1102" s="10" t="str">
        <f aca="false">IFERROR(VLOOKUP(A1102,Pedido!$A:$B,2,0),"")</f>
        <v/>
      </c>
      <c r="C1102" s="10" t="str">
        <f aca="false">IF(B1102="","NÃO COMPRA","COMPRA")</f>
        <v>NÃO COMPRA</v>
      </c>
      <c r="D1102" s="1" t="n">
        <f aca="false">IFERROR(VLOOKUP(A1102,Pedido!$A:$C,3,0),0)</f>
        <v>0</v>
      </c>
      <c r="E1102" s="5" t="n">
        <f aca="false">IFERROR(VLOOKUP(A1102,Pedido!$A:$E,5,0),0)</f>
        <v>0</v>
      </c>
      <c r="F1102" s="1" t="s">
        <v>9</v>
      </c>
      <c r="G1102" s="1" t="s">
        <v>826</v>
      </c>
      <c r="H1102" s="1" t="s">
        <v>197</v>
      </c>
      <c r="I1102" s="1" t="s">
        <v>827</v>
      </c>
      <c r="J1102" s="1" t="s">
        <v>2403</v>
      </c>
      <c r="K1102" s="1" t="n">
        <v>67</v>
      </c>
      <c r="L1102" s="11" t="n">
        <v>0.970160199809558</v>
      </c>
      <c r="M1102" s="1" t="n">
        <f aca="false">SUMIF(Relatorio_AK!$A:$A,A1102,Relatorio_AK!$B:$B)</f>
        <v>67</v>
      </c>
      <c r="N1102" s="1" t="str">
        <f aca="false">IF(M1102=K1102,"OK","DIF")</f>
        <v>OK</v>
      </c>
      <c r="O1102" s="13" t="str">
        <f aca="false">IFERROR(VLOOKUP($A1102,Lista_Starke!$A:$E,3,0),"NÃO ESTÁ NA LISTA")</f>
        <v>BMW: 116i (F40) 1.5 3 cil. B38A15A 20/...
BMW: 118i (F40) 1.5 3 cil. B38A15A/B38A15F 20/...
BMW: 120i (F40) 2.0 16V Turbo B48A20A/B48A20F 20/...
BMW: 220i (F45) 2.0 16V Turbo B48A20A/B48A20F 14/21
BMW: X1 (F48) 1.5 3 cil. B38A15A 17/22
BMW: X1 (F48) 2.0 16V Turbo B48A20A/B48A20F 15/22
BMW: X1 (U11) 1.5 3 cil. B38A15P 22/...
BMW: X1 (U11) 1.5 3 cil. Hybrid B38A15P 22/...
BMW: X1 (U11) 2.0 16V Turbo Hybrid B48A20P 22/...
MINI: Cooper 1.5 3 cil. B38A15A 15/24
MINI: Cooper S 2.0 16V Turbo B48A20A/B48A20F 20/...
MINI: John Cooper Works 2.0 16V Turbo B48A20E 19/...</v>
      </c>
      <c r="P1102" s="12" t="str">
        <f aca="false">IFERROR(VLOOKUP($A1102,Lista_Starke!$A:$E,2,0),"NÃO ESTÁ NA LISTA")</f>
        <v>BOMBA D'ÁGUA</v>
      </c>
    </row>
    <row r="1103" customFormat="false" ht="15" hidden="false" customHeight="true" outlineLevel="0" collapsed="false">
      <c r="A1103" s="10" t="s">
        <v>2404</v>
      </c>
      <c r="B1103" s="10" t="str">
        <f aca="false">IFERROR(VLOOKUP(A1103,Pedido!$A:$B,2,0),"")</f>
        <v/>
      </c>
      <c r="C1103" s="10" t="str">
        <f aca="false">IF(B1103="","NÃO COMPRA","COMPRA")</f>
        <v>NÃO COMPRA</v>
      </c>
      <c r="D1103" s="1" t="n">
        <f aca="false">IFERROR(VLOOKUP(A1103,Pedido!$A:$C,3,0),0)</f>
        <v>0</v>
      </c>
      <c r="E1103" s="5" t="n">
        <f aca="false">IFERROR(VLOOKUP(A1103,Pedido!$A:$E,5,0),0)</f>
        <v>0</v>
      </c>
      <c r="F1103" s="1" t="s">
        <v>9</v>
      </c>
      <c r="G1103" s="1" t="s">
        <v>2099</v>
      </c>
      <c r="H1103" s="1" t="s">
        <v>1358</v>
      </c>
      <c r="I1103" s="1" t="s">
        <v>57</v>
      </c>
      <c r="J1103" s="1" t="s">
        <v>2405</v>
      </c>
      <c r="K1103" s="1" t="n">
        <v>66</v>
      </c>
      <c r="L1103" s="11" t="n">
        <v>0.970273028615778</v>
      </c>
      <c r="M1103" s="1" t="n">
        <f aca="false">SUMIF(Relatorio_AK!$A:$A,A1103,Relatorio_AK!$B:$B)</f>
        <v>66</v>
      </c>
      <c r="N1103" s="1" t="str">
        <f aca="false">IF(M1103=K1103,"OK","DIF")</f>
        <v>OK</v>
      </c>
      <c r="O1103" s="12" t="str">
        <f aca="false">IFERROR(VLOOKUP($A1103,Lista_Starke!$A:$E,3,0),"NÃO ESTÁ NA LISTA")</f>
        <v>GM: Cruze 1.4 16V Turbo 16/...</v>
      </c>
      <c r="P1103" s="12" t="str">
        <f aca="false">IFERROR(VLOOKUP($A1103,Lista_Starke!$A:$E,2,0),"NÃO ESTÁ NA LISTA")</f>
        <v>BANDEJA INFERIOR COMPLETA LD</v>
      </c>
    </row>
    <row r="1104" customFormat="false" ht="15" hidden="false" customHeight="true" outlineLevel="0" collapsed="false">
      <c r="A1104" s="10" t="s">
        <v>2406</v>
      </c>
      <c r="B1104" s="10" t="str">
        <f aca="false">IFERROR(VLOOKUP(A1104,Pedido!$A:$B,2,0),"")</f>
        <v/>
      </c>
      <c r="C1104" s="10" t="str">
        <f aca="false">IF(B1104="","NÃO COMPRA","COMPRA")</f>
        <v>NÃO COMPRA</v>
      </c>
      <c r="D1104" s="1" t="n">
        <f aca="false">IFERROR(VLOOKUP(A1104,Pedido!$A:$C,3,0),0)</f>
        <v>0</v>
      </c>
      <c r="E1104" s="5" t="n">
        <f aca="false">IFERROR(VLOOKUP(A1104,Pedido!$A:$E,5,0),0)</f>
        <v>0</v>
      </c>
      <c r="F1104" s="1" t="s">
        <v>9</v>
      </c>
      <c r="G1104" s="1" t="s">
        <v>1626</v>
      </c>
      <c r="H1104" s="1" t="s">
        <v>1358</v>
      </c>
      <c r="I1104" s="1" t="s">
        <v>46</v>
      </c>
      <c r="J1104" s="1" t="s">
        <v>2407</v>
      </c>
      <c r="K1104" s="1" t="n">
        <v>66</v>
      </c>
      <c r="L1104" s="11" t="n">
        <v>0.970385857421998</v>
      </c>
      <c r="M1104" s="1" t="n">
        <f aca="false">SUMIF(Relatorio_AK!$A:$A,A1104,Relatorio_AK!$B:$B)</f>
        <v>66</v>
      </c>
      <c r="N1104" s="1" t="str">
        <f aca="false">IF(M1104=K1104,"OK","DIF")</f>
        <v>OK</v>
      </c>
      <c r="O1104" s="13" t="str">
        <f aca="false">IFERROR(VLOOKUP($A1104,Lista_Starke!$A:$E,3,0),"NÃO ESTÁ NA LISTA")</f>
        <v>FIAT: Argo 1.8 17/23
FIAT: Cronos  17/23
FIAT: Strada  20/...</v>
      </c>
      <c r="P1104" s="12" t="str">
        <f aca="false">IFERROR(VLOOKUP($A1104,Lista_Starke!$A:$E,2,0),"NÃO ESTÁ NA LISTA")</f>
        <v>BANDEJA INFERIOR COMPLETA LE</v>
      </c>
    </row>
    <row r="1105" customFormat="false" ht="15" hidden="false" customHeight="true" outlineLevel="0" collapsed="false">
      <c r="A1105" s="10" t="s">
        <v>2408</v>
      </c>
      <c r="B1105" s="10" t="str">
        <f aca="false">IFERROR(VLOOKUP(A1105,Pedido!$A:$B,2,0),"")</f>
        <v/>
      </c>
      <c r="C1105" s="10" t="str">
        <f aca="false">IF(B1105="","NÃO COMPRA","COMPRA")</f>
        <v>NÃO COMPRA</v>
      </c>
      <c r="D1105" s="1" t="n">
        <f aca="false">IFERROR(VLOOKUP(A1105,Pedido!$A:$C,3,0),0)</f>
        <v>0</v>
      </c>
      <c r="E1105" s="5" t="n">
        <f aca="false">IFERROR(VLOOKUP(A1105,Pedido!$A:$E,5,0),0)</f>
        <v>0</v>
      </c>
      <c r="F1105" s="1" t="s">
        <v>9</v>
      </c>
      <c r="G1105" s="1" t="s">
        <v>349</v>
      </c>
      <c r="H1105" s="1" t="s">
        <v>197</v>
      </c>
      <c r="I1105" s="1" t="s">
        <v>57</v>
      </c>
      <c r="K1105" s="1" t="n">
        <v>66</v>
      </c>
      <c r="L1105" s="11" t="n">
        <v>0.970498686228218</v>
      </c>
      <c r="M1105" s="1" t="n">
        <f aca="false">SUMIF(Relatorio_AK!$A:$A,A1105,Relatorio_AK!$B:$B)</f>
        <v>66</v>
      </c>
      <c r="N1105" s="1" t="str">
        <f aca="false">IF(M1105=K1105,"OK","DIF")</f>
        <v>OK</v>
      </c>
      <c r="O1105" s="12" t="str">
        <f aca="false">IFERROR(VLOOKUP($A1105,Lista_Starke!$A:$E,3,0),"NÃO ESTÁ NA LISTA")</f>
        <v>NÃO ESTÁ NA LISTA</v>
      </c>
      <c r="P1105" s="12" t="str">
        <f aca="false">IFERROR(VLOOKUP($A1105,Lista_Starke!$A:$E,2,0),"NÃO ESTÁ NA LISTA")</f>
        <v>NÃO ESTÁ NA LISTA</v>
      </c>
    </row>
    <row r="1106" customFormat="false" ht="15" hidden="false" customHeight="true" outlineLevel="0" collapsed="false">
      <c r="A1106" s="10" t="s">
        <v>2409</v>
      </c>
      <c r="B1106" s="10" t="str">
        <f aca="false">IFERROR(VLOOKUP(A1106,Pedido!$A:$B,2,0),"")</f>
        <v/>
      </c>
      <c r="C1106" s="10" t="str">
        <f aca="false">IF(B1106="","NÃO COMPRA","COMPRA")</f>
        <v>NÃO COMPRA</v>
      </c>
      <c r="D1106" s="1" t="n">
        <f aca="false">IFERROR(VLOOKUP(A1106,Pedido!$A:$C,3,0),0)</f>
        <v>0</v>
      </c>
      <c r="E1106" s="5" t="n">
        <f aca="false">IFERROR(VLOOKUP(A1106,Pedido!$A:$E,5,0),0)</f>
        <v>0</v>
      </c>
      <c r="F1106" s="1" t="s">
        <v>9</v>
      </c>
      <c r="G1106" s="1" t="s">
        <v>349</v>
      </c>
      <c r="H1106" s="1" t="s">
        <v>197</v>
      </c>
      <c r="I1106" s="1" t="s">
        <v>57</v>
      </c>
      <c r="J1106" s="1" t="s">
        <v>2410</v>
      </c>
      <c r="K1106" s="1" t="n">
        <v>66</v>
      </c>
      <c r="L1106" s="11" t="n">
        <v>0.970611515034438</v>
      </c>
      <c r="M1106" s="1" t="n">
        <f aca="false">SUMIF(Relatorio_AK!$A:$A,A1106,Relatorio_AK!$B:$B)</f>
        <v>66</v>
      </c>
      <c r="N1106" s="1" t="str">
        <f aca="false">IF(M1106=K1106,"OK","DIF")</f>
        <v>OK</v>
      </c>
      <c r="O1106" s="13" t="str">
        <f aca="false">IFERROR(VLOOKUP($A1106,Lista_Starke!$A:$E,3,0),"NÃO ESTÁ NA LISTA")</f>
        <v>GM: Cruze 1.4 16V Turbo LE2 16/...
GM: Tracker 1.4 16V Turbo LE2 16/...</v>
      </c>
      <c r="P1106" s="12" t="str">
        <f aca="false">IFERROR(VLOOKUP($A1106,Lista_Starke!$A:$E,2,0),"NÃO ESTÁ NA LISTA")</f>
        <v>BOMBA D'ÁGUA</v>
      </c>
    </row>
    <row r="1107" customFormat="false" ht="15" hidden="false" customHeight="true" outlineLevel="0" collapsed="false">
      <c r="A1107" s="10" t="s">
        <v>2411</v>
      </c>
      <c r="B1107" s="10" t="str">
        <f aca="false">IFERROR(VLOOKUP(A1107,Pedido!$A:$B,2,0),"")</f>
        <v/>
      </c>
      <c r="C1107" s="10" t="str">
        <f aca="false">IF(B1107="","NÃO COMPRA","COMPRA")</f>
        <v>NÃO COMPRA</v>
      </c>
      <c r="D1107" s="1" t="n">
        <f aca="false">IFERROR(VLOOKUP(A1107,Pedido!$A:$C,3,0),0)</f>
        <v>0</v>
      </c>
      <c r="E1107" s="5" t="n">
        <f aca="false">IFERROR(VLOOKUP(A1107,Pedido!$A:$E,5,0),0)</f>
        <v>0</v>
      </c>
      <c r="F1107" s="1" t="s">
        <v>9</v>
      </c>
      <c r="G1107" s="1" t="s">
        <v>2020</v>
      </c>
      <c r="H1107" s="1" t="s">
        <v>35</v>
      </c>
      <c r="I1107" s="1" t="s">
        <v>929</v>
      </c>
      <c r="K1107" s="1" t="n">
        <v>66</v>
      </c>
      <c r="L1107" s="11" t="n">
        <v>0.970724343840658</v>
      </c>
      <c r="M1107" s="1" t="n">
        <f aca="false">SUMIF(Relatorio_AK!$A:$A,A1107,Relatorio_AK!$B:$B)</f>
        <v>66</v>
      </c>
      <c r="N1107" s="1" t="str">
        <f aca="false">IF(M1107=K1107,"OK","DIF")</f>
        <v>OK</v>
      </c>
      <c r="O1107" s="12" t="str">
        <f aca="false">IFERROR(VLOOKUP($A1107,Lista_Starke!$A:$E,3,0),"NÃO ESTÁ NA LISTA")</f>
        <v>SUZUKI: Grand Vitara 2.0 / 2.5 99/05</v>
      </c>
      <c r="P1107" s="12" t="str">
        <f aca="false">IFERROR(VLOOKUP($A1107,Lista_Starke!$A:$E,2,0),"NÃO ESTÁ NA LISTA")</f>
        <v>CILINDRO MESTRE DE FREIO</v>
      </c>
    </row>
    <row r="1108" customFormat="false" ht="15" hidden="false" customHeight="true" outlineLevel="0" collapsed="false">
      <c r="A1108" s="10" t="s">
        <v>2412</v>
      </c>
      <c r="B1108" s="10" t="str">
        <f aca="false">IFERROR(VLOOKUP(A1108,Pedido!$A:$B,2,0),"")</f>
        <v/>
      </c>
      <c r="C1108" s="10" t="str">
        <f aca="false">IF(B1108="","NÃO COMPRA","COMPRA")</f>
        <v>NÃO COMPRA</v>
      </c>
      <c r="D1108" s="1" t="n">
        <f aca="false">IFERROR(VLOOKUP(A1108,Pedido!$A:$C,3,0),0)</f>
        <v>0</v>
      </c>
      <c r="E1108" s="5" t="n">
        <f aca="false">IFERROR(VLOOKUP(A1108,Pedido!$A:$E,5,0),0)</f>
        <v>0</v>
      </c>
      <c r="F1108" s="1" t="s">
        <v>9</v>
      </c>
      <c r="G1108" s="1" t="s">
        <v>1220</v>
      </c>
      <c r="H1108" s="1" t="s">
        <v>1073</v>
      </c>
      <c r="I1108" s="1" t="s">
        <v>172</v>
      </c>
      <c r="J1108" s="1" t="s">
        <v>2413</v>
      </c>
      <c r="K1108" s="1" t="n">
        <v>66</v>
      </c>
      <c r="L1108" s="11" t="n">
        <v>0.970837172646878</v>
      </c>
      <c r="M1108" s="1" t="n">
        <f aca="false">SUMIF(Relatorio_AK!$A:$A,A1108,Relatorio_AK!$B:$B)</f>
        <v>66</v>
      </c>
      <c r="N1108" s="1" t="str">
        <f aca="false">IF(M1108=K1108,"OK","DIF")</f>
        <v>OK</v>
      </c>
      <c r="O1108" s="13" t="str">
        <f aca="false">IFERROR(VLOOKUP($A1108,Lista_Starke!$A:$E,3,0),"NÃO ESTÁ NA LISTA")</f>
        <v>HYUNDAI: HR 2.5 16V CRDi Diesel D4CB 13/...
KIA: Bongo K2500 2.5 16V CRDi Diesel D4CB 13/...</v>
      </c>
      <c r="P1108" s="12" t="str">
        <f aca="false">IFERROR(VLOOKUP($A1108,Lista_Starke!$A:$E,2,0),"NÃO ESTÁ NA LISTA")</f>
        <v>VÁLVULA TERMOSTÁTICA</v>
      </c>
    </row>
    <row r="1109" customFormat="false" ht="15" hidden="false" customHeight="true" outlineLevel="0" collapsed="false">
      <c r="A1109" s="10" t="s">
        <v>2414</v>
      </c>
      <c r="B1109" s="10" t="str">
        <f aca="false">IFERROR(VLOOKUP(A1109,Pedido!$A:$B,2,0),"")</f>
        <v/>
      </c>
      <c r="C1109" s="10" t="str">
        <f aca="false">IF(B1109="","NÃO COMPRA","COMPRA")</f>
        <v>NÃO COMPRA</v>
      </c>
      <c r="D1109" s="1" t="n">
        <f aca="false">IFERROR(VLOOKUP(A1109,Pedido!$A:$C,3,0),0)</f>
        <v>0</v>
      </c>
      <c r="E1109" s="5" t="n">
        <f aca="false">IFERROR(VLOOKUP(A1109,Pedido!$A:$E,5,0),0)</f>
        <v>0</v>
      </c>
      <c r="F1109" s="1" t="s">
        <v>9</v>
      </c>
      <c r="G1109" s="1" t="s">
        <v>52</v>
      </c>
      <c r="H1109" s="1" t="s">
        <v>35</v>
      </c>
      <c r="I1109" s="1" t="s">
        <v>53</v>
      </c>
      <c r="J1109" s="1" t="s">
        <v>2415</v>
      </c>
      <c r="K1109" s="1" t="n">
        <v>66</v>
      </c>
      <c r="L1109" s="11" t="n">
        <v>0.970950001453098</v>
      </c>
      <c r="M1109" s="1" t="n">
        <f aca="false">SUMIF(Relatorio_AK!$A:$A,A1109,Relatorio_AK!$B:$B)</f>
        <v>66</v>
      </c>
      <c r="N1109" s="1" t="str">
        <f aca="false">IF(M1109=K1109,"OK","DIF")</f>
        <v>OK</v>
      </c>
      <c r="O1109" s="13" t="str">
        <f aca="false">IFERROR(VLOOKUP($A1109,Lista_Starke!$A:$E,3,0),"NÃO ESTÁ NA LISTA")</f>
        <v>FORD: F1000 3.6 12V 6 cil. 85/92
FORD: F1000 3.9 8V 4 cil. 85/92
FORD: F2000 3.9 8V 4 cil. 80/83</v>
      </c>
      <c r="P1109" s="12" t="str">
        <f aca="false">IFERROR(VLOOKUP($A1109,Lista_Starke!$A:$E,2,0),"NÃO ESTÁ NA LISTA")</f>
        <v>CILINDRO MESTRE DE FREIO</v>
      </c>
    </row>
    <row r="1110" customFormat="false" ht="15" hidden="false" customHeight="true" outlineLevel="0" collapsed="false">
      <c r="A1110" s="10" t="s">
        <v>2416</v>
      </c>
      <c r="B1110" s="10" t="str">
        <f aca="false">IFERROR(VLOOKUP(A1110,Pedido!$A:$B,2,0),"")</f>
        <v/>
      </c>
      <c r="C1110" s="10" t="str">
        <f aca="false">IF(B1110="","NÃO COMPRA","COMPRA")</f>
        <v>NÃO COMPRA</v>
      </c>
      <c r="D1110" s="1" t="n">
        <f aca="false">IFERROR(VLOOKUP(A1110,Pedido!$A:$C,3,0),0)</f>
        <v>0</v>
      </c>
      <c r="E1110" s="5" t="n">
        <f aca="false">IFERROR(VLOOKUP(A1110,Pedido!$A:$E,5,0),0)</f>
        <v>0</v>
      </c>
      <c r="F1110" s="1" t="s">
        <v>9</v>
      </c>
      <c r="G1110" s="1" t="s">
        <v>2417</v>
      </c>
      <c r="H1110" s="1" t="s">
        <v>88</v>
      </c>
      <c r="I1110" s="1" t="s">
        <v>281</v>
      </c>
      <c r="J1110" s="1" t="s">
        <v>2418</v>
      </c>
      <c r="K1110" s="1" t="n">
        <v>66</v>
      </c>
      <c r="L1110" s="11" t="n">
        <v>0.971062830259318</v>
      </c>
      <c r="M1110" s="1" t="n">
        <f aca="false">SUMIF(Relatorio_AK!$A:$A,A1110,Relatorio_AK!$B:$B)</f>
        <v>66</v>
      </c>
      <c r="N1110" s="1" t="str">
        <f aca="false">IF(M1110=K1110,"OK","DIF")</f>
        <v>OK</v>
      </c>
      <c r="O1110" s="13" t="str">
        <f aca="false">IFERROR(VLOOKUP($A1110,Lista_Starke!$A:$E,3,0),"NÃO ESTÁ NA LISTA")</f>
        <v>CITROEN: C3 1.4 8V TU3JP 05/09
CITROEN: C3 1.6 16V TU5JP4 05/09</v>
      </c>
      <c r="P1110" s="12" t="str">
        <f aca="false">IFERROR(VLOOKUP($A1110,Lista_Starke!$A:$E,2,0),"NÃO ESTÁ NA LISTA")</f>
        <v>CILINDRO DE RODA LD</v>
      </c>
    </row>
    <row r="1111" customFormat="false" ht="15" hidden="false" customHeight="true" outlineLevel="0" collapsed="false">
      <c r="A1111" s="10" t="s">
        <v>2419</v>
      </c>
      <c r="B1111" s="10" t="str">
        <f aca="false">IFERROR(VLOOKUP(A1111,Pedido!$A:$B,2,0),"")</f>
        <v/>
      </c>
      <c r="C1111" s="10" t="str">
        <f aca="false">IF(B1111="","NÃO COMPRA","COMPRA")</f>
        <v>NÃO COMPRA</v>
      </c>
      <c r="D1111" s="1" t="n">
        <f aca="false">IFERROR(VLOOKUP(A1111,Pedido!$A:$C,3,0),0)</f>
        <v>0</v>
      </c>
      <c r="E1111" s="5" t="n">
        <f aca="false">IFERROR(VLOOKUP(A1111,Pedido!$A:$E,5,0),0)</f>
        <v>0</v>
      </c>
      <c r="F1111" s="1" t="s">
        <v>9</v>
      </c>
      <c r="G1111" s="1" t="s">
        <v>1931</v>
      </c>
      <c r="H1111" s="1" t="s">
        <v>2420</v>
      </c>
      <c r="I1111" s="1" t="s">
        <v>53</v>
      </c>
      <c r="J1111" s="1" t="s">
        <v>2421</v>
      </c>
      <c r="K1111" s="1" t="n">
        <v>65</v>
      </c>
      <c r="L1111" s="11" t="n">
        <v>0.971173949538171</v>
      </c>
      <c r="M1111" s="1" t="n">
        <f aca="false">SUMIF(Relatorio_AK!$A:$A,A1111,Relatorio_AK!$B:$B)</f>
        <v>65</v>
      </c>
      <c r="N1111" s="1" t="str">
        <f aca="false">IF(M1111=K1111,"OK","DIF")</f>
        <v>OK</v>
      </c>
      <c r="O1111" s="13" t="str">
        <f aca="false">IFERROR(VLOOKUP($A1111,Lista_Starke!$A:$E,3,0),"NÃO ESTÁ NA LISTA")</f>
        <v>FORD: Fusion 2.3 06/08
FORD: Fusion 2.5 09/12
FORD: Fusion 3.0 V6 09/12</v>
      </c>
      <c r="P1111" s="12" t="str">
        <f aca="false">IFERROR(VLOOKUP($A1111,Lista_Starke!$A:$E,2,0),"NÃO ESTÁ NA LISTA")</f>
        <v>BANDEJA SUPERIOR COMPLETA LD</v>
      </c>
    </row>
    <row r="1112" customFormat="false" ht="15" hidden="false" customHeight="true" outlineLevel="0" collapsed="false">
      <c r="A1112" s="10" t="s">
        <v>2422</v>
      </c>
      <c r="B1112" s="10" t="str">
        <f aca="false">IFERROR(VLOOKUP(A1112,Pedido!$A:$B,2,0),"")</f>
        <v/>
      </c>
      <c r="C1112" s="10" t="str">
        <f aca="false">IF(B1112="","NÃO COMPRA","COMPRA")</f>
        <v>NÃO COMPRA</v>
      </c>
      <c r="D1112" s="1" t="n">
        <f aca="false">IFERROR(VLOOKUP(A1112,Pedido!$A:$C,3,0),0)</f>
        <v>0</v>
      </c>
      <c r="E1112" s="5" t="n">
        <f aca="false">IFERROR(VLOOKUP(A1112,Pedido!$A:$E,5,0),0)</f>
        <v>0</v>
      </c>
      <c r="F1112" s="1" t="s">
        <v>9</v>
      </c>
      <c r="G1112" s="1" t="s">
        <v>277</v>
      </c>
      <c r="H1112" s="1" t="s">
        <v>131</v>
      </c>
      <c r="I1112" s="1" t="s">
        <v>53</v>
      </c>
      <c r="J1112" s="1" t="s">
        <v>2423</v>
      </c>
      <c r="K1112" s="1" t="n">
        <v>65</v>
      </c>
      <c r="L1112" s="11" t="n">
        <v>0.971285068817024</v>
      </c>
      <c r="M1112" s="1" t="n">
        <f aca="false">SUMIF(Relatorio_AK!$A:$A,A1112,Relatorio_AK!$B:$B)</f>
        <v>65</v>
      </c>
      <c r="N1112" s="1" t="str">
        <f aca="false">IF(M1112=K1112,"OK","DIF")</f>
        <v>OK</v>
      </c>
      <c r="O1112" s="12" t="str">
        <f aca="false">IFERROR(VLOOKUP($A1112,Lista_Starke!$A:$E,3,0),"NÃO ESTÁ NA LISTA")</f>
        <v>FORD: F4000 4X2  02/19</v>
      </c>
      <c r="P1112" s="12" t="str">
        <f aca="false">IFERROR(VLOOKUP($A1112,Lista_Starke!$A:$E,2,0),"NÃO ESTÁ NA LISTA")</f>
        <v>SAPATA DE FREIO</v>
      </c>
    </row>
    <row r="1113" customFormat="false" ht="15" hidden="false" customHeight="true" outlineLevel="0" collapsed="false">
      <c r="A1113" s="10" t="s">
        <v>2424</v>
      </c>
      <c r="B1113" s="10" t="str">
        <f aca="false">IFERROR(VLOOKUP(A1113,Pedido!$A:$B,2,0),"")</f>
        <v/>
      </c>
      <c r="C1113" s="10" t="str">
        <f aca="false">IF(B1113="","NÃO COMPRA","COMPRA")</f>
        <v>NÃO COMPRA</v>
      </c>
      <c r="D1113" s="1" t="n">
        <f aca="false">IFERROR(VLOOKUP(A1113,Pedido!$A:$C,3,0),0)</f>
        <v>0</v>
      </c>
      <c r="E1113" s="5" t="n">
        <f aca="false">IFERROR(VLOOKUP(A1113,Pedido!$A:$E,5,0),0)</f>
        <v>0</v>
      </c>
      <c r="F1113" s="1" t="s">
        <v>9</v>
      </c>
      <c r="G1113" s="1" t="s">
        <v>2425</v>
      </c>
      <c r="H1113" s="1" t="s">
        <v>88</v>
      </c>
      <c r="I1113" s="1" t="s">
        <v>2385</v>
      </c>
      <c r="J1113" s="1" t="s">
        <v>2426</v>
      </c>
      <c r="K1113" s="1" t="n">
        <v>65</v>
      </c>
      <c r="L1113" s="11" t="n">
        <v>0.971396188095877</v>
      </c>
      <c r="M1113" s="1" t="n">
        <f aca="false">SUMIF(Relatorio_AK!$A:$A,A1113,Relatorio_AK!$B:$B)</f>
        <v>65</v>
      </c>
      <c r="N1113" s="1" t="str">
        <f aca="false">IF(M1113=K1113,"OK","DIF")</f>
        <v>OK</v>
      </c>
      <c r="O1113" s="13" t="str">
        <f aca="false">IFERROR(VLOOKUP($A1113,Lista_Starke!$A:$E,3,0),"NÃO ESTÁ NA LISTA")</f>
        <v>FORD: Ranger 2.3 16V Duratec 01/12
FORD: Ranger 3.0 16V Power Stroke 05/12
MERCEDES-BENZ: Sprinter 310 / 312 / 412 2.5 8V Maxion HS 97/00</v>
      </c>
      <c r="P1113" s="12" t="str">
        <f aca="false">IFERROR(VLOOKUP($A1113,Lista_Starke!$A:$E,2,0),"NÃO ESTÁ NA LISTA")</f>
        <v>CILINDRO DE RODA LE</v>
      </c>
    </row>
    <row r="1114" customFormat="false" ht="15" hidden="false" customHeight="true" outlineLevel="0" collapsed="false">
      <c r="A1114" s="10" t="s">
        <v>2427</v>
      </c>
      <c r="B1114" s="10" t="str">
        <f aca="false">IFERROR(VLOOKUP(A1114,Pedido!$A:$B,2,0),"")</f>
        <v/>
      </c>
      <c r="C1114" s="10" t="str">
        <f aca="false">IF(B1114="","NÃO COMPRA","COMPRA")</f>
        <v>NÃO COMPRA</v>
      </c>
      <c r="D1114" s="1" t="n">
        <f aca="false">IFERROR(VLOOKUP(A1114,Pedido!$A:$C,3,0),0)</f>
        <v>0</v>
      </c>
      <c r="E1114" s="5" t="n">
        <f aca="false">IFERROR(VLOOKUP(A1114,Pedido!$A:$E,5,0),0)</f>
        <v>0</v>
      </c>
      <c r="F1114" s="1" t="s">
        <v>9</v>
      </c>
      <c r="G1114" s="1" t="s">
        <v>1959</v>
      </c>
      <c r="H1114" s="1" t="s">
        <v>1358</v>
      </c>
      <c r="I1114" s="1" t="s">
        <v>29</v>
      </c>
      <c r="J1114" s="1" t="s">
        <v>2428</v>
      </c>
      <c r="K1114" s="1" t="n">
        <v>64</v>
      </c>
      <c r="L1114" s="11" t="n">
        <v>0.971505597847363</v>
      </c>
      <c r="M1114" s="1" t="n">
        <f aca="false">SUMIF(Relatorio_AK!$A:$A,A1114,Relatorio_AK!$B:$B)</f>
        <v>64</v>
      </c>
      <c r="N1114" s="1" t="str">
        <f aca="false">IF(M1114=K1114,"OK","DIF")</f>
        <v>OK</v>
      </c>
      <c r="O1114" s="13" t="str">
        <f aca="false">IFERROR(VLOOKUP($A1114,Lista_Starke!$A:$E,3,0),"NÃO ESTÁ NA LISTA")</f>
        <v>HYUNDAI: HB20  12/19
HYUNDAI: HB20S  12/19
HYUNDAI: HB20X  12/19</v>
      </c>
      <c r="P1114" s="12" t="str">
        <f aca="false">IFERROR(VLOOKUP($A1114,Lista_Starke!$A:$E,2,0),"NÃO ESTÁ NA LISTA")</f>
        <v>BANDEJA INFERIOR COMPLETA LD</v>
      </c>
    </row>
    <row r="1115" customFormat="false" ht="15" hidden="false" customHeight="true" outlineLevel="0" collapsed="false">
      <c r="A1115" s="10" t="s">
        <v>2429</v>
      </c>
      <c r="B1115" s="10" t="str">
        <f aca="false">IFERROR(VLOOKUP(A1115,Pedido!$A:$B,2,0),"")</f>
        <v/>
      </c>
      <c r="C1115" s="10" t="str">
        <f aca="false">IF(B1115="","NÃO COMPRA","COMPRA")</f>
        <v>NÃO COMPRA</v>
      </c>
      <c r="D1115" s="1" t="n">
        <f aca="false">IFERROR(VLOOKUP(A1115,Pedido!$A:$C,3,0),0)</f>
        <v>0</v>
      </c>
      <c r="E1115" s="5" t="n">
        <f aca="false">IFERROR(VLOOKUP(A1115,Pedido!$A:$E,5,0),0)</f>
        <v>0</v>
      </c>
      <c r="F1115" s="1" t="s">
        <v>9</v>
      </c>
      <c r="G1115" s="1" t="s">
        <v>1336</v>
      </c>
      <c r="H1115" s="1" t="s">
        <v>35</v>
      </c>
      <c r="I1115" s="1" t="s">
        <v>1182</v>
      </c>
      <c r="K1115" s="1" t="n">
        <v>64</v>
      </c>
      <c r="L1115" s="11" t="n">
        <v>0.971615007598849</v>
      </c>
      <c r="M1115" s="1" t="n">
        <f aca="false">SUMIF(Relatorio_AK!$A:$A,A1115,Relatorio_AK!$B:$B)</f>
        <v>64</v>
      </c>
      <c r="N1115" s="1" t="str">
        <f aca="false">IF(M1115=K1115,"OK","DIF")</f>
        <v>OK</v>
      </c>
      <c r="O1115" s="13" t="str">
        <f aca="false">IFERROR(VLOOKUP($A1115,Lista_Starke!$A:$E,3,0),"NÃO ESTÁ NA LISTA")</f>
        <v>KIA: Sorento 3.3 V6 16/18
KIA: Sorento 3.5 V6 19/20</v>
      </c>
      <c r="P1115" s="12" t="str">
        <f aca="false">IFERROR(VLOOKUP($A1115,Lista_Starke!$A:$E,2,0),"NÃO ESTÁ NA LISTA")</f>
        <v>CILINDRO MESTRE DE FREIO</v>
      </c>
    </row>
    <row r="1116" customFormat="false" ht="15" hidden="false" customHeight="true" outlineLevel="0" collapsed="false">
      <c r="A1116" s="10" t="s">
        <v>2430</v>
      </c>
      <c r="B1116" s="10" t="str">
        <f aca="false">IFERROR(VLOOKUP(A1116,Pedido!$A:$B,2,0),"")</f>
        <v/>
      </c>
      <c r="C1116" s="10" t="str">
        <f aca="false">IF(B1116="","NÃO COMPRA","COMPRA")</f>
        <v>NÃO COMPRA</v>
      </c>
      <c r="D1116" s="1" t="n">
        <f aca="false">IFERROR(VLOOKUP(A1116,Pedido!$A:$C,3,0),0)</f>
        <v>0</v>
      </c>
      <c r="E1116" s="5" t="n">
        <f aca="false">IFERROR(VLOOKUP(A1116,Pedido!$A:$E,5,0),0)</f>
        <v>0</v>
      </c>
      <c r="F1116" s="1" t="s">
        <v>9</v>
      </c>
      <c r="G1116" s="1" t="s">
        <v>1336</v>
      </c>
      <c r="H1116" s="1" t="s">
        <v>35</v>
      </c>
      <c r="I1116" s="1" t="s">
        <v>1182</v>
      </c>
      <c r="J1116" s="1" t="s">
        <v>2431</v>
      </c>
      <c r="K1116" s="1" t="n">
        <v>64</v>
      </c>
      <c r="L1116" s="11" t="n">
        <v>0.971724417350335</v>
      </c>
      <c r="M1116" s="1" t="n">
        <f aca="false">SUMIF(Relatorio_AK!$A:$A,A1116,Relatorio_AK!$B:$B)</f>
        <v>64</v>
      </c>
      <c r="N1116" s="1" t="str">
        <f aca="false">IF(M1116=K1116,"OK","DIF")</f>
        <v>OK</v>
      </c>
      <c r="O1116" s="12" t="str">
        <f aca="false">IFERROR(VLOOKUP($A1116,Lista_Starke!$A:$E,3,0),"NÃO ESTÁ NA LISTA")</f>
        <v>KIA: Besta GS 3.0 8V J2 Diesel 98/05</v>
      </c>
      <c r="P1116" s="12" t="str">
        <f aca="false">IFERROR(VLOOKUP($A1116,Lista_Starke!$A:$E,2,0),"NÃO ESTÁ NA LISTA")</f>
        <v>CILINDRO MESTRE DE FREIO</v>
      </c>
    </row>
    <row r="1117" customFormat="false" ht="15" hidden="false" customHeight="true" outlineLevel="0" collapsed="false">
      <c r="A1117" s="10" t="s">
        <v>2432</v>
      </c>
      <c r="B1117" s="10" t="str">
        <f aca="false">IFERROR(VLOOKUP(A1117,Pedido!$A:$B,2,0),"")</f>
        <v>SCA 8060 FR</v>
      </c>
      <c r="C1117" s="10" t="str">
        <f aca="false">IF(B1117="","NÃO COMPRA","COMPRA")</f>
        <v>COMPRA</v>
      </c>
      <c r="D1117" s="1" t="n">
        <f aca="false">IFERROR(VLOOKUP(A1117,Pedido!$A:$C,3,0),0)</f>
        <v>3</v>
      </c>
      <c r="E1117" s="5" t="n">
        <f aca="false">IFERROR(VLOOKUP(A1117,Pedido!$A:$E,5,0),0)</f>
        <v>594</v>
      </c>
      <c r="F1117" s="1" t="s">
        <v>9</v>
      </c>
      <c r="G1117" s="1" t="s">
        <v>1652</v>
      </c>
      <c r="H1117" s="1" t="s">
        <v>1358</v>
      </c>
      <c r="I1117" s="1" t="s">
        <v>97</v>
      </c>
      <c r="J1117" s="1" t="s">
        <v>2433</v>
      </c>
      <c r="K1117" s="1" t="n">
        <v>63</v>
      </c>
      <c r="L1117" s="11" t="n">
        <v>0.971832117574454</v>
      </c>
      <c r="M1117" s="1" t="n">
        <f aca="false">SUMIF(Relatorio_AK!$A:$A,A1117,Relatorio_AK!$B:$B)</f>
        <v>63</v>
      </c>
      <c r="N1117" s="1" t="str">
        <f aca="false">IF(M1117=K1117,"OK","DIF")</f>
        <v>OK</v>
      </c>
      <c r="O1117" s="13" t="str">
        <f aca="false">IFERROR(VLOOKUP($A1117,Lista_Starke!$A:$E,3,0),"NÃO ESTÁ NA LISTA")</f>
        <v>FIAT: Toro 4x4 16/20
JEEP: Compass 4x4 15/20
JEEP: Renegade 4x4 16/20</v>
      </c>
      <c r="P1117" s="12" t="str">
        <f aca="false">IFERROR(VLOOKUP($A1117,Lista_Starke!$A:$E,2,0),"NÃO ESTÁ NA LISTA")</f>
        <v>BANDEJA INFERIOR COMPLETA LD</v>
      </c>
    </row>
    <row r="1118" customFormat="false" ht="15" hidden="false" customHeight="true" outlineLevel="0" collapsed="false">
      <c r="A1118" s="10" t="s">
        <v>2434</v>
      </c>
      <c r="B1118" s="10" t="str">
        <f aca="false">IFERROR(VLOOKUP(A1118,Pedido!$A:$B,2,0),"")</f>
        <v/>
      </c>
      <c r="C1118" s="10" t="str">
        <f aca="false">IF(B1118="","NÃO COMPRA","COMPRA")</f>
        <v>NÃO COMPRA</v>
      </c>
      <c r="D1118" s="1" t="n">
        <f aca="false">IFERROR(VLOOKUP(A1118,Pedido!$A:$C,3,0),0)</f>
        <v>0</v>
      </c>
      <c r="E1118" s="5" t="n">
        <f aca="false">IFERROR(VLOOKUP(A1118,Pedido!$A:$E,5,0),0)</f>
        <v>0</v>
      </c>
      <c r="F1118" s="1" t="s">
        <v>9</v>
      </c>
      <c r="G1118" s="1" t="s">
        <v>2435</v>
      </c>
      <c r="H1118" s="1" t="s">
        <v>35</v>
      </c>
      <c r="I1118" s="1" t="s">
        <v>1568</v>
      </c>
      <c r="K1118" s="1" t="n">
        <v>63</v>
      </c>
      <c r="L1118" s="11" t="n">
        <v>0.971939817798573</v>
      </c>
      <c r="M1118" s="1" t="n">
        <f aca="false">SUMIF(Relatorio_AK!$A:$A,A1118,Relatorio_AK!$B:$B)</f>
        <v>63</v>
      </c>
      <c r="N1118" s="1" t="str">
        <f aca="false">IF(M1118=K1118,"OK","DIF")</f>
        <v>OK</v>
      </c>
      <c r="O1118" s="12" t="str">
        <f aca="false">IFERROR(VLOOKUP($A1118,Lista_Starke!$A:$E,3,0),"NÃO ESTÁ NA LISTA")</f>
        <v>EFFA MOTORS: Start 1.0 8V 06/...</v>
      </c>
      <c r="P1118" s="12" t="str">
        <f aca="false">IFERROR(VLOOKUP($A1118,Lista_Starke!$A:$E,2,0),"NÃO ESTÁ NA LISTA")</f>
        <v>CILINDRO MESTRE DE FREIO</v>
      </c>
    </row>
    <row r="1119" customFormat="false" ht="15" hidden="false" customHeight="true" outlineLevel="0" collapsed="false">
      <c r="A1119" s="10" t="s">
        <v>2436</v>
      </c>
      <c r="B1119" s="10" t="str">
        <f aca="false">IFERROR(VLOOKUP(A1119,Pedido!$A:$B,2,0),"")</f>
        <v/>
      </c>
      <c r="C1119" s="10" t="str">
        <f aca="false">IF(B1119="","NÃO COMPRA","COMPRA")</f>
        <v>NÃO COMPRA</v>
      </c>
      <c r="D1119" s="1" t="n">
        <f aca="false">IFERROR(VLOOKUP(A1119,Pedido!$A:$C,3,0),0)</f>
        <v>0</v>
      </c>
      <c r="E1119" s="5" t="n">
        <f aca="false">IFERROR(VLOOKUP(A1119,Pedido!$A:$E,5,0),0)</f>
        <v>0</v>
      </c>
      <c r="F1119" s="1" t="s">
        <v>9</v>
      </c>
      <c r="G1119" s="1" t="s">
        <v>325</v>
      </c>
      <c r="H1119" s="1" t="s">
        <v>96</v>
      </c>
      <c r="I1119" s="1" t="s">
        <v>53</v>
      </c>
      <c r="J1119" s="1" t="s">
        <v>2437</v>
      </c>
      <c r="K1119" s="1" t="n">
        <v>63</v>
      </c>
      <c r="L1119" s="11" t="n">
        <v>0.972047518022692</v>
      </c>
      <c r="M1119" s="1" t="n">
        <f aca="false">SUMIF(Relatorio_AK!$A:$A,A1119,Relatorio_AK!$B:$B)</f>
        <v>63</v>
      </c>
      <c r="N1119" s="1" t="str">
        <f aca="false">IF(M1119=K1119,"OK","DIF")</f>
        <v>OK</v>
      </c>
      <c r="O1119" s="12" t="str">
        <f aca="false">IFERROR(VLOOKUP($A1119,Lista_Starke!$A:$E,3,0),"NÃO ESTÁ NA LISTA")</f>
        <v>FORD: Transit 2.0 16V Diesel Ecoblue 21/...</v>
      </c>
      <c r="P1119" s="12" t="str">
        <f aca="false">IFERROR(VLOOKUP($A1119,Lista_Starke!$A:$E,2,0),"NÃO ESTÁ NA LISTA")</f>
        <v>BOMBA DE VÁCUO</v>
      </c>
    </row>
    <row r="1120" customFormat="false" ht="15" hidden="false" customHeight="true" outlineLevel="0" collapsed="false">
      <c r="A1120" s="10" t="s">
        <v>2438</v>
      </c>
      <c r="B1120" s="10" t="str">
        <f aca="false">IFERROR(VLOOKUP(A1120,Pedido!$A:$B,2,0),"")</f>
        <v/>
      </c>
      <c r="C1120" s="10" t="str">
        <f aca="false">IF(B1120="","NÃO COMPRA","COMPRA")</f>
        <v>NÃO COMPRA</v>
      </c>
      <c r="D1120" s="1" t="n">
        <f aca="false">IFERROR(VLOOKUP(A1120,Pedido!$A:$C,3,0),0)</f>
        <v>0</v>
      </c>
      <c r="E1120" s="5" t="n">
        <f aca="false">IFERROR(VLOOKUP(A1120,Pedido!$A:$E,5,0),0)</f>
        <v>0</v>
      </c>
      <c r="F1120" s="1" t="s">
        <v>9</v>
      </c>
      <c r="G1120" s="1" t="s">
        <v>2439</v>
      </c>
      <c r="H1120" s="1" t="s">
        <v>1073</v>
      </c>
      <c r="I1120" s="1" t="s">
        <v>709</v>
      </c>
      <c r="J1120" s="1" t="s">
        <v>2440</v>
      </c>
      <c r="K1120" s="1" t="n">
        <v>63</v>
      </c>
      <c r="L1120" s="11" t="n">
        <v>0.972155218246811</v>
      </c>
      <c r="M1120" s="1" t="n">
        <f aca="false">SUMIF(Relatorio_AK!$A:$A,A1120,Relatorio_AK!$B:$B)</f>
        <v>63</v>
      </c>
      <c r="N1120" s="1" t="str">
        <f aca="false">IF(M1120=K1120,"OK","DIF")</f>
        <v>OK</v>
      </c>
      <c r="O1120" s="13" t="str">
        <f aca="false">IFERROR(VLOOKUP($A1120,Lista_Starke!$A:$E,3,0),"NÃO ESTÁ NA LISTA")</f>
        <v>LAND ROVER: Freelander 2 3.2 6 cil. B6324S 06/14
VOLVO: S8 AWD 3.2 6 cil B6324S 07/10
VOLVO: S8 AWD 3.2 6 cil. B6324S5 10/...
VOLVO: S8 AWD 3.2 6 cil. B6324S5 10/12
VOLVO: S8 T6 AWD 3.0 6 cil. B6304T2 07/10
VOLVO: S8 T6 AWD 3.0 6 cil. B6304T4 10/16
VOLVO: XC60 AWD 3.2 6 cil. B6324S 09/10
VOLVO: XC60 AWD 3.2 6 cil. B6324S5 10/15
VOLVO: XC60 T6 AWD 3.0 6 cil B6304T2 08/10
VOLVO: XC60 T6 AWD 3.0 6 cil B6304T4 / B6304T3 14/15
VOLVO: XC60 T6 AWD 3.0 6 cil. B6304T4 10/15
VOLVO: XC70 AWD 3.2 6 cil. B6324S 07/...
VOLVO: XC70 AWD 3.2 6 cil. B6324S5 10/...
VOLVO: XC70 T6 AWD 3.0 6 cil. B6304T2 08/...
VOLVO: XC70 T6 AWD 3.0 6 cil. B6304T4 10/...
VOLVO: XC90 AWD 3.2 6 cil. B6324S 06/10
VOLVO: XC90 AWD 3.2 6 cil. B6324S5 10/12</v>
      </c>
      <c r="P1120" s="12" t="str">
        <f aca="false">IFERROR(VLOOKUP($A1120,Lista_Starke!$A:$E,2,0),"NÃO ESTÁ NA LISTA")</f>
        <v>VÁLVULA TERMOSTÁTICA</v>
      </c>
    </row>
    <row r="1121" customFormat="false" ht="15" hidden="false" customHeight="true" outlineLevel="0" collapsed="false">
      <c r="A1121" s="10" t="s">
        <v>2441</v>
      </c>
      <c r="B1121" s="10" t="str">
        <f aca="false">IFERROR(VLOOKUP(A1121,Pedido!$A:$B,2,0),"")</f>
        <v/>
      </c>
      <c r="C1121" s="10" t="str">
        <f aca="false">IF(B1121="","NÃO COMPRA","COMPRA")</f>
        <v>NÃO COMPRA</v>
      </c>
      <c r="D1121" s="1" t="n">
        <f aca="false">IFERROR(VLOOKUP(A1121,Pedido!$A:$C,3,0),0)</f>
        <v>0</v>
      </c>
      <c r="E1121" s="5" t="n">
        <f aca="false">IFERROR(VLOOKUP(A1121,Pedido!$A:$E,5,0),0)</f>
        <v>0</v>
      </c>
      <c r="F1121" s="1" t="s">
        <v>9</v>
      </c>
      <c r="G1121" s="1" t="s">
        <v>1326</v>
      </c>
      <c r="H1121" s="1" t="s">
        <v>197</v>
      </c>
      <c r="I1121" s="1" t="s">
        <v>177</v>
      </c>
      <c r="J1121" s="1" t="s">
        <v>2442</v>
      </c>
      <c r="K1121" s="1" t="n">
        <v>61</v>
      </c>
      <c r="L1121" s="11" t="n">
        <v>0.972259499416196</v>
      </c>
      <c r="M1121" s="1" t="n">
        <f aca="false">SUMIF(Relatorio_AK!$A:$A,A1121,Relatorio_AK!$B:$B)</f>
        <v>61</v>
      </c>
      <c r="N1121" s="1" t="str">
        <f aca="false">IF(M1121=K1121,"OK","DIF")</f>
        <v>OK</v>
      </c>
      <c r="O1121" s="13" t="str">
        <f aca="false">IFERROR(VLOOKUP($A1121,Lista_Starke!$A:$E,3,0),"NÃO ESTÁ NA LISTA")</f>
        <v>TOYOTA: Corolla 2.0 16V   3ZR FAE 09/…
TOYOTA: RAV 4 2.0 16V   3ZR FAE 09/…
TOYOTA: RAV 4 2.0 16V   3ZR FAE 12/…</v>
      </c>
      <c r="P1121" s="12" t="str">
        <f aca="false">IFERROR(VLOOKUP($A1121,Lista_Starke!$A:$E,2,0),"NÃO ESTÁ NA LISTA")</f>
        <v>BOMBA D'ÁGUA</v>
      </c>
    </row>
    <row r="1122" customFormat="false" ht="15" hidden="false" customHeight="true" outlineLevel="0" collapsed="false">
      <c r="A1122" s="10" t="s">
        <v>2443</v>
      </c>
      <c r="B1122" s="10" t="str">
        <f aca="false">IFERROR(VLOOKUP(A1122,Pedido!$A:$B,2,0),"")</f>
        <v/>
      </c>
      <c r="C1122" s="10" t="str">
        <f aca="false">IF(B1122="","NÃO COMPRA","COMPRA")</f>
        <v>NÃO COMPRA</v>
      </c>
      <c r="D1122" s="1" t="n">
        <f aca="false">IFERROR(VLOOKUP(A1122,Pedido!$A:$C,3,0),0)</f>
        <v>0</v>
      </c>
      <c r="E1122" s="5" t="n">
        <f aca="false">IFERROR(VLOOKUP(A1122,Pedido!$A:$E,5,0),0)</f>
        <v>0</v>
      </c>
      <c r="F1122" s="1" t="s">
        <v>9</v>
      </c>
      <c r="G1122" s="1" t="s">
        <v>1600</v>
      </c>
      <c r="H1122" s="1" t="s">
        <v>126</v>
      </c>
      <c r="I1122" s="1" t="s">
        <v>1157</v>
      </c>
      <c r="J1122" s="1" t="s">
        <v>2444</v>
      </c>
      <c r="K1122" s="1" t="n">
        <v>61</v>
      </c>
      <c r="L1122" s="11" t="n">
        <v>0.972363780585581</v>
      </c>
      <c r="M1122" s="1" t="n">
        <f aca="false">SUMIF(Relatorio_AK!$A:$A,A1122,Relatorio_AK!$B:$B)</f>
        <v>61</v>
      </c>
      <c r="N1122" s="1" t="str">
        <f aca="false">IF(M1122=K1122,"OK","DIF")</f>
        <v>OK</v>
      </c>
      <c r="O1122" s="13" t="str">
        <f aca="false">IFERROR(VLOOKUP($A1122,Lista_Starke!$A:$E,3,0),"NÃO ESTÁ NA LISTA")</f>
        <v>BMW: 125 (F21) 2.0 16V N20B20A 13/...
BMW: 125i (F20) 2.0 16V N20B20A 12/17
BMW: 125i (F21) 2.0 16V N20B20A 11/19
BMW: 220i (F22) 2.0 16V N20B20A / N20B20B 13/21
BMW: 228i (F22) 2.0 16V N20B20A / N26B20B 14/16
BMW: 320i (F30/F80) 2.0 16V N20B20A / N20B20B / N20B20D 12/18
BMW: 420i (F32/F82) 2.0 16V N20B20A / N20B20B 13/17
BMW: 520i (F10) 2.0 16V N20B20A / N20B20B 11/16
BMW: X1 (E84) sDrive 16i 1.6 16V N20B16A 13/15
BMW: X1 (E84) sDrive 20i 2.0 16V N20B20A 11/15
BMW: X1 (E84) xDrive 20i 2.0 16V N20B20A 11/15
BMW: X3 (F25) sDrive 20i 1.6 16V N20B16A 14/17
BMW: X3 (F25) xDrive 20i 2.0 16V N20B20A 11/17
BMW: X3 (F25) xDrive 20i 2.0 16V N20B20A 14/17
BMW: X4 (F26) xDrive 20i 2.0 16V N20B20A 14/18
BMW: Z4 (E89) sDrive 18i 2.0 16V N20B20A 13/16
BMW: Z4 (E89) sDrive 20i 2.0 16V N20B20A 11/16</v>
      </c>
      <c r="P1122" s="12" t="str">
        <f aca="false">IFERROR(VLOOKUP($A1122,Lista_Starke!$A:$E,2,0),"NÃO ESTÁ NA LISTA")</f>
        <v>RESFRIADOR DE ÓLEO CÂMBIO</v>
      </c>
    </row>
    <row r="1123" customFormat="false" ht="15" hidden="false" customHeight="true" outlineLevel="0" collapsed="false">
      <c r="A1123" s="10" t="s">
        <v>2445</v>
      </c>
      <c r="B1123" s="10" t="str">
        <f aca="false">IFERROR(VLOOKUP(A1123,Pedido!$A:$B,2,0),"")</f>
        <v/>
      </c>
      <c r="C1123" s="10" t="str">
        <f aca="false">IF(B1123="","NÃO COMPRA","COMPRA")</f>
        <v>NÃO COMPRA</v>
      </c>
      <c r="D1123" s="1" t="n">
        <f aca="false">IFERROR(VLOOKUP(A1123,Pedido!$A:$C,3,0),0)</f>
        <v>0</v>
      </c>
      <c r="E1123" s="5" t="n">
        <f aca="false">IFERROR(VLOOKUP(A1123,Pedido!$A:$E,5,0),0)</f>
        <v>0</v>
      </c>
      <c r="F1123" s="1" t="s">
        <v>9</v>
      </c>
      <c r="G1123" s="1" t="s">
        <v>2026</v>
      </c>
      <c r="H1123" s="1" t="s">
        <v>1073</v>
      </c>
      <c r="I1123" s="1" t="s">
        <v>1157</v>
      </c>
      <c r="J1123" s="1" t="s">
        <v>2446</v>
      </c>
      <c r="K1123" s="1" t="n">
        <v>61</v>
      </c>
      <c r="L1123" s="11" t="n">
        <v>0.972468061754966</v>
      </c>
      <c r="M1123" s="1" t="n">
        <f aca="false">SUMIF(Relatorio_AK!$A:$A,A1123,Relatorio_AK!$B:$B)</f>
        <v>61</v>
      </c>
      <c r="N1123" s="1" t="str">
        <f aca="false">IF(M1123=K1123,"OK","DIF")</f>
        <v>OK</v>
      </c>
      <c r="O1123" s="13" t="str">
        <f aca="false">IFERROR(VLOOKUP($A1123,Lista_Starke!$A:$E,3,0),"NÃO ESTÁ NA LISTA")</f>
        <v>BMW: 116i (F20/F21) 1.5 3 cil. B38B15A 15/19
BMW: 118i (F20/F21) 1.5 3 cil. B38B15A 15/19
BMW: 120i (F20/F21) 2.0 B48B20A 16/19
BMW: 125i (F20/F21) 2.0 B48B20B 16/19
BMW: 320i (F30/F80) 2.0 B48B20A 15/18
BMW: 320i (F31) 2.0 B48B20A 15/19
BMW: 320i (F34) 2.0 B48B20A 16/...
BMW: 320i (G20/G28/G80) 1.6 B48B16A 19/...
BMW: 330i (F30/F80) 2.0 B48B20B / B46B20B 15/18
BMW: 330i (F31) 2.0 B48B20A 15/19
BMW: 330i (F34) 2.0 B48B20B 16/...
BMW: X3 (G01/G08/F97) 1.6 B48B16A 17/...
BMW: X3 (G01/G08/F97) 2.0 B48B20A 17/...
BMW: X4 (G02/F98) 2.0 B48B20A / B46B20B 18/...</v>
      </c>
      <c r="P1123" s="12" t="str">
        <f aca="false">IFERROR(VLOOKUP($A1123,Lista_Starke!$A:$E,2,0),"NÃO ESTÁ NA LISTA")</f>
        <v>VÁLVULA TERMOSTÁTICA</v>
      </c>
    </row>
    <row r="1124" customFormat="false" ht="15" hidden="false" customHeight="true" outlineLevel="0" collapsed="false">
      <c r="A1124" s="10" t="s">
        <v>2447</v>
      </c>
      <c r="B1124" s="10" t="str">
        <f aca="false">IFERROR(VLOOKUP(A1124,Pedido!$A:$B,2,0),"")</f>
        <v/>
      </c>
      <c r="C1124" s="10" t="str">
        <f aca="false">IF(B1124="","NÃO COMPRA","COMPRA")</f>
        <v>NÃO COMPRA</v>
      </c>
      <c r="D1124" s="1" t="n">
        <f aca="false">IFERROR(VLOOKUP(A1124,Pedido!$A:$C,3,0),0)</f>
        <v>0</v>
      </c>
      <c r="E1124" s="5" t="n">
        <f aca="false">IFERROR(VLOOKUP(A1124,Pedido!$A:$E,5,0),0)</f>
        <v>0</v>
      </c>
      <c r="F1124" s="1" t="s">
        <v>9</v>
      </c>
      <c r="G1124" s="1" t="s">
        <v>264</v>
      </c>
      <c r="H1124" s="1" t="s">
        <v>88</v>
      </c>
      <c r="I1124" s="1" t="s">
        <v>53</v>
      </c>
      <c r="J1124" s="1" t="s">
        <v>2448</v>
      </c>
      <c r="K1124" s="1" t="n">
        <v>61</v>
      </c>
      <c r="L1124" s="11" t="n">
        <v>0.972572342924351</v>
      </c>
      <c r="M1124" s="1" t="n">
        <f aca="false">SUMIF(Relatorio_AK!$A:$A,A1124,Relatorio_AK!$B:$B)</f>
        <v>61</v>
      </c>
      <c r="N1124" s="1" t="str">
        <f aca="false">IF(M1124=K1124,"OK","DIF")</f>
        <v>OK</v>
      </c>
      <c r="O1124" s="13" t="str">
        <f aca="false">IFERROR(VLOOKUP($A1124,Lista_Starke!$A:$E,3,0),"NÃO ESTÁ NA LISTA")</f>
        <v>FORD: Escort 1.6 8V CHT 93/96
FORD: Escort 1.8 8V AP 92/96
FORD: Escort Hobby 1.0 8V CHT 93/96
FORD: Fiesta 1.4 16V Zetec 96/99
FORD: Fiesta 1.6 8V Zetec Rocam 99/04
FORD: Focus 1.6 8V Zetec Rocam 03/09
FORD: Ka 1.6 8V Zetec Rocam 01/14</v>
      </c>
      <c r="P1124" s="12" t="str">
        <f aca="false">IFERROR(VLOOKUP($A1124,Lista_Starke!$A:$E,2,0),"NÃO ESTÁ NA LISTA")</f>
        <v>CILINDRO DE RODA LE/LD</v>
      </c>
    </row>
    <row r="1125" customFormat="false" ht="15" hidden="false" customHeight="true" outlineLevel="0" collapsed="false">
      <c r="A1125" s="10" t="s">
        <v>2449</v>
      </c>
      <c r="B1125" s="10" t="str">
        <f aca="false">IFERROR(VLOOKUP(A1125,Pedido!$A:$B,2,0),"")</f>
        <v/>
      </c>
      <c r="C1125" s="10" t="str">
        <f aca="false">IF(B1125="","NÃO COMPRA","COMPRA")</f>
        <v>NÃO COMPRA</v>
      </c>
      <c r="D1125" s="1" t="n">
        <f aca="false">IFERROR(VLOOKUP(A1125,Pedido!$A:$C,3,0),0)</f>
        <v>0</v>
      </c>
      <c r="E1125" s="5" t="n">
        <f aca="false">IFERROR(VLOOKUP(A1125,Pedido!$A:$E,5,0),0)</f>
        <v>0</v>
      </c>
      <c r="F1125" s="1" t="s">
        <v>9</v>
      </c>
      <c r="G1125" s="1" t="s">
        <v>1357</v>
      </c>
      <c r="H1125" s="1" t="s">
        <v>1358</v>
      </c>
      <c r="I1125" s="1" t="s">
        <v>42</v>
      </c>
      <c r="J1125" s="1" t="s">
        <v>2450</v>
      </c>
      <c r="K1125" s="1" t="n">
        <v>60</v>
      </c>
      <c r="L1125" s="11" t="n">
        <v>0.97267491456637</v>
      </c>
      <c r="M1125" s="1" t="n">
        <f aca="false">SUMIF(Relatorio_AK!$A:$A,A1125,Relatorio_AK!$B:$B)</f>
        <v>60</v>
      </c>
      <c r="N1125" s="1" t="str">
        <f aca="false">IF(M1125=K1125,"OK","DIF")</f>
        <v>OK</v>
      </c>
      <c r="O1125" s="13" t="str">
        <f aca="false">IFERROR(VLOOKUP($A1125,Lista_Starke!$A:$E,3,0),"NÃO ESTÁ NA LISTA")</f>
        <v>RENAULT: Captur  17/21
RENAULT: Captur  21/...
RENAULT: Duster  22/...</v>
      </c>
      <c r="P1125" s="12" t="str">
        <f aca="false">IFERROR(VLOOKUP($A1125,Lista_Starke!$A:$E,2,0),"NÃO ESTÁ NA LISTA")</f>
        <v>BANDEJA INFERIOR COMPLETA LD</v>
      </c>
    </row>
    <row r="1126" customFormat="false" ht="15" hidden="false" customHeight="true" outlineLevel="0" collapsed="false">
      <c r="A1126" s="10" t="s">
        <v>2451</v>
      </c>
      <c r="B1126" s="10" t="str">
        <f aca="false">IFERROR(VLOOKUP(A1126,Pedido!$A:$B,2,0),"")</f>
        <v/>
      </c>
      <c r="C1126" s="10" t="str">
        <f aca="false">IF(B1126="","NÃO COMPRA","COMPRA")</f>
        <v>NÃO COMPRA</v>
      </c>
      <c r="D1126" s="1" t="n">
        <f aca="false">IFERROR(VLOOKUP(A1126,Pedido!$A:$C,3,0),0)</f>
        <v>0</v>
      </c>
      <c r="E1126" s="5" t="n">
        <f aca="false">IFERROR(VLOOKUP(A1126,Pedido!$A:$E,5,0),0)</f>
        <v>0</v>
      </c>
      <c r="F1126" s="1" t="s">
        <v>9</v>
      </c>
      <c r="G1126" s="1" t="s">
        <v>826</v>
      </c>
      <c r="H1126" s="1" t="s">
        <v>906</v>
      </c>
      <c r="I1126" s="1" t="s">
        <v>1157</v>
      </c>
      <c r="J1126" s="1" t="s">
        <v>2452</v>
      </c>
      <c r="K1126" s="1" t="n">
        <v>60</v>
      </c>
      <c r="L1126" s="11" t="n">
        <v>0.972777486208388</v>
      </c>
      <c r="M1126" s="1" t="n">
        <f aca="false">SUMIF(Relatorio_AK!$A:$A,A1126,Relatorio_AK!$B:$B)</f>
        <v>60</v>
      </c>
      <c r="N1126" s="1" t="str">
        <f aca="false">IF(M1126=K1126,"OK","DIF")</f>
        <v>OK</v>
      </c>
      <c r="O1126" s="13" t="str">
        <f aca="false">IFERROR(VLOOKUP($A1126,Lista_Starke!$A:$E,3,0),"NÃO ESTÁ NA LISTA")</f>
        <v>BMW: 116i (F20/F21) 1.6 16V N13B16A 11/15
BMW: 118i (F20) 1.6 16V N13B16A 11/15
BMW: 118i (F21) 1.6 16V N13B16A 12/19
BMW: 120i (F20) 1.6 16V N13B16A 15/16
BMW: 120i (F21) 1.6 16V N13B16A 15/19
BMW: 320i (F30/F80) 1.6 16V N13B16A 12/16</v>
      </c>
      <c r="P1126" s="12" t="str">
        <f aca="false">IFERROR(VLOOKUP($A1126,Lista_Starke!$A:$E,2,0),"NÃO ESTÁ NA LISTA")</f>
        <v>BOMBA D´ÁGUA AUXILIAR</v>
      </c>
    </row>
    <row r="1127" customFormat="false" ht="15" hidden="false" customHeight="true" outlineLevel="0" collapsed="false">
      <c r="A1127" s="10" t="s">
        <v>2453</v>
      </c>
      <c r="B1127" s="10" t="str">
        <f aca="false">IFERROR(VLOOKUP(A1127,Pedido!$A:$B,2,0),"")</f>
        <v/>
      </c>
      <c r="C1127" s="10" t="str">
        <f aca="false">IF(B1127="","NÃO COMPRA","COMPRA")</f>
        <v>NÃO COMPRA</v>
      </c>
      <c r="D1127" s="1" t="n">
        <f aca="false">IFERROR(VLOOKUP(A1127,Pedido!$A:$C,3,0),0)</f>
        <v>0</v>
      </c>
      <c r="E1127" s="5" t="n">
        <f aca="false">IFERROR(VLOOKUP(A1127,Pedido!$A:$E,5,0),0)</f>
        <v>0</v>
      </c>
      <c r="F1127" s="1" t="s">
        <v>9</v>
      </c>
      <c r="G1127" s="1" t="s">
        <v>207</v>
      </c>
      <c r="H1127" s="1" t="s">
        <v>197</v>
      </c>
      <c r="I1127" s="1" t="s">
        <v>42</v>
      </c>
      <c r="J1127" s="1" t="s">
        <v>2454</v>
      </c>
      <c r="K1127" s="1" t="n">
        <v>60</v>
      </c>
      <c r="L1127" s="11" t="n">
        <v>0.972880057850406</v>
      </c>
      <c r="M1127" s="1" t="n">
        <f aca="false">SUMIF(Relatorio_AK!$A:$A,A1127,Relatorio_AK!$B:$B)</f>
        <v>60</v>
      </c>
      <c r="N1127" s="1" t="str">
        <f aca="false">IF(M1127=K1127,"OK","DIF")</f>
        <v>OK</v>
      </c>
      <c r="O1127" s="13" t="str">
        <f aca="false">IFERROR(VLOOKUP($A1127,Lista_Starke!$A:$E,3,0),"NÃO ESTÁ NA LISTA")</f>
        <v>RENAULT: Clio 1.0 - ar condicionado 94/97
RENAULT: Clio 1.6 - ar condicionado 90/…
RENAULT: R19 1.6 - ar condicionado 94/97
RENAULT: R21 1.4 - ar condicionado 90/…
RENAULT: Twingo 1.6 - ar condicionado 90/…</v>
      </c>
      <c r="P1127" s="12" t="str">
        <f aca="false">IFERROR(VLOOKUP($A1127,Lista_Starke!$A:$E,2,0),"NÃO ESTÁ NA LISTA")</f>
        <v>BOMBA D'ÁGUA</v>
      </c>
    </row>
    <row r="1128" customFormat="false" ht="15" hidden="false" customHeight="true" outlineLevel="0" collapsed="false">
      <c r="A1128" s="10" t="s">
        <v>2455</v>
      </c>
      <c r="B1128" s="10" t="str">
        <f aca="false">IFERROR(VLOOKUP(A1128,Pedido!$A:$B,2,0),"")</f>
        <v/>
      </c>
      <c r="C1128" s="10" t="str">
        <f aca="false">IF(B1128="","NÃO COMPRA","COMPRA")</f>
        <v>NÃO COMPRA</v>
      </c>
      <c r="D1128" s="1" t="n">
        <f aca="false">IFERROR(VLOOKUP(A1128,Pedido!$A:$C,3,0),0)</f>
        <v>0</v>
      </c>
      <c r="E1128" s="5" t="n">
        <f aca="false">IFERROR(VLOOKUP(A1128,Pedido!$A:$E,5,0),0)</f>
        <v>0</v>
      </c>
      <c r="F1128" s="1" t="s">
        <v>9</v>
      </c>
      <c r="G1128" s="1" t="s">
        <v>2026</v>
      </c>
      <c r="H1128" s="1" t="s">
        <v>1073</v>
      </c>
      <c r="I1128" s="1" t="s">
        <v>1157</v>
      </c>
      <c r="J1128" s="1" t="s">
        <v>2456</v>
      </c>
      <c r="K1128" s="1" t="n">
        <v>60</v>
      </c>
      <c r="L1128" s="11" t="n">
        <v>0.972982629492424</v>
      </c>
      <c r="M1128" s="1" t="n">
        <f aca="false">SUMIF(Relatorio_AK!$A:$A,A1128,Relatorio_AK!$B:$B)</f>
        <v>60</v>
      </c>
      <c r="N1128" s="1" t="str">
        <f aca="false">IF(M1128=K1128,"OK","DIF")</f>
        <v>OK</v>
      </c>
      <c r="O1128" s="13" t="str">
        <f aca="false">IFERROR(VLOOKUP($A1128,Lista_Starke!$A:$E,3,0),"NÃO ESTÁ NA LISTA")</f>
        <v>BMW: 125i (F20/F21) 2.0 16V N20B20A 11/19
BMW: 320i (F30/F80) 2.0 16V N20B20A / N20B20B 12/18
BMW: 328i (F30/F80) 2.0 16V N20B20A 11/18
BMW: X1 (E84) sDrive16i 1.6 16V N20B16A 13/15
BMW: X1 (E84) sDrive20i 2.0 16V N20B20A 11/15
BMW: X1 (E84) xDrive20i 2.0 16V N20B20A 11/15
BMW: X1 (E84) xDrive28i 2.0 16V N20B20A 11/15
BMW: X3 (F25) sDrive20i 1.6 16V N20B16A 14/18
BMW: X3 (F25) sDrive20i 2.0 16V N20B20A 14/17
BMW: X3 (F25) xDrive20i 2.0 16V N20B20A 11/17
BMW: X3 (F25) xDrive28i 2.0 16V N20B20A 12/17
BMW: X4 (F26) xDrive20i 2.0 16V N20B20A 14/18
BMW: X4 (F26) xDrive28i 2.0 16V N20B20A 14/18
BMW: X5 (F15/F85) xDrive28i 2.0 16V N20B20A 15/18
BMW: Z4 (E89) 2.0 16V N20B20A 11/16</v>
      </c>
      <c r="P1128" s="12" t="str">
        <f aca="false">IFERROR(VLOOKUP($A1128,Lista_Starke!$A:$E,2,0),"NÃO ESTÁ NA LISTA")</f>
        <v>VÁLVULA TERMOSTÁTICA</v>
      </c>
    </row>
    <row r="1129" customFormat="false" ht="15" hidden="false" customHeight="true" outlineLevel="0" collapsed="false">
      <c r="A1129" s="10" t="s">
        <v>2457</v>
      </c>
      <c r="B1129" s="10" t="str">
        <f aca="false">IFERROR(VLOOKUP(A1129,Pedido!$A:$B,2,0),"")</f>
        <v/>
      </c>
      <c r="C1129" s="10" t="str">
        <f aca="false">IF(B1129="","NÃO COMPRA","COMPRA")</f>
        <v>NÃO COMPRA</v>
      </c>
      <c r="D1129" s="1" t="n">
        <f aca="false">IFERROR(VLOOKUP(A1129,Pedido!$A:$C,3,0),0)</f>
        <v>0</v>
      </c>
      <c r="E1129" s="5" t="n">
        <f aca="false">IFERROR(VLOOKUP(A1129,Pedido!$A:$E,5,0),0)</f>
        <v>0</v>
      </c>
      <c r="F1129" s="1" t="s">
        <v>9</v>
      </c>
      <c r="G1129" s="1" t="s">
        <v>2458</v>
      </c>
      <c r="H1129" s="1" t="s">
        <v>1073</v>
      </c>
      <c r="I1129" s="1" t="s">
        <v>938</v>
      </c>
      <c r="J1129" s="1" t="s">
        <v>2459</v>
      </c>
      <c r="K1129" s="1" t="n">
        <v>60</v>
      </c>
      <c r="L1129" s="11" t="n">
        <v>0.973085201134442</v>
      </c>
      <c r="M1129" s="1" t="n">
        <f aca="false">SUMIF(Relatorio_AK!$A:$A,A1129,Relatorio_AK!$B:$B)</f>
        <v>60</v>
      </c>
      <c r="N1129" s="1" t="str">
        <f aca="false">IF(M1129=K1129,"OK","DIF")</f>
        <v>OK</v>
      </c>
      <c r="O1129" s="13" t="str">
        <f aca="false">IFERROR(VLOOKUP($A1129,Lista_Starke!$A:$E,3,0),"NÃO ESTÁ NA LISTA")</f>
        <v>JAGUAR: F-Pace 2.0 16V SD4 204DTD(AJ20D4) 17/...
LAND ROVER: Discovery Sport 2.0 16V SD4 204DTD(AJ20D4) 15/21
LAND ROVER: Evoque 2.0 16V SD4 Diesel 204DTD(AJ20D4) 15/21
LAND ROVER: Velar 2.0 16V TD4 204DTD(AJ20D4) 17/...</v>
      </c>
      <c r="P1129" s="12" t="str">
        <f aca="false">IFERROR(VLOOKUP($A1129,Lista_Starke!$A:$E,2,0),"NÃO ESTÁ NA LISTA")</f>
        <v>VÁLVULA TERMOSTÁTICA</v>
      </c>
    </row>
    <row r="1130" customFormat="false" ht="15" hidden="false" customHeight="true" outlineLevel="0" collapsed="false">
      <c r="A1130" s="10" t="s">
        <v>2460</v>
      </c>
      <c r="B1130" s="10" t="str">
        <f aca="false">IFERROR(VLOOKUP(A1130,Pedido!$A:$B,2,0),"")</f>
        <v/>
      </c>
      <c r="C1130" s="10" t="str">
        <f aca="false">IF(B1130="","NÃO COMPRA","COMPRA")</f>
        <v>NÃO COMPRA</v>
      </c>
      <c r="D1130" s="1" t="n">
        <f aca="false">IFERROR(VLOOKUP(A1130,Pedido!$A:$C,3,0),0)</f>
        <v>0</v>
      </c>
      <c r="E1130" s="5" t="n">
        <f aca="false">IFERROR(VLOOKUP(A1130,Pedido!$A:$E,5,0),0)</f>
        <v>0</v>
      </c>
      <c r="F1130" s="1" t="s">
        <v>9</v>
      </c>
      <c r="G1130" s="1" t="s">
        <v>2458</v>
      </c>
      <c r="H1130" s="1" t="s">
        <v>1073</v>
      </c>
      <c r="I1130" s="1" t="s">
        <v>684</v>
      </c>
      <c r="J1130" s="1" t="s">
        <v>2461</v>
      </c>
      <c r="K1130" s="1" t="n">
        <v>60</v>
      </c>
      <c r="L1130" s="11" t="n">
        <v>0.97318777277646</v>
      </c>
      <c r="M1130" s="1" t="n">
        <f aca="false">SUMIF(Relatorio_AK!$A:$A,A1130,Relatorio_AK!$B:$B)</f>
        <v>60</v>
      </c>
      <c r="N1130" s="1" t="str">
        <f aca="false">IF(M1130=K1130,"OK","DIF")</f>
        <v>OK</v>
      </c>
      <c r="O1130" s="13" t="str">
        <f aca="false">IFERROR(VLOOKUP($A1130,Lista_Starke!$A:$E,3,0),"NÃO ESTÁ NA LISTA")</f>
        <v>LAND ROVER: Discovery III 2.7 V6 TD   276DT 04/09
LAND ROVER: Discovery IV 2.7 V6 TD   276DT 09/16
LAND ROVER: Discovery IV 3.0 V6 TD 4x4   306DT / 30DDTX 09/18
LAND ROVER: Range Rover Sport 2.7 TD 4x4  276DT 05/13
LAND ROVER: Range Rover Sport 3.0 D 4x4 306DT 10/18</v>
      </c>
      <c r="P1130" s="12" t="str">
        <f aca="false">IFERROR(VLOOKUP($A1130,Lista_Starke!$A:$E,2,0),"NÃO ESTÁ NA LISTA")</f>
        <v>VÁLVULA TERMOSTÁTICA</v>
      </c>
    </row>
    <row r="1131" customFormat="false" ht="15" hidden="false" customHeight="true" outlineLevel="0" collapsed="false">
      <c r="A1131" s="10" t="s">
        <v>2462</v>
      </c>
      <c r="B1131" s="10" t="str">
        <f aca="false">IFERROR(VLOOKUP(A1131,Pedido!$A:$B,2,0),"")</f>
        <v/>
      </c>
      <c r="C1131" s="10" t="str">
        <f aca="false">IF(B1131="","NÃO COMPRA","COMPRA")</f>
        <v>NÃO COMPRA</v>
      </c>
      <c r="D1131" s="1" t="n">
        <f aca="false">IFERROR(VLOOKUP(A1131,Pedido!$A:$C,3,0),0)</f>
        <v>0</v>
      </c>
      <c r="E1131" s="5" t="n">
        <f aca="false">IFERROR(VLOOKUP(A1131,Pedido!$A:$E,5,0),0)</f>
        <v>0</v>
      </c>
      <c r="F1131" s="1" t="s">
        <v>9</v>
      </c>
      <c r="G1131" s="1" t="s">
        <v>214</v>
      </c>
      <c r="H1131" s="1" t="s">
        <v>35</v>
      </c>
      <c r="I1131" s="1" t="s">
        <v>215</v>
      </c>
      <c r="J1131" s="1" t="s">
        <v>2463</v>
      </c>
      <c r="K1131" s="1" t="n">
        <v>60</v>
      </c>
      <c r="L1131" s="11" t="n">
        <v>0.973290344418478</v>
      </c>
      <c r="M1131" s="1" t="n">
        <f aca="false">SUMIF(Relatorio_AK!$A:$A,A1131,Relatorio_AK!$B:$B)</f>
        <v>60</v>
      </c>
      <c r="N1131" s="1" t="str">
        <f aca="false">IF(M1131=K1131,"OK","DIF")</f>
        <v>OK</v>
      </c>
      <c r="O1131" s="12" t="str">
        <f aca="false">IFERROR(VLOOKUP($A1131,Lista_Starke!$A:$E,3,0),"NÃO ESTÁ NA LISTA")</f>
        <v>NISSAN: Frontier 2.3 16V 18/...</v>
      </c>
      <c r="P1131" s="12" t="str">
        <f aca="false">IFERROR(VLOOKUP($A1131,Lista_Starke!$A:$E,2,0),"NÃO ESTÁ NA LISTA")</f>
        <v>CILINDRO MESTRE DE FREIO</v>
      </c>
    </row>
    <row r="1132" customFormat="false" ht="15" hidden="false" customHeight="true" outlineLevel="0" collapsed="false">
      <c r="A1132" s="10" t="s">
        <v>2464</v>
      </c>
      <c r="B1132" s="10" t="str">
        <f aca="false">IFERROR(VLOOKUP(A1132,Pedido!$A:$B,2,0),"")</f>
        <v/>
      </c>
      <c r="C1132" s="10" t="str">
        <f aca="false">IF(B1132="","NÃO COMPRA","COMPRA")</f>
        <v>NÃO COMPRA</v>
      </c>
      <c r="D1132" s="1" t="n">
        <f aca="false">IFERROR(VLOOKUP(A1132,Pedido!$A:$C,3,0),0)</f>
        <v>0</v>
      </c>
      <c r="E1132" s="5" t="n">
        <f aca="false">IFERROR(VLOOKUP(A1132,Pedido!$A:$E,5,0),0)</f>
        <v>0</v>
      </c>
      <c r="F1132" s="1" t="s">
        <v>9</v>
      </c>
      <c r="G1132" s="1" t="s">
        <v>2465</v>
      </c>
      <c r="H1132" s="1" t="s">
        <v>2466</v>
      </c>
      <c r="I1132" s="1" t="s">
        <v>177</v>
      </c>
      <c r="J1132" s="1" t="s">
        <v>2467</v>
      </c>
      <c r="K1132" s="1" t="n">
        <v>60</v>
      </c>
      <c r="L1132" s="11" t="n">
        <v>0.973392916060496</v>
      </c>
      <c r="M1132" s="1" t="n">
        <f aca="false">SUMIF(Relatorio_AK!$A:$A,A1132,Relatorio_AK!$B:$B)</f>
        <v>60</v>
      </c>
      <c r="N1132" s="1" t="str">
        <f aca="false">IF(M1132=K1132,"OK","DIF")</f>
        <v>OK</v>
      </c>
      <c r="O1132" s="13" t="str">
        <f aca="false">IFERROR(VLOOKUP($A1132,Lista_Starke!$A:$E,3,0),"NÃO ESTÁ NA LISTA")</f>
        <v>TOYOTA: Hilux 2.5 Turbo Diesel 2KD 05/15
TOYOTA: Hilux 3.0 Turbo Diesel 1KD 05/15
TOYOTA: SW4 3.0 Turbo Diesel 1KD 05/15</v>
      </c>
      <c r="P1132" s="12" t="str">
        <f aca="false">IFERROR(VLOOKUP($A1132,Lista_Starke!$A:$E,2,0),"NÃO ESTÁ NA LISTA")</f>
        <v>SERVO FREIO</v>
      </c>
    </row>
    <row r="1133" customFormat="false" ht="15" hidden="false" customHeight="true" outlineLevel="0" collapsed="false">
      <c r="A1133" s="10" t="s">
        <v>2468</v>
      </c>
      <c r="B1133" s="10" t="str">
        <f aca="false">IFERROR(VLOOKUP(A1133,Pedido!$A:$B,2,0),"")</f>
        <v/>
      </c>
      <c r="C1133" s="10" t="str">
        <f aca="false">IF(B1133="","NÃO COMPRA","COMPRA")</f>
        <v>NÃO COMPRA</v>
      </c>
      <c r="D1133" s="1" t="n">
        <f aca="false">IFERROR(VLOOKUP(A1133,Pedido!$A:$C,3,0),0)</f>
        <v>0</v>
      </c>
      <c r="E1133" s="5" t="n">
        <f aca="false">IFERROR(VLOOKUP(A1133,Pedido!$A:$E,5,0),0)</f>
        <v>0</v>
      </c>
      <c r="F1133" s="1" t="s">
        <v>9</v>
      </c>
      <c r="G1133" s="1" t="s">
        <v>2469</v>
      </c>
      <c r="H1133" s="1" t="s">
        <v>2466</v>
      </c>
      <c r="I1133" s="1" t="s">
        <v>479</v>
      </c>
      <c r="J1133" s="1" t="s">
        <v>2470</v>
      </c>
      <c r="K1133" s="1" t="n">
        <v>60</v>
      </c>
      <c r="L1133" s="11" t="n">
        <v>0.973495487702514</v>
      </c>
      <c r="M1133" s="1" t="n">
        <f aca="false">SUMIF(Relatorio_AK!$A:$A,A1133,Relatorio_AK!$B:$B)</f>
        <v>60</v>
      </c>
      <c r="N1133" s="1" t="str">
        <f aca="false">IF(M1133=K1133,"OK","DIF")</f>
        <v>OK</v>
      </c>
      <c r="O1133" s="13" t="str">
        <f aca="false">IFERROR(VLOOKUP($A1133,Lista_Starke!$A:$E,3,0),"NÃO ESTÁ NA LISTA")</f>
        <v>GM: Blazer 2.2 EFI 95/98
GM: Blazer 2.2 MPFI 97/00
GM: Blazer 2.4 MPFI 00/12
GM: Blazer 2.5 Diesel 4x4 97/00
GM: Blazer 2.8 Diesel 00/12
GM: Blazer 4.3 V6 MPFI 96/03
GM: S10 2.2 EFI 95/97
GM: S10 2.2 MPFI 97/00
GM: S10 2.4 MPFI 00/12
GM: S10 2.8 Diesel 4x4 00/12
GM: S10 4.3 V6 96/03
TROLLER: T4 2.8 Turbo Diesel NGD 01/05
TROLLER: T4 3.0 Turbo Diesel NGD 99/...
TROLLER: T4 3.2 20V Turbo Diesel 14/...</v>
      </c>
      <c r="P1133" s="12" t="str">
        <f aca="false">IFERROR(VLOOKUP($A1133,Lista_Starke!$A:$E,2,0),"NÃO ESTÁ NA LISTA")</f>
        <v>SERVO FREIO</v>
      </c>
    </row>
    <row r="1134" customFormat="false" ht="15" hidden="false" customHeight="true" outlineLevel="0" collapsed="false">
      <c r="A1134" s="10" t="s">
        <v>2471</v>
      </c>
      <c r="B1134" s="10" t="str">
        <f aca="false">IFERROR(VLOOKUP(A1134,Pedido!$A:$B,2,0),"")</f>
        <v/>
      </c>
      <c r="C1134" s="10" t="str">
        <f aca="false">IF(B1134="","NÃO COMPRA","COMPRA")</f>
        <v>NÃO COMPRA</v>
      </c>
      <c r="D1134" s="1" t="n">
        <f aca="false">IFERROR(VLOOKUP(A1134,Pedido!$A:$C,3,0),0)</f>
        <v>0</v>
      </c>
      <c r="E1134" s="5" t="n">
        <f aca="false">IFERROR(VLOOKUP(A1134,Pedido!$A:$E,5,0),0)</f>
        <v>0</v>
      </c>
      <c r="F1134" s="1" t="s">
        <v>9</v>
      </c>
      <c r="G1134" s="1" t="s">
        <v>2472</v>
      </c>
      <c r="H1134" s="1" t="s">
        <v>1358</v>
      </c>
      <c r="I1134" s="1" t="s">
        <v>77</v>
      </c>
      <c r="J1134" s="1" t="s">
        <v>2473</v>
      </c>
      <c r="K1134" s="1" t="n">
        <v>59</v>
      </c>
      <c r="L1134" s="11" t="n">
        <v>0.973596349817166</v>
      </c>
      <c r="M1134" s="1" t="n">
        <f aca="false">SUMIF(Relatorio_AK!$A:$A,A1134,Relatorio_AK!$B:$B)</f>
        <v>59</v>
      </c>
      <c r="N1134" s="1" t="str">
        <f aca="false">IF(M1134=K1134,"OK","DIF")</f>
        <v>OK</v>
      </c>
      <c r="O1134" s="13" t="str">
        <f aca="false">IFERROR(VLOOKUP($A1134,Lista_Starke!$A:$E,3,0),"NÃO ESTÁ NA LISTA")</f>
        <v>CITROEN: Aircross  10/20
CITROEN: C3  03/20
CITROEN: C3 Picasso  11/15
CITROEN: DS3  12/16
PEUGEOT: 2008  15/20
PEUGEOT: 208  13/20</v>
      </c>
      <c r="P1134" s="12" t="str">
        <f aca="false">IFERROR(VLOOKUP($A1134,Lista_Starke!$A:$E,2,0),"NÃO ESTÁ NA LISTA")</f>
        <v>BANDEJA INFERIOR LD</v>
      </c>
    </row>
    <row r="1135" customFormat="false" ht="15" hidden="false" customHeight="true" outlineLevel="0" collapsed="false">
      <c r="A1135" s="10" t="s">
        <v>2474</v>
      </c>
      <c r="B1135" s="10" t="str">
        <f aca="false">IFERROR(VLOOKUP(A1135,Pedido!$A:$B,2,0),"")</f>
        <v>SCA 8060 FL</v>
      </c>
      <c r="C1135" s="10" t="str">
        <f aca="false">IF(B1135="","NÃO COMPRA","COMPRA")</f>
        <v>COMPRA</v>
      </c>
      <c r="D1135" s="1" t="n">
        <f aca="false">IFERROR(VLOOKUP(A1135,Pedido!$A:$C,3,0),0)</f>
        <v>3</v>
      </c>
      <c r="E1135" s="5" t="n">
        <f aca="false">IFERROR(VLOOKUP(A1135,Pedido!$A:$E,5,0),0)</f>
        <v>594</v>
      </c>
      <c r="F1135" s="1" t="s">
        <v>9</v>
      </c>
      <c r="G1135" s="1" t="s">
        <v>1626</v>
      </c>
      <c r="H1135" s="1" t="s">
        <v>1358</v>
      </c>
      <c r="I1135" s="1" t="s">
        <v>97</v>
      </c>
      <c r="J1135" s="1" t="s">
        <v>2475</v>
      </c>
      <c r="K1135" s="1" t="n">
        <v>59</v>
      </c>
      <c r="L1135" s="11" t="n">
        <v>0.973697211931817</v>
      </c>
      <c r="M1135" s="1" t="n">
        <f aca="false">SUMIF(Relatorio_AK!$A:$A,A1135,Relatorio_AK!$B:$B)</f>
        <v>59</v>
      </c>
      <c r="N1135" s="1" t="str">
        <f aca="false">IF(M1135=K1135,"OK","DIF")</f>
        <v>OK</v>
      </c>
      <c r="O1135" s="13" t="str">
        <f aca="false">IFERROR(VLOOKUP($A1135,Lista_Starke!$A:$E,3,0),"NÃO ESTÁ NA LISTA")</f>
        <v>FIAT: Toro 4x4 16/20
JEEP: Compass 4x4 15/20
JEEP: Renegade 4x4 16/20</v>
      </c>
      <c r="P1135" s="12" t="str">
        <f aca="false">IFERROR(VLOOKUP($A1135,Lista_Starke!$A:$E,2,0),"NÃO ESTÁ NA LISTA")</f>
        <v>BANDEJA INFERIOR COMPLETA LE</v>
      </c>
    </row>
    <row r="1136" customFormat="false" ht="15" hidden="false" customHeight="true" outlineLevel="0" collapsed="false">
      <c r="A1136" s="10" t="s">
        <v>2476</v>
      </c>
      <c r="B1136" s="10" t="str">
        <f aca="false">IFERROR(VLOOKUP(A1136,Pedido!$A:$B,2,0),"")</f>
        <v/>
      </c>
      <c r="C1136" s="10" t="str">
        <f aca="false">IF(B1136="","NÃO COMPRA","COMPRA")</f>
        <v>NÃO COMPRA</v>
      </c>
      <c r="D1136" s="1" t="n">
        <f aca="false">IFERROR(VLOOKUP(A1136,Pedido!$A:$C,3,0),0)</f>
        <v>0</v>
      </c>
      <c r="E1136" s="5" t="n">
        <f aca="false">IFERROR(VLOOKUP(A1136,Pedido!$A:$E,5,0),0)</f>
        <v>0</v>
      </c>
      <c r="F1136" s="1" t="s">
        <v>9</v>
      </c>
      <c r="G1136" s="1" t="s">
        <v>294</v>
      </c>
      <c r="H1136" s="1" t="s">
        <v>35</v>
      </c>
      <c r="I1136" s="1" t="s">
        <v>295</v>
      </c>
      <c r="K1136" s="1" t="n">
        <v>59</v>
      </c>
      <c r="L1136" s="11" t="n">
        <v>0.973798074046468</v>
      </c>
      <c r="M1136" s="1" t="n">
        <f aca="false">SUMIF(Relatorio_AK!$A:$A,A1136,Relatorio_AK!$B:$B)</f>
        <v>59</v>
      </c>
      <c r="N1136" s="1" t="str">
        <f aca="false">IF(M1136=K1136,"OK","DIF")</f>
        <v>OK</v>
      </c>
      <c r="O1136" s="12" t="str">
        <f aca="false">IFERROR(VLOOKUP($A1136,Lista_Starke!$A:$E,3,0),"NÃO ESTÁ NA LISTA")</f>
        <v>CHERY: Face 1.3 16v 10/...</v>
      </c>
      <c r="P1136" s="12" t="str">
        <f aca="false">IFERROR(VLOOKUP($A1136,Lista_Starke!$A:$E,2,0),"NÃO ESTÁ NA LISTA")</f>
        <v>CILINDRO MESTRE DE FREIO</v>
      </c>
    </row>
    <row r="1137" customFormat="false" ht="15" hidden="false" customHeight="true" outlineLevel="0" collapsed="false">
      <c r="A1137" s="10" t="s">
        <v>2477</v>
      </c>
      <c r="B1137" s="10" t="str">
        <f aca="false">IFERROR(VLOOKUP(A1137,Pedido!$A:$B,2,0),"")</f>
        <v/>
      </c>
      <c r="C1137" s="10" t="str">
        <f aca="false">IF(B1137="","NÃO COMPRA","COMPRA")</f>
        <v>NÃO COMPRA</v>
      </c>
      <c r="D1137" s="1" t="n">
        <f aca="false">IFERROR(VLOOKUP(A1137,Pedido!$A:$C,3,0),0)</f>
        <v>0</v>
      </c>
      <c r="E1137" s="5" t="n">
        <f aca="false">IFERROR(VLOOKUP(A1137,Pedido!$A:$E,5,0),0)</f>
        <v>0</v>
      </c>
      <c r="F1137" s="1" t="s">
        <v>9</v>
      </c>
      <c r="G1137" s="1" t="s">
        <v>1536</v>
      </c>
      <c r="H1137" s="1" t="s">
        <v>197</v>
      </c>
      <c r="I1137" s="1" t="s">
        <v>77</v>
      </c>
      <c r="J1137" s="1" t="s">
        <v>2478</v>
      </c>
      <c r="K1137" s="1" t="n">
        <v>59</v>
      </c>
      <c r="L1137" s="11" t="n">
        <v>0.973898936161119</v>
      </c>
      <c r="M1137" s="1" t="n">
        <f aca="false">SUMIF(Relatorio_AK!$A:$A,A1137,Relatorio_AK!$B:$B)</f>
        <v>59</v>
      </c>
      <c r="N1137" s="1" t="str">
        <f aca="false">IF(M1137=K1137,"OK","DIF")</f>
        <v>OK</v>
      </c>
      <c r="O1137" s="13" t="str">
        <f aca="false">IFERROR(VLOOKUP($A1137,Lista_Starke!$A:$E,3,0),"NÃO ESTÁ NA LISTA")</f>
        <v>CITROEN: C4 2.0 16V EW10J4 / EW10A 06/…
CITROEN: C5 2.0 16V EW10J4 / EW10A 01/…
CITROEN: Xsara 2.0 16V EW10J4 / EW10A 00/…
CITROEN: Xsara Picasso 2.0 16V EW10J4 / EW10A 01/…
PEUGEOT: 307 / SW 2.0 16V EW10J4 / EW10A 00/…
PEUGEOT: 406 2.0 16V EW10J4 / EW10A 99/04
PEUGEOT: 407 2.0 16V EW10J4 / EW10A 04/…
PEUGEOT: 607 2.0 16V EW10J4 / EW10A 00/…
PEUGEOT: 806 2.0 16V EW10J4 / EW10A 00/02
PEUGEOT: 807 2.0 16V EW10J4 / EW10A 00/…</v>
      </c>
      <c r="P1137" s="12" t="str">
        <f aca="false">IFERROR(VLOOKUP($A1137,Lista_Starke!$A:$E,2,0),"NÃO ESTÁ NA LISTA")</f>
        <v>BOMBA D'ÁGUA</v>
      </c>
    </row>
    <row r="1138" customFormat="false" ht="15" hidden="false" customHeight="true" outlineLevel="0" collapsed="false">
      <c r="A1138" s="10" t="s">
        <v>2479</v>
      </c>
      <c r="B1138" s="10" t="str">
        <f aca="false">IFERROR(VLOOKUP(A1138,Pedido!$A:$B,2,0),"")</f>
        <v/>
      </c>
      <c r="C1138" s="10" t="str">
        <f aca="false">IF(B1138="","NÃO COMPRA","COMPRA")</f>
        <v>NÃO COMPRA</v>
      </c>
      <c r="D1138" s="1" t="n">
        <f aca="false">IFERROR(VLOOKUP(A1138,Pedido!$A:$C,3,0),0)</f>
        <v>0</v>
      </c>
      <c r="E1138" s="5" t="n">
        <f aca="false">IFERROR(VLOOKUP(A1138,Pedido!$A:$E,5,0),0)</f>
        <v>0</v>
      </c>
      <c r="F1138" s="1" t="s">
        <v>9</v>
      </c>
      <c r="G1138" s="1" t="s">
        <v>901</v>
      </c>
      <c r="H1138" s="1" t="s">
        <v>845</v>
      </c>
      <c r="I1138" s="1" t="s">
        <v>373</v>
      </c>
      <c r="J1138" s="1" t="s">
        <v>2480</v>
      </c>
      <c r="K1138" s="1" t="n">
        <v>59</v>
      </c>
      <c r="L1138" s="11" t="n">
        <v>0.97399979827577</v>
      </c>
      <c r="M1138" s="1" t="n">
        <f aca="false">SUMIF(Relatorio_AK!$A:$A,A1138,Relatorio_AK!$B:$B)</f>
        <v>59</v>
      </c>
      <c r="N1138" s="1" t="str">
        <f aca="false">IF(M1138=K1138,"OK","DIF")</f>
        <v>OK</v>
      </c>
      <c r="O1138" s="13" t="str">
        <f aca="false">IFERROR(VLOOKUP($A1138,Lista_Starke!$A:$E,3,0),"NÃO ESTÁ NA LISTA")</f>
        <v>MERCEDES-BENZ: Sprinter 415 CDI  06/20
MERCEDES-BENZ: Sprinter 515 CDI  06/20
MERCEDES-BENZ: Sprinter 516 CDI  18/...
MERCEDES-BENZ: Sprinter 517 CDI  20/...</v>
      </c>
      <c r="P1138" s="12" t="str">
        <f aca="false">IFERROR(VLOOKUP($A1138,Lista_Starke!$A:$E,2,0),"NÃO ESTÁ NA LISTA")</f>
        <v>SAPATA DE FREIO DE MÃO</v>
      </c>
    </row>
    <row r="1139" customFormat="false" ht="15" hidden="false" customHeight="true" outlineLevel="0" collapsed="false">
      <c r="A1139" s="10" t="s">
        <v>2481</v>
      </c>
      <c r="B1139" s="10" t="str">
        <f aca="false">IFERROR(VLOOKUP(A1139,Pedido!$A:$B,2,0),"")</f>
        <v/>
      </c>
      <c r="C1139" s="10" t="str">
        <f aca="false">IF(B1139="","NÃO COMPRA","COMPRA")</f>
        <v>NÃO COMPRA</v>
      </c>
      <c r="D1139" s="1" t="n">
        <f aca="false">IFERROR(VLOOKUP(A1139,Pedido!$A:$C,3,0),0)</f>
        <v>0</v>
      </c>
      <c r="E1139" s="5" t="n">
        <f aca="false">IFERROR(VLOOKUP(A1139,Pedido!$A:$E,5,0),0)</f>
        <v>0</v>
      </c>
      <c r="F1139" s="1" t="s">
        <v>9</v>
      </c>
      <c r="G1139" s="1" t="s">
        <v>1652</v>
      </c>
      <c r="H1139" s="1" t="s">
        <v>1358</v>
      </c>
      <c r="I1139" s="1" t="s">
        <v>46</v>
      </c>
      <c r="J1139" s="1" t="s">
        <v>2482</v>
      </c>
      <c r="K1139" s="1" t="n">
        <v>58</v>
      </c>
      <c r="L1139" s="11" t="n">
        <v>0.974098950863055</v>
      </c>
      <c r="M1139" s="1" t="n">
        <f aca="false">SUMIF(Relatorio_AK!$A:$A,A1139,Relatorio_AK!$B:$B)</f>
        <v>58</v>
      </c>
      <c r="N1139" s="1" t="str">
        <f aca="false">IF(M1139=K1139,"OK","DIF")</f>
        <v>OK</v>
      </c>
      <c r="O1139" s="13" t="str">
        <f aca="false">IFERROR(VLOOKUP($A1139,Lista_Starke!$A:$E,3,0),"NÃO ESTÁ NA LISTA")</f>
        <v>FIAT: Idea Adventure 06/16
FIAT: Palio Weekend Adventure 05/08
FIAT: Palio Weekend Adventure Locker 07/15
FIAT: Strada Adventure 05/08
FIAT: Strada Adventure Locker 08/15</v>
      </c>
      <c r="P1139" s="12" t="str">
        <f aca="false">IFERROR(VLOOKUP($A1139,Lista_Starke!$A:$E,2,0),"NÃO ESTÁ NA LISTA")</f>
        <v>BANDEJA INFERIOR COMPLETA LD</v>
      </c>
    </row>
    <row r="1140" customFormat="false" ht="15" hidden="false" customHeight="true" outlineLevel="0" collapsed="false">
      <c r="A1140" s="10" t="s">
        <v>2483</v>
      </c>
      <c r="B1140" s="10" t="str">
        <f aca="false">IFERROR(VLOOKUP(A1140,Pedido!$A:$B,2,0),"")</f>
        <v/>
      </c>
      <c r="C1140" s="10" t="str">
        <f aca="false">IF(B1140="","NÃO COMPRA","COMPRA")</f>
        <v>NÃO COMPRA</v>
      </c>
      <c r="D1140" s="1" t="n">
        <f aca="false">IFERROR(VLOOKUP(A1140,Pedido!$A:$C,3,0),0)</f>
        <v>0</v>
      </c>
      <c r="E1140" s="5" t="n">
        <f aca="false">IFERROR(VLOOKUP(A1140,Pedido!$A:$E,5,0),0)</f>
        <v>0</v>
      </c>
      <c r="F1140" s="1" t="s">
        <v>9</v>
      </c>
      <c r="G1140" s="1" t="s">
        <v>2484</v>
      </c>
      <c r="H1140" s="1" t="s">
        <v>1358</v>
      </c>
      <c r="I1140" s="1" t="s">
        <v>1327</v>
      </c>
      <c r="J1140" s="1" t="s">
        <v>2485</v>
      </c>
      <c r="K1140" s="1" t="n">
        <v>58</v>
      </c>
      <c r="L1140" s="11" t="n">
        <v>0.974198103450339</v>
      </c>
      <c r="M1140" s="1" t="n">
        <f aca="false">SUMIF(Relatorio_AK!$A:$A,A1140,Relatorio_AK!$B:$B)</f>
        <v>58</v>
      </c>
      <c r="N1140" s="1" t="str">
        <f aca="false">IF(M1140=K1140,"OK","DIF")</f>
        <v>OK</v>
      </c>
      <c r="O1140" s="13" t="str">
        <f aca="false">IFERROR(VLOOKUP($A1140,Lista_Starke!$A:$E,3,0),"NÃO ESTÁ NA LISTA")</f>
        <v>LIFAN: 620  10/17
TOYOTA: Corolla  02/19
TOYOTA: Fielder  04/08</v>
      </c>
      <c r="P1140" s="12" t="str">
        <f aca="false">IFERROR(VLOOKUP($A1140,Lista_Starke!$A:$E,2,0),"NÃO ESTÁ NA LISTA")</f>
        <v>BANDEJA INFERIOR LD</v>
      </c>
    </row>
    <row r="1141" customFormat="false" ht="15" hidden="false" customHeight="true" outlineLevel="0" collapsed="false">
      <c r="A1141" s="10" t="s">
        <v>2486</v>
      </c>
      <c r="B1141" s="10" t="str">
        <f aca="false">IFERROR(VLOOKUP(A1141,Pedido!$A:$B,2,0),"")</f>
        <v/>
      </c>
      <c r="C1141" s="10" t="str">
        <f aca="false">IF(B1141="","NÃO COMPRA","COMPRA")</f>
        <v>NÃO COMPRA</v>
      </c>
      <c r="D1141" s="1" t="n">
        <f aca="false">IFERROR(VLOOKUP(A1141,Pedido!$A:$C,3,0),0)</f>
        <v>0</v>
      </c>
      <c r="E1141" s="5" t="n">
        <f aca="false">IFERROR(VLOOKUP(A1141,Pedido!$A:$E,5,0),0)</f>
        <v>0</v>
      </c>
      <c r="F1141" s="1" t="s">
        <v>9</v>
      </c>
      <c r="G1141" s="1" t="s">
        <v>2066</v>
      </c>
      <c r="H1141" s="1" t="s">
        <v>197</v>
      </c>
      <c r="I1141" s="1" t="s">
        <v>2304</v>
      </c>
      <c r="K1141" s="1" t="n">
        <v>58</v>
      </c>
      <c r="L1141" s="11" t="n">
        <v>0.974297256037623</v>
      </c>
      <c r="M1141" s="1" t="n">
        <f aca="false">SUMIF(Relatorio_AK!$A:$A,A1141,Relatorio_AK!$B:$B)</f>
        <v>58</v>
      </c>
      <c r="N1141" s="1" t="str">
        <f aca="false">IF(M1141=K1141,"OK","DIF")</f>
        <v>OK</v>
      </c>
      <c r="O1141" s="12" t="str">
        <f aca="false">IFERROR(VLOOKUP($A1141,Lista_Starke!$A:$E,3,0),"NÃO ESTÁ NA LISTA")</f>
        <v>NÃO ESTÁ NA LISTA</v>
      </c>
      <c r="P1141" s="12" t="str">
        <f aca="false">IFERROR(VLOOKUP($A1141,Lista_Starke!$A:$E,2,0),"NÃO ESTÁ NA LISTA")</f>
        <v>NÃO ESTÁ NA LISTA</v>
      </c>
    </row>
    <row r="1142" customFormat="false" ht="15" hidden="false" customHeight="true" outlineLevel="0" collapsed="false">
      <c r="A1142" s="10" t="s">
        <v>2487</v>
      </c>
      <c r="B1142" s="10" t="str">
        <f aca="false">IFERROR(VLOOKUP(A1142,Pedido!$A:$B,2,0),"")</f>
        <v/>
      </c>
      <c r="C1142" s="10" t="str">
        <f aca="false">IF(B1142="","NÃO COMPRA","COMPRA")</f>
        <v>NÃO COMPRA</v>
      </c>
      <c r="D1142" s="1" t="n">
        <f aca="false">IFERROR(VLOOKUP(A1142,Pedido!$A:$C,3,0),0)</f>
        <v>0</v>
      </c>
      <c r="E1142" s="5" t="n">
        <f aca="false">IFERROR(VLOOKUP(A1142,Pedido!$A:$E,5,0),0)</f>
        <v>0</v>
      </c>
      <c r="F1142" s="1" t="s">
        <v>9</v>
      </c>
      <c r="G1142" s="1" t="s">
        <v>2488</v>
      </c>
      <c r="H1142" s="1" t="s">
        <v>1714</v>
      </c>
      <c r="I1142" s="1" t="s">
        <v>57</v>
      </c>
      <c r="J1142" s="1" t="s">
        <v>2489</v>
      </c>
      <c r="K1142" s="1" t="n">
        <v>58</v>
      </c>
      <c r="L1142" s="11" t="n">
        <v>0.974396408624907</v>
      </c>
      <c r="M1142" s="1" t="n">
        <f aca="false">SUMIF(Relatorio_AK!$A:$A,A1142,Relatorio_AK!$B:$B)</f>
        <v>58</v>
      </c>
      <c r="N1142" s="1" t="str">
        <f aca="false">IF(M1142=K1142,"OK","DIF")</f>
        <v>OK</v>
      </c>
      <c r="O1142" s="13" t="str">
        <f aca="false">IFERROR(VLOOKUP($A1142,Lista_Starke!$A:$E,3,0),"NÃO ESTÁ NA LISTA")</f>
        <v>GM: S10 2.8 Turbodiedel Duramax 13/...
GM: Trailblazer 2.8 Turbodiesel Duramax 13/...</v>
      </c>
      <c r="P1142" s="12" t="str">
        <f aca="false">IFERROR(VLOOKUP($A1142,Lista_Starke!$A:$E,2,0),"NÃO ESTÁ NA LISTA")</f>
        <v>POLIA VISCOSA</v>
      </c>
    </row>
    <row r="1143" customFormat="false" ht="15" hidden="false" customHeight="true" outlineLevel="0" collapsed="false">
      <c r="A1143" s="10" t="s">
        <v>2490</v>
      </c>
      <c r="B1143" s="10" t="str">
        <f aca="false">IFERROR(VLOOKUP(A1143,Pedido!$A:$B,2,0),"")</f>
        <v/>
      </c>
      <c r="C1143" s="10" t="str">
        <f aca="false">IF(B1143="","NÃO COMPRA","COMPRA")</f>
        <v>NÃO COMPRA</v>
      </c>
      <c r="D1143" s="1" t="n">
        <f aca="false">IFERROR(VLOOKUP(A1143,Pedido!$A:$C,3,0),0)</f>
        <v>0</v>
      </c>
      <c r="E1143" s="5" t="n">
        <f aca="false">IFERROR(VLOOKUP(A1143,Pedido!$A:$E,5,0),0)</f>
        <v>0</v>
      </c>
      <c r="F1143" s="1" t="s">
        <v>9</v>
      </c>
      <c r="G1143" s="1" t="s">
        <v>356</v>
      </c>
      <c r="H1143" s="1" t="s">
        <v>845</v>
      </c>
      <c r="I1143" s="1" t="s">
        <v>29</v>
      </c>
      <c r="J1143" s="1" t="s">
        <v>2491</v>
      </c>
      <c r="K1143" s="1" t="n">
        <v>58</v>
      </c>
      <c r="L1143" s="11" t="n">
        <v>0.974495561212191</v>
      </c>
      <c r="M1143" s="1" t="n">
        <f aca="false">SUMIF(Relatorio_AK!$A:$A,A1143,Relatorio_AK!$B:$B)</f>
        <v>58</v>
      </c>
      <c r="N1143" s="1" t="str">
        <f aca="false">IF(M1143=K1143,"OK","DIF")</f>
        <v>OK</v>
      </c>
      <c r="O1143" s="12" t="str">
        <f aca="false">IFERROR(VLOOKUP($A1143,Lista_Starke!$A:$E,3,0),"NÃO ESTÁ NA LISTA")</f>
        <v>HYUNDAI: Vera Cruz 3.8 V6 08/12</v>
      </c>
      <c r="P1143" s="12" t="str">
        <f aca="false">IFERROR(VLOOKUP($A1143,Lista_Starke!$A:$E,2,0),"NÃO ESTÁ NA LISTA")</f>
        <v>SAPATA DE FREIO DE MÃO</v>
      </c>
    </row>
    <row r="1144" customFormat="false" ht="15" hidden="false" customHeight="true" outlineLevel="0" collapsed="false">
      <c r="A1144" s="10" t="s">
        <v>2492</v>
      </c>
      <c r="B1144" s="10" t="str">
        <f aca="false">IFERROR(VLOOKUP(A1144,Pedido!$A:$B,2,0),"")</f>
        <v/>
      </c>
      <c r="C1144" s="10" t="str">
        <f aca="false">IF(B1144="","NÃO COMPRA","COMPRA")</f>
        <v>NÃO COMPRA</v>
      </c>
      <c r="D1144" s="1" t="n">
        <f aca="false">IFERROR(VLOOKUP(A1144,Pedido!$A:$C,3,0),0)</f>
        <v>0</v>
      </c>
      <c r="E1144" s="5" t="n">
        <f aca="false">IFERROR(VLOOKUP(A1144,Pedido!$A:$E,5,0),0)</f>
        <v>0</v>
      </c>
      <c r="F1144" s="1" t="s">
        <v>9</v>
      </c>
      <c r="G1144" s="1" t="s">
        <v>277</v>
      </c>
      <c r="H1144" s="1" t="s">
        <v>131</v>
      </c>
      <c r="I1144" s="1" t="s">
        <v>53</v>
      </c>
      <c r="J1144" s="1" t="s">
        <v>2493</v>
      </c>
      <c r="K1144" s="1" t="n">
        <v>58</v>
      </c>
      <c r="L1144" s="11" t="n">
        <v>0.974594713799476</v>
      </c>
      <c r="M1144" s="1" t="n">
        <f aca="false">SUMIF(Relatorio_AK!$A:$A,A1144,Relatorio_AK!$B:$B)</f>
        <v>58</v>
      </c>
      <c r="N1144" s="1" t="str">
        <f aca="false">IF(M1144=K1144,"OK","DIF")</f>
        <v>OK</v>
      </c>
      <c r="O1144" s="13" t="str">
        <f aca="false">IFERROR(VLOOKUP($A1144,Lista_Starke!$A:$E,3,0),"NÃO ESTÁ NA LISTA")</f>
        <v>FORD: Ecosport 1.6 16V Sigma 13/...
FORD: Ecosport 2.0 16V Duratec 13/...
FORD: Focus 1.6 16V Sigma 10/13</v>
      </c>
      <c r="P1144" s="12" t="str">
        <f aca="false">IFERROR(VLOOKUP($A1144,Lista_Starke!$A:$E,2,0),"NÃO ESTÁ NA LISTA")</f>
        <v>SAPATA DE FREIO</v>
      </c>
    </row>
    <row r="1145" customFormat="false" ht="15" hidden="false" customHeight="true" outlineLevel="0" collapsed="false">
      <c r="A1145" s="10" t="s">
        <v>2494</v>
      </c>
      <c r="B1145" s="10" t="str">
        <f aca="false">IFERROR(VLOOKUP(A1145,Pedido!$A:$B,2,0),"")</f>
        <v/>
      </c>
      <c r="C1145" s="10" t="str">
        <f aca="false">IF(B1145="","NÃO COMPRA","COMPRA")</f>
        <v>NÃO COMPRA</v>
      </c>
      <c r="D1145" s="1" t="n">
        <f aca="false">IFERROR(VLOOKUP(A1145,Pedido!$A:$C,3,0),0)</f>
        <v>0</v>
      </c>
      <c r="E1145" s="5" t="n">
        <f aca="false">IFERROR(VLOOKUP(A1145,Pedido!$A:$E,5,0),0)</f>
        <v>0</v>
      </c>
      <c r="F1145" s="1" t="s">
        <v>9</v>
      </c>
      <c r="G1145" s="1" t="s">
        <v>2495</v>
      </c>
      <c r="H1145" s="1" t="s">
        <v>2466</v>
      </c>
      <c r="I1145" s="1" t="s">
        <v>46</v>
      </c>
      <c r="J1145" s="1" t="s">
        <v>2496</v>
      </c>
      <c r="K1145" s="1" t="n">
        <v>58</v>
      </c>
      <c r="L1145" s="11" t="n">
        <v>0.97469386638676</v>
      </c>
      <c r="M1145" s="1" t="n">
        <f aca="false">SUMIF(Relatorio_AK!$A:$A,A1145,Relatorio_AK!$B:$B)</f>
        <v>58</v>
      </c>
      <c r="N1145" s="1" t="str">
        <f aca="false">IF(M1145=K1145,"OK","DIF")</f>
        <v>OK</v>
      </c>
      <c r="O1145" s="13" t="str">
        <f aca="false">IFERROR(VLOOKUP($A1145,Lista_Starke!$A:$E,3,0),"NÃO ESTÁ NA LISTA")</f>
        <v>FIAT: Palio 1.0 8V Fire 03/11
FIAT: Palio 1.0 8V Fire 05/10
FIAT: Palio 1.3 16V 00/03
FIAT: Palio 1.3 8V Fire 02/03
FIAT: Palio 1.4 8V Fire 07/08
FIAT: Palio 1.4 8V Fire Evo 11/17
FIAT: Palio 1.6 16V Etorq 10/17
FIAT: Palio 1.8 8V Powertrain 03/10
FIAT: Palio Weekend 1.3 8V Fire 02/04
FIAT: Palio Weekend 1.4 8V Fire 08/...
FIAT: Palio Weekend 1.6 16V Etorq 10/12
FIAT: Palio Weekend 1.8 8V Powertrain 03/04
FIAT: Palio Weekend Adventure Locker 1.8 16V Etorq 10/12
FIAT: Palio Weekend Adventure Locker 1.8 8V Powertrain 04/08
FIAT: Siena 1.0 16V Fire 00/03
FIAT: Siena 1.0 8V Fire 04/09
FIAT: Siena 1.0 8V Fire 06/10
FIAT: Siena 1.3 16V Fire 00/03
FIAT: Siena 1.4 8V Fire 07/12
FIAT: Siena 1.6 16V Etorq 10/12
FIAT: Siena 1.8 8V Powertrain 07/10
FIAT: Strada 1.3 8V Fire 02/05
FIAT: Strada 1.4 8V Fire 05/12
FIAT: Strada 1.8 16V Etorq 10/12
FIAT: Strada 1.8 8V Powertrain 05/10</v>
      </c>
      <c r="P1145" s="12" t="str">
        <f aca="false">IFERROR(VLOOKUP($A1145,Lista_Starke!$A:$E,2,0),"NÃO ESTÁ NA LISTA")</f>
        <v>SERVO FREIO</v>
      </c>
    </row>
    <row r="1146" customFormat="false" ht="15" hidden="false" customHeight="true" outlineLevel="0" collapsed="false">
      <c r="A1146" s="10" t="s">
        <v>2497</v>
      </c>
      <c r="B1146" s="10" t="str">
        <f aca="false">IFERROR(VLOOKUP(A1146,Pedido!$A:$B,2,0),"")</f>
        <v/>
      </c>
      <c r="C1146" s="10" t="str">
        <f aca="false">IF(B1146="","NÃO COMPRA","COMPRA")</f>
        <v>NÃO COMPRA</v>
      </c>
      <c r="D1146" s="1" t="n">
        <f aca="false">IFERROR(VLOOKUP(A1146,Pedido!$A:$C,3,0),0)</f>
        <v>0</v>
      </c>
      <c r="E1146" s="5" t="n">
        <f aca="false">IFERROR(VLOOKUP(A1146,Pedido!$A:$E,5,0),0)</f>
        <v>0</v>
      </c>
      <c r="F1146" s="1" t="s">
        <v>9</v>
      </c>
      <c r="G1146" s="1" t="s">
        <v>720</v>
      </c>
      <c r="H1146" s="1" t="s">
        <v>197</v>
      </c>
      <c r="I1146" s="1" t="s">
        <v>255</v>
      </c>
      <c r="K1146" s="1" t="n">
        <v>57</v>
      </c>
      <c r="L1146" s="11" t="n">
        <v>0.974791309446677</v>
      </c>
      <c r="M1146" s="1" t="n">
        <f aca="false">SUMIF(Relatorio_AK!$A:$A,A1146,Relatorio_AK!$B:$B)</f>
        <v>57</v>
      </c>
      <c r="N1146" s="1" t="str">
        <f aca="false">IF(M1146=K1146,"OK","DIF")</f>
        <v>OK</v>
      </c>
      <c r="O1146" s="13" t="str">
        <f aca="false">IFERROR(VLOOKUP($A1146,Lista_Starke!$A:$E,3,0),"NÃO ESTÁ NA LISTA")</f>
        <v>MITSUBISHI: Airtrek 2.0 16V 4G63 02/…
MITSUBISHI: Airtrek 2.4 16V 4G64 / 4G69 02/…
MITSUBISHI: Lancer 2.0 16V 4G63 03/…
MITSUBISHI: Outlander 2.0 16V 4G63 02/…
MITSUBISHI: Outlander 2.4 16V 4G64 / 4G69 02/…</v>
      </c>
      <c r="P1146" s="12" t="str">
        <f aca="false">IFERROR(VLOOKUP($A1146,Lista_Starke!$A:$E,2,0),"NÃO ESTÁ NA LISTA")</f>
        <v>BOMBA D'ÁGUA</v>
      </c>
    </row>
    <row r="1147" customFormat="false" ht="15" hidden="false" customHeight="true" outlineLevel="0" collapsed="false">
      <c r="A1147" s="10" t="s">
        <v>2498</v>
      </c>
      <c r="B1147" s="10" t="str">
        <f aca="false">IFERROR(VLOOKUP(A1147,Pedido!$A:$B,2,0),"")</f>
        <v/>
      </c>
      <c r="C1147" s="10" t="str">
        <f aca="false">IF(B1147="","NÃO COMPRA","COMPRA")</f>
        <v>NÃO COMPRA</v>
      </c>
      <c r="D1147" s="1" t="n">
        <f aca="false">IFERROR(VLOOKUP(A1147,Pedido!$A:$C,3,0),0)</f>
        <v>0</v>
      </c>
      <c r="E1147" s="5" t="n">
        <f aca="false">IFERROR(VLOOKUP(A1147,Pedido!$A:$E,5,0),0)</f>
        <v>0</v>
      </c>
      <c r="F1147" s="1" t="s">
        <v>9</v>
      </c>
      <c r="G1147" s="1" t="s">
        <v>2499</v>
      </c>
      <c r="H1147" s="1" t="s">
        <v>96</v>
      </c>
      <c r="I1147" s="1" t="s">
        <v>373</v>
      </c>
      <c r="K1147" s="1" t="n">
        <v>57</v>
      </c>
      <c r="L1147" s="11" t="n">
        <v>0.974888752506594</v>
      </c>
      <c r="M1147" s="1" t="n">
        <f aca="false">SUMIF(Relatorio_AK!$A:$A,A1147,Relatorio_AK!$B:$B)</f>
        <v>57</v>
      </c>
      <c r="N1147" s="1" t="str">
        <f aca="false">IF(M1147=K1147,"OK","DIF")</f>
        <v>OK</v>
      </c>
      <c r="O1147" s="13" t="str">
        <f aca="false">IFERROR(VLOOKUP($A1147,Lista_Starke!$A:$E,3,0),"NÃO ESTÁ NA LISTA")</f>
        <v>MERCEDES-BENZ: A160 (W176) 1.6 4cil M270.910 15/...
MERCEDES-BENZ: A180 (W176) 1.8 4cil M.270.910 12/...
MERCEDES-BENZ: A200 (W176) 1.6 4cil M270.910 14/...
MERCEDES-BENZ: A220 (W176) 2.0 4cil M270.920 14/...
MERCEDES-BENZ: A250 (W176) 2.0 4cil M270.920 12/...
MERCEDES-BENZ: B180 (W242/W246) 1.6 4cil M270.910 11/...
MERCEDES-BENZ: B200 (W242/W246) 1.6 4cil M270.910 11/...
MERCEDES-BENZ: B220 (W242/W246) 2.0 4cil M270.920 13/...
MERCEDES-BENZ: B250 (W242/W246) 2.0 4cil M270.920 12/...
MERCEDES-BENZ: C180 CGI (W204) 1.6 16V M274.910 13/...
MERCEDES-BENZ: CLA180 (X117) 1.6 4cil M270.910 15/...
MERCEDES-BENZ: CLA200 (X117) 1.6 4cil M270.910 15/...
MERCEDES-BENZ: CLA220 (X117) 2.0 4cil M270.920 15/...
MERCEDES-BENZ: CLA250 (X117) 2.0 4cil M270.920 15/...
MERCEDES-BENZ: GLA180 (X156) 1.6 4cil M270.910 15/...
MERCEDES-BENZ: GLA200 (X156) 1.6 4cil M270.910 13/...
MERCEDES-BENZ: GLA220 (X156) 2.0 4cil M270.920 17/...
MERCEDES-BENZ: GLA250 (X156) 2.0 4cil M270.920 13/...</v>
      </c>
      <c r="P1147" s="12" t="str">
        <f aca="false">IFERROR(VLOOKUP($A1147,Lista_Starke!$A:$E,2,0),"NÃO ESTÁ NA LISTA")</f>
        <v>BOMBA DE VÁCUO</v>
      </c>
    </row>
    <row r="1148" customFormat="false" ht="15" hidden="false" customHeight="true" outlineLevel="0" collapsed="false">
      <c r="A1148" s="10" t="s">
        <v>2500</v>
      </c>
      <c r="B1148" s="10" t="str">
        <f aca="false">IFERROR(VLOOKUP(A1148,Pedido!$A:$B,2,0),"")</f>
        <v/>
      </c>
      <c r="C1148" s="10" t="str">
        <f aca="false">IF(B1148="","NÃO COMPRA","COMPRA")</f>
        <v>NÃO COMPRA</v>
      </c>
      <c r="D1148" s="1" t="n">
        <f aca="false">IFERROR(VLOOKUP(A1148,Pedido!$A:$C,3,0),0)</f>
        <v>0</v>
      </c>
      <c r="E1148" s="5" t="n">
        <f aca="false">IFERROR(VLOOKUP(A1148,Pedido!$A:$E,5,0),0)</f>
        <v>0</v>
      </c>
      <c r="F1148" s="1" t="s">
        <v>9</v>
      </c>
      <c r="G1148" s="1" t="s">
        <v>826</v>
      </c>
      <c r="H1148" s="1" t="s">
        <v>906</v>
      </c>
      <c r="I1148" s="1" t="s">
        <v>827</v>
      </c>
      <c r="J1148" s="1" t="s">
        <v>2501</v>
      </c>
      <c r="K1148" s="1" t="n">
        <v>57</v>
      </c>
      <c r="L1148" s="11" t="n">
        <v>0.974986195566512</v>
      </c>
      <c r="M1148" s="1" t="n">
        <f aca="false">SUMIF(Relatorio_AK!$A:$A,A1148,Relatorio_AK!$B:$B)</f>
        <v>57</v>
      </c>
      <c r="N1148" s="1" t="str">
        <f aca="false">IF(M1148=K1148,"OK","DIF")</f>
        <v>OK</v>
      </c>
      <c r="O1148" s="13" t="str">
        <f aca="false">IFERROR(VLOOKUP($A1148,Lista_Starke!$A:$E,3,0),"NÃO ESTÁ NA LISTA")</f>
        <v>BMW: 120i (F20/F21) 2.0 16V B48B20A 16/19
BMW: 125i (F20/F21) 2.0 16V B48B20B 16/19
BMW: 320e Hybrid (G20/G28/G80) 2.0 16V B48B20A 20/...
BMW: 320i (F31) 2.0 16V B48B20A 15/19
BMW: 320i (G20/G28/G80) 1.6 16V B48B16A 19/...
BMW: 330e Hybrid (G20/G28/G80) 2.0 16V B48B20A 19/...
BMW: 330i (F30/F80) 2.0 16V B48B20B / B46B20B 15/18
BMW: M3 Competition 3.0 6 cil. S55B30A 16/18
BMW: X1 (F48) 2.0 16V B48A20A 15/22
BMW: X2 (F39) 2.0 16V B48A20A 17/23
BMW: X3 (F25) 2.0 16V B47D20A 14/17
BMW: X3 (G01) 1.5 16V B48B16A 17/...
BMW: X3 M (G01) 3.0 6 cil. S58B30A 19/...
BMW: X4 (G02) 2.0 16V B48B0A 18/...
BMW: X5 (G05) 3.0 6 cil Hybrid B58B30C 19/23
BMW: X5 (G05) 3.0 6 cil. B58B30C 18/23
BMW: X6 (G06/F96) 4.4 8 cil. N63B44 19/23
MINI: Cooper 1.5 3 cil. B38A15A / B36A15A 15/24
MINI: Cooper S 2.0 16V B48A20A / B46A20A 14/...
MINI: Cooper S JCW 2.0 16V B48A20A 14/18
MINI: John Cooper Works 2.0 16V B48A20B 16/19</v>
      </c>
      <c r="P1148" s="12" t="str">
        <f aca="false">IFERROR(VLOOKUP($A1148,Lista_Starke!$A:$E,2,0),"NÃO ESTÁ NA LISTA")</f>
        <v>BOMBA D'ÁGUA AUXILIAR</v>
      </c>
    </row>
    <row r="1149" customFormat="false" ht="15" hidden="false" customHeight="true" outlineLevel="0" collapsed="false">
      <c r="A1149" s="10" t="s">
        <v>2502</v>
      </c>
      <c r="B1149" s="10" t="str">
        <f aca="false">IFERROR(VLOOKUP(A1149,Pedido!$A:$B,2,0),"")</f>
        <v/>
      </c>
      <c r="C1149" s="10" t="str">
        <f aca="false">IF(B1149="","NÃO COMPRA","COMPRA")</f>
        <v>NÃO COMPRA</v>
      </c>
      <c r="D1149" s="1" t="n">
        <f aca="false">IFERROR(VLOOKUP(A1149,Pedido!$A:$C,3,0),0)</f>
        <v>0</v>
      </c>
      <c r="E1149" s="5" t="n">
        <f aca="false">IFERROR(VLOOKUP(A1149,Pedido!$A:$E,5,0),0)</f>
        <v>0</v>
      </c>
      <c r="F1149" s="1" t="s">
        <v>9</v>
      </c>
      <c r="G1149" s="1" t="s">
        <v>1909</v>
      </c>
      <c r="H1149" s="1" t="s">
        <v>1358</v>
      </c>
      <c r="I1149" s="1" t="s">
        <v>29</v>
      </c>
      <c r="J1149" s="1" t="s">
        <v>2503</v>
      </c>
      <c r="K1149" s="1" t="n">
        <v>56</v>
      </c>
      <c r="L1149" s="11" t="n">
        <v>0.975081929099062</v>
      </c>
      <c r="M1149" s="1" t="n">
        <f aca="false">SUMIF(Relatorio_AK!$A:$A,A1149,Relatorio_AK!$B:$B)</f>
        <v>56</v>
      </c>
      <c r="N1149" s="1" t="str">
        <f aca="false">IF(M1149=K1149,"OK","DIF")</f>
        <v>OK</v>
      </c>
      <c r="O1149" s="13" t="str">
        <f aca="false">IFERROR(VLOOKUP($A1149,Lista_Starke!$A:$E,3,0),"NÃO ESTÁ NA LISTA")</f>
        <v>HYUNDAI: HB20  12/19
HYUNDAI: HB20S  12/19
HYUNDAI: HB20X  12/19</v>
      </c>
      <c r="P1149" s="12" t="str">
        <f aca="false">IFERROR(VLOOKUP($A1149,Lista_Starke!$A:$E,2,0),"NÃO ESTÁ NA LISTA")</f>
        <v>BANDEJA INFERIOR COMPLETA LE</v>
      </c>
    </row>
    <row r="1150" customFormat="false" ht="15" hidden="false" customHeight="true" outlineLevel="0" collapsed="false">
      <c r="A1150" s="10" t="s">
        <v>2504</v>
      </c>
      <c r="B1150" s="10" t="str">
        <f aca="false">IFERROR(VLOOKUP(A1150,Pedido!$A:$B,2,0),"")</f>
        <v/>
      </c>
      <c r="C1150" s="10" t="str">
        <f aca="false">IF(B1150="","NÃO COMPRA","COMPRA")</f>
        <v>NÃO COMPRA</v>
      </c>
      <c r="D1150" s="1" t="n">
        <f aca="false">IFERROR(VLOOKUP(A1150,Pedido!$A:$C,3,0),0)</f>
        <v>0</v>
      </c>
      <c r="E1150" s="5" t="n">
        <f aca="false">IFERROR(VLOOKUP(A1150,Pedido!$A:$E,5,0),0)</f>
        <v>0</v>
      </c>
      <c r="F1150" s="1" t="s">
        <v>9</v>
      </c>
      <c r="G1150" s="1" t="s">
        <v>1326</v>
      </c>
      <c r="H1150" s="1" t="s">
        <v>197</v>
      </c>
      <c r="I1150" s="1" t="s">
        <v>177</v>
      </c>
      <c r="J1150" s="1" t="s">
        <v>2505</v>
      </c>
      <c r="K1150" s="1" t="n">
        <v>56</v>
      </c>
      <c r="L1150" s="11" t="n">
        <v>0.975177662631612</v>
      </c>
      <c r="M1150" s="1" t="n">
        <f aca="false">SUMIF(Relatorio_AK!$A:$A,A1150,Relatorio_AK!$B:$B)</f>
        <v>56</v>
      </c>
      <c r="N1150" s="1" t="str">
        <f aca="false">IF(M1150=K1150,"OK","DIF")</f>
        <v>OK</v>
      </c>
      <c r="O1150" s="13" t="str">
        <f aca="false">IFERROR(VLOOKUP($A1150,Lista_Starke!$A:$E,3,0),"NÃO ESTÁ NA LISTA")</f>
        <v>TOYOTA: Etios 1.3 16V 12/15
TOYOTA: Etios 1.5 16V 12/...</v>
      </c>
      <c r="P1150" s="12" t="str">
        <f aca="false">IFERROR(VLOOKUP($A1150,Lista_Starke!$A:$E,2,0),"NÃO ESTÁ NA LISTA")</f>
        <v>BOMBA D'ÁGUA</v>
      </c>
    </row>
    <row r="1151" customFormat="false" ht="15" hidden="false" customHeight="true" outlineLevel="0" collapsed="false">
      <c r="A1151" s="10" t="s">
        <v>2506</v>
      </c>
      <c r="B1151" s="10" t="str">
        <f aca="false">IFERROR(VLOOKUP(A1151,Pedido!$A:$B,2,0),"")</f>
        <v/>
      </c>
      <c r="C1151" s="10" t="str">
        <f aca="false">IF(B1151="","NÃO COMPRA","COMPRA")</f>
        <v>NÃO COMPRA</v>
      </c>
      <c r="D1151" s="1" t="n">
        <f aca="false">IFERROR(VLOOKUP(A1151,Pedido!$A:$C,3,0),0)</f>
        <v>0</v>
      </c>
      <c r="E1151" s="5" t="n">
        <f aca="false">IFERROR(VLOOKUP(A1151,Pedido!$A:$E,5,0),0)</f>
        <v>0</v>
      </c>
      <c r="F1151" s="1" t="s">
        <v>9</v>
      </c>
      <c r="G1151" s="1" t="s">
        <v>509</v>
      </c>
      <c r="H1151" s="1" t="s">
        <v>197</v>
      </c>
      <c r="I1151" s="1" t="s">
        <v>77</v>
      </c>
      <c r="J1151" s="1" t="s">
        <v>2507</v>
      </c>
      <c r="K1151" s="1" t="n">
        <v>56</v>
      </c>
      <c r="L1151" s="11" t="n">
        <v>0.975273396164162</v>
      </c>
      <c r="M1151" s="1" t="n">
        <f aca="false">SUMIF(Relatorio_AK!$A:$A,A1151,Relatorio_AK!$B:$B)</f>
        <v>56</v>
      </c>
      <c r="N1151" s="1" t="str">
        <f aca="false">IF(M1151=K1151,"OK","DIF")</f>
        <v>OK</v>
      </c>
      <c r="O1151" s="13" t="str">
        <f aca="false">IFERROR(VLOOKUP($A1151,Lista_Starke!$A:$E,3,0),"NÃO ESTÁ NA LISTA")</f>
        <v>CITROEN: Xantia 1.8 16V XU7JP 95/…
CITROEN: Xsara 1.8 16V XU7JP4 97/…
CITROEN: ZX 1.8 16V XU7JP4 96/97
PEUGEOT: 306 1.8 16V XU7JP 97/02
PEUGEOT: 406 1.8 16V XU7JP4 97/02</v>
      </c>
      <c r="P1151" s="12" t="str">
        <f aca="false">IFERROR(VLOOKUP($A1151,Lista_Starke!$A:$E,2,0),"NÃO ESTÁ NA LISTA")</f>
        <v>BOMBA D'ÁGUA</v>
      </c>
    </row>
    <row r="1152" customFormat="false" ht="15" hidden="false" customHeight="true" outlineLevel="0" collapsed="false">
      <c r="A1152" s="10" t="s">
        <v>2508</v>
      </c>
      <c r="B1152" s="10" t="str">
        <f aca="false">IFERROR(VLOOKUP(A1152,Pedido!$A:$B,2,0),"")</f>
        <v/>
      </c>
      <c r="C1152" s="10" t="str">
        <f aca="false">IF(B1152="","NÃO COMPRA","COMPRA")</f>
        <v>NÃO COMPRA</v>
      </c>
      <c r="D1152" s="1" t="n">
        <f aca="false">IFERROR(VLOOKUP(A1152,Pedido!$A:$C,3,0),0)</f>
        <v>0</v>
      </c>
      <c r="E1152" s="5" t="n">
        <f aca="false">IFERROR(VLOOKUP(A1152,Pedido!$A:$E,5,0),0)</f>
        <v>0</v>
      </c>
      <c r="F1152" s="1" t="s">
        <v>9</v>
      </c>
      <c r="G1152" s="1" t="s">
        <v>1822</v>
      </c>
      <c r="H1152" s="1" t="s">
        <v>600</v>
      </c>
      <c r="I1152" s="1" t="s">
        <v>373</v>
      </c>
      <c r="K1152" s="1" t="n">
        <v>56</v>
      </c>
      <c r="L1152" s="11" t="n">
        <v>0.975369129696712</v>
      </c>
      <c r="M1152" s="1" t="n">
        <f aca="false">SUMIF(Relatorio_AK!$A:$A,A1152,Relatorio_AK!$B:$B)</f>
        <v>56</v>
      </c>
      <c r="N1152" s="1" t="str">
        <f aca="false">IF(M1152=K1152,"OK","DIF")</f>
        <v>OK</v>
      </c>
      <c r="O1152" s="13" t="str">
        <f aca="false">IFERROR(VLOOKUP($A1152,Lista_Starke!$A:$E,3,0),"NÃO ESTÁ NA LISTA")</f>
        <v>MERCEDES-BENZ: C180 (W204) 1.8 16V M274 07/14
MERCEDES-BENZ: C200 (W204) 1.8 16V M274 07/14</v>
      </c>
      <c r="P1152" s="12" t="str">
        <f aca="false">IFERROR(VLOOKUP($A1152,Lista_Starke!$A:$E,2,0),"NÃO ESTÁ NA LISTA")</f>
        <v>BOMBA DE VÁCUO FREIO</v>
      </c>
    </row>
    <row r="1153" customFormat="false" ht="15" hidden="false" customHeight="true" outlineLevel="0" collapsed="false">
      <c r="A1153" s="10" t="s">
        <v>2509</v>
      </c>
      <c r="B1153" s="10" t="str">
        <f aca="false">IFERROR(VLOOKUP(A1153,Pedido!$A:$B,2,0),"")</f>
        <v/>
      </c>
      <c r="C1153" s="10" t="str">
        <f aca="false">IF(B1153="","NÃO COMPRA","COMPRA")</f>
        <v>NÃO COMPRA</v>
      </c>
      <c r="D1153" s="1" t="n">
        <f aca="false">IFERROR(VLOOKUP(A1153,Pedido!$A:$C,3,0),0)</f>
        <v>0</v>
      </c>
      <c r="E1153" s="5" t="n">
        <f aca="false">IFERROR(VLOOKUP(A1153,Pedido!$A:$E,5,0),0)</f>
        <v>0</v>
      </c>
      <c r="F1153" s="1" t="s">
        <v>9</v>
      </c>
      <c r="G1153" s="1" t="s">
        <v>2510</v>
      </c>
      <c r="H1153" s="1" t="s">
        <v>197</v>
      </c>
      <c r="I1153" s="1" t="s">
        <v>2511</v>
      </c>
      <c r="K1153" s="1" t="n">
        <v>56</v>
      </c>
      <c r="L1153" s="11" t="n">
        <v>0.975464863229263</v>
      </c>
      <c r="M1153" s="1" t="n">
        <f aca="false">SUMIF(Relatorio_AK!$A:$A,A1153,Relatorio_AK!$B:$B)</f>
        <v>56</v>
      </c>
      <c r="N1153" s="1" t="str">
        <f aca="false">IF(M1153=K1153,"OK","DIF")</f>
        <v>OK</v>
      </c>
      <c r="O1153" s="13" t="str">
        <f aca="false">IFERROR(VLOOKUP($A1153,Lista_Starke!$A:$E,3,0),"NÃO ESTÁ NA LISTA")</f>
        <v>GWM: HAVAL H6 1.5 Turbo Híbrido 23/...
GWM: HAVAL H6GT 1.5 Turbo Híbrido 23/...</v>
      </c>
      <c r="P1153" s="12" t="str">
        <f aca="false">IFERROR(VLOOKUP($A1153,Lista_Starke!$A:$E,2,0),"NÃO ESTÁ NA LISTA")</f>
        <v>BOMBA D'ÁGUA</v>
      </c>
    </row>
    <row r="1154" customFormat="false" ht="15" hidden="false" customHeight="true" outlineLevel="0" collapsed="false">
      <c r="A1154" s="10" t="s">
        <v>2512</v>
      </c>
      <c r="B1154" s="10" t="str">
        <f aca="false">IFERROR(VLOOKUP(A1154,Pedido!$A:$B,2,0),"")</f>
        <v/>
      </c>
      <c r="C1154" s="10" t="str">
        <f aca="false">IF(B1154="","NÃO COMPRA","COMPRA")</f>
        <v>NÃO COMPRA</v>
      </c>
      <c r="D1154" s="1" t="n">
        <f aca="false">IFERROR(VLOOKUP(A1154,Pedido!$A:$C,3,0),0)</f>
        <v>0</v>
      </c>
      <c r="E1154" s="5" t="n">
        <f aca="false">IFERROR(VLOOKUP(A1154,Pedido!$A:$E,5,0),0)</f>
        <v>0</v>
      </c>
      <c r="F1154" s="1" t="s">
        <v>9</v>
      </c>
      <c r="G1154" s="1" t="s">
        <v>2458</v>
      </c>
      <c r="H1154" s="1" t="s">
        <v>1073</v>
      </c>
      <c r="I1154" s="1" t="s">
        <v>684</v>
      </c>
      <c r="J1154" s="1" t="s">
        <v>2513</v>
      </c>
      <c r="K1154" s="1" t="n">
        <v>56</v>
      </c>
      <c r="L1154" s="11" t="n">
        <v>0.975560596761813</v>
      </c>
      <c r="M1154" s="1" t="n">
        <f aca="false">SUMIF(Relatorio_AK!$A:$A,A1154,Relatorio_AK!$B:$B)</f>
        <v>56</v>
      </c>
      <c r="N1154" s="1" t="str">
        <f aca="false">IF(M1154=K1154,"OK","DIF")</f>
        <v>OK</v>
      </c>
      <c r="O1154" s="13" t="str">
        <f aca="false">IFERROR(VLOOKUP($A1154,Lista_Starke!$A:$E,3,0),"NÃO ESTÁ NA LISTA")</f>
        <v>LAND ROVER: Discovery Sport 2.2 TD4      224DT 15/…
LAND ROVER: Evoque 2.2 TD4      224DT 14/…
LAND ROVER: Freelander 2 2.2 TD4      224DT / DW12BTED4 06/14</v>
      </c>
      <c r="P1154" s="12" t="str">
        <f aca="false">IFERROR(VLOOKUP($A1154,Lista_Starke!$A:$E,2,0),"NÃO ESTÁ NA LISTA")</f>
        <v>VÁLVULA TERMOSTÁTICA</v>
      </c>
    </row>
    <row r="1155" customFormat="false" ht="15" hidden="false" customHeight="true" outlineLevel="0" collapsed="false">
      <c r="A1155" s="10" t="s">
        <v>2514</v>
      </c>
      <c r="B1155" s="10" t="str">
        <f aca="false">IFERROR(VLOOKUP(A1155,Pedido!$A:$B,2,0),"")</f>
        <v/>
      </c>
      <c r="C1155" s="10" t="str">
        <f aca="false">IF(B1155="","NÃO COMPRA","COMPRA")</f>
        <v>NÃO COMPRA</v>
      </c>
      <c r="D1155" s="1" t="n">
        <f aca="false">IFERROR(VLOOKUP(A1155,Pedido!$A:$C,3,0),0)</f>
        <v>0</v>
      </c>
      <c r="E1155" s="5" t="n">
        <f aca="false">IFERROR(VLOOKUP(A1155,Pedido!$A:$E,5,0),0)</f>
        <v>0</v>
      </c>
      <c r="F1155" s="1" t="s">
        <v>9</v>
      </c>
      <c r="G1155" s="1" t="s">
        <v>2384</v>
      </c>
      <c r="H1155" s="1" t="s">
        <v>88</v>
      </c>
      <c r="I1155" s="1" t="s">
        <v>53</v>
      </c>
      <c r="J1155" s="1" t="s">
        <v>2515</v>
      </c>
      <c r="K1155" s="1" t="n">
        <v>56</v>
      </c>
      <c r="L1155" s="11" t="n">
        <v>0.975656330294363</v>
      </c>
      <c r="M1155" s="1" t="n">
        <f aca="false">SUMIF(Relatorio_AK!$A:$A,A1155,Relatorio_AK!$B:$B)</f>
        <v>56</v>
      </c>
      <c r="N1155" s="1" t="str">
        <f aca="false">IF(M1155=K1155,"OK","DIF")</f>
        <v>OK</v>
      </c>
      <c r="O1155" s="12" t="str">
        <f aca="false">IFERROR(VLOOKUP($A1155,Lista_Starke!$A:$E,3,0),"NÃO ESTÁ NA LISTA")</f>
        <v>FORD: F1000 SÉRIE 229 3.9L 8V L4 79/92</v>
      </c>
      <c r="P1155" s="12" t="str">
        <f aca="false">IFERROR(VLOOKUP($A1155,Lista_Starke!$A:$E,2,0),"NÃO ESTÁ NA LISTA")</f>
        <v>CILINDRO DE RODA LD</v>
      </c>
    </row>
    <row r="1156" customFormat="false" ht="15" hidden="false" customHeight="true" outlineLevel="0" collapsed="false">
      <c r="A1156" s="10" t="s">
        <v>2516</v>
      </c>
      <c r="B1156" s="10" t="str">
        <f aca="false">IFERROR(VLOOKUP(A1156,Pedido!$A:$B,2,0),"")</f>
        <v/>
      </c>
      <c r="C1156" s="10" t="str">
        <f aca="false">IF(B1156="","NÃO COMPRA","COMPRA")</f>
        <v>NÃO COMPRA</v>
      </c>
      <c r="D1156" s="1" t="n">
        <f aca="false">IFERROR(VLOOKUP(A1156,Pedido!$A:$C,3,0),0)</f>
        <v>0</v>
      </c>
      <c r="E1156" s="5" t="n">
        <f aca="false">IFERROR(VLOOKUP(A1156,Pedido!$A:$E,5,0),0)</f>
        <v>0</v>
      </c>
      <c r="F1156" s="1" t="s">
        <v>9</v>
      </c>
      <c r="G1156" s="1" t="s">
        <v>1652</v>
      </c>
      <c r="H1156" s="1" t="s">
        <v>1358</v>
      </c>
      <c r="I1156" s="1" t="s">
        <v>46</v>
      </c>
      <c r="J1156" s="1" t="s">
        <v>2517</v>
      </c>
      <c r="K1156" s="1" t="n">
        <v>55</v>
      </c>
      <c r="L1156" s="11" t="n">
        <v>0.975750354299546</v>
      </c>
      <c r="M1156" s="1" t="n">
        <f aca="false">SUMIF(Relatorio_AK!$A:$A,A1156,Relatorio_AK!$B:$B)</f>
        <v>55</v>
      </c>
      <c r="N1156" s="1" t="str">
        <f aca="false">IF(M1156=K1156,"OK","DIF")</f>
        <v>OK</v>
      </c>
      <c r="O1156" s="13" t="str">
        <f aca="false">IFERROR(VLOOKUP($A1156,Lista_Starke!$A:$E,3,0),"NÃO ESTÁ NA LISTA")</f>
        <v>FIAT: Linea  08/16
FIAT: Punto  08/17</v>
      </c>
      <c r="P1156" s="12" t="str">
        <f aca="false">IFERROR(VLOOKUP($A1156,Lista_Starke!$A:$E,2,0),"NÃO ESTÁ NA LISTA")</f>
        <v>BANDEJA INFERIOR COMPLETA LD</v>
      </c>
    </row>
    <row r="1157" customFormat="false" ht="15" hidden="false" customHeight="true" outlineLevel="0" collapsed="false">
      <c r="A1157" s="10" t="s">
        <v>2518</v>
      </c>
      <c r="B1157" s="10" t="str">
        <f aca="false">IFERROR(VLOOKUP(A1157,Pedido!$A:$B,2,0),"")</f>
        <v/>
      </c>
      <c r="C1157" s="10" t="str">
        <f aca="false">IF(B1157="","NÃO COMPRA","COMPRA")</f>
        <v>NÃO COMPRA</v>
      </c>
      <c r="D1157" s="1" t="n">
        <f aca="false">IFERROR(VLOOKUP(A1157,Pedido!$A:$C,3,0),0)</f>
        <v>0</v>
      </c>
      <c r="E1157" s="5" t="n">
        <f aca="false">IFERROR(VLOOKUP(A1157,Pedido!$A:$E,5,0),0)</f>
        <v>0</v>
      </c>
      <c r="F1157" s="1" t="s">
        <v>9</v>
      </c>
      <c r="G1157" s="1" t="s">
        <v>2519</v>
      </c>
      <c r="H1157" s="1" t="s">
        <v>197</v>
      </c>
      <c r="I1157" s="1" t="s">
        <v>2520</v>
      </c>
      <c r="K1157" s="1" t="n">
        <v>55</v>
      </c>
      <c r="L1157" s="11" t="n">
        <v>0.97584437830473</v>
      </c>
      <c r="M1157" s="1" t="n">
        <f aca="false">SUMIF(Relatorio_AK!$A:$A,A1157,Relatorio_AK!$B:$B)</f>
        <v>55</v>
      </c>
      <c r="N1157" s="1" t="str">
        <f aca="false">IF(M1157=K1157,"OK","DIF")</f>
        <v>OK</v>
      </c>
      <c r="O1157" s="13" t="str">
        <f aca="false">IFERROR(VLOOKUP($A1157,Lista_Starke!$A:$E,3,0),"NÃO ESTÁ NA LISTA")</f>
        <v>KIA: Besta 2.2 Diesel   R2 96/…
KIA: Sportage 2.0 8V Turbo Diesel RFT 99/03
SUZUKI: Grand Vitara 2.0 Turbo Diesel    RF 98/03
SUZUKI: Grand Vitara 2.0 Turbo Diesel    RFM 00/05</v>
      </c>
      <c r="P1157" s="12" t="str">
        <f aca="false">IFERROR(VLOOKUP($A1157,Lista_Starke!$A:$E,2,0),"NÃO ESTÁ NA LISTA")</f>
        <v>BOMBA D'ÁGUA</v>
      </c>
    </row>
    <row r="1158" customFormat="false" ht="15" hidden="false" customHeight="true" outlineLevel="0" collapsed="false">
      <c r="A1158" s="10" t="s">
        <v>2521</v>
      </c>
      <c r="B1158" s="10" t="str">
        <f aca="false">IFERROR(VLOOKUP(A1158,Pedido!$A:$B,2,0),"")</f>
        <v/>
      </c>
      <c r="C1158" s="10" t="str">
        <f aca="false">IF(B1158="","NÃO COMPRA","COMPRA")</f>
        <v>NÃO COMPRA</v>
      </c>
      <c r="D1158" s="1" t="n">
        <f aca="false">IFERROR(VLOOKUP(A1158,Pedido!$A:$C,3,0),0)</f>
        <v>0</v>
      </c>
      <c r="E1158" s="5" t="n">
        <f aca="false">IFERROR(VLOOKUP(A1158,Pedido!$A:$E,5,0),0)</f>
        <v>0</v>
      </c>
      <c r="F1158" s="1" t="s">
        <v>9</v>
      </c>
      <c r="G1158" s="1" t="s">
        <v>2292</v>
      </c>
      <c r="H1158" s="1" t="s">
        <v>1714</v>
      </c>
      <c r="I1158" s="1" t="s">
        <v>2522</v>
      </c>
      <c r="J1158" s="1" t="s">
        <v>2523</v>
      </c>
      <c r="K1158" s="1" t="n">
        <v>55</v>
      </c>
      <c r="L1158" s="11" t="n">
        <v>0.975938402309913</v>
      </c>
      <c r="M1158" s="1" t="n">
        <f aca="false">SUMIF(Relatorio_AK!$A:$A,A1158,Relatorio_AK!$B:$B)</f>
        <v>55</v>
      </c>
      <c r="N1158" s="1" t="str">
        <f aca="false">IF(M1158=K1158,"OK","DIF")</f>
        <v>OK</v>
      </c>
      <c r="O1158" s="13" t="str">
        <f aca="false">IFERROR(VLOOKUP($A1158,Lista_Starke!$A:$E,3,0),"NÃO ESTÁ NA LISTA")</f>
        <v>FORD: Ranger 2.3 94/97
FORD: Ranger 2.5 97/01
MAZDA: B2300 2.3 94/97
MAZDA: B2500 2.5 97/…</v>
      </c>
      <c r="P1158" s="12" t="str">
        <f aca="false">IFERROR(VLOOKUP($A1158,Lista_Starke!$A:$E,2,0),"NÃO ESTÁ NA LISTA")</f>
        <v>POLIA VISCOSA</v>
      </c>
    </row>
    <row r="1159" customFormat="false" ht="15" hidden="false" customHeight="true" outlineLevel="0" collapsed="false">
      <c r="A1159" s="10" t="s">
        <v>2524</v>
      </c>
      <c r="B1159" s="10" t="str">
        <f aca="false">IFERROR(VLOOKUP(A1159,Pedido!$A:$B,2,0),"")</f>
        <v/>
      </c>
      <c r="C1159" s="10" t="str">
        <f aca="false">IF(B1159="","NÃO COMPRA","COMPRA")</f>
        <v>NÃO COMPRA</v>
      </c>
      <c r="D1159" s="1" t="n">
        <f aca="false">IFERROR(VLOOKUP(A1159,Pedido!$A:$C,3,0),0)</f>
        <v>0</v>
      </c>
      <c r="E1159" s="5" t="n">
        <f aca="false">IFERROR(VLOOKUP(A1159,Pedido!$A:$E,5,0),0)</f>
        <v>0</v>
      </c>
      <c r="F1159" s="1" t="s">
        <v>9</v>
      </c>
      <c r="G1159" s="1" t="s">
        <v>1285</v>
      </c>
      <c r="H1159" s="1" t="s">
        <v>131</v>
      </c>
      <c r="I1159" s="1" t="s">
        <v>1182</v>
      </c>
      <c r="K1159" s="1" t="n">
        <v>55</v>
      </c>
      <c r="L1159" s="11" t="n">
        <v>0.976032426315096</v>
      </c>
      <c r="M1159" s="1" t="n">
        <f aca="false">SUMIF(Relatorio_AK!$A:$A,A1159,Relatorio_AK!$B:$B)</f>
        <v>55</v>
      </c>
      <c r="N1159" s="1" t="str">
        <f aca="false">IF(M1159=K1159,"OK","DIF")</f>
        <v>OK</v>
      </c>
      <c r="O1159" s="12" t="str">
        <f aca="false">IFERROR(VLOOKUP($A1159,Lista_Starke!$A:$E,3,0),"NÃO ESTÁ NA LISTA")</f>
        <v>NÃO ESTÁ NA LISTA</v>
      </c>
      <c r="P1159" s="12" t="str">
        <f aca="false">IFERROR(VLOOKUP($A1159,Lista_Starke!$A:$E,2,0),"NÃO ESTÁ NA LISTA")</f>
        <v>NÃO ESTÁ NA LISTA</v>
      </c>
    </row>
    <row r="1160" customFormat="false" ht="15" hidden="false" customHeight="true" outlineLevel="0" collapsed="false">
      <c r="A1160" s="10" t="s">
        <v>2525</v>
      </c>
      <c r="B1160" s="10" t="str">
        <f aca="false">IFERROR(VLOOKUP(A1160,Pedido!$A:$B,2,0),"")</f>
        <v/>
      </c>
      <c r="C1160" s="10" t="str">
        <f aca="false">IF(B1160="","NÃO COMPRA","COMPRA")</f>
        <v>NÃO COMPRA</v>
      </c>
      <c r="D1160" s="1" t="n">
        <f aca="false">IFERROR(VLOOKUP(A1160,Pedido!$A:$C,3,0),0)</f>
        <v>0</v>
      </c>
      <c r="E1160" s="5" t="n">
        <f aca="false">IFERROR(VLOOKUP(A1160,Pedido!$A:$E,5,0),0)</f>
        <v>0</v>
      </c>
      <c r="F1160" s="1" t="s">
        <v>9</v>
      </c>
      <c r="G1160" s="1" t="s">
        <v>695</v>
      </c>
      <c r="H1160" s="1" t="s">
        <v>906</v>
      </c>
      <c r="I1160" s="1" t="s">
        <v>295</v>
      </c>
      <c r="J1160" s="1" t="s">
        <v>2526</v>
      </c>
      <c r="K1160" s="1" t="n">
        <v>55</v>
      </c>
      <c r="L1160" s="11" t="n">
        <v>0.97612645032028</v>
      </c>
      <c r="M1160" s="1" t="n">
        <f aca="false">SUMIF(Relatorio_AK!$A:$A,A1160,Relatorio_AK!$B:$B)</f>
        <v>55</v>
      </c>
      <c r="N1160" s="1" t="str">
        <f aca="false">IF(M1160=K1160,"OK","DIF")</f>
        <v>OK</v>
      </c>
      <c r="O1160" s="13" t="str">
        <f aca="false">IFERROR(VLOOKUP($A1160,Lista_Starke!$A:$E,3,0),"NÃO ESTÁ NA LISTA")</f>
        <v>CHERY: Tiggo 7 Pro 1.5 16V Turbo Flex Híbrido 22/...
CHERY: Tiggo 8 Pro 1.5 16V Turbo Flex Híbrido 22/...</v>
      </c>
      <c r="P1160" s="12" t="str">
        <f aca="false">IFERROR(VLOOKUP($A1160,Lista_Starke!$A:$E,2,0),"NÃO ESTÁ NA LISTA")</f>
        <v>BOMBA D'ÁGUA AUXILIAR</v>
      </c>
    </row>
    <row r="1161" customFormat="false" ht="15" hidden="false" customHeight="true" outlineLevel="0" collapsed="false">
      <c r="A1161" s="10" t="s">
        <v>2527</v>
      </c>
      <c r="B1161" s="10" t="str">
        <f aca="false">IFERROR(VLOOKUP(A1161,Pedido!$A:$B,2,0),"")</f>
        <v/>
      </c>
      <c r="C1161" s="10" t="str">
        <f aca="false">IF(B1161="","NÃO COMPRA","COMPRA")</f>
        <v>NÃO COMPRA</v>
      </c>
      <c r="D1161" s="1" t="n">
        <f aca="false">IFERROR(VLOOKUP(A1161,Pedido!$A:$C,3,0),0)</f>
        <v>0</v>
      </c>
      <c r="E1161" s="5" t="n">
        <f aca="false">IFERROR(VLOOKUP(A1161,Pedido!$A:$E,5,0),0)</f>
        <v>0</v>
      </c>
      <c r="F1161" s="1" t="s">
        <v>9</v>
      </c>
      <c r="G1161" s="1" t="s">
        <v>841</v>
      </c>
      <c r="H1161" s="1" t="s">
        <v>197</v>
      </c>
      <c r="I1161" s="1" t="s">
        <v>50</v>
      </c>
      <c r="J1161" s="1" t="s">
        <v>2528</v>
      </c>
      <c r="K1161" s="1" t="n">
        <v>54</v>
      </c>
      <c r="L1161" s="11" t="n">
        <v>0.976218764798096</v>
      </c>
      <c r="M1161" s="1" t="n">
        <f aca="false">SUMIF(Relatorio_AK!$A:$A,A1161,Relatorio_AK!$B:$B)</f>
        <v>54</v>
      </c>
      <c r="N1161" s="1" t="str">
        <f aca="false">IF(M1161=K1161,"OK","DIF")</f>
        <v>OK</v>
      </c>
      <c r="O1161" s="13" t="str">
        <f aca="false">IFERROR(VLOOKUP($A1161,Lista_Starke!$A:$E,3,0),"NÃO ESTÁ NA LISTA")</f>
        <v>HONDA: Civic 1.5 16V 92/95
HONDA: Civic 1.6 16V D16Z6 92/95</v>
      </c>
      <c r="P1161" s="12" t="str">
        <f aca="false">IFERROR(VLOOKUP($A1161,Lista_Starke!$A:$E,2,0),"NÃO ESTÁ NA LISTA")</f>
        <v>BOMBA D'ÁGUA</v>
      </c>
    </row>
    <row r="1162" customFormat="false" ht="15" hidden="false" customHeight="true" outlineLevel="0" collapsed="false">
      <c r="A1162" s="10" t="s">
        <v>2529</v>
      </c>
      <c r="B1162" s="10" t="str">
        <f aca="false">IFERROR(VLOOKUP(A1162,Pedido!$A:$B,2,0),"")</f>
        <v/>
      </c>
      <c r="C1162" s="10" t="str">
        <f aca="false">IF(B1162="","NÃO COMPRA","COMPRA")</f>
        <v>NÃO COMPRA</v>
      </c>
      <c r="D1162" s="1" t="n">
        <f aca="false">IFERROR(VLOOKUP(A1162,Pedido!$A:$C,3,0),0)</f>
        <v>0</v>
      </c>
      <c r="E1162" s="5" t="n">
        <f aca="false">IFERROR(VLOOKUP(A1162,Pedido!$A:$E,5,0),0)</f>
        <v>0</v>
      </c>
      <c r="F1162" s="1" t="s">
        <v>9</v>
      </c>
      <c r="G1162" s="1" t="s">
        <v>27</v>
      </c>
      <c r="H1162" s="1" t="s">
        <v>28</v>
      </c>
      <c r="I1162" s="1" t="s">
        <v>29</v>
      </c>
      <c r="K1162" s="1" t="n">
        <v>54</v>
      </c>
      <c r="L1162" s="11" t="n">
        <v>0.976311079275912</v>
      </c>
      <c r="M1162" s="1" t="n">
        <f aca="false">SUMIF(Relatorio_AK!$A:$A,A1162,Relatorio_AK!$B:$B)</f>
        <v>54</v>
      </c>
      <c r="N1162" s="1" t="str">
        <f aca="false">IF(M1162=K1162,"OK","DIF")</f>
        <v>OK</v>
      </c>
      <c r="O1162" s="12" t="str">
        <f aca="false">IFERROR(VLOOKUP($A1162,Lista_Starke!$A:$E,3,0),"NÃO ESTÁ NA LISTA")</f>
        <v>HYUNDAI: H100 2.5 8V Diesel 95/04</v>
      </c>
      <c r="P1162" s="12" t="str">
        <f aca="false">IFERROR(VLOOKUP($A1162,Lista_Starke!$A:$E,2,0),"NÃO ESTÁ NA LISTA")</f>
        <v>CILINDRO AUXILIAR DE EMBREAGEM</v>
      </c>
    </row>
    <row r="1163" customFormat="false" ht="15" hidden="false" customHeight="true" outlineLevel="0" collapsed="false">
      <c r="A1163" s="10" t="s">
        <v>2530</v>
      </c>
      <c r="B1163" s="10" t="str">
        <f aca="false">IFERROR(VLOOKUP(A1163,Pedido!$A:$B,2,0),"")</f>
        <v/>
      </c>
      <c r="C1163" s="10" t="str">
        <f aca="false">IF(B1163="","NÃO COMPRA","COMPRA")</f>
        <v>NÃO COMPRA</v>
      </c>
      <c r="D1163" s="1" t="n">
        <f aca="false">IFERROR(VLOOKUP(A1163,Pedido!$A:$C,3,0),0)</f>
        <v>0</v>
      </c>
      <c r="E1163" s="5" t="n">
        <f aca="false">IFERROR(VLOOKUP(A1163,Pedido!$A:$E,5,0),0)</f>
        <v>0</v>
      </c>
      <c r="F1163" s="1" t="s">
        <v>9</v>
      </c>
      <c r="G1163" s="1" t="s">
        <v>1914</v>
      </c>
      <c r="H1163" s="1" t="s">
        <v>197</v>
      </c>
      <c r="I1163" s="1" t="s">
        <v>2088</v>
      </c>
      <c r="J1163" s="1" t="s">
        <v>2531</v>
      </c>
      <c r="K1163" s="1" t="n">
        <v>54</v>
      </c>
      <c r="L1163" s="11" t="n">
        <v>0.976403393753729</v>
      </c>
      <c r="M1163" s="1" t="n">
        <f aca="false">SUMIF(Relatorio_AK!$A:$A,A1163,Relatorio_AK!$B:$B)</f>
        <v>54</v>
      </c>
      <c r="N1163" s="1" t="str">
        <f aca="false">IF(M1163=K1163,"OK","DIF")</f>
        <v>OK</v>
      </c>
      <c r="O1163" s="13" t="str">
        <f aca="false">IFERROR(VLOOKUP($A1163,Lista_Starke!$A:$E,3,0),"NÃO ESTÁ NA LISTA")</f>
        <v>AUDI: A6 3.0 TFSI 6 cil. Hybrid DLZA 19/...
AUDI: Cayenne S 3.0 6 cil. MDC.AB/DCAB/MDC.BE/DCBE 17/...
AUDI: Q7 3.0 TFSI 6 cil. Hybrid DCBD/DCBE 19/...
AUDI: Q8 3.0 TFSI 6 cil. Hybrid DCBD/DCBE 18/...
AUDI: RS4 3.0 TFSI 6 cil. DECA/DECC 17/...
AUDI: RS5 3.0 TFSI 6 cil. DECA 17/...
AUDI: S4 3.0 TFSI 6 cil. CWGD 16/...
AUDI: S5 3.0 TFSI 6 cil. CWGD 16/...
AUDI: SQ5 3.0 TFSI 6 cil. CWGD 16/...
AUDI: SQ5 3.0 TFSI 6 cil. Hybrid DWVA/ECRA 25/...
PORSCHE: Cayenne S E-Hybrid 3.0 6 cil. MDC.BE/DCBE/DCBG/DCBF 19/...
PORSCHE: Macan GTS 3.0 6 cil. DGRB 19/...
PORSCHE: Macan S 3.0 6 cil. DGRB 21/...
PORSCHE: Macan Turbo 3.0 6 cil. DGRC 18/...
PORSCHE: Panamera 3.0 6 cil. CSZB 19/23
PORSCHE: Panamera 3.0 6 cil. MDG.PA 16/23
PORSCHE: Panamera E-Hybrid 3.0 6 cil. DGPD/DGPE 23/...</v>
      </c>
      <c r="P1163" s="12" t="str">
        <f aca="false">IFERROR(VLOOKUP($A1163,Lista_Starke!$A:$E,2,0),"NÃO ESTÁ NA LISTA")</f>
        <v>BOMBA D'ÁGUA</v>
      </c>
    </row>
    <row r="1164" customFormat="false" ht="15" hidden="false" customHeight="true" outlineLevel="0" collapsed="false">
      <c r="A1164" s="10" t="s">
        <v>2532</v>
      </c>
      <c r="B1164" s="10" t="str">
        <f aca="false">IFERROR(VLOOKUP(A1164,Pedido!$A:$B,2,0),"")</f>
        <v/>
      </c>
      <c r="C1164" s="10" t="str">
        <f aca="false">IF(B1164="","NÃO COMPRA","COMPRA")</f>
        <v>NÃO COMPRA</v>
      </c>
      <c r="D1164" s="1" t="n">
        <f aca="false">IFERROR(VLOOKUP(A1164,Pedido!$A:$C,3,0),0)</f>
        <v>0</v>
      </c>
      <c r="E1164" s="5" t="n">
        <f aca="false">IFERROR(VLOOKUP(A1164,Pedido!$A:$E,5,0),0)</f>
        <v>0</v>
      </c>
      <c r="F1164" s="1" t="s">
        <v>9</v>
      </c>
      <c r="G1164" s="1" t="s">
        <v>2026</v>
      </c>
      <c r="H1164" s="1" t="s">
        <v>1073</v>
      </c>
      <c r="I1164" s="1" t="s">
        <v>510</v>
      </c>
      <c r="J1164" s="1" t="s">
        <v>2533</v>
      </c>
      <c r="K1164" s="1" t="n">
        <v>54</v>
      </c>
      <c r="L1164" s="11" t="n">
        <v>0.976495708231545</v>
      </c>
      <c r="M1164" s="1" t="n">
        <f aca="false">SUMIF(Relatorio_AK!$A:$A,A1164,Relatorio_AK!$B:$B)</f>
        <v>54</v>
      </c>
      <c r="N1164" s="1" t="str">
        <f aca="false">IF(M1164=K1164,"OK","DIF")</f>
        <v>OK</v>
      </c>
      <c r="O1164" s="13" t="str">
        <f aca="false">IFERROR(VLOOKUP($A1164,Lista_Starke!$A:$E,3,0),"NÃO ESTÁ NA LISTA")</f>
        <v>BMW: 116i (F20) 1.6 N13B16A 11/...
BMW: 116i (F21) 1.6 N13B16A 11/...
BMW: 118i (F20) 1.6 N13B16A 10/...
BMW: 118i (F20) 1.6 N13B16A 15/...
BMW: 118i (F21) 1.6 N13B16A 12/...
BMW: 118i (F21) 1.6 N13B16A 15/...
BMW: 120i (F20) 1.6 N13B16A 15/...
BMW: 120i (F21) 1.6 N13B16A 15/...
BMW: 316i (F30/F80) 1.6 N13B16A 12/16
BMW: 320i (F30/F80) 1.6 N13B16A 12/16
CITROEN: C4 / C4 Picasso 1.6 16V / 1.6 16V THP EP6 / EP6DT 09/…
CITROEN: C4 Lounge 1.6 16V THP EP6DT / EP6DTS 13/…
CITROEN: DS3 1.6 16V THP EP6DT / EP6DTS 12/…
CITROEN: DS4 1.6 16V THP EP6DT / EP6DTS 12/…
CITROEN: DS5 1.6 16V THP EP6DT / EP6DTS 12/…
MINI: Cooper 1.6 16V N12B16A / N16B16AM 06/09
MINI: Cooper 1.6 16V N16B16AU 10/…
MINI: Cooper S 1.6 16V Turbo N12B16A / N14B16C 06/…
MINI: Cooper S 1.6 16V Turbo N16B16AM 10/…
MINI: Cooper S 1.6 16V Turbo N18B16AMO 09/…
MINI: Cooper S 1.6 16V W11B16A-163 07/09
MINI: One 1.4 16V N12B14A 07/09
MINI: One 1.6 16V N16B16K / N16B16AU 09/…
MINI: One 1.6 16V N16BAU 10/…
PEUGEOT: 2008 1.6 16V THP EP6DT / EPDDTS 15/…
PEUGEOT: 3008 1.6 16V THP EP6DT / EPDDTS 11/…
PEUGEOT: 308 1.6 16V THP EP6DT / EPDDTS 07/…
PEUGEOT: 408 1.6 16V THP EP6DT / EPDDTS 11/…
PEUGEOT: 508 1.6 16V THP EP6DT / EPDDTS 11/…
PEUGEOT: RCZ 1.6 16V THP EP6DT / EPDDTS 11/…</v>
      </c>
      <c r="P1164" s="12" t="str">
        <f aca="false">IFERROR(VLOOKUP($A1164,Lista_Starke!$A:$E,2,0),"NÃO ESTÁ NA LISTA")</f>
        <v>VÁLVULA TERMOSTÁTICA</v>
      </c>
    </row>
    <row r="1165" customFormat="false" ht="15" hidden="false" customHeight="true" outlineLevel="0" collapsed="false">
      <c r="A1165" s="10" t="s">
        <v>2534</v>
      </c>
      <c r="B1165" s="10" t="str">
        <f aca="false">IFERROR(VLOOKUP(A1165,Pedido!$A:$B,2,0),"")</f>
        <v/>
      </c>
      <c r="C1165" s="10" t="str">
        <f aca="false">IF(B1165="","NÃO COMPRA","COMPRA")</f>
        <v>NÃO COMPRA</v>
      </c>
      <c r="D1165" s="1" t="n">
        <f aca="false">IFERROR(VLOOKUP(A1165,Pedido!$A:$C,3,0),0)</f>
        <v>0</v>
      </c>
      <c r="E1165" s="5" t="n">
        <f aca="false">IFERROR(VLOOKUP(A1165,Pedido!$A:$E,5,0),0)</f>
        <v>0</v>
      </c>
      <c r="F1165" s="1" t="s">
        <v>9</v>
      </c>
      <c r="G1165" s="1" t="s">
        <v>2439</v>
      </c>
      <c r="H1165" s="1" t="s">
        <v>1073</v>
      </c>
      <c r="I1165" s="1" t="s">
        <v>1431</v>
      </c>
      <c r="J1165" s="1" t="s">
        <v>2535</v>
      </c>
      <c r="K1165" s="1" t="n">
        <v>54</v>
      </c>
      <c r="L1165" s="11" t="n">
        <v>0.976588022709361</v>
      </c>
      <c r="M1165" s="1" t="n">
        <f aca="false">SUMIF(Relatorio_AK!$A:$A,A1165,Relatorio_AK!$B:$B)</f>
        <v>54</v>
      </c>
      <c r="N1165" s="1" t="str">
        <f aca="false">IF(M1165=K1165,"OK","DIF")</f>
        <v>OK</v>
      </c>
      <c r="O1165" s="13" t="str">
        <f aca="false">IFERROR(VLOOKUP($A1165,Lista_Starke!$A:$E,3,0),"NÃO ESTÁ NA LISTA")</f>
        <v>VOLVO: S60 T2 1.5 B4154T5 15/18
VOLVO: S60 T3 1.5 B4154T4 15/18
VOLVO: S60 T3 2.0 B4204T37 15/18
VOLVO: S60 T4 2.0 B4204T31 19/21
VOLVO: S60 T5 2.0 B4204T11 14/18
VOLVO: S60 T5 2.0 B4204T20 / B4204T23 / B4204T26 19/...
VOLVO: S60 T6 2.0 B4204T29 / B4204T34 / B4204T52 19/...
VOLVO: S60 T6 2.0 B4204T9 13/18
VOLVO: S60 T8 2.0 B4204T34 / B4204T48 / B4204T56 19/...
VOLVO: S80 T5 2.0 B4204T11 / B4204T15 13/16
VOLVO: S90 T4 2.0 B4204T31 17/27
VOLVO: S90 T5 2.0 B4204T23 / B4204T26 16/21
VOLVO: S90 T6 2.0 B4204T27 / B4204T29 16/21
VOLVO: S90 T8 2.0 Hybrid B4204T34 / B4204T35 / B4204T56 19/...
VOLVO: XC40 T4 2.0 B4204T31 / B4204T47 18/...
VOLVO: XC40 T5 2.0 B4204T14 / B4204T20 / B4204T36 17/...
VOLVO: XC60 T4 2.0 B4204T31 18/21
VOLVO: XC60 T5 2.0 B4204T11 / B4204T41 13/17
VOLVO: XC60 T5 2.0 B4204T20 / B4204T23 / B4204T26 17/21
VOLVO: XC60 T6 2.0 B4204T27 / B4204T29 17/21
VOLVO: XC60 T6 2.0 B4204T9 13/17
VOLVO: XC60 T8 2.0 Hybrid B4204T28 / B4204T34 / B4204T35 / B4204T48 / B4204T56 / B4204T57 18/...
VOLVO: XC70 T5 2.0 B4204T11 13/16
VOLVO: XC90 T5 2.0 B4204T23 / B4204T26 15/21
VOLVO: XC90 T6 2.0 B4204T27 / B4204T29 17/21
VOLVO: XC90 T8 2.0 Hybrid B4204T34 / B4204T35 / B4204T56 15/...</v>
      </c>
      <c r="P1165" s="12" t="str">
        <f aca="false">IFERROR(VLOOKUP($A1165,Lista_Starke!$A:$E,2,0),"NÃO ESTÁ NA LISTA")</f>
        <v>VÁLVULA TERMOSTÁTICA</v>
      </c>
    </row>
    <row r="1166" customFormat="false" ht="15" hidden="false" customHeight="true" outlineLevel="0" collapsed="false">
      <c r="A1166" s="10" t="s">
        <v>2536</v>
      </c>
      <c r="B1166" s="10" t="str">
        <f aca="false">IFERROR(VLOOKUP(A1166,Pedido!$A:$B,2,0),"")</f>
        <v/>
      </c>
      <c r="C1166" s="10" t="str">
        <f aca="false">IF(B1166="","NÃO COMPRA","COMPRA")</f>
        <v>NÃO COMPRA</v>
      </c>
      <c r="D1166" s="1" t="n">
        <f aca="false">IFERROR(VLOOKUP(A1166,Pedido!$A:$C,3,0),0)</f>
        <v>0</v>
      </c>
      <c r="E1166" s="5" t="n">
        <f aca="false">IFERROR(VLOOKUP(A1166,Pedido!$A:$E,5,0),0)</f>
        <v>0</v>
      </c>
      <c r="F1166" s="1" t="s">
        <v>9</v>
      </c>
      <c r="G1166" s="1" t="s">
        <v>280</v>
      </c>
      <c r="H1166" s="1" t="s">
        <v>88</v>
      </c>
      <c r="I1166" s="1" t="s">
        <v>77</v>
      </c>
      <c r="J1166" s="1" t="s">
        <v>2537</v>
      </c>
      <c r="K1166" s="1" t="n">
        <v>54</v>
      </c>
      <c r="L1166" s="11" t="n">
        <v>0.976680337187178</v>
      </c>
      <c r="M1166" s="1" t="n">
        <f aca="false">SUMIF(Relatorio_AK!$A:$A,A1166,Relatorio_AK!$B:$B)</f>
        <v>54</v>
      </c>
      <c r="N1166" s="1" t="str">
        <f aca="false">IF(M1166=K1166,"OK","DIF")</f>
        <v>OK</v>
      </c>
      <c r="O1166" s="13" t="str">
        <f aca="false">IFERROR(VLOOKUP($A1166,Lista_Starke!$A:$E,3,0),"NÃO ESTÁ NA LISTA")</f>
        <v>CITROEN: Berlingo 1.6 16V 05/07
CITROEN: Berlingo 1.8 8V 98/03
CITROEN: Xsara Picasso 1.6 16V 06/13
PEUGEOT: Hoggar 1.4 8V 10/15
PEUGEOT: Hoggar 1.6 16V 10/14
PEUGEOT: Partner 1.6 16V 04/18</v>
      </c>
      <c r="P1166" s="12" t="str">
        <f aca="false">IFERROR(VLOOKUP($A1166,Lista_Starke!$A:$E,2,0),"NÃO ESTÁ NA LISTA")</f>
        <v>CILINDRO DE RODA LE/LD</v>
      </c>
    </row>
    <row r="1167" customFormat="false" ht="15" hidden="false" customHeight="true" outlineLevel="0" collapsed="false">
      <c r="A1167" s="10" t="s">
        <v>2538</v>
      </c>
      <c r="B1167" s="10" t="str">
        <f aca="false">IFERROR(VLOOKUP(A1167,Pedido!$A:$B,2,0),"")</f>
        <v/>
      </c>
      <c r="C1167" s="10" t="str">
        <f aca="false">IF(B1167="","NÃO COMPRA","COMPRA")</f>
        <v>NÃO COMPRA</v>
      </c>
      <c r="D1167" s="1" t="n">
        <f aca="false">IFERROR(VLOOKUP(A1167,Pedido!$A:$C,3,0),0)</f>
        <v>0</v>
      </c>
      <c r="E1167" s="5" t="n">
        <f aca="false">IFERROR(VLOOKUP(A1167,Pedido!$A:$E,5,0),0)</f>
        <v>0</v>
      </c>
      <c r="F1167" s="1" t="s">
        <v>9</v>
      </c>
      <c r="G1167" s="1" t="s">
        <v>1906</v>
      </c>
      <c r="H1167" s="1" t="s">
        <v>2420</v>
      </c>
      <c r="I1167" s="1" t="s">
        <v>53</v>
      </c>
      <c r="J1167" s="1" t="s">
        <v>2539</v>
      </c>
      <c r="K1167" s="1" t="n">
        <v>53</v>
      </c>
      <c r="L1167" s="11" t="n">
        <v>0.976770942137627</v>
      </c>
      <c r="M1167" s="1" t="n">
        <f aca="false">SUMIF(Relatorio_AK!$A:$A,A1167,Relatorio_AK!$B:$B)</f>
        <v>53</v>
      </c>
      <c r="N1167" s="1" t="str">
        <f aca="false">IF(M1167=K1167,"OK","DIF")</f>
        <v>OK</v>
      </c>
      <c r="O1167" s="13" t="str">
        <f aca="false">IFERROR(VLOOKUP($A1167,Lista_Starke!$A:$E,3,0),"NÃO ESTÁ NA LISTA")</f>
        <v>FORD: Fusion 2.3 06/08
FORD: Fusion 2.5 09/12
FORD: Fusion 3.0 V6 09/12</v>
      </c>
      <c r="P1167" s="12" t="str">
        <f aca="false">IFERROR(VLOOKUP($A1167,Lista_Starke!$A:$E,2,0),"NÃO ESTÁ NA LISTA")</f>
        <v>BANDEJA SUPERIOR COMPLETA LE</v>
      </c>
    </row>
    <row r="1168" customFormat="false" ht="15" hidden="false" customHeight="true" outlineLevel="0" collapsed="false">
      <c r="A1168" s="10" t="s">
        <v>2540</v>
      </c>
      <c r="B1168" s="10" t="str">
        <f aca="false">IFERROR(VLOOKUP(A1168,Pedido!$A:$B,2,0),"")</f>
        <v/>
      </c>
      <c r="C1168" s="10" t="str">
        <f aca="false">IF(B1168="","NÃO COMPRA","COMPRA")</f>
        <v>NÃO COMPRA</v>
      </c>
      <c r="D1168" s="1" t="n">
        <f aca="false">IFERROR(VLOOKUP(A1168,Pedido!$A:$C,3,0),0)</f>
        <v>0</v>
      </c>
      <c r="E1168" s="5" t="n">
        <f aca="false">IFERROR(VLOOKUP(A1168,Pedido!$A:$E,5,0),0)</f>
        <v>0</v>
      </c>
      <c r="F1168" s="1" t="s">
        <v>9</v>
      </c>
      <c r="G1168" s="1" t="s">
        <v>1626</v>
      </c>
      <c r="H1168" s="1" t="s">
        <v>1358</v>
      </c>
      <c r="I1168" s="1" t="s">
        <v>46</v>
      </c>
      <c r="J1168" s="1" t="s">
        <v>2541</v>
      </c>
      <c r="K1168" s="1" t="n">
        <v>53</v>
      </c>
      <c r="L1168" s="11" t="n">
        <v>0.976861547088076</v>
      </c>
      <c r="M1168" s="1" t="n">
        <f aca="false">SUMIF(Relatorio_AK!$A:$A,A1168,Relatorio_AK!$B:$B)</f>
        <v>53</v>
      </c>
      <c r="N1168" s="1" t="str">
        <f aca="false">IF(M1168=K1168,"OK","DIF")</f>
        <v>OK</v>
      </c>
      <c r="O1168" s="13" t="str">
        <f aca="false">IFERROR(VLOOKUP($A1168,Lista_Starke!$A:$E,3,0),"NÃO ESTÁ NA LISTA")</f>
        <v>FIAT: Linea  08/16
FIAT: Punto  08/17</v>
      </c>
      <c r="P1168" s="12" t="str">
        <f aca="false">IFERROR(VLOOKUP($A1168,Lista_Starke!$A:$E,2,0),"NÃO ESTÁ NA LISTA")</f>
        <v>BANDEJA INFERIOR COMPLETA LE</v>
      </c>
    </row>
    <row r="1169" customFormat="false" ht="15" hidden="false" customHeight="true" outlineLevel="0" collapsed="false">
      <c r="A1169" s="10" t="s">
        <v>2542</v>
      </c>
      <c r="B1169" s="10" t="str">
        <f aca="false">IFERROR(VLOOKUP(A1169,Pedido!$A:$B,2,0),"")</f>
        <v/>
      </c>
      <c r="C1169" s="10" t="str">
        <f aca="false">IF(B1169="","NÃO COMPRA","COMPRA")</f>
        <v>NÃO COMPRA</v>
      </c>
      <c r="D1169" s="1" t="n">
        <f aca="false">IFERROR(VLOOKUP(A1169,Pedido!$A:$C,3,0),0)</f>
        <v>0</v>
      </c>
      <c r="E1169" s="5" t="n">
        <f aca="false">IFERROR(VLOOKUP(A1169,Pedido!$A:$E,5,0),0)</f>
        <v>0</v>
      </c>
      <c r="F1169" s="1" t="s">
        <v>9</v>
      </c>
      <c r="G1169" s="1" t="s">
        <v>2543</v>
      </c>
      <c r="H1169" s="1" t="s">
        <v>1358</v>
      </c>
      <c r="I1169" s="1" t="s">
        <v>1327</v>
      </c>
      <c r="J1169" s="1" t="s">
        <v>2544</v>
      </c>
      <c r="K1169" s="1" t="n">
        <v>53</v>
      </c>
      <c r="L1169" s="11" t="n">
        <v>0.976952152038526</v>
      </c>
      <c r="M1169" s="1" t="n">
        <f aca="false">SUMIF(Relatorio_AK!$A:$A,A1169,Relatorio_AK!$B:$B)</f>
        <v>53</v>
      </c>
      <c r="N1169" s="1" t="str">
        <f aca="false">IF(M1169=K1169,"OK","DIF")</f>
        <v>OK</v>
      </c>
      <c r="O1169" s="13" t="str">
        <f aca="false">IFERROR(VLOOKUP($A1169,Lista_Starke!$A:$E,3,0),"NÃO ESTÁ NA LISTA")</f>
        <v>LIFAN: 620  10/17
TOYOTA: Corolla  02/19
TOYOTA: Fielder  04/08</v>
      </c>
      <c r="P1169" s="12" t="str">
        <f aca="false">IFERROR(VLOOKUP($A1169,Lista_Starke!$A:$E,2,0),"NÃO ESTÁ NA LISTA")</f>
        <v>BANDEJA INFERIOR LE</v>
      </c>
    </row>
    <row r="1170" customFormat="false" ht="15" hidden="false" customHeight="true" outlineLevel="0" collapsed="false">
      <c r="A1170" s="10" t="s">
        <v>2545</v>
      </c>
      <c r="B1170" s="10" t="str">
        <f aca="false">IFERROR(VLOOKUP(A1170,Pedido!$A:$B,2,0),"")</f>
        <v/>
      </c>
      <c r="C1170" s="10" t="str">
        <f aca="false">IF(B1170="","NÃO COMPRA","COMPRA")</f>
        <v>NÃO COMPRA</v>
      </c>
      <c r="D1170" s="1" t="n">
        <f aca="false">IFERROR(VLOOKUP(A1170,Pedido!$A:$C,3,0),0)</f>
        <v>0</v>
      </c>
      <c r="E1170" s="5" t="n">
        <f aca="false">IFERROR(VLOOKUP(A1170,Pedido!$A:$E,5,0),0)</f>
        <v>0</v>
      </c>
      <c r="F1170" s="1" t="s">
        <v>9</v>
      </c>
      <c r="G1170" s="1" t="s">
        <v>1526</v>
      </c>
      <c r="H1170" s="1" t="s">
        <v>600</v>
      </c>
      <c r="I1170" s="1" t="s">
        <v>226</v>
      </c>
      <c r="J1170" s="1" t="s">
        <v>2546</v>
      </c>
      <c r="K1170" s="1" t="n">
        <v>53</v>
      </c>
      <c r="L1170" s="11" t="n">
        <v>0.977042756988975</v>
      </c>
      <c r="M1170" s="1" t="n">
        <f aca="false">SUMIF(Relatorio_AK!$A:$A,A1170,Relatorio_AK!$B:$B)</f>
        <v>53</v>
      </c>
      <c r="N1170" s="1" t="str">
        <f aca="false">IF(M1170=K1170,"OK","DIF")</f>
        <v>OK</v>
      </c>
      <c r="O1170" s="13" t="str">
        <f aca="false">IFERROR(VLOOKUP($A1170,Lista_Starke!$A:$E,3,0),"NÃO ESTÁ NA LISTA")</f>
        <v>AUDI: A3 2.0 16V FSI AXW / AWA / BLR / BVY / BVZ 03/08
AUDI: A3 2.0 TFSI BWA / BPY 04/13
AUDI: A4 2.0 TFSI BGB / BPG / BWE / BWT / BPJ / BUL / BYK 04/08
AUDI: A6 2.0 TFSI BPJ / BYK / 05/11
AUDI: TT 2.0 TFSI BWA 06/10
AUDI: TT 2.0 TFSI CDLA / CDLB / CDMA 08/14
VOLKSWAGEN: Passat 2.0 FSI BWA 05/10</v>
      </c>
      <c r="P1170" s="12" t="str">
        <f aca="false">IFERROR(VLOOKUP($A1170,Lista_Starke!$A:$E,2,0),"NÃO ESTÁ NA LISTA")</f>
        <v>BOMBA DE VÁCUO FREIO</v>
      </c>
    </row>
    <row r="1171" customFormat="false" ht="15" hidden="false" customHeight="true" outlineLevel="0" collapsed="false">
      <c r="A1171" s="10" t="s">
        <v>2547</v>
      </c>
      <c r="B1171" s="10" t="str">
        <f aca="false">IFERROR(VLOOKUP(A1171,Pedido!$A:$B,2,0),"")</f>
        <v/>
      </c>
      <c r="C1171" s="10" t="str">
        <f aca="false">IF(B1171="","NÃO COMPRA","COMPRA")</f>
        <v>NÃO COMPRA</v>
      </c>
      <c r="D1171" s="1" t="n">
        <f aca="false">IFERROR(VLOOKUP(A1171,Pedido!$A:$C,3,0),0)</f>
        <v>0</v>
      </c>
      <c r="E1171" s="5" t="n">
        <f aca="false">IFERROR(VLOOKUP(A1171,Pedido!$A:$E,5,0),0)</f>
        <v>0</v>
      </c>
      <c r="F1171" s="1" t="s">
        <v>9</v>
      </c>
      <c r="G1171" s="1" t="s">
        <v>2458</v>
      </c>
      <c r="H1171" s="1" t="s">
        <v>1073</v>
      </c>
      <c r="I1171" s="1" t="s">
        <v>938</v>
      </c>
      <c r="J1171" s="1" t="s">
        <v>2548</v>
      </c>
      <c r="K1171" s="1" t="n">
        <v>53</v>
      </c>
      <c r="L1171" s="11" t="n">
        <v>0.977133361939424</v>
      </c>
      <c r="M1171" s="1" t="n">
        <f aca="false">SUMIF(Relatorio_AK!$A:$A,A1171,Relatorio_AK!$B:$B)</f>
        <v>53</v>
      </c>
      <c r="N1171" s="1" t="str">
        <f aca="false">IF(M1171=K1171,"OK","DIF")</f>
        <v>OK</v>
      </c>
      <c r="O1171" s="13" t="str">
        <f aca="false">IFERROR(VLOOKUP($A1171,Lista_Starke!$A:$E,3,0),"NÃO ESTÁ NA LISTA")</f>
        <v>JAGUAR: F-Pace 3.0 SCV6 306PS(AJ126) 15/...
LAND ROVER: Discovery IV 3.0 4x4 306PS(AJ126) 13/18
LAND ROVER: Discovery V 3.0 SCV6 4x4 306PS(AJ126) 16/...
LAND ROVER: Range Rover Sport 3.0 SCV6 4x4 306PS(AJ126) 13/19
LAND ROVER: Velar 3.0 P340 SCV6 4x4 306PS(AJ126) 18/...
LAND ROVER: Velar 3.0 P380 SCV6 4x4 306PS(AJ126) 17/...</v>
      </c>
      <c r="P1171" s="12" t="str">
        <f aca="false">IFERROR(VLOOKUP($A1171,Lista_Starke!$A:$E,2,0),"NÃO ESTÁ NA LISTA")</f>
        <v>VÁLVULA TERMOSTÁTICA</v>
      </c>
    </row>
    <row r="1172" customFormat="false" ht="15" hidden="false" customHeight="true" outlineLevel="0" collapsed="false">
      <c r="A1172" s="10" t="s">
        <v>2549</v>
      </c>
      <c r="B1172" s="10" t="str">
        <f aca="false">IFERROR(VLOOKUP(A1172,Pedido!$A:$B,2,0),"")</f>
        <v/>
      </c>
      <c r="C1172" s="10" t="str">
        <f aca="false">IF(B1172="","NÃO COMPRA","COMPRA")</f>
        <v>NÃO COMPRA</v>
      </c>
      <c r="D1172" s="1" t="n">
        <f aca="false">IFERROR(VLOOKUP(A1172,Pedido!$A:$C,3,0),0)</f>
        <v>0</v>
      </c>
      <c r="E1172" s="5" t="n">
        <f aca="false">IFERROR(VLOOKUP(A1172,Pedido!$A:$E,5,0),0)</f>
        <v>0</v>
      </c>
      <c r="F1172" s="1" t="s">
        <v>9</v>
      </c>
      <c r="G1172" s="1" t="s">
        <v>139</v>
      </c>
      <c r="H1172" s="1" t="s">
        <v>88</v>
      </c>
      <c r="I1172" s="1" t="s">
        <v>36</v>
      </c>
      <c r="J1172" s="1" t="s">
        <v>2550</v>
      </c>
      <c r="K1172" s="1" t="n">
        <v>53</v>
      </c>
      <c r="L1172" s="11" t="n">
        <v>0.977223966889874</v>
      </c>
      <c r="M1172" s="1" t="n">
        <f aca="false">SUMIF(Relatorio_AK!$A:$A,A1172,Relatorio_AK!$B:$B)</f>
        <v>53</v>
      </c>
      <c r="N1172" s="1" t="str">
        <f aca="false">IF(M1172=K1172,"OK","DIF")</f>
        <v>OK</v>
      </c>
      <c r="O1172" s="13" t="str">
        <f aca="false">IFERROR(VLOOKUP($A1172,Lista_Starke!$A:$E,3,0),"NÃO ESTÁ NA LISTA")</f>
        <v>VOLKSWAGEN: Parati 1.6 8V AP 01/...
VOLKSWAGEN: Parati 1.8 8V AP 01/...
VOLKSWAGEN: Saveiro 1.6 8V AP 96/...
VOLKSWAGEN: Saveiro 1.8 8V AP 96/...
VOLKSWAGEN: Saveiro 2.0 8V AP c/ abs 97/...</v>
      </c>
      <c r="P1172" s="12" t="str">
        <f aca="false">IFERROR(VLOOKUP($A1172,Lista_Starke!$A:$E,2,0),"NÃO ESTÁ NA LISTA")</f>
        <v>CILINDRO DE RODA LE/LD</v>
      </c>
    </row>
    <row r="1173" customFormat="false" ht="15" hidden="false" customHeight="true" outlineLevel="0" collapsed="false">
      <c r="A1173" s="10" t="s">
        <v>2551</v>
      </c>
      <c r="B1173" s="10" t="str">
        <f aca="false">IFERROR(VLOOKUP(A1173,Pedido!$A:$B,2,0),"")</f>
        <v/>
      </c>
      <c r="C1173" s="10" t="str">
        <f aca="false">IF(B1173="","NÃO COMPRA","COMPRA")</f>
        <v>NÃO COMPRA</v>
      </c>
      <c r="D1173" s="1" t="n">
        <f aca="false">IFERROR(VLOOKUP(A1173,Pedido!$A:$C,3,0),0)</f>
        <v>0</v>
      </c>
      <c r="E1173" s="5" t="n">
        <f aca="false">IFERROR(VLOOKUP(A1173,Pedido!$A:$E,5,0),0)</f>
        <v>0</v>
      </c>
      <c r="F1173" s="1" t="s">
        <v>9</v>
      </c>
      <c r="G1173" s="1" t="s">
        <v>2552</v>
      </c>
      <c r="H1173" s="1" t="s">
        <v>1358</v>
      </c>
      <c r="I1173" s="1" t="s">
        <v>57</v>
      </c>
      <c r="J1173" s="1" t="s">
        <v>2553</v>
      </c>
      <c r="K1173" s="1" t="n">
        <v>52</v>
      </c>
      <c r="L1173" s="11" t="n">
        <v>0.977312862312956</v>
      </c>
      <c r="M1173" s="1" t="n">
        <f aca="false">SUMIF(Relatorio_AK!$A:$A,A1173,Relatorio_AK!$B:$B)</f>
        <v>52</v>
      </c>
      <c r="N1173" s="1" t="str">
        <f aca="false">IF(M1173=K1173,"OK","DIF")</f>
        <v>OK</v>
      </c>
      <c r="O1173" s="13" t="str">
        <f aca="false">IFERROR(VLOOKUP($A1173,Lista_Starke!$A:$E,3,0),"NÃO ESTÁ NA LISTA")</f>
        <v>GM: Agile  09/16
GM: Celta  00/15
GM: Classic  04/15
GM: Corsa  98/03
GM: Montana  10/15
GM: Prisma  06/12</v>
      </c>
      <c r="P1173" s="12" t="str">
        <f aca="false">IFERROR(VLOOKUP($A1173,Lista_Starke!$A:$E,2,0),"NÃO ESTÁ NA LISTA")</f>
        <v>BANDEJA INFERIOR LD</v>
      </c>
    </row>
    <row r="1174" customFormat="false" ht="15" hidden="false" customHeight="true" outlineLevel="0" collapsed="false">
      <c r="A1174" s="10" t="s">
        <v>2554</v>
      </c>
      <c r="B1174" s="10" t="str">
        <f aca="false">IFERROR(VLOOKUP(A1174,Pedido!$A:$B,2,0),"")</f>
        <v/>
      </c>
      <c r="C1174" s="10" t="str">
        <f aca="false">IF(B1174="","NÃO COMPRA","COMPRA")</f>
        <v>NÃO COMPRA</v>
      </c>
      <c r="D1174" s="1" t="n">
        <f aca="false">IFERROR(VLOOKUP(A1174,Pedido!$A:$C,3,0),0)</f>
        <v>0</v>
      </c>
      <c r="E1174" s="5" t="n">
        <f aca="false">IFERROR(VLOOKUP(A1174,Pedido!$A:$E,5,0),0)</f>
        <v>0</v>
      </c>
      <c r="F1174" s="1" t="s">
        <v>9</v>
      </c>
      <c r="G1174" s="1" t="s">
        <v>984</v>
      </c>
      <c r="H1174" s="1" t="s">
        <v>197</v>
      </c>
      <c r="I1174" s="1" t="s">
        <v>2555</v>
      </c>
      <c r="J1174" s="1" t="s">
        <v>2556</v>
      </c>
      <c r="K1174" s="1" t="n">
        <v>52</v>
      </c>
      <c r="L1174" s="11" t="n">
        <v>0.977401757736038</v>
      </c>
      <c r="M1174" s="1" t="n">
        <f aca="false">SUMIF(Relatorio_AK!$A:$A,A1174,Relatorio_AK!$B:$B)</f>
        <v>52</v>
      </c>
      <c r="N1174" s="1" t="str">
        <f aca="false">IF(M1174=K1174,"OK","DIF")</f>
        <v>OK</v>
      </c>
      <c r="O1174" s="13" t="str">
        <f aca="false">IFERROR(VLOOKUP($A1174,Lista_Starke!$A:$E,3,0),"NÃO ESTÁ NA LISTA")</f>
        <v>HYUNDAI: Sonata 2.0 16V G4JPEG 01/04
HYUNDAI: Sonata 2.0 16V G4JPG 98/01
HYUNDAI: Sonata 2.4 16V G4BS 98/01
HYUNDAI: Trajet 2.0 16V G4JPG 00/08
JAC MOTORS: J6 2.0 16V HFC4EA 11/16
KIA: Magentis 2.0 16V G4JPG 01/05</v>
      </c>
      <c r="P1174" s="12" t="str">
        <f aca="false">IFERROR(VLOOKUP($A1174,Lista_Starke!$A:$E,2,0),"NÃO ESTÁ NA LISTA")</f>
        <v>BOMBA D'ÁGUA</v>
      </c>
    </row>
    <row r="1175" customFormat="false" ht="15" hidden="false" customHeight="true" outlineLevel="0" collapsed="false">
      <c r="A1175" s="10" t="s">
        <v>2557</v>
      </c>
      <c r="B1175" s="10" t="str">
        <f aca="false">IFERROR(VLOOKUP(A1175,Pedido!$A:$B,2,0),"")</f>
        <v/>
      </c>
      <c r="C1175" s="10" t="str">
        <f aca="false">IF(B1175="","NÃO COMPRA","COMPRA")</f>
        <v>NÃO COMPRA</v>
      </c>
      <c r="D1175" s="1" t="n">
        <f aca="false">IFERROR(VLOOKUP(A1175,Pedido!$A:$C,3,0),0)</f>
        <v>0</v>
      </c>
      <c r="E1175" s="5" t="n">
        <f aca="false">IFERROR(VLOOKUP(A1175,Pedido!$A:$E,5,0),0)</f>
        <v>0</v>
      </c>
      <c r="F1175" s="1" t="s">
        <v>9</v>
      </c>
      <c r="G1175" s="1" t="s">
        <v>2558</v>
      </c>
      <c r="H1175" s="1" t="s">
        <v>1358</v>
      </c>
      <c r="I1175" s="1" t="s">
        <v>373</v>
      </c>
      <c r="J1175" s="1" t="s">
        <v>2559</v>
      </c>
      <c r="K1175" s="1" t="n">
        <v>51</v>
      </c>
      <c r="L1175" s="11" t="n">
        <v>0.977488943631754</v>
      </c>
      <c r="M1175" s="1" t="n">
        <f aca="false">SUMIF(Relatorio_AK!$A:$A,A1175,Relatorio_AK!$B:$B)</f>
        <v>51</v>
      </c>
      <c r="N1175" s="1" t="str">
        <f aca="false">IF(M1175=K1175,"OK","DIF")</f>
        <v>OK</v>
      </c>
      <c r="O1175" s="13" t="str">
        <f aca="false">IFERROR(VLOOKUP($A1175,Lista_Starke!$A:$E,3,0),"NÃO ESTÁ NA LISTA")</f>
        <v>MERCEDES-BENZ: A160 (W176) 1.6 4cil M270.910 15/...
MERCEDES-BENZ: A180 (W176) 1.8 4cil M.270.910 12/...
MERCEDES-BENZ: A200 (W176) 1.6 4cil M270.910 14/...
MERCEDES-BENZ: A220 (W176) 2.0 4cil M270.920 14/...
MERCEDES-BENZ: A250 (W176) 2.0 4cil M270.920 12/...
MERCEDES-BENZ: GLA180 (X156) 1.6 4cil M270.910 15/...
MERCEDES-BENZ: GLA200 (X156) 1.6 4cil M270.910 13/...
MERCEDES-BENZ: GLA220 (X156) 2.0 4cil M270.920 17/...
MERCEDES-BENZ: GLA250 (X156) 2.0 4cil M270.920 13/...</v>
      </c>
      <c r="P1175" s="12" t="str">
        <f aca="false">IFERROR(VLOOKUP($A1175,Lista_Starke!$A:$E,2,0),"NÃO ESTÁ NA LISTA")</f>
        <v>BANDEJA INFERIOR COMPLETA LE</v>
      </c>
    </row>
    <row r="1176" customFormat="false" ht="15" hidden="false" customHeight="true" outlineLevel="0" collapsed="false">
      <c r="A1176" s="10" t="s">
        <v>2560</v>
      </c>
      <c r="B1176" s="10" t="str">
        <f aca="false">IFERROR(VLOOKUP(A1176,Pedido!$A:$B,2,0),"")</f>
        <v/>
      </c>
      <c r="C1176" s="10" t="str">
        <f aca="false">IF(B1176="","NÃO COMPRA","COMPRA")</f>
        <v>NÃO COMPRA</v>
      </c>
      <c r="D1176" s="1" t="n">
        <f aca="false">IFERROR(VLOOKUP(A1176,Pedido!$A:$C,3,0),0)</f>
        <v>0</v>
      </c>
      <c r="E1176" s="5" t="n">
        <f aca="false">IFERROR(VLOOKUP(A1176,Pedido!$A:$E,5,0),0)</f>
        <v>0</v>
      </c>
      <c r="F1176" s="1" t="s">
        <v>9</v>
      </c>
      <c r="G1176" s="1" t="s">
        <v>1878</v>
      </c>
      <c r="H1176" s="1" t="s">
        <v>2420</v>
      </c>
      <c r="I1176" s="1" t="s">
        <v>177</v>
      </c>
      <c r="J1176" s="1" t="s">
        <v>2561</v>
      </c>
      <c r="K1176" s="1" t="n">
        <v>51</v>
      </c>
      <c r="L1176" s="11" t="n">
        <v>0.977576129527469</v>
      </c>
      <c r="M1176" s="1" t="n">
        <f aca="false">SUMIF(Relatorio_AK!$A:$A,A1176,Relatorio_AK!$B:$B)</f>
        <v>51</v>
      </c>
      <c r="N1176" s="1" t="str">
        <f aca="false">IF(M1176=K1176,"OK","DIF")</f>
        <v>OK</v>
      </c>
      <c r="O1176" s="13" t="str">
        <f aca="false">IFERROR(VLOOKUP($A1176,Lista_Starke!$A:$E,3,0),"NÃO ESTÁ NA LISTA")</f>
        <v>TOYOTA: Hilux  05/20
TOYOTA: SW4  05/20</v>
      </c>
      <c r="P1176" s="12" t="str">
        <f aca="false">IFERROR(VLOOKUP($A1176,Lista_Starke!$A:$E,2,0),"NÃO ESTÁ NA LISTA")</f>
        <v>BANDEJA SUPERIOR COMPLETA LE</v>
      </c>
    </row>
    <row r="1177" customFormat="false" ht="15" hidden="false" customHeight="true" outlineLevel="0" collapsed="false">
      <c r="A1177" s="10" t="s">
        <v>2562</v>
      </c>
      <c r="B1177" s="10" t="str">
        <f aca="false">IFERROR(VLOOKUP(A1177,Pedido!$A:$B,2,0),"")</f>
        <v/>
      </c>
      <c r="C1177" s="10" t="str">
        <f aca="false">IF(B1177="","NÃO COMPRA","COMPRA")</f>
        <v>NÃO COMPRA</v>
      </c>
      <c r="D1177" s="1" t="n">
        <f aca="false">IFERROR(VLOOKUP(A1177,Pedido!$A:$C,3,0),0)</f>
        <v>0</v>
      </c>
      <c r="E1177" s="5" t="n">
        <f aca="false">IFERROR(VLOOKUP(A1177,Pedido!$A:$E,5,0),0)</f>
        <v>0</v>
      </c>
      <c r="F1177" s="1" t="s">
        <v>9</v>
      </c>
      <c r="G1177" s="1" t="s">
        <v>2563</v>
      </c>
      <c r="H1177" s="1" t="s">
        <v>1358</v>
      </c>
      <c r="I1177" s="1" t="s">
        <v>684</v>
      </c>
      <c r="J1177" s="1" t="s">
        <v>2564</v>
      </c>
      <c r="K1177" s="1" t="n">
        <v>51</v>
      </c>
      <c r="L1177" s="11" t="n">
        <v>0.977663315423185</v>
      </c>
      <c r="M1177" s="1" t="n">
        <f aca="false">SUMIF(Relatorio_AK!$A:$A,A1177,Relatorio_AK!$B:$B)</f>
        <v>51</v>
      </c>
      <c r="N1177" s="1" t="str">
        <f aca="false">IF(M1177=K1177,"OK","DIF")</f>
        <v>OK</v>
      </c>
      <c r="O1177" s="12" t="str">
        <f aca="false">IFERROR(VLOOKUP($A1177,Lista_Starke!$A:$E,3,0),"NÃO ESTÁ NA LISTA")</f>
        <v>LAND ROVER: Evoque  11/19</v>
      </c>
      <c r="P1177" s="12" t="str">
        <f aca="false">IFERROR(VLOOKUP($A1177,Lista_Starke!$A:$E,2,0),"NÃO ESTÁ NA LISTA")</f>
        <v>BANDEJA INFERIOR COMPLETA LE</v>
      </c>
    </row>
    <row r="1178" customFormat="false" ht="15" hidden="false" customHeight="true" outlineLevel="0" collapsed="false">
      <c r="A1178" s="10" t="s">
        <v>2565</v>
      </c>
      <c r="B1178" s="10" t="str">
        <f aca="false">IFERROR(VLOOKUP(A1178,Pedido!$A:$B,2,0),"")</f>
        <v/>
      </c>
      <c r="C1178" s="10" t="str">
        <f aca="false">IF(B1178="","NÃO COMPRA","COMPRA")</f>
        <v>NÃO COMPRA</v>
      </c>
      <c r="D1178" s="1" t="n">
        <f aca="false">IFERROR(VLOOKUP(A1178,Pedido!$A:$C,3,0),0)</f>
        <v>0</v>
      </c>
      <c r="E1178" s="5" t="n">
        <f aca="false">IFERROR(VLOOKUP(A1178,Pedido!$A:$E,5,0),0)</f>
        <v>0</v>
      </c>
      <c r="F1178" s="1" t="s">
        <v>9</v>
      </c>
      <c r="G1178" s="1" t="s">
        <v>2566</v>
      </c>
      <c r="H1178" s="1" t="s">
        <v>1358</v>
      </c>
      <c r="I1178" s="1" t="s">
        <v>684</v>
      </c>
      <c r="J1178" s="1" t="s">
        <v>2567</v>
      </c>
      <c r="K1178" s="1" t="n">
        <v>51</v>
      </c>
      <c r="L1178" s="11" t="n">
        <v>0.9777505013189</v>
      </c>
      <c r="M1178" s="1" t="n">
        <f aca="false">SUMIF(Relatorio_AK!$A:$A,A1178,Relatorio_AK!$B:$B)</f>
        <v>51</v>
      </c>
      <c r="N1178" s="1" t="str">
        <f aca="false">IF(M1178=K1178,"OK","DIF")</f>
        <v>OK</v>
      </c>
      <c r="O1178" s="12" t="str">
        <f aca="false">IFERROR(VLOOKUP($A1178,Lista_Starke!$A:$E,3,0),"NÃO ESTÁ NA LISTA")</f>
        <v>LAND ROVER: Evoque  11/19</v>
      </c>
      <c r="P1178" s="12" t="str">
        <f aca="false">IFERROR(VLOOKUP($A1178,Lista_Starke!$A:$E,2,0),"NÃO ESTÁ NA LISTA")</f>
        <v>BANDEJA INFERIOR COMPLETA LD</v>
      </c>
    </row>
    <row r="1179" customFormat="false" ht="15" hidden="false" customHeight="true" outlineLevel="0" collapsed="false">
      <c r="A1179" s="10" t="s">
        <v>2568</v>
      </c>
      <c r="B1179" s="10" t="str">
        <f aca="false">IFERROR(VLOOKUP(A1179,Pedido!$A:$B,2,0),"")</f>
        <v/>
      </c>
      <c r="C1179" s="10" t="str">
        <f aca="false">IF(B1179="","NÃO COMPRA","COMPRA")</f>
        <v>NÃO COMPRA</v>
      </c>
      <c r="D1179" s="1" t="n">
        <f aca="false">IFERROR(VLOOKUP(A1179,Pedido!$A:$C,3,0),0)</f>
        <v>0</v>
      </c>
      <c r="E1179" s="5" t="n">
        <f aca="false">IFERROR(VLOOKUP(A1179,Pedido!$A:$E,5,0),0)</f>
        <v>0</v>
      </c>
      <c r="F1179" s="1" t="s">
        <v>9</v>
      </c>
      <c r="G1179" s="1" t="s">
        <v>851</v>
      </c>
      <c r="H1179" s="1" t="s">
        <v>32</v>
      </c>
      <c r="I1179" s="1" t="s">
        <v>226</v>
      </c>
      <c r="K1179" s="1" t="n">
        <v>51</v>
      </c>
      <c r="L1179" s="11" t="n">
        <v>0.977837687214616</v>
      </c>
      <c r="M1179" s="1" t="n">
        <f aca="false">SUMIF(Relatorio_AK!$A:$A,A1179,Relatorio_AK!$B:$B)</f>
        <v>51</v>
      </c>
      <c r="N1179" s="1" t="str">
        <f aca="false">IF(M1179=K1179,"OK","DIF")</f>
        <v>OK</v>
      </c>
      <c r="O1179" s="13" t="str">
        <f aca="false">IFERROR(VLOOKUP($A1179,Lista_Starke!$A:$E,3,0),"NÃO ESTÁ NA LISTA")</f>
        <v>AUDI: Q3 1.4 16V TFSI 17/...
AUDI: Q3 2.0 16V TFSI 12//...
VOLKSWAGEN: Passat 2.0 16V Turbo 07/...
VOLKSWAGEN: Passat 3.6 VR6 07/...
VOLKSWAGEN: Passat CC 2.0 16V Turbo 07/...
VOLKSWAGEN: Passat CC 3.6 V6 FSI 07/...
VOLKSWAGEN: Tiguan 1.4 16V TSI 13/...
VOLKSWAGEN: Tiguan 2.0 16V TSI 09/...</v>
      </c>
      <c r="P1179" s="12" t="str">
        <f aca="false">IFERROR(VLOOKUP($A1179,Lista_Starke!$A:$E,2,0),"NÃO ESTÁ NA LISTA")</f>
        <v>CILINDRO MESTRE DE EMBREAGEM</v>
      </c>
    </row>
    <row r="1180" customFormat="false" ht="15" hidden="false" customHeight="true" outlineLevel="0" collapsed="false">
      <c r="A1180" s="10" t="s">
        <v>2569</v>
      </c>
      <c r="B1180" s="10" t="str">
        <f aca="false">IFERROR(VLOOKUP(A1180,Pedido!$A:$B,2,0),"")</f>
        <v/>
      </c>
      <c r="C1180" s="10" t="str">
        <f aca="false">IF(B1180="","NÃO COMPRA","COMPRA")</f>
        <v>NÃO COMPRA</v>
      </c>
      <c r="D1180" s="1" t="n">
        <f aca="false">IFERROR(VLOOKUP(A1180,Pedido!$A:$C,3,0),0)</f>
        <v>0</v>
      </c>
      <c r="E1180" s="5" t="n">
        <f aca="false">IFERROR(VLOOKUP(A1180,Pedido!$A:$E,5,0),0)</f>
        <v>0</v>
      </c>
      <c r="F1180" s="1" t="s">
        <v>9</v>
      </c>
      <c r="G1180" s="1" t="s">
        <v>2116</v>
      </c>
      <c r="H1180" s="1" t="s">
        <v>1131</v>
      </c>
      <c r="I1180" s="1" t="s">
        <v>1157</v>
      </c>
      <c r="J1180" s="1" t="s">
        <v>2570</v>
      </c>
      <c r="K1180" s="1" t="n">
        <v>51</v>
      </c>
      <c r="L1180" s="11" t="n">
        <v>0.977924873110331</v>
      </c>
      <c r="M1180" s="1" t="n">
        <f aca="false">SUMIF(Relatorio_AK!$A:$A,A1180,Relatorio_AK!$B:$B)</f>
        <v>51</v>
      </c>
      <c r="N1180" s="1" t="str">
        <f aca="false">IF(M1180=K1180,"OK","DIF")</f>
        <v>OK</v>
      </c>
      <c r="O1180" s="13" t="str">
        <f aca="false">IFERROR(VLOOKUP($A1180,Lista_Starke!$A:$E,3,0),"NÃO ESTÁ NA LISTA")</f>
        <v>BMW: 116i 1.6 16V N13B16A 09/12-02/14
BMW: 118i 1.6 16V N13B16A 11/12-02/14
BMW: 316i 1.6 16V N13B16A 07/12-02/14</v>
      </c>
      <c r="P1180" s="12" t="str">
        <f aca="false">IFERROR(VLOOKUP($A1180,Lista_Starke!$A:$E,2,0),"NÃO ESTÁ NA LISTA")</f>
        <v>BOMBA DE ALTA PRESSÃO GDI</v>
      </c>
    </row>
    <row r="1181" customFormat="false" ht="15" hidden="false" customHeight="true" outlineLevel="0" collapsed="false">
      <c r="A1181" s="10" t="s">
        <v>2571</v>
      </c>
      <c r="B1181" s="10" t="str">
        <f aca="false">IFERROR(VLOOKUP(A1181,Pedido!$A:$B,2,0),"")</f>
        <v/>
      </c>
      <c r="C1181" s="10" t="str">
        <f aca="false">IF(B1181="","NÃO COMPRA","COMPRA")</f>
        <v>NÃO COMPRA</v>
      </c>
      <c r="D1181" s="1" t="n">
        <f aca="false">IFERROR(VLOOKUP(A1181,Pedido!$A:$C,3,0),0)</f>
        <v>0</v>
      </c>
      <c r="E1181" s="5" t="n">
        <f aca="false">IFERROR(VLOOKUP(A1181,Pedido!$A:$E,5,0),0)</f>
        <v>0</v>
      </c>
      <c r="F1181" s="1" t="s">
        <v>9</v>
      </c>
      <c r="G1181" s="1" t="s">
        <v>168</v>
      </c>
      <c r="H1181" s="1" t="s">
        <v>845</v>
      </c>
      <c r="I1181" s="1" t="s">
        <v>57</v>
      </c>
      <c r="J1181" s="1" t="s">
        <v>2572</v>
      </c>
      <c r="K1181" s="1" t="n">
        <v>51</v>
      </c>
      <c r="L1181" s="11" t="n">
        <v>0.978012059006046</v>
      </c>
      <c r="M1181" s="1" t="n">
        <f aca="false">SUMIF(Relatorio_AK!$A:$A,A1181,Relatorio_AK!$B:$B)</f>
        <v>51</v>
      </c>
      <c r="N1181" s="1" t="str">
        <f aca="false">IF(M1181=K1181,"OK","DIF")</f>
        <v>OK</v>
      </c>
      <c r="O1181" s="13" t="str">
        <f aca="false">IFERROR(VLOOKUP($A1181,Lista_Starke!$A:$E,3,0),"NÃO ESTÁ NA LISTA")</f>
        <v>GM: Trailblazer 2.8 Turbodiesel 12/20
GM: Trailblazer 3.6 V6 12/20</v>
      </c>
      <c r="P1181" s="12" t="str">
        <f aca="false">IFERROR(VLOOKUP($A1181,Lista_Starke!$A:$E,2,0),"NÃO ESTÁ NA LISTA")</f>
        <v>SAPATA DE FREIO DE MÃO</v>
      </c>
    </row>
    <row r="1182" customFormat="false" ht="15" hidden="false" customHeight="true" outlineLevel="0" collapsed="false">
      <c r="A1182" s="10" t="s">
        <v>2573</v>
      </c>
      <c r="B1182" s="10" t="str">
        <f aca="false">IFERROR(VLOOKUP(A1182,Pedido!$A:$B,2,0),"")</f>
        <v/>
      </c>
      <c r="C1182" s="10" t="str">
        <f aca="false">IF(B1182="","NÃO COMPRA","COMPRA")</f>
        <v>NÃO COMPRA</v>
      </c>
      <c r="D1182" s="1" t="n">
        <f aca="false">IFERROR(VLOOKUP(A1182,Pedido!$A:$C,3,0),0)</f>
        <v>0</v>
      </c>
      <c r="E1182" s="5" t="n">
        <f aca="false">IFERROR(VLOOKUP(A1182,Pedido!$A:$E,5,0),0)</f>
        <v>0</v>
      </c>
      <c r="F1182" s="1" t="s">
        <v>9</v>
      </c>
      <c r="G1182" s="1" t="s">
        <v>542</v>
      </c>
      <c r="H1182" s="1" t="s">
        <v>35</v>
      </c>
      <c r="I1182" s="1" t="s">
        <v>77</v>
      </c>
      <c r="J1182" s="1" t="s">
        <v>2574</v>
      </c>
      <c r="K1182" s="1" t="n">
        <v>51</v>
      </c>
      <c r="L1182" s="11" t="n">
        <v>0.978099244901762</v>
      </c>
      <c r="M1182" s="1" t="n">
        <f aca="false">SUMIF(Relatorio_AK!$A:$A,A1182,Relatorio_AK!$B:$B)</f>
        <v>51</v>
      </c>
      <c r="N1182" s="1" t="str">
        <f aca="false">IF(M1182=K1182,"OK","DIF")</f>
        <v>OK</v>
      </c>
      <c r="O1182" s="13" t="str">
        <f aca="false">IFERROR(VLOOKUP($A1182,Lista_Starke!$A:$E,3,0),"NÃO ESTÁ NA LISTA")</f>
        <v>CITROEN: C4 1.6 16V TU5JP4 04/11
CITROEN: C4 Pallas 1.6 16V TU5JP4 06/11
PEUGEOT: 307 / SW 1.6 16V TU5JP4 00/09
PEUGEOT: 307 / SW 2.0 16V EW10A 05/07</v>
      </c>
      <c r="P1182" s="12" t="str">
        <f aca="false">IFERROR(VLOOKUP($A1182,Lista_Starke!$A:$E,2,0),"NÃO ESTÁ NA LISTA")</f>
        <v>CILINDRO MESTRE DE FREIO</v>
      </c>
    </row>
    <row r="1183" customFormat="false" ht="15" hidden="false" customHeight="true" outlineLevel="0" collapsed="false">
      <c r="A1183" s="10" t="s">
        <v>2575</v>
      </c>
      <c r="B1183" s="10" t="str">
        <f aca="false">IFERROR(VLOOKUP(A1183,Pedido!$A:$B,2,0),"")</f>
        <v/>
      </c>
      <c r="C1183" s="10" t="str">
        <f aca="false">IF(B1183="","NÃO COMPRA","COMPRA")</f>
        <v>NÃO COMPRA</v>
      </c>
      <c r="D1183" s="1" t="n">
        <f aca="false">IFERROR(VLOOKUP(A1183,Pedido!$A:$C,3,0),0)</f>
        <v>0</v>
      </c>
      <c r="E1183" s="5" t="n">
        <f aca="false">IFERROR(VLOOKUP(A1183,Pedido!$A:$E,5,0),0)</f>
        <v>0</v>
      </c>
      <c r="F1183" s="1" t="s">
        <v>9</v>
      </c>
      <c r="G1183" s="1" t="s">
        <v>2576</v>
      </c>
      <c r="H1183" s="1" t="s">
        <v>1951</v>
      </c>
      <c r="I1183" s="1" t="s">
        <v>373</v>
      </c>
      <c r="K1183" s="1" t="n">
        <v>50</v>
      </c>
      <c r="L1183" s="11" t="n">
        <v>0.97818472127011</v>
      </c>
      <c r="M1183" s="1" t="n">
        <f aca="false">SUMIF(Relatorio_AK!$A:$A,A1183,Relatorio_AK!$B:$B)</f>
        <v>50</v>
      </c>
      <c r="N1183" s="1" t="str">
        <f aca="false">IF(M1183=K1183,"OK","DIF")</f>
        <v>OK</v>
      </c>
      <c r="O1183" s="13" t="str">
        <f aca="false">IFERROR(VLOOKUP($A1183,Lista_Starke!$A:$E,3,0),"NÃO ESTÁ NA LISTA")</f>
        <v>MERCEDES-BENZ: C180 (W204)  07/14
MERCEDES-BENZ: C200 (W204)  07/14
MERCEDES-BENZ: C300 (W204)  07/14</v>
      </c>
      <c r="P1183" s="12" t="str">
        <f aca="false">IFERROR(VLOOKUP($A1183,Lista_Starke!$A:$E,2,0),"NÃO ESTÁ NA LISTA")</f>
        <v>KIT BRAÇO OSCILANTE DIANT SUP/INF COMPLETO LE/LD</v>
      </c>
    </row>
    <row r="1184" customFormat="false" ht="15" hidden="false" customHeight="true" outlineLevel="0" collapsed="false">
      <c r="A1184" s="10" t="s">
        <v>2577</v>
      </c>
      <c r="B1184" s="10" t="str">
        <f aca="false">IFERROR(VLOOKUP(A1184,Pedido!$A:$B,2,0),"")</f>
        <v/>
      </c>
      <c r="C1184" s="10" t="str">
        <f aca="false">IF(B1184="","NÃO COMPRA","COMPRA")</f>
        <v>NÃO COMPRA</v>
      </c>
      <c r="D1184" s="1" t="n">
        <f aca="false">IFERROR(VLOOKUP(A1184,Pedido!$A:$C,3,0),0)</f>
        <v>0</v>
      </c>
      <c r="E1184" s="5" t="n">
        <f aca="false">IFERROR(VLOOKUP(A1184,Pedido!$A:$E,5,0),0)</f>
        <v>0</v>
      </c>
      <c r="F1184" s="1" t="s">
        <v>9</v>
      </c>
      <c r="G1184" s="1" t="s">
        <v>2578</v>
      </c>
      <c r="H1184" s="1" t="s">
        <v>1951</v>
      </c>
      <c r="I1184" s="1" t="s">
        <v>1157</v>
      </c>
      <c r="K1184" s="1" t="n">
        <v>50</v>
      </c>
      <c r="L1184" s="11" t="n">
        <v>0.978270197638459</v>
      </c>
      <c r="M1184" s="1" t="n">
        <f aca="false">SUMIF(Relatorio_AK!$A:$A,A1184,Relatorio_AK!$B:$B)</f>
        <v>50</v>
      </c>
      <c r="N1184" s="1" t="str">
        <f aca="false">IF(M1184=K1184,"OK","DIF")</f>
        <v>OK</v>
      </c>
      <c r="O1184" s="13" t="str">
        <f aca="false">IFERROR(VLOOKUP($A1184,Lista_Starke!$A:$E,3,0),"NÃO ESTÁ NA LISTA")</f>
        <v>BMW: 118i (E87)  05/12
BMW: 120i (E87)  05/12
BMW: 318i (E90)  05/12
BMW: 320i (E90)  05/12
BMW: 325i (E90)  05/12
BMW: 328i (E90)  05/12
BMW: 330i (E90)  05/12
BMW: X1 (E84) sDrive 16i  10/15
BMW: X1 (E84) sDrive 18i  10/15
BMW: X1 (E84) sDrive 20i  10/15
BMW: X1 (E84) xDrive 25i  10/15
BMW: X1 (E84) xDrive 28i  10/15</v>
      </c>
      <c r="P1184" s="12" t="str">
        <f aca="false">IFERROR(VLOOKUP($A1184,Lista_Starke!$A:$E,2,0),"NÃO ESTÁ NA LISTA")</f>
        <v>KIT BRAÇO OSCILANTE DIANT SUP/INF COMPLETO LE/LD</v>
      </c>
    </row>
    <row r="1185" customFormat="false" ht="15" hidden="false" customHeight="true" outlineLevel="0" collapsed="false">
      <c r="A1185" s="10" t="s">
        <v>2579</v>
      </c>
      <c r="B1185" s="10" t="str">
        <f aca="false">IFERROR(VLOOKUP(A1185,Pedido!$A:$B,2,0),"")</f>
        <v/>
      </c>
      <c r="C1185" s="10" t="str">
        <f aca="false">IF(B1185="","NÃO COMPRA","COMPRA")</f>
        <v>NÃO COMPRA</v>
      </c>
      <c r="D1185" s="1" t="n">
        <f aca="false">IFERROR(VLOOKUP(A1185,Pedido!$A:$C,3,0),0)</f>
        <v>0</v>
      </c>
      <c r="E1185" s="5" t="n">
        <f aca="false">IFERROR(VLOOKUP(A1185,Pedido!$A:$E,5,0),0)</f>
        <v>0</v>
      </c>
      <c r="F1185" s="1" t="s">
        <v>9</v>
      </c>
      <c r="G1185" s="1" t="s">
        <v>2580</v>
      </c>
      <c r="H1185" s="1" t="s">
        <v>1951</v>
      </c>
      <c r="I1185" s="1" t="s">
        <v>1157</v>
      </c>
      <c r="K1185" s="1" t="n">
        <v>50</v>
      </c>
      <c r="L1185" s="11" t="n">
        <v>0.978355674006807</v>
      </c>
      <c r="M1185" s="1" t="n">
        <f aca="false">SUMIF(Relatorio_AK!$A:$A,A1185,Relatorio_AK!$B:$B)</f>
        <v>50</v>
      </c>
      <c r="N1185" s="1" t="str">
        <f aca="false">IF(M1185=K1185,"OK","DIF")</f>
        <v>OK</v>
      </c>
      <c r="O1185" s="13" t="str">
        <f aca="false">IFERROR(VLOOKUP($A1185,Lista_Starke!$A:$E,3,0),"NÃO ESTÁ NA LISTA")</f>
        <v>BMW: 320i (G20)  18/...
BMW: 330e (G20)  18/...
BMW: 330i (G20)  18/...
BMW: 340i (G20)  18/...
BMW: 420i (G22)  20/...
BMW: 430i (G23)  20/...
BMW: 440i (G26)  20/...</v>
      </c>
      <c r="P1185" s="12" t="str">
        <f aca="false">IFERROR(VLOOKUP($A1185,Lista_Starke!$A:$E,2,0),"NÃO ESTÁ NA LISTA")</f>
        <v>KIT BRAÇO OSCILANTE DIANT INFERIOR COMPLETO LE/LD</v>
      </c>
    </row>
    <row r="1186" customFormat="false" ht="15" hidden="false" customHeight="true" outlineLevel="0" collapsed="false">
      <c r="A1186" s="10" t="s">
        <v>2581</v>
      </c>
      <c r="B1186" s="10" t="str">
        <f aca="false">IFERROR(VLOOKUP(A1186,Pedido!$A:$B,2,0),"")</f>
        <v/>
      </c>
      <c r="C1186" s="10" t="str">
        <f aca="false">IF(B1186="","NÃO COMPRA","COMPRA")</f>
        <v>NÃO COMPRA</v>
      </c>
      <c r="D1186" s="1" t="n">
        <f aca="false">IFERROR(VLOOKUP(A1186,Pedido!$A:$C,3,0),0)</f>
        <v>0</v>
      </c>
      <c r="E1186" s="5" t="n">
        <f aca="false">IFERROR(VLOOKUP(A1186,Pedido!$A:$E,5,0),0)</f>
        <v>0</v>
      </c>
      <c r="F1186" s="1" t="s">
        <v>9</v>
      </c>
      <c r="G1186" s="1" t="s">
        <v>1906</v>
      </c>
      <c r="H1186" s="1" t="s">
        <v>2420</v>
      </c>
      <c r="I1186" s="1" t="s">
        <v>53</v>
      </c>
      <c r="J1186" s="1" t="s">
        <v>2582</v>
      </c>
      <c r="K1186" s="1" t="n">
        <v>50</v>
      </c>
      <c r="L1186" s="11" t="n">
        <v>0.978441150375156</v>
      </c>
      <c r="M1186" s="1" t="n">
        <f aca="false">SUMIF(Relatorio_AK!$A:$A,A1186,Relatorio_AK!$B:$B)</f>
        <v>50</v>
      </c>
      <c r="N1186" s="1" t="str">
        <f aca="false">IF(M1186=K1186,"OK","DIF")</f>
        <v>OK</v>
      </c>
      <c r="O1186" s="13" t="str">
        <f aca="false">IFERROR(VLOOKUP($A1186,Lista_Starke!$A:$E,3,0),"NÃO ESTÁ NA LISTA")</f>
        <v>FORD: Explorer  91/01
FORD: Ranger  98/11</v>
      </c>
      <c r="P1186" s="12" t="str">
        <f aca="false">IFERROR(VLOOKUP($A1186,Lista_Starke!$A:$E,2,0),"NÃO ESTÁ NA LISTA")</f>
        <v>BANDEJA SUPERIOR COMPLETA LE</v>
      </c>
    </row>
    <row r="1187" customFormat="false" ht="15" hidden="false" customHeight="true" outlineLevel="0" collapsed="false">
      <c r="A1187" s="10" t="s">
        <v>2583</v>
      </c>
      <c r="B1187" s="10" t="str">
        <f aca="false">IFERROR(VLOOKUP(A1187,Pedido!$A:$B,2,0),"")</f>
        <v/>
      </c>
      <c r="C1187" s="10" t="str">
        <f aca="false">IF(B1187="","NÃO COMPRA","COMPRA")</f>
        <v>NÃO COMPRA</v>
      </c>
      <c r="D1187" s="1" t="n">
        <f aca="false">IFERROR(VLOOKUP(A1187,Pedido!$A:$C,3,0),0)</f>
        <v>0</v>
      </c>
      <c r="E1187" s="5" t="n">
        <f aca="false">IFERROR(VLOOKUP(A1187,Pedido!$A:$E,5,0),0)</f>
        <v>0</v>
      </c>
      <c r="F1187" s="1" t="s">
        <v>9</v>
      </c>
      <c r="G1187" s="1" t="s">
        <v>1931</v>
      </c>
      <c r="H1187" s="1" t="s">
        <v>2420</v>
      </c>
      <c r="I1187" s="1" t="s">
        <v>53</v>
      </c>
      <c r="J1187" s="1" t="s">
        <v>2584</v>
      </c>
      <c r="K1187" s="1" t="n">
        <v>50</v>
      </c>
      <c r="L1187" s="11" t="n">
        <v>0.978526626743504</v>
      </c>
      <c r="M1187" s="1" t="n">
        <f aca="false">SUMIF(Relatorio_AK!$A:$A,A1187,Relatorio_AK!$B:$B)</f>
        <v>50</v>
      </c>
      <c r="N1187" s="1" t="str">
        <f aca="false">IF(M1187=K1187,"OK","DIF")</f>
        <v>OK</v>
      </c>
      <c r="O1187" s="13" t="str">
        <f aca="false">IFERROR(VLOOKUP($A1187,Lista_Starke!$A:$E,3,0),"NÃO ESTÁ NA LISTA")</f>
        <v>FORD: Explorer  91/01
FORD: Ranger  98/11</v>
      </c>
      <c r="P1187" s="12" t="str">
        <f aca="false">IFERROR(VLOOKUP($A1187,Lista_Starke!$A:$E,2,0),"NÃO ESTÁ NA LISTA")</f>
        <v>BANDEJA SUPERIOR COMPLETA LD</v>
      </c>
    </row>
    <row r="1188" customFormat="false" ht="15" hidden="false" customHeight="true" outlineLevel="0" collapsed="false">
      <c r="A1188" s="10" t="s">
        <v>2585</v>
      </c>
      <c r="B1188" s="10" t="str">
        <f aca="false">IFERROR(VLOOKUP(A1188,Pedido!$A:$B,2,0),"")</f>
        <v/>
      </c>
      <c r="C1188" s="10" t="str">
        <f aca="false">IF(B1188="","NÃO COMPRA","COMPRA")</f>
        <v>NÃO COMPRA</v>
      </c>
      <c r="D1188" s="1" t="n">
        <f aca="false">IFERROR(VLOOKUP(A1188,Pedido!$A:$C,3,0),0)</f>
        <v>0</v>
      </c>
      <c r="E1188" s="5" t="n">
        <f aca="false">IFERROR(VLOOKUP(A1188,Pedido!$A:$E,5,0),0)</f>
        <v>0</v>
      </c>
      <c r="F1188" s="1" t="s">
        <v>9</v>
      </c>
      <c r="G1188" s="1" t="s">
        <v>1881</v>
      </c>
      <c r="H1188" s="1" t="s">
        <v>1358</v>
      </c>
      <c r="I1188" s="1" t="s">
        <v>57</v>
      </c>
      <c r="J1188" s="1" t="s">
        <v>2586</v>
      </c>
      <c r="K1188" s="1" t="n">
        <v>50</v>
      </c>
      <c r="L1188" s="11" t="n">
        <v>0.978612103111853</v>
      </c>
      <c r="M1188" s="1" t="n">
        <f aca="false">SUMIF(Relatorio_AK!$A:$A,A1188,Relatorio_AK!$B:$B)</f>
        <v>50</v>
      </c>
      <c r="N1188" s="1" t="str">
        <f aca="false">IF(M1188=K1188,"OK","DIF")</f>
        <v>OK</v>
      </c>
      <c r="O1188" s="12" t="str">
        <f aca="false">IFERROR(VLOOKUP($A1188,Lista_Starke!$A:$E,3,0),"NÃO ESTÁ NA LISTA")</f>
        <v>GM: Cruze  11/16</v>
      </c>
      <c r="P1188" s="12" t="str">
        <f aca="false">IFERROR(VLOOKUP($A1188,Lista_Starke!$A:$E,2,0),"NÃO ESTÁ NA LISTA")</f>
        <v>BANDEJA INFERIOR COMPLETA LE</v>
      </c>
    </row>
    <row r="1189" customFormat="false" ht="15" hidden="false" customHeight="true" outlineLevel="0" collapsed="false">
      <c r="A1189" s="10" t="s">
        <v>2587</v>
      </c>
      <c r="B1189" s="10" t="str">
        <f aca="false">IFERROR(VLOOKUP(A1189,Pedido!$A:$B,2,0),"")</f>
        <v/>
      </c>
      <c r="C1189" s="10" t="str">
        <f aca="false">IF(B1189="","NÃO COMPRA","COMPRA")</f>
        <v>NÃO COMPRA</v>
      </c>
      <c r="D1189" s="1" t="n">
        <f aca="false">IFERROR(VLOOKUP(A1189,Pedido!$A:$C,3,0),0)</f>
        <v>0</v>
      </c>
      <c r="E1189" s="5" t="n">
        <f aca="false">IFERROR(VLOOKUP(A1189,Pedido!$A:$E,5,0),0)</f>
        <v>0</v>
      </c>
      <c r="F1189" s="1" t="s">
        <v>9</v>
      </c>
      <c r="G1189" s="1" t="s">
        <v>2099</v>
      </c>
      <c r="H1189" s="1" t="s">
        <v>1358</v>
      </c>
      <c r="I1189" s="1" t="s">
        <v>57</v>
      </c>
      <c r="J1189" s="1" t="s">
        <v>2588</v>
      </c>
      <c r="K1189" s="1" t="n">
        <v>50</v>
      </c>
      <c r="L1189" s="11" t="n">
        <v>0.978697579480201</v>
      </c>
      <c r="M1189" s="1" t="n">
        <f aca="false">SUMIF(Relatorio_AK!$A:$A,A1189,Relatorio_AK!$B:$B)</f>
        <v>50</v>
      </c>
      <c r="N1189" s="1" t="str">
        <f aca="false">IF(M1189=K1189,"OK","DIF")</f>
        <v>OK</v>
      </c>
      <c r="O1189" s="12" t="str">
        <f aca="false">IFERROR(VLOOKUP($A1189,Lista_Starke!$A:$E,3,0),"NÃO ESTÁ NA LISTA")</f>
        <v>GM: Cruze  11/16</v>
      </c>
      <c r="P1189" s="12" t="str">
        <f aca="false">IFERROR(VLOOKUP($A1189,Lista_Starke!$A:$E,2,0),"NÃO ESTÁ NA LISTA")</f>
        <v>BANDEJA INFERIOR COMPLETA LD</v>
      </c>
    </row>
    <row r="1190" customFormat="false" ht="15" hidden="false" customHeight="true" outlineLevel="0" collapsed="false">
      <c r="A1190" s="10" t="s">
        <v>2589</v>
      </c>
      <c r="B1190" s="10" t="str">
        <f aca="false">IFERROR(VLOOKUP(A1190,Pedido!$A:$B,2,0),"")</f>
        <v/>
      </c>
      <c r="C1190" s="10" t="str">
        <f aca="false">IF(B1190="","NÃO COMPRA","COMPRA")</f>
        <v>NÃO COMPRA</v>
      </c>
      <c r="D1190" s="1" t="n">
        <f aca="false">IFERROR(VLOOKUP(A1190,Pedido!$A:$C,3,0),0)</f>
        <v>0</v>
      </c>
      <c r="E1190" s="5" t="n">
        <f aca="false">IFERROR(VLOOKUP(A1190,Pedido!$A:$E,5,0),0)</f>
        <v>0</v>
      </c>
      <c r="F1190" s="1" t="s">
        <v>9</v>
      </c>
      <c r="G1190" s="1" t="s">
        <v>2590</v>
      </c>
      <c r="H1190" s="1" t="s">
        <v>1714</v>
      </c>
      <c r="I1190" s="1" t="s">
        <v>929</v>
      </c>
      <c r="J1190" s="1" t="s">
        <v>2591</v>
      </c>
      <c r="K1190" s="1" t="n">
        <v>50</v>
      </c>
      <c r="L1190" s="11" t="n">
        <v>0.978783055848549</v>
      </c>
      <c r="M1190" s="1" t="n">
        <f aca="false">SUMIF(Relatorio_AK!$A:$A,A1190,Relatorio_AK!$B:$B)</f>
        <v>50</v>
      </c>
      <c r="N1190" s="1" t="str">
        <f aca="false">IF(M1190=K1190,"OK","DIF")</f>
        <v>OK</v>
      </c>
      <c r="O1190" s="13" t="str">
        <f aca="false">IFERROR(VLOOKUP($A1190,Lista_Starke!$A:$E,3,0),"NÃO ESTÁ NA LISTA")</f>
        <v>SUZUKI: Grand Vitara 1.6 16V 97/...
SUZUKI: Jimny 1.3 16V 98/...
SUZUKI: Samurai 1.3 16V 91/...
SUZUKI: Sidekick 1.6 16V 89/...</v>
      </c>
      <c r="P1190" s="12" t="str">
        <f aca="false">IFERROR(VLOOKUP($A1190,Lista_Starke!$A:$E,2,0),"NÃO ESTÁ NA LISTA")</f>
        <v>POLIA VISCOSA</v>
      </c>
    </row>
    <row r="1191" customFormat="false" ht="15" hidden="false" customHeight="true" outlineLevel="0" collapsed="false">
      <c r="A1191" s="10" t="s">
        <v>2592</v>
      </c>
      <c r="B1191" s="10" t="str">
        <f aca="false">IFERROR(VLOOKUP(A1191,Pedido!$A:$B,2,0),"")</f>
        <v/>
      </c>
      <c r="C1191" s="10" t="str">
        <f aca="false">IF(B1191="","NÃO COMPRA","COMPRA")</f>
        <v>NÃO COMPRA</v>
      </c>
      <c r="D1191" s="1" t="n">
        <f aca="false">IFERROR(VLOOKUP(A1191,Pedido!$A:$C,3,0),0)</f>
        <v>0</v>
      </c>
      <c r="E1191" s="5" t="n">
        <f aca="false">IFERROR(VLOOKUP(A1191,Pedido!$A:$E,5,0),0)</f>
        <v>0</v>
      </c>
      <c r="F1191" s="1" t="s">
        <v>9</v>
      </c>
      <c r="G1191" s="1" t="s">
        <v>525</v>
      </c>
      <c r="H1191" s="1" t="s">
        <v>88</v>
      </c>
      <c r="I1191" s="1" t="s">
        <v>172</v>
      </c>
      <c r="J1191" s="1" t="s">
        <v>2593</v>
      </c>
      <c r="K1191" s="1" t="n">
        <v>50</v>
      </c>
      <c r="L1191" s="11" t="n">
        <v>0.978868532216898</v>
      </c>
      <c r="M1191" s="1" t="n">
        <f aca="false">SUMIF(Relatorio_AK!$A:$A,A1191,Relatorio_AK!$B:$B)</f>
        <v>50</v>
      </c>
      <c r="N1191" s="1" t="str">
        <f aca="false">IF(M1191=K1191,"OK","DIF")</f>
        <v>OK</v>
      </c>
      <c r="O1191" s="13" t="str">
        <f aca="false">IFERROR(VLOOKUP($A1191,Lista_Starke!$A:$E,3,0),"NÃO ESTÁ NA LISTA")</f>
        <v>HYUNDAI: Tucson 2.0 16V 04/10
KIA: Sportage 2.0 16V 04/10
KIA: Sportage 2.0 16V 94/98
KIA: Sportage 2.2 8V Diesel 93/98
KIA: Sportage 2.7 24V V6 04/10</v>
      </c>
      <c r="P1191" s="12" t="str">
        <f aca="false">IFERROR(VLOOKUP($A1191,Lista_Starke!$A:$E,2,0),"NÃO ESTÁ NA LISTA")</f>
        <v>CILINDRO DE RODA LE/LD</v>
      </c>
    </row>
    <row r="1192" customFormat="false" ht="15" hidden="false" customHeight="true" outlineLevel="0" collapsed="false">
      <c r="A1192" s="10" t="s">
        <v>2594</v>
      </c>
      <c r="B1192" s="10" t="str">
        <f aca="false">IFERROR(VLOOKUP(A1192,Pedido!$A:$B,2,0),"")</f>
        <v/>
      </c>
      <c r="C1192" s="10" t="str">
        <f aca="false">IF(B1192="","NÃO COMPRA","COMPRA")</f>
        <v>NÃO COMPRA</v>
      </c>
      <c r="D1192" s="1" t="n">
        <f aca="false">IFERROR(VLOOKUP(A1192,Pedido!$A:$C,3,0),0)</f>
        <v>0</v>
      </c>
      <c r="E1192" s="5" t="n">
        <f aca="false">IFERROR(VLOOKUP(A1192,Pedido!$A:$E,5,0),0)</f>
        <v>0</v>
      </c>
      <c r="F1192" s="1" t="s">
        <v>9</v>
      </c>
      <c r="G1192" s="1" t="s">
        <v>52</v>
      </c>
      <c r="H1192" s="1" t="s">
        <v>35</v>
      </c>
      <c r="I1192" s="1" t="s">
        <v>53</v>
      </c>
      <c r="J1192" s="1" t="s">
        <v>2595</v>
      </c>
      <c r="K1192" s="1" t="n">
        <v>50</v>
      </c>
      <c r="L1192" s="11" t="n">
        <v>0.978954008585246</v>
      </c>
      <c r="M1192" s="1" t="n">
        <f aca="false">SUMIF(Relatorio_AK!$A:$A,A1192,Relatorio_AK!$B:$B)</f>
        <v>50</v>
      </c>
      <c r="N1192" s="1" t="str">
        <f aca="false">IF(M1192=K1192,"OK","DIF")</f>
        <v>OK</v>
      </c>
      <c r="O1192" s="12" t="str">
        <f aca="false">IFERROR(VLOOKUP($A1192,Lista_Starke!$A:$E,3,0),"NÃO ESTÁ NA LISTA")</f>
        <v>FORD: New Fiesta 1.5 16V / 1.6 16V Sigma 10/18</v>
      </c>
      <c r="P1192" s="12" t="str">
        <f aca="false">IFERROR(VLOOKUP($A1192,Lista_Starke!$A:$E,2,0),"NÃO ESTÁ NA LISTA")</f>
        <v>CILINDRO MESTRE DE FREIO</v>
      </c>
    </row>
    <row r="1193" customFormat="false" ht="15" hidden="false" customHeight="true" outlineLevel="0" collapsed="false">
      <c r="A1193" s="10" t="s">
        <v>2596</v>
      </c>
      <c r="B1193" s="10" t="str">
        <f aca="false">IFERROR(VLOOKUP(A1193,Pedido!$A:$B,2,0),"")</f>
        <v/>
      </c>
      <c r="C1193" s="10" t="str">
        <f aca="false">IF(B1193="","NÃO COMPRA","COMPRA")</f>
        <v>NÃO COMPRA</v>
      </c>
      <c r="D1193" s="1" t="n">
        <f aca="false">IFERROR(VLOOKUP(A1193,Pedido!$A:$C,3,0),0)</f>
        <v>0</v>
      </c>
      <c r="E1193" s="5" t="n">
        <f aca="false">IFERROR(VLOOKUP(A1193,Pedido!$A:$E,5,0),0)</f>
        <v>0</v>
      </c>
      <c r="F1193" s="1" t="s">
        <v>9</v>
      </c>
      <c r="G1193" s="1" t="s">
        <v>2597</v>
      </c>
      <c r="H1193" s="1" t="s">
        <v>2598</v>
      </c>
      <c r="I1193" s="1" t="s">
        <v>53</v>
      </c>
      <c r="J1193" s="1" t="s">
        <v>2599</v>
      </c>
      <c r="K1193" s="1" t="n">
        <v>50</v>
      </c>
      <c r="L1193" s="11" t="n">
        <v>0.979039484953595</v>
      </c>
      <c r="M1193" s="1" t="n">
        <f aca="false">SUMIF(Relatorio_AK!$A:$A,A1193,Relatorio_AK!$B:$B)</f>
        <v>50</v>
      </c>
      <c r="N1193" s="1" t="str">
        <f aca="false">IF(M1193=K1193,"OK","DIF")</f>
        <v>OK</v>
      </c>
      <c r="O1193" s="13" t="str">
        <f aca="false">IFERROR(VLOOKUP($A1193,Lista_Starke!$A:$E,3,0),"NÃO ESTÁ NA LISTA")</f>
        <v>FORD: F250 4.2 16V Cummins 4BTAA 98/12
FORD: F250 4.2 16V MWM 6.07 TCA 98/12
FORD: F250 4.2 V6 Diesel 98/12
FORD: F250 Super Duty 3.9 16V Cummins 98/12
FORD: F250 Super Duty 4.2 V6 Diesel 98/12
FORD: F250 Tropical 4.2 18V MWM 6.07TCA 04/12
FORD: F250 Tropical 4.2 V6 Diesel 98/12
FORD: F350 3.9 16V Cummins 4BTAA 98/19
FORD: F350 3.9 8V Cummins 4bTAA 98/19
FORD: F4000 2.9 8V MWM 229/4 98/19
FORD: F4000 3.9 8V Cummins 4BTT 98/19</v>
      </c>
      <c r="P1193" s="12" t="str">
        <f aca="false">IFERROR(VLOOKUP($A1193,Lista_Starke!$A:$E,2,0),"NÃO ESTÁ NA LISTA")</f>
        <v>HIDROBOOSTER</v>
      </c>
    </row>
    <row r="1194" customFormat="false" ht="15" hidden="false" customHeight="true" outlineLevel="0" collapsed="false">
      <c r="A1194" s="10" t="s">
        <v>2600</v>
      </c>
      <c r="B1194" s="10" t="str">
        <f aca="false">IFERROR(VLOOKUP(A1194,Pedido!$A:$B,2,0),"")</f>
        <v/>
      </c>
      <c r="C1194" s="10" t="str">
        <f aca="false">IF(B1194="","NÃO COMPRA","COMPRA")</f>
        <v>NÃO COMPRA</v>
      </c>
      <c r="D1194" s="1" t="n">
        <f aca="false">IFERROR(VLOOKUP(A1194,Pedido!$A:$C,3,0),0)</f>
        <v>0</v>
      </c>
      <c r="E1194" s="5" t="n">
        <f aca="false">IFERROR(VLOOKUP(A1194,Pedido!$A:$E,5,0),0)</f>
        <v>0</v>
      </c>
      <c r="F1194" s="1" t="s">
        <v>9</v>
      </c>
      <c r="G1194" s="1" t="s">
        <v>2031</v>
      </c>
      <c r="H1194" s="1" t="s">
        <v>1358</v>
      </c>
      <c r="I1194" s="1" t="s">
        <v>36</v>
      </c>
      <c r="J1194" s="1" t="s">
        <v>2601</v>
      </c>
      <c r="K1194" s="1" t="n">
        <v>49</v>
      </c>
      <c r="L1194" s="11" t="n">
        <v>0.979123251794576</v>
      </c>
      <c r="M1194" s="1" t="n">
        <f aca="false">SUMIF(Relatorio_AK!$A:$A,A1194,Relatorio_AK!$B:$B)</f>
        <v>49</v>
      </c>
      <c r="N1194" s="1" t="str">
        <f aca="false">IF(M1194=K1194,"OK","DIF")</f>
        <v>OK</v>
      </c>
      <c r="O1194" s="12" t="str">
        <f aca="false">IFERROR(VLOOKUP($A1194,Lista_Starke!$A:$E,3,0),"NÃO ESTÁ NA LISTA")</f>
        <v>VOLKSWAGEN: Up  14/21</v>
      </c>
      <c r="P1194" s="12" t="str">
        <f aca="false">IFERROR(VLOOKUP($A1194,Lista_Starke!$A:$E,2,0),"NÃO ESTÁ NA LISTA")</f>
        <v>BANDEJA INFERIOR COMPLETA LE</v>
      </c>
    </row>
    <row r="1195" customFormat="false" ht="15" hidden="false" customHeight="true" outlineLevel="0" collapsed="false">
      <c r="A1195" s="10" t="s">
        <v>2602</v>
      </c>
      <c r="B1195" s="10" t="str">
        <f aca="false">IFERROR(VLOOKUP(A1195,Pedido!$A:$B,2,0),"")</f>
        <v/>
      </c>
      <c r="C1195" s="10" t="str">
        <f aca="false">IF(B1195="","NÃO COMPRA","COMPRA")</f>
        <v>NÃO COMPRA</v>
      </c>
      <c r="D1195" s="1" t="n">
        <f aca="false">IFERROR(VLOOKUP(A1195,Pedido!$A:$C,3,0),0)</f>
        <v>0</v>
      </c>
      <c r="E1195" s="5" t="n">
        <f aca="false">IFERROR(VLOOKUP(A1195,Pedido!$A:$E,5,0),0)</f>
        <v>0</v>
      </c>
      <c r="F1195" s="1" t="s">
        <v>9</v>
      </c>
      <c r="G1195" s="1" t="s">
        <v>2603</v>
      </c>
      <c r="H1195" s="1" t="s">
        <v>1358</v>
      </c>
      <c r="I1195" s="1" t="s">
        <v>57</v>
      </c>
      <c r="J1195" s="1" t="s">
        <v>2604</v>
      </c>
      <c r="K1195" s="1" t="n">
        <v>49</v>
      </c>
      <c r="L1195" s="11" t="n">
        <v>0.979207018635558</v>
      </c>
      <c r="M1195" s="1" t="n">
        <f aca="false">SUMIF(Relatorio_AK!$A:$A,A1195,Relatorio_AK!$B:$B)</f>
        <v>49</v>
      </c>
      <c r="N1195" s="1" t="str">
        <f aca="false">IF(M1195=K1195,"OK","DIF")</f>
        <v>OK</v>
      </c>
      <c r="O1195" s="13" t="str">
        <f aca="false">IFERROR(VLOOKUP($A1195,Lista_Starke!$A:$E,3,0),"NÃO ESTÁ NA LISTA")</f>
        <v>GM: Agile  09/16
GM: Celta  00/15
GM: Classic  04/15
GM: Corsa  98/03
GM: Montana  10/15
GM: Prisma  06/12</v>
      </c>
      <c r="P1195" s="12" t="str">
        <f aca="false">IFERROR(VLOOKUP($A1195,Lista_Starke!$A:$E,2,0),"NÃO ESTÁ NA LISTA")</f>
        <v>BANDEJA INFERIOR LE</v>
      </c>
    </row>
    <row r="1196" customFormat="false" ht="15" hidden="false" customHeight="true" outlineLevel="0" collapsed="false">
      <c r="A1196" s="10" t="s">
        <v>2605</v>
      </c>
      <c r="B1196" s="10" t="str">
        <f aca="false">IFERROR(VLOOKUP(A1196,Pedido!$A:$B,2,0),"")</f>
        <v/>
      </c>
      <c r="C1196" s="10" t="str">
        <f aca="false">IF(B1196="","NÃO COMPRA","COMPRA")</f>
        <v>NÃO COMPRA</v>
      </c>
      <c r="D1196" s="1" t="n">
        <f aca="false">IFERROR(VLOOKUP(A1196,Pedido!$A:$C,3,0),0)</f>
        <v>0</v>
      </c>
      <c r="E1196" s="5" t="n">
        <f aca="false">IFERROR(VLOOKUP(A1196,Pedido!$A:$E,5,0),0)</f>
        <v>0</v>
      </c>
      <c r="F1196" s="1" t="s">
        <v>9</v>
      </c>
      <c r="G1196" s="1" t="s">
        <v>1795</v>
      </c>
      <c r="H1196" s="1" t="s">
        <v>1358</v>
      </c>
      <c r="I1196" s="1" t="s">
        <v>215</v>
      </c>
      <c r="J1196" s="1" t="s">
        <v>2606</v>
      </c>
      <c r="K1196" s="1" t="n">
        <v>49</v>
      </c>
      <c r="L1196" s="11" t="n">
        <v>0.979290785476539</v>
      </c>
      <c r="M1196" s="1" t="n">
        <f aca="false">SUMIF(Relatorio_AK!$A:$A,A1196,Relatorio_AK!$B:$B)</f>
        <v>49</v>
      </c>
      <c r="N1196" s="1" t="str">
        <f aca="false">IF(M1196=K1196,"OK","DIF")</f>
        <v>OK</v>
      </c>
      <c r="O1196" s="12" t="str">
        <f aca="false">IFERROR(VLOOKUP($A1196,Lista_Starke!$A:$E,3,0),"NÃO ESTÁ NA LISTA")</f>
        <v>NISSAN: Frontier 2.3 16V 17/...</v>
      </c>
      <c r="P1196" s="12" t="str">
        <f aca="false">IFERROR(VLOOKUP($A1196,Lista_Starke!$A:$E,2,0),"NÃO ESTÁ NA LISTA")</f>
        <v>BANDEJA INFERIOR COMPLETA LE</v>
      </c>
    </row>
    <row r="1197" customFormat="false" ht="15" hidden="false" customHeight="true" outlineLevel="0" collapsed="false">
      <c r="A1197" s="10" t="s">
        <v>2607</v>
      </c>
      <c r="B1197" s="10" t="str">
        <f aca="false">IFERROR(VLOOKUP(A1197,Pedido!$A:$B,2,0),"")</f>
        <v/>
      </c>
      <c r="C1197" s="10" t="str">
        <f aca="false">IF(B1197="","NÃO COMPRA","COMPRA")</f>
        <v>NÃO COMPRA</v>
      </c>
      <c r="D1197" s="1" t="n">
        <f aca="false">IFERROR(VLOOKUP(A1197,Pedido!$A:$C,3,0),0)</f>
        <v>0</v>
      </c>
      <c r="E1197" s="5" t="n">
        <f aca="false">IFERROR(VLOOKUP(A1197,Pedido!$A:$E,5,0),0)</f>
        <v>0</v>
      </c>
      <c r="F1197" s="1" t="s">
        <v>9</v>
      </c>
      <c r="G1197" s="1" t="s">
        <v>1659</v>
      </c>
      <c r="H1197" s="1" t="s">
        <v>197</v>
      </c>
      <c r="I1197" s="1" t="s">
        <v>137</v>
      </c>
      <c r="J1197" s="1" t="s">
        <v>2608</v>
      </c>
      <c r="K1197" s="1" t="n">
        <v>49</v>
      </c>
      <c r="L1197" s="11" t="n">
        <v>0.97937455231752</v>
      </c>
      <c r="M1197" s="1" t="n">
        <f aca="false">SUMIF(Relatorio_AK!$A:$A,A1197,Relatorio_AK!$B:$B)</f>
        <v>49</v>
      </c>
      <c r="N1197" s="1" t="str">
        <f aca="false">IF(M1197=K1197,"OK","DIF")</f>
        <v>OK</v>
      </c>
      <c r="O1197" s="13" t="str">
        <f aca="false">IFERROR(VLOOKUP($A1197,Lista_Starke!$A:$E,3,0),"NÃO ESTÁ NA LISTA")</f>
        <v>CITROEN: Jumper 2.8 HDI 00/09
FIAT: Ducato 2.5 Diesel / 2.5 Turbo Diesel 94/…
FIAT: Ducato 2.8 Diesel / 2.8 Turbo Diesel 94/…
PEUGEOT: Boxer 2.5 Diesel / 2.8 Diesel / 2.8 Turbo Diesel 99/…</v>
      </c>
      <c r="P1197" s="12" t="str">
        <f aca="false">IFERROR(VLOOKUP($A1197,Lista_Starke!$A:$E,2,0),"NÃO ESTÁ NA LISTA")</f>
        <v>BOMBA D'ÁGUA</v>
      </c>
    </row>
    <row r="1198" customFormat="false" ht="15" hidden="false" customHeight="true" outlineLevel="0" collapsed="false">
      <c r="A1198" s="10" t="s">
        <v>2609</v>
      </c>
      <c r="B1198" s="10" t="str">
        <f aca="false">IFERROR(VLOOKUP(A1198,Pedido!$A:$B,2,0),"")</f>
        <v/>
      </c>
      <c r="C1198" s="10" t="str">
        <f aca="false">IF(B1198="","NÃO COMPRA","COMPRA")</f>
        <v>NÃO COMPRA</v>
      </c>
      <c r="D1198" s="1" t="n">
        <f aca="false">IFERROR(VLOOKUP(A1198,Pedido!$A:$C,3,0),0)</f>
        <v>0</v>
      </c>
      <c r="E1198" s="5" t="n">
        <f aca="false">IFERROR(VLOOKUP(A1198,Pedido!$A:$E,5,0),0)</f>
        <v>0</v>
      </c>
      <c r="F1198" s="1" t="s">
        <v>9</v>
      </c>
      <c r="G1198" s="1" t="s">
        <v>763</v>
      </c>
      <c r="H1198" s="1" t="s">
        <v>197</v>
      </c>
      <c r="I1198" s="1" t="s">
        <v>2610</v>
      </c>
      <c r="J1198" s="1" t="s">
        <v>2611</v>
      </c>
      <c r="K1198" s="1" t="n">
        <v>49</v>
      </c>
      <c r="L1198" s="11" t="n">
        <v>0.979458319158502</v>
      </c>
      <c r="M1198" s="1" t="n">
        <f aca="false">SUMIF(Relatorio_AK!$A:$A,A1198,Relatorio_AK!$B:$B)</f>
        <v>49</v>
      </c>
      <c r="N1198" s="1" t="str">
        <f aca="false">IF(M1198=K1198,"OK","DIF")</f>
        <v>OK</v>
      </c>
      <c r="O1198" s="13" t="str">
        <f aca="false">IFERROR(VLOOKUP($A1198,Lista_Starke!$A:$E,3,0),"NÃO ESTÁ NA LISTA")</f>
        <v>MERCEDES-BENZ: 320CE 3.2   M104.992 92/93
MERCEDES-BENZ: C280 2.8   M112.920 93/01
MERCEDES-BENZ: E280 2.8   M104.942 93/95
MERCEDES-BENZ: E280 2.8   M104.992 95/99
MERCEDES-BENZ: E320 3.2   M104.992 93/98
MERCEDES-BENZ: E320 3.2   M104.995 95/99
SSANGYONG: Rexton 3.2   G32D 02/…
SSANGYONG: Rexton 4x4 2.7   D27DT / D27DTP 02/…</v>
      </c>
      <c r="P1198" s="12" t="str">
        <f aca="false">IFERROR(VLOOKUP($A1198,Lista_Starke!$A:$E,2,0),"NÃO ESTÁ NA LISTA")</f>
        <v>BOMBA D'ÁGUA</v>
      </c>
    </row>
    <row r="1199" customFormat="false" ht="15" hidden="false" customHeight="true" outlineLevel="0" collapsed="false">
      <c r="A1199" s="10" t="s">
        <v>2612</v>
      </c>
      <c r="B1199" s="10" t="str">
        <f aca="false">IFERROR(VLOOKUP(A1199,Pedido!$A:$B,2,0),"")</f>
        <v/>
      </c>
      <c r="C1199" s="10" t="str">
        <f aca="false">IF(B1199="","NÃO COMPRA","COMPRA")</f>
        <v>NÃO COMPRA</v>
      </c>
      <c r="D1199" s="1" t="n">
        <f aca="false">IFERROR(VLOOKUP(A1199,Pedido!$A:$C,3,0),0)</f>
        <v>0</v>
      </c>
      <c r="E1199" s="5" t="n">
        <f aca="false">IFERROR(VLOOKUP(A1199,Pedido!$A:$E,5,0),0)</f>
        <v>0</v>
      </c>
      <c r="F1199" s="1" t="s">
        <v>9</v>
      </c>
      <c r="G1199" s="1" t="s">
        <v>105</v>
      </c>
      <c r="H1199" s="1" t="s">
        <v>88</v>
      </c>
      <c r="I1199" s="1" t="s">
        <v>137</v>
      </c>
      <c r="J1199" s="1" t="s">
        <v>2613</v>
      </c>
      <c r="K1199" s="1" t="n">
        <v>49</v>
      </c>
      <c r="L1199" s="11" t="n">
        <v>0.979542085999483</v>
      </c>
      <c r="M1199" s="1" t="n">
        <f aca="false">SUMIF(Relatorio_AK!$A:$A,A1199,Relatorio_AK!$B:$B)</f>
        <v>49</v>
      </c>
      <c r="N1199" s="1" t="str">
        <f aca="false">IF(M1199=K1199,"OK","DIF")</f>
        <v>OK</v>
      </c>
      <c r="O1199" s="13" t="str">
        <f aca="false">IFERROR(VLOOKUP($A1199,Lista_Starke!$A:$E,3,0),"NÃO ESTÁ NA LISTA")</f>
        <v>CITROEN: Jumper 2.8 Diesel 96/02
FIAT: Ducato 2.5 Diesel 94/02
FIAT: Ducato 2.8 Diesel 94/02
PEUGEOT: Boxer 2.5 Diesel / 2.8 Diesel 94/02</v>
      </c>
      <c r="P1199" s="12" t="str">
        <f aca="false">IFERROR(VLOOKUP($A1199,Lista_Starke!$A:$E,2,0),"NÃO ESTÁ NA LISTA")</f>
        <v>CILINDRO DE RODA LE/LD</v>
      </c>
    </row>
    <row r="1200" customFormat="false" ht="15" hidden="false" customHeight="true" outlineLevel="0" collapsed="false">
      <c r="A1200" s="10" t="s">
        <v>2614</v>
      </c>
      <c r="B1200" s="10" t="str">
        <f aca="false">IFERROR(VLOOKUP(A1200,Pedido!$A:$B,2,0),"")</f>
        <v/>
      </c>
      <c r="C1200" s="10" t="str">
        <f aca="false">IF(B1200="","NÃO COMPRA","COMPRA")</f>
        <v>NÃO COMPRA</v>
      </c>
      <c r="D1200" s="1" t="n">
        <f aca="false">IFERROR(VLOOKUP(A1200,Pedido!$A:$C,3,0),0)</f>
        <v>0</v>
      </c>
      <c r="E1200" s="5" t="n">
        <f aca="false">IFERROR(VLOOKUP(A1200,Pedido!$A:$E,5,0),0)</f>
        <v>0</v>
      </c>
      <c r="F1200" s="1" t="s">
        <v>9</v>
      </c>
      <c r="G1200" s="1" t="s">
        <v>56</v>
      </c>
      <c r="H1200" s="1" t="s">
        <v>35</v>
      </c>
      <c r="I1200" s="1" t="s">
        <v>57</v>
      </c>
      <c r="J1200" s="1" t="s">
        <v>2615</v>
      </c>
      <c r="K1200" s="1" t="n">
        <v>49</v>
      </c>
      <c r="L1200" s="11" t="n">
        <v>0.979625852840465</v>
      </c>
      <c r="M1200" s="1" t="n">
        <f aca="false">SUMIF(Relatorio_AK!$A:$A,A1200,Relatorio_AK!$B:$B)</f>
        <v>49</v>
      </c>
      <c r="N1200" s="1" t="str">
        <f aca="false">IF(M1200=K1200,"OK","DIF")</f>
        <v>OK</v>
      </c>
      <c r="O1200" s="13" t="str">
        <f aca="false">IFERROR(VLOOKUP($A1200,Lista_Starke!$A:$E,3,0),"NÃO ESTÁ NA LISTA")</f>
        <v>GM: A10 2.5 8V 4 cil. 80/84
GM: C10 4.1 12V 6 cil. 78/84</v>
      </c>
      <c r="P1200" s="12" t="str">
        <f aca="false">IFERROR(VLOOKUP($A1200,Lista_Starke!$A:$E,2,0),"NÃO ESTÁ NA LISTA")</f>
        <v>CILINDRO MESTRE DE FREIO</v>
      </c>
    </row>
    <row r="1201" customFormat="false" ht="15" hidden="false" customHeight="true" outlineLevel="0" collapsed="false">
      <c r="A1201" s="10" t="s">
        <v>2616</v>
      </c>
      <c r="B1201" s="10" t="str">
        <f aca="false">IFERROR(VLOOKUP(A1201,Pedido!$A:$B,2,0),"")</f>
        <v/>
      </c>
      <c r="C1201" s="10" t="str">
        <f aca="false">IF(B1201="","NÃO COMPRA","COMPRA")</f>
        <v>NÃO COMPRA</v>
      </c>
      <c r="D1201" s="1" t="n">
        <f aca="false">IFERROR(VLOOKUP(A1201,Pedido!$A:$C,3,0),0)</f>
        <v>0</v>
      </c>
      <c r="E1201" s="5" t="n">
        <f aca="false">IFERROR(VLOOKUP(A1201,Pedido!$A:$E,5,0),0)</f>
        <v>0</v>
      </c>
      <c r="F1201" s="1" t="s">
        <v>9</v>
      </c>
      <c r="G1201" s="1" t="s">
        <v>2425</v>
      </c>
      <c r="H1201" s="1" t="s">
        <v>88</v>
      </c>
      <c r="I1201" s="1" t="s">
        <v>53</v>
      </c>
      <c r="J1201" s="1" t="s">
        <v>2617</v>
      </c>
      <c r="K1201" s="1" t="n">
        <v>49</v>
      </c>
      <c r="L1201" s="11" t="n">
        <v>0.979709619681446</v>
      </c>
      <c r="M1201" s="1" t="n">
        <f aca="false">SUMIF(Relatorio_AK!$A:$A,A1201,Relatorio_AK!$B:$B)</f>
        <v>49</v>
      </c>
      <c r="N1201" s="1" t="str">
        <f aca="false">IF(M1201=K1201,"OK","DIF")</f>
        <v>OK</v>
      </c>
      <c r="O1201" s="13" t="str">
        <f aca="false">IFERROR(VLOOKUP($A1201,Lista_Starke!$A:$E,3,0),"NÃO ESTÁ NA LISTA")</f>
        <v>FORD: F250 4BTAA 3.9 8V 4 cil. 98/06
FORD: F250 6.07TCA 99/06
FORD: F250 Cummins ISBe4 Interact 3.9 16V 4 cil. 06/12
FORD: F250 Sprint 4.2 18V 6 cil. 98/06
FORD: F350 4BTAA 3.9 8V 4 cil. 98/05
FORD: F350 Cummins ISBe Interact 3.9 16V 4 cil. 05/11</v>
      </c>
      <c r="P1201" s="12" t="str">
        <f aca="false">IFERROR(VLOOKUP($A1201,Lista_Starke!$A:$E,2,0),"NÃO ESTÁ NA LISTA")</f>
        <v>CILINDRO DE RODA LE</v>
      </c>
    </row>
    <row r="1202" customFormat="false" ht="15" hidden="false" customHeight="true" outlineLevel="0" collapsed="false">
      <c r="A1202" s="10" t="s">
        <v>2618</v>
      </c>
      <c r="B1202" s="10" t="str">
        <f aca="false">IFERROR(VLOOKUP(A1202,Pedido!$A:$B,2,0),"")</f>
        <v/>
      </c>
      <c r="C1202" s="10" t="str">
        <f aca="false">IF(B1202="","NÃO COMPRA","COMPRA")</f>
        <v>NÃO COMPRA</v>
      </c>
      <c r="D1202" s="1" t="n">
        <f aca="false">IFERROR(VLOOKUP(A1202,Pedido!$A:$C,3,0),0)</f>
        <v>0</v>
      </c>
      <c r="E1202" s="5" t="n">
        <f aca="false">IFERROR(VLOOKUP(A1202,Pedido!$A:$E,5,0),0)</f>
        <v>0</v>
      </c>
      <c r="F1202" s="1" t="s">
        <v>9</v>
      </c>
      <c r="G1202" s="1" t="s">
        <v>2619</v>
      </c>
      <c r="H1202" s="1" t="s">
        <v>1358</v>
      </c>
      <c r="I1202" s="1" t="s">
        <v>77</v>
      </c>
      <c r="J1202" s="1" t="s">
        <v>2620</v>
      </c>
      <c r="K1202" s="1" t="n">
        <v>48</v>
      </c>
      <c r="L1202" s="11" t="n">
        <v>0.979791676995061</v>
      </c>
      <c r="M1202" s="1" t="n">
        <f aca="false">SUMIF(Relatorio_AK!$A:$A,A1202,Relatorio_AK!$B:$B)</f>
        <v>48</v>
      </c>
      <c r="N1202" s="1" t="str">
        <f aca="false">IF(M1202=K1202,"OK","DIF")</f>
        <v>OK</v>
      </c>
      <c r="O1202" s="13" t="str">
        <f aca="false">IFERROR(VLOOKUP($A1202,Lista_Starke!$A:$E,3,0),"NÃO ESTÁ NA LISTA")</f>
        <v>CITROEN: Aircross  10/20
CITROEN: C3  03/20
CITROEN: C3 Picasso  11/15
CITROEN: DS3  12/16
PEUGEOT: 2008  15/20
PEUGEOT: 208  13/20</v>
      </c>
      <c r="P1202" s="12" t="str">
        <f aca="false">IFERROR(VLOOKUP($A1202,Lista_Starke!$A:$E,2,0),"NÃO ESTÁ NA LISTA")</f>
        <v>BANDEJA INFERIOR LE</v>
      </c>
    </row>
    <row r="1203" customFormat="false" ht="15" hidden="false" customHeight="true" outlineLevel="0" collapsed="false">
      <c r="A1203" s="10" t="s">
        <v>2621</v>
      </c>
      <c r="B1203" s="10" t="str">
        <f aca="false">IFERROR(VLOOKUP(A1203,Pedido!$A:$B,2,0),"")</f>
        <v/>
      </c>
      <c r="C1203" s="10" t="str">
        <f aca="false">IF(B1203="","NÃO COMPRA","COMPRA")</f>
        <v>NÃO COMPRA</v>
      </c>
      <c r="D1203" s="1" t="n">
        <f aca="false">IFERROR(VLOOKUP(A1203,Pedido!$A:$C,3,0),0)</f>
        <v>0</v>
      </c>
      <c r="E1203" s="5" t="n">
        <f aca="false">IFERROR(VLOOKUP(A1203,Pedido!$A:$E,5,0),0)</f>
        <v>0</v>
      </c>
      <c r="F1203" s="1" t="s">
        <v>9</v>
      </c>
      <c r="G1203" s="1" t="s">
        <v>2622</v>
      </c>
      <c r="H1203" s="1" t="s">
        <v>1358</v>
      </c>
      <c r="I1203" s="1" t="s">
        <v>373</v>
      </c>
      <c r="J1203" s="1" t="s">
        <v>2623</v>
      </c>
      <c r="K1203" s="1" t="n">
        <v>48</v>
      </c>
      <c r="L1203" s="11" t="n">
        <v>0.979873734308675</v>
      </c>
      <c r="M1203" s="1" t="n">
        <f aca="false">SUMIF(Relatorio_AK!$A:$A,A1203,Relatorio_AK!$B:$B)</f>
        <v>48</v>
      </c>
      <c r="N1203" s="1" t="str">
        <f aca="false">IF(M1203=K1203,"OK","DIF")</f>
        <v>OK</v>
      </c>
      <c r="O1203" s="13" t="str">
        <f aca="false">IFERROR(VLOOKUP($A1203,Lista_Starke!$A:$E,3,0),"NÃO ESTÁ NA LISTA")</f>
        <v>MERCEDES-BENZ: A160 (W176) 1.6 4cil M270.910 15/...
MERCEDES-BENZ: A180 (W176) 1.8 4cil M.270.910 12/...
MERCEDES-BENZ: A200 (W176) 1.6 4cil M270.910 14/...
MERCEDES-BENZ: A220 (W176) 2.0 4cil M270.920 14/...
MERCEDES-BENZ: A250 (W176) 2.0 4cil M270.920 12/...
MERCEDES-BENZ: GLA180 (X156) 1.6 4cil M270.910 15/...
MERCEDES-BENZ: GLA200 (X156) 1.6 4cil M270.910 13/...
MERCEDES-BENZ: GLA220 (X156) 2.0 4cil M270.920 17/...
MERCEDES-BENZ: GLA250 (X156) 2.0 4cil M270.920 13/...</v>
      </c>
      <c r="P1203" s="12" t="str">
        <f aca="false">IFERROR(VLOOKUP($A1203,Lista_Starke!$A:$E,2,0),"NÃO ESTÁ NA LISTA")</f>
        <v>BANDEJA INFERIOR COMPLETA LD</v>
      </c>
    </row>
    <row r="1204" customFormat="false" ht="15" hidden="false" customHeight="true" outlineLevel="0" collapsed="false">
      <c r="A1204" s="10" t="s">
        <v>2624</v>
      </c>
      <c r="B1204" s="10" t="str">
        <f aca="false">IFERROR(VLOOKUP(A1204,Pedido!$A:$B,2,0),"")</f>
        <v/>
      </c>
      <c r="C1204" s="10" t="str">
        <f aca="false">IF(B1204="","NÃO COMPRA","COMPRA")</f>
        <v>NÃO COMPRA</v>
      </c>
      <c r="D1204" s="1" t="n">
        <f aca="false">IFERROR(VLOOKUP(A1204,Pedido!$A:$C,3,0),0)</f>
        <v>0</v>
      </c>
      <c r="E1204" s="5" t="n">
        <f aca="false">IFERROR(VLOOKUP(A1204,Pedido!$A:$E,5,0),0)</f>
        <v>0</v>
      </c>
      <c r="F1204" s="1" t="s">
        <v>9</v>
      </c>
      <c r="G1204" s="1" t="s">
        <v>552</v>
      </c>
      <c r="H1204" s="1" t="s">
        <v>197</v>
      </c>
      <c r="I1204" s="1" t="s">
        <v>172</v>
      </c>
      <c r="J1204" s="1" t="s">
        <v>2625</v>
      </c>
      <c r="K1204" s="1" t="n">
        <v>48</v>
      </c>
      <c r="L1204" s="11" t="n">
        <v>0.97995579162229</v>
      </c>
      <c r="M1204" s="1" t="n">
        <f aca="false">SUMIF(Relatorio_AK!$A:$A,A1204,Relatorio_AK!$B:$B)</f>
        <v>48</v>
      </c>
      <c r="N1204" s="1" t="str">
        <f aca="false">IF(M1204=K1204,"OK","DIF")</f>
        <v>OK</v>
      </c>
      <c r="O1204" s="13" t="str">
        <f aca="false">IFERROR(VLOOKUP($A1204,Lista_Starke!$A:$E,3,0),"NÃO ESTÁ NA LISTA")</f>
        <v>HYUNDAI: HR 2.5 16V CRDi Diesel D4CB 13/...
KIA: Bongo K2500 2.5 16V CRDi Diesel D4CB 13/...
KIA: Sorento 2.5 16V CRDi Diesel D4CB 13/...</v>
      </c>
      <c r="P1204" s="12" t="str">
        <f aca="false">IFERROR(VLOOKUP($A1204,Lista_Starke!$A:$E,2,0),"NÃO ESTÁ NA LISTA")</f>
        <v>BOMBA D'ÁGUA</v>
      </c>
    </row>
    <row r="1205" customFormat="false" ht="15" hidden="false" customHeight="true" outlineLevel="0" collapsed="false">
      <c r="A1205" s="10" t="s">
        <v>2626</v>
      </c>
      <c r="B1205" s="10" t="str">
        <f aca="false">IFERROR(VLOOKUP(A1205,Pedido!$A:$B,2,0),"")</f>
        <v/>
      </c>
      <c r="C1205" s="10" t="str">
        <f aca="false">IF(B1205="","NÃO COMPRA","COMPRA")</f>
        <v>NÃO COMPRA</v>
      </c>
      <c r="D1205" s="1" t="n">
        <f aca="false">IFERROR(VLOOKUP(A1205,Pedido!$A:$C,3,0),0)</f>
        <v>0</v>
      </c>
      <c r="E1205" s="5" t="n">
        <f aca="false">IFERROR(VLOOKUP(A1205,Pedido!$A:$E,5,0),0)</f>
        <v>0</v>
      </c>
      <c r="F1205" s="1" t="s">
        <v>9</v>
      </c>
      <c r="G1205" s="1" t="s">
        <v>2034</v>
      </c>
      <c r="H1205" s="1" t="s">
        <v>1714</v>
      </c>
      <c r="I1205" s="1" t="s">
        <v>1706</v>
      </c>
      <c r="J1205" s="1" t="s">
        <v>2627</v>
      </c>
      <c r="K1205" s="1" t="n">
        <v>48</v>
      </c>
      <c r="L1205" s="11" t="n">
        <v>0.980037848935904</v>
      </c>
      <c r="M1205" s="1" t="n">
        <f aca="false">SUMIF(Relatorio_AK!$A:$A,A1205,Relatorio_AK!$B:$B)</f>
        <v>48</v>
      </c>
      <c r="N1205" s="1" t="str">
        <f aca="false">IF(M1205=K1205,"OK","DIF")</f>
        <v>OK</v>
      </c>
      <c r="O1205" s="13" t="str">
        <f aca="false">IFERROR(VLOOKUP($A1205,Lista_Starke!$A:$E,3,0),"NÃO ESTÁ NA LISTA")</f>
        <v>HYUNDAI: Galloper 2.5 Turbo Diesel 98/…
HYUNDAI: H100 2.5 Diesel 98/…
HYUNDAI: H100 2.5 Turbo Diesel 93/00
HYUNDAI: HR 2.5 Turbo Diesel 06/…
HYUNDAI: Starex 2.5 Turbo Diesel 97/…
HYUNDAI: Terracan 2.5 Diesel 01/…
KIA: Bongo K2500 2.5 Turbo Diesel 08/…
MITSUBISHI: L200 2.5 Diesel / 2.5 Turbo Diesel 98/…
MITSUBISHI: L200 Sport 2.5 Diesel / 2.5 Turbo Diesel HPE 03/…
MITSUBISHI: L300 2.5 Diesel / 2.5 Turbo Diesel 91/…
MITSUBISHI: Pajero 2.5 Diesel / 2.5 Turbo Diesel 91/…
MITSUBISHI: Pajero Sport 2.5 Turbo Diesel 98/…</v>
      </c>
      <c r="P1205" s="12" t="str">
        <f aca="false">IFERROR(VLOOKUP($A1205,Lista_Starke!$A:$E,2,0),"NÃO ESTÁ NA LISTA")</f>
        <v>POLIA VISCOSA</v>
      </c>
    </row>
    <row r="1206" customFormat="false" ht="15" hidden="false" customHeight="true" outlineLevel="0" collapsed="false">
      <c r="A1206" s="10" t="s">
        <v>2628</v>
      </c>
      <c r="B1206" s="10" t="str">
        <f aca="false">IFERROR(VLOOKUP(A1206,Pedido!$A:$B,2,0),"")</f>
        <v/>
      </c>
      <c r="C1206" s="10" t="str">
        <f aca="false">IF(B1206="","NÃO COMPRA","COMPRA")</f>
        <v>NÃO COMPRA</v>
      </c>
      <c r="D1206" s="1" t="n">
        <f aca="false">IFERROR(VLOOKUP(A1206,Pedido!$A:$C,3,0),0)</f>
        <v>0</v>
      </c>
      <c r="E1206" s="5" t="n">
        <f aca="false">IFERROR(VLOOKUP(A1206,Pedido!$A:$E,5,0),0)</f>
        <v>0</v>
      </c>
      <c r="F1206" s="1" t="s">
        <v>9</v>
      </c>
      <c r="G1206" s="1" t="s">
        <v>488</v>
      </c>
      <c r="H1206" s="1" t="s">
        <v>197</v>
      </c>
      <c r="I1206" s="1" t="s">
        <v>215</v>
      </c>
      <c r="K1206" s="1" t="n">
        <v>48</v>
      </c>
      <c r="L1206" s="11" t="n">
        <v>0.980119906249519</v>
      </c>
      <c r="M1206" s="1" t="n">
        <f aca="false">SUMIF(Relatorio_AK!$A:$A,A1206,Relatorio_AK!$B:$B)</f>
        <v>48</v>
      </c>
      <c r="N1206" s="1" t="str">
        <f aca="false">IF(M1206=K1206,"OK","DIF")</f>
        <v>OK</v>
      </c>
      <c r="O1206" s="12" t="str">
        <f aca="false">IFERROR(VLOOKUP($A1206,Lista_Starke!$A:$E,3,0),"NÃO ESTÁ NA LISTA")</f>
        <v>NISSAN: Xtrail 2.5 16V 4x4 QR25DE 05/13</v>
      </c>
      <c r="P1206" s="12" t="str">
        <f aca="false">IFERROR(VLOOKUP($A1206,Lista_Starke!$A:$E,2,0),"NÃO ESTÁ NA LISTA")</f>
        <v>BOMBA D'ÁGUA</v>
      </c>
    </row>
    <row r="1207" customFormat="false" ht="15" hidden="false" customHeight="true" outlineLevel="0" collapsed="false">
      <c r="A1207" s="10" t="s">
        <v>2629</v>
      </c>
      <c r="B1207" s="10" t="str">
        <f aca="false">IFERROR(VLOOKUP(A1207,Pedido!$A:$B,2,0),"")</f>
        <v/>
      </c>
      <c r="C1207" s="10" t="str">
        <f aca="false">IF(B1207="","NÃO COMPRA","COMPRA")</f>
        <v>NÃO COMPRA</v>
      </c>
      <c r="D1207" s="1" t="n">
        <f aca="false">IFERROR(VLOOKUP(A1207,Pedido!$A:$C,3,0),0)</f>
        <v>0</v>
      </c>
      <c r="E1207" s="5" t="n">
        <f aca="false">IFERROR(VLOOKUP(A1207,Pedido!$A:$E,5,0),0)</f>
        <v>0</v>
      </c>
      <c r="F1207" s="1" t="s">
        <v>9</v>
      </c>
      <c r="G1207" s="1" t="s">
        <v>1536</v>
      </c>
      <c r="H1207" s="1" t="s">
        <v>197</v>
      </c>
      <c r="I1207" s="1" t="s">
        <v>2630</v>
      </c>
      <c r="K1207" s="1" t="n">
        <v>48</v>
      </c>
      <c r="L1207" s="11" t="n">
        <v>0.980201963563133</v>
      </c>
      <c r="M1207" s="1" t="n">
        <f aca="false">SUMIF(Relatorio_AK!$A:$A,A1207,Relatorio_AK!$B:$B)</f>
        <v>48</v>
      </c>
      <c r="N1207" s="1" t="str">
        <f aca="false">IF(M1207=K1207,"OK","DIF")</f>
        <v>OK</v>
      </c>
      <c r="O1207" s="13" t="str">
        <f aca="false">IFERROR(VLOOKUP($A1207,Lista_Starke!$A:$E,3,0),"NÃO ESTÁ NA LISTA")</f>
        <v>PEUGEOT: 406 3.0 24V V6   ES9J4S/L4 00/04
PEUGEOT: 407 3.0 24V V6   ES9A 04/…
PEUGEOT: 607 3.0 24V V6   ES94/L4 00/…
PEUGEOT: 807 3.0 24V V6   ES9J4S/L4 02/07
RENAULT: Laguna 3.0 24V V6 L7X731 01/07
RENAULT: Laguna 3.0 24V V6 L7X733 05/07</v>
      </c>
      <c r="P1207" s="12" t="str">
        <f aca="false">IFERROR(VLOOKUP($A1207,Lista_Starke!$A:$E,2,0),"NÃO ESTÁ NA LISTA")</f>
        <v>BOMBA D'ÁGUA</v>
      </c>
    </row>
    <row r="1208" customFormat="false" ht="15" hidden="false" customHeight="true" outlineLevel="0" collapsed="false">
      <c r="A1208" s="10" t="s">
        <v>2631</v>
      </c>
      <c r="B1208" s="10" t="str">
        <f aca="false">IFERROR(VLOOKUP(A1208,Pedido!$A:$B,2,0),"")</f>
        <v/>
      </c>
      <c r="C1208" s="10" t="str">
        <f aca="false">IF(B1208="","NÃO COMPRA","COMPRA")</f>
        <v>NÃO COMPRA</v>
      </c>
      <c r="D1208" s="1" t="n">
        <f aca="false">IFERROR(VLOOKUP(A1208,Pedido!$A:$C,3,0),0)</f>
        <v>0</v>
      </c>
      <c r="E1208" s="5" t="n">
        <f aca="false">IFERROR(VLOOKUP(A1208,Pedido!$A:$E,5,0),0)</f>
        <v>0</v>
      </c>
      <c r="F1208" s="1" t="s">
        <v>9</v>
      </c>
      <c r="G1208" s="1" t="s">
        <v>2632</v>
      </c>
      <c r="H1208" s="1" t="s">
        <v>1714</v>
      </c>
      <c r="I1208" s="1" t="s">
        <v>177</v>
      </c>
      <c r="K1208" s="1" t="n">
        <v>48</v>
      </c>
      <c r="L1208" s="11" t="n">
        <v>0.980284020876748</v>
      </c>
      <c r="M1208" s="1" t="n">
        <f aca="false">SUMIF(Relatorio_AK!$A:$A,A1208,Relatorio_AK!$B:$B)</f>
        <v>48</v>
      </c>
      <c r="N1208" s="1" t="str">
        <f aca="false">IF(M1208=K1208,"OK","DIF")</f>
        <v>OK</v>
      </c>
      <c r="O1208" s="13" t="str">
        <f aca="false">IFERROR(VLOOKUP($A1208,Lista_Starke!$A:$E,3,0),"NÃO ESTÁ NA LISTA")</f>
        <v>TOYOTA: Hilux 2.7 16V Flex 3RZ FE 12/…
TOYOTA: SW4 2.7 16V Flex 3RZ FE 12/…</v>
      </c>
      <c r="P1208" s="12" t="str">
        <f aca="false">IFERROR(VLOOKUP($A1208,Lista_Starke!$A:$E,2,0),"NÃO ESTÁ NA LISTA")</f>
        <v>POLIA VISCOSA</v>
      </c>
    </row>
    <row r="1209" customFormat="false" ht="15" hidden="false" customHeight="true" outlineLevel="0" collapsed="false">
      <c r="A1209" s="10" t="s">
        <v>2633</v>
      </c>
      <c r="B1209" s="10" t="str">
        <f aca="false">IFERROR(VLOOKUP(A1209,Pedido!$A:$B,2,0),"")</f>
        <v/>
      </c>
      <c r="C1209" s="10" t="str">
        <f aca="false">IF(B1209="","NÃO COMPRA","COMPRA")</f>
        <v>NÃO COMPRA</v>
      </c>
      <c r="D1209" s="1" t="n">
        <f aca="false">IFERROR(VLOOKUP(A1209,Pedido!$A:$C,3,0),0)</f>
        <v>0</v>
      </c>
      <c r="E1209" s="5" t="n">
        <f aca="false">IFERROR(VLOOKUP(A1209,Pedido!$A:$E,5,0),0)</f>
        <v>0</v>
      </c>
      <c r="F1209" s="1" t="s">
        <v>9</v>
      </c>
      <c r="G1209" s="1" t="s">
        <v>826</v>
      </c>
      <c r="H1209" s="1" t="s">
        <v>906</v>
      </c>
      <c r="I1209" s="1" t="s">
        <v>1157</v>
      </c>
      <c r="J1209" s="1" t="s">
        <v>2634</v>
      </c>
      <c r="K1209" s="1" t="n">
        <v>48</v>
      </c>
      <c r="L1209" s="11" t="n">
        <v>0.980366078190363</v>
      </c>
      <c r="M1209" s="1" t="n">
        <f aca="false">SUMIF(Relatorio_AK!$A:$A,A1209,Relatorio_AK!$B:$B)</f>
        <v>48</v>
      </c>
      <c r="N1209" s="1" t="str">
        <f aca="false">IF(M1209=K1209,"OK","DIF")</f>
        <v>OK</v>
      </c>
      <c r="O1209" s="13" t="str">
        <f aca="false">IFERROR(VLOOKUP($A1209,Lista_Starke!$A:$E,3,0),"NÃO ESTÁ NA LISTA")</f>
        <v>BMW: 230i (G42/G87) 2.0 B48B20B 22/...
BMW: 320i (G20/G28/G80) 2.0 B48B20A / B48B20B / B48B20B 19/...
BMW: 320i (G21/G81) 2.0 B48B20A 19/...
BMW: 330i (G20/G28/G80) 2.0 B48B20B / B46B20B 18/...
BMW: 330i (G21/G81) 2.0 B48B20 19/...
BMW: M240i (G42/G87) 3.0 6 cil. B58B30B 22/...
BMW: M340i (G20/G28/G80) 3.0 6c il. B58B30B 19/...
BMW: M340i (G21/G81) 3.0 6 cil. B58B30B 19/...
BMW: X3 (G01/G08/F97) 2.0 B48B20B 17/...
BMW: X4 G02/F98) 3.0 6 cil. B58B30 19/...
BMW: X5 (G05/F95) 3.0 6 cil. Hybrid B58B30C 20/23</v>
      </c>
      <c r="P1209" s="12" t="str">
        <f aca="false">IFERROR(VLOOKUP($A1209,Lista_Starke!$A:$E,2,0),"NÃO ESTÁ NA LISTA")</f>
        <v>BOMBA D'ÁGUA AUXILIAR</v>
      </c>
    </row>
    <row r="1210" customFormat="false" ht="15" hidden="false" customHeight="true" outlineLevel="0" collapsed="false">
      <c r="A1210" s="10" t="s">
        <v>2635</v>
      </c>
      <c r="B1210" s="10" t="str">
        <f aca="false">IFERROR(VLOOKUP(A1210,Pedido!$A:$B,2,0),"")</f>
        <v/>
      </c>
      <c r="C1210" s="10" t="str">
        <f aca="false">IF(B1210="","NÃO COMPRA","COMPRA")</f>
        <v>NÃO COMPRA</v>
      </c>
      <c r="D1210" s="1" t="n">
        <f aca="false">IFERROR(VLOOKUP(A1210,Pedido!$A:$C,3,0),0)</f>
        <v>0</v>
      </c>
      <c r="E1210" s="5" t="n">
        <f aca="false">IFERROR(VLOOKUP(A1210,Pedido!$A:$E,5,0),0)</f>
        <v>0</v>
      </c>
      <c r="F1210" s="1" t="s">
        <v>9</v>
      </c>
      <c r="G1210" s="1" t="s">
        <v>1326</v>
      </c>
      <c r="H1210" s="1" t="s">
        <v>790</v>
      </c>
      <c r="I1210" s="1" t="s">
        <v>177</v>
      </c>
      <c r="J1210" s="1" t="s">
        <v>2636</v>
      </c>
      <c r="K1210" s="1" t="n">
        <v>48</v>
      </c>
      <c r="L1210" s="11" t="n">
        <v>0.980448135503977</v>
      </c>
      <c r="M1210" s="1" t="n">
        <f aca="false">SUMIF(Relatorio_AK!$A:$A,A1210,Relatorio_AK!$B:$B)</f>
        <v>48</v>
      </c>
      <c r="N1210" s="1" t="str">
        <f aca="false">IF(M1210=K1210,"OK","DIF")</f>
        <v>OK</v>
      </c>
      <c r="O1210" s="13" t="str">
        <f aca="false">IFERROR(VLOOKUP($A1210,Lista_Starke!$A:$E,3,0),"NÃO ESTÁ NA LISTA")</f>
        <v>TOYOTA: Corolla 2.0 Hybrid M20A-FXS 19/...
TOYOTA: Corolla 2.0 Hybrid M20A-FXS 21/...
TOYOTA: Corolla Cross 2.0 Hybrid M20A-FXS 21/...</v>
      </c>
      <c r="P1210" s="12" t="str">
        <f aca="false">IFERROR(VLOOKUP($A1210,Lista_Starke!$A:$E,2,0),"NÃO ESTÁ NA LISTA")</f>
        <v>BOMBA D'ÁGUA ELÉTRICA</v>
      </c>
    </row>
    <row r="1211" customFormat="false" ht="15" hidden="false" customHeight="true" outlineLevel="0" collapsed="false">
      <c r="A1211" s="10" t="s">
        <v>2637</v>
      </c>
      <c r="B1211" s="10" t="str">
        <f aca="false">IFERROR(VLOOKUP(A1211,Pedido!$A:$B,2,0),"")</f>
        <v/>
      </c>
      <c r="C1211" s="10" t="str">
        <f aca="false">IF(B1211="","NÃO COMPRA","COMPRA")</f>
        <v>NÃO COMPRA</v>
      </c>
      <c r="D1211" s="1" t="n">
        <f aca="false">IFERROR(VLOOKUP(A1211,Pedido!$A:$C,3,0),0)</f>
        <v>0</v>
      </c>
      <c r="E1211" s="5" t="n">
        <f aca="false">IFERROR(VLOOKUP(A1211,Pedido!$A:$E,5,0),0)</f>
        <v>0</v>
      </c>
      <c r="F1211" s="1" t="s">
        <v>9</v>
      </c>
      <c r="G1211" s="1" t="s">
        <v>2026</v>
      </c>
      <c r="H1211" s="1" t="s">
        <v>1073</v>
      </c>
      <c r="I1211" s="1" t="s">
        <v>1157</v>
      </c>
      <c r="J1211" s="1" t="s">
        <v>2638</v>
      </c>
      <c r="K1211" s="1" t="n">
        <v>48</v>
      </c>
      <c r="L1211" s="11" t="n">
        <v>0.980530192817592</v>
      </c>
      <c r="M1211" s="1" t="n">
        <f aca="false">SUMIF(Relatorio_AK!$A:$A,A1211,Relatorio_AK!$B:$B)</f>
        <v>48</v>
      </c>
      <c r="N1211" s="1" t="str">
        <f aca="false">IF(M1211=K1211,"OK","DIF")</f>
        <v>OK</v>
      </c>
      <c r="O1211" s="13" t="str">
        <f aca="false">IFERROR(VLOOKUP($A1211,Lista_Starke!$A:$E,3,0),"NÃO ESTÁ NA LISTA")</f>
        <v>BMW: 323i (E90) 2.5 6 cil. N52B25A / N52B25B 05/07
BMW: 323i (E90) 2.5 6 cil. N52B25A / N52B25BF 07/11
BMW: 325i (E90) 2.5 6 cil. N52B25A 06/11
BMW: 328i (E90) 3.0 6 cil. N52B30A / N52B30A 06/11
BMW: 330i (E90) 3.0 6 cil. N52B30A / N52 B30BF 04/11
BMW: 335i (E90) 3.0 6 cil. N54B30A 06/11
BMW: X1 (E84) xDrive 25i 3.0 6 cil. N52B30A 10/11
BMW: X1 (E84) xDrive 28i 3.0 6 cil. N52B30A 09/11
BMW: X3 (E83) xDrive 25i 2.5 6 cil. N52B5A 08/10
BMW: X3 (E83) xDrive 30i 3.0 6 cil. N52B30A 08/10
BMW: X6 (E71/E72) 3.0 6 cil. N54B30A 08/14
BMW: Z4 (E86) 3.0 6 cil. N52B30A 06/08</v>
      </c>
      <c r="P1211" s="12" t="str">
        <f aca="false">IFERROR(VLOOKUP($A1211,Lista_Starke!$A:$E,2,0),"NÃO ESTÁ NA LISTA")</f>
        <v>VÁLVULA TERMOSTÁTICA</v>
      </c>
    </row>
    <row r="1212" customFormat="false" ht="15" hidden="false" customHeight="true" outlineLevel="0" collapsed="false">
      <c r="A1212" s="10" t="s">
        <v>2639</v>
      </c>
      <c r="B1212" s="10" t="str">
        <f aca="false">IFERROR(VLOOKUP(A1212,Pedido!$A:$B,2,0),"")</f>
        <v/>
      </c>
      <c r="C1212" s="10" t="str">
        <f aca="false">IF(B1212="","NÃO COMPRA","COMPRA")</f>
        <v>NÃO COMPRA</v>
      </c>
      <c r="D1212" s="1" t="n">
        <f aca="false">IFERROR(VLOOKUP(A1212,Pedido!$A:$C,3,0),0)</f>
        <v>0</v>
      </c>
      <c r="E1212" s="5" t="n">
        <f aca="false">IFERROR(VLOOKUP(A1212,Pedido!$A:$E,5,0),0)</f>
        <v>0</v>
      </c>
      <c r="F1212" s="1" t="s">
        <v>9</v>
      </c>
      <c r="G1212" s="1" t="s">
        <v>254</v>
      </c>
      <c r="H1212" s="1" t="s">
        <v>35</v>
      </c>
      <c r="I1212" s="1" t="s">
        <v>255</v>
      </c>
      <c r="J1212" s="1" t="s">
        <v>2640</v>
      </c>
      <c r="K1212" s="1" t="n">
        <v>48</v>
      </c>
      <c r="L1212" s="11" t="n">
        <v>0.980612250131206</v>
      </c>
      <c r="M1212" s="1" t="n">
        <f aca="false">SUMIF(Relatorio_AK!$A:$A,A1212,Relatorio_AK!$B:$B)</f>
        <v>48</v>
      </c>
      <c r="N1212" s="1" t="str">
        <f aca="false">IF(M1212=K1212,"OK","DIF")</f>
        <v>OK</v>
      </c>
      <c r="O1212" s="13" t="str">
        <f aca="false">IFERROR(VLOOKUP($A1212,Lista_Starke!$A:$E,3,0),"NÃO ESTÁ NA LISTA")</f>
        <v>MITSUBISHI: L200 Sport 2.5 8V 4D56 2003
MITSUBISHI: Pajero Sport 3.5 24V V6 06/11</v>
      </c>
      <c r="P1212" s="12" t="str">
        <f aca="false">IFERROR(VLOOKUP($A1212,Lista_Starke!$A:$E,2,0),"NÃO ESTÁ NA LISTA")</f>
        <v>CILINDRO MESTRE DE FREIO</v>
      </c>
    </row>
    <row r="1213" customFormat="false" ht="15" hidden="false" customHeight="true" outlineLevel="0" collapsed="false">
      <c r="A1213" s="10" t="s">
        <v>2641</v>
      </c>
      <c r="B1213" s="10" t="str">
        <f aca="false">IFERROR(VLOOKUP(A1213,Pedido!$A:$B,2,0),"")</f>
        <v/>
      </c>
      <c r="C1213" s="10" t="str">
        <f aca="false">IF(B1213="","NÃO COMPRA","COMPRA")</f>
        <v>NÃO COMPRA</v>
      </c>
      <c r="D1213" s="1" t="n">
        <f aca="false">IFERROR(VLOOKUP(A1213,Pedido!$A:$C,3,0),0)</f>
        <v>0</v>
      </c>
      <c r="E1213" s="5" t="n">
        <f aca="false">IFERROR(VLOOKUP(A1213,Pedido!$A:$E,5,0),0)</f>
        <v>0</v>
      </c>
      <c r="F1213" s="1" t="s">
        <v>9</v>
      </c>
      <c r="G1213" s="1" t="s">
        <v>34</v>
      </c>
      <c r="H1213" s="1" t="s">
        <v>35</v>
      </c>
      <c r="I1213" s="1" t="s">
        <v>36</v>
      </c>
      <c r="J1213" s="1" t="s">
        <v>2642</v>
      </c>
      <c r="K1213" s="1" t="n">
        <v>48</v>
      </c>
      <c r="L1213" s="11" t="n">
        <v>0.980694307444821</v>
      </c>
      <c r="M1213" s="1" t="n">
        <f aca="false">SUMIF(Relatorio_AK!$A:$A,A1213,Relatorio_AK!$B:$B)</f>
        <v>48</v>
      </c>
      <c r="N1213" s="1" t="str">
        <f aca="false">IF(M1213=K1213,"OK","DIF")</f>
        <v>OK</v>
      </c>
      <c r="O1213" s="13" t="str">
        <f aca="false">IFERROR(VLOOKUP($A1213,Lista_Starke!$A:$E,3,0),"NÃO ESTÁ NA LISTA")</f>
        <v>VOLKSWAGEN: Gol G2/G3 1.0 16V 97/05
VOLKSWAGEN: Gol G2/G3 1.0 8V 94/05
VOLKSWAGEN: Gol G2/G3 1.6 8V 94/05
VOLKSWAGEN: Gol G2/G3 1.8 8V 94/03
VOLKSWAGEN: Gol G2/G3 2.0 16V 95/02
VOLKSWAGEN: Gol G2/G3 2.0 8V 94/96
VOLKSWAGEN: Gol G3/G4 1.0 8V 05/10
VOLKSWAGEN: Gol G3/G4 1.6 8V 03/07
VOLKSWAGEN: Parati 1.0 16V 97/03
VOLKSWAGEN: Parati 1.6 8V 95/05
VOLKSWAGEN: Parati 1.6 8V Flex 03/10
VOLKSWAGEN: Parati 1.8 8V 95/05
VOLKSWAGEN: Parati 2.0 16V 96/02
VOLKSWAGEN: Parati 2.0 8V 95/05
VOLKSWAGEN: Quantum 1.8 8V 93/01
VOLKSWAGEN: Quantum 2.0 8V 92/01
VOLKSWAGEN: Santana 1.8 8V 93/99</v>
      </c>
      <c r="P1213" s="12" t="str">
        <f aca="false">IFERROR(VLOOKUP($A1213,Lista_Starke!$A:$E,2,0),"NÃO ESTÁ NA LISTA")</f>
        <v>CILINDRO MESTRE DE FREIO</v>
      </c>
    </row>
    <row r="1214" customFormat="false" ht="15" hidden="false" customHeight="true" outlineLevel="0" collapsed="false">
      <c r="A1214" s="10" t="s">
        <v>2643</v>
      </c>
      <c r="B1214" s="10" t="str">
        <f aca="false">IFERROR(VLOOKUP(A1214,Pedido!$A:$B,2,0),"")</f>
        <v/>
      </c>
      <c r="C1214" s="10" t="str">
        <f aca="false">IF(B1214="","NÃO COMPRA","COMPRA")</f>
        <v>NÃO COMPRA</v>
      </c>
      <c r="D1214" s="1" t="n">
        <f aca="false">IFERROR(VLOOKUP(A1214,Pedido!$A:$C,3,0),0)</f>
        <v>0</v>
      </c>
      <c r="E1214" s="5" t="n">
        <f aca="false">IFERROR(VLOOKUP(A1214,Pedido!$A:$E,5,0),0)</f>
        <v>0</v>
      </c>
      <c r="F1214" s="1" t="s">
        <v>9</v>
      </c>
      <c r="G1214" s="1" t="s">
        <v>2425</v>
      </c>
      <c r="H1214" s="1" t="s">
        <v>88</v>
      </c>
      <c r="I1214" s="1" t="s">
        <v>53</v>
      </c>
      <c r="J1214" s="1" t="s">
        <v>2644</v>
      </c>
      <c r="K1214" s="1" t="n">
        <v>48</v>
      </c>
      <c r="L1214" s="11" t="n">
        <v>0.980776364758435</v>
      </c>
      <c r="M1214" s="1" t="n">
        <f aca="false">SUMIF(Relatorio_AK!$A:$A,A1214,Relatorio_AK!$B:$B)</f>
        <v>48</v>
      </c>
      <c r="N1214" s="1" t="str">
        <f aca="false">IF(M1214=K1214,"OK","DIF")</f>
        <v>OK</v>
      </c>
      <c r="O1214" s="12" t="str">
        <f aca="false">IFERROR(VLOOKUP($A1214,Lista_Starke!$A:$E,3,0),"NÃO ESTÁ NA LISTA")</f>
        <v>FORD: F1000 SÉRIE 229 3.9L 8V L4 79/92</v>
      </c>
      <c r="P1214" s="12" t="str">
        <f aca="false">IFERROR(VLOOKUP($A1214,Lista_Starke!$A:$E,2,0),"NÃO ESTÁ NA LISTA")</f>
        <v>CILINDRO DE RODA LE</v>
      </c>
    </row>
    <row r="1215" customFormat="false" ht="15" hidden="false" customHeight="true" outlineLevel="0" collapsed="false">
      <c r="A1215" s="10" t="s">
        <v>2645</v>
      </c>
      <c r="B1215" s="10" t="str">
        <f aca="false">IFERROR(VLOOKUP(A1215,Pedido!$A:$B,2,0),"")</f>
        <v/>
      </c>
      <c r="C1215" s="10" t="str">
        <f aca="false">IF(B1215="","NÃO COMPRA","COMPRA")</f>
        <v>NÃO COMPRA</v>
      </c>
      <c r="D1215" s="1" t="n">
        <f aca="false">IFERROR(VLOOKUP(A1215,Pedido!$A:$C,3,0),0)</f>
        <v>0</v>
      </c>
      <c r="E1215" s="5" t="n">
        <f aca="false">IFERROR(VLOOKUP(A1215,Pedido!$A:$E,5,0),0)</f>
        <v>0</v>
      </c>
      <c r="F1215" s="1" t="s">
        <v>9</v>
      </c>
      <c r="G1215" s="1" t="s">
        <v>763</v>
      </c>
      <c r="H1215" s="1" t="s">
        <v>197</v>
      </c>
      <c r="I1215" s="1" t="s">
        <v>373</v>
      </c>
      <c r="J1215" s="1" t="s">
        <v>2646</v>
      </c>
      <c r="K1215" s="1" t="n">
        <v>47</v>
      </c>
      <c r="L1215" s="11" t="n">
        <v>0.980856712544683</v>
      </c>
      <c r="M1215" s="1" t="n">
        <f aca="false">SUMIF(Relatorio_AK!$A:$A,A1215,Relatorio_AK!$B:$B)</f>
        <v>47</v>
      </c>
      <c r="N1215" s="1" t="str">
        <f aca="false">IF(M1215=K1215,"OK","DIF")</f>
        <v>OK</v>
      </c>
      <c r="O1215" s="13" t="str">
        <f aca="false">IFERROR(VLOOKUP($A1215,Lista_Starke!$A:$E,3,0),"NÃO ESTÁ NA LISTA")</f>
        <v>MERCEDES-BENZ: E280 (W211) 3.0 6cil CDI OM642.920 05/08
MERCEDES-BENZ: E320 (W211) 3.0 6cil CDI OM642.920 05/08
MERCEDES-BENZ: G320 (W463) 3.0 6cil CDI OM642.970 06/...
MERCEDES-BENZ: ML280 (W164) 3.0 6cil CDI OM642.940 05/12
MERCEDES-BENZ: ML300 (W164) 3.0 6cil CDI OM642.940 05/12
MERCEDES-BENZ: ML320 (W164) 3.0 6cil CDI OM642.940 05/12
MERCEDES-BENZ: ML350 (W164) 3.0 6cil CDI OM642.940 05/12
MERCEDES-BENZ: R320 (W251) 3.0 6cil CDI OM642.950 06/...
MERCEDES-BENZ: R350 (W251) 3.0 6cil CDI OM642.950 / OM642.870 06/...</v>
      </c>
      <c r="P1215" s="12" t="str">
        <f aca="false">IFERROR(VLOOKUP($A1215,Lista_Starke!$A:$E,2,0),"NÃO ESTÁ NA LISTA")</f>
        <v>BOMBA D'ÁGUA</v>
      </c>
    </row>
    <row r="1216" customFormat="false" ht="15" hidden="false" customHeight="true" outlineLevel="0" collapsed="false">
      <c r="A1216" s="10" t="s">
        <v>2647</v>
      </c>
      <c r="B1216" s="10" t="str">
        <f aca="false">IFERROR(VLOOKUP(A1216,Pedido!$A:$B,2,0),"")</f>
        <v/>
      </c>
      <c r="C1216" s="10" t="str">
        <f aca="false">IF(B1216="","NÃO COMPRA","COMPRA")</f>
        <v>NÃO COMPRA</v>
      </c>
      <c r="D1216" s="1" t="n">
        <f aca="false">IFERROR(VLOOKUP(A1216,Pedido!$A:$C,3,0),0)</f>
        <v>0</v>
      </c>
      <c r="E1216" s="5" t="n">
        <f aca="false">IFERROR(VLOOKUP(A1216,Pedido!$A:$E,5,0),0)</f>
        <v>0</v>
      </c>
      <c r="F1216" s="1" t="s">
        <v>9</v>
      </c>
      <c r="G1216" s="1" t="s">
        <v>720</v>
      </c>
      <c r="H1216" s="1" t="s">
        <v>197</v>
      </c>
      <c r="I1216" s="1" t="s">
        <v>2648</v>
      </c>
      <c r="J1216" s="1" t="s">
        <v>2649</v>
      </c>
      <c r="K1216" s="1" t="n">
        <v>47</v>
      </c>
      <c r="L1216" s="11" t="n">
        <v>0.98093706033093</v>
      </c>
      <c r="M1216" s="1" t="n">
        <f aca="false">SUMIF(Relatorio_AK!$A:$A,A1216,Relatorio_AK!$B:$B)</f>
        <v>47</v>
      </c>
      <c r="N1216" s="1" t="str">
        <f aca="false">IF(M1216=K1216,"OK","DIF")</f>
        <v>OK</v>
      </c>
      <c r="O1216" s="13" t="str">
        <f aca="false">IFERROR(VLOOKUP($A1216,Lista_Starke!$A:$E,3,0),"NÃO ESTÁ NA LISTA")</f>
        <v>CHRYSLER: Stratus LX 2.5 V6 96/01
MITSUBISHI: Diamante Sigma 3.5 V6 97/…
MITSUBISHI: Galant 2.5 V6 95/96
MITSUBISHI: Pajero 3.5 V6 95/00
MITSUBISHI: Pajero Sport 4x4 3.0 24V V6 98/01</v>
      </c>
      <c r="P1216" s="12" t="str">
        <f aca="false">IFERROR(VLOOKUP($A1216,Lista_Starke!$A:$E,2,0),"NÃO ESTÁ NA LISTA")</f>
        <v>BOMBA D'ÁGUA</v>
      </c>
    </row>
    <row r="1217" customFormat="false" ht="15" hidden="false" customHeight="true" outlineLevel="0" collapsed="false">
      <c r="A1217" s="10" t="s">
        <v>2650</v>
      </c>
      <c r="B1217" s="10" t="str">
        <f aca="false">IFERROR(VLOOKUP(A1217,Pedido!$A:$B,2,0),"")</f>
        <v/>
      </c>
      <c r="C1217" s="10" t="str">
        <f aca="false">IF(B1217="","NÃO COMPRA","COMPRA")</f>
        <v>NÃO COMPRA</v>
      </c>
      <c r="D1217" s="1" t="n">
        <f aca="false">IFERROR(VLOOKUP(A1217,Pedido!$A:$C,3,0),0)</f>
        <v>0</v>
      </c>
      <c r="E1217" s="5" t="n">
        <f aca="false">IFERROR(VLOOKUP(A1217,Pedido!$A:$E,5,0),0)</f>
        <v>0</v>
      </c>
      <c r="F1217" s="1" t="s">
        <v>9</v>
      </c>
      <c r="G1217" s="1" t="s">
        <v>735</v>
      </c>
      <c r="H1217" s="1" t="s">
        <v>197</v>
      </c>
      <c r="I1217" s="1" t="s">
        <v>172</v>
      </c>
      <c r="K1217" s="1" t="n">
        <v>47</v>
      </c>
      <c r="L1217" s="11" t="n">
        <v>0.981017408117178</v>
      </c>
      <c r="M1217" s="1" t="n">
        <f aca="false">SUMIF(Relatorio_AK!$A:$A,A1217,Relatorio_AK!$B:$B)</f>
        <v>47</v>
      </c>
      <c r="N1217" s="1" t="str">
        <f aca="false">IF(M1217=K1217,"OK","DIF")</f>
        <v>OK</v>
      </c>
      <c r="O1217" s="13" t="str">
        <f aca="false">IFERROR(VLOOKUP($A1217,Lista_Starke!$A:$E,3,0),"NÃO ESTÁ NA LISTA")</f>
        <v>HYUNDAI: iX35 2.0 16V   GKD 11/…
HYUNDAI: Sonata 2.4 16V   GKE 11/…
KIA: Sportage 2.0 16V   GKD 11/…</v>
      </c>
      <c r="P1217" s="12" t="str">
        <f aca="false">IFERROR(VLOOKUP($A1217,Lista_Starke!$A:$E,2,0),"NÃO ESTÁ NA LISTA")</f>
        <v>BOMBA D'ÁGUA</v>
      </c>
    </row>
    <row r="1218" customFormat="false" ht="15" hidden="false" customHeight="true" outlineLevel="0" collapsed="false">
      <c r="A1218" s="10" t="s">
        <v>2651</v>
      </c>
      <c r="B1218" s="10" t="str">
        <f aca="false">IFERROR(VLOOKUP(A1218,Pedido!$A:$B,2,0),"")</f>
        <v/>
      </c>
      <c r="C1218" s="10" t="str">
        <f aca="false">IF(B1218="","NÃO COMPRA","COMPRA")</f>
        <v>NÃO COMPRA</v>
      </c>
      <c r="D1218" s="1" t="n">
        <f aca="false">IFERROR(VLOOKUP(A1218,Pedido!$A:$C,3,0),0)</f>
        <v>0</v>
      </c>
      <c r="E1218" s="5" t="n">
        <f aca="false">IFERROR(VLOOKUP(A1218,Pedido!$A:$E,5,0),0)</f>
        <v>0</v>
      </c>
      <c r="F1218" s="1" t="s">
        <v>9</v>
      </c>
      <c r="G1218" s="1" t="s">
        <v>2652</v>
      </c>
      <c r="H1218" s="1" t="s">
        <v>235</v>
      </c>
      <c r="I1218" s="1" t="s">
        <v>172</v>
      </c>
      <c r="J1218" s="1" t="s">
        <v>2653</v>
      </c>
      <c r="K1218" s="1" t="n">
        <v>47</v>
      </c>
      <c r="L1218" s="11" t="n">
        <v>0.981097755903426</v>
      </c>
      <c r="M1218" s="1" t="n">
        <f aca="false">SUMIF(Relatorio_AK!$A:$A,A1218,Relatorio_AK!$B:$B)</f>
        <v>47</v>
      </c>
      <c r="N1218" s="1" t="str">
        <f aca="false">IF(M1218=K1218,"OK","DIF")</f>
        <v>OK</v>
      </c>
      <c r="O1218" s="13" t="str">
        <f aca="false">IFERROR(VLOOKUP($A1218,Lista_Starke!$A:$E,3,0),"NÃO ESTÁ NA LISTA")</f>
        <v>HYUNDAI: HR 2.5 16V CRDi Diesel D4CB 13/...
KIA: Bongo K2500 2.5 16V CRDi Diesel D4CB 13/...</v>
      </c>
      <c r="P1218" s="12" t="str">
        <f aca="false">IFERROR(VLOOKUP($A1218,Lista_Starke!$A:$E,2,0),"NÃO ESTÁ NA LISTA")</f>
        <v>RESFRIADOR DE ÓLEO MOTOR</v>
      </c>
    </row>
    <row r="1219" customFormat="false" ht="15" hidden="false" customHeight="true" outlineLevel="0" collapsed="false">
      <c r="A1219" s="10" t="s">
        <v>2654</v>
      </c>
      <c r="B1219" s="10" t="str">
        <f aca="false">IFERROR(VLOOKUP(A1219,Pedido!$A:$B,2,0),"")</f>
        <v/>
      </c>
      <c r="C1219" s="10" t="str">
        <f aca="false">IF(B1219="","NÃO COMPRA","COMPRA")</f>
        <v>NÃO COMPRA</v>
      </c>
      <c r="D1219" s="1" t="n">
        <f aca="false">IFERROR(VLOOKUP(A1219,Pedido!$A:$C,3,0),0)</f>
        <v>0</v>
      </c>
      <c r="E1219" s="5" t="n">
        <f aca="false">IFERROR(VLOOKUP(A1219,Pedido!$A:$E,5,0),0)</f>
        <v>0</v>
      </c>
      <c r="F1219" s="1" t="s">
        <v>9</v>
      </c>
      <c r="G1219" s="1" t="s">
        <v>1072</v>
      </c>
      <c r="H1219" s="1" t="s">
        <v>1073</v>
      </c>
      <c r="I1219" s="1" t="s">
        <v>137</v>
      </c>
      <c r="J1219" s="1" t="s">
        <v>2655</v>
      </c>
      <c r="K1219" s="1" t="n">
        <v>47</v>
      </c>
      <c r="L1219" s="11" t="n">
        <v>0.981178103689673</v>
      </c>
      <c r="M1219" s="1" t="n">
        <f aca="false">SUMIF(Relatorio_AK!$A:$A,A1219,Relatorio_AK!$B:$B)</f>
        <v>47</v>
      </c>
      <c r="N1219" s="1" t="str">
        <f aca="false">IF(M1219=K1219,"OK","DIF")</f>
        <v>OK</v>
      </c>
      <c r="O1219" s="13" t="str">
        <f aca="false">IFERROR(VLOOKUP($A1219,Lista_Starke!$A:$E,3,0),"NÃO ESTÁ NA LISTA")</f>
        <v>CITROEN: Jumpy 1.5 16V HDI 22/...
FIAT: Scudo 1.5 16V Diesel 22/...
PEUGEOT: Expert 1.5 16V HDI 22/...</v>
      </c>
      <c r="P1219" s="12" t="str">
        <f aca="false">IFERROR(VLOOKUP($A1219,Lista_Starke!$A:$E,2,0),"NÃO ESTÁ NA LISTA")</f>
        <v>VÁLVULA TERMOSTÁTICA</v>
      </c>
    </row>
    <row r="1220" customFormat="false" ht="15" hidden="false" customHeight="true" outlineLevel="0" collapsed="false">
      <c r="A1220" s="10" t="s">
        <v>2656</v>
      </c>
      <c r="B1220" s="10" t="str">
        <f aca="false">IFERROR(VLOOKUP(A1220,Pedido!$A:$B,2,0),"")</f>
        <v/>
      </c>
      <c r="C1220" s="10" t="str">
        <f aca="false">IF(B1220="","NÃO COMPRA","COMPRA")</f>
        <v>NÃO COMPRA</v>
      </c>
      <c r="D1220" s="1" t="n">
        <f aca="false">IFERROR(VLOOKUP(A1220,Pedido!$A:$C,3,0),0)</f>
        <v>0</v>
      </c>
      <c r="E1220" s="5" t="n">
        <f aca="false">IFERROR(VLOOKUP(A1220,Pedido!$A:$E,5,0),0)</f>
        <v>0</v>
      </c>
      <c r="F1220" s="1" t="s">
        <v>9</v>
      </c>
      <c r="G1220" s="1" t="s">
        <v>2425</v>
      </c>
      <c r="H1220" s="1" t="s">
        <v>88</v>
      </c>
      <c r="I1220" s="1" t="s">
        <v>53</v>
      </c>
      <c r="J1220" s="1" t="s">
        <v>2657</v>
      </c>
      <c r="K1220" s="1" t="n">
        <v>47</v>
      </c>
      <c r="L1220" s="11" t="n">
        <v>0.981258451475921</v>
      </c>
      <c r="M1220" s="1" t="n">
        <f aca="false">SUMIF(Relatorio_AK!$A:$A,A1220,Relatorio_AK!$B:$B)</f>
        <v>47</v>
      </c>
      <c r="N1220" s="1" t="str">
        <f aca="false">IF(M1220=K1220,"OK","DIF")</f>
        <v>OK</v>
      </c>
      <c r="O1220" s="13" t="str">
        <f aca="false">IFERROR(VLOOKUP($A1220,Lista_Starke!$A:$E,3,0),"NÃO ESTÁ NA LISTA")</f>
        <v>FORD: F250 4BTAA 3.9 8V 4 cil. 98/06
FORD: F250 6.07TCA 99/06
FORD: F250 Cummins ISBe4 Interact 3.9 16V 4 cil. 06/12
FORD: F250 Sprint 4.2 18V 6 cil. 98/06
FORD: F350 4BTAA 3.9 8V 4 cil. 98/05
FORD: F350 Cummins ISBe Interact 3.9 16V 4 cil. 05/11</v>
      </c>
      <c r="P1220" s="12" t="str">
        <f aca="false">IFERROR(VLOOKUP($A1220,Lista_Starke!$A:$E,2,0),"NÃO ESTÁ NA LISTA")</f>
        <v>CILINDRO DE RODA LD</v>
      </c>
    </row>
    <row r="1221" customFormat="false" ht="15" hidden="false" customHeight="true" outlineLevel="0" collapsed="false">
      <c r="A1221" s="10" t="s">
        <v>2658</v>
      </c>
      <c r="B1221" s="10" t="str">
        <f aca="false">IFERROR(VLOOKUP(A1221,Pedido!$A:$B,2,0),"")</f>
        <v/>
      </c>
      <c r="C1221" s="10" t="str">
        <f aca="false">IF(B1221="","NÃO COMPRA","COMPRA")</f>
        <v>NÃO COMPRA</v>
      </c>
      <c r="D1221" s="1" t="n">
        <f aca="false">IFERROR(VLOOKUP(A1221,Pedido!$A:$C,3,0),0)</f>
        <v>0</v>
      </c>
      <c r="E1221" s="5" t="n">
        <f aca="false">IFERROR(VLOOKUP(A1221,Pedido!$A:$E,5,0),0)</f>
        <v>0</v>
      </c>
      <c r="F1221" s="1" t="s">
        <v>9</v>
      </c>
      <c r="G1221" s="1" t="s">
        <v>2659</v>
      </c>
      <c r="H1221" s="1" t="s">
        <v>2466</v>
      </c>
      <c r="I1221" s="1" t="s">
        <v>36</v>
      </c>
      <c r="J1221" s="1" t="s">
        <v>2660</v>
      </c>
      <c r="K1221" s="1" t="n">
        <v>47</v>
      </c>
      <c r="L1221" s="11" t="n">
        <v>0.981338799262168</v>
      </c>
      <c r="M1221" s="1" t="n">
        <f aca="false">SUMIF(Relatorio_AK!$A:$A,A1221,Relatorio_AK!$B:$B)</f>
        <v>47</v>
      </c>
      <c r="N1221" s="1" t="str">
        <f aca="false">IF(M1221=K1221,"OK","DIF")</f>
        <v>OK</v>
      </c>
      <c r="O1221" s="13" t="str">
        <f aca="false">IFERROR(VLOOKUP($A1221,Lista_Starke!$A:$E,3,0),"NÃO ESTÁ NA LISTA")</f>
        <v>VOLKSWAGEN: Gol 1.0 16V AT 02/05
VOLKSWAGEN: Gol 1.0 8V AT 02/05
VOLKSWAGEN: Gol 1.0 8V EA111 02/05
VOLKSWAGEN: Gol 1.0 8V EA111 13/14
VOLKSWAGEN: Gol 1.6 8V AP 06/08
VOLKSWAGEN: Parati 1.6 8V AP 03/12
VOLKSWAGEN: Parati 1.8 8V AP 05/08
VOLKSWAGEN: Saveiro 1.6 8V AP 03/05
VOLKSWAGEN: Saveiro 1.8 8V AP 05/09</v>
      </c>
      <c r="P1221" s="12" t="str">
        <f aca="false">IFERROR(VLOOKUP($A1221,Lista_Starke!$A:$E,2,0),"NÃO ESTÁ NA LISTA")</f>
        <v>SERVO FREIO</v>
      </c>
    </row>
    <row r="1222" customFormat="false" ht="15" hidden="false" customHeight="true" outlineLevel="0" collapsed="false">
      <c r="A1222" s="10" t="s">
        <v>2661</v>
      </c>
      <c r="B1222" s="10" t="str">
        <f aca="false">IFERROR(VLOOKUP(A1222,Pedido!$A:$B,2,0),"")</f>
        <v/>
      </c>
      <c r="C1222" s="10" t="str">
        <f aca="false">IF(B1222="","NÃO COMPRA","COMPRA")</f>
        <v>NÃO COMPRA</v>
      </c>
      <c r="D1222" s="1" t="n">
        <f aca="false">IFERROR(VLOOKUP(A1222,Pedido!$A:$C,3,0),0)</f>
        <v>0</v>
      </c>
      <c r="E1222" s="5" t="n">
        <f aca="false">IFERROR(VLOOKUP(A1222,Pedido!$A:$E,5,0),0)</f>
        <v>0</v>
      </c>
      <c r="F1222" s="1" t="s">
        <v>9</v>
      </c>
      <c r="G1222" s="1" t="s">
        <v>1659</v>
      </c>
      <c r="H1222" s="1" t="s">
        <v>197</v>
      </c>
      <c r="I1222" s="1" t="s">
        <v>46</v>
      </c>
      <c r="K1222" s="1" t="n">
        <v>46</v>
      </c>
      <c r="L1222" s="11" t="n">
        <v>0.981417437521049</v>
      </c>
      <c r="M1222" s="1" t="n">
        <f aca="false">SUMIF(Relatorio_AK!$A:$A,A1222,Relatorio_AK!$B:$B)</f>
        <v>46</v>
      </c>
      <c r="N1222" s="1" t="str">
        <f aca="false">IF(M1222=K1222,"OK","DIF")</f>
        <v>OK</v>
      </c>
      <c r="O1222" s="12" t="str">
        <f aca="false">IFERROR(VLOOKUP($A1222,Lista_Starke!$A:$E,3,0),"NÃO ESTÁ NA LISTA")</f>
        <v>NÃO ESTÁ NA LISTA</v>
      </c>
      <c r="P1222" s="12" t="str">
        <f aca="false">IFERROR(VLOOKUP($A1222,Lista_Starke!$A:$E,2,0),"NÃO ESTÁ NA LISTA")</f>
        <v>NÃO ESTÁ NA LISTA</v>
      </c>
    </row>
    <row r="1223" customFormat="false" ht="15" hidden="false" customHeight="true" outlineLevel="0" collapsed="false">
      <c r="A1223" s="10" t="s">
        <v>2662</v>
      </c>
      <c r="B1223" s="10" t="str">
        <f aca="false">IFERROR(VLOOKUP(A1223,Pedido!$A:$B,2,0),"")</f>
        <v/>
      </c>
      <c r="C1223" s="10" t="str">
        <f aca="false">IF(B1223="","NÃO COMPRA","COMPRA")</f>
        <v>NÃO COMPRA</v>
      </c>
      <c r="D1223" s="1" t="n">
        <f aca="false">IFERROR(VLOOKUP(A1223,Pedido!$A:$C,3,0),0)</f>
        <v>0</v>
      </c>
      <c r="E1223" s="5" t="n">
        <f aca="false">IFERROR(VLOOKUP(A1223,Pedido!$A:$E,5,0),0)</f>
        <v>0</v>
      </c>
      <c r="F1223" s="1" t="s">
        <v>9</v>
      </c>
      <c r="G1223" s="1" t="s">
        <v>616</v>
      </c>
      <c r="H1223" s="1" t="s">
        <v>197</v>
      </c>
      <c r="I1223" s="1" t="s">
        <v>1855</v>
      </c>
      <c r="K1223" s="1" t="n">
        <v>46</v>
      </c>
      <c r="L1223" s="11" t="n">
        <v>0.981496075779929</v>
      </c>
      <c r="M1223" s="1" t="n">
        <f aca="false">SUMIF(Relatorio_AK!$A:$A,A1223,Relatorio_AK!$B:$B)</f>
        <v>46</v>
      </c>
      <c r="N1223" s="1" t="str">
        <f aca="false">IF(M1223=K1223,"OK","DIF")</f>
        <v>OK</v>
      </c>
      <c r="O1223" s="13" t="str">
        <f aca="false">IFERROR(VLOOKUP($A1223,Lista_Starke!$A:$E,3,0),"NÃO ESTÁ NA LISTA")</f>
        <v>AUDI: A3 2.0 FSI   AXW / BLR / BLX / BLY / BMB / BVY / BVZ 03/08
AUDI: A3 2.0 TFSI   AXX / BWA / CAWB / CCZA 04/12
AUDI: A3 3.2 V6   BDB / BMJ / BUB 03/09
AUDI: A4 2.0 TFSI   BWE 04/12
AUDI: Q7 3.6 24V V6   BHK 06/10
AUDI: S3 2.0   BZC / CDLC 07/12
PORSCHE: Cayenne 3.2 V6   M02.2Y 03/07
PORSCHE: Cayenne 3.6 V6   M55.01 06/…
PORSCHE: Cayenne S 4.8 Turbo   M48.51 06/…
VOLKSWAGEN: Passat / Variant 3.2 24V V6   AZZ / BJK 07/10
VOLKSWAGEN: Passat CC 3.6 V6 FSI   BWS 08/10
VOLKSWAGEN: Touareg 3.2 24V V6   AZZ / BKJ 02/06
VOLKSWAGEN: Touareg 3.6 V6 FSI   BHK / BHL 05/10
VOLKSWAGEN: Touareg 4.2 V8 FSI   BAR 06/10</v>
      </c>
      <c r="P1223" s="12" t="str">
        <f aca="false">IFERROR(VLOOKUP($A1223,Lista_Starke!$A:$E,2,0),"NÃO ESTÁ NA LISTA")</f>
        <v>BOMBA D'ÁGUA</v>
      </c>
    </row>
    <row r="1224" customFormat="false" ht="15" hidden="false" customHeight="true" outlineLevel="0" collapsed="false">
      <c r="A1224" s="10" t="s">
        <v>2663</v>
      </c>
      <c r="B1224" s="10" t="str">
        <f aca="false">IFERROR(VLOOKUP(A1224,Pedido!$A:$B,2,0),"")</f>
        <v/>
      </c>
      <c r="C1224" s="10" t="str">
        <f aca="false">IF(B1224="","NÃO COMPRA","COMPRA")</f>
        <v>NÃO COMPRA</v>
      </c>
      <c r="D1224" s="1" t="n">
        <f aca="false">IFERROR(VLOOKUP(A1224,Pedido!$A:$C,3,0),0)</f>
        <v>0</v>
      </c>
      <c r="E1224" s="5" t="n">
        <f aca="false">IFERROR(VLOOKUP(A1224,Pedido!$A:$E,5,0),0)</f>
        <v>0</v>
      </c>
      <c r="F1224" s="1" t="s">
        <v>9</v>
      </c>
      <c r="G1224" s="1" t="s">
        <v>2066</v>
      </c>
      <c r="H1224" s="1" t="s">
        <v>197</v>
      </c>
      <c r="I1224" s="1" t="s">
        <v>1315</v>
      </c>
      <c r="J1224" s="1" t="s">
        <v>2664</v>
      </c>
      <c r="K1224" s="1" t="n">
        <v>46</v>
      </c>
      <c r="L1224" s="11" t="n">
        <v>0.98157471403881</v>
      </c>
      <c r="M1224" s="1" t="n">
        <f aca="false">SUMIF(Relatorio_AK!$A:$A,A1224,Relatorio_AK!$B:$B)</f>
        <v>46</v>
      </c>
      <c r="N1224" s="1" t="str">
        <f aca="false">IF(M1224=K1224,"OK","DIF")</f>
        <v>OK</v>
      </c>
      <c r="O1224" s="13" t="str">
        <f aca="false">IFERROR(VLOOKUP($A1224,Lista_Starke!$A:$E,3,0),"NÃO ESTÁ NA LISTA")</f>
        <v>CHRYSLER: Grand voyager 2.5 Turbo Diesel VM425 94/…
CHRYSLER: Voyager 2.5 Turbo Diesel VM425 94/…
DODGE: Dakota 2.5 Turbo Diesel VM425 96/…
JEEP: Cherokee / Grand Cherokee 2.5 Turbo Diesel VM425 95/…</v>
      </c>
      <c r="P1224" s="12" t="str">
        <f aca="false">IFERROR(VLOOKUP($A1224,Lista_Starke!$A:$E,2,0),"NÃO ESTÁ NA LISTA")</f>
        <v>BOMBA D'ÁGUA</v>
      </c>
    </row>
    <row r="1225" customFormat="false" ht="15" hidden="false" customHeight="true" outlineLevel="0" collapsed="false">
      <c r="A1225" s="10" t="s">
        <v>2665</v>
      </c>
      <c r="B1225" s="10" t="str">
        <f aca="false">IFERROR(VLOOKUP(A1225,Pedido!$A:$B,2,0),"")</f>
        <v/>
      </c>
      <c r="C1225" s="10" t="str">
        <f aca="false">IF(B1225="","NÃO COMPRA","COMPRA")</f>
        <v>NÃO COMPRA</v>
      </c>
      <c r="D1225" s="1" t="n">
        <f aca="false">IFERROR(VLOOKUP(A1225,Pedido!$A:$C,3,0),0)</f>
        <v>0</v>
      </c>
      <c r="E1225" s="5" t="n">
        <f aca="false">IFERROR(VLOOKUP(A1225,Pedido!$A:$E,5,0),0)</f>
        <v>0</v>
      </c>
      <c r="F1225" s="1" t="s">
        <v>9</v>
      </c>
      <c r="G1225" s="1" t="s">
        <v>207</v>
      </c>
      <c r="H1225" s="1" t="s">
        <v>197</v>
      </c>
      <c r="I1225" s="1" t="s">
        <v>42</v>
      </c>
      <c r="J1225" s="1" t="s">
        <v>2666</v>
      </c>
      <c r="K1225" s="1" t="n">
        <v>46</v>
      </c>
      <c r="L1225" s="11" t="n">
        <v>0.98165335229769</v>
      </c>
      <c r="M1225" s="1" t="n">
        <f aca="false">SUMIF(Relatorio_AK!$A:$A,A1225,Relatorio_AK!$B:$B)</f>
        <v>46</v>
      </c>
      <c r="N1225" s="1" t="str">
        <f aca="false">IF(M1225=K1225,"OK","DIF")</f>
        <v>OK</v>
      </c>
      <c r="O1225" s="13" t="str">
        <f aca="false">IFERROR(VLOOKUP($A1225,Lista_Starke!$A:$E,3,0),"NÃO ESTÁ NA LISTA")</f>
        <v>RENAULT: Clio 1.0 8V + ar condicionado 98/00
RENAULT: Clio 1.6 8V + ar condicionado 98/00
RENAULT: Twingo 1.2 8V 95/01</v>
      </c>
      <c r="P1225" s="12" t="str">
        <f aca="false">IFERROR(VLOOKUP($A1225,Lista_Starke!$A:$E,2,0),"NÃO ESTÁ NA LISTA")</f>
        <v>BOMBA D'ÁGUA</v>
      </c>
    </row>
    <row r="1226" customFormat="false" ht="15" hidden="false" customHeight="true" outlineLevel="0" collapsed="false">
      <c r="A1226" s="10" t="s">
        <v>2667</v>
      </c>
      <c r="B1226" s="10" t="str">
        <f aca="false">IFERROR(VLOOKUP(A1226,Pedido!$A:$B,2,0),"")</f>
        <v/>
      </c>
      <c r="C1226" s="10" t="str">
        <f aca="false">IF(B1226="","NÃO COMPRA","COMPRA")</f>
        <v>NÃO COMPRA</v>
      </c>
      <c r="D1226" s="1" t="n">
        <f aca="false">IFERROR(VLOOKUP(A1226,Pedido!$A:$C,3,0),0)</f>
        <v>0</v>
      </c>
      <c r="E1226" s="5" t="n">
        <f aca="false">IFERROR(VLOOKUP(A1226,Pedido!$A:$E,5,0),0)</f>
        <v>0</v>
      </c>
      <c r="F1226" s="1" t="s">
        <v>9</v>
      </c>
      <c r="G1226" s="1" t="s">
        <v>552</v>
      </c>
      <c r="H1226" s="1" t="s">
        <v>197</v>
      </c>
      <c r="I1226" s="1" t="s">
        <v>172</v>
      </c>
      <c r="J1226" s="1" t="s">
        <v>2668</v>
      </c>
      <c r="K1226" s="1" t="n">
        <v>46</v>
      </c>
      <c r="L1226" s="11" t="n">
        <v>0.981731990556571</v>
      </c>
      <c r="M1226" s="1" t="n">
        <f aca="false">SUMIF(Relatorio_AK!$A:$A,A1226,Relatorio_AK!$B:$B)</f>
        <v>46</v>
      </c>
      <c r="N1226" s="1" t="str">
        <f aca="false">IF(M1226=K1226,"OK","DIF")</f>
        <v>OK</v>
      </c>
      <c r="O1226" s="13" t="str">
        <f aca="false">IFERROR(VLOOKUP($A1226,Lista_Starke!$A:$E,3,0),"NÃO ESTÁ NA LISTA")</f>
        <v>HYUNDAI: Tucson 2.7 24V V6   G6BA-G 06/…
KIA: Sportage 2.7 24V V6   G6BA 07/…</v>
      </c>
      <c r="P1226" s="12" t="str">
        <f aca="false">IFERROR(VLOOKUP($A1226,Lista_Starke!$A:$E,2,0),"NÃO ESTÁ NA LISTA")</f>
        <v>BOMBA D'ÁGUA</v>
      </c>
    </row>
    <row r="1227" customFormat="false" ht="15" hidden="false" customHeight="true" outlineLevel="0" collapsed="false">
      <c r="A1227" s="10" t="s">
        <v>2669</v>
      </c>
      <c r="B1227" s="10" t="str">
        <f aca="false">IFERROR(VLOOKUP(A1227,Pedido!$A:$B,2,0),"")</f>
        <v/>
      </c>
      <c r="C1227" s="10" t="str">
        <f aca="false">IF(B1227="","NÃO COMPRA","COMPRA")</f>
        <v>NÃO COMPRA</v>
      </c>
      <c r="D1227" s="1" t="n">
        <f aca="false">IFERROR(VLOOKUP(A1227,Pedido!$A:$C,3,0),0)</f>
        <v>0</v>
      </c>
      <c r="E1227" s="5" t="n">
        <f aca="false">IFERROR(VLOOKUP(A1227,Pedido!$A:$E,5,0),0)</f>
        <v>0</v>
      </c>
      <c r="F1227" s="1" t="s">
        <v>9</v>
      </c>
      <c r="G1227" s="1" t="s">
        <v>145</v>
      </c>
      <c r="H1227" s="1" t="s">
        <v>28</v>
      </c>
      <c r="I1227" s="1" t="s">
        <v>36</v>
      </c>
      <c r="K1227" s="1" t="n">
        <v>46</v>
      </c>
      <c r="L1227" s="11" t="n">
        <v>0.981810628815451</v>
      </c>
      <c r="M1227" s="1" t="n">
        <f aca="false">SUMIF(Relatorio_AK!$A:$A,A1227,Relatorio_AK!$B:$B)</f>
        <v>46</v>
      </c>
      <c r="N1227" s="1" t="str">
        <f aca="false">IF(M1227=K1227,"OK","DIF")</f>
        <v>OK</v>
      </c>
      <c r="O1227" s="12" t="str">
        <f aca="false">IFERROR(VLOOKUP($A1227,Lista_Starke!$A:$E,3,0),"NÃO ESTÁ NA LISTA")</f>
        <v>NÃO ESTÁ NA LISTA</v>
      </c>
      <c r="P1227" s="12" t="str">
        <f aca="false">IFERROR(VLOOKUP($A1227,Lista_Starke!$A:$E,2,0),"NÃO ESTÁ NA LISTA")</f>
        <v>NÃO ESTÁ NA LISTA</v>
      </c>
    </row>
    <row r="1228" customFormat="false" ht="15" hidden="false" customHeight="true" outlineLevel="0" collapsed="false">
      <c r="A1228" s="10" t="s">
        <v>2670</v>
      </c>
      <c r="B1228" s="10" t="str">
        <f aca="false">IFERROR(VLOOKUP(A1228,Pedido!$A:$B,2,0),"")</f>
        <v/>
      </c>
      <c r="C1228" s="10" t="str">
        <f aca="false">IF(B1228="","NÃO COMPRA","COMPRA")</f>
        <v>NÃO COMPRA</v>
      </c>
      <c r="D1228" s="1" t="n">
        <f aca="false">IFERROR(VLOOKUP(A1228,Pedido!$A:$C,3,0),0)</f>
        <v>0</v>
      </c>
      <c r="E1228" s="5" t="n">
        <f aca="false">IFERROR(VLOOKUP(A1228,Pedido!$A:$E,5,0),0)</f>
        <v>0</v>
      </c>
      <c r="F1228" s="1" t="s">
        <v>9</v>
      </c>
      <c r="G1228" s="1" t="s">
        <v>1618</v>
      </c>
      <c r="H1228" s="1" t="s">
        <v>1073</v>
      </c>
      <c r="I1228" s="1" t="s">
        <v>57</v>
      </c>
      <c r="J1228" s="1" t="s">
        <v>2671</v>
      </c>
      <c r="K1228" s="1" t="n">
        <v>46</v>
      </c>
      <c r="L1228" s="11" t="n">
        <v>0.981889267074332</v>
      </c>
      <c r="M1228" s="1" t="n">
        <f aca="false">SUMIF(Relatorio_AK!$A:$A,A1228,Relatorio_AK!$B:$B)</f>
        <v>46</v>
      </c>
      <c r="N1228" s="1" t="str">
        <f aca="false">IF(M1228=K1228,"OK","DIF")</f>
        <v>OK</v>
      </c>
      <c r="O1228" s="13" t="str">
        <f aca="false">IFERROR(VLOOKUP($A1228,Lista_Starke!$A:$E,3,0),"NÃO ESTÁ NA LISTA")</f>
        <v>GM: Cruze 1.8 16V Ecotec 11/…
GM: Sonic 1.6 16V Ecotec 12/…
GM: Tracker 1.8 16V Ecotec 14/…</v>
      </c>
      <c r="P1228" s="12" t="str">
        <f aca="false">IFERROR(VLOOKUP($A1228,Lista_Starke!$A:$E,2,0),"NÃO ESTÁ NA LISTA")</f>
        <v>VÁLVULA TERMOSTÁTICA</v>
      </c>
    </row>
    <row r="1229" customFormat="false" ht="15" hidden="false" customHeight="true" outlineLevel="0" collapsed="false">
      <c r="A1229" s="10" t="s">
        <v>2672</v>
      </c>
      <c r="B1229" s="10" t="str">
        <f aca="false">IFERROR(VLOOKUP(A1229,Pedido!$A:$B,2,0),"")</f>
        <v/>
      </c>
      <c r="C1229" s="10" t="str">
        <f aca="false">IF(B1229="","NÃO COMPRA","COMPRA")</f>
        <v>NÃO COMPRA</v>
      </c>
      <c r="D1229" s="1" t="n">
        <f aca="false">IFERROR(VLOOKUP(A1229,Pedido!$A:$C,3,0),0)</f>
        <v>0</v>
      </c>
      <c r="E1229" s="5" t="n">
        <f aca="false">IFERROR(VLOOKUP(A1229,Pedido!$A:$E,5,0),0)</f>
        <v>0</v>
      </c>
      <c r="F1229" s="1" t="s">
        <v>9</v>
      </c>
      <c r="G1229" s="1" t="s">
        <v>332</v>
      </c>
      <c r="H1229" s="1" t="s">
        <v>28</v>
      </c>
      <c r="I1229" s="1" t="s">
        <v>2673</v>
      </c>
      <c r="J1229" s="1" t="s">
        <v>2674</v>
      </c>
      <c r="K1229" s="1" t="n">
        <v>46</v>
      </c>
      <c r="L1229" s="11" t="n">
        <v>0.981967905333213</v>
      </c>
      <c r="M1229" s="1" t="n">
        <f aca="false">SUMIF(Relatorio_AK!$A:$A,A1229,Relatorio_AK!$B:$B)</f>
        <v>46</v>
      </c>
      <c r="N1229" s="1" t="str">
        <f aca="false">IF(M1229=K1229,"OK","DIF")</f>
        <v>OK</v>
      </c>
      <c r="O1229" s="13" t="str">
        <f aca="false">IFERROR(VLOOKUP($A1229,Lista_Starke!$A:$E,3,0),"NÃO ESTÁ NA LISTA")</f>
        <v>TOYOTA: Bandeirante OJ 50L OM314 3.8 L 8V SOHV L4 74/90
TOYOTA: Bandeirante OJ 50LVB 14B 3.7 L 8V SOHV L4 94/01
TOYOTA: Bandeirante OJ 50LVB OM314 3.8 L 8V SOHV L4 74/90
TOYOTA: Bandeirante OJ 50LVB OM364 4.0 L 8V SOHV L4 74/90
TOYOTA: Bandeirante OJ 55LPB 14B 3.7 L 8V SOHV L4 94/01
TOYOTA: Bandeirante OJ 55LPB OM314 3.8 L 8V SOHV L4 74/90
TROLLER: T4 DURATORQ 3.2 L 20V DOHC L5 14/...
TROLLER: T4 MAXXFORCE 3.2 L 8V SOHC L4 13/14
TROLLER: T4 POWER STROKE 3.0 L 16V SOHC L4_x0001_ 12</v>
      </c>
      <c r="P1229" s="12" t="str">
        <f aca="false">IFERROR(VLOOKUP($A1229,Lista_Starke!$A:$E,2,0),"NÃO ESTÁ NA LISTA")</f>
        <v>CILINDRO AUXILIAR DE EMBREAGEM</v>
      </c>
    </row>
    <row r="1230" customFormat="false" ht="15" hidden="false" customHeight="true" outlineLevel="0" collapsed="false">
      <c r="A1230" s="10" t="s">
        <v>2675</v>
      </c>
      <c r="B1230" s="10" t="str">
        <f aca="false">IFERROR(VLOOKUP(A1230,Pedido!$A:$B,2,0),"")</f>
        <v/>
      </c>
      <c r="C1230" s="10" t="str">
        <f aca="false">IF(B1230="","NÃO COMPRA","COMPRA")</f>
        <v>NÃO COMPRA</v>
      </c>
      <c r="D1230" s="1" t="n">
        <f aca="false">IFERROR(VLOOKUP(A1230,Pedido!$A:$C,3,0),0)</f>
        <v>0</v>
      </c>
      <c r="E1230" s="5" t="n">
        <f aca="false">IFERROR(VLOOKUP(A1230,Pedido!$A:$E,5,0),0)</f>
        <v>0</v>
      </c>
      <c r="F1230" s="1" t="s">
        <v>9</v>
      </c>
      <c r="G1230" s="1" t="s">
        <v>1881</v>
      </c>
      <c r="H1230" s="1" t="s">
        <v>2420</v>
      </c>
      <c r="I1230" s="1" t="s">
        <v>57</v>
      </c>
      <c r="J1230" s="1" t="s">
        <v>2676</v>
      </c>
      <c r="K1230" s="1" t="n">
        <v>45</v>
      </c>
      <c r="L1230" s="11" t="n">
        <v>0.982044834064726</v>
      </c>
      <c r="M1230" s="1" t="n">
        <f aca="false">SUMIF(Relatorio_AK!$A:$A,A1230,Relatorio_AK!$B:$B)</f>
        <v>45</v>
      </c>
      <c r="N1230" s="1" t="str">
        <f aca="false">IF(M1230=K1230,"OK","DIF")</f>
        <v>OK</v>
      </c>
      <c r="O1230" s="13" t="str">
        <f aca="false">IFERROR(VLOOKUP($A1230,Lista_Starke!$A:$E,3,0),"NÃO ESTÁ NA LISTA")</f>
        <v>GM: S10 4x2 / 4x4 17/21
GM: Trailblazer 4x2 / 4x4 17/21</v>
      </c>
      <c r="P1230" s="12" t="str">
        <f aca="false">IFERROR(VLOOKUP($A1230,Lista_Starke!$A:$E,2,0),"NÃO ESTÁ NA LISTA")</f>
        <v>BANDEJA SUPERIOR COMPLETA LE</v>
      </c>
    </row>
    <row r="1231" customFormat="false" ht="15" hidden="false" customHeight="true" outlineLevel="0" collapsed="false">
      <c r="A1231" s="10" t="s">
        <v>2677</v>
      </c>
      <c r="B1231" s="10" t="str">
        <f aca="false">IFERROR(VLOOKUP(A1231,Pedido!$A:$B,2,0),"")</f>
        <v/>
      </c>
      <c r="C1231" s="10" t="str">
        <f aca="false">IF(B1231="","NÃO COMPRA","COMPRA")</f>
        <v>NÃO COMPRA</v>
      </c>
      <c r="D1231" s="1" t="n">
        <f aca="false">IFERROR(VLOOKUP(A1231,Pedido!$A:$C,3,0),0)</f>
        <v>0</v>
      </c>
      <c r="E1231" s="5" t="n">
        <f aca="false">IFERROR(VLOOKUP(A1231,Pedido!$A:$E,5,0),0)</f>
        <v>0</v>
      </c>
      <c r="F1231" s="1" t="s">
        <v>9</v>
      </c>
      <c r="G1231" s="1" t="s">
        <v>2678</v>
      </c>
      <c r="H1231" s="1" t="s">
        <v>1951</v>
      </c>
      <c r="I1231" s="1" t="s">
        <v>373</v>
      </c>
      <c r="J1231" s="1" t="s">
        <v>2679</v>
      </c>
      <c r="K1231" s="1" t="n">
        <v>45</v>
      </c>
      <c r="L1231" s="11" t="n">
        <v>0.98212176279624</v>
      </c>
      <c r="M1231" s="1" t="n">
        <f aca="false">SUMIF(Relatorio_AK!$A:$A,A1231,Relatorio_AK!$B:$B)</f>
        <v>45</v>
      </c>
      <c r="N1231" s="1" t="str">
        <f aca="false">IF(M1231=K1231,"OK","DIF")</f>
        <v>OK</v>
      </c>
      <c r="O1231" s="13" t="str">
        <f aca="false">IFERROR(VLOOKUP($A1231,Lista_Starke!$A:$E,3,0),"NÃO ESTÁ NA LISTA")</f>
        <v>MERCEDES-BENZ: C180 (W205)  14/21
MERCEDES-BENZ: C200 (W205)  14/21
MERCEDES-BENZ: C300 (W205)  14/21</v>
      </c>
      <c r="P1231" s="12" t="str">
        <f aca="false">IFERROR(VLOOKUP($A1231,Lista_Starke!$A:$E,2,0),"NÃO ESTÁ NA LISTA")</f>
        <v>BRAÇO OSCILANTE DIANT INFERIOR COMPLETO LE</v>
      </c>
    </row>
    <row r="1232" customFormat="false" ht="15" hidden="false" customHeight="true" outlineLevel="0" collapsed="false">
      <c r="A1232" s="10" t="s">
        <v>2680</v>
      </c>
      <c r="B1232" s="10" t="str">
        <f aca="false">IFERROR(VLOOKUP(A1232,Pedido!$A:$B,2,0),"")</f>
        <v/>
      </c>
      <c r="C1232" s="10" t="str">
        <f aca="false">IF(B1232="","NÃO COMPRA","COMPRA")</f>
        <v>NÃO COMPRA</v>
      </c>
      <c r="D1232" s="1" t="n">
        <f aca="false">IFERROR(VLOOKUP(A1232,Pedido!$A:$C,3,0),0)</f>
        <v>0</v>
      </c>
      <c r="E1232" s="5" t="n">
        <f aca="false">IFERROR(VLOOKUP(A1232,Pedido!$A:$E,5,0),0)</f>
        <v>0</v>
      </c>
      <c r="F1232" s="1" t="s">
        <v>9</v>
      </c>
      <c r="G1232" s="1" t="s">
        <v>2678</v>
      </c>
      <c r="H1232" s="1" t="s">
        <v>1951</v>
      </c>
      <c r="I1232" s="1" t="s">
        <v>373</v>
      </c>
      <c r="J1232" s="1" t="s">
        <v>2681</v>
      </c>
      <c r="K1232" s="1" t="n">
        <v>45</v>
      </c>
      <c r="L1232" s="11" t="n">
        <v>0.982198691527753</v>
      </c>
      <c r="M1232" s="1" t="n">
        <f aca="false">SUMIF(Relatorio_AK!$A:$A,A1232,Relatorio_AK!$B:$B)</f>
        <v>45</v>
      </c>
      <c r="N1232" s="1" t="str">
        <f aca="false">IF(M1232=K1232,"OK","DIF")</f>
        <v>OK</v>
      </c>
      <c r="O1232" s="13" t="str">
        <f aca="false">IFERROR(VLOOKUP($A1232,Lista_Starke!$A:$E,3,0),"NÃO ESTÁ NA LISTA")</f>
        <v>MERCEDES-BENZ: C180 (W205)  14/21
MERCEDES-BENZ: C200 (W205)  14/21
MERCEDES-BENZ: C300 (W205)  14/21</v>
      </c>
      <c r="P1232" s="12" t="str">
        <f aca="false">IFERROR(VLOOKUP($A1232,Lista_Starke!$A:$E,2,0),"NÃO ESTÁ NA LISTA")</f>
        <v>BRAÇO OSCILANTE DIANT INFERIOR COMPLETO LE</v>
      </c>
    </row>
    <row r="1233" customFormat="false" ht="15" hidden="false" customHeight="true" outlineLevel="0" collapsed="false">
      <c r="A1233" s="10" t="s">
        <v>2682</v>
      </c>
      <c r="B1233" s="10" t="str">
        <f aca="false">IFERROR(VLOOKUP(A1233,Pedido!$A:$B,2,0),"")</f>
        <v/>
      </c>
      <c r="C1233" s="10" t="str">
        <f aca="false">IF(B1233="","NÃO COMPRA","COMPRA")</f>
        <v>NÃO COMPRA</v>
      </c>
      <c r="D1233" s="1" t="n">
        <f aca="false">IFERROR(VLOOKUP(A1233,Pedido!$A:$C,3,0),0)</f>
        <v>0</v>
      </c>
      <c r="E1233" s="5" t="n">
        <f aca="false">IFERROR(VLOOKUP(A1233,Pedido!$A:$E,5,0),0)</f>
        <v>0</v>
      </c>
      <c r="F1233" s="1" t="s">
        <v>9</v>
      </c>
      <c r="G1233" s="1" t="s">
        <v>2683</v>
      </c>
      <c r="H1233" s="1" t="s">
        <v>1358</v>
      </c>
      <c r="I1233" s="1" t="s">
        <v>115</v>
      </c>
      <c r="J1233" s="1" t="s">
        <v>2684</v>
      </c>
      <c r="K1233" s="1" t="n">
        <v>45</v>
      </c>
      <c r="L1233" s="11" t="n">
        <v>0.982275620259267</v>
      </c>
      <c r="M1233" s="1" t="n">
        <f aca="false">SUMIF(Relatorio_AK!$A:$A,A1233,Relatorio_AK!$B:$B)</f>
        <v>45</v>
      </c>
      <c r="N1233" s="1" t="str">
        <f aca="false">IF(M1233=K1233,"OK","DIF")</f>
        <v>OK</v>
      </c>
      <c r="O1233" s="12" t="str">
        <f aca="false">IFERROR(VLOOKUP($A1233,Lista_Starke!$A:$E,3,0),"NÃO ESTÁ NA LISTA")</f>
        <v>JAC MOTORS: J3  11/15</v>
      </c>
      <c r="P1233" s="12" t="str">
        <f aca="false">IFERROR(VLOOKUP($A1233,Lista_Starke!$A:$E,2,0),"NÃO ESTÁ NA LISTA")</f>
        <v>BANDEJA INFERIOR COMPLETA LE</v>
      </c>
    </row>
    <row r="1234" customFormat="false" ht="15" hidden="false" customHeight="true" outlineLevel="0" collapsed="false">
      <c r="A1234" s="10" t="s">
        <v>2685</v>
      </c>
      <c r="B1234" s="10" t="str">
        <f aca="false">IFERROR(VLOOKUP(A1234,Pedido!$A:$B,2,0),"")</f>
        <v/>
      </c>
      <c r="C1234" s="10" t="str">
        <f aca="false">IF(B1234="","NÃO COMPRA","COMPRA")</f>
        <v>NÃO COMPRA</v>
      </c>
      <c r="D1234" s="1" t="n">
        <f aca="false">IFERROR(VLOOKUP(A1234,Pedido!$A:$C,3,0),0)</f>
        <v>0</v>
      </c>
      <c r="E1234" s="5" t="n">
        <f aca="false">IFERROR(VLOOKUP(A1234,Pedido!$A:$E,5,0),0)</f>
        <v>0</v>
      </c>
      <c r="F1234" s="1" t="s">
        <v>9</v>
      </c>
      <c r="G1234" s="1" t="s">
        <v>377</v>
      </c>
      <c r="H1234" s="1" t="s">
        <v>197</v>
      </c>
      <c r="I1234" s="1" t="s">
        <v>53</v>
      </c>
      <c r="K1234" s="1" t="n">
        <v>45</v>
      </c>
      <c r="L1234" s="11" t="n">
        <v>0.98235254899078</v>
      </c>
      <c r="M1234" s="1" t="n">
        <f aca="false">SUMIF(Relatorio_AK!$A:$A,A1234,Relatorio_AK!$B:$B)</f>
        <v>45</v>
      </c>
      <c r="N1234" s="1" t="str">
        <f aca="false">IF(M1234=K1234,"OK","DIF")</f>
        <v>OK</v>
      </c>
      <c r="O1234" s="12" t="str">
        <f aca="false">IFERROR(VLOOKUP($A1234,Lista_Starke!$A:$E,3,0),"NÃO ESTÁ NA LISTA")</f>
        <v>FORD: Ranger 2.2 16V TDCi 13/...</v>
      </c>
      <c r="P1234" s="12" t="str">
        <f aca="false">IFERROR(VLOOKUP($A1234,Lista_Starke!$A:$E,2,0),"NÃO ESTÁ NA LISTA")</f>
        <v>BOMBA D'ÁGUA</v>
      </c>
    </row>
    <row r="1235" customFormat="false" ht="15" hidden="false" customHeight="true" outlineLevel="0" collapsed="false">
      <c r="A1235" s="10" t="s">
        <v>2686</v>
      </c>
      <c r="B1235" s="10" t="str">
        <f aca="false">IFERROR(VLOOKUP(A1235,Pedido!$A:$B,2,0),"")</f>
        <v/>
      </c>
      <c r="C1235" s="10" t="str">
        <f aca="false">IF(B1235="","NÃO COMPRA","COMPRA")</f>
        <v>NÃO COMPRA</v>
      </c>
      <c r="D1235" s="1" t="n">
        <f aca="false">IFERROR(VLOOKUP(A1235,Pedido!$A:$C,3,0),0)</f>
        <v>0</v>
      </c>
      <c r="E1235" s="5" t="n">
        <f aca="false">IFERROR(VLOOKUP(A1235,Pedido!$A:$E,5,0),0)</f>
        <v>0</v>
      </c>
      <c r="F1235" s="1" t="s">
        <v>9</v>
      </c>
      <c r="G1235" s="1" t="s">
        <v>841</v>
      </c>
      <c r="H1235" s="1" t="s">
        <v>197</v>
      </c>
      <c r="I1235" s="1" t="s">
        <v>50</v>
      </c>
      <c r="J1235" s="1" t="s">
        <v>2687</v>
      </c>
      <c r="K1235" s="1" t="n">
        <v>45</v>
      </c>
      <c r="L1235" s="11" t="n">
        <v>0.982429477722294</v>
      </c>
      <c r="M1235" s="1" t="n">
        <f aca="false">SUMIF(Relatorio_AK!$A:$A,A1235,Relatorio_AK!$B:$B)</f>
        <v>45</v>
      </c>
      <c r="N1235" s="1" t="str">
        <f aca="false">IF(M1235=K1235,"OK","DIF")</f>
        <v>OK</v>
      </c>
      <c r="O1235" s="13" t="str">
        <f aca="false">IFERROR(VLOOKUP($A1235,Lista_Starke!$A:$E,3,0),"NÃO ESTÁ NA LISTA")</f>
        <v>HONDA: Accord 2.4 16V K24A / K24A3 03/…
HONDA: New Civic Si 2.0 16V K20Z4 06/…</v>
      </c>
      <c r="P1235" s="12" t="str">
        <f aca="false">IFERROR(VLOOKUP($A1235,Lista_Starke!$A:$E,2,0),"NÃO ESTÁ NA LISTA")</f>
        <v>BOMBA D'ÁGUA</v>
      </c>
    </row>
    <row r="1236" customFormat="false" ht="15" hidden="false" customHeight="true" outlineLevel="0" collapsed="false">
      <c r="A1236" s="10" t="s">
        <v>2688</v>
      </c>
      <c r="B1236" s="10" t="str">
        <f aca="false">IFERROR(VLOOKUP(A1236,Pedido!$A:$B,2,0),"")</f>
        <v/>
      </c>
      <c r="C1236" s="10" t="str">
        <f aca="false">IF(B1236="","NÃO COMPRA","COMPRA")</f>
        <v>NÃO COMPRA</v>
      </c>
      <c r="D1236" s="1" t="n">
        <f aca="false">IFERROR(VLOOKUP(A1236,Pedido!$A:$C,3,0),0)</f>
        <v>0</v>
      </c>
      <c r="E1236" s="5" t="n">
        <f aca="false">IFERROR(VLOOKUP(A1236,Pedido!$A:$E,5,0),0)</f>
        <v>0</v>
      </c>
      <c r="F1236" s="1" t="s">
        <v>9</v>
      </c>
      <c r="G1236" s="1" t="s">
        <v>720</v>
      </c>
      <c r="H1236" s="1" t="s">
        <v>197</v>
      </c>
      <c r="I1236" s="1" t="s">
        <v>255</v>
      </c>
      <c r="J1236" s="1" t="s">
        <v>2689</v>
      </c>
      <c r="K1236" s="1" t="n">
        <v>45</v>
      </c>
      <c r="L1236" s="11" t="n">
        <v>0.982506406453807</v>
      </c>
      <c r="M1236" s="1" t="n">
        <f aca="false">SUMIF(Relatorio_AK!$A:$A,A1236,Relatorio_AK!$B:$B)</f>
        <v>45</v>
      </c>
      <c r="N1236" s="1" t="str">
        <f aca="false">IF(M1236=K1236,"OK","DIF")</f>
        <v>OK</v>
      </c>
      <c r="O1236" s="13" t="str">
        <f aca="false">IFERROR(VLOOKUP($A1236,Lista_Starke!$A:$E,3,0),"NÃO ESTÁ NA LISTA")</f>
        <v>MITSUBISHI: Eclipse 2.0 Turbo 95/99
MITSUBISHI: Eclipse 2.4 96/99
MITSUBISHI: Galant 2.0 93
MITSUBISHI: Galant 2.4 94/98</v>
      </c>
      <c r="P1236" s="12" t="str">
        <f aca="false">IFERROR(VLOOKUP($A1236,Lista_Starke!$A:$E,2,0),"NÃO ESTÁ NA LISTA")</f>
        <v>BOMBA D'ÁGUA</v>
      </c>
    </row>
    <row r="1237" customFormat="false" ht="15" hidden="false" customHeight="true" outlineLevel="0" collapsed="false">
      <c r="A1237" s="10" t="s">
        <v>2690</v>
      </c>
      <c r="B1237" s="10" t="str">
        <f aca="false">IFERROR(VLOOKUP(A1237,Pedido!$A:$B,2,0),"")</f>
        <v/>
      </c>
      <c r="C1237" s="10" t="str">
        <f aca="false">IF(B1237="","NÃO COMPRA","COMPRA")</f>
        <v>NÃO COMPRA</v>
      </c>
      <c r="D1237" s="1" t="n">
        <f aca="false">IFERROR(VLOOKUP(A1237,Pedido!$A:$C,3,0),0)</f>
        <v>0</v>
      </c>
      <c r="E1237" s="5" t="n">
        <f aca="false">IFERROR(VLOOKUP(A1237,Pedido!$A:$E,5,0),0)</f>
        <v>0</v>
      </c>
      <c r="F1237" s="1" t="s">
        <v>9</v>
      </c>
      <c r="G1237" s="1" t="s">
        <v>2691</v>
      </c>
      <c r="H1237" s="1" t="s">
        <v>88</v>
      </c>
      <c r="I1237" s="1" t="s">
        <v>42</v>
      </c>
      <c r="J1237" s="1" t="s">
        <v>2692</v>
      </c>
      <c r="K1237" s="1" t="n">
        <v>45</v>
      </c>
      <c r="L1237" s="11" t="n">
        <v>0.982583335185321</v>
      </c>
      <c r="M1237" s="1" t="n">
        <f aca="false">SUMIF(Relatorio_AK!$A:$A,A1237,Relatorio_AK!$B:$B)</f>
        <v>45</v>
      </c>
      <c r="N1237" s="1" t="str">
        <f aca="false">IF(M1237=K1237,"OK","DIF")</f>
        <v>OK</v>
      </c>
      <c r="O1237" s="13" t="str">
        <f aca="false">IFERROR(VLOOKUP($A1237,Lista_Starke!$A:$E,3,0),"NÃO ESTÁ NA LISTA")</f>
        <v>RENAULT: Kangoo 1.0 8V 02/07
RENAULT: Kangoo 1.6 16V 00/07
RENAULT: Kangoo 1.6 16V 02/11</v>
      </c>
      <c r="P1237" s="12" t="str">
        <f aca="false">IFERROR(VLOOKUP($A1237,Lista_Starke!$A:$E,2,0),"NÃO ESTÁ NA LISTA")</f>
        <v>CILINDRO DE RODA LE/LD - IGUAL SWC5098</v>
      </c>
    </row>
    <row r="1238" customFormat="false" ht="15" hidden="false" customHeight="true" outlineLevel="0" collapsed="false">
      <c r="A1238" s="10" t="s">
        <v>2693</v>
      </c>
      <c r="B1238" s="10" t="str">
        <f aca="false">IFERROR(VLOOKUP(A1238,Pedido!$A:$B,2,0),"")</f>
        <v/>
      </c>
      <c r="C1238" s="10" t="str">
        <f aca="false">IF(B1238="","NÃO COMPRA","COMPRA")</f>
        <v>NÃO COMPRA</v>
      </c>
      <c r="D1238" s="1" t="n">
        <f aca="false">IFERROR(VLOOKUP(A1238,Pedido!$A:$C,3,0),0)</f>
        <v>0</v>
      </c>
      <c r="E1238" s="5" t="n">
        <f aca="false">IFERROR(VLOOKUP(A1238,Pedido!$A:$E,5,0),0)</f>
        <v>0</v>
      </c>
      <c r="F1238" s="1" t="s">
        <v>9</v>
      </c>
      <c r="G1238" s="1" t="s">
        <v>2694</v>
      </c>
      <c r="H1238" s="1" t="s">
        <v>2695</v>
      </c>
      <c r="I1238" s="1" t="s">
        <v>57</v>
      </c>
      <c r="J1238" s="1" t="s">
        <v>2696</v>
      </c>
      <c r="K1238" s="1" t="n">
        <v>44</v>
      </c>
      <c r="L1238" s="11" t="n">
        <v>0.982658554389468</v>
      </c>
      <c r="M1238" s="1" t="n">
        <f aca="false">SUMIF(Relatorio_AK!$A:$A,A1238,Relatorio_AK!$B:$B)</f>
        <v>44</v>
      </c>
      <c r="N1238" s="1" t="str">
        <f aca="false">IF(M1238=K1238,"OK","DIF")</f>
        <v>OK</v>
      </c>
      <c r="O1238" s="13" t="str">
        <f aca="false">IFERROR(VLOOKUP($A1238,Lista_Starke!$A:$E,3,0),"NÃO ESTÁ NA LISTA")</f>
        <v>GM: Celta  00/16
GM: Classic  04/15
GM: Corsa Exceto Novo Corsa 98/03
GM: Prisma  07/12
GM: Tigra  98/01</v>
      </c>
      <c r="P1238" s="12" t="str">
        <f aca="false">IFERROR(VLOOKUP($A1238,Lista_Starke!$A:$E,2,0),"NÃO ESTÁ NA LISTA")</f>
        <v>SUPORTE DIANTEIRO LE</v>
      </c>
    </row>
    <row r="1239" customFormat="false" ht="15" hidden="false" customHeight="true" outlineLevel="0" collapsed="false">
      <c r="A1239" s="10" t="s">
        <v>2697</v>
      </c>
      <c r="B1239" s="10" t="str">
        <f aca="false">IFERROR(VLOOKUP(A1239,Pedido!$A:$B,2,0),"")</f>
        <v/>
      </c>
      <c r="C1239" s="10" t="str">
        <f aca="false">IF(B1239="","NÃO COMPRA","COMPRA")</f>
        <v>NÃO COMPRA</v>
      </c>
      <c r="D1239" s="1" t="n">
        <f aca="false">IFERROR(VLOOKUP(A1239,Pedido!$A:$C,3,0),0)</f>
        <v>0</v>
      </c>
      <c r="E1239" s="5" t="n">
        <f aca="false">IFERROR(VLOOKUP(A1239,Pedido!$A:$E,5,0),0)</f>
        <v>0</v>
      </c>
      <c r="F1239" s="1" t="s">
        <v>9</v>
      </c>
      <c r="G1239" s="1" t="s">
        <v>2698</v>
      </c>
      <c r="H1239" s="1" t="s">
        <v>2695</v>
      </c>
      <c r="I1239" s="1" t="s">
        <v>57</v>
      </c>
      <c r="J1239" s="1" t="s">
        <v>2699</v>
      </c>
      <c r="K1239" s="1" t="n">
        <v>44</v>
      </c>
      <c r="L1239" s="11" t="n">
        <v>0.982733773593614</v>
      </c>
      <c r="M1239" s="1" t="n">
        <f aca="false">SUMIF(Relatorio_AK!$A:$A,A1239,Relatorio_AK!$B:$B)</f>
        <v>44</v>
      </c>
      <c r="N1239" s="1" t="str">
        <f aca="false">IF(M1239=K1239,"OK","DIF")</f>
        <v>OK</v>
      </c>
      <c r="O1239" s="13" t="str">
        <f aca="false">IFERROR(VLOOKUP($A1239,Lista_Starke!$A:$E,3,0),"NÃO ESTÁ NA LISTA")</f>
        <v>GM: Celta  00/16
GM: Classic  04/15
GM: Corsa Exceto Novo Corsa 98/03
GM: Prisma  07/12
GM: Tigra  98/01</v>
      </c>
      <c r="P1239" s="12" t="str">
        <f aca="false">IFERROR(VLOOKUP($A1239,Lista_Starke!$A:$E,2,0),"NÃO ESTÁ NA LISTA")</f>
        <v>SUPORTE DIANTEIRO LD</v>
      </c>
    </row>
    <row r="1240" customFormat="false" ht="15" hidden="false" customHeight="true" outlineLevel="0" collapsed="false">
      <c r="A1240" s="10" t="s">
        <v>2700</v>
      </c>
      <c r="B1240" s="10" t="str">
        <f aca="false">IFERROR(VLOOKUP(A1240,Pedido!$A:$B,2,0),"")</f>
        <v/>
      </c>
      <c r="C1240" s="10" t="str">
        <f aca="false">IF(B1240="","NÃO COMPRA","COMPRA")</f>
        <v>NÃO COMPRA</v>
      </c>
      <c r="D1240" s="1" t="n">
        <f aca="false">IFERROR(VLOOKUP(A1240,Pedido!$A:$C,3,0),0)</f>
        <v>0</v>
      </c>
      <c r="E1240" s="5" t="n">
        <f aca="false">IFERROR(VLOOKUP(A1240,Pedido!$A:$E,5,0),0)</f>
        <v>0</v>
      </c>
      <c r="F1240" s="1" t="s">
        <v>9</v>
      </c>
      <c r="G1240" s="1" t="s">
        <v>2344</v>
      </c>
      <c r="H1240" s="1" t="s">
        <v>1358</v>
      </c>
      <c r="I1240" s="1" t="s">
        <v>50</v>
      </c>
      <c r="J1240" s="1" t="s">
        <v>2701</v>
      </c>
      <c r="K1240" s="1" t="n">
        <v>44</v>
      </c>
      <c r="L1240" s="11" t="n">
        <v>0.982808992797761</v>
      </c>
      <c r="M1240" s="1" t="n">
        <f aca="false">SUMIF(Relatorio_AK!$A:$A,A1240,Relatorio_AK!$B:$B)</f>
        <v>44</v>
      </c>
      <c r="N1240" s="1" t="str">
        <f aca="false">IF(M1240=K1240,"OK","DIF")</f>
        <v>OK</v>
      </c>
      <c r="O1240" s="12" t="str">
        <f aca="false">IFERROR(VLOOKUP($A1240,Lista_Starke!$A:$E,3,0),"NÃO ESTÁ NA LISTA")</f>
        <v>HONDA: HRV  15/21</v>
      </c>
      <c r="P1240" s="12" t="str">
        <f aca="false">IFERROR(VLOOKUP($A1240,Lista_Starke!$A:$E,2,0),"NÃO ESTÁ NA LISTA")</f>
        <v>BANDEJA INFERIOR COMPLETA LE</v>
      </c>
    </row>
    <row r="1241" customFormat="false" ht="15" hidden="false" customHeight="true" outlineLevel="0" collapsed="false">
      <c r="A1241" s="10" t="s">
        <v>2702</v>
      </c>
      <c r="B1241" s="10" t="str">
        <f aca="false">IFERROR(VLOOKUP(A1241,Pedido!$A:$B,2,0),"")</f>
        <v/>
      </c>
      <c r="C1241" s="10" t="str">
        <f aca="false">IF(B1241="","NÃO COMPRA","COMPRA")</f>
        <v>NÃO COMPRA</v>
      </c>
      <c r="D1241" s="1" t="n">
        <f aca="false">IFERROR(VLOOKUP(A1241,Pedido!$A:$C,3,0),0)</f>
        <v>0</v>
      </c>
      <c r="E1241" s="5" t="n">
        <f aca="false">IFERROR(VLOOKUP(A1241,Pedido!$A:$E,5,0),0)</f>
        <v>0</v>
      </c>
      <c r="F1241" s="1" t="s">
        <v>9</v>
      </c>
      <c r="G1241" s="1" t="s">
        <v>2233</v>
      </c>
      <c r="H1241" s="1" t="s">
        <v>1358</v>
      </c>
      <c r="I1241" s="1" t="s">
        <v>50</v>
      </c>
      <c r="J1241" s="1" t="s">
        <v>2703</v>
      </c>
      <c r="K1241" s="1" t="n">
        <v>44</v>
      </c>
      <c r="L1241" s="11" t="n">
        <v>0.982884212001908</v>
      </c>
      <c r="M1241" s="1" t="n">
        <f aca="false">SUMIF(Relatorio_AK!$A:$A,A1241,Relatorio_AK!$B:$B)</f>
        <v>44</v>
      </c>
      <c r="N1241" s="1" t="str">
        <f aca="false">IF(M1241=K1241,"OK","DIF")</f>
        <v>OK</v>
      </c>
      <c r="O1241" s="12" t="str">
        <f aca="false">IFERROR(VLOOKUP($A1241,Lista_Starke!$A:$E,3,0),"NÃO ESTÁ NA LISTA")</f>
        <v>HONDA: HRV  15/21</v>
      </c>
      <c r="P1241" s="12" t="str">
        <f aca="false">IFERROR(VLOOKUP($A1241,Lista_Starke!$A:$E,2,0),"NÃO ESTÁ NA LISTA")</f>
        <v>BANDEJA INFERIOR COMPLETA LD</v>
      </c>
    </row>
    <row r="1242" customFormat="false" ht="15" hidden="false" customHeight="true" outlineLevel="0" collapsed="false">
      <c r="A1242" s="10" t="s">
        <v>2704</v>
      </c>
      <c r="B1242" s="10" t="str">
        <f aca="false">IFERROR(VLOOKUP(A1242,Pedido!$A:$B,2,0),"")</f>
        <v/>
      </c>
      <c r="C1242" s="10" t="str">
        <f aca="false">IF(B1242="","NÃO COMPRA","COMPRA")</f>
        <v>NÃO COMPRA</v>
      </c>
      <c r="D1242" s="1" t="n">
        <f aca="false">IFERROR(VLOOKUP(A1242,Pedido!$A:$C,3,0),0)</f>
        <v>0</v>
      </c>
      <c r="E1242" s="5" t="n">
        <f aca="false">IFERROR(VLOOKUP(A1242,Pedido!$A:$E,5,0),0)</f>
        <v>0</v>
      </c>
      <c r="F1242" s="1" t="s">
        <v>9</v>
      </c>
      <c r="G1242" s="1" t="s">
        <v>826</v>
      </c>
      <c r="H1242" s="1" t="s">
        <v>790</v>
      </c>
      <c r="I1242" s="1" t="s">
        <v>1157</v>
      </c>
      <c r="J1242" s="1" t="s">
        <v>2705</v>
      </c>
      <c r="K1242" s="1" t="n">
        <v>44</v>
      </c>
      <c r="L1242" s="11" t="n">
        <v>0.982959431206054</v>
      </c>
      <c r="M1242" s="1" t="n">
        <f aca="false">SUMIF(Relatorio_AK!$A:$A,A1242,Relatorio_AK!$B:$B)</f>
        <v>44</v>
      </c>
      <c r="N1242" s="1" t="str">
        <f aca="false">IF(M1242=K1242,"OK","DIF")</f>
        <v>OK</v>
      </c>
      <c r="O1242" s="13" t="str">
        <f aca="false">IFERROR(VLOOKUP($A1242,Lista_Starke!$A:$E,3,0),"NÃO ESTÁ NA LISTA")</f>
        <v>BMW: 130i (E81) 3.0   N52 B30A / N52 B30B / N52 B30BF 06/12
BMW: 130i (E87) 3.0   N52 B30A / N52 B30AF / N52 B30B / N52 B30BF 05/12
BMW: 323i (E90) 2.5   N52 B25A 08/11
BMW: 325i (E90) 2.5   N52 B25A 05/11
BMW: 325i (E90) 3.0   N53 B30A 07/11
BMW: 330i (E90) 3.0   N52 B30A / N53 B30A 07/11
BMW: 330i (E90) 3.0   N52 B30A 05/11
BMW: X1 (E84) xDrive 25i 3.0   N52 B30A 10/15
BMW: X1 (E84) xDrive 28i 3.0   N52 B30A 09/15
BMW: X3 (E83) xDrive 25i 2.5   N52 B25A 06/…
BMW: X3 (E83) xDrive 30i 3.0   M54 B30 / N52 B30A 06/11
BMW: X5 (E70) 3.0    N52 B30A 07/08
BMW: X5 (E70) xDrive 30i 3.0    N52 B30A 08/10
BMW: Z4 (E85) 2.5   N52 B25A 05/09
BMW: Z4 (E85) 3.0   N52 B30A 06/08
BMW: Z4 (E89) sDrive 23i 2.5   N52 B25A 09/…
BMW: Z4 (E89) sDrive 30i 3.0   N52 B30A 09/…</v>
      </c>
      <c r="P1242" s="12" t="str">
        <f aca="false">IFERROR(VLOOKUP($A1242,Lista_Starke!$A:$E,2,0),"NÃO ESTÁ NA LISTA")</f>
        <v>BOMBA D'ÁGUA ELÉTRICA</v>
      </c>
    </row>
    <row r="1243" customFormat="false" ht="15" hidden="false" customHeight="true" outlineLevel="0" collapsed="false">
      <c r="A1243" s="10" t="s">
        <v>2706</v>
      </c>
      <c r="B1243" s="10" t="str">
        <f aca="false">IFERROR(VLOOKUP(A1243,Pedido!$A:$B,2,0),"")</f>
        <v/>
      </c>
      <c r="C1243" s="10" t="str">
        <f aca="false">IF(B1243="","NÃO COMPRA","COMPRA")</f>
        <v>NÃO COMPRA</v>
      </c>
      <c r="D1243" s="1" t="n">
        <f aca="false">IFERROR(VLOOKUP(A1243,Pedido!$A:$C,3,0),0)</f>
        <v>0</v>
      </c>
      <c r="E1243" s="5" t="n">
        <f aca="false">IFERROR(VLOOKUP(A1243,Pedido!$A:$E,5,0),0)</f>
        <v>0</v>
      </c>
      <c r="F1243" s="1" t="s">
        <v>9</v>
      </c>
      <c r="G1243" s="1" t="s">
        <v>1810</v>
      </c>
      <c r="H1243" s="1" t="s">
        <v>2420</v>
      </c>
      <c r="I1243" s="1" t="s">
        <v>215</v>
      </c>
      <c r="J1243" s="1" t="s">
        <v>2707</v>
      </c>
      <c r="K1243" s="1" t="n">
        <v>44</v>
      </c>
      <c r="L1243" s="11" t="n">
        <v>0.983034650410201</v>
      </c>
      <c r="M1243" s="1" t="n">
        <f aca="false">SUMIF(Relatorio_AK!$A:$A,A1243,Relatorio_AK!$B:$B)</f>
        <v>44</v>
      </c>
      <c r="N1243" s="1" t="str">
        <f aca="false">IF(M1243=K1243,"OK","DIF")</f>
        <v>OK</v>
      </c>
      <c r="O1243" s="12" t="str">
        <f aca="false">IFERROR(VLOOKUP($A1243,Lista_Starke!$A:$E,3,0),"NÃO ESTÁ NA LISTA")</f>
        <v>NISSAN: Frontier 2.3 16V 17/...</v>
      </c>
      <c r="P1243" s="12" t="str">
        <f aca="false">IFERROR(VLOOKUP($A1243,Lista_Starke!$A:$E,2,0),"NÃO ESTÁ NA LISTA")</f>
        <v>BANDEJA SUPERIOR COMPLETA LD</v>
      </c>
    </row>
    <row r="1244" customFormat="false" ht="15" hidden="false" customHeight="true" outlineLevel="0" collapsed="false">
      <c r="A1244" s="10" t="s">
        <v>2708</v>
      </c>
      <c r="B1244" s="10" t="str">
        <f aca="false">IFERROR(VLOOKUP(A1244,Pedido!$A:$B,2,0),"")</f>
        <v/>
      </c>
      <c r="C1244" s="10" t="str">
        <f aca="false">IF(B1244="","NÃO COMPRA","COMPRA")</f>
        <v>NÃO COMPRA</v>
      </c>
      <c r="D1244" s="1" t="n">
        <f aca="false">IFERROR(VLOOKUP(A1244,Pedido!$A:$C,3,0),0)</f>
        <v>0</v>
      </c>
      <c r="E1244" s="5" t="n">
        <f aca="false">IFERROR(VLOOKUP(A1244,Pedido!$A:$E,5,0),0)</f>
        <v>0</v>
      </c>
      <c r="F1244" s="1" t="s">
        <v>9</v>
      </c>
      <c r="G1244" s="1" t="s">
        <v>763</v>
      </c>
      <c r="H1244" s="1" t="s">
        <v>197</v>
      </c>
      <c r="I1244" s="1" t="s">
        <v>2610</v>
      </c>
      <c r="J1244" s="1" t="s">
        <v>2709</v>
      </c>
      <c r="K1244" s="1" t="n">
        <v>44</v>
      </c>
      <c r="L1244" s="11" t="n">
        <v>0.983109869614348</v>
      </c>
      <c r="M1244" s="1" t="n">
        <f aca="false">SUMIF(Relatorio_AK!$A:$A,A1244,Relatorio_AK!$B:$B)</f>
        <v>44</v>
      </c>
      <c r="N1244" s="1" t="str">
        <f aca="false">IF(M1244=K1244,"OK","DIF")</f>
        <v>OK</v>
      </c>
      <c r="O1244" s="13" t="str">
        <f aca="false">IFERROR(VLOOKUP($A1244,Lista_Starke!$A:$E,3,0),"NÃO ESTÁ NA LISTA")</f>
        <v>MERCEDES-BENZ: C180 (W202) 1.8   M111.920 / M111.921 94/00
MERCEDES-BENZ: C200 Kompressor (W202) 2.0   M111.944 95/00
MERCEDES-BENZ: C220 (W202) 2.2   M111.961 93/00
MERCEDES-BENZ: C230 (W202) 2.3   M111.974 96/97
MERCEDES-BENZ: C230 Kompressor (W202) 2.3   M111.975 95/00
MERCEDES-BENZ: C240 (W202) 2.4   M112.910 97/00
MERCEDES-BENZ: C280 (W202) 2.8   M104.941 / M112.920 93/00
MERCEDES-BENZ: E280 (S124) 2.8   M104.942 93/96
MERCEDES-BENZ: E300 (S124) 3.0   M103.985 93/96
MERCEDES-BENZ: E320 (S124) 3.2   M104.992 93/96
SSANGYONG: Musso 2.3   M111.970 03/…</v>
      </c>
      <c r="P1244" s="12" t="str">
        <f aca="false">IFERROR(VLOOKUP($A1244,Lista_Starke!$A:$E,2,0),"NÃO ESTÁ NA LISTA")</f>
        <v>BOMBA D'ÁGUA</v>
      </c>
    </row>
    <row r="1245" customFormat="false" ht="15" hidden="false" customHeight="true" outlineLevel="0" collapsed="false">
      <c r="A1245" s="10" t="s">
        <v>2710</v>
      </c>
      <c r="B1245" s="10" t="str">
        <f aca="false">IFERROR(VLOOKUP(A1245,Pedido!$A:$B,2,0),"")</f>
        <v/>
      </c>
      <c r="C1245" s="10" t="str">
        <f aca="false">IF(B1245="","NÃO COMPRA","COMPRA")</f>
        <v>NÃO COMPRA</v>
      </c>
      <c r="D1245" s="1" t="n">
        <f aca="false">IFERROR(VLOOKUP(A1245,Pedido!$A:$C,3,0),0)</f>
        <v>0</v>
      </c>
      <c r="E1245" s="5" t="n">
        <f aca="false">IFERROR(VLOOKUP(A1245,Pedido!$A:$E,5,0),0)</f>
        <v>0</v>
      </c>
      <c r="F1245" s="1" t="s">
        <v>9</v>
      </c>
      <c r="G1245" s="1" t="s">
        <v>2711</v>
      </c>
      <c r="H1245" s="1" t="s">
        <v>1714</v>
      </c>
      <c r="I1245" s="1" t="s">
        <v>2610</v>
      </c>
      <c r="J1245" s="1" t="s">
        <v>2712</v>
      </c>
      <c r="K1245" s="1" t="n">
        <v>44</v>
      </c>
      <c r="L1245" s="11" t="n">
        <v>0.983185088818494</v>
      </c>
      <c r="M1245" s="1" t="n">
        <f aca="false">SUMIF(Relatorio_AK!$A:$A,A1245,Relatorio_AK!$B:$B)</f>
        <v>44</v>
      </c>
      <c r="N1245" s="1" t="str">
        <f aca="false">IF(M1245=K1245,"OK","DIF")</f>
        <v>OK</v>
      </c>
      <c r="O1245" s="13" t="str">
        <f aca="false">IFERROR(VLOOKUP($A1245,Lista_Starke!$A:$E,3,0),"NÃO ESTÁ NA LISTA")</f>
        <v>MERCEDES-BENZ: Sprinter 311/313/411/413/416 2.1 / 2.7 CDI Eletrônico OM611/OM612 02/…
SSANGYONG: Actyon 2.0 16V   D20DT 05/…
SSANGYONG: Actyon Sports 2.0 16V   D20DT 07/…
SSANGYONG: Actyon Sports 2.0 16V   D20DTR 11/…
SSANGYONG: Korando 2.0 16V   D20DTR 11/…
SSANGYONG: Kyron 2.0 16V   D20DT 05/…
SSANGYONG: Kyron 2.0 16V   D20DT 10/…</v>
      </c>
      <c r="P1245" s="12" t="str">
        <f aca="false">IFERROR(VLOOKUP($A1245,Lista_Starke!$A:$E,2,0),"NÃO ESTÁ NA LISTA")</f>
        <v>POLIA VISCOSA</v>
      </c>
    </row>
    <row r="1246" customFormat="false" ht="15" hidden="false" customHeight="true" outlineLevel="0" collapsed="false">
      <c r="A1246" s="10" t="s">
        <v>2713</v>
      </c>
      <c r="B1246" s="10" t="str">
        <f aca="false">IFERROR(VLOOKUP(A1246,Pedido!$A:$B,2,0),"")</f>
        <v/>
      </c>
      <c r="C1246" s="10" t="str">
        <f aca="false">IF(B1246="","NÃO COMPRA","COMPRA")</f>
        <v>NÃO COMPRA</v>
      </c>
      <c r="D1246" s="1" t="n">
        <f aca="false">IFERROR(VLOOKUP(A1246,Pedido!$A:$C,3,0),0)</f>
        <v>0</v>
      </c>
      <c r="E1246" s="5" t="n">
        <f aca="false">IFERROR(VLOOKUP(A1246,Pedido!$A:$E,5,0),0)</f>
        <v>0</v>
      </c>
      <c r="F1246" s="1" t="s">
        <v>9</v>
      </c>
      <c r="G1246" s="1" t="s">
        <v>2714</v>
      </c>
      <c r="H1246" s="1" t="s">
        <v>845</v>
      </c>
      <c r="I1246" s="1" t="s">
        <v>1030</v>
      </c>
      <c r="J1246" s="1" t="s">
        <v>2715</v>
      </c>
      <c r="K1246" s="1" t="n">
        <v>44</v>
      </c>
      <c r="L1246" s="11" t="n">
        <v>0.983260308022641</v>
      </c>
      <c r="M1246" s="1" t="n">
        <f aca="false">SUMIF(Relatorio_AK!$A:$A,A1246,Relatorio_AK!$B:$B)</f>
        <v>44</v>
      </c>
      <c r="N1246" s="1" t="str">
        <f aca="false">IF(M1246=K1246,"OK","DIF")</f>
        <v>OK</v>
      </c>
      <c r="O1246" s="13" t="str">
        <f aca="false">IFERROR(VLOOKUP($A1246,Lista_Starke!$A:$E,3,0),"NÃO ESTÁ NA LISTA")</f>
        <v>DODGE: Durango 3.6 / 5.7 / 6.2 / 6.4 11/...
DODGE: Durango Limited / Citadel / Crew 3.6 4x4 11/...
JEEP: Grand Cherokee 3.0 / 3.6 / 5.7 / 6.2 / 6.4 11/...
JEEP: Grand Cherokee 4XE 2.0 Híbrido 22/...
JEEP: Grand Cherokee Laredo / Limited 3.6 11/...
JEEP: Grand Cherokee Overland 5.7 11/...
JEEP: Grand Cherokee SRT 6.4 12/...
JEEP: Grand Cherokee Trackhawk 6.2 18/...</v>
      </c>
      <c r="P1246" s="12" t="str">
        <f aca="false">IFERROR(VLOOKUP($A1246,Lista_Starke!$A:$E,2,0),"NÃO ESTÁ NA LISTA")</f>
        <v>SAPATA DE FREIO DE MÃO</v>
      </c>
    </row>
    <row r="1247" customFormat="false" ht="15" hidden="false" customHeight="true" outlineLevel="0" collapsed="false">
      <c r="A1247" s="10" t="s">
        <v>2716</v>
      </c>
      <c r="B1247" s="10" t="str">
        <f aca="false">IFERROR(VLOOKUP(A1247,Pedido!$A:$B,2,0),"")</f>
        <v/>
      </c>
      <c r="C1247" s="10" t="str">
        <f aca="false">IF(B1247="","NÃO COMPRA","COMPRA")</f>
        <v>NÃO COMPRA</v>
      </c>
      <c r="D1247" s="1" t="n">
        <f aca="false">IFERROR(VLOOKUP(A1247,Pedido!$A:$C,3,0),0)</f>
        <v>0</v>
      </c>
      <c r="E1247" s="5" t="n">
        <f aca="false">IFERROR(VLOOKUP(A1247,Pedido!$A:$E,5,0),0)</f>
        <v>0</v>
      </c>
      <c r="F1247" s="1" t="s">
        <v>9</v>
      </c>
      <c r="G1247" s="1" t="s">
        <v>1722</v>
      </c>
      <c r="H1247" s="1" t="s">
        <v>197</v>
      </c>
      <c r="I1247" s="1" t="s">
        <v>1723</v>
      </c>
      <c r="J1247" s="1" t="s">
        <v>2717</v>
      </c>
      <c r="K1247" s="1" t="n">
        <v>44</v>
      </c>
      <c r="L1247" s="11" t="n">
        <v>0.983335527226788</v>
      </c>
      <c r="M1247" s="1" t="n">
        <f aca="false">SUMIF(Relatorio_AK!$A:$A,A1247,Relatorio_AK!$B:$B)</f>
        <v>44</v>
      </c>
      <c r="N1247" s="1" t="str">
        <f aca="false">IF(M1247=K1247,"OK","DIF")</f>
        <v>OK</v>
      </c>
      <c r="O1247" s="13" t="str">
        <f aca="false">IFERROR(VLOOKUP($A1247,Lista_Starke!$A:$E,3,0),"NÃO ESTÁ NA LISTA")</f>
        <v>PORSCHE: 718 Boxter / Cayman GTS 2.5 MDJ.UA / MDJ.UB / DPHB / DNZB / DNZC 17/...
PORSCHE: 718 Boxter / Cayman S 2.5 MDD.NC / DPHA / DNZA 16/...
PORSCHE: 718 Boxter / Cayman T 2.0 MDD.PB / DPGB / DNYA 16/...</v>
      </c>
      <c r="P1247" s="12" t="str">
        <f aca="false">IFERROR(VLOOKUP($A1247,Lista_Starke!$A:$E,2,0),"NÃO ESTÁ NA LISTA")</f>
        <v>BOMBA D'ÁGUA</v>
      </c>
    </row>
    <row r="1248" customFormat="false" ht="15" hidden="false" customHeight="true" outlineLevel="0" collapsed="false">
      <c r="A1248" s="10" t="s">
        <v>2718</v>
      </c>
      <c r="B1248" s="10" t="str">
        <f aca="false">IFERROR(VLOOKUP(A1248,Pedido!$A:$B,2,0),"")</f>
        <v/>
      </c>
      <c r="C1248" s="10" t="str">
        <f aca="false">IF(B1248="","NÃO COMPRA","COMPRA")</f>
        <v>NÃO COMPRA</v>
      </c>
      <c r="D1248" s="1" t="n">
        <f aca="false">IFERROR(VLOOKUP(A1248,Pedido!$A:$C,3,0),0)</f>
        <v>0</v>
      </c>
      <c r="E1248" s="5" t="n">
        <f aca="false">IFERROR(VLOOKUP(A1248,Pedido!$A:$E,5,0),0)</f>
        <v>0</v>
      </c>
      <c r="F1248" s="1" t="s">
        <v>9</v>
      </c>
      <c r="G1248" s="1" t="s">
        <v>363</v>
      </c>
      <c r="H1248" s="1" t="s">
        <v>32</v>
      </c>
      <c r="I1248" s="1" t="s">
        <v>2673</v>
      </c>
      <c r="J1248" s="1" t="s">
        <v>2719</v>
      </c>
      <c r="K1248" s="1" t="n">
        <v>44</v>
      </c>
      <c r="L1248" s="11" t="n">
        <v>0.983410746430934</v>
      </c>
      <c r="M1248" s="1" t="n">
        <f aca="false">SUMIF(Relatorio_AK!$A:$A,A1248,Relatorio_AK!$B:$B)</f>
        <v>44</v>
      </c>
      <c r="N1248" s="1" t="str">
        <f aca="false">IF(M1248=K1248,"OK","DIF")</f>
        <v>OK</v>
      </c>
      <c r="O1248" s="13" t="str">
        <f aca="false">IFERROR(VLOOKUP($A1248,Lista_Starke!$A:$E,3,0),"NÃO ESTÁ NA LISTA")</f>
        <v>TOYOTA: Bandeirante OJ 50L OM314 3.8 L 8V SOHV L4 74/90
TOYOTA: Bandeirante OJ 50LVB 14B 3.7 L 8V SOHV L4 94/01
TOYOTA: Bandeirante OJ 50LVB OM314 3.8 L 8V SOHV L4 74/90
TOYOTA: Bandeirante OJ 50LVB OM364 4.0 L 8V SOHV L4 74/90
TOYOTA: Bandeirante OJ 55LPB 14B 3.7 L 8V SOHV L4 94/01
TOYOTA: Bandeirante OJ 55LPB OM314 3.8 L 8V SOHV L4 74/90
TROLLER: T4 DURATORQ 3.2 L 20V DOHC L5 14/...
TROLLER: T4 MAXXFORCE 3.2 L 8V SOHC L4 13/14
TROLLER: T4 POWER STROKE 3.0 L 16V SOHC L4_x0001_ 12</v>
      </c>
      <c r="P1248" s="12" t="str">
        <f aca="false">IFERROR(VLOOKUP($A1248,Lista_Starke!$A:$E,2,0),"NÃO ESTÁ NA LISTA")</f>
        <v>CILINDRO MESTRE DE EMBREAGEM</v>
      </c>
    </row>
    <row r="1249" customFormat="false" ht="15" hidden="false" customHeight="true" outlineLevel="0" collapsed="false">
      <c r="A1249" s="10" t="s">
        <v>2720</v>
      </c>
      <c r="B1249" s="10" t="str">
        <f aca="false">IFERROR(VLOOKUP(A1249,Pedido!$A:$B,2,0),"")</f>
        <v/>
      </c>
      <c r="C1249" s="10" t="str">
        <f aca="false">IF(B1249="","NÃO COMPRA","COMPRA")</f>
        <v>NÃO COMPRA</v>
      </c>
      <c r="D1249" s="1" t="n">
        <f aca="false">IFERROR(VLOOKUP(A1249,Pedido!$A:$C,3,0),0)</f>
        <v>0</v>
      </c>
      <c r="E1249" s="5" t="n">
        <f aca="false">IFERROR(VLOOKUP(A1249,Pedido!$A:$E,5,0),0)</f>
        <v>0</v>
      </c>
      <c r="F1249" s="1" t="s">
        <v>9</v>
      </c>
      <c r="G1249" s="1" t="s">
        <v>1626</v>
      </c>
      <c r="H1249" s="1" t="s">
        <v>1358</v>
      </c>
      <c r="I1249" s="1" t="s">
        <v>46</v>
      </c>
      <c r="J1249" s="1" t="s">
        <v>2721</v>
      </c>
      <c r="K1249" s="1" t="n">
        <v>43</v>
      </c>
      <c r="L1249" s="11" t="n">
        <v>0.983484256107714</v>
      </c>
      <c r="M1249" s="1" t="n">
        <f aca="false">SUMIF(Relatorio_AK!$A:$A,A1249,Relatorio_AK!$B:$B)</f>
        <v>43</v>
      </c>
      <c r="N1249" s="1" t="str">
        <f aca="false">IF(M1249=K1249,"OK","DIF")</f>
        <v>OK</v>
      </c>
      <c r="O1249" s="13" t="str">
        <f aca="false">IFERROR(VLOOKUP($A1249,Lista_Starke!$A:$E,3,0),"NÃO ESTÁ NA LISTA")</f>
        <v>FIAT: Idea Adventure 06/16
FIAT: Palio Weekend Adventure 05/08
FIAT: Palio Weekend Adventure Locker 07/15
FIAT: Strada Adventure 05/08
FIAT: Strada Adventure Locker 08/15</v>
      </c>
      <c r="P1249" s="12" t="str">
        <f aca="false">IFERROR(VLOOKUP($A1249,Lista_Starke!$A:$E,2,0),"NÃO ESTÁ NA LISTA")</f>
        <v>BANDEJA INFERIOR COMPLETA LE</v>
      </c>
    </row>
    <row r="1250" customFormat="false" ht="15" hidden="false" customHeight="true" outlineLevel="0" collapsed="false">
      <c r="A1250" s="10" t="s">
        <v>2722</v>
      </c>
      <c r="B1250" s="10" t="str">
        <f aca="false">IFERROR(VLOOKUP(A1250,Pedido!$A:$B,2,0),"")</f>
        <v>SCA 8053 FL</v>
      </c>
      <c r="C1250" s="10" t="str">
        <f aca="false">IF(B1250="","NÃO COMPRA","COMPRA")</f>
        <v>COMPRA</v>
      </c>
      <c r="D1250" s="1" t="n">
        <f aca="false">IFERROR(VLOOKUP(A1250,Pedido!$A:$C,3,0),0)</f>
        <v>3</v>
      </c>
      <c r="E1250" s="5" t="n">
        <f aca="false">IFERROR(VLOOKUP(A1250,Pedido!$A:$E,5,0),0)</f>
        <v>450</v>
      </c>
      <c r="F1250" s="1" t="s">
        <v>9</v>
      </c>
      <c r="G1250" s="1" t="s">
        <v>1906</v>
      </c>
      <c r="H1250" s="1" t="s">
        <v>1358</v>
      </c>
      <c r="I1250" s="1" t="s">
        <v>53</v>
      </c>
      <c r="J1250" s="1" t="s">
        <v>2723</v>
      </c>
      <c r="K1250" s="1" t="n">
        <v>43</v>
      </c>
      <c r="L1250" s="11" t="n">
        <v>0.983557765784493</v>
      </c>
      <c r="M1250" s="1" t="n">
        <f aca="false">SUMIF(Relatorio_AK!$A:$A,A1250,Relatorio_AK!$B:$B)</f>
        <v>43</v>
      </c>
      <c r="N1250" s="1" t="str">
        <f aca="false">IF(M1250=K1250,"OK","DIF")</f>
        <v>OK</v>
      </c>
      <c r="O1250" s="12" t="str">
        <f aca="false">IFERROR(VLOOKUP($A1250,Lista_Starke!$A:$E,3,0),"NÃO ESTÁ NA LISTA")</f>
        <v>FORD: Ecosport  13/18</v>
      </c>
      <c r="P1250" s="12" t="str">
        <f aca="false">IFERROR(VLOOKUP($A1250,Lista_Starke!$A:$E,2,0),"NÃO ESTÁ NA LISTA")</f>
        <v>BANDEJA INFERIOR COMPLETA LE</v>
      </c>
    </row>
    <row r="1251" customFormat="false" ht="15" hidden="false" customHeight="true" outlineLevel="0" collapsed="false">
      <c r="A1251" s="10" t="s">
        <v>2724</v>
      </c>
      <c r="B1251" s="10" t="str">
        <f aca="false">IFERROR(VLOOKUP(A1251,Pedido!$A:$B,2,0),"")</f>
        <v/>
      </c>
      <c r="C1251" s="10" t="str">
        <f aca="false">IF(B1251="","NÃO COMPRA","COMPRA")</f>
        <v>NÃO COMPRA</v>
      </c>
      <c r="D1251" s="1" t="n">
        <f aca="false">IFERROR(VLOOKUP(A1251,Pedido!$A:$C,3,0),0)</f>
        <v>0</v>
      </c>
      <c r="E1251" s="5" t="n">
        <f aca="false">IFERROR(VLOOKUP(A1251,Pedido!$A:$E,5,0),0)</f>
        <v>0</v>
      </c>
      <c r="F1251" s="1" t="s">
        <v>9</v>
      </c>
      <c r="G1251" s="1" t="s">
        <v>2031</v>
      </c>
      <c r="H1251" s="1" t="s">
        <v>1358</v>
      </c>
      <c r="I1251" s="1" t="s">
        <v>36</v>
      </c>
      <c r="J1251" s="1" t="s">
        <v>2725</v>
      </c>
      <c r="K1251" s="1" t="n">
        <v>43</v>
      </c>
      <c r="L1251" s="11" t="n">
        <v>0.983631275461273</v>
      </c>
      <c r="M1251" s="1" t="n">
        <f aca="false">SUMIF(Relatorio_AK!$A:$A,A1251,Relatorio_AK!$B:$B)</f>
        <v>43</v>
      </c>
      <c r="N1251" s="1" t="str">
        <f aca="false">IF(M1251=K1251,"OK","DIF")</f>
        <v>OK</v>
      </c>
      <c r="O1251" s="12" t="str">
        <f aca="false">IFERROR(VLOOKUP($A1251,Lista_Starke!$A:$E,3,0),"NÃO ESTÁ NA LISTA")</f>
        <v>VOLKSWAGEN: Jetta  10/18</v>
      </c>
      <c r="P1251" s="12" t="str">
        <f aca="false">IFERROR(VLOOKUP($A1251,Lista_Starke!$A:$E,2,0),"NÃO ESTÁ NA LISTA")</f>
        <v>BANDEJA INFERIOR LE</v>
      </c>
    </row>
    <row r="1252" customFormat="false" ht="15" hidden="false" customHeight="true" outlineLevel="0" collapsed="false">
      <c r="A1252" s="10" t="s">
        <v>2726</v>
      </c>
      <c r="B1252" s="10" t="str">
        <f aca="false">IFERROR(VLOOKUP(A1252,Pedido!$A:$B,2,0),"")</f>
        <v/>
      </c>
      <c r="C1252" s="10" t="str">
        <f aca="false">IF(B1252="","NÃO COMPRA","COMPRA")</f>
        <v>NÃO COMPRA</v>
      </c>
      <c r="D1252" s="1" t="n">
        <f aca="false">IFERROR(VLOOKUP(A1252,Pedido!$A:$C,3,0),0)</f>
        <v>0</v>
      </c>
      <c r="E1252" s="5" t="n">
        <f aca="false">IFERROR(VLOOKUP(A1252,Pedido!$A:$E,5,0),0)</f>
        <v>0</v>
      </c>
      <c r="F1252" s="1" t="s">
        <v>9</v>
      </c>
      <c r="G1252" s="1" t="s">
        <v>1947</v>
      </c>
      <c r="H1252" s="1" t="s">
        <v>1358</v>
      </c>
      <c r="I1252" s="1" t="s">
        <v>36</v>
      </c>
      <c r="J1252" s="1" t="s">
        <v>2727</v>
      </c>
      <c r="K1252" s="1" t="n">
        <v>43</v>
      </c>
      <c r="L1252" s="11" t="n">
        <v>0.983704785138053</v>
      </c>
      <c r="M1252" s="1" t="n">
        <f aca="false">SUMIF(Relatorio_AK!$A:$A,A1252,Relatorio_AK!$B:$B)</f>
        <v>43</v>
      </c>
      <c r="N1252" s="1" t="str">
        <f aca="false">IF(M1252=K1252,"OK","DIF")</f>
        <v>OK</v>
      </c>
      <c r="O1252" s="12" t="str">
        <f aca="false">IFERROR(VLOOKUP($A1252,Lista_Starke!$A:$E,3,0),"NÃO ESTÁ NA LISTA")</f>
        <v>VOLKSWAGEN: Jetta  10/18</v>
      </c>
      <c r="P1252" s="12" t="str">
        <f aca="false">IFERROR(VLOOKUP($A1252,Lista_Starke!$A:$E,2,0),"NÃO ESTÁ NA LISTA")</f>
        <v>BANDEJA INFERIOR LD</v>
      </c>
    </row>
    <row r="1253" customFormat="false" ht="15" hidden="false" customHeight="true" outlineLevel="0" collapsed="false">
      <c r="A1253" s="10" t="s">
        <v>2728</v>
      </c>
      <c r="B1253" s="10" t="str">
        <f aca="false">IFERROR(VLOOKUP(A1253,Pedido!$A:$B,2,0),"")</f>
        <v/>
      </c>
      <c r="C1253" s="10" t="str">
        <f aca="false">IF(B1253="","NÃO COMPRA","COMPRA")</f>
        <v>NÃO COMPRA</v>
      </c>
      <c r="D1253" s="1" t="n">
        <f aca="false">IFERROR(VLOOKUP(A1253,Pedido!$A:$C,3,0),0)</f>
        <v>0</v>
      </c>
      <c r="E1253" s="5" t="n">
        <f aca="false">IFERROR(VLOOKUP(A1253,Pedido!$A:$E,5,0),0)</f>
        <v>0</v>
      </c>
      <c r="F1253" s="1" t="s">
        <v>9</v>
      </c>
      <c r="G1253" s="1" t="s">
        <v>1959</v>
      </c>
      <c r="H1253" s="1" t="s">
        <v>1358</v>
      </c>
      <c r="I1253" s="1" t="s">
        <v>29</v>
      </c>
      <c r="K1253" s="1" t="n">
        <v>43</v>
      </c>
      <c r="L1253" s="11" t="n">
        <v>0.983778294814832</v>
      </c>
      <c r="M1253" s="1" t="n">
        <f aca="false">SUMIF(Relatorio_AK!$A:$A,A1253,Relatorio_AK!$B:$B)</f>
        <v>43</v>
      </c>
      <c r="N1253" s="1" t="str">
        <f aca="false">IF(M1253=K1253,"OK","DIF")</f>
        <v>OK</v>
      </c>
      <c r="O1253" s="12" t="str">
        <f aca="false">IFERROR(VLOOKUP($A1253,Lista_Starke!$A:$E,3,0),"NÃO ESTÁ NA LISTA")</f>
        <v>HYUNDAI: New Tucson 1.6 16v Turbo 21/...</v>
      </c>
      <c r="P1253" s="12" t="str">
        <f aca="false">IFERROR(VLOOKUP($A1253,Lista_Starke!$A:$E,2,0),"NÃO ESTÁ NA LISTA")</f>
        <v>BANDEJA INFERIOR COMPLETA LD</v>
      </c>
    </row>
    <row r="1254" customFormat="false" ht="15" hidden="false" customHeight="true" outlineLevel="0" collapsed="false">
      <c r="A1254" s="10" t="s">
        <v>2729</v>
      </c>
      <c r="B1254" s="10" t="str">
        <f aca="false">IFERROR(VLOOKUP(A1254,Pedido!$A:$B,2,0),"")</f>
        <v/>
      </c>
      <c r="C1254" s="10" t="str">
        <f aca="false">IF(B1254="","NÃO COMPRA","COMPRA")</f>
        <v>NÃO COMPRA</v>
      </c>
      <c r="D1254" s="1" t="n">
        <f aca="false">IFERROR(VLOOKUP(A1254,Pedido!$A:$C,3,0),0)</f>
        <v>0</v>
      </c>
      <c r="E1254" s="5" t="n">
        <f aca="false">IFERROR(VLOOKUP(A1254,Pedido!$A:$E,5,0),0)</f>
        <v>0</v>
      </c>
      <c r="F1254" s="1" t="s">
        <v>9</v>
      </c>
      <c r="G1254" s="1" t="s">
        <v>2711</v>
      </c>
      <c r="H1254" s="1" t="s">
        <v>2730</v>
      </c>
      <c r="I1254" s="1" t="s">
        <v>373</v>
      </c>
      <c r="K1254" s="1" t="n">
        <v>43</v>
      </c>
      <c r="L1254" s="11" t="n">
        <v>0.983851804491612</v>
      </c>
      <c r="M1254" s="1" t="n">
        <f aca="false">SUMIF(Relatorio_AK!$A:$A,A1254,Relatorio_AK!$B:$B)</f>
        <v>43</v>
      </c>
      <c r="N1254" s="1" t="str">
        <f aca="false">IF(M1254=K1254,"OK","DIF")</f>
        <v>OK</v>
      </c>
      <c r="O1254" s="12" t="str">
        <f aca="false">IFERROR(VLOOKUP($A1254,Lista_Starke!$A:$E,3,0),"NÃO ESTÁ NA LISTA")</f>
        <v>MERCEDES-BENZ: Sprinter 415/515 2.2 CDI Eletrônico OM651LA 13/…</v>
      </c>
      <c r="P1254" s="12" t="str">
        <f aca="false">IFERROR(VLOOKUP($A1254,Lista_Starke!$A:$E,2,0),"NÃO ESTÁ NA LISTA")</f>
        <v>POLIA VISCOSA COM HÉLICE</v>
      </c>
    </row>
    <row r="1255" customFormat="false" ht="15" hidden="false" customHeight="true" outlineLevel="0" collapsed="false">
      <c r="A1255" s="10" t="s">
        <v>2731</v>
      </c>
      <c r="B1255" s="10" t="str">
        <f aca="false">IFERROR(VLOOKUP(A1255,Pedido!$A:$B,2,0),"")</f>
        <v/>
      </c>
      <c r="C1255" s="10" t="str">
        <f aca="false">IF(B1255="","NÃO COMPRA","COMPRA")</f>
        <v>NÃO COMPRA</v>
      </c>
      <c r="D1255" s="1" t="n">
        <f aca="false">IFERROR(VLOOKUP(A1255,Pedido!$A:$C,3,0),0)</f>
        <v>0</v>
      </c>
      <c r="E1255" s="5" t="n">
        <f aca="false">IFERROR(VLOOKUP(A1255,Pedido!$A:$E,5,0),0)</f>
        <v>0</v>
      </c>
      <c r="F1255" s="1" t="s">
        <v>9</v>
      </c>
      <c r="G1255" s="1" t="s">
        <v>2732</v>
      </c>
      <c r="H1255" s="1" t="s">
        <v>1714</v>
      </c>
      <c r="I1255" s="1" t="s">
        <v>255</v>
      </c>
      <c r="J1255" s="1" t="s">
        <v>2733</v>
      </c>
      <c r="K1255" s="1" t="n">
        <v>43</v>
      </c>
      <c r="L1255" s="11" t="n">
        <v>0.983925314168392</v>
      </c>
      <c r="M1255" s="1" t="n">
        <f aca="false">SUMIF(Relatorio_AK!$A:$A,A1255,Relatorio_AK!$B:$B)</f>
        <v>43</v>
      </c>
      <c r="N1255" s="1" t="str">
        <f aca="false">IF(M1255=K1255,"OK","DIF")</f>
        <v>OK</v>
      </c>
      <c r="O1255" s="13" t="str">
        <f aca="false">IFERROR(VLOOKUP($A1255,Lista_Starke!$A:$E,3,0),"NÃO ESTÁ NA LISTA")</f>
        <v>MITSUBISHI: Pajero Dakar 3.2 16V Diesel 4M41 DI-D 07/16
MITSUBISHI: Pajero Full 3.2 16V Diesel 4M41 DI-D 07/16
MITSUBISHI: Pajero Sport 2.4 16V 4N15 19/...
MITSUBISHI: Triton 2.4 16V 4N15 17/...
MITSUBISHI: Triton 3.2 16V Diesel 4M41 DI-D 07/16
MITSUBISHI: Triton 3.5 V6 24V Flex 6G74 10/16
MITSUBISHI: Triton 3.5 V6 24V Gasolina 6G74 07/16</v>
      </c>
      <c r="P1255" s="12" t="str">
        <f aca="false">IFERROR(VLOOKUP($A1255,Lista_Starke!$A:$E,2,0),"NÃO ESTÁ NA LISTA")</f>
        <v>POLIA VISCOSA</v>
      </c>
    </row>
    <row r="1256" customFormat="false" ht="15" hidden="false" customHeight="true" outlineLevel="0" collapsed="false">
      <c r="A1256" s="10" t="s">
        <v>2734</v>
      </c>
      <c r="B1256" s="10" t="str">
        <f aca="false">IFERROR(VLOOKUP(A1256,Pedido!$A:$B,2,0),"")</f>
        <v/>
      </c>
      <c r="C1256" s="10" t="str">
        <f aca="false">IF(B1256="","NÃO COMPRA","COMPRA")</f>
        <v>NÃO COMPRA</v>
      </c>
      <c r="D1256" s="1" t="n">
        <f aca="false">IFERROR(VLOOKUP(A1256,Pedido!$A:$C,3,0),0)</f>
        <v>0</v>
      </c>
      <c r="E1256" s="5" t="n">
        <f aca="false">IFERROR(VLOOKUP(A1256,Pedido!$A:$E,5,0),0)</f>
        <v>0</v>
      </c>
      <c r="F1256" s="1" t="s">
        <v>9</v>
      </c>
      <c r="G1256" s="1" t="s">
        <v>488</v>
      </c>
      <c r="H1256" s="1" t="s">
        <v>197</v>
      </c>
      <c r="I1256" s="1" t="s">
        <v>215</v>
      </c>
      <c r="K1256" s="1" t="n">
        <v>43</v>
      </c>
      <c r="L1256" s="11" t="n">
        <v>0.983998823845171</v>
      </c>
      <c r="M1256" s="1" t="n">
        <f aca="false">SUMIF(Relatorio_AK!$A:$A,A1256,Relatorio_AK!$B:$B)</f>
        <v>43</v>
      </c>
      <c r="N1256" s="1" t="str">
        <f aca="false">IF(M1256=K1256,"OK","DIF")</f>
        <v>OK</v>
      </c>
      <c r="O1256" s="12" t="str">
        <f aca="false">IFERROR(VLOOKUP($A1256,Lista_Starke!$A:$E,3,0),"NÃO ESTÁ NA LISTA")</f>
        <v>NÃO ESTÁ NA LISTA</v>
      </c>
      <c r="P1256" s="12" t="str">
        <f aca="false">IFERROR(VLOOKUP($A1256,Lista_Starke!$A:$E,2,0),"NÃO ESTÁ NA LISTA")</f>
        <v>NÃO ESTÁ NA LISTA</v>
      </c>
    </row>
    <row r="1257" customFormat="false" ht="15" hidden="false" customHeight="true" outlineLevel="0" collapsed="false">
      <c r="A1257" s="10" t="s">
        <v>2735</v>
      </c>
      <c r="B1257" s="10" t="str">
        <f aca="false">IFERROR(VLOOKUP(A1257,Pedido!$A:$B,2,0),"")</f>
        <v/>
      </c>
      <c r="C1257" s="10" t="str">
        <f aca="false">IF(B1257="","NÃO COMPRA","COMPRA")</f>
        <v>NÃO COMPRA</v>
      </c>
      <c r="D1257" s="1" t="n">
        <f aca="false">IFERROR(VLOOKUP(A1257,Pedido!$A:$C,3,0),0)</f>
        <v>0</v>
      </c>
      <c r="E1257" s="5" t="n">
        <f aca="false">IFERROR(VLOOKUP(A1257,Pedido!$A:$E,5,0),0)</f>
        <v>0</v>
      </c>
      <c r="F1257" s="1" t="s">
        <v>9</v>
      </c>
      <c r="G1257" s="1" t="s">
        <v>1019</v>
      </c>
      <c r="H1257" s="1" t="s">
        <v>600</v>
      </c>
      <c r="I1257" s="1" t="s">
        <v>938</v>
      </c>
      <c r="J1257" s="1" t="s">
        <v>2736</v>
      </c>
      <c r="K1257" s="1" t="n">
        <v>43</v>
      </c>
      <c r="L1257" s="11" t="n">
        <v>0.984072333521951</v>
      </c>
      <c r="M1257" s="1" t="n">
        <f aca="false">SUMIF(Relatorio_AK!$A:$A,A1257,Relatorio_AK!$B:$B)</f>
        <v>43</v>
      </c>
      <c r="N1257" s="1" t="str">
        <f aca="false">IF(M1257=K1257,"OK","DIF")</f>
        <v>OK</v>
      </c>
      <c r="O1257" s="13" t="str">
        <f aca="false">IFERROR(VLOOKUP($A1257,Lista_Starke!$A:$E,3,0),"NÃO ESTÁ NA LISTA")</f>
        <v>JAGUAR: F-Pace 2.0 Ti4 MHEV PT204(AJ20P4) Híbrido 18/...
LAND ROVER: Defender 2.0 P300 PT204(AJ20P4) 18/...
LAND ROVER: Discovery Sport 2.0 P250 PT204(AJ20P4) 18/...
LAND ROVER: Evoque 2.0 P250 PT204(AJ20P4) Gasolina 15/...
LAND ROVER: Range Rover Sport 2.0 P300 MHEV PT204(AJ20P4) Híbrido 18/...
LAND ROVER: Velar 2.0 P250 MHEV P204(AJ20P4) Híbrido 18/...</v>
      </c>
      <c r="P1257" s="12" t="str">
        <f aca="false">IFERROR(VLOOKUP($A1257,Lista_Starke!$A:$E,2,0),"NÃO ESTÁ NA LISTA")</f>
        <v>BOMBA DE VÁCUO FREIO</v>
      </c>
    </row>
    <row r="1258" customFormat="false" ht="15" hidden="false" customHeight="true" outlineLevel="0" collapsed="false">
      <c r="A1258" s="10" t="s">
        <v>2737</v>
      </c>
      <c r="B1258" s="10" t="str">
        <f aca="false">IFERROR(VLOOKUP(A1258,Pedido!$A:$B,2,0),"")</f>
        <v/>
      </c>
      <c r="C1258" s="10" t="str">
        <f aca="false">IF(B1258="","NÃO COMPRA","COMPRA")</f>
        <v>NÃO COMPRA</v>
      </c>
      <c r="D1258" s="1" t="n">
        <f aca="false">IFERROR(VLOOKUP(A1258,Pedido!$A:$C,3,0),0)</f>
        <v>0</v>
      </c>
      <c r="E1258" s="5" t="n">
        <f aca="false">IFERROR(VLOOKUP(A1258,Pedido!$A:$E,5,0),0)</f>
        <v>0</v>
      </c>
      <c r="F1258" s="1" t="s">
        <v>9</v>
      </c>
      <c r="G1258" s="1" t="s">
        <v>2738</v>
      </c>
      <c r="H1258" s="1" t="s">
        <v>845</v>
      </c>
      <c r="I1258" s="1" t="s">
        <v>684</v>
      </c>
      <c r="J1258" s="1" t="s">
        <v>2739</v>
      </c>
      <c r="K1258" s="1" t="n">
        <v>43</v>
      </c>
      <c r="L1258" s="11" t="n">
        <v>0.984145843198731</v>
      </c>
      <c r="M1258" s="1" t="n">
        <f aca="false">SUMIF(Relatorio_AK!$A:$A,A1258,Relatorio_AK!$B:$B)</f>
        <v>43</v>
      </c>
      <c r="N1258" s="1" t="str">
        <f aca="false">IF(M1258=K1258,"OK","DIF")</f>
        <v>OK</v>
      </c>
      <c r="O1258" s="13" t="str">
        <f aca="false">IFERROR(VLOOKUP($A1258,Lista_Starke!$A:$E,3,0),"NÃO ESTÁ NA LISTA")</f>
        <v>LAND ROVER: Discovery IV  09/16
LAND ROVER: Discovey III  04/09
LAND ROVER: Range Rover Sport  05/13</v>
      </c>
      <c r="P1258" s="12" t="str">
        <f aca="false">IFERROR(VLOOKUP($A1258,Lista_Starke!$A:$E,2,0),"NÃO ESTÁ NA LISTA")</f>
        <v>SAPATA DE FREIO DE MÃO</v>
      </c>
    </row>
    <row r="1259" customFormat="false" ht="15" hidden="false" customHeight="true" outlineLevel="0" collapsed="false">
      <c r="A1259" s="10" t="s">
        <v>2740</v>
      </c>
      <c r="B1259" s="10" t="str">
        <f aca="false">IFERROR(VLOOKUP(A1259,Pedido!$A:$B,2,0),"")</f>
        <v/>
      </c>
      <c r="C1259" s="10" t="str">
        <f aca="false">IF(B1259="","NÃO COMPRA","COMPRA")</f>
        <v>NÃO COMPRA</v>
      </c>
      <c r="D1259" s="1" t="n">
        <f aca="false">IFERROR(VLOOKUP(A1259,Pedido!$A:$C,3,0),0)</f>
        <v>0</v>
      </c>
      <c r="E1259" s="5" t="n">
        <f aca="false">IFERROR(VLOOKUP(A1259,Pedido!$A:$E,5,0),0)</f>
        <v>0</v>
      </c>
      <c r="F1259" s="1" t="s">
        <v>9</v>
      </c>
      <c r="G1259" s="1" t="s">
        <v>1618</v>
      </c>
      <c r="H1259" s="1" t="s">
        <v>1073</v>
      </c>
      <c r="I1259" s="1" t="s">
        <v>57</v>
      </c>
      <c r="J1259" s="1" t="s">
        <v>2741</v>
      </c>
      <c r="K1259" s="1" t="n">
        <v>43</v>
      </c>
      <c r="L1259" s="11" t="n">
        <v>0.98421935287551</v>
      </c>
      <c r="M1259" s="1" t="n">
        <f aca="false">SUMIF(Relatorio_AK!$A:$A,A1259,Relatorio_AK!$B:$B)</f>
        <v>43</v>
      </c>
      <c r="N1259" s="1" t="str">
        <f aca="false">IF(M1259=K1259,"OK","DIF")</f>
        <v>OK</v>
      </c>
      <c r="O1259" s="13" t="str">
        <f aca="false">IFERROR(VLOOKUP($A1259,Lista_Starke!$A:$E,3,0),"NÃO ESTÁ NA LISTA")</f>
        <v>GM: Cruze 1.8 16V Ecotec 11/…
GM: Sonic 1.6 16V Ecotec 12/…
GM: Tracker 1.8 16V Ecotec 14/…</v>
      </c>
      <c r="P1259" s="12" t="str">
        <f aca="false">IFERROR(VLOOKUP($A1259,Lista_Starke!$A:$E,2,0),"NÃO ESTÁ NA LISTA")</f>
        <v>VÁLVULA TERMOSTÁTICA</v>
      </c>
    </row>
    <row r="1260" customFormat="false" ht="15" hidden="false" customHeight="true" outlineLevel="0" collapsed="false">
      <c r="A1260" s="10" t="s">
        <v>2742</v>
      </c>
      <c r="B1260" s="10" t="str">
        <f aca="false">IFERROR(VLOOKUP(A1260,Pedido!$A:$B,2,0),"")</f>
        <v/>
      </c>
      <c r="C1260" s="10" t="str">
        <f aca="false">IF(B1260="","NÃO COMPRA","COMPRA")</f>
        <v>NÃO COMPRA</v>
      </c>
      <c r="D1260" s="1" t="n">
        <f aca="false">IFERROR(VLOOKUP(A1260,Pedido!$A:$C,3,0),0)</f>
        <v>0</v>
      </c>
      <c r="E1260" s="5" t="n">
        <f aca="false">IFERROR(VLOOKUP(A1260,Pedido!$A:$E,5,0),0)</f>
        <v>0</v>
      </c>
      <c r="F1260" s="1" t="s">
        <v>9</v>
      </c>
      <c r="G1260" s="1" t="s">
        <v>2469</v>
      </c>
      <c r="H1260" s="1" t="s">
        <v>2466</v>
      </c>
      <c r="I1260" s="1" t="s">
        <v>57</v>
      </c>
      <c r="J1260" s="1" t="s">
        <v>2743</v>
      </c>
      <c r="K1260" s="1" t="n">
        <v>43</v>
      </c>
      <c r="L1260" s="11" t="n">
        <v>0.98429286255229</v>
      </c>
      <c r="M1260" s="1" t="n">
        <f aca="false">SUMIF(Relatorio_AK!$A:$A,A1260,Relatorio_AK!$B:$B)</f>
        <v>43</v>
      </c>
      <c r="N1260" s="1" t="str">
        <f aca="false">IF(M1260=K1260,"OK","DIF")</f>
        <v>OK</v>
      </c>
      <c r="O1260" s="13" t="str">
        <f aca="false">IFERROR(VLOOKUP($A1260,Lista_Starke!$A:$E,3,0),"NÃO ESTÁ NA LISTA")</f>
        <v>GM: Onix 1.0 12V 3 cil. Turbo 19/...
GM: Tracker 1.0 12V 3 cil. Turbo 20/...</v>
      </c>
      <c r="P1260" s="12" t="str">
        <f aca="false">IFERROR(VLOOKUP($A1260,Lista_Starke!$A:$E,2,0),"NÃO ESTÁ NA LISTA")</f>
        <v>SERVO FREIO</v>
      </c>
    </row>
    <row r="1261" customFormat="false" ht="15" hidden="false" customHeight="true" outlineLevel="0" collapsed="false">
      <c r="A1261" s="10" t="s">
        <v>2744</v>
      </c>
      <c r="B1261" s="10" t="str">
        <f aca="false">IFERROR(VLOOKUP(A1261,Pedido!$A:$B,2,0),"")</f>
        <v/>
      </c>
      <c r="C1261" s="10" t="str">
        <f aca="false">IF(B1261="","NÃO COMPRA","COMPRA")</f>
        <v>NÃO COMPRA</v>
      </c>
      <c r="D1261" s="1" t="n">
        <f aca="false">IFERROR(VLOOKUP(A1261,Pedido!$A:$C,3,0),0)</f>
        <v>0</v>
      </c>
      <c r="E1261" s="5" t="n">
        <f aca="false">IFERROR(VLOOKUP(A1261,Pedido!$A:$E,5,0),0)</f>
        <v>0</v>
      </c>
      <c r="F1261" s="1" t="s">
        <v>9</v>
      </c>
      <c r="G1261" s="1" t="s">
        <v>1931</v>
      </c>
      <c r="H1261" s="1" t="s">
        <v>1358</v>
      </c>
      <c r="I1261" s="1" t="s">
        <v>53</v>
      </c>
      <c r="J1261" s="1" t="s">
        <v>2745</v>
      </c>
      <c r="K1261" s="1" t="n">
        <v>42</v>
      </c>
      <c r="L1261" s="11" t="n">
        <v>0.984364662701703</v>
      </c>
      <c r="M1261" s="1" t="n">
        <f aca="false">SUMIF(Relatorio_AK!$A:$A,A1261,Relatorio_AK!$B:$B)</f>
        <v>42</v>
      </c>
      <c r="N1261" s="1" t="str">
        <f aca="false">IF(M1261=K1261,"OK","DIF")</f>
        <v>OK</v>
      </c>
      <c r="O1261" s="13" t="str">
        <f aca="false">IFERROR(VLOOKUP($A1261,Lista_Starke!$A:$E,3,0),"NÃO ESTÁ NA LISTA")</f>
        <v>FORD: Ecosport  04/12
FORD: Fiesta  03/09</v>
      </c>
      <c r="P1261" s="12" t="str">
        <f aca="false">IFERROR(VLOOKUP($A1261,Lista_Starke!$A:$E,2,0),"NÃO ESTÁ NA LISTA")</f>
        <v>BANDEJA INFERIOR COMPLETA LD</v>
      </c>
    </row>
    <row r="1262" customFormat="false" ht="15" hidden="false" customHeight="true" outlineLevel="0" collapsed="false">
      <c r="A1262" s="10" t="s">
        <v>2746</v>
      </c>
      <c r="B1262" s="10" t="str">
        <f aca="false">IFERROR(VLOOKUP(A1262,Pedido!$A:$B,2,0),"")</f>
        <v/>
      </c>
      <c r="C1262" s="10" t="str">
        <f aca="false">IF(B1262="","NÃO COMPRA","COMPRA")</f>
        <v>NÃO COMPRA</v>
      </c>
      <c r="D1262" s="1" t="n">
        <f aca="false">IFERROR(VLOOKUP(A1262,Pedido!$A:$C,3,0),0)</f>
        <v>0</v>
      </c>
      <c r="E1262" s="5" t="n">
        <f aca="false">IFERROR(VLOOKUP(A1262,Pedido!$A:$E,5,0),0)</f>
        <v>0</v>
      </c>
      <c r="F1262" s="1" t="s">
        <v>9</v>
      </c>
      <c r="G1262" s="1" t="s">
        <v>1795</v>
      </c>
      <c r="H1262" s="1" t="s">
        <v>1358</v>
      </c>
      <c r="I1262" s="1" t="s">
        <v>215</v>
      </c>
      <c r="J1262" s="1" t="s">
        <v>2747</v>
      </c>
      <c r="K1262" s="1" t="n">
        <v>42</v>
      </c>
      <c r="L1262" s="11" t="n">
        <v>0.984436462851115</v>
      </c>
      <c r="M1262" s="1" t="n">
        <f aca="false">SUMIF(Relatorio_AK!$A:$A,A1262,Relatorio_AK!$B:$B)</f>
        <v>42</v>
      </c>
      <c r="N1262" s="1" t="str">
        <f aca="false">IF(M1262=K1262,"OK","DIF")</f>
        <v>OK</v>
      </c>
      <c r="O1262" s="13" t="str">
        <f aca="false">IFERROR(VLOOKUP($A1262,Lista_Starke!$A:$E,3,0),"NÃO ESTÁ NA LISTA")</f>
        <v>NISSAN: Grand Livina 1.8 16V 09/14
NISSAN: Livina 1.8 16V 09/14
NISSAN: Tiida 1.8 16V 07/13</v>
      </c>
      <c r="P1262" s="12" t="str">
        <f aca="false">IFERROR(VLOOKUP($A1262,Lista_Starke!$A:$E,2,0),"NÃO ESTÁ NA LISTA")</f>
        <v>BANDEJA INFERIOR COMPLETA LE</v>
      </c>
    </row>
    <row r="1263" customFormat="false" ht="15" hidden="false" customHeight="true" outlineLevel="0" collapsed="false">
      <c r="A1263" s="10" t="s">
        <v>2748</v>
      </c>
      <c r="B1263" s="10" t="str">
        <f aca="false">IFERROR(VLOOKUP(A1263,Pedido!$A:$B,2,0),"")</f>
        <v/>
      </c>
      <c r="C1263" s="10" t="str">
        <f aca="false">IF(B1263="","NÃO COMPRA","COMPRA")</f>
        <v>NÃO COMPRA</v>
      </c>
      <c r="D1263" s="1" t="n">
        <f aca="false">IFERROR(VLOOKUP(A1263,Pedido!$A:$C,3,0),0)</f>
        <v>0</v>
      </c>
      <c r="E1263" s="5" t="n">
        <f aca="false">IFERROR(VLOOKUP(A1263,Pedido!$A:$E,5,0),0)</f>
        <v>0</v>
      </c>
      <c r="F1263" s="1" t="s">
        <v>9</v>
      </c>
      <c r="G1263" s="1" t="s">
        <v>1810</v>
      </c>
      <c r="H1263" s="1" t="s">
        <v>1358</v>
      </c>
      <c r="I1263" s="1" t="s">
        <v>215</v>
      </c>
      <c r="J1263" s="1" t="s">
        <v>2749</v>
      </c>
      <c r="K1263" s="1" t="n">
        <v>42</v>
      </c>
      <c r="L1263" s="11" t="n">
        <v>0.984508263000528</v>
      </c>
      <c r="M1263" s="1" t="n">
        <f aca="false">SUMIF(Relatorio_AK!$A:$A,A1263,Relatorio_AK!$B:$B)</f>
        <v>42</v>
      </c>
      <c r="N1263" s="1" t="str">
        <f aca="false">IF(M1263=K1263,"OK","DIF")</f>
        <v>OK</v>
      </c>
      <c r="O1263" s="13" t="str">
        <f aca="false">IFERROR(VLOOKUP($A1263,Lista_Starke!$A:$E,3,0),"NÃO ESTÁ NA LISTA")</f>
        <v>NISSAN: Grand Livina 1.8 16V 09/14
NISSAN: Livina 1.8 16V 09/14
NISSAN: Tiida 1.8 16V 07/13</v>
      </c>
      <c r="P1263" s="12" t="str">
        <f aca="false">IFERROR(VLOOKUP($A1263,Lista_Starke!$A:$E,2,0),"NÃO ESTÁ NA LISTA")</f>
        <v>BANDEJA INFERIOR COMPLETA LD</v>
      </c>
    </row>
    <row r="1264" customFormat="false" ht="15" hidden="false" customHeight="true" outlineLevel="0" collapsed="false">
      <c r="A1264" s="10" t="s">
        <v>2750</v>
      </c>
      <c r="B1264" s="10" t="str">
        <f aca="false">IFERROR(VLOOKUP(A1264,Pedido!$A:$B,2,0),"")</f>
        <v/>
      </c>
      <c r="C1264" s="10" t="str">
        <f aca="false">IF(B1264="","NÃO COMPRA","COMPRA")</f>
        <v>NÃO COMPRA</v>
      </c>
      <c r="D1264" s="1" t="n">
        <f aca="false">IFERROR(VLOOKUP(A1264,Pedido!$A:$C,3,0),0)</f>
        <v>0</v>
      </c>
      <c r="E1264" s="5" t="n">
        <f aca="false">IFERROR(VLOOKUP(A1264,Pedido!$A:$E,5,0),0)</f>
        <v>0</v>
      </c>
      <c r="F1264" s="1" t="s">
        <v>9</v>
      </c>
      <c r="G1264" s="1" t="s">
        <v>735</v>
      </c>
      <c r="H1264" s="1" t="s">
        <v>197</v>
      </c>
      <c r="I1264" s="1" t="s">
        <v>172</v>
      </c>
      <c r="J1264" s="1" t="s">
        <v>2751</v>
      </c>
      <c r="K1264" s="1" t="n">
        <v>42</v>
      </c>
      <c r="L1264" s="11" t="n">
        <v>0.984580063149941</v>
      </c>
      <c r="M1264" s="1" t="n">
        <f aca="false">SUMIF(Relatorio_AK!$A:$A,A1264,Relatorio_AK!$B:$B)</f>
        <v>42</v>
      </c>
      <c r="N1264" s="1" t="str">
        <f aca="false">IF(M1264=K1264,"OK","DIF")</f>
        <v>OK</v>
      </c>
      <c r="O1264" s="13" t="str">
        <f aca="false">IFERROR(VLOOKUP($A1264,Lista_Starke!$A:$E,3,0),"NÃO ESTÁ NA LISTA")</f>
        <v>HYUNDAI: Santa Fe 2.7 V6 G6BA / G6EA 06/…
KIA: Carnival / Grand Carnival 2.7 V6    G6BA / G6EA 06/…
KIA: Magentis 2.7 V6    G6BA / G6EA 05/…</v>
      </c>
      <c r="P1264" s="12" t="str">
        <f aca="false">IFERROR(VLOOKUP($A1264,Lista_Starke!$A:$E,2,0),"NÃO ESTÁ NA LISTA")</f>
        <v>BOMBA D'ÁGUA</v>
      </c>
    </row>
    <row r="1265" customFormat="false" ht="15" hidden="false" customHeight="true" outlineLevel="0" collapsed="false">
      <c r="A1265" s="10" t="s">
        <v>2752</v>
      </c>
      <c r="B1265" s="10" t="str">
        <f aca="false">IFERROR(VLOOKUP(A1265,Pedido!$A:$B,2,0),"")</f>
        <v/>
      </c>
      <c r="C1265" s="10" t="str">
        <f aca="false">IF(B1265="","NÃO COMPRA","COMPRA")</f>
        <v>NÃO COMPRA</v>
      </c>
      <c r="D1265" s="1" t="n">
        <f aca="false">IFERROR(VLOOKUP(A1265,Pedido!$A:$C,3,0),0)</f>
        <v>0</v>
      </c>
      <c r="E1265" s="5" t="n">
        <f aca="false">IFERROR(VLOOKUP(A1265,Pedido!$A:$E,5,0),0)</f>
        <v>0</v>
      </c>
      <c r="F1265" s="1" t="s">
        <v>9</v>
      </c>
      <c r="G1265" s="1" t="s">
        <v>2439</v>
      </c>
      <c r="H1265" s="1" t="s">
        <v>1073</v>
      </c>
      <c r="I1265" s="1" t="s">
        <v>1431</v>
      </c>
      <c r="J1265" s="1" t="s">
        <v>2753</v>
      </c>
      <c r="K1265" s="1" t="n">
        <v>42</v>
      </c>
      <c r="L1265" s="11" t="n">
        <v>0.984651863299353</v>
      </c>
      <c r="M1265" s="1" t="n">
        <f aca="false">SUMIF(Relatorio_AK!$A:$A,A1265,Relatorio_AK!$B:$B)</f>
        <v>42</v>
      </c>
      <c r="N1265" s="1" t="str">
        <f aca="false">IF(M1265=K1265,"OK","DIF")</f>
        <v>OK</v>
      </c>
      <c r="O1265" s="13" t="str">
        <f aca="false">IFERROR(VLOOKUP($A1265,Lista_Starke!$A:$E,3,0),"NÃO ESTÁ NA LISTA")</f>
        <v>VOLVO: S60 T5 2.0 16V B4204 16/18
VOLVO: S90 T4 2.0 16V B4204 17/21
VOLVO: S90 T5 2.0 16V B4204 19/21
VOLVO: S90 T6 2.0 16V B4204 17/21
VOLVO: S90 T8 2.0 16V Hybrid B4204 17/22
VOLVO: V40 T4 2.0 16V B4204 14/19
VOLVO: V40 T5 2.0 16V B4204 14/19
VOLVO: V60 T4 2.0 16V B4204 19/...
VOLVO: V60 T5 2.0 16V B4204 18/21
VOLVO: V60 T6 2.0 16V B4204 19/22
VOLVO: V60 T8 2.0 16V Hybrid B4204 18/22
VOLVO: XC40 T5 2.0 16V B4204 17/19
VOLVO: XC40 T5 2.0 16V B4204 17/21
VOLVO: XC60 T4 2.0 16V B4204 18/21
VOLVO: XC60 T5 2.0 16V B4204 17/21
VOLVO: XC60 T6 AWD 2.0 16V B4204 17/21
VOLVO: XC60 T8 2.0 16V Hybrid B4204 17/22
VOLVO: XC90 T5 2.0 16V B4204 17/20
VOLVO: XC90 T6 2.0 16V B4204 14/21
VOLVO: XC90 T8 2.0 16V Hybrid B4204 15/22</v>
      </c>
      <c r="P1265" s="12" t="str">
        <f aca="false">IFERROR(VLOOKUP($A1265,Lista_Starke!$A:$E,2,0),"NÃO ESTÁ NA LISTA")</f>
        <v>VÁLVULA TERMOSTÁTICA</v>
      </c>
    </row>
    <row r="1266" customFormat="false" ht="15" hidden="false" customHeight="true" outlineLevel="0" collapsed="false">
      <c r="A1266" s="10" t="s">
        <v>2754</v>
      </c>
      <c r="B1266" s="10" t="str">
        <f aca="false">IFERROR(VLOOKUP(A1266,Pedido!$A:$B,2,0),"")</f>
        <v/>
      </c>
      <c r="C1266" s="10" t="str">
        <f aca="false">IF(B1266="","NÃO COMPRA","COMPRA")</f>
        <v>NÃO COMPRA</v>
      </c>
      <c r="D1266" s="1" t="n">
        <f aca="false">IFERROR(VLOOKUP(A1266,Pedido!$A:$C,3,0),0)</f>
        <v>0</v>
      </c>
      <c r="E1266" s="5" t="n">
        <f aca="false">IFERROR(VLOOKUP(A1266,Pedido!$A:$E,5,0),0)</f>
        <v>0</v>
      </c>
      <c r="F1266" s="1" t="s">
        <v>9</v>
      </c>
      <c r="G1266" s="1" t="s">
        <v>2755</v>
      </c>
      <c r="H1266" s="1" t="s">
        <v>845</v>
      </c>
      <c r="I1266" s="1" t="s">
        <v>1509</v>
      </c>
      <c r="J1266" s="1" t="s">
        <v>2756</v>
      </c>
      <c r="K1266" s="1" t="n">
        <v>42</v>
      </c>
      <c r="L1266" s="11" t="n">
        <v>0.984723663448766</v>
      </c>
      <c r="M1266" s="1" t="n">
        <f aca="false">SUMIF(Relatorio_AK!$A:$A,A1266,Relatorio_AK!$B:$B)</f>
        <v>42</v>
      </c>
      <c r="N1266" s="1" t="str">
        <f aca="false">IF(M1266=K1266,"OK","DIF")</f>
        <v>OK</v>
      </c>
      <c r="O1266" s="13" t="str">
        <f aca="false">IFERROR(VLOOKUP($A1266,Lista_Starke!$A:$E,3,0),"NÃO ESTÁ NA LISTA")</f>
        <v>DODGE: Ram 1500 3.0 / 3.6 / 5.7 21/...
DODGE: Ram 1500 3.7 / 4.7 / 5.7 / 5.9 01/08
DODGE: Ram 2500 5.7 / 5.9 / 6.7 02/11
DODGE: Ram 2500 5.7 / 6.4 / 6.7 10/...
DODGE: Ram 3500 5.7 / 5.9 / 6.7 02/11
DODGE: Ram 3500 5.7 / 6.4 / 6.7 10/...</v>
      </c>
      <c r="P1266" s="12" t="str">
        <f aca="false">IFERROR(VLOOKUP($A1266,Lista_Starke!$A:$E,2,0),"NÃO ESTÁ NA LISTA")</f>
        <v>SAPATA DE FREIO DE MÃO</v>
      </c>
    </row>
    <row r="1267" customFormat="false" ht="15" hidden="false" customHeight="true" outlineLevel="0" collapsed="false">
      <c r="A1267" s="10" t="s">
        <v>2757</v>
      </c>
      <c r="B1267" s="10" t="str">
        <f aca="false">IFERROR(VLOOKUP(A1267,Pedido!$A:$B,2,0),"")</f>
        <v/>
      </c>
      <c r="C1267" s="10" t="str">
        <f aca="false">IF(B1267="","NÃO COMPRA","COMPRA")</f>
        <v>NÃO COMPRA</v>
      </c>
      <c r="D1267" s="1" t="n">
        <f aca="false">IFERROR(VLOOKUP(A1267,Pedido!$A:$C,3,0),0)</f>
        <v>0</v>
      </c>
      <c r="E1267" s="5" t="n">
        <f aca="false">IFERROR(VLOOKUP(A1267,Pedido!$A:$E,5,0),0)</f>
        <v>0</v>
      </c>
      <c r="F1267" s="1" t="s">
        <v>9</v>
      </c>
      <c r="G1267" s="1" t="s">
        <v>2758</v>
      </c>
      <c r="H1267" s="1" t="s">
        <v>28</v>
      </c>
      <c r="I1267" s="1" t="s">
        <v>373</v>
      </c>
      <c r="J1267" s="1" t="s">
        <v>2759</v>
      </c>
      <c r="K1267" s="1" t="n">
        <v>42</v>
      </c>
      <c r="L1267" s="11" t="n">
        <v>0.984795463598179</v>
      </c>
      <c r="M1267" s="1" t="n">
        <f aca="false">SUMIF(Relatorio_AK!$A:$A,A1267,Relatorio_AK!$B:$B)</f>
        <v>42</v>
      </c>
      <c r="N1267" s="1" t="str">
        <f aca="false">IF(M1267=K1267,"OK","DIF")</f>
        <v>OK</v>
      </c>
      <c r="O1267" s="13" t="str">
        <f aca="false">IFERROR(VLOOKUP($A1267,Lista_Starke!$A:$E,3,0),"NÃO ESTÁ NA LISTA")</f>
        <v>MERCEDES-BENZ: 712  Todos
MERCEDES-BENZ: Accelo 715C  Todos</v>
      </c>
      <c r="P1267" s="12" t="str">
        <f aca="false">IFERROR(VLOOKUP($A1267,Lista_Starke!$A:$E,2,0),"NÃO ESTÁ NA LISTA")</f>
        <v>CILINDRO AUXILIAR DE EMBREAGEM</v>
      </c>
    </row>
    <row r="1268" customFormat="false" ht="15" hidden="false" customHeight="true" outlineLevel="0" collapsed="false">
      <c r="A1268" s="10" t="s">
        <v>2760</v>
      </c>
      <c r="B1268" s="10" t="str">
        <f aca="false">IFERROR(VLOOKUP(A1268,Pedido!$A:$B,2,0),"")</f>
        <v/>
      </c>
      <c r="C1268" s="10" t="str">
        <f aca="false">IF(B1268="","NÃO COMPRA","COMPRA")</f>
        <v>NÃO COMPRA</v>
      </c>
      <c r="D1268" s="1" t="n">
        <f aca="false">IFERROR(VLOOKUP(A1268,Pedido!$A:$C,3,0),0)</f>
        <v>0</v>
      </c>
      <c r="E1268" s="5" t="n">
        <f aca="false">IFERROR(VLOOKUP(A1268,Pedido!$A:$E,5,0),0)</f>
        <v>0</v>
      </c>
      <c r="F1268" s="1" t="s">
        <v>9</v>
      </c>
      <c r="G1268" s="1" t="s">
        <v>2761</v>
      </c>
      <c r="H1268" s="1" t="s">
        <v>1358</v>
      </c>
      <c r="I1268" s="1" t="s">
        <v>1194</v>
      </c>
      <c r="J1268" s="1" t="s">
        <v>2762</v>
      </c>
      <c r="K1268" s="1" t="n">
        <v>41</v>
      </c>
      <c r="L1268" s="11" t="n">
        <v>0.984865554220224</v>
      </c>
      <c r="M1268" s="1" t="n">
        <f aca="false">SUMIF(Relatorio_AK!$A:$A,A1268,Relatorio_AK!$B:$B)</f>
        <v>41</v>
      </c>
      <c r="N1268" s="1" t="str">
        <f aca="false">IF(M1268=K1268,"OK","DIF")</f>
        <v>OK</v>
      </c>
      <c r="O1268" s="13" t="str">
        <f aca="false">IFERROR(VLOOKUP($A1268,Lista_Starke!$A:$E,3,0),"NÃO ESTÁ NA LISTA")</f>
        <v>CHANA: Cargo 1.0 8V 06/…
CHANA: Family 1.0 8V 06/…
CHANA: Utility 1.0 8V 06/…
EFFA MOTORS: K01 Pick Up Simples 1.0 8V 08/…
EFFA MOTORS: K02 Pick Up Dupla 1.0 8V 08/…
EFFA MOTORS: Start 1.0 8V 06/...
HAFEI: Towner Jr Pick Up 1.0 8V 07/…
HAFEI: Towner Jr Van 1.0 8V 07/…</v>
      </c>
      <c r="P1268" s="12" t="str">
        <f aca="false">IFERROR(VLOOKUP($A1268,Lista_Starke!$A:$E,2,0),"NÃO ESTÁ NA LISTA")</f>
        <v>BANDEJA INFERIOR COMPLETA LE</v>
      </c>
    </row>
    <row r="1269" customFormat="false" ht="15" hidden="false" customHeight="true" outlineLevel="0" collapsed="false">
      <c r="A1269" s="10" t="s">
        <v>2763</v>
      </c>
      <c r="B1269" s="10" t="str">
        <f aca="false">IFERROR(VLOOKUP(A1269,Pedido!$A:$B,2,0),"")</f>
        <v>SCA 8053 FR</v>
      </c>
      <c r="C1269" s="10" t="str">
        <f aca="false">IF(B1269="","NÃO COMPRA","COMPRA")</f>
        <v>COMPRA</v>
      </c>
      <c r="D1269" s="1" t="n">
        <f aca="false">IFERROR(VLOOKUP(A1269,Pedido!$A:$C,3,0),0)</f>
        <v>3</v>
      </c>
      <c r="E1269" s="5" t="n">
        <f aca="false">IFERROR(VLOOKUP(A1269,Pedido!$A:$E,5,0),0)</f>
        <v>450</v>
      </c>
      <c r="F1269" s="1" t="s">
        <v>9</v>
      </c>
      <c r="G1269" s="1" t="s">
        <v>1931</v>
      </c>
      <c r="H1269" s="1" t="s">
        <v>1358</v>
      </c>
      <c r="I1269" s="1" t="s">
        <v>53</v>
      </c>
      <c r="J1269" s="1" t="s">
        <v>2764</v>
      </c>
      <c r="K1269" s="1" t="n">
        <v>41</v>
      </c>
      <c r="L1269" s="11" t="n">
        <v>0.98493564484227</v>
      </c>
      <c r="M1269" s="1" t="n">
        <f aca="false">SUMIF(Relatorio_AK!$A:$A,A1269,Relatorio_AK!$B:$B)</f>
        <v>41</v>
      </c>
      <c r="N1269" s="1" t="str">
        <f aca="false">IF(M1269=K1269,"OK","DIF")</f>
        <v>OK</v>
      </c>
      <c r="O1269" s="12" t="str">
        <f aca="false">IFERROR(VLOOKUP($A1269,Lista_Starke!$A:$E,3,0),"NÃO ESTÁ NA LISTA")</f>
        <v>FORD: Ecosport  13/18</v>
      </c>
      <c r="P1269" s="12" t="str">
        <f aca="false">IFERROR(VLOOKUP($A1269,Lista_Starke!$A:$E,2,0),"NÃO ESTÁ NA LISTA")</f>
        <v>BANDEJA INFERIOR COMPLETA LD</v>
      </c>
    </row>
    <row r="1270" customFormat="false" ht="15" hidden="false" customHeight="true" outlineLevel="0" collapsed="false">
      <c r="A1270" s="10" t="s">
        <v>2765</v>
      </c>
      <c r="B1270" s="10" t="str">
        <f aca="false">IFERROR(VLOOKUP(A1270,Pedido!$A:$B,2,0),"")</f>
        <v/>
      </c>
      <c r="C1270" s="10" t="str">
        <f aca="false">IF(B1270="","NÃO COMPRA","COMPRA")</f>
        <v>NÃO COMPRA</v>
      </c>
      <c r="D1270" s="1" t="n">
        <f aca="false">IFERROR(VLOOKUP(A1270,Pedido!$A:$C,3,0),0)</f>
        <v>0</v>
      </c>
      <c r="E1270" s="5" t="n">
        <f aca="false">IFERROR(VLOOKUP(A1270,Pedido!$A:$E,5,0),0)</f>
        <v>0</v>
      </c>
      <c r="F1270" s="1" t="s">
        <v>9</v>
      </c>
      <c r="G1270" s="1" t="s">
        <v>2766</v>
      </c>
      <c r="H1270" s="1" t="s">
        <v>1358</v>
      </c>
      <c r="I1270" s="1" t="s">
        <v>1431</v>
      </c>
      <c r="K1270" s="1" t="n">
        <v>41</v>
      </c>
      <c r="L1270" s="11" t="n">
        <v>0.985005735464316</v>
      </c>
      <c r="M1270" s="1" t="n">
        <f aca="false">SUMIF(Relatorio_AK!$A:$A,A1270,Relatorio_AK!$B:$B)</f>
        <v>41</v>
      </c>
      <c r="N1270" s="1" t="str">
        <f aca="false">IF(M1270=K1270,"OK","DIF")</f>
        <v>OK</v>
      </c>
      <c r="O1270" s="13" t="str">
        <f aca="false">IFERROR(VLOOKUP($A1270,Lista_Starke!$A:$E,3,0),"NÃO ESTÁ NA LISTA")</f>
        <v>VOLVO: XC40 T4 2.0 18/...
VOLVO: XC40 T5 2.0 17/...</v>
      </c>
      <c r="P1270" s="12" t="str">
        <f aca="false">IFERROR(VLOOKUP($A1270,Lista_Starke!$A:$E,2,0),"NÃO ESTÁ NA LISTA")</f>
        <v>BANDEJA INFERIOR COMPLETA LD</v>
      </c>
    </row>
    <row r="1271" customFormat="false" ht="15" hidden="false" customHeight="true" outlineLevel="0" collapsed="false">
      <c r="A1271" s="10" t="s">
        <v>2767</v>
      </c>
      <c r="B1271" s="10" t="str">
        <f aca="false">IFERROR(VLOOKUP(A1271,Pedido!$A:$B,2,0),"")</f>
        <v/>
      </c>
      <c r="C1271" s="10" t="str">
        <f aca="false">IF(B1271="","NÃO COMPRA","COMPRA")</f>
        <v>NÃO COMPRA</v>
      </c>
      <c r="D1271" s="1" t="n">
        <f aca="false">IFERROR(VLOOKUP(A1271,Pedido!$A:$C,3,0),0)</f>
        <v>0</v>
      </c>
      <c r="E1271" s="5" t="n">
        <f aca="false">IFERROR(VLOOKUP(A1271,Pedido!$A:$E,5,0),0)</f>
        <v>0</v>
      </c>
      <c r="F1271" s="1" t="s">
        <v>9</v>
      </c>
      <c r="G1271" s="1" t="s">
        <v>1970</v>
      </c>
      <c r="H1271" s="1" t="s">
        <v>197</v>
      </c>
      <c r="I1271" s="1" t="s">
        <v>403</v>
      </c>
      <c r="J1271" s="1" t="s">
        <v>2768</v>
      </c>
      <c r="K1271" s="1" t="n">
        <v>41</v>
      </c>
      <c r="L1271" s="11" t="n">
        <v>0.985075826086362</v>
      </c>
      <c r="M1271" s="1" t="n">
        <f aca="false">SUMIF(Relatorio_AK!$A:$A,A1271,Relatorio_AK!$B:$B)</f>
        <v>41</v>
      </c>
      <c r="N1271" s="1" t="str">
        <f aca="false">IF(M1271=K1271,"OK","DIF")</f>
        <v>OK</v>
      </c>
      <c r="O1271" s="13" t="str">
        <f aca="false">IFERROR(VLOOKUP($A1271,Lista_Starke!$A:$E,3,0),"NÃO ESTÁ NA LISTA")</f>
        <v>IVECO: Daily 35 S 14 3.0 Turbo Diesel   F1C 17/...
IVECO: Daily 45 S 14 3.0 Turbo Diesel   F1C 17/...
IVECO: Daily 55 C 16 3.0 Turbo Diesel   F1C 17/...
IVECO: Daily 70 C 16 3.0 Turbo Diesel   F1C 17/...</v>
      </c>
      <c r="P1271" s="12" t="str">
        <f aca="false">IFERROR(VLOOKUP($A1271,Lista_Starke!$A:$E,2,0),"NÃO ESTÁ NA LISTA")</f>
        <v>BOMBA D'ÁGUA</v>
      </c>
    </row>
    <row r="1272" customFormat="false" ht="15" hidden="false" customHeight="true" outlineLevel="0" collapsed="false">
      <c r="A1272" s="10" t="s">
        <v>2769</v>
      </c>
      <c r="B1272" s="10" t="str">
        <f aca="false">IFERROR(VLOOKUP(A1272,Pedido!$A:$B,2,0),"")</f>
        <v/>
      </c>
      <c r="C1272" s="10" t="str">
        <f aca="false">IF(B1272="","NÃO COMPRA","COMPRA")</f>
        <v>NÃO COMPRA</v>
      </c>
      <c r="D1272" s="1" t="n">
        <f aca="false">IFERROR(VLOOKUP(A1272,Pedido!$A:$C,3,0),0)</f>
        <v>0</v>
      </c>
      <c r="E1272" s="5" t="n">
        <f aca="false">IFERROR(VLOOKUP(A1272,Pedido!$A:$E,5,0),0)</f>
        <v>0</v>
      </c>
      <c r="F1272" s="1" t="s">
        <v>9</v>
      </c>
      <c r="G1272" s="1" t="s">
        <v>483</v>
      </c>
      <c r="H1272" s="1" t="s">
        <v>197</v>
      </c>
      <c r="I1272" s="1" t="s">
        <v>36</v>
      </c>
      <c r="J1272" s="1" t="s">
        <v>2770</v>
      </c>
      <c r="K1272" s="1" t="n">
        <v>41</v>
      </c>
      <c r="L1272" s="11" t="n">
        <v>0.985145916708408</v>
      </c>
      <c r="M1272" s="1" t="n">
        <f aca="false">SUMIF(Relatorio_AK!$A:$A,A1272,Relatorio_AK!$B:$B)</f>
        <v>41</v>
      </c>
      <c r="N1272" s="1" t="str">
        <f aca="false">IF(M1272=K1272,"OK","DIF")</f>
        <v>OK</v>
      </c>
      <c r="O1272" s="13" t="str">
        <f aca="false">IFERROR(VLOOKUP($A1272,Lista_Starke!$A:$E,3,0),"NÃO ESTÁ NA LISTA")</f>
        <v>VOLKSWAGEN: Crossfox 1.0 8V AT EA111 03/...
VOLKSWAGEN: Crossfox 1.6 8V AT EA111 03/...
VOLKSWAGEN: Fox 1.0 8V AT EA111 03/...
VOLKSWAGEN: Fox 1.6 8V AT EA111 03/...
VOLKSWAGEN: Gol 1.0 8V AT EA111 09/...
VOLKSWAGEN: Gol 1.0 8V AT EA111 97/...
VOLKSWAGEN: Gol 1.6 8V EA111 09/...
VOLKSWAGEN: Golf 1.6 8V AEX / AEA / AEE / BAH 95/98
VOLKSWAGEN: Golf 1.6 8V AT EA111 01/...
VOLKSWAGEN: Kombi 1.4 8V AT EA111 06/...
VOLKSWAGEN: Kombi 1.6 8V AT EA111 06/...
VOLKSWAGEN: Parati 1.0 8V AT EA111 97/...
VOLKSWAGEN: Parati 1.6 8V AT EA111 00/...
VOLKSWAGEN: Polo 1.0 8V AT EA111 03/...
VOLKSWAGEN: Polo 1.6 8V AT EA111 03/...
VOLKSWAGEN: Saveiro 1.6 8V AT EA111 03/...
VOLKSWAGEN: Spacefox 1.0 8V AT EA111 03/...
VOLKSWAGEN: Spacefox 1.6 8V AT EA111 03/...
VOLKSWAGEN: Voyage 1.0 8V AT EA111 08/...
VOLKSWAGEN: Voyage 1.6 8V AT EA111 08/...</v>
      </c>
      <c r="P1272" s="12" t="str">
        <f aca="false">IFERROR(VLOOKUP($A1272,Lista_Starke!$A:$E,2,0),"NÃO ESTÁ NA LISTA")</f>
        <v>BOMBA D'ÁGUA</v>
      </c>
    </row>
    <row r="1273" customFormat="false" ht="15" hidden="false" customHeight="true" outlineLevel="0" collapsed="false">
      <c r="A1273" s="10" t="s">
        <v>2771</v>
      </c>
      <c r="B1273" s="10" t="str">
        <f aca="false">IFERROR(VLOOKUP(A1273,Pedido!$A:$B,2,0),"")</f>
        <v/>
      </c>
      <c r="C1273" s="10" t="str">
        <f aca="false">IF(B1273="","NÃO COMPRA","COMPRA")</f>
        <v>NÃO COMPRA</v>
      </c>
      <c r="D1273" s="1" t="n">
        <f aca="false">IFERROR(VLOOKUP(A1273,Pedido!$A:$C,3,0),0)</f>
        <v>0</v>
      </c>
      <c r="E1273" s="5" t="n">
        <f aca="false">IFERROR(VLOOKUP(A1273,Pedido!$A:$E,5,0),0)</f>
        <v>0</v>
      </c>
      <c r="F1273" s="1" t="s">
        <v>9</v>
      </c>
      <c r="G1273" s="1" t="s">
        <v>377</v>
      </c>
      <c r="H1273" s="1" t="s">
        <v>197</v>
      </c>
      <c r="I1273" s="1" t="s">
        <v>53</v>
      </c>
      <c r="J1273" s="1" t="s">
        <v>2772</v>
      </c>
      <c r="K1273" s="1" t="n">
        <v>41</v>
      </c>
      <c r="L1273" s="11" t="n">
        <v>0.985216007330453</v>
      </c>
      <c r="M1273" s="1" t="n">
        <f aca="false">SUMIF(Relatorio_AK!$A:$A,A1273,Relatorio_AK!$B:$B)</f>
        <v>41</v>
      </c>
      <c r="N1273" s="1" t="str">
        <f aca="false">IF(M1273=K1273,"OK","DIF")</f>
        <v>OK</v>
      </c>
      <c r="O1273" s="13" t="str">
        <f aca="false">IFERROR(VLOOKUP($A1273,Lista_Starke!$A:$E,3,0),"NÃO ESTÁ NA LISTA")</f>
        <v>FORD: Aerostar 3.0 V6 90/94
FORD: Ranger 3.0 V6 …/98</v>
      </c>
      <c r="P1273" s="12" t="str">
        <f aca="false">IFERROR(VLOOKUP($A1273,Lista_Starke!$A:$E,2,0),"NÃO ESTÁ NA LISTA")</f>
        <v>BOMBA D'ÁGUA</v>
      </c>
    </row>
    <row r="1274" customFormat="false" ht="15" hidden="false" customHeight="true" outlineLevel="0" collapsed="false">
      <c r="A1274" s="10" t="s">
        <v>2773</v>
      </c>
      <c r="B1274" s="10" t="str">
        <f aca="false">IFERROR(VLOOKUP(A1274,Pedido!$A:$B,2,0),"")</f>
        <v/>
      </c>
      <c r="C1274" s="10" t="str">
        <f aca="false">IF(B1274="","NÃO COMPRA","COMPRA")</f>
        <v>NÃO COMPRA</v>
      </c>
      <c r="D1274" s="1" t="n">
        <f aca="false">IFERROR(VLOOKUP(A1274,Pedido!$A:$C,3,0),0)</f>
        <v>0</v>
      </c>
      <c r="E1274" s="5" t="n">
        <f aca="false">IFERROR(VLOOKUP(A1274,Pedido!$A:$E,5,0),0)</f>
        <v>0</v>
      </c>
      <c r="F1274" s="1" t="s">
        <v>9</v>
      </c>
      <c r="G1274" s="1" t="s">
        <v>483</v>
      </c>
      <c r="H1274" s="1" t="s">
        <v>197</v>
      </c>
      <c r="I1274" s="1" t="s">
        <v>36</v>
      </c>
      <c r="J1274" s="1" t="s">
        <v>2774</v>
      </c>
      <c r="K1274" s="1" t="n">
        <v>41</v>
      </c>
      <c r="L1274" s="11" t="n">
        <v>0.985286097952499</v>
      </c>
      <c r="M1274" s="1" t="n">
        <f aca="false">SUMIF(Relatorio_AK!$A:$A,A1274,Relatorio_AK!$B:$B)</f>
        <v>41</v>
      </c>
      <c r="N1274" s="1" t="str">
        <f aca="false">IF(M1274=K1274,"OK","DIF")</f>
        <v>OK</v>
      </c>
      <c r="O1274" s="13" t="str">
        <f aca="false">IFERROR(VLOOKUP($A1274,Lista_Starke!$A:$E,3,0),"NÃO ESTÁ NA LISTA")</f>
        <v>VOLKSWAGEN: Jetta 2.5 20V 5 cil   BTK 07/11
VOLKSWAGEN: Jetta Variant 2.5 20V 5 cil   BTK 07/…</v>
      </c>
      <c r="P1274" s="12" t="str">
        <f aca="false">IFERROR(VLOOKUP($A1274,Lista_Starke!$A:$E,2,0),"NÃO ESTÁ NA LISTA")</f>
        <v>BOMBA D'ÁGUA</v>
      </c>
    </row>
    <row r="1275" customFormat="false" ht="15" hidden="false" customHeight="true" outlineLevel="0" collapsed="false">
      <c r="A1275" s="10" t="s">
        <v>2775</v>
      </c>
      <c r="B1275" s="10" t="str">
        <f aca="false">IFERROR(VLOOKUP(A1275,Pedido!$A:$B,2,0),"")</f>
        <v/>
      </c>
      <c r="C1275" s="10" t="str">
        <f aca="false">IF(B1275="","NÃO COMPRA","COMPRA")</f>
        <v>NÃO COMPRA</v>
      </c>
      <c r="D1275" s="1" t="n">
        <f aca="false">IFERROR(VLOOKUP(A1275,Pedido!$A:$C,3,0),0)</f>
        <v>0</v>
      </c>
      <c r="E1275" s="5" t="n">
        <f aca="false">IFERROR(VLOOKUP(A1275,Pedido!$A:$E,5,0),0)</f>
        <v>0</v>
      </c>
      <c r="F1275" s="1" t="s">
        <v>9</v>
      </c>
      <c r="G1275" s="1" t="s">
        <v>763</v>
      </c>
      <c r="H1275" s="1" t="s">
        <v>197</v>
      </c>
      <c r="I1275" s="1" t="s">
        <v>373</v>
      </c>
      <c r="K1275" s="1" t="n">
        <v>41</v>
      </c>
      <c r="L1275" s="11" t="n">
        <v>0.985356188574545</v>
      </c>
      <c r="M1275" s="1" t="n">
        <f aca="false">SUMIF(Relatorio_AK!$A:$A,A1275,Relatorio_AK!$B:$B)</f>
        <v>41</v>
      </c>
      <c r="N1275" s="1" t="str">
        <f aca="false">IF(M1275=K1275,"OK","DIF")</f>
        <v>OK</v>
      </c>
      <c r="O1275" s="13" t="str">
        <f aca="false">IFERROR(VLOOKUP($A1275,Lista_Starke!$A:$E,3,0),"NÃO ESTÁ NA LISTA")</f>
        <v>MERCEDES-BENZ: B180 1.7   M266.940 09/…
MERCEDES-BENZ: B200 2.0   M266.960 05/…
MERCEDES-BENZ: B200 Turbo 2.0   M266.980 05/…</v>
      </c>
      <c r="P1275" s="12" t="str">
        <f aca="false">IFERROR(VLOOKUP($A1275,Lista_Starke!$A:$E,2,0),"NÃO ESTÁ NA LISTA")</f>
        <v>BOMBA D'ÁGUA</v>
      </c>
    </row>
    <row r="1276" customFormat="false" ht="15" hidden="false" customHeight="true" outlineLevel="0" collapsed="false">
      <c r="A1276" s="10" t="s">
        <v>2776</v>
      </c>
      <c r="B1276" s="10" t="str">
        <f aca="false">IFERROR(VLOOKUP(A1276,Pedido!$A:$B,2,0),"")</f>
        <v/>
      </c>
      <c r="C1276" s="10" t="str">
        <f aca="false">IF(B1276="","NÃO COMPRA","COMPRA")</f>
        <v>NÃO COMPRA</v>
      </c>
      <c r="D1276" s="1" t="n">
        <f aca="false">IFERROR(VLOOKUP(A1276,Pedido!$A:$C,3,0),0)</f>
        <v>0</v>
      </c>
      <c r="E1276" s="5" t="n">
        <f aca="false">IFERROR(VLOOKUP(A1276,Pedido!$A:$E,5,0),0)</f>
        <v>0</v>
      </c>
      <c r="F1276" s="1" t="s">
        <v>9</v>
      </c>
      <c r="G1276" s="1" t="s">
        <v>958</v>
      </c>
      <c r="H1276" s="1" t="s">
        <v>96</v>
      </c>
      <c r="I1276" s="1" t="s">
        <v>215</v>
      </c>
      <c r="J1276" s="1" t="s">
        <v>2777</v>
      </c>
      <c r="K1276" s="1" t="n">
        <v>41</v>
      </c>
      <c r="L1276" s="11" t="n">
        <v>0.985426279196591</v>
      </c>
      <c r="M1276" s="1" t="n">
        <f aca="false">SUMIF(Relatorio_AK!$A:$A,A1276,Relatorio_AK!$B:$B)</f>
        <v>41</v>
      </c>
      <c r="N1276" s="1" t="str">
        <f aca="false">IF(M1276=K1276,"OK","DIF")</f>
        <v>OK</v>
      </c>
      <c r="O1276" s="12" t="str">
        <f aca="false">IFERROR(VLOOKUP($A1276,Lista_Starke!$A:$E,3,0),"NÃO ESTÁ NA LISTA")</f>
        <v>NISSAN: Frontier 2.5 16V YD25DDTI  Euro V 190HP 13/16</v>
      </c>
      <c r="P1276" s="12" t="str">
        <f aca="false">IFERROR(VLOOKUP($A1276,Lista_Starke!$A:$E,2,0),"NÃO ESTÁ NA LISTA")</f>
        <v>BOMBA DE VÁCUO</v>
      </c>
    </row>
    <row r="1277" customFormat="false" ht="15" hidden="false" customHeight="true" outlineLevel="0" collapsed="false">
      <c r="A1277" s="10" t="s">
        <v>2778</v>
      </c>
      <c r="B1277" s="10" t="str">
        <f aca="false">IFERROR(VLOOKUP(A1277,Pedido!$A:$B,2,0),"")</f>
        <v/>
      </c>
      <c r="C1277" s="10" t="str">
        <f aca="false">IF(B1277="","NÃO COMPRA","COMPRA")</f>
        <v>NÃO COMPRA</v>
      </c>
      <c r="D1277" s="1" t="n">
        <f aca="false">IFERROR(VLOOKUP(A1277,Pedido!$A:$C,3,0),0)</f>
        <v>0</v>
      </c>
      <c r="E1277" s="5" t="n">
        <f aca="false">IFERROR(VLOOKUP(A1277,Pedido!$A:$E,5,0),0)</f>
        <v>0</v>
      </c>
      <c r="F1277" s="1" t="s">
        <v>9</v>
      </c>
      <c r="G1277" s="1" t="s">
        <v>2099</v>
      </c>
      <c r="H1277" s="1" t="s">
        <v>2420</v>
      </c>
      <c r="I1277" s="1" t="s">
        <v>57</v>
      </c>
      <c r="J1277" s="1" t="s">
        <v>2779</v>
      </c>
      <c r="K1277" s="1" t="n">
        <v>40</v>
      </c>
      <c r="L1277" s="11" t="n">
        <v>0.985494660291269</v>
      </c>
      <c r="M1277" s="1" t="n">
        <f aca="false">SUMIF(Relatorio_AK!$A:$A,A1277,Relatorio_AK!$B:$B)</f>
        <v>40</v>
      </c>
      <c r="N1277" s="1" t="str">
        <f aca="false">IF(M1277=K1277,"OK","DIF")</f>
        <v>OK</v>
      </c>
      <c r="O1277" s="13" t="str">
        <f aca="false">IFERROR(VLOOKUP($A1277,Lista_Starke!$A:$E,3,0),"NÃO ESTÁ NA LISTA")</f>
        <v>GM: S10 4x2 / 4x4 17/21
GM: Trailblazer 4x2 / 4x4 17/21</v>
      </c>
      <c r="P1277" s="12" t="str">
        <f aca="false">IFERROR(VLOOKUP($A1277,Lista_Starke!$A:$E,2,0),"NÃO ESTÁ NA LISTA")</f>
        <v>BANDEJA SUPERIOR COMPLETA LD</v>
      </c>
    </row>
    <row r="1278" customFormat="false" ht="15" hidden="false" customHeight="true" outlineLevel="0" collapsed="false">
      <c r="A1278" s="10" t="s">
        <v>2780</v>
      </c>
      <c r="B1278" s="10" t="str">
        <f aca="false">IFERROR(VLOOKUP(A1278,Pedido!$A:$B,2,0),"")</f>
        <v/>
      </c>
      <c r="C1278" s="10" t="str">
        <f aca="false">IF(B1278="","NÃO COMPRA","COMPRA")</f>
        <v>NÃO COMPRA</v>
      </c>
      <c r="D1278" s="1" t="n">
        <f aca="false">IFERROR(VLOOKUP(A1278,Pedido!$A:$C,3,0),0)</f>
        <v>0</v>
      </c>
      <c r="E1278" s="5" t="n">
        <f aca="false">IFERROR(VLOOKUP(A1278,Pedido!$A:$E,5,0),0)</f>
        <v>0</v>
      </c>
      <c r="F1278" s="1" t="s">
        <v>9</v>
      </c>
      <c r="G1278" s="1" t="s">
        <v>2781</v>
      </c>
      <c r="H1278" s="1" t="s">
        <v>1951</v>
      </c>
      <c r="I1278" s="1" t="s">
        <v>373</v>
      </c>
      <c r="J1278" s="1" t="s">
        <v>2782</v>
      </c>
      <c r="K1278" s="1" t="n">
        <v>40</v>
      </c>
      <c r="L1278" s="11" t="n">
        <v>0.985563041385948</v>
      </c>
      <c r="M1278" s="1" t="n">
        <f aca="false">SUMIF(Relatorio_AK!$A:$A,A1278,Relatorio_AK!$B:$B)</f>
        <v>40</v>
      </c>
      <c r="N1278" s="1" t="str">
        <f aca="false">IF(M1278=K1278,"OK","DIF")</f>
        <v>OK</v>
      </c>
      <c r="O1278" s="13" t="str">
        <f aca="false">IFERROR(VLOOKUP($A1278,Lista_Starke!$A:$E,3,0),"NÃO ESTÁ NA LISTA")</f>
        <v>MERCEDES-BENZ: C180 (W205)  14/21
MERCEDES-BENZ: C200 (W205)  14/21
MERCEDES-BENZ: C300 (W205)  14/21</v>
      </c>
      <c r="P1278" s="12" t="str">
        <f aca="false">IFERROR(VLOOKUP($A1278,Lista_Starke!$A:$E,2,0),"NÃO ESTÁ NA LISTA")</f>
        <v>BRAÇO OSCILANTE DIANT INFERIOR COMPLETO LD</v>
      </c>
    </row>
    <row r="1279" customFormat="false" ht="15" hidden="false" customHeight="true" outlineLevel="0" collapsed="false">
      <c r="A1279" s="10" t="s">
        <v>2783</v>
      </c>
      <c r="B1279" s="10" t="str">
        <f aca="false">IFERROR(VLOOKUP(A1279,Pedido!$A:$B,2,0),"")</f>
        <v/>
      </c>
      <c r="C1279" s="10" t="str">
        <f aca="false">IF(B1279="","NÃO COMPRA","COMPRA")</f>
        <v>NÃO COMPRA</v>
      </c>
      <c r="D1279" s="1" t="n">
        <f aca="false">IFERROR(VLOOKUP(A1279,Pedido!$A:$C,3,0),0)</f>
        <v>0</v>
      </c>
      <c r="E1279" s="5" t="n">
        <f aca="false">IFERROR(VLOOKUP(A1279,Pedido!$A:$E,5,0),0)</f>
        <v>0</v>
      </c>
      <c r="F1279" s="1" t="s">
        <v>9</v>
      </c>
      <c r="G1279" s="1" t="s">
        <v>2619</v>
      </c>
      <c r="H1279" s="1" t="s">
        <v>1358</v>
      </c>
      <c r="I1279" s="1" t="s">
        <v>77</v>
      </c>
      <c r="J1279" s="1" t="s">
        <v>2784</v>
      </c>
      <c r="K1279" s="1" t="n">
        <v>40</v>
      </c>
      <c r="L1279" s="11" t="n">
        <v>0.985631422480627</v>
      </c>
      <c r="M1279" s="1" t="n">
        <f aca="false">SUMIF(Relatorio_AK!$A:$A,A1279,Relatorio_AK!$B:$B)</f>
        <v>40</v>
      </c>
      <c r="N1279" s="1" t="str">
        <f aca="false">IF(M1279=K1279,"OK","DIF")</f>
        <v>OK</v>
      </c>
      <c r="O1279" s="13" t="str">
        <f aca="false">IFERROR(VLOOKUP($A1279,Lista_Starke!$A:$E,3,0),"NÃO ESTÁ NA LISTA")</f>
        <v>CITROEN: C4 Lounge  13/18
CITROEN: DS3  12/14
CITROEN: DS4  13/14
CITROEN: DS5  13/14
PEUGEOT: 408  12/...</v>
      </c>
      <c r="P1279" s="12" t="str">
        <f aca="false">IFERROR(VLOOKUP($A1279,Lista_Starke!$A:$E,2,0),"NÃO ESTÁ NA LISTA")</f>
        <v>BANDEJA INFERIOR LE</v>
      </c>
    </row>
    <row r="1280" customFormat="false" ht="15" hidden="false" customHeight="true" outlineLevel="0" collapsed="false">
      <c r="A1280" s="10" t="s">
        <v>2785</v>
      </c>
      <c r="B1280" s="10" t="str">
        <f aca="false">IFERROR(VLOOKUP(A1280,Pedido!$A:$B,2,0),"")</f>
        <v/>
      </c>
      <c r="C1280" s="10" t="str">
        <f aca="false">IF(B1280="","NÃO COMPRA","COMPRA")</f>
        <v>NÃO COMPRA</v>
      </c>
      <c r="D1280" s="1" t="n">
        <f aca="false">IFERROR(VLOOKUP(A1280,Pedido!$A:$C,3,0),0)</f>
        <v>0</v>
      </c>
      <c r="E1280" s="5" t="n">
        <f aca="false">IFERROR(VLOOKUP(A1280,Pedido!$A:$E,5,0),0)</f>
        <v>0</v>
      </c>
      <c r="F1280" s="1" t="s">
        <v>9</v>
      </c>
      <c r="G1280" s="1" t="s">
        <v>2786</v>
      </c>
      <c r="H1280" s="1" t="s">
        <v>1358</v>
      </c>
      <c r="I1280" s="1" t="s">
        <v>115</v>
      </c>
      <c r="J1280" s="1" t="s">
        <v>2787</v>
      </c>
      <c r="K1280" s="1" t="n">
        <v>40</v>
      </c>
      <c r="L1280" s="11" t="n">
        <v>0.985699803575306</v>
      </c>
      <c r="M1280" s="1" t="n">
        <f aca="false">SUMIF(Relatorio_AK!$A:$A,A1280,Relatorio_AK!$B:$B)</f>
        <v>40</v>
      </c>
      <c r="N1280" s="1" t="str">
        <f aca="false">IF(M1280=K1280,"OK","DIF")</f>
        <v>OK</v>
      </c>
      <c r="O1280" s="12" t="str">
        <f aca="false">IFERROR(VLOOKUP($A1280,Lista_Starke!$A:$E,3,0),"NÃO ESTÁ NA LISTA")</f>
        <v>JAC MOTORS: J3  11/15</v>
      </c>
      <c r="P1280" s="12" t="str">
        <f aca="false">IFERROR(VLOOKUP($A1280,Lista_Starke!$A:$E,2,0),"NÃO ESTÁ NA LISTA")</f>
        <v>BANDEJA INFERIOR COMPLETA LD</v>
      </c>
    </row>
    <row r="1281" customFormat="false" ht="15" hidden="false" customHeight="true" outlineLevel="0" collapsed="false">
      <c r="A1281" s="10" t="s">
        <v>2788</v>
      </c>
      <c r="B1281" s="10" t="str">
        <f aca="false">IFERROR(VLOOKUP(A1281,Pedido!$A:$B,2,0),"")</f>
        <v/>
      </c>
      <c r="C1281" s="10" t="str">
        <f aca="false">IF(B1281="","NÃO COMPRA","COMPRA")</f>
        <v>NÃO COMPRA</v>
      </c>
      <c r="D1281" s="1" t="n">
        <f aca="false">IFERROR(VLOOKUP(A1281,Pedido!$A:$C,3,0),0)</f>
        <v>0</v>
      </c>
      <c r="E1281" s="5" t="n">
        <f aca="false">IFERROR(VLOOKUP(A1281,Pedido!$A:$E,5,0),0)</f>
        <v>0</v>
      </c>
      <c r="F1281" s="1" t="s">
        <v>9</v>
      </c>
      <c r="G1281" s="1" t="s">
        <v>2344</v>
      </c>
      <c r="H1281" s="1" t="s">
        <v>1358</v>
      </c>
      <c r="I1281" s="1" t="s">
        <v>50</v>
      </c>
      <c r="J1281" s="1" t="s">
        <v>2789</v>
      </c>
      <c r="K1281" s="1" t="n">
        <v>40</v>
      </c>
      <c r="L1281" s="11" t="n">
        <v>0.985768184669985</v>
      </c>
      <c r="M1281" s="1" t="n">
        <f aca="false">SUMIF(Relatorio_AK!$A:$A,A1281,Relatorio_AK!$B:$B)</f>
        <v>40</v>
      </c>
      <c r="N1281" s="1" t="str">
        <f aca="false">IF(M1281=K1281,"OK","DIF")</f>
        <v>OK</v>
      </c>
      <c r="O1281" s="12" t="str">
        <f aca="false">IFERROR(VLOOKUP($A1281,Lista_Starke!$A:$E,3,0),"NÃO ESTÁ NA LISTA")</f>
        <v>HONDA: City 1.5 16V 22/...</v>
      </c>
      <c r="P1281" s="12" t="str">
        <f aca="false">IFERROR(VLOOKUP($A1281,Lista_Starke!$A:$E,2,0),"NÃO ESTÁ NA LISTA")</f>
        <v>BANDEJA INFERIOR COMPLETA LE</v>
      </c>
    </row>
    <row r="1282" customFormat="false" ht="15" hidden="false" customHeight="true" outlineLevel="0" collapsed="false">
      <c r="A1282" s="10" t="s">
        <v>2790</v>
      </c>
      <c r="B1282" s="10" t="str">
        <f aca="false">IFERROR(VLOOKUP(A1282,Pedido!$A:$B,2,0),"")</f>
        <v/>
      </c>
      <c r="C1282" s="10" t="str">
        <f aca="false">IF(B1282="","NÃO COMPRA","COMPRA")</f>
        <v>NÃO COMPRA</v>
      </c>
      <c r="D1282" s="1" t="n">
        <f aca="false">IFERROR(VLOOKUP(A1282,Pedido!$A:$C,3,0),0)</f>
        <v>0</v>
      </c>
      <c r="E1282" s="5" t="n">
        <f aca="false">IFERROR(VLOOKUP(A1282,Pedido!$A:$E,5,0),0)</f>
        <v>0</v>
      </c>
      <c r="F1282" s="1" t="s">
        <v>9</v>
      </c>
      <c r="G1282" s="1" t="s">
        <v>2791</v>
      </c>
      <c r="H1282" s="1" t="s">
        <v>157</v>
      </c>
      <c r="I1282" s="1" t="s">
        <v>929</v>
      </c>
      <c r="J1282" s="1" t="s">
        <v>2792</v>
      </c>
      <c r="K1282" s="1" t="n">
        <v>40</v>
      </c>
      <c r="L1282" s="11" t="n">
        <v>0.985836565764663</v>
      </c>
      <c r="M1282" s="1" t="n">
        <f aca="false">SUMIF(Relatorio_AK!$A:$A,A1282,Relatorio_AK!$B:$B)</f>
        <v>40</v>
      </c>
      <c r="N1282" s="1" t="str">
        <f aca="false">IF(M1282=K1282,"OK","DIF")</f>
        <v>OK</v>
      </c>
      <c r="O1282" s="12" t="str">
        <f aca="false">IFERROR(VLOOKUP($A1282,Lista_Starke!$A:$E,3,0),"NÃO ESTÁ NA LISTA")</f>
        <v>SUZUKI: Grand Vitara 2.0 16V 06/...</v>
      </c>
      <c r="P1282" s="12" t="str">
        <f aca="false">IFERROR(VLOOKUP($A1282,Lista_Starke!$A:$E,2,0),"NÃO ESTÁ NA LISTA")</f>
        <v>ATUADOR DE EMBREAGEM</v>
      </c>
    </row>
    <row r="1283" customFormat="false" ht="15" hidden="false" customHeight="true" outlineLevel="0" collapsed="false">
      <c r="A1283" s="10" t="s">
        <v>2793</v>
      </c>
      <c r="B1283" s="10" t="str">
        <f aca="false">IFERROR(VLOOKUP(A1283,Pedido!$A:$B,2,0),"")</f>
        <v/>
      </c>
      <c r="C1283" s="10" t="str">
        <f aca="false">IF(B1283="","NÃO COMPRA","COMPRA")</f>
        <v>NÃO COMPRA</v>
      </c>
      <c r="D1283" s="1" t="n">
        <f aca="false">IFERROR(VLOOKUP(A1283,Pedido!$A:$C,3,0),0)</f>
        <v>0</v>
      </c>
      <c r="E1283" s="5" t="n">
        <f aca="false">IFERROR(VLOOKUP(A1283,Pedido!$A:$E,5,0),0)</f>
        <v>0</v>
      </c>
      <c r="F1283" s="1" t="s">
        <v>9</v>
      </c>
      <c r="G1283" s="1" t="s">
        <v>841</v>
      </c>
      <c r="H1283" s="1" t="s">
        <v>197</v>
      </c>
      <c r="I1283" s="1" t="s">
        <v>50</v>
      </c>
      <c r="J1283" s="1" t="s">
        <v>2794</v>
      </c>
      <c r="K1283" s="1" t="n">
        <v>40</v>
      </c>
      <c r="L1283" s="11" t="n">
        <v>0.985904946859342</v>
      </c>
      <c r="M1283" s="1" t="n">
        <f aca="false">SUMIF(Relatorio_AK!$A:$A,A1283,Relatorio_AK!$B:$B)</f>
        <v>40</v>
      </c>
      <c r="N1283" s="1" t="str">
        <f aca="false">IF(M1283=K1283,"OK","DIF")</f>
        <v>OK</v>
      </c>
      <c r="O1283" s="13" t="str">
        <f aca="false">IFERROR(VLOOKUP($A1283,Lista_Starke!$A:$E,3,0),"NÃO ESTÁ NA LISTA")</f>
        <v>HONDA: Civic 1.6 D15B2 / D15B7 88/95
HONDA: Civic CX / DX / LX 1.5 D15B2 / D15B7 92/95</v>
      </c>
      <c r="P1283" s="12" t="str">
        <f aca="false">IFERROR(VLOOKUP($A1283,Lista_Starke!$A:$E,2,0),"NÃO ESTÁ NA LISTA")</f>
        <v>BOMBA D'ÁGUA</v>
      </c>
    </row>
    <row r="1284" customFormat="false" ht="15" hidden="false" customHeight="true" outlineLevel="0" collapsed="false">
      <c r="A1284" s="10" t="s">
        <v>2795</v>
      </c>
      <c r="B1284" s="10" t="str">
        <f aca="false">IFERROR(VLOOKUP(A1284,Pedido!$A:$B,2,0),"")</f>
        <v/>
      </c>
      <c r="C1284" s="10" t="str">
        <f aca="false">IF(B1284="","NÃO COMPRA","COMPRA")</f>
        <v>NÃO COMPRA</v>
      </c>
      <c r="D1284" s="1" t="n">
        <f aca="false">IFERROR(VLOOKUP(A1284,Pedido!$A:$C,3,0),0)</f>
        <v>0</v>
      </c>
      <c r="E1284" s="5" t="n">
        <f aca="false">IFERROR(VLOOKUP(A1284,Pedido!$A:$E,5,0),0)</f>
        <v>0</v>
      </c>
      <c r="F1284" s="1" t="s">
        <v>9</v>
      </c>
      <c r="G1284" s="1" t="s">
        <v>2137</v>
      </c>
      <c r="H1284" s="1" t="s">
        <v>197</v>
      </c>
      <c r="I1284" s="1" t="s">
        <v>2520</v>
      </c>
      <c r="J1284" s="1" t="s">
        <v>2796</v>
      </c>
      <c r="K1284" s="1" t="n">
        <v>40</v>
      </c>
      <c r="L1284" s="11" t="n">
        <v>0.985973327954021</v>
      </c>
      <c r="M1284" s="1" t="n">
        <f aca="false">SUMIF(Relatorio_AK!$A:$A,A1284,Relatorio_AK!$B:$B)</f>
        <v>40</v>
      </c>
      <c r="N1284" s="1" t="str">
        <f aca="false">IF(M1284=K1284,"OK","DIF")</f>
        <v>OK</v>
      </c>
      <c r="O1284" s="13" t="str">
        <f aca="false">IFERROR(VLOOKUP($A1284,Lista_Starke!$A:$E,3,0),"NÃO ESTÁ NA LISTA")</f>
        <v>KIA: Besta 2.2 Diesel   R2 96/…
KIA: Sportage 2.0 8V Turbo Diesel RFT 99/03
SUZUKI: Grand Vitara 2.0 Turbo Diesel    RF 98/03
SUZUKI: Grand Vitara 2.0 Turbo Diesel    RFM 00/05</v>
      </c>
      <c r="P1284" s="12" t="str">
        <f aca="false">IFERROR(VLOOKUP($A1284,Lista_Starke!$A:$E,2,0),"NÃO ESTÁ NA LISTA")</f>
        <v>BOMBA D'ÁGUA</v>
      </c>
    </row>
    <row r="1285" customFormat="false" ht="15" hidden="false" customHeight="true" outlineLevel="0" collapsed="false">
      <c r="A1285" s="10" t="s">
        <v>2797</v>
      </c>
      <c r="B1285" s="10" t="str">
        <f aca="false">IFERROR(VLOOKUP(A1285,Pedido!$A:$B,2,0),"")</f>
        <v/>
      </c>
      <c r="C1285" s="10" t="str">
        <f aca="false">IF(B1285="","NÃO COMPRA","COMPRA")</f>
        <v>NÃO COMPRA</v>
      </c>
      <c r="D1285" s="1" t="n">
        <f aca="false">IFERROR(VLOOKUP(A1285,Pedido!$A:$C,3,0),0)</f>
        <v>0</v>
      </c>
      <c r="E1285" s="5" t="n">
        <f aca="false">IFERROR(VLOOKUP(A1285,Pedido!$A:$E,5,0),0)</f>
        <v>0</v>
      </c>
      <c r="F1285" s="1" t="s">
        <v>9</v>
      </c>
      <c r="G1285" s="1" t="s">
        <v>2732</v>
      </c>
      <c r="H1285" s="1" t="s">
        <v>1714</v>
      </c>
      <c r="I1285" s="1" t="s">
        <v>255</v>
      </c>
      <c r="J1285" s="1" t="s">
        <v>2798</v>
      </c>
      <c r="K1285" s="1" t="n">
        <v>40</v>
      </c>
      <c r="L1285" s="11" t="n">
        <v>0.9860417090487</v>
      </c>
      <c r="M1285" s="1" t="n">
        <f aca="false">SUMIF(Relatorio_AK!$A:$A,A1285,Relatorio_AK!$B:$B)</f>
        <v>40</v>
      </c>
      <c r="N1285" s="1" t="str">
        <f aca="false">IF(M1285=K1285,"OK","DIF")</f>
        <v>OK</v>
      </c>
      <c r="O1285" s="13" t="str">
        <f aca="false">IFERROR(VLOOKUP($A1285,Lista_Starke!$A:$E,3,0),"NÃO ESTÁ NA LISTA")</f>
        <v>MITSUBISHI: Pajero Dakar 3.2 16V Diesel 4M41 DI-D 07/…
MITSUBISHI: Pajero Full 3.2 16V Diesel 4M41 DI-D 07/…
MITSUBISHI: Triton 3.2 16V Diesel 4M41 DI-D 07/…</v>
      </c>
      <c r="P1285" s="12" t="str">
        <f aca="false">IFERROR(VLOOKUP($A1285,Lista_Starke!$A:$E,2,0),"NÃO ESTÁ NA LISTA")</f>
        <v>POLIA VISCOSA</v>
      </c>
    </row>
    <row r="1286" customFormat="false" ht="15" hidden="false" customHeight="true" outlineLevel="0" collapsed="false">
      <c r="A1286" s="10" t="s">
        <v>2799</v>
      </c>
      <c r="B1286" s="10" t="str">
        <f aca="false">IFERROR(VLOOKUP(A1286,Pedido!$A:$B,2,0),"")</f>
        <v/>
      </c>
      <c r="C1286" s="10" t="str">
        <f aca="false">IF(B1286="","NÃO COMPRA","COMPRA")</f>
        <v>NÃO COMPRA</v>
      </c>
      <c r="D1286" s="1" t="n">
        <f aca="false">IFERROR(VLOOKUP(A1286,Pedido!$A:$C,3,0),0)</f>
        <v>0</v>
      </c>
      <c r="E1286" s="5" t="n">
        <f aca="false">IFERROR(VLOOKUP(A1286,Pedido!$A:$E,5,0),0)</f>
        <v>0</v>
      </c>
      <c r="F1286" s="1" t="s">
        <v>9</v>
      </c>
      <c r="G1286" s="1" t="s">
        <v>690</v>
      </c>
      <c r="H1286" s="1" t="s">
        <v>845</v>
      </c>
      <c r="I1286" s="1" t="s">
        <v>50</v>
      </c>
      <c r="J1286" s="1" t="s">
        <v>2800</v>
      </c>
      <c r="K1286" s="1" t="n">
        <v>40</v>
      </c>
      <c r="L1286" s="11" t="n">
        <v>0.986110090143378</v>
      </c>
      <c r="M1286" s="1" t="n">
        <f aca="false">SUMIF(Relatorio_AK!$A:$A,A1286,Relatorio_AK!$B:$B)</f>
        <v>40</v>
      </c>
      <c r="N1286" s="1" t="str">
        <f aca="false">IF(M1286=K1286,"OK","DIF")</f>
        <v>OK</v>
      </c>
      <c r="O1286" s="12" t="str">
        <f aca="false">IFERROR(VLOOKUP($A1286,Lista_Starke!$A:$E,3,0),"NÃO ESTÁ NA LISTA")</f>
        <v>HONDA: CRV 2.0 16V 07/...</v>
      </c>
      <c r="P1286" s="12" t="str">
        <f aca="false">IFERROR(VLOOKUP($A1286,Lista_Starke!$A:$E,2,0),"NÃO ESTÁ NA LISTA")</f>
        <v>SAPATA DE FREIO DE MÃO</v>
      </c>
    </row>
    <row r="1287" customFormat="false" ht="15" hidden="false" customHeight="true" outlineLevel="0" collapsed="false">
      <c r="A1287" s="10" t="s">
        <v>2801</v>
      </c>
      <c r="B1287" s="10" t="str">
        <f aca="false">IFERROR(VLOOKUP(A1287,Pedido!$A:$B,2,0),"")</f>
        <v/>
      </c>
      <c r="C1287" s="10" t="str">
        <f aca="false">IF(B1287="","NÃO COMPRA","COMPRA")</f>
        <v>NÃO COMPRA</v>
      </c>
      <c r="D1287" s="1" t="n">
        <f aca="false">IFERROR(VLOOKUP(A1287,Pedido!$A:$C,3,0),0)</f>
        <v>0</v>
      </c>
      <c r="E1287" s="5" t="n">
        <f aca="false">IFERROR(VLOOKUP(A1287,Pedido!$A:$E,5,0),0)</f>
        <v>0</v>
      </c>
      <c r="F1287" s="1" t="s">
        <v>9</v>
      </c>
      <c r="G1287" s="1" t="s">
        <v>264</v>
      </c>
      <c r="H1287" s="1" t="s">
        <v>88</v>
      </c>
      <c r="I1287" s="1" t="s">
        <v>53</v>
      </c>
      <c r="J1287" s="1" t="s">
        <v>2802</v>
      </c>
      <c r="K1287" s="1" t="n">
        <v>40</v>
      </c>
      <c r="L1287" s="11" t="n">
        <v>0.986178471238057</v>
      </c>
      <c r="M1287" s="1" t="n">
        <f aca="false">SUMIF(Relatorio_AK!$A:$A,A1287,Relatorio_AK!$B:$B)</f>
        <v>40</v>
      </c>
      <c r="N1287" s="1" t="str">
        <f aca="false">IF(M1287=K1287,"OK","DIF")</f>
        <v>OK</v>
      </c>
      <c r="O1287" s="13" t="str">
        <f aca="false">IFERROR(VLOOKUP($A1287,Lista_Starke!$A:$E,3,0),"NÃO ESTÁ NA LISTA")</f>
        <v>FORD: Escort 1.6 8V Zetec Rocam 00/02
FORD: Escort 1.8 16V Zetec 97/03
FORD: Escort SW 1.8 16V Zetec 97/03
FORD: Focus 1.8 16V Zetec 01/04
FORD: Focus 2.0 8V 01/...</v>
      </c>
      <c r="P1287" s="12" t="str">
        <f aca="false">IFERROR(VLOOKUP($A1287,Lista_Starke!$A:$E,2,0),"NÃO ESTÁ NA LISTA")</f>
        <v>CILINDRO DE RODA LE/LD</v>
      </c>
    </row>
    <row r="1288" customFormat="false" ht="15" hidden="false" customHeight="true" outlineLevel="0" collapsed="false">
      <c r="A1288" s="10" t="s">
        <v>2803</v>
      </c>
      <c r="B1288" s="10" t="str">
        <f aca="false">IFERROR(VLOOKUP(A1288,Pedido!$A:$B,2,0),"")</f>
        <v/>
      </c>
      <c r="C1288" s="10" t="str">
        <f aca="false">IF(B1288="","NÃO COMPRA","COMPRA")</f>
        <v>NÃO COMPRA</v>
      </c>
      <c r="D1288" s="1" t="n">
        <f aca="false">IFERROR(VLOOKUP(A1288,Pedido!$A:$C,3,0),0)</f>
        <v>0</v>
      </c>
      <c r="E1288" s="5" t="n">
        <f aca="false">IFERROR(VLOOKUP(A1288,Pedido!$A:$E,5,0),0)</f>
        <v>0</v>
      </c>
      <c r="F1288" s="1" t="s">
        <v>9</v>
      </c>
      <c r="G1288" s="1" t="s">
        <v>2344</v>
      </c>
      <c r="H1288" s="1" t="s">
        <v>1358</v>
      </c>
      <c r="I1288" s="1" t="s">
        <v>50</v>
      </c>
      <c r="J1288" s="1" t="s">
        <v>2804</v>
      </c>
      <c r="K1288" s="1" t="n">
        <v>39</v>
      </c>
      <c r="L1288" s="11" t="n">
        <v>0.986245142805369</v>
      </c>
      <c r="M1288" s="1" t="n">
        <f aca="false">SUMIF(Relatorio_AK!$A:$A,A1288,Relatorio_AK!$B:$B)</f>
        <v>39</v>
      </c>
      <c r="N1288" s="1" t="str">
        <f aca="false">IF(M1288=K1288,"OK","DIF")</f>
        <v>OK</v>
      </c>
      <c r="O1288" s="13" t="str">
        <f aca="false">IFERROR(VLOOKUP($A1288,Lista_Starke!$A:$E,3,0),"NÃO ESTÁ NA LISTA")</f>
        <v>HONDA: City 1.5 16V 09/13
HONDA: Fit 1.4 16V / 1.5 16V 09/14</v>
      </c>
      <c r="P1288" s="12" t="str">
        <f aca="false">IFERROR(VLOOKUP($A1288,Lista_Starke!$A:$E,2,0),"NÃO ESTÁ NA LISTA")</f>
        <v>BANDEJA INFERIOR COMPLETA LE</v>
      </c>
    </row>
    <row r="1289" customFormat="false" ht="15" hidden="false" customHeight="true" outlineLevel="0" collapsed="false">
      <c r="A1289" s="10" t="s">
        <v>2805</v>
      </c>
      <c r="B1289" s="10" t="str">
        <f aca="false">IFERROR(VLOOKUP(A1289,Pedido!$A:$B,2,0),"")</f>
        <v/>
      </c>
      <c r="C1289" s="10" t="str">
        <f aca="false">IF(B1289="","NÃO COMPRA","COMPRA")</f>
        <v>NÃO COMPRA</v>
      </c>
      <c r="D1289" s="1" t="n">
        <f aca="false">IFERROR(VLOOKUP(A1289,Pedido!$A:$C,3,0),0)</f>
        <v>0</v>
      </c>
      <c r="E1289" s="5" t="n">
        <f aca="false">IFERROR(VLOOKUP(A1289,Pedido!$A:$E,5,0),0)</f>
        <v>0</v>
      </c>
      <c r="F1289" s="1" t="s">
        <v>9</v>
      </c>
      <c r="G1289" s="1" t="s">
        <v>2472</v>
      </c>
      <c r="H1289" s="1" t="s">
        <v>1358</v>
      </c>
      <c r="I1289" s="1" t="s">
        <v>77</v>
      </c>
      <c r="J1289" s="1" t="s">
        <v>2806</v>
      </c>
      <c r="K1289" s="1" t="n">
        <v>39</v>
      </c>
      <c r="L1289" s="11" t="n">
        <v>0.986311814372681</v>
      </c>
      <c r="M1289" s="1" t="n">
        <f aca="false">SUMIF(Relatorio_AK!$A:$A,A1289,Relatorio_AK!$B:$B)</f>
        <v>39</v>
      </c>
      <c r="N1289" s="1" t="str">
        <f aca="false">IF(M1289=K1289,"OK","DIF")</f>
        <v>OK</v>
      </c>
      <c r="O1289" s="13" t="str">
        <f aca="false">IFERROR(VLOOKUP($A1289,Lista_Starke!$A:$E,3,0),"NÃO ESTÁ NA LISTA")</f>
        <v>CITROEN: C4 Lounge  13/18
CITROEN: DS3  12/14
CITROEN: DS4  13/14
CITROEN: DS5  13/14
PEUGEOT: 408  12/...</v>
      </c>
      <c r="P1289" s="12" t="str">
        <f aca="false">IFERROR(VLOOKUP($A1289,Lista_Starke!$A:$E,2,0),"NÃO ESTÁ NA LISTA")</f>
        <v>BANDEJA INFERIOR LD</v>
      </c>
    </row>
    <row r="1290" customFormat="false" ht="15" hidden="false" customHeight="true" outlineLevel="0" collapsed="false">
      <c r="A1290" s="10" t="s">
        <v>2807</v>
      </c>
      <c r="B1290" s="10" t="str">
        <f aca="false">IFERROR(VLOOKUP(A1290,Pedido!$A:$B,2,0),"")</f>
        <v/>
      </c>
      <c r="C1290" s="10" t="str">
        <f aca="false">IF(B1290="","NÃO COMPRA","COMPRA")</f>
        <v>NÃO COMPRA</v>
      </c>
      <c r="D1290" s="1" t="n">
        <f aca="false">IFERROR(VLOOKUP(A1290,Pedido!$A:$C,3,0),0)</f>
        <v>0</v>
      </c>
      <c r="E1290" s="5" t="n">
        <f aca="false">IFERROR(VLOOKUP(A1290,Pedido!$A:$E,5,0),0)</f>
        <v>0</v>
      </c>
      <c r="F1290" s="1" t="s">
        <v>9</v>
      </c>
      <c r="G1290" s="1" t="s">
        <v>1899</v>
      </c>
      <c r="H1290" s="1" t="s">
        <v>1358</v>
      </c>
      <c r="I1290" s="1" t="s">
        <v>295</v>
      </c>
      <c r="J1290" s="1" t="s">
        <v>2808</v>
      </c>
      <c r="K1290" s="1" t="n">
        <v>39</v>
      </c>
      <c r="L1290" s="11" t="n">
        <v>0.986378485939992</v>
      </c>
      <c r="M1290" s="1" t="n">
        <f aca="false">SUMIF(Relatorio_AK!$A:$A,A1290,Relatorio_AK!$B:$B)</f>
        <v>39</v>
      </c>
      <c r="N1290" s="1" t="str">
        <f aca="false">IF(M1290=K1290,"OK","DIF")</f>
        <v>OK</v>
      </c>
      <c r="O1290" s="12" t="str">
        <f aca="false">IFERROR(VLOOKUP($A1290,Lista_Starke!$A:$E,3,0),"NÃO ESTÁ NA LISTA")</f>
        <v>CHERY: Cielo  08/...</v>
      </c>
      <c r="P1290" s="12" t="str">
        <f aca="false">IFERROR(VLOOKUP($A1290,Lista_Starke!$A:$E,2,0),"NÃO ESTÁ NA LISTA")</f>
        <v>BANDEJA INFERIOR COMPLETA LE</v>
      </c>
    </row>
    <row r="1291" customFormat="false" ht="15" hidden="false" customHeight="true" outlineLevel="0" collapsed="false">
      <c r="A1291" s="10" t="s">
        <v>2809</v>
      </c>
      <c r="B1291" s="10" t="str">
        <f aca="false">IFERROR(VLOOKUP(A1291,Pedido!$A:$B,2,0),"")</f>
        <v/>
      </c>
      <c r="C1291" s="10" t="str">
        <f aca="false">IF(B1291="","NÃO COMPRA","COMPRA")</f>
        <v>NÃO COMPRA</v>
      </c>
      <c r="D1291" s="1" t="n">
        <f aca="false">IFERROR(VLOOKUP(A1291,Pedido!$A:$C,3,0),0)</f>
        <v>0</v>
      </c>
      <c r="E1291" s="5" t="n">
        <f aca="false">IFERROR(VLOOKUP(A1291,Pedido!$A:$E,5,0),0)</f>
        <v>0</v>
      </c>
      <c r="F1291" s="1" t="s">
        <v>9</v>
      </c>
      <c r="G1291" s="1" t="s">
        <v>1982</v>
      </c>
      <c r="H1291" s="1" t="s">
        <v>1358</v>
      </c>
      <c r="I1291" s="1" t="s">
        <v>295</v>
      </c>
      <c r="J1291" s="1" t="s">
        <v>2810</v>
      </c>
      <c r="K1291" s="1" t="n">
        <v>39</v>
      </c>
      <c r="L1291" s="11" t="n">
        <v>0.986445157507304</v>
      </c>
      <c r="M1291" s="1" t="n">
        <f aca="false">SUMIF(Relatorio_AK!$A:$A,A1291,Relatorio_AK!$B:$B)</f>
        <v>39</v>
      </c>
      <c r="N1291" s="1" t="str">
        <f aca="false">IF(M1291=K1291,"OK","DIF")</f>
        <v>OK</v>
      </c>
      <c r="O1291" s="12" t="str">
        <f aca="false">IFERROR(VLOOKUP($A1291,Lista_Starke!$A:$E,3,0),"NÃO ESTÁ NA LISTA")</f>
        <v>CHERY: Cielo  08/...</v>
      </c>
      <c r="P1291" s="12" t="str">
        <f aca="false">IFERROR(VLOOKUP($A1291,Lista_Starke!$A:$E,2,0),"NÃO ESTÁ NA LISTA")</f>
        <v>BANDEJA INFERIOR COMPLETA LD</v>
      </c>
    </row>
    <row r="1292" customFormat="false" ht="15" hidden="false" customHeight="true" outlineLevel="0" collapsed="false">
      <c r="A1292" s="10" t="s">
        <v>2811</v>
      </c>
      <c r="B1292" s="10" t="str">
        <f aca="false">IFERROR(VLOOKUP(A1292,Pedido!$A:$B,2,0),"")</f>
        <v/>
      </c>
      <c r="C1292" s="10" t="str">
        <f aca="false">IF(B1292="","NÃO COMPRA","COMPRA")</f>
        <v>NÃO COMPRA</v>
      </c>
      <c r="D1292" s="1" t="n">
        <f aca="false">IFERROR(VLOOKUP(A1292,Pedido!$A:$C,3,0),0)</f>
        <v>0</v>
      </c>
      <c r="E1292" s="5" t="n">
        <f aca="false">IFERROR(VLOOKUP(A1292,Pedido!$A:$E,5,0),0)</f>
        <v>0</v>
      </c>
      <c r="F1292" s="1" t="s">
        <v>9</v>
      </c>
      <c r="G1292" s="1" t="s">
        <v>763</v>
      </c>
      <c r="H1292" s="1" t="s">
        <v>197</v>
      </c>
      <c r="I1292" s="1" t="s">
        <v>373</v>
      </c>
      <c r="K1292" s="1" t="n">
        <v>39</v>
      </c>
      <c r="L1292" s="11" t="n">
        <v>0.986511829074616</v>
      </c>
      <c r="M1292" s="1" t="n">
        <f aca="false">SUMIF(Relatorio_AK!$A:$A,A1292,Relatorio_AK!$B:$B)</f>
        <v>39</v>
      </c>
      <c r="N1292" s="1" t="str">
        <f aca="false">IF(M1292=K1292,"OK","DIF")</f>
        <v>OK</v>
      </c>
      <c r="O1292" s="13" t="str">
        <f aca="false">IFERROR(VLOOKUP($A1292,Lista_Starke!$A:$E,3,0),"NÃO ESTÁ NA LISTA")</f>
        <v>MERCEDES-BENZ: CL500 (C216) 4.7 V8 M278 11/13
MERCEDES-BENZ: CLS500 (C218) 4.7 V8 M278 11/17
MERCEDES-BENZ: CLS500 (X218) 4.7 V8 M278 12/17
MERCEDES-BENZ: E500 (A207) 4.7 V8 M278 11/16
MERCEDES-BENZ: E500 (C207) 4.7 V8 M278 11/16
MERCEDES-BENZ: E500 (S212) 4.7 V8 M278 11/16
MERCEDES-BENZ: E500 (W212) 4.7 V8 M278 11/15
MERCEDES-BENZ: GL500 (X166) 4.0 V8 M278 12/15
MERCEDES-BENZ: GL500 (X166) 4.7 V8 M278 12/15
MERCEDES-BENZ: GLE500 (C292) 4.7 V8 M278 15/19
MERCEDES-BENZ: GLE500 (W166) 4.7 V8 M278 15/18
MERCEDES-BENZ: GLS500 (X166) 4.7 V8 M278 15/19
MERCEDES-BENZ: ML500 (W166) 4.7 V8 M278 12/15
MERCEDES-BENZ: S500 (A217) 4.7 V8 M278 15/17
MERCEDES-BENZ: S500 (C217) 4.7 V8 M278 14/17
MERCEDES-BENZ: S500 (W221) 4.7 V8 M278 11/13
MERCEDES-BENZ: S500 (W222) 4.7 V8 M278 13/17
MERCEDES-BENZ: SL500 (R231) 4.7 V8 M278 12/17</v>
      </c>
      <c r="P1292" s="12" t="str">
        <f aca="false">IFERROR(VLOOKUP($A1292,Lista_Starke!$A:$E,2,0),"NÃO ESTÁ NA LISTA")</f>
        <v>BOMBA D'ÁGUA</v>
      </c>
    </row>
    <row r="1293" customFormat="false" ht="15" hidden="false" customHeight="true" outlineLevel="0" collapsed="false">
      <c r="A1293" s="10" t="s">
        <v>2812</v>
      </c>
      <c r="B1293" s="10" t="str">
        <f aca="false">IFERROR(VLOOKUP(A1293,Pedido!$A:$B,2,0),"")</f>
        <v/>
      </c>
      <c r="C1293" s="10" t="str">
        <f aca="false">IF(B1293="","NÃO COMPRA","COMPRA")</f>
        <v>NÃO COMPRA</v>
      </c>
      <c r="D1293" s="1" t="n">
        <f aca="false">IFERROR(VLOOKUP(A1293,Pedido!$A:$C,3,0),0)</f>
        <v>0</v>
      </c>
      <c r="E1293" s="5" t="n">
        <f aca="false">IFERROR(VLOOKUP(A1293,Pedido!$A:$E,5,0),0)</f>
        <v>0</v>
      </c>
      <c r="F1293" s="1" t="s">
        <v>9</v>
      </c>
      <c r="G1293" s="1" t="s">
        <v>1175</v>
      </c>
      <c r="H1293" s="1" t="s">
        <v>197</v>
      </c>
      <c r="I1293" s="1" t="s">
        <v>1896</v>
      </c>
      <c r="J1293" s="1" t="s">
        <v>2813</v>
      </c>
      <c r="K1293" s="1" t="n">
        <v>39</v>
      </c>
      <c r="L1293" s="11" t="n">
        <v>0.986578500641928</v>
      </c>
      <c r="M1293" s="1" t="n">
        <f aca="false">SUMIF(Relatorio_AK!$A:$A,A1293,Relatorio_AK!$B:$B)</f>
        <v>39</v>
      </c>
      <c r="N1293" s="1" t="str">
        <f aca="false">IF(M1293=K1293,"OK","DIF")</f>
        <v>OK</v>
      </c>
      <c r="O1293" s="13" t="str">
        <f aca="false">IFERROR(VLOOKUP($A1293,Lista_Starke!$A:$E,3,0),"NÃO ESTÁ NA LISTA")</f>
        <v>JEEP: Cherokee 4.0 6 cil. 91/00
JEEP: Cherokee Sport 4.0 6 cil. 92/…</v>
      </c>
      <c r="P1293" s="12" t="str">
        <f aca="false">IFERROR(VLOOKUP($A1293,Lista_Starke!$A:$E,2,0),"NÃO ESTÁ NA LISTA")</f>
        <v>BOMBA D'ÁGUA</v>
      </c>
    </row>
    <row r="1294" customFormat="false" ht="15" hidden="false" customHeight="true" outlineLevel="0" collapsed="false">
      <c r="A1294" s="10" t="s">
        <v>2814</v>
      </c>
      <c r="B1294" s="10" t="str">
        <f aca="false">IFERROR(VLOOKUP(A1294,Pedido!$A:$B,2,0),"")</f>
        <v/>
      </c>
      <c r="C1294" s="10" t="str">
        <f aca="false">IF(B1294="","NÃO COMPRA","COMPRA")</f>
        <v>NÃO COMPRA</v>
      </c>
      <c r="D1294" s="1" t="n">
        <f aca="false">IFERROR(VLOOKUP(A1294,Pedido!$A:$C,3,0),0)</f>
        <v>0</v>
      </c>
      <c r="E1294" s="5" t="n">
        <f aca="false">IFERROR(VLOOKUP(A1294,Pedido!$A:$E,5,0),0)</f>
        <v>0</v>
      </c>
      <c r="F1294" s="1" t="s">
        <v>9</v>
      </c>
      <c r="G1294" s="1" t="s">
        <v>377</v>
      </c>
      <c r="H1294" s="1" t="s">
        <v>197</v>
      </c>
      <c r="I1294" s="1" t="s">
        <v>53</v>
      </c>
      <c r="K1294" s="1" t="n">
        <v>39</v>
      </c>
      <c r="L1294" s="11" t="n">
        <v>0.98664517220924</v>
      </c>
      <c r="M1294" s="1" t="n">
        <f aca="false">SUMIF(Relatorio_AK!$A:$A,A1294,Relatorio_AK!$B:$B)</f>
        <v>39</v>
      </c>
      <c r="N1294" s="1" t="str">
        <f aca="false">IF(M1294=K1294,"OK","DIF")</f>
        <v>OK</v>
      </c>
      <c r="O1294" s="12" t="str">
        <f aca="false">IFERROR(VLOOKUP($A1294,Lista_Starke!$A:$E,3,0),"NÃO ESTÁ NA LISTA")</f>
        <v>FORD: Ranger 2.2 16V TDCi 13/…</v>
      </c>
      <c r="P1294" s="12" t="str">
        <f aca="false">IFERROR(VLOOKUP($A1294,Lista_Starke!$A:$E,2,0),"NÃO ESTÁ NA LISTA")</f>
        <v>BOMBA D'ÁGUA</v>
      </c>
    </row>
    <row r="1295" customFormat="false" ht="15" hidden="false" customHeight="true" outlineLevel="0" collapsed="false">
      <c r="A1295" s="10" t="s">
        <v>2815</v>
      </c>
      <c r="B1295" s="10" t="str">
        <f aca="false">IFERROR(VLOOKUP(A1295,Pedido!$A:$B,2,0),"")</f>
        <v/>
      </c>
      <c r="C1295" s="10" t="str">
        <f aca="false">IF(B1295="","NÃO COMPRA","COMPRA")</f>
        <v>NÃO COMPRA</v>
      </c>
      <c r="D1295" s="1" t="n">
        <f aca="false">IFERROR(VLOOKUP(A1295,Pedido!$A:$C,3,0),0)</f>
        <v>0</v>
      </c>
      <c r="E1295" s="5" t="n">
        <f aca="false">IFERROR(VLOOKUP(A1295,Pedido!$A:$E,5,0),0)</f>
        <v>0</v>
      </c>
      <c r="F1295" s="1" t="s">
        <v>9</v>
      </c>
      <c r="G1295" s="1" t="s">
        <v>2816</v>
      </c>
      <c r="H1295" s="1" t="s">
        <v>197</v>
      </c>
      <c r="I1295" s="1" t="s">
        <v>2817</v>
      </c>
      <c r="J1295" s="1" t="s">
        <v>2818</v>
      </c>
      <c r="K1295" s="1" t="n">
        <v>39</v>
      </c>
      <c r="L1295" s="11" t="n">
        <v>0.986711843776551</v>
      </c>
      <c r="M1295" s="1" t="n">
        <f aca="false">SUMIF(Relatorio_AK!$A:$A,A1295,Relatorio_AK!$B:$B)</f>
        <v>39</v>
      </c>
      <c r="N1295" s="1" t="str">
        <f aca="false">IF(M1295=K1295,"OK","DIF")</f>
        <v>OK</v>
      </c>
      <c r="O1295" s="13" t="str">
        <f aca="false">IFERROR(VLOOKUP($A1295,Lista_Starke!$A:$E,3,0),"NÃO ESTÁ NA LISTA")</f>
        <v>FORD: Mondeo 2.5 V6 24V SEA 94/96
FORD: Mondeo 2.5 V6 24V SEA/SEB/SEC 96/01
FORD: Mondeo 3.0 V6 24V REBA 04/07
FORD: Taurus 2.5 V6 24V SEA/SEB/SEC 95/04
JAGUAR: X-Type 2.5 V6 24V XB(AJ-V6) 01/09
JAGUAR: X-Type 3.0 V6 24V AJ-V6 01/08
MAZDA: MPV 2.5 V6 24V 00/01
MAZDA: MPV 3.0 V6 24V 02/03</v>
      </c>
      <c r="P1295" s="12" t="str">
        <f aca="false">IFERROR(VLOOKUP($A1295,Lista_Starke!$A:$E,2,0),"NÃO ESTÁ NA LISTA")</f>
        <v>BOMBA D´ÁGUA</v>
      </c>
    </row>
    <row r="1296" customFormat="false" ht="15" hidden="false" customHeight="true" outlineLevel="0" collapsed="false">
      <c r="A1296" s="10" t="s">
        <v>2819</v>
      </c>
      <c r="B1296" s="10" t="str">
        <f aca="false">IFERROR(VLOOKUP(A1296,Pedido!$A:$B,2,0),"")</f>
        <v/>
      </c>
      <c r="C1296" s="10" t="str">
        <f aca="false">IF(B1296="","NÃO COMPRA","COMPRA")</f>
        <v>NÃO COMPRA</v>
      </c>
      <c r="D1296" s="1" t="n">
        <f aca="false">IFERROR(VLOOKUP(A1296,Pedido!$A:$C,3,0),0)</f>
        <v>0</v>
      </c>
      <c r="E1296" s="5" t="n">
        <f aca="false">IFERROR(VLOOKUP(A1296,Pedido!$A:$E,5,0),0)</f>
        <v>0</v>
      </c>
      <c r="F1296" s="1" t="s">
        <v>9</v>
      </c>
      <c r="G1296" s="1" t="s">
        <v>2488</v>
      </c>
      <c r="H1296" s="1" t="s">
        <v>1714</v>
      </c>
      <c r="I1296" s="1" t="s">
        <v>57</v>
      </c>
      <c r="J1296" s="1" t="s">
        <v>2820</v>
      </c>
      <c r="K1296" s="1" t="n">
        <v>39</v>
      </c>
      <c r="L1296" s="11" t="n">
        <v>0.986778515343863</v>
      </c>
      <c r="M1296" s="1" t="n">
        <f aca="false">SUMIF(Relatorio_AK!$A:$A,A1296,Relatorio_AK!$B:$B)</f>
        <v>39</v>
      </c>
      <c r="N1296" s="1" t="str">
        <f aca="false">IF(M1296=K1296,"OK","DIF")</f>
        <v>OK</v>
      </c>
      <c r="O1296" s="13" t="str">
        <f aca="false">IFERROR(VLOOKUP($A1296,Lista_Starke!$A:$E,3,0),"NÃO ESTÁ NA LISTA")</f>
        <v>GM: Blazer 4.3 V6 96/06
GM: S10 4.3 V6 96/06</v>
      </c>
      <c r="P1296" s="12" t="str">
        <f aca="false">IFERROR(VLOOKUP($A1296,Lista_Starke!$A:$E,2,0),"NÃO ESTÁ NA LISTA")</f>
        <v>POLIA VISCOSA</v>
      </c>
    </row>
    <row r="1297" customFormat="false" ht="15" hidden="false" customHeight="true" outlineLevel="0" collapsed="false">
      <c r="A1297" s="10" t="s">
        <v>2821</v>
      </c>
      <c r="B1297" s="10" t="str">
        <f aca="false">IFERROR(VLOOKUP(A1297,Pedido!$A:$B,2,0),"")</f>
        <v/>
      </c>
      <c r="C1297" s="10" t="str">
        <f aca="false">IF(B1297="","NÃO COMPRA","COMPRA")</f>
        <v>NÃO COMPRA</v>
      </c>
      <c r="D1297" s="1" t="n">
        <f aca="false">IFERROR(VLOOKUP(A1297,Pedido!$A:$C,3,0),0)</f>
        <v>0</v>
      </c>
      <c r="E1297" s="5" t="n">
        <f aca="false">IFERROR(VLOOKUP(A1297,Pedido!$A:$E,5,0),0)</f>
        <v>0</v>
      </c>
      <c r="F1297" s="1" t="s">
        <v>9</v>
      </c>
      <c r="G1297" s="1" t="s">
        <v>1783</v>
      </c>
      <c r="H1297" s="1" t="s">
        <v>1073</v>
      </c>
      <c r="I1297" s="1" t="s">
        <v>373</v>
      </c>
      <c r="J1297" s="1" t="s">
        <v>2822</v>
      </c>
      <c r="K1297" s="1" t="n">
        <v>39</v>
      </c>
      <c r="L1297" s="11" t="n">
        <v>0.986845186911175</v>
      </c>
      <c r="M1297" s="1" t="n">
        <f aca="false">SUMIF(Relatorio_AK!$A:$A,A1297,Relatorio_AK!$B:$B)</f>
        <v>39</v>
      </c>
      <c r="N1297" s="1" t="str">
        <f aca="false">IF(M1297=K1297,"OK","DIF")</f>
        <v>OK</v>
      </c>
      <c r="O1297" s="13" t="str">
        <f aca="false">IFERROR(VLOOKUP($A1297,Lista_Starke!$A:$E,3,0),"NÃO ESTÁ NA LISTA")</f>
        <v>MERCEDES-BENZ: C180 (W205) 1.5 4 cil. M264.915 19/21
MERCEDES-BENZ: C200 (W205) 1.5 4 cil. EQ Boost M264.915 18/21
MERCEDES-BENZ: C200 (W205) 2.0 16V M264.920 19/21
MERCEDES-BENZ: C300 (W205) 2.0 16V EQ Boost M264.920 19/21
MERCEDES-BENZ: C300 (W205) 2.0 16V M264.920 18/21</v>
      </c>
      <c r="P1297" s="12" t="str">
        <f aca="false">IFERROR(VLOOKUP($A1297,Lista_Starke!$A:$E,2,0),"NÃO ESTÁ NA LISTA")</f>
        <v>VÁLVULA TERMOSTÁTICA</v>
      </c>
    </row>
    <row r="1298" customFormat="false" ht="15" hidden="false" customHeight="true" outlineLevel="0" collapsed="false">
      <c r="A1298" s="10" t="s">
        <v>2823</v>
      </c>
      <c r="B1298" s="10" t="str">
        <f aca="false">IFERROR(VLOOKUP(A1298,Pedido!$A:$B,2,0),"")</f>
        <v/>
      </c>
      <c r="C1298" s="10" t="str">
        <f aca="false">IF(B1298="","NÃO COMPRA","COMPRA")</f>
        <v>NÃO COMPRA</v>
      </c>
      <c r="D1298" s="1" t="n">
        <f aca="false">IFERROR(VLOOKUP(A1298,Pedido!$A:$C,3,0),0)</f>
        <v>0</v>
      </c>
      <c r="E1298" s="5" t="n">
        <f aca="false">IFERROR(VLOOKUP(A1298,Pedido!$A:$E,5,0),0)</f>
        <v>0</v>
      </c>
      <c r="F1298" s="1" t="s">
        <v>9</v>
      </c>
      <c r="G1298" s="1" t="s">
        <v>1321</v>
      </c>
      <c r="H1298" s="1" t="s">
        <v>1073</v>
      </c>
      <c r="I1298" s="1" t="s">
        <v>42</v>
      </c>
      <c r="J1298" s="1" t="s">
        <v>2824</v>
      </c>
      <c r="K1298" s="1" t="n">
        <v>39</v>
      </c>
      <c r="L1298" s="11" t="n">
        <v>0.986911858478487</v>
      </c>
      <c r="M1298" s="1" t="n">
        <f aca="false">SUMIF(Relatorio_AK!$A:$A,A1298,Relatorio_AK!$B:$B)</f>
        <v>39</v>
      </c>
      <c r="N1298" s="1" t="str">
        <f aca="false">IF(M1298=K1298,"OK","DIF")</f>
        <v>OK</v>
      </c>
      <c r="O1298" s="12" t="str">
        <f aca="false">IFERROR(VLOOKUP($A1298,Lista_Starke!$A:$E,3,0),"NÃO ESTÁ NA LISTA")</f>
        <v>RENAULT: Master 2.3 16V Turbo 13/…</v>
      </c>
      <c r="P1298" s="12" t="str">
        <f aca="false">IFERROR(VLOOKUP($A1298,Lista_Starke!$A:$E,2,0),"NÃO ESTÁ NA LISTA")</f>
        <v>VÁLVULA TERMOSTÁTICA</v>
      </c>
    </row>
    <row r="1299" customFormat="false" ht="15" hidden="false" customHeight="true" outlineLevel="0" collapsed="false">
      <c r="A1299" s="10" t="s">
        <v>2825</v>
      </c>
      <c r="B1299" s="10" t="str">
        <f aca="false">IFERROR(VLOOKUP(A1299,Pedido!$A:$B,2,0),"")</f>
        <v/>
      </c>
      <c r="C1299" s="10" t="str">
        <f aca="false">IF(B1299="","NÃO COMPRA","COMPRA")</f>
        <v>NÃO COMPRA</v>
      </c>
      <c r="D1299" s="1" t="n">
        <f aca="false">IFERROR(VLOOKUP(A1299,Pedido!$A:$C,3,0),0)</f>
        <v>0</v>
      </c>
      <c r="E1299" s="5" t="n">
        <f aca="false">IFERROR(VLOOKUP(A1299,Pedido!$A:$E,5,0),0)</f>
        <v>0</v>
      </c>
      <c r="F1299" s="1" t="s">
        <v>9</v>
      </c>
      <c r="G1299" s="1" t="s">
        <v>2425</v>
      </c>
      <c r="H1299" s="1" t="s">
        <v>88</v>
      </c>
      <c r="I1299" s="1" t="s">
        <v>2826</v>
      </c>
      <c r="J1299" s="1" t="s">
        <v>2827</v>
      </c>
      <c r="K1299" s="1" t="n">
        <v>39</v>
      </c>
      <c r="L1299" s="11" t="n">
        <v>0.986978530045798</v>
      </c>
      <c r="M1299" s="1" t="n">
        <f aca="false">SUMIF(Relatorio_AK!$A:$A,A1299,Relatorio_AK!$B:$B)</f>
        <v>39</v>
      </c>
      <c r="N1299" s="1" t="str">
        <f aca="false">IF(M1299=K1299,"OK","DIF")</f>
        <v>OK</v>
      </c>
      <c r="O1299" s="13" t="str">
        <f aca="false">IFERROR(VLOOKUP($A1299,Lista_Starke!$A:$E,3,0),"NÃO ESTÁ NA LISTA")</f>
        <v>AGRALE: 1600 A 2.5 L 8V SOHC L4 85/89
AGRALE: 1600 D SERIE 229 3.0 L 6V SOHV L3 85/89
AGRALE: 1600 D SERIE 229 3.9 L 8V SOHV L4 85/89
AGRALE: 1800 D SERIE 229 3.9 L 8V SOHV L4 88/89
FORD: 1800 D Q20B 3.9 L 8V SOHV L4 88/89
FORD: F400 272 4.5 L 16V SOHC V8 75/77
FORD: F4000 D 226-4 4.2 L 8V SOHV L4 79/83</v>
      </c>
      <c r="P1299" s="12" t="str">
        <f aca="false">IFERROR(VLOOKUP($A1299,Lista_Starke!$A:$E,2,0),"NÃO ESTÁ NA LISTA")</f>
        <v>CILINDRO DE RODA LE</v>
      </c>
    </row>
    <row r="1300" customFormat="false" ht="15" hidden="false" customHeight="true" outlineLevel="0" collapsed="false">
      <c r="A1300" s="10" t="s">
        <v>2828</v>
      </c>
      <c r="B1300" s="10" t="str">
        <f aca="false">IFERROR(VLOOKUP(A1300,Pedido!$A:$B,2,0),"")</f>
        <v/>
      </c>
      <c r="C1300" s="10" t="str">
        <f aca="false">IF(B1300="","NÃO COMPRA","COMPRA")</f>
        <v>NÃO COMPRA</v>
      </c>
      <c r="D1300" s="1" t="n">
        <f aca="false">IFERROR(VLOOKUP(A1300,Pedido!$A:$C,3,0),0)</f>
        <v>0</v>
      </c>
      <c r="E1300" s="5" t="n">
        <f aca="false">IFERROR(VLOOKUP(A1300,Pedido!$A:$E,5,0),0)</f>
        <v>0</v>
      </c>
      <c r="F1300" s="1" t="s">
        <v>9</v>
      </c>
      <c r="G1300" s="1" t="s">
        <v>349</v>
      </c>
      <c r="H1300" s="1" t="s">
        <v>197</v>
      </c>
      <c r="I1300" s="1" t="s">
        <v>57</v>
      </c>
      <c r="K1300" s="1" t="n">
        <v>38</v>
      </c>
      <c r="L1300" s="11" t="n">
        <v>0.987043492085743</v>
      </c>
      <c r="M1300" s="1" t="n">
        <f aca="false">SUMIF(Relatorio_AK!$A:$A,A1300,Relatorio_AK!$B:$B)</f>
        <v>38</v>
      </c>
      <c r="N1300" s="1" t="str">
        <f aca="false">IF(M1300=K1300,"OK","DIF")</f>
        <v>OK</v>
      </c>
      <c r="O1300" s="12" t="str">
        <f aca="false">IFERROR(VLOOKUP($A1300,Lista_Starke!$A:$E,3,0),"NÃO ESTÁ NA LISTA")</f>
        <v>NÃO ESTÁ NA LISTA</v>
      </c>
      <c r="P1300" s="12" t="str">
        <f aca="false">IFERROR(VLOOKUP($A1300,Lista_Starke!$A:$E,2,0),"NÃO ESTÁ NA LISTA")</f>
        <v>NÃO ESTÁ NA LISTA</v>
      </c>
    </row>
    <row r="1301" customFormat="false" ht="15" hidden="false" customHeight="true" outlineLevel="0" collapsed="false">
      <c r="A1301" s="10" t="s">
        <v>2829</v>
      </c>
      <c r="B1301" s="10" t="str">
        <f aca="false">IFERROR(VLOOKUP(A1301,Pedido!$A:$B,2,0),"")</f>
        <v/>
      </c>
      <c r="C1301" s="10" t="str">
        <f aca="false">IF(B1301="","NÃO COMPRA","COMPRA")</f>
        <v>NÃO COMPRA</v>
      </c>
      <c r="D1301" s="1" t="n">
        <f aca="false">IFERROR(VLOOKUP(A1301,Pedido!$A:$C,3,0),0)</f>
        <v>0</v>
      </c>
      <c r="E1301" s="5" t="n">
        <f aca="false">IFERROR(VLOOKUP(A1301,Pedido!$A:$E,5,0),0)</f>
        <v>0</v>
      </c>
      <c r="F1301" s="1" t="s">
        <v>9</v>
      </c>
      <c r="G1301" s="1" t="s">
        <v>1906</v>
      </c>
      <c r="H1301" s="1" t="s">
        <v>1358</v>
      </c>
      <c r="I1301" s="1" t="s">
        <v>53</v>
      </c>
      <c r="J1301" s="1" t="s">
        <v>2830</v>
      </c>
      <c r="K1301" s="1" t="n">
        <v>38</v>
      </c>
      <c r="L1301" s="11" t="n">
        <v>0.987108454125688</v>
      </c>
      <c r="M1301" s="1" t="n">
        <f aca="false">SUMIF(Relatorio_AK!$A:$A,A1301,Relatorio_AK!$B:$B)</f>
        <v>38</v>
      </c>
      <c r="N1301" s="1" t="str">
        <f aca="false">IF(M1301=K1301,"OK","DIF")</f>
        <v>OK</v>
      </c>
      <c r="O1301" s="13" t="str">
        <f aca="false">IFERROR(VLOOKUP($A1301,Lista_Starke!$A:$E,3,0),"NÃO ESTÁ NA LISTA")</f>
        <v>FORD: Ecosport  04/12
FORD: Fiesta  03/09</v>
      </c>
      <c r="P1301" s="12" t="str">
        <f aca="false">IFERROR(VLOOKUP($A1301,Lista_Starke!$A:$E,2,0),"NÃO ESTÁ NA LISTA")</f>
        <v>BANDEJA INFERIOR COMPLETA LE</v>
      </c>
    </row>
    <row r="1302" customFormat="false" ht="15" hidden="false" customHeight="true" outlineLevel="0" collapsed="false">
      <c r="A1302" s="10" t="s">
        <v>2831</v>
      </c>
      <c r="B1302" s="10" t="str">
        <f aca="false">IFERROR(VLOOKUP(A1302,Pedido!$A:$B,2,0),"")</f>
        <v/>
      </c>
      <c r="C1302" s="10" t="str">
        <f aca="false">IF(B1302="","NÃO COMPRA","COMPRA")</f>
        <v>NÃO COMPRA</v>
      </c>
      <c r="D1302" s="1" t="n">
        <f aca="false">IFERROR(VLOOKUP(A1302,Pedido!$A:$C,3,0),0)</f>
        <v>0</v>
      </c>
      <c r="E1302" s="5" t="n">
        <f aca="false">IFERROR(VLOOKUP(A1302,Pedido!$A:$E,5,0),0)</f>
        <v>0</v>
      </c>
      <c r="F1302" s="1" t="s">
        <v>9</v>
      </c>
      <c r="G1302" s="1" t="s">
        <v>1899</v>
      </c>
      <c r="H1302" s="1" t="s">
        <v>1358</v>
      </c>
      <c r="I1302" s="1" t="s">
        <v>1066</v>
      </c>
      <c r="J1302" s="1" t="s">
        <v>2832</v>
      </c>
      <c r="K1302" s="1" t="n">
        <v>38</v>
      </c>
      <c r="L1302" s="11" t="n">
        <v>0.987173416165633</v>
      </c>
      <c r="M1302" s="1" t="n">
        <f aca="false">SUMIF(Relatorio_AK!$A:$A,A1302,Relatorio_AK!$B:$B)</f>
        <v>38</v>
      </c>
      <c r="N1302" s="1" t="str">
        <f aca="false">IF(M1302=K1302,"OK","DIF")</f>
        <v>OK</v>
      </c>
      <c r="O1302" s="13" t="str">
        <f aca="false">IFERROR(VLOOKUP($A1302,Lista_Starke!$A:$E,3,0),"NÃO ESTÁ NA LISTA")</f>
        <v>CHERY: Face 1.3 16V   SQR473F 10/…
CHERY: S18 1.3 16V   SQR473F 12/…
RELY: Link 1.3 16V    SQR473F 13/..</v>
      </c>
      <c r="P1302" s="12" t="str">
        <f aca="false">IFERROR(VLOOKUP($A1302,Lista_Starke!$A:$E,2,0),"NÃO ESTÁ NA LISTA")</f>
        <v>BANDEJA INFERIOR COMPLETA LE</v>
      </c>
    </row>
    <row r="1303" customFormat="false" ht="15" hidden="false" customHeight="true" outlineLevel="0" collapsed="false">
      <c r="A1303" s="10" t="s">
        <v>2833</v>
      </c>
      <c r="B1303" s="10" t="str">
        <f aca="false">IFERROR(VLOOKUP(A1303,Pedido!$A:$B,2,0),"")</f>
        <v/>
      </c>
      <c r="C1303" s="10" t="str">
        <f aca="false">IF(B1303="","NÃO COMPRA","COMPRA")</f>
        <v>NÃO COMPRA</v>
      </c>
      <c r="D1303" s="1" t="n">
        <f aca="false">IFERROR(VLOOKUP(A1303,Pedido!$A:$C,3,0),0)</f>
        <v>0</v>
      </c>
      <c r="E1303" s="5" t="n">
        <f aca="false">IFERROR(VLOOKUP(A1303,Pedido!$A:$E,5,0),0)</f>
        <v>0</v>
      </c>
      <c r="F1303" s="1" t="s">
        <v>9</v>
      </c>
      <c r="G1303" s="1" t="s">
        <v>1652</v>
      </c>
      <c r="H1303" s="1" t="s">
        <v>1358</v>
      </c>
      <c r="I1303" s="1" t="s">
        <v>46</v>
      </c>
      <c r="J1303" s="1" t="s">
        <v>2834</v>
      </c>
      <c r="K1303" s="1" t="n">
        <v>38</v>
      </c>
      <c r="L1303" s="11" t="n">
        <v>0.987238378205577</v>
      </c>
      <c r="M1303" s="1" t="n">
        <f aca="false">SUMIF(Relatorio_AK!$A:$A,A1303,Relatorio_AK!$B:$B)</f>
        <v>38</v>
      </c>
      <c r="N1303" s="1" t="str">
        <f aca="false">IF(M1303=K1303,"OK","DIF")</f>
        <v>OK</v>
      </c>
      <c r="O1303" s="13" t="str">
        <f aca="false">IFERROR(VLOOKUP($A1303,Lista_Starke!$A:$E,3,0),"NÃO ESTÁ NA LISTA")</f>
        <v>FIAT: Argo 1.0 / 1.3 17/22
FIAT: Cronos  17/22
FIAT: Strada 1.3 / 1.4 20/...</v>
      </c>
      <c r="P1303" s="12" t="str">
        <f aca="false">IFERROR(VLOOKUP($A1303,Lista_Starke!$A:$E,2,0),"NÃO ESTÁ NA LISTA")</f>
        <v>BANDEJA INFERIOR COMPLETA LD</v>
      </c>
    </row>
    <row r="1304" customFormat="false" ht="15" hidden="false" customHeight="true" outlineLevel="0" collapsed="false">
      <c r="A1304" s="10" t="s">
        <v>2835</v>
      </c>
      <c r="B1304" s="10" t="str">
        <f aca="false">IFERROR(VLOOKUP(A1304,Pedido!$A:$B,2,0),"")</f>
        <v/>
      </c>
      <c r="C1304" s="10" t="str">
        <f aca="false">IF(B1304="","NÃO COMPRA","COMPRA")</f>
        <v>NÃO COMPRA</v>
      </c>
      <c r="D1304" s="1" t="n">
        <f aca="false">IFERROR(VLOOKUP(A1304,Pedido!$A:$C,3,0),0)</f>
        <v>0</v>
      </c>
      <c r="E1304" s="5" t="n">
        <f aca="false">IFERROR(VLOOKUP(A1304,Pedido!$A:$E,5,0),0)</f>
        <v>0</v>
      </c>
      <c r="F1304" s="1" t="s">
        <v>9</v>
      </c>
      <c r="G1304" s="1" t="s">
        <v>1906</v>
      </c>
      <c r="H1304" s="1" t="s">
        <v>1358</v>
      </c>
      <c r="I1304" s="1" t="s">
        <v>53</v>
      </c>
      <c r="J1304" s="1" t="s">
        <v>2836</v>
      </c>
      <c r="K1304" s="1" t="n">
        <v>38</v>
      </c>
      <c r="L1304" s="11" t="n">
        <v>0.987303340245522</v>
      </c>
      <c r="M1304" s="1" t="n">
        <f aca="false">SUMIF(Relatorio_AK!$A:$A,A1304,Relatorio_AK!$B:$B)</f>
        <v>38</v>
      </c>
      <c r="N1304" s="1" t="str">
        <f aca="false">IF(M1304=K1304,"OK","DIF")</f>
        <v>OK</v>
      </c>
      <c r="O1304" s="12" t="str">
        <f aca="false">IFERROR(VLOOKUP($A1304,Lista_Starke!$A:$E,3,0),"NÃO ESTÁ NA LISTA")</f>
        <v>FORD: Focus  13/18</v>
      </c>
      <c r="P1304" s="12" t="str">
        <f aca="false">IFERROR(VLOOKUP($A1304,Lista_Starke!$A:$E,2,0),"NÃO ESTÁ NA LISTA")</f>
        <v>BANDEJA INFERIOR COMPLETA LE</v>
      </c>
    </row>
    <row r="1305" customFormat="false" ht="15" hidden="false" customHeight="true" outlineLevel="0" collapsed="false">
      <c r="A1305" s="10" t="s">
        <v>2837</v>
      </c>
      <c r="B1305" s="10" t="str">
        <f aca="false">IFERROR(VLOOKUP(A1305,Pedido!$A:$B,2,0),"")</f>
        <v/>
      </c>
      <c r="C1305" s="10" t="str">
        <f aca="false">IF(B1305="","NÃO COMPRA","COMPRA")</f>
        <v>NÃO COMPRA</v>
      </c>
      <c r="D1305" s="1" t="n">
        <f aca="false">IFERROR(VLOOKUP(A1305,Pedido!$A:$C,3,0),0)</f>
        <v>0</v>
      </c>
      <c r="E1305" s="5" t="n">
        <f aca="false">IFERROR(VLOOKUP(A1305,Pedido!$A:$E,5,0),0)</f>
        <v>0</v>
      </c>
      <c r="F1305" s="1" t="s">
        <v>9</v>
      </c>
      <c r="G1305" s="1" t="s">
        <v>2838</v>
      </c>
      <c r="H1305" s="1" t="s">
        <v>197</v>
      </c>
      <c r="I1305" s="1" t="s">
        <v>184</v>
      </c>
      <c r="K1305" s="1" t="n">
        <v>38</v>
      </c>
      <c r="L1305" s="11" t="n">
        <v>0.987368302285467</v>
      </c>
      <c r="M1305" s="1" t="n">
        <f aca="false">SUMIF(Relatorio_AK!$A:$A,A1305,Relatorio_AK!$B:$B)</f>
        <v>38</v>
      </c>
      <c r="N1305" s="1" t="str">
        <f aca="false">IF(M1305=K1305,"OK","DIF")</f>
        <v>OK</v>
      </c>
      <c r="O1305" s="13" t="str">
        <f aca="false">IFERROR(VLOOKUP($A1305,Lista_Starke!$A:$E,3,0),"NÃO ESTÁ NA LISTA")</f>
        <v>FORD: Royale 1.8 / 2.0 MI AP 91/96
FORD: Versailles 1.8 / 2.0 MI AP 91/96
VOLKSWAGEN: Gol 1.6 / 1.8 / 2.0 MI AP 94/02
VOLKSWAGEN: Gol 1.6 / 1.8 / 2.0 MI AP Flex 05/09
VOLKSWAGEN: Gol GTI 2.0 MI AP 94/97
VOLKSWAGEN: Parati 1.6 / 1.8 / 2.0 MI AP 03/...
VOLKSWAGEN: Parati 1.6 / 1.8 / 2.0 MI AP 88/99
VOLKSWAGEN: Parati 1.6 / 1.8 / 2.0 MI AP Flex 00/...
VOLKSWAGEN: Pointer 1.6 / 1.8 / 2.0 MI AP 94/96
VOLKSWAGEN: Quantum 1.6 / 1.8 / 2.0 MI AP 94/03
VOLKSWAGEN: Santana 1.6 / 1.8 / 2.0 MI AP 94/06
VOLKSWAGEN: Saveiro 1.6 / 1.8 / 2.0 MI AP 94/02
VOLKSWAGEN: Saveiro 1.6 / 1.8 / 2.0 MI AP Flex 03/...</v>
      </c>
      <c r="P1305" s="12" t="str">
        <f aca="false">IFERROR(VLOOKUP($A1305,Lista_Starke!$A:$E,2,0),"NÃO ESTÁ NA LISTA")</f>
        <v>BOMBA D'ÁGUA</v>
      </c>
    </row>
    <row r="1306" customFormat="false" ht="15" hidden="false" customHeight="true" outlineLevel="0" collapsed="false">
      <c r="A1306" s="10" t="s">
        <v>2839</v>
      </c>
      <c r="B1306" s="10" t="str">
        <f aca="false">IFERROR(VLOOKUP(A1306,Pedido!$A:$B,2,0),"")</f>
        <v/>
      </c>
      <c r="C1306" s="10" t="str">
        <f aca="false">IF(B1306="","NÃO COMPRA","COMPRA")</f>
        <v>NÃO COMPRA</v>
      </c>
      <c r="D1306" s="1" t="n">
        <f aca="false">IFERROR(VLOOKUP(A1306,Pedido!$A:$C,3,0),0)</f>
        <v>0</v>
      </c>
      <c r="E1306" s="5" t="n">
        <f aca="false">IFERROR(VLOOKUP(A1306,Pedido!$A:$E,5,0),0)</f>
        <v>0</v>
      </c>
      <c r="F1306" s="1" t="s">
        <v>9</v>
      </c>
      <c r="G1306" s="1" t="s">
        <v>1810</v>
      </c>
      <c r="H1306" s="1" t="s">
        <v>1358</v>
      </c>
      <c r="I1306" s="1" t="s">
        <v>215</v>
      </c>
      <c r="J1306" s="1" t="s">
        <v>2840</v>
      </c>
      <c r="K1306" s="1" t="n">
        <v>38</v>
      </c>
      <c r="L1306" s="11" t="n">
        <v>0.987433264325412</v>
      </c>
      <c r="M1306" s="1" t="n">
        <f aca="false">SUMIF(Relatorio_AK!$A:$A,A1306,Relatorio_AK!$B:$B)</f>
        <v>38</v>
      </c>
      <c r="N1306" s="1" t="str">
        <f aca="false">IF(M1306=K1306,"OK","DIF")</f>
        <v>OK</v>
      </c>
      <c r="O1306" s="12" t="str">
        <f aca="false">IFERROR(VLOOKUP($A1306,Lista_Starke!$A:$E,3,0),"NÃO ESTÁ NA LISTA")</f>
        <v>NISSAN: Frontier 2.3 16V 17/...</v>
      </c>
      <c r="P1306" s="12" t="str">
        <f aca="false">IFERROR(VLOOKUP($A1306,Lista_Starke!$A:$E,2,0),"NÃO ESTÁ NA LISTA")</f>
        <v>BANDEJA INFERIOR COMPLETA LD</v>
      </c>
    </row>
    <row r="1307" customFormat="false" ht="15" hidden="false" customHeight="true" outlineLevel="0" collapsed="false">
      <c r="A1307" s="10" t="s">
        <v>2841</v>
      </c>
      <c r="B1307" s="10" t="str">
        <f aca="false">IFERROR(VLOOKUP(A1307,Pedido!$A:$B,2,0),"")</f>
        <v/>
      </c>
      <c r="C1307" s="10" t="str">
        <f aca="false">IF(B1307="","NÃO COMPRA","COMPRA")</f>
        <v>NÃO COMPRA</v>
      </c>
      <c r="D1307" s="1" t="n">
        <f aca="false">IFERROR(VLOOKUP(A1307,Pedido!$A:$C,3,0),0)</f>
        <v>0</v>
      </c>
      <c r="E1307" s="5" t="n">
        <f aca="false">IFERROR(VLOOKUP(A1307,Pedido!$A:$E,5,0),0)</f>
        <v>0</v>
      </c>
      <c r="F1307" s="1" t="s">
        <v>9</v>
      </c>
      <c r="G1307" s="1" t="s">
        <v>2732</v>
      </c>
      <c r="H1307" s="1" t="s">
        <v>1714</v>
      </c>
      <c r="I1307" s="1" t="s">
        <v>255</v>
      </c>
      <c r="K1307" s="1" t="n">
        <v>38</v>
      </c>
      <c r="L1307" s="11" t="n">
        <v>0.987498226365357</v>
      </c>
      <c r="M1307" s="1" t="n">
        <f aca="false">SUMIF(Relatorio_AK!$A:$A,A1307,Relatorio_AK!$B:$B)</f>
        <v>38</v>
      </c>
      <c r="N1307" s="1" t="str">
        <f aca="false">IF(M1307=K1307,"OK","DIF")</f>
        <v>OK</v>
      </c>
      <c r="O1307" s="13" t="str">
        <f aca="false">IFERROR(VLOOKUP($A1307,Lista_Starke!$A:$E,3,0),"NÃO ESTÁ NA LISTA")</f>
        <v>MITSUBISHI: Pajero 2.8 Turbo 4M40 Diesel 94/99
MITSUBISHI: Pajero Sport 2.8 Turbo 4M40 Diesel 93/…</v>
      </c>
      <c r="P1307" s="12" t="str">
        <f aca="false">IFERROR(VLOOKUP($A1307,Lista_Starke!$A:$E,2,0),"NÃO ESTÁ NA LISTA")</f>
        <v>POLIA VISCOSA</v>
      </c>
    </row>
    <row r="1308" customFormat="false" ht="15" hidden="false" customHeight="true" outlineLevel="0" collapsed="false">
      <c r="A1308" s="10" t="s">
        <v>2842</v>
      </c>
      <c r="B1308" s="10" t="str">
        <f aca="false">IFERROR(VLOOKUP(A1308,Pedido!$A:$B,2,0),"")</f>
        <v/>
      </c>
      <c r="C1308" s="10" t="str">
        <f aca="false">IF(B1308="","NÃO COMPRA","COMPRA")</f>
        <v>NÃO COMPRA</v>
      </c>
      <c r="D1308" s="1" t="n">
        <f aca="false">IFERROR(VLOOKUP(A1308,Pedido!$A:$C,3,0),0)</f>
        <v>0</v>
      </c>
      <c r="E1308" s="5" t="n">
        <f aca="false">IFERROR(VLOOKUP(A1308,Pedido!$A:$E,5,0),0)</f>
        <v>0</v>
      </c>
      <c r="F1308" s="1" t="s">
        <v>9</v>
      </c>
      <c r="G1308" s="1" t="s">
        <v>147</v>
      </c>
      <c r="H1308" s="1" t="s">
        <v>600</v>
      </c>
      <c r="I1308" s="1" t="s">
        <v>606</v>
      </c>
      <c r="J1308" s="1" t="s">
        <v>607</v>
      </c>
      <c r="K1308" s="1" t="n">
        <v>38</v>
      </c>
      <c r="L1308" s="11" t="n">
        <v>0.987563188405301</v>
      </c>
      <c r="M1308" s="1" t="n">
        <f aca="false">SUMIF(Relatorio_AK!$A:$A,A1308,Relatorio_AK!$B:$B)</f>
        <v>38</v>
      </c>
      <c r="N1308" s="1" t="str">
        <f aca="false">IF(M1308=K1308,"OK","DIF")</f>
        <v>OK</v>
      </c>
      <c r="O1308" s="13" t="str">
        <f aca="false">IFERROR(VLOOKUP($A1308,Lista_Starke!$A:$E,3,0),"NÃO ESTÁ NA LISTA")</f>
        <v>GM: Blazer 2.8 4 cil Turbo Diesel MWM 4.07T / 4.07TCA 00/12
GM: S10 2.8 4 cil Turbo Diesel MWM 4.07T / 4.07TCA 00/12
NISSAN: Frontier 2.8 4 cil Turbo Diesel MWM 4.07T / 4.07TCA 02/…
NISSAN: X Terra 2.8 4 cil Turbo Diesel MWM 4.07T / 4.07TCA 02/…
TROLLER: T4 2.8 4 cil Diesel MWM 4.07T / 4.07TCA 98/…</v>
      </c>
      <c r="P1308" s="12" t="str">
        <f aca="false">IFERROR(VLOOKUP($A1308,Lista_Starke!$A:$E,2,0),"NÃO ESTÁ NA LISTA")</f>
        <v>BOMBA DE VÁCUO FREIO</v>
      </c>
    </row>
    <row r="1309" customFormat="false" ht="15" hidden="false" customHeight="true" outlineLevel="0" collapsed="false">
      <c r="A1309" s="10" t="s">
        <v>2843</v>
      </c>
      <c r="B1309" s="10" t="str">
        <f aca="false">IFERROR(VLOOKUP(A1309,Pedido!$A:$B,2,0),"")</f>
        <v/>
      </c>
      <c r="C1309" s="10" t="str">
        <f aca="false">IF(B1309="","NÃO COMPRA","COMPRA")</f>
        <v>NÃO COMPRA</v>
      </c>
      <c r="D1309" s="1" t="n">
        <f aca="false">IFERROR(VLOOKUP(A1309,Pedido!$A:$C,3,0),0)</f>
        <v>0</v>
      </c>
      <c r="E1309" s="5" t="n">
        <f aca="false">IFERROR(VLOOKUP(A1309,Pedido!$A:$E,5,0),0)</f>
        <v>0</v>
      </c>
      <c r="F1309" s="1" t="s">
        <v>9</v>
      </c>
      <c r="G1309" s="1" t="s">
        <v>2844</v>
      </c>
      <c r="H1309" s="1" t="s">
        <v>1073</v>
      </c>
      <c r="I1309" s="1" t="s">
        <v>1855</v>
      </c>
      <c r="J1309" s="1" t="s">
        <v>2845</v>
      </c>
      <c r="K1309" s="1" t="n">
        <v>38</v>
      </c>
      <c r="L1309" s="11" t="n">
        <v>0.987628150445246</v>
      </c>
      <c r="M1309" s="1" t="n">
        <f aca="false">SUMIF(Relatorio_AK!$A:$A,A1309,Relatorio_AK!$B:$B)</f>
        <v>38</v>
      </c>
      <c r="N1309" s="1" t="str">
        <f aca="false">IF(M1309=K1309,"OK","DIF")</f>
        <v>OK</v>
      </c>
      <c r="O1309" s="13" t="str">
        <f aca="false">IFERROR(VLOOKUP($A1309,Lista_Starke!$A:$E,3,0),"NÃO ESTÁ NA LISTA")</f>
        <v>AUDI: Q7 3.0 TFSI 6 cil. DCBD / DCBE 19/...
AUDI: Q8 3.0 TFSI 6 cil. DCBD 18/...
AUDI: RS4 3.0 TFSI 6 cil. DECA 17/...
AUDI: RS5 3.0 TFSI 6 cil. DECA 17/...
AUDI: S4 3.0 TFSI 6 cil. CWGD 16/...
AUDI: S5 3.0 TFSI 6 cil. CWGD 16/...
AUDI: SQ5 3.0 TFSI 6 cil. CWGD 16/...
PORSCHE: Cayenne 3.0 6 cil. MDC.AB 17/...
PORSCHE: Cayenne S 3.0 6 cil. Hybrid MCD.BE 19/...
PORSCHE: Macan Turbo 3.0 6 cil. DGRC / DLZB 18/...
PORSCHE: Panamera 3.0 6 cil. MCX.TA 16/20
PORSCHE: Panamera E-Hybrid 3.0 6 cil. MDG.PA 16/23
VOLKSWAGEN: Touareg 3.0 TSI 6 cil. DCBE 18/...</v>
      </c>
      <c r="P1309" s="12" t="str">
        <f aca="false">IFERROR(VLOOKUP($A1309,Lista_Starke!$A:$E,2,0),"NÃO ESTÁ NA LISTA")</f>
        <v>VÁLVULA TERMOSTÁTICA</v>
      </c>
    </row>
    <row r="1310" customFormat="false" ht="15" hidden="false" customHeight="true" outlineLevel="0" collapsed="false">
      <c r="A1310" s="10" t="s">
        <v>2846</v>
      </c>
      <c r="B1310" s="10" t="str">
        <f aca="false">IFERROR(VLOOKUP(A1310,Pedido!$A:$B,2,0),"")</f>
        <v/>
      </c>
      <c r="C1310" s="10" t="str">
        <f aca="false">IF(B1310="","NÃO COMPRA","COMPRA")</f>
        <v>NÃO COMPRA</v>
      </c>
      <c r="D1310" s="1" t="n">
        <f aca="false">IFERROR(VLOOKUP(A1310,Pedido!$A:$C,3,0),0)</f>
        <v>0</v>
      </c>
      <c r="E1310" s="5" t="n">
        <f aca="false">IFERROR(VLOOKUP(A1310,Pedido!$A:$E,5,0),0)</f>
        <v>0</v>
      </c>
      <c r="F1310" s="1" t="s">
        <v>9</v>
      </c>
      <c r="G1310" s="1" t="s">
        <v>2847</v>
      </c>
      <c r="H1310" s="1" t="s">
        <v>1073</v>
      </c>
      <c r="I1310" s="1" t="s">
        <v>1723</v>
      </c>
      <c r="J1310" s="1" t="s">
        <v>2848</v>
      </c>
      <c r="K1310" s="1" t="n">
        <v>38</v>
      </c>
      <c r="L1310" s="11" t="n">
        <v>0.987693112485191</v>
      </c>
      <c r="M1310" s="1" t="n">
        <f aca="false">SUMIF(Relatorio_AK!$A:$A,A1310,Relatorio_AK!$B:$B)</f>
        <v>38</v>
      </c>
      <c r="N1310" s="1" t="str">
        <f aca="false">IF(M1310=K1310,"OK","DIF")</f>
        <v>OK</v>
      </c>
      <c r="O1310" s="13" t="str">
        <f aca="false">IFERROR(VLOOKUP($A1310,Lista_Starke!$A:$E,3,0),"NÃO ESTÁ NA LISTA")</f>
        <v>PORSCHE: Cayenne GTS 3.6 6 cil. MCX.ZA 15/18
PORSCHE: Cayenne GTS 4.8 8 cil. M48.02 12/18
PORSCHE: Cayenne S 3.6 6 cil. MCU.RA 14/18
PORSCHE: Cayenne S 4.8 8 cil. M48.02 10/14
PORSCHE: Cayenne Turbo 4.8 8 cil. M48.52 10/14
PORSCHE: Cayenne Turbo S 4.8 8 cil. MCY.XA 15/18</v>
      </c>
      <c r="P1310" s="12" t="str">
        <f aca="false">IFERROR(VLOOKUP($A1310,Lista_Starke!$A:$E,2,0),"NÃO ESTÁ NA LISTA")</f>
        <v>VÁLVULA TERMOSTÁTICA</v>
      </c>
    </row>
    <row r="1311" customFormat="false" ht="15" hidden="false" customHeight="true" outlineLevel="0" collapsed="false">
      <c r="A1311" s="10" t="s">
        <v>2849</v>
      </c>
      <c r="B1311" s="10" t="str">
        <f aca="false">IFERROR(VLOOKUP(A1311,Pedido!$A:$B,2,0),"")</f>
        <v/>
      </c>
      <c r="C1311" s="10" t="str">
        <f aca="false">IF(B1311="","NÃO COMPRA","COMPRA")</f>
        <v>NÃO COMPRA</v>
      </c>
      <c r="D1311" s="1" t="n">
        <f aca="false">IFERROR(VLOOKUP(A1311,Pedido!$A:$C,3,0),0)</f>
        <v>0</v>
      </c>
      <c r="E1311" s="5" t="n">
        <f aca="false">IFERROR(VLOOKUP(A1311,Pedido!$A:$E,5,0),0)</f>
        <v>0</v>
      </c>
      <c r="F1311" s="1" t="s">
        <v>9</v>
      </c>
      <c r="G1311" s="1" t="s">
        <v>2844</v>
      </c>
      <c r="H1311" s="1" t="s">
        <v>1073</v>
      </c>
      <c r="I1311" s="1" t="s">
        <v>1855</v>
      </c>
      <c r="J1311" s="1" t="s">
        <v>2850</v>
      </c>
      <c r="K1311" s="1" t="n">
        <v>38</v>
      </c>
      <c r="L1311" s="11" t="n">
        <v>0.987758074525136</v>
      </c>
      <c r="M1311" s="1" t="n">
        <f aca="false">SUMIF(Relatorio_AK!$A:$A,A1311,Relatorio_AK!$B:$B)</f>
        <v>38</v>
      </c>
      <c r="N1311" s="1" t="str">
        <f aca="false">IF(M1311=K1311,"OK","DIF")</f>
        <v>OK</v>
      </c>
      <c r="O1311" s="13" t="str">
        <f aca="false">IFERROR(VLOOKUP($A1311,Lista_Starke!$A:$E,3,0),"NÃO ESTÁ NA LISTA")</f>
        <v>AUDI: Q7 3.6 V6 FSI 07/15
PORSCHE: Cayenne 3.6 V6 08/18
VOLKSWAGEN: Passat CC 3.6 V6 07/17
VOLKSWAGEN: Touareg 3.6 V6 07/17</v>
      </c>
      <c r="P1311" s="12" t="str">
        <f aca="false">IFERROR(VLOOKUP($A1311,Lista_Starke!$A:$E,2,0),"NÃO ESTÁ NA LISTA")</f>
        <v>VÁLVULA TERMOSTÁTICA</v>
      </c>
    </row>
    <row r="1312" customFormat="false" ht="15" hidden="false" customHeight="true" outlineLevel="0" collapsed="false">
      <c r="A1312" s="10" t="s">
        <v>2851</v>
      </c>
      <c r="B1312" s="10" t="str">
        <f aca="false">IFERROR(VLOOKUP(A1312,Pedido!$A:$B,2,0),"")</f>
        <v/>
      </c>
      <c r="C1312" s="10" t="str">
        <f aca="false">IF(B1312="","NÃO COMPRA","COMPRA")</f>
        <v>NÃO COMPRA</v>
      </c>
      <c r="D1312" s="1" t="n">
        <f aca="false">IFERROR(VLOOKUP(A1312,Pedido!$A:$C,3,0),0)</f>
        <v>0</v>
      </c>
      <c r="E1312" s="5" t="n">
        <f aca="false">IFERROR(VLOOKUP(A1312,Pedido!$A:$E,5,0),0)</f>
        <v>0</v>
      </c>
      <c r="F1312" s="1" t="s">
        <v>9</v>
      </c>
      <c r="G1312" s="1" t="s">
        <v>168</v>
      </c>
      <c r="H1312" s="1" t="s">
        <v>131</v>
      </c>
      <c r="I1312" s="1" t="s">
        <v>57</v>
      </c>
      <c r="J1312" s="1" t="s">
        <v>2852</v>
      </c>
      <c r="K1312" s="1" t="n">
        <v>38</v>
      </c>
      <c r="L1312" s="11" t="n">
        <v>0.98782303656508</v>
      </c>
      <c r="M1312" s="1" t="n">
        <f aca="false">SUMIF(Relatorio_AK!$A:$A,A1312,Relatorio_AK!$B:$B)</f>
        <v>38</v>
      </c>
      <c r="N1312" s="1" t="str">
        <f aca="false">IF(M1312=K1312,"OK","DIF")</f>
        <v>OK</v>
      </c>
      <c r="O1312" s="13" t="str">
        <f aca="false">IFERROR(VLOOKUP($A1312,Lista_Starke!$A:$E,3,0),"NÃO ESTÁ NA LISTA")</f>
        <v>GM: Blazer 2.2 8V 95/00
GM: Blazer 2.4 8V 04/12
GM: Blazer 2.5 8V 97/05
GM: Blazer 2.8 12V 00/09
GM: Blazer 4.3 V6 96/04
GM: S10 2.2 8V 95/00
GM: S10 2.4 8V 00/12
GM: S10 2.5 8V 95/05
GM: S10 2.8 12V 00/12</v>
      </c>
      <c r="P1312" s="12" t="str">
        <f aca="false">IFERROR(VLOOKUP($A1312,Lista_Starke!$A:$E,2,0),"NÃO ESTÁ NA LISTA")</f>
        <v>SAPATA DE FREIO</v>
      </c>
    </row>
    <row r="1313" customFormat="false" ht="15" hidden="false" customHeight="true" outlineLevel="0" collapsed="false">
      <c r="A1313" s="10" t="s">
        <v>2853</v>
      </c>
      <c r="B1313" s="10" t="str">
        <f aca="false">IFERROR(VLOOKUP(A1313,Pedido!$A:$B,2,0),"")</f>
        <v/>
      </c>
      <c r="C1313" s="10" t="str">
        <f aca="false">IF(B1313="","NÃO COMPRA","COMPRA")</f>
        <v>NÃO COMPRA</v>
      </c>
      <c r="D1313" s="1" t="n">
        <f aca="false">IFERROR(VLOOKUP(A1313,Pedido!$A:$C,3,0),0)</f>
        <v>0</v>
      </c>
      <c r="E1313" s="5" t="n">
        <f aca="false">IFERROR(VLOOKUP(A1313,Pedido!$A:$E,5,0),0)</f>
        <v>0</v>
      </c>
      <c r="F1313" s="1" t="s">
        <v>9</v>
      </c>
      <c r="G1313" s="1" t="s">
        <v>1336</v>
      </c>
      <c r="H1313" s="1" t="s">
        <v>35</v>
      </c>
      <c r="I1313" s="1" t="s">
        <v>1182</v>
      </c>
      <c r="J1313" s="1" t="s">
        <v>2854</v>
      </c>
      <c r="K1313" s="1" t="n">
        <v>38</v>
      </c>
      <c r="L1313" s="11" t="n">
        <v>0.987887998605025</v>
      </c>
      <c r="M1313" s="1" t="n">
        <f aca="false">SUMIF(Relatorio_AK!$A:$A,A1313,Relatorio_AK!$B:$B)</f>
        <v>38</v>
      </c>
      <c r="N1313" s="1" t="str">
        <f aca="false">IF(M1313=K1313,"OK","DIF")</f>
        <v>OK</v>
      </c>
      <c r="O1313" s="12" t="str">
        <f aca="false">IFERROR(VLOOKUP($A1313,Lista_Starke!$A:$E,3,0),"NÃO ESTÁ NA LISTA")</f>
        <v>KIA: Sportage 2.0 16V 11/15</v>
      </c>
      <c r="P1313" s="12" t="str">
        <f aca="false">IFERROR(VLOOKUP($A1313,Lista_Starke!$A:$E,2,0),"NÃO ESTÁ NA LISTA")</f>
        <v>CILINDRO MESTRE DE FREIO</v>
      </c>
    </row>
    <row r="1314" customFormat="false" ht="15" hidden="false" customHeight="true" outlineLevel="0" collapsed="false">
      <c r="A1314" s="10" t="s">
        <v>2855</v>
      </c>
      <c r="B1314" s="10" t="str">
        <f aca="false">IFERROR(VLOOKUP(A1314,Pedido!$A:$B,2,0),"")</f>
        <v/>
      </c>
      <c r="C1314" s="10" t="str">
        <f aca="false">IF(B1314="","NÃO COMPRA","COMPRA")</f>
        <v>NÃO COMPRA</v>
      </c>
      <c r="D1314" s="1" t="n">
        <f aca="false">IFERROR(VLOOKUP(A1314,Pedido!$A:$C,3,0),0)</f>
        <v>0</v>
      </c>
      <c r="E1314" s="5" t="n">
        <f aca="false">IFERROR(VLOOKUP(A1314,Pedido!$A:$E,5,0),0)</f>
        <v>0</v>
      </c>
      <c r="F1314" s="1" t="s">
        <v>9</v>
      </c>
      <c r="G1314" s="1" t="s">
        <v>1947</v>
      </c>
      <c r="H1314" s="1" t="s">
        <v>1358</v>
      </c>
      <c r="I1314" s="1" t="s">
        <v>36</v>
      </c>
      <c r="J1314" s="1" t="s">
        <v>2856</v>
      </c>
      <c r="K1314" s="1" t="n">
        <v>37</v>
      </c>
      <c r="L1314" s="11" t="n">
        <v>0.987951251117603</v>
      </c>
      <c r="M1314" s="1" t="n">
        <f aca="false">SUMIF(Relatorio_AK!$A:$A,A1314,Relatorio_AK!$B:$B)</f>
        <v>37</v>
      </c>
      <c r="N1314" s="1" t="str">
        <f aca="false">IF(M1314=K1314,"OK","DIF")</f>
        <v>OK</v>
      </c>
      <c r="O1314" s="12" t="str">
        <f aca="false">IFERROR(VLOOKUP($A1314,Lista_Starke!$A:$E,3,0),"NÃO ESTÁ NA LISTA")</f>
        <v>VOLKSWAGEN: Up  14/21</v>
      </c>
      <c r="P1314" s="12" t="str">
        <f aca="false">IFERROR(VLOOKUP($A1314,Lista_Starke!$A:$E,2,0),"NÃO ESTÁ NA LISTA")</f>
        <v>BANDEJA INFERIOR COMPLETA LD</v>
      </c>
    </row>
    <row r="1315" customFormat="false" ht="15" hidden="false" customHeight="true" outlineLevel="0" collapsed="false">
      <c r="A1315" s="10" t="s">
        <v>2857</v>
      </c>
      <c r="B1315" s="10" t="str">
        <f aca="false">IFERROR(VLOOKUP(A1315,Pedido!$A:$B,2,0),"")</f>
        <v/>
      </c>
      <c r="C1315" s="10" t="str">
        <f aca="false">IF(B1315="","NÃO COMPRA","COMPRA")</f>
        <v>NÃO COMPRA</v>
      </c>
      <c r="D1315" s="1" t="n">
        <f aca="false">IFERROR(VLOOKUP(A1315,Pedido!$A:$C,3,0),0)</f>
        <v>0</v>
      </c>
      <c r="E1315" s="5" t="n">
        <f aca="false">IFERROR(VLOOKUP(A1315,Pedido!$A:$E,5,0),0)</f>
        <v>0</v>
      </c>
      <c r="F1315" s="1" t="s">
        <v>9</v>
      </c>
      <c r="G1315" s="1" t="s">
        <v>2858</v>
      </c>
      <c r="H1315" s="1" t="s">
        <v>1358</v>
      </c>
      <c r="I1315" s="1" t="s">
        <v>1182</v>
      </c>
      <c r="J1315" s="1" t="s">
        <v>2859</v>
      </c>
      <c r="K1315" s="1" t="n">
        <v>37</v>
      </c>
      <c r="L1315" s="11" t="n">
        <v>0.988014503630181</v>
      </c>
      <c r="M1315" s="1" t="n">
        <f aca="false">SUMIF(Relatorio_AK!$A:$A,A1315,Relatorio_AK!$B:$B)</f>
        <v>37</v>
      </c>
      <c r="N1315" s="1" t="str">
        <f aca="false">IF(M1315=K1315,"OK","DIF")</f>
        <v>OK</v>
      </c>
      <c r="O1315" s="12" t="str">
        <f aca="false">IFERROR(VLOOKUP($A1315,Lista_Starke!$A:$E,3,0),"NÃO ESTÁ NA LISTA")</f>
        <v>KIA: Picanto 1.0 12V 11/17</v>
      </c>
      <c r="P1315" s="12" t="str">
        <f aca="false">IFERROR(VLOOKUP($A1315,Lista_Starke!$A:$E,2,0),"NÃO ESTÁ NA LISTA")</f>
        <v>BANDEJA INFERIOR COMPLETA LD</v>
      </c>
    </row>
    <row r="1316" customFormat="false" ht="15" hidden="false" customHeight="true" outlineLevel="0" collapsed="false">
      <c r="A1316" s="10" t="s">
        <v>2860</v>
      </c>
      <c r="B1316" s="10" t="str">
        <f aca="false">IFERROR(VLOOKUP(A1316,Pedido!$A:$B,2,0),"")</f>
        <v/>
      </c>
      <c r="C1316" s="10" t="str">
        <f aca="false">IF(B1316="","NÃO COMPRA","COMPRA")</f>
        <v>NÃO COMPRA</v>
      </c>
      <c r="D1316" s="1" t="n">
        <f aca="false">IFERROR(VLOOKUP(A1316,Pedido!$A:$C,3,0),0)</f>
        <v>0</v>
      </c>
      <c r="E1316" s="5" t="n">
        <f aca="false">IFERROR(VLOOKUP(A1316,Pedido!$A:$E,5,0),0)</f>
        <v>0</v>
      </c>
      <c r="F1316" s="1" t="s">
        <v>9</v>
      </c>
      <c r="G1316" s="1" t="s">
        <v>1982</v>
      </c>
      <c r="H1316" s="1" t="s">
        <v>1358</v>
      </c>
      <c r="I1316" s="1" t="s">
        <v>1066</v>
      </c>
      <c r="J1316" s="1" t="s">
        <v>2861</v>
      </c>
      <c r="K1316" s="1" t="n">
        <v>37</v>
      </c>
      <c r="L1316" s="11" t="n">
        <v>0.988077756142759</v>
      </c>
      <c r="M1316" s="1" t="n">
        <f aca="false">SUMIF(Relatorio_AK!$A:$A,A1316,Relatorio_AK!$B:$B)</f>
        <v>37</v>
      </c>
      <c r="N1316" s="1" t="str">
        <f aca="false">IF(M1316=K1316,"OK","DIF")</f>
        <v>OK</v>
      </c>
      <c r="O1316" s="13" t="str">
        <f aca="false">IFERROR(VLOOKUP($A1316,Lista_Starke!$A:$E,3,0),"NÃO ESTÁ NA LISTA")</f>
        <v>CHERY: Face 1.3 16V   SQR473F 10/…
CHERY: S18 1.3 16V   SQR473F 12/…
RELY: Link 1.3 16V    SQR473F 13/..</v>
      </c>
      <c r="P1316" s="12" t="str">
        <f aca="false">IFERROR(VLOOKUP($A1316,Lista_Starke!$A:$E,2,0),"NÃO ESTÁ NA LISTA")</f>
        <v>BANDEJA INFERIOR COMPLETA LD</v>
      </c>
    </row>
    <row r="1317" customFormat="false" ht="15" hidden="false" customHeight="true" outlineLevel="0" collapsed="false">
      <c r="A1317" s="10" t="s">
        <v>2862</v>
      </c>
      <c r="B1317" s="10" t="str">
        <f aca="false">IFERROR(VLOOKUP(A1317,Pedido!$A:$B,2,0),"")</f>
        <v/>
      </c>
      <c r="C1317" s="10" t="str">
        <f aca="false">IF(B1317="","NÃO COMPRA","COMPRA")</f>
        <v>NÃO COMPRA</v>
      </c>
      <c r="D1317" s="1" t="n">
        <f aca="false">IFERROR(VLOOKUP(A1317,Pedido!$A:$C,3,0),0)</f>
        <v>0</v>
      </c>
      <c r="E1317" s="5" t="n">
        <f aca="false">IFERROR(VLOOKUP(A1317,Pedido!$A:$E,5,0),0)</f>
        <v>0</v>
      </c>
      <c r="F1317" s="1" t="s">
        <v>9</v>
      </c>
      <c r="G1317" s="1" t="s">
        <v>1626</v>
      </c>
      <c r="H1317" s="1" t="s">
        <v>1358</v>
      </c>
      <c r="I1317" s="1" t="s">
        <v>46</v>
      </c>
      <c r="J1317" s="1" t="s">
        <v>2863</v>
      </c>
      <c r="K1317" s="1" t="n">
        <v>37</v>
      </c>
      <c r="L1317" s="11" t="n">
        <v>0.988141008655337</v>
      </c>
      <c r="M1317" s="1" t="n">
        <f aca="false">SUMIF(Relatorio_AK!$A:$A,A1317,Relatorio_AK!$B:$B)</f>
        <v>37</v>
      </c>
      <c r="N1317" s="1" t="str">
        <f aca="false">IF(M1317=K1317,"OK","DIF")</f>
        <v>OK</v>
      </c>
      <c r="O1317" s="13" t="str">
        <f aca="false">IFERROR(VLOOKUP($A1317,Lista_Starke!$A:$E,3,0),"NÃO ESTÁ NA LISTA")</f>
        <v>FIAT: Argo 1.0 / 1.3 17/22
FIAT: Cronos  17/22
FIAT: Strada 1.3 / 1.4 20/...</v>
      </c>
      <c r="P1317" s="12" t="str">
        <f aca="false">IFERROR(VLOOKUP($A1317,Lista_Starke!$A:$E,2,0),"NÃO ESTÁ NA LISTA")</f>
        <v>BANDEJA INFERIOR COMPLETA LE</v>
      </c>
    </row>
    <row r="1318" customFormat="false" ht="15" hidden="false" customHeight="true" outlineLevel="0" collapsed="false">
      <c r="A1318" s="10" t="s">
        <v>2864</v>
      </c>
      <c r="B1318" s="10" t="str">
        <f aca="false">IFERROR(VLOOKUP(A1318,Pedido!$A:$B,2,0),"")</f>
        <v/>
      </c>
      <c r="C1318" s="10" t="str">
        <f aca="false">IF(B1318="","NÃO COMPRA","COMPRA")</f>
        <v>NÃO COMPRA</v>
      </c>
      <c r="D1318" s="1" t="n">
        <f aca="false">IFERROR(VLOOKUP(A1318,Pedido!$A:$C,3,0),0)</f>
        <v>0</v>
      </c>
      <c r="E1318" s="5" t="n">
        <f aca="false">IFERROR(VLOOKUP(A1318,Pedido!$A:$E,5,0),0)</f>
        <v>0</v>
      </c>
      <c r="F1318" s="1" t="s">
        <v>9</v>
      </c>
      <c r="G1318" s="1" t="s">
        <v>725</v>
      </c>
      <c r="H1318" s="1" t="s">
        <v>197</v>
      </c>
      <c r="I1318" s="1" t="s">
        <v>929</v>
      </c>
      <c r="J1318" s="1" t="s">
        <v>2865</v>
      </c>
      <c r="K1318" s="1" t="n">
        <v>37</v>
      </c>
      <c r="L1318" s="11" t="n">
        <v>0.988204261167915</v>
      </c>
      <c r="M1318" s="1" t="n">
        <f aca="false">SUMIF(Relatorio_AK!$A:$A,A1318,Relatorio_AK!$B:$B)</f>
        <v>37</v>
      </c>
      <c r="N1318" s="1" t="str">
        <f aca="false">IF(M1318=K1318,"OK","DIF")</f>
        <v>OK</v>
      </c>
      <c r="O1318" s="13" t="str">
        <f aca="false">IFERROR(VLOOKUP($A1318,Lista_Starke!$A:$E,3,0),"NÃO ESTÁ NA LISTA")</f>
        <v>SUZUKI: Baleno 1.6 16V G16B 95/…
SUZUKI: Samurai 1.3 G13A 86/…
SUZUKI: Sidekick 1.6 16V    G16B 89/98
SUZUKI: Swift 1.0 / 1.3 1.5 / 1.6    G13A 84/…
SUZUKI: Vitara 1.6 16V    G16B 94/99</v>
      </c>
      <c r="P1318" s="12" t="str">
        <f aca="false">IFERROR(VLOOKUP($A1318,Lista_Starke!$A:$E,2,0),"NÃO ESTÁ NA LISTA")</f>
        <v>BOMBA D'ÁGUA</v>
      </c>
    </row>
    <row r="1319" customFormat="false" ht="15" hidden="false" customHeight="true" outlineLevel="0" collapsed="false">
      <c r="A1319" s="10" t="s">
        <v>2866</v>
      </c>
      <c r="B1319" s="10" t="str">
        <f aca="false">IFERROR(VLOOKUP(A1319,Pedido!$A:$B,2,0),"")</f>
        <v/>
      </c>
      <c r="C1319" s="10" t="str">
        <f aca="false">IF(B1319="","NÃO COMPRA","COMPRA")</f>
        <v>NÃO COMPRA</v>
      </c>
      <c r="D1319" s="1" t="n">
        <f aca="false">IFERROR(VLOOKUP(A1319,Pedido!$A:$C,3,0),0)</f>
        <v>0</v>
      </c>
      <c r="E1319" s="5" t="n">
        <f aca="false">IFERROR(VLOOKUP(A1319,Pedido!$A:$E,5,0),0)</f>
        <v>0</v>
      </c>
      <c r="F1319" s="1" t="s">
        <v>9</v>
      </c>
      <c r="G1319" s="1" t="s">
        <v>1783</v>
      </c>
      <c r="H1319" s="1" t="s">
        <v>1073</v>
      </c>
      <c r="I1319" s="1" t="s">
        <v>373</v>
      </c>
      <c r="J1319" s="1" t="s">
        <v>2867</v>
      </c>
      <c r="K1319" s="1" t="n">
        <v>37</v>
      </c>
      <c r="L1319" s="11" t="n">
        <v>0.988267513680492</v>
      </c>
      <c r="M1319" s="1" t="n">
        <f aca="false">SUMIF(Relatorio_AK!$A:$A,A1319,Relatorio_AK!$B:$B)</f>
        <v>37</v>
      </c>
      <c r="N1319" s="1" t="str">
        <f aca="false">IF(M1319=K1319,"OK","DIF")</f>
        <v>OK</v>
      </c>
      <c r="O1319" s="13" t="str">
        <f aca="false">IFERROR(VLOOKUP($A1319,Lista_Starke!$A:$E,3,0),"NÃO ESTÁ NA LISTA")</f>
        <v>MERCEDES-BENZ: A180 (W177) 1.3 4 cil. M282.914 18/...
MERCEDES-BENZ: A200 (W177) 1.3 4 cil. M282.914 18/...
MERCEDES-BENZ: A250 (W177) 1.3 4 cil. M282.914 19/...
MERCEDES-BENZ: B180 (W247) 1.3 4 cil. M282.914 18/...
MERCEDES-BENZ: B200 (W247) 1.3 4 cil. M282.914 19/...
MERCEDES-BENZ: B250 (W247) 1.3 4 cil. M282.914 20/...
MERCEDES-BENZ: CLA180 (X118) 1.3 4 cil. M282.914 19/...
MERCEDES-BENZ: CLA200 (X118) 1.3 4 cil. M282.914 19/...
MERCEDES-BENZ: GLA180 (H247) 1.3 4 cil. M282.914 20/...
MERCEDES-BENZ: GLA200 (H247) 1.3 4 cil. M282.914 20/...
MERCEDES-BENZ: GLB180 (X247) 1.3 4 cil. M282.914 20/...
MERCEDES-BENZ: GLB200 (X247) 1.3 4 cil. Hybrid M282.814 23/...
MERCEDES-BENZ: GLB200 (X247) 1.3 4 cil. M282.914 19/...</v>
      </c>
      <c r="P1319" s="12" t="str">
        <f aca="false">IFERROR(VLOOKUP($A1319,Lista_Starke!$A:$E,2,0),"NÃO ESTÁ NA LISTA")</f>
        <v>VÁLVULA TERMOSTÁTICA</v>
      </c>
    </row>
    <row r="1320" customFormat="false" ht="15" hidden="false" customHeight="true" outlineLevel="0" collapsed="false">
      <c r="A1320" s="10" t="s">
        <v>2868</v>
      </c>
      <c r="B1320" s="10" t="str">
        <f aca="false">IFERROR(VLOOKUP(A1320,Pedido!$A:$B,2,0),"")</f>
        <v/>
      </c>
      <c r="C1320" s="10" t="str">
        <f aca="false">IF(B1320="","NÃO COMPRA","COMPRA")</f>
        <v>NÃO COMPRA</v>
      </c>
      <c r="D1320" s="1" t="n">
        <f aca="false">IFERROR(VLOOKUP(A1320,Pedido!$A:$C,3,0),0)</f>
        <v>0</v>
      </c>
      <c r="E1320" s="5" t="n">
        <f aca="false">IFERROR(VLOOKUP(A1320,Pedido!$A:$E,5,0),0)</f>
        <v>0</v>
      </c>
      <c r="F1320" s="1" t="s">
        <v>9</v>
      </c>
      <c r="G1320" s="1" t="s">
        <v>1210</v>
      </c>
      <c r="H1320" s="1" t="s">
        <v>235</v>
      </c>
      <c r="I1320" s="1" t="s">
        <v>2152</v>
      </c>
      <c r="J1320" s="1" t="s">
        <v>2869</v>
      </c>
      <c r="K1320" s="1" t="n">
        <v>37</v>
      </c>
      <c r="L1320" s="11" t="n">
        <v>0.98833076619307</v>
      </c>
      <c r="M1320" s="1" t="n">
        <f aca="false">SUMIF(Relatorio_AK!$A:$A,A1320,Relatorio_AK!$B:$B)</f>
        <v>37</v>
      </c>
      <c r="N1320" s="1" t="str">
        <f aca="false">IF(M1320=K1320,"OK","DIF")</f>
        <v>OK</v>
      </c>
      <c r="O1320" s="13" t="str">
        <f aca="false">IFERROR(VLOOKUP($A1320,Lista_Starke!$A:$E,3,0),"NÃO ESTÁ NA LISTA")</f>
        <v>AGRALE: Marrua AM 100 2.8 Diesel Cummins ISF 12/15
AGRALE: Marrua AM 150 CD 2.8 Diesel Cummins ISF 12/15
AGRALE: Marrua AM 200 2.8 Diesel Cumins ISF 12/...
AGRALE: Marrua AM 300 2.8 Diesel Cumins ISF 15/...
AGRALE: Marrua AM2/AM11/AM21/AM23/AM31 2.8 Diesel Cumins ISF 12/...
FORD: F350 2.8 Diesel Cummins ISF 14/...
FORD: F4000 2.8 Diesel Cummins ISF 14/...
FOTON: Aumark 3.5 11DT/11ST/12DT/14DT/14ST 2.8 Diesel Cummins ISF 16/...
FOTON: Aumark 3.50AK 2.8 Diesel Cummins ISF 14/15
FOTON: Aumark S Citytruck 6.5-15 2.8 Diesel Cummins ISF 21/...
FOTON: Minitruck 3.5 12DT/14DT/14ST 2.8 Diesel Cummins ISF 17/...
JAC MOTORS: JAC T140 2.8 Diesel Cumins ISF 12/17
MARCOPOLO: Volare Cinco Escolar 2.8 Diesel Cumins ISF 13/19
MARCOPOLO: Volare Cinco Executivo 2.8 Diesel Cumins ISF 13/...
MARCOPOLO: Volare Cinco Executivo Plus 2.8 Diesel Cumins ISF 13/18
VOLKSWAGEN: Delive 4.160 Express 2.8 Diesel Cumins ISF 20/...
VOLKSWAGEN: Delivery 4.150 Express 2.8 Diesel Cumins ISF 18/...
VOLKSWAGEN: Delivery 6.160 Express 2.8 Diesel Cumins ISF 18/...</v>
      </c>
      <c r="P1320" s="12" t="str">
        <f aca="false">IFERROR(VLOOKUP($A1320,Lista_Starke!$A:$E,2,0),"NÃO ESTÁ NA LISTA")</f>
        <v>RESFRIADOR DE ÓLEO MOTOR</v>
      </c>
    </row>
    <row r="1321" customFormat="false" ht="15" hidden="false" customHeight="true" outlineLevel="0" collapsed="false">
      <c r="A1321" s="10" t="s">
        <v>2870</v>
      </c>
      <c r="B1321" s="10" t="str">
        <f aca="false">IFERROR(VLOOKUP(A1321,Pedido!$A:$B,2,0),"")</f>
        <v/>
      </c>
      <c r="C1321" s="10" t="str">
        <f aca="false">IF(B1321="","NÃO COMPRA","COMPRA")</f>
        <v>NÃO COMPRA</v>
      </c>
      <c r="D1321" s="1" t="n">
        <f aca="false">IFERROR(VLOOKUP(A1321,Pedido!$A:$C,3,0),0)</f>
        <v>0</v>
      </c>
      <c r="E1321" s="5" t="n">
        <f aca="false">IFERROR(VLOOKUP(A1321,Pedido!$A:$E,5,0),0)</f>
        <v>0</v>
      </c>
      <c r="F1321" s="1" t="s">
        <v>9</v>
      </c>
      <c r="G1321" s="1" t="s">
        <v>2110</v>
      </c>
      <c r="H1321" s="1" t="s">
        <v>235</v>
      </c>
      <c r="I1321" s="1" t="s">
        <v>1038</v>
      </c>
      <c r="J1321" s="1" t="s">
        <v>2871</v>
      </c>
      <c r="K1321" s="1" t="n">
        <v>37</v>
      </c>
      <c r="L1321" s="11" t="n">
        <v>0.988394018705648</v>
      </c>
      <c r="M1321" s="1" t="n">
        <f aca="false">SUMIF(Relatorio_AK!$A:$A,A1321,Relatorio_AK!$B:$B)</f>
        <v>37</v>
      </c>
      <c r="N1321" s="1" t="str">
        <f aca="false">IF(M1321=K1321,"OK","DIF")</f>
        <v>OK</v>
      </c>
      <c r="O1321" s="13" t="str">
        <f aca="false">IFERROR(VLOOKUP($A1321,Lista_Starke!$A:$E,3,0),"NÃO ESTÁ NA LISTA")</f>
        <v>MERCEDES-BENZ: A160 (W177) 1.3 16V Turbo M282.914 18/...
MERCEDES-BENZ: A180 (W177) 1.3 13V Turbo M282.914 18/...
MERCEDES-BENZ: A200 (W177) 1.3 16V Turbo M282.914 18/...
MERCEDES-BENZ: B160 (W247) 1.3 16V Turbo M282.914 18/...
MERCEDES-BENZ: B180 (W247) 1.3 16V Turbo M282.914 18/...
MERCEDES-BENZ: B200 (W247) 1.3 16V Turbo M282.914 18/...
MERCEDES-BENZ: CLA180 (X118) 1.3 16V Turbo M282.914 19/...
MERCEDES-BENZ: CLA200 (X118) 1.3 16V Turbo M282.914 19/...
MERCEDES-BENZ: GLA180 (X247) 1.3 16V Turbo M282.914 20/...
MERCEDES-BENZ: GLA200 (X247) 1.3 16V Turbo M282.914 20/...
MERCEDES-BENZ: GLB180 (X247) 1.3 16V Turbo M282.914 19/...
MERCEDES-BENZ: GLB200 (X247) 1.3 16V Turbo M282.914 19/...
RENAULT: Captur 1.3 3cil Turbo H5H470 20/...
RENAULT: Duster 1.3 3cil Turbo H5H470 20/...
RENAULT: Oroch 1.3 3cil Turbo H5H470 20/...</v>
      </c>
      <c r="P1321" s="12" t="str">
        <f aca="false">IFERROR(VLOOKUP($A1321,Lista_Starke!$A:$E,2,0),"NÃO ESTÁ NA LISTA")</f>
        <v>RESFRIADOR DE ÓLEO MOTOR</v>
      </c>
    </row>
    <row r="1322" customFormat="false" ht="15" hidden="false" customHeight="true" outlineLevel="0" collapsed="false">
      <c r="A1322" s="10" t="s">
        <v>2872</v>
      </c>
      <c r="B1322" s="10" t="str">
        <f aca="false">IFERROR(VLOOKUP(A1322,Pedido!$A:$B,2,0),"")</f>
        <v/>
      </c>
      <c r="C1322" s="10" t="str">
        <f aca="false">IF(B1322="","NÃO COMPRA","COMPRA")</f>
        <v>NÃO COMPRA</v>
      </c>
      <c r="D1322" s="1" t="n">
        <f aca="false">IFERROR(VLOOKUP(A1322,Pedido!$A:$C,3,0),0)</f>
        <v>0</v>
      </c>
      <c r="E1322" s="5" t="n">
        <f aca="false">IFERROR(VLOOKUP(A1322,Pedido!$A:$E,5,0),0)</f>
        <v>0</v>
      </c>
      <c r="F1322" s="1" t="s">
        <v>9</v>
      </c>
      <c r="G1322" s="1" t="s">
        <v>379</v>
      </c>
      <c r="H1322" s="1" t="s">
        <v>32</v>
      </c>
      <c r="I1322" s="1" t="s">
        <v>36</v>
      </c>
      <c r="J1322" s="1" t="s">
        <v>2873</v>
      </c>
      <c r="K1322" s="1" t="n">
        <v>37</v>
      </c>
      <c r="L1322" s="11" t="n">
        <v>0.988457271218226</v>
      </c>
      <c r="M1322" s="1" t="n">
        <f aca="false">SUMIF(Relatorio_AK!$A:$A,A1322,Relatorio_AK!$B:$B)</f>
        <v>37</v>
      </c>
      <c r="N1322" s="1" t="str">
        <f aca="false">IF(M1322=K1322,"OK","DIF")</f>
        <v>OK</v>
      </c>
      <c r="O1322" s="13" t="str">
        <f aca="false">IFERROR(VLOOKUP($A1322,Lista_Starke!$A:$E,3,0),"NÃO ESTÁ NA LISTA")</f>
        <v>VOLKSWAGEN: 11.130 MWM SERIE 229 5.9 L 12V SOHV L6 81/86
VOLKSWAGEN: 11.140 MWM SERIE 229 5.9 L 12V SOHV L6 87/90
VOLKSWAGEN: 12.140 H MWM SERIE 229 5.9 L 12V SOHV L6 87/91
VOLKSWAGEN: 12.140 T SÉRIE 10 / X10 4.3 L SOHV L4 92/00
VOLKSWAGEN: 13.130 MWM SERIE 229 5.9 L 12V SOHV L6 81/86
VOLKSWAGEN: 14.140 MWM SERIE 229 5.9 L 12V SOHV L6 87/89
VOLKSWAGEN: 680 Q20B 3.9 L 8V SOHV L4 82/86
VOLKSWAGEN: 690 MWM SERIE 229 3.9 L 12V SOHV L6 
VOLKSWAGEN: 690 P MWM SERIE 229 3.9 L 12V SOHV L6 83/86
VOLKSWAGEN: 7.110 SÉRIE 10 / X10 4.3 L 8V SOHV L4 02/05
VOLKSWAGEN: 7.90 S CO MWM SERIE 229 3.9 L 12V SOHV L6 87/92
VOLKSWAGEN: 790 S MWM SERIE 229 3.9 L 12V SOHV L6 87/94
VOLKSWAGEN: VW 7-110S MWM SERIE 229 3.9 L 8V SOHV L4 87/94</v>
      </c>
      <c r="P1322" s="12" t="str">
        <f aca="false">IFERROR(VLOOKUP($A1322,Lista_Starke!$A:$E,2,0),"NÃO ESTÁ NA LISTA")</f>
        <v>CILINDRO MESTRE DE EMBREAGEM</v>
      </c>
    </row>
    <row r="1323" customFormat="false" ht="15" hidden="false" customHeight="true" outlineLevel="0" collapsed="false">
      <c r="A1323" s="10" t="s">
        <v>2874</v>
      </c>
      <c r="B1323" s="10" t="str">
        <f aca="false">IFERROR(VLOOKUP(A1323,Pedido!$A:$B,2,0),"")</f>
        <v/>
      </c>
      <c r="C1323" s="10" t="str">
        <f aca="false">IF(B1323="","NÃO COMPRA","COMPRA")</f>
        <v>NÃO COMPRA</v>
      </c>
      <c r="D1323" s="1" t="n">
        <f aca="false">IFERROR(VLOOKUP(A1323,Pedido!$A:$C,3,0),0)</f>
        <v>0</v>
      </c>
      <c r="E1323" s="5" t="n">
        <f aca="false">IFERROR(VLOOKUP(A1323,Pedido!$A:$E,5,0),0)</f>
        <v>0</v>
      </c>
      <c r="F1323" s="1" t="s">
        <v>9</v>
      </c>
      <c r="G1323" s="1" t="s">
        <v>2875</v>
      </c>
      <c r="H1323" s="1" t="s">
        <v>1358</v>
      </c>
      <c r="I1323" s="1" t="s">
        <v>1182</v>
      </c>
      <c r="J1323" s="1" t="s">
        <v>2876</v>
      </c>
      <c r="K1323" s="1" t="n">
        <v>36</v>
      </c>
      <c r="L1323" s="11" t="n">
        <v>0.988518814203437</v>
      </c>
      <c r="M1323" s="1" t="n">
        <f aca="false">SUMIF(Relatorio_AK!$A:$A,A1323,Relatorio_AK!$B:$B)</f>
        <v>36</v>
      </c>
      <c r="N1323" s="1" t="str">
        <f aca="false">IF(M1323=K1323,"OK","DIF")</f>
        <v>OK</v>
      </c>
      <c r="O1323" s="12" t="str">
        <f aca="false">IFERROR(VLOOKUP($A1323,Lista_Starke!$A:$E,3,0),"NÃO ESTÁ NA LISTA")</f>
        <v>KIA: Picanto 1.0 12V 11/17</v>
      </c>
      <c r="P1323" s="12" t="str">
        <f aca="false">IFERROR(VLOOKUP($A1323,Lista_Starke!$A:$E,2,0),"NÃO ESTÁ NA LISTA")</f>
        <v>BANDEJA INFERIOR COMPLETA LE</v>
      </c>
    </row>
    <row r="1324" customFormat="false" ht="15" hidden="false" customHeight="true" outlineLevel="0" collapsed="false">
      <c r="A1324" s="10" t="s">
        <v>2877</v>
      </c>
      <c r="B1324" s="10" t="str">
        <f aca="false">IFERROR(VLOOKUP(A1324,Pedido!$A:$B,2,0),"")</f>
        <v/>
      </c>
      <c r="C1324" s="10" t="str">
        <f aca="false">IF(B1324="","NÃO COMPRA","COMPRA")</f>
        <v>NÃO COMPRA</v>
      </c>
      <c r="D1324" s="1" t="n">
        <f aca="false">IFERROR(VLOOKUP(A1324,Pedido!$A:$C,3,0),0)</f>
        <v>0</v>
      </c>
      <c r="E1324" s="5" t="n">
        <f aca="false">IFERROR(VLOOKUP(A1324,Pedido!$A:$E,5,0),0)</f>
        <v>0</v>
      </c>
      <c r="F1324" s="1" t="s">
        <v>9</v>
      </c>
      <c r="G1324" s="1" t="s">
        <v>2781</v>
      </c>
      <c r="H1324" s="1" t="s">
        <v>1951</v>
      </c>
      <c r="I1324" s="1" t="s">
        <v>373</v>
      </c>
      <c r="J1324" s="1" t="s">
        <v>2878</v>
      </c>
      <c r="K1324" s="1" t="n">
        <v>36</v>
      </c>
      <c r="L1324" s="11" t="n">
        <v>0.988580357188648</v>
      </c>
      <c r="M1324" s="1" t="n">
        <f aca="false">SUMIF(Relatorio_AK!$A:$A,A1324,Relatorio_AK!$B:$B)</f>
        <v>36</v>
      </c>
      <c r="N1324" s="1" t="str">
        <f aca="false">IF(M1324=K1324,"OK","DIF")</f>
        <v>OK</v>
      </c>
      <c r="O1324" s="13" t="str">
        <f aca="false">IFERROR(VLOOKUP($A1324,Lista_Starke!$A:$E,3,0),"NÃO ESTÁ NA LISTA")</f>
        <v>MERCEDES-BENZ: C180 (W205)  14/21
MERCEDES-BENZ: C200 (W205)  14/21
MERCEDES-BENZ: C300 (W205)  14/21</v>
      </c>
      <c r="P1324" s="12" t="str">
        <f aca="false">IFERROR(VLOOKUP($A1324,Lista_Starke!$A:$E,2,0),"NÃO ESTÁ NA LISTA")</f>
        <v>BRAÇO OSCILANTE DIANT INFERIOR COMPLETO LD</v>
      </c>
    </row>
    <row r="1325" customFormat="false" ht="15" hidden="false" customHeight="true" outlineLevel="0" collapsed="false">
      <c r="A1325" s="10" t="s">
        <v>2879</v>
      </c>
      <c r="B1325" s="10" t="str">
        <f aca="false">IFERROR(VLOOKUP(A1325,Pedido!$A:$B,2,0),"")</f>
        <v/>
      </c>
      <c r="C1325" s="10" t="str">
        <f aca="false">IF(B1325="","NÃO COMPRA","COMPRA")</f>
        <v>NÃO COMPRA</v>
      </c>
      <c r="D1325" s="1" t="n">
        <f aca="false">IFERROR(VLOOKUP(A1325,Pedido!$A:$C,3,0),0)</f>
        <v>0</v>
      </c>
      <c r="E1325" s="5" t="n">
        <f aca="false">IFERROR(VLOOKUP(A1325,Pedido!$A:$E,5,0),0)</f>
        <v>0</v>
      </c>
      <c r="F1325" s="1" t="s">
        <v>9</v>
      </c>
      <c r="G1325" s="1" t="s">
        <v>2031</v>
      </c>
      <c r="H1325" s="1" t="s">
        <v>1358</v>
      </c>
      <c r="I1325" s="1" t="s">
        <v>226</v>
      </c>
      <c r="J1325" s="1" t="s">
        <v>2880</v>
      </c>
      <c r="K1325" s="1" t="n">
        <v>36</v>
      </c>
      <c r="L1325" s="11" t="n">
        <v>0.988641900173859</v>
      </c>
      <c r="M1325" s="1" t="n">
        <f aca="false">SUMIF(Relatorio_AK!$A:$A,A1325,Relatorio_AK!$B:$B)</f>
        <v>36</v>
      </c>
      <c r="N1325" s="1" t="str">
        <f aca="false">IF(M1325=K1325,"OK","DIF")</f>
        <v>OK</v>
      </c>
      <c r="O1325" s="13" t="str">
        <f aca="false">IFERROR(VLOOKUP($A1325,Lista_Starke!$A:$E,3,0),"NÃO ESTÁ NA LISTA")</f>
        <v>AUDI: A3  13/18
VOLKSWAGEN: Golf  12/...
VOLKSWAGEN: Jetta 1.4 TSI 19/...</v>
      </c>
      <c r="P1325" s="12" t="str">
        <f aca="false">IFERROR(VLOOKUP($A1325,Lista_Starke!$A:$E,2,0),"NÃO ESTÁ NA LISTA")</f>
        <v>BANDEJA INFERIOR COMPLETA LE</v>
      </c>
    </row>
    <row r="1326" customFormat="false" ht="15" hidden="false" customHeight="true" outlineLevel="0" collapsed="false">
      <c r="A1326" s="10" t="s">
        <v>2881</v>
      </c>
      <c r="B1326" s="10" t="str">
        <f aca="false">IFERROR(VLOOKUP(A1326,Pedido!$A:$B,2,0),"")</f>
        <v/>
      </c>
      <c r="C1326" s="10" t="str">
        <f aca="false">IF(B1326="","NÃO COMPRA","COMPRA")</f>
        <v>NÃO COMPRA</v>
      </c>
      <c r="D1326" s="1" t="n">
        <f aca="false">IFERROR(VLOOKUP(A1326,Pedido!$A:$C,3,0),0)</f>
        <v>0</v>
      </c>
      <c r="E1326" s="5" t="n">
        <f aca="false">IFERROR(VLOOKUP(A1326,Pedido!$A:$E,5,0),0)</f>
        <v>0</v>
      </c>
      <c r="F1326" s="1" t="s">
        <v>9</v>
      </c>
      <c r="G1326" s="1" t="s">
        <v>1795</v>
      </c>
      <c r="H1326" s="1" t="s">
        <v>2420</v>
      </c>
      <c r="I1326" s="1" t="s">
        <v>215</v>
      </c>
      <c r="J1326" s="1" t="s">
        <v>2882</v>
      </c>
      <c r="K1326" s="1" t="n">
        <v>36</v>
      </c>
      <c r="L1326" s="11" t="n">
        <v>0.98870344315907</v>
      </c>
      <c r="M1326" s="1" t="n">
        <f aca="false">SUMIF(Relatorio_AK!$A:$A,A1326,Relatorio_AK!$B:$B)</f>
        <v>36</v>
      </c>
      <c r="N1326" s="1" t="str">
        <f aca="false">IF(M1326=K1326,"OK","DIF")</f>
        <v>OK</v>
      </c>
      <c r="O1326" s="12" t="str">
        <f aca="false">IFERROR(VLOOKUP($A1326,Lista_Starke!$A:$E,3,0),"NÃO ESTÁ NA LISTA")</f>
        <v>NISSAN: Frontier 2.3 16V 17/...</v>
      </c>
      <c r="P1326" s="12" t="str">
        <f aca="false">IFERROR(VLOOKUP($A1326,Lista_Starke!$A:$E,2,0),"NÃO ESTÁ NA LISTA")</f>
        <v>BANDEJA SUPERIOR COMPLETA LE</v>
      </c>
    </row>
    <row r="1327" customFormat="false" ht="15" hidden="false" customHeight="true" outlineLevel="0" collapsed="false">
      <c r="A1327" s="10" t="s">
        <v>2883</v>
      </c>
      <c r="B1327" s="10" t="str">
        <f aca="false">IFERROR(VLOOKUP(A1327,Pedido!$A:$B,2,0),"")</f>
        <v/>
      </c>
      <c r="C1327" s="10" t="str">
        <f aca="false">IF(B1327="","NÃO COMPRA","COMPRA")</f>
        <v>NÃO COMPRA</v>
      </c>
      <c r="D1327" s="1" t="n">
        <f aca="false">IFERROR(VLOOKUP(A1327,Pedido!$A:$C,3,0),0)</f>
        <v>0</v>
      </c>
      <c r="E1327" s="5" t="n">
        <f aca="false">IFERROR(VLOOKUP(A1327,Pedido!$A:$E,5,0),0)</f>
        <v>0</v>
      </c>
      <c r="F1327" s="1" t="s">
        <v>9</v>
      </c>
      <c r="G1327" s="1" t="s">
        <v>826</v>
      </c>
      <c r="H1327" s="1" t="s">
        <v>197</v>
      </c>
      <c r="I1327" s="1" t="s">
        <v>1157</v>
      </c>
      <c r="J1327" s="1" t="s">
        <v>2884</v>
      </c>
      <c r="K1327" s="1" t="n">
        <v>36</v>
      </c>
      <c r="L1327" s="11" t="n">
        <v>0.988764986144281</v>
      </c>
      <c r="M1327" s="1" t="n">
        <f aca="false">SUMIF(Relatorio_AK!$A:$A,A1327,Relatorio_AK!$B:$B)</f>
        <v>36</v>
      </c>
      <c r="N1327" s="1" t="str">
        <f aca="false">IF(M1327=K1327,"OK","DIF")</f>
        <v>OK</v>
      </c>
      <c r="O1327" s="13" t="str">
        <f aca="false">IFERROR(VLOOKUP($A1327,Lista_Starke!$A:$E,3,0),"NÃO ESTÁ NA LISTA")</f>
        <v>BMW: 316i (E36) 1.6 93/…
BMW: 316i (E36) 1.8 92/…
BMW: 318i 1.8 92/…
BMW: 320i 1.8 92/…
BMW: 323i 1.8 92/…
BMW: 518i 1.8 93/95
BMW: Z3 1.8 95/…</v>
      </c>
      <c r="P1327" s="12" t="str">
        <f aca="false">IFERROR(VLOOKUP($A1327,Lista_Starke!$A:$E,2,0),"NÃO ESTÁ NA LISTA")</f>
        <v>BOMBA D'ÁGUA</v>
      </c>
    </row>
    <row r="1328" customFormat="false" ht="15" hidden="false" customHeight="true" outlineLevel="0" collapsed="false">
      <c r="A1328" s="10" t="s">
        <v>2885</v>
      </c>
      <c r="B1328" s="10" t="str">
        <f aca="false">IFERROR(VLOOKUP(A1328,Pedido!$A:$B,2,0),"")</f>
        <v/>
      </c>
      <c r="C1328" s="10" t="str">
        <f aca="false">IF(B1328="","NÃO COMPRA","COMPRA")</f>
        <v>NÃO COMPRA</v>
      </c>
      <c r="D1328" s="1" t="n">
        <f aca="false">IFERROR(VLOOKUP(A1328,Pedido!$A:$C,3,0),0)</f>
        <v>0</v>
      </c>
      <c r="E1328" s="5" t="n">
        <f aca="false">IFERROR(VLOOKUP(A1328,Pedido!$A:$E,5,0),0)</f>
        <v>0</v>
      </c>
      <c r="F1328" s="1" t="s">
        <v>9</v>
      </c>
      <c r="G1328" s="1" t="s">
        <v>2026</v>
      </c>
      <c r="H1328" s="1" t="s">
        <v>1073</v>
      </c>
      <c r="I1328" s="1" t="s">
        <v>510</v>
      </c>
      <c r="J1328" s="1" t="s">
        <v>2886</v>
      </c>
      <c r="K1328" s="1" t="n">
        <v>36</v>
      </c>
      <c r="L1328" s="11" t="n">
        <v>0.988826529129491</v>
      </c>
      <c r="M1328" s="1" t="n">
        <f aca="false">SUMIF(Relatorio_AK!$A:$A,A1328,Relatorio_AK!$B:$B)</f>
        <v>36</v>
      </c>
      <c r="N1328" s="1" t="str">
        <f aca="false">IF(M1328=K1328,"OK","DIF")</f>
        <v>OK</v>
      </c>
      <c r="O1328" s="13" t="str">
        <f aca="false">IFERROR(VLOOKUP($A1328,Lista_Starke!$A:$E,3,0),"NÃO ESTÁ NA LISTA")</f>
        <v>BMW: 116i (F20) 1.6 N13B16A 11/...
BMW: 116i (F21) 1.6 N13B16A 11/...
BMW: 118i (F20) 1.6 N13B16A 10/...
BMW: 118i (F20) 1.6 N13B16A 15/...
BMW: 118i (F21) 1.6 N13B16A 12/...
BMW: 118i (F21) 1.6 N13B16A 15/...
BMW: 120i (F20) 1.6 N13B16A 15/...
BMW: 120i (F21) 1.6 N13B16A 15/...
BMW: 316i (F30/F80) 1.6 N13B16A 12/16
BMW: 320i (F30/F80) 1.6 N13B16A 12/16
CITROEN: C4 / C4 Picasso 1.6 16V / 1.6 16V THP EP6 / EP6DT 09/…
CITROEN: C4 Lounge 1.6 16V THP EP6DT / EP6DTS 13/…
CITROEN: DS3 1.6 16V THP EP6DT / EP6DTS 12/…
CITROEN: DS4 1.6 16V THP EP6DT / EP6DTS 12/…
CITROEN: DS5 1.6 16V THP EP6DT / EP6DTS 12/…
MINI: Cooper 1.6 16V N12B16A / N16B16AM 06/09
MINI: Cooper 1.6 16V N16B16AU 10/…
MINI: Cooper S 1.6 16V Turbo N12B16A / N14B16C 06/…
MINI: Cooper S 1.6 16V Turbo N16B16AM 10/…
MINI: Cooper S 1.6 16V Turbo N18B16AMO 09/…
MINI: Cooper S 1.6 16V W11B16A-163 07/09
MINI: One 1.4 16V N12B14A 07/09
MINI: One 1.6 16V N16B16K / N16B16AU 09/…
MINI: One 1.6 16V N16BAU 10/…
PEUGEOT: 2008 1.6 16V THP EP6DT / EPDDTS 15/…
PEUGEOT: 3008 1.6 16V THP EP6DT / EPDDTS 11/…
PEUGEOT: 308 1.6 16V THP EP6DT / EPDDTS 07/…
PEUGEOT: 408 1.6 16V THP EP6DT / EPDDTS 11/…
PEUGEOT: 508 1.6 16V THP EP6DT / EPDDTS 11/…
PEUGEOT: RCZ 1.6 16V THP EP6DT / EPDDTS 11/…</v>
      </c>
      <c r="P1328" s="12" t="str">
        <f aca="false">IFERROR(VLOOKUP($A1328,Lista_Starke!$A:$E,2,0),"NÃO ESTÁ NA LISTA")</f>
        <v>VÁLVULA TERMOSTÁTICA</v>
      </c>
    </row>
    <row r="1329" customFormat="false" ht="15" hidden="false" customHeight="true" outlineLevel="0" collapsed="false">
      <c r="A1329" s="10" t="s">
        <v>2887</v>
      </c>
      <c r="B1329" s="10" t="str">
        <f aca="false">IFERROR(VLOOKUP(A1329,Pedido!$A:$B,2,0),"")</f>
        <v/>
      </c>
      <c r="C1329" s="10" t="str">
        <f aca="false">IF(B1329="","NÃO COMPRA","COMPRA")</f>
        <v>NÃO COMPRA</v>
      </c>
      <c r="D1329" s="1" t="n">
        <f aca="false">IFERROR(VLOOKUP(A1329,Pedido!$A:$C,3,0),0)</f>
        <v>0</v>
      </c>
      <c r="E1329" s="5" t="n">
        <f aca="false">IFERROR(VLOOKUP(A1329,Pedido!$A:$E,5,0),0)</f>
        <v>0</v>
      </c>
      <c r="F1329" s="1" t="s">
        <v>9</v>
      </c>
      <c r="G1329" s="1" t="s">
        <v>34</v>
      </c>
      <c r="H1329" s="1" t="s">
        <v>35</v>
      </c>
      <c r="I1329" s="1" t="s">
        <v>36</v>
      </c>
      <c r="J1329" s="1" t="s">
        <v>2888</v>
      </c>
      <c r="K1329" s="1" t="n">
        <v>36</v>
      </c>
      <c r="L1329" s="11" t="n">
        <v>0.988888072114702</v>
      </c>
      <c r="M1329" s="1" t="n">
        <f aca="false">SUMIF(Relatorio_AK!$A:$A,A1329,Relatorio_AK!$B:$B)</f>
        <v>36</v>
      </c>
      <c r="N1329" s="1" t="str">
        <f aca="false">IF(M1329=K1329,"OK","DIF")</f>
        <v>OK</v>
      </c>
      <c r="O1329" s="13" t="str">
        <f aca="false">IFERROR(VLOOKUP($A1329,Lista_Starke!$A:$E,3,0),"NÃO ESTÁ NA LISTA")</f>
        <v>VOLKSWAGEN: Kombi 1.6 AP Diesel 81/86
VOLKSWAGEN: Kombi 1300 Ar 80/81</v>
      </c>
      <c r="P1329" s="12" t="str">
        <f aca="false">IFERROR(VLOOKUP($A1329,Lista_Starke!$A:$E,2,0),"NÃO ESTÁ NA LISTA")</f>
        <v>CILINDRO MESTRE DE FREIO</v>
      </c>
    </row>
    <row r="1330" customFormat="false" ht="15" hidden="false" customHeight="true" outlineLevel="0" collapsed="false">
      <c r="A1330" s="10" t="s">
        <v>2889</v>
      </c>
      <c r="B1330" s="10" t="str">
        <f aca="false">IFERROR(VLOOKUP(A1330,Pedido!$A:$B,2,0),"")</f>
        <v/>
      </c>
      <c r="C1330" s="10" t="str">
        <f aca="false">IF(B1330="","NÃO COMPRA","COMPRA")</f>
        <v>NÃO COMPRA</v>
      </c>
      <c r="D1330" s="1" t="n">
        <f aca="false">IFERROR(VLOOKUP(A1330,Pedido!$A:$C,3,0),0)</f>
        <v>0</v>
      </c>
      <c r="E1330" s="5" t="n">
        <f aca="false">IFERROR(VLOOKUP(A1330,Pedido!$A:$E,5,0),0)</f>
        <v>0</v>
      </c>
      <c r="F1330" s="1" t="s">
        <v>9</v>
      </c>
      <c r="G1330" s="1" t="s">
        <v>1881</v>
      </c>
      <c r="H1330" s="1" t="s">
        <v>1358</v>
      </c>
      <c r="I1330" s="1" t="s">
        <v>57</v>
      </c>
      <c r="J1330" s="1" t="s">
        <v>2890</v>
      </c>
      <c r="K1330" s="1" t="n">
        <v>35</v>
      </c>
      <c r="L1330" s="11" t="n">
        <v>0.988947905572546</v>
      </c>
      <c r="M1330" s="1" t="n">
        <f aca="false">SUMIF(Relatorio_AK!$A:$A,A1330,Relatorio_AK!$B:$B)</f>
        <v>35</v>
      </c>
      <c r="N1330" s="1" t="str">
        <f aca="false">IF(M1330=K1330,"OK","DIF")</f>
        <v>OK</v>
      </c>
      <c r="O1330" s="13" t="str">
        <f aca="false">IFERROR(VLOOKUP($A1330,Lista_Starke!$A:$E,3,0),"NÃO ESTÁ NA LISTA")</f>
        <v>GM: Tracker 1.4 Turbo 17/19
GM: Tracker 1.8 16V 14/16</v>
      </c>
      <c r="P1330" s="12" t="str">
        <f aca="false">IFERROR(VLOOKUP($A1330,Lista_Starke!$A:$E,2,0),"NÃO ESTÁ NA LISTA")</f>
        <v>BANDEJA INFERIOR COMPLETA LE</v>
      </c>
    </row>
    <row r="1331" customFormat="false" ht="15" hidden="false" customHeight="true" outlineLevel="0" collapsed="false">
      <c r="A1331" s="10" t="s">
        <v>2891</v>
      </c>
      <c r="B1331" s="10" t="str">
        <f aca="false">IFERROR(VLOOKUP(A1331,Pedido!$A:$B,2,0),"")</f>
        <v/>
      </c>
      <c r="C1331" s="10" t="str">
        <f aca="false">IF(B1331="","NÃO COMPRA","COMPRA")</f>
        <v>NÃO COMPRA</v>
      </c>
      <c r="D1331" s="1" t="n">
        <f aca="false">IFERROR(VLOOKUP(A1331,Pedido!$A:$C,3,0),0)</f>
        <v>0</v>
      </c>
      <c r="E1331" s="5" t="n">
        <f aca="false">IFERROR(VLOOKUP(A1331,Pedido!$A:$E,5,0),0)</f>
        <v>0</v>
      </c>
      <c r="F1331" s="1" t="s">
        <v>9</v>
      </c>
      <c r="G1331" s="1" t="s">
        <v>1909</v>
      </c>
      <c r="H1331" s="1" t="s">
        <v>1358</v>
      </c>
      <c r="I1331" s="1" t="s">
        <v>172</v>
      </c>
      <c r="J1331" s="1" t="s">
        <v>2892</v>
      </c>
      <c r="K1331" s="1" t="n">
        <v>35</v>
      </c>
      <c r="L1331" s="11" t="n">
        <v>0.98900773903039</v>
      </c>
      <c r="M1331" s="1" t="n">
        <f aca="false">SUMIF(Relatorio_AK!$A:$A,A1331,Relatorio_AK!$B:$B)</f>
        <v>35</v>
      </c>
      <c r="N1331" s="1" t="str">
        <f aca="false">IF(M1331=K1331,"OK","DIF")</f>
        <v>OK</v>
      </c>
      <c r="O1331" s="13" t="str">
        <f aca="false">IFERROR(VLOOKUP($A1331,Lista_Starke!$A:$E,3,0),"NÃO ESTÁ NA LISTA")</f>
        <v>HYUNDAI: Santa Fe  11/...
KIA: Sorento  09/12</v>
      </c>
      <c r="P1331" s="12" t="str">
        <f aca="false">IFERROR(VLOOKUP($A1331,Lista_Starke!$A:$E,2,0),"NÃO ESTÁ NA LISTA")</f>
        <v>BANDEJA INFERIOR COMPLETA LE</v>
      </c>
    </row>
    <row r="1332" customFormat="false" ht="15" hidden="false" customHeight="true" outlineLevel="0" collapsed="false">
      <c r="A1332" s="10" t="s">
        <v>2893</v>
      </c>
      <c r="B1332" s="10" t="str">
        <f aca="false">IFERROR(VLOOKUP(A1332,Pedido!$A:$B,2,0),"")</f>
        <v/>
      </c>
      <c r="C1332" s="10" t="str">
        <f aca="false">IF(B1332="","NÃO COMPRA","COMPRA")</f>
        <v>NÃO COMPRA</v>
      </c>
      <c r="D1332" s="1" t="n">
        <f aca="false">IFERROR(VLOOKUP(A1332,Pedido!$A:$C,3,0),0)</f>
        <v>0</v>
      </c>
      <c r="E1332" s="5" t="n">
        <f aca="false">IFERROR(VLOOKUP(A1332,Pedido!$A:$E,5,0),0)</f>
        <v>0</v>
      </c>
      <c r="F1332" s="1" t="s">
        <v>9</v>
      </c>
      <c r="G1332" s="1" t="s">
        <v>1919</v>
      </c>
      <c r="H1332" s="1" t="s">
        <v>2420</v>
      </c>
      <c r="I1332" s="1" t="s">
        <v>177</v>
      </c>
      <c r="J1332" s="1" t="s">
        <v>2894</v>
      </c>
      <c r="K1332" s="1" t="n">
        <v>35</v>
      </c>
      <c r="L1332" s="11" t="n">
        <v>0.989067572488234</v>
      </c>
      <c r="M1332" s="1" t="n">
        <f aca="false">SUMIF(Relatorio_AK!$A:$A,A1332,Relatorio_AK!$B:$B)</f>
        <v>35</v>
      </c>
      <c r="N1332" s="1" t="str">
        <f aca="false">IF(M1332=K1332,"OK","DIF")</f>
        <v>OK</v>
      </c>
      <c r="O1332" s="13" t="str">
        <f aca="false">IFERROR(VLOOKUP($A1332,Lista_Starke!$A:$E,3,0),"NÃO ESTÁ NA LISTA")</f>
        <v>TOYOTA: Hilux  05/20
TOYOTA: SW4  05/20</v>
      </c>
      <c r="P1332" s="12" t="str">
        <f aca="false">IFERROR(VLOOKUP($A1332,Lista_Starke!$A:$E,2,0),"NÃO ESTÁ NA LISTA")</f>
        <v>BANDEJA SUPERIOR COMPLETA LD</v>
      </c>
    </row>
    <row r="1333" customFormat="false" ht="15" hidden="false" customHeight="true" outlineLevel="0" collapsed="false">
      <c r="A1333" s="10" t="s">
        <v>2895</v>
      </c>
      <c r="B1333" s="10" t="str">
        <f aca="false">IFERROR(VLOOKUP(A1333,Pedido!$A:$B,2,0),"")</f>
        <v/>
      </c>
      <c r="C1333" s="10" t="str">
        <f aca="false">IF(B1333="","NÃO COMPRA","COMPRA")</f>
        <v>NÃO COMPRA</v>
      </c>
      <c r="D1333" s="1" t="n">
        <f aca="false">IFERROR(VLOOKUP(A1333,Pedido!$A:$C,3,0),0)</f>
        <v>0</v>
      </c>
      <c r="E1333" s="5" t="n">
        <f aca="false">IFERROR(VLOOKUP(A1333,Pedido!$A:$E,5,0),0)</f>
        <v>0</v>
      </c>
      <c r="F1333" s="1" t="s">
        <v>9</v>
      </c>
      <c r="G1333" s="1" t="s">
        <v>1947</v>
      </c>
      <c r="H1333" s="1" t="s">
        <v>1358</v>
      </c>
      <c r="I1333" s="1" t="s">
        <v>226</v>
      </c>
      <c r="J1333" s="1" t="s">
        <v>2896</v>
      </c>
      <c r="K1333" s="1" t="n">
        <v>35</v>
      </c>
      <c r="L1333" s="11" t="n">
        <v>0.989127405946078</v>
      </c>
      <c r="M1333" s="1" t="n">
        <f aca="false">SUMIF(Relatorio_AK!$A:$A,A1333,Relatorio_AK!$B:$B)</f>
        <v>35</v>
      </c>
      <c r="N1333" s="1" t="str">
        <f aca="false">IF(M1333=K1333,"OK","DIF")</f>
        <v>OK</v>
      </c>
      <c r="O1333" s="13" t="str">
        <f aca="false">IFERROR(VLOOKUP($A1333,Lista_Starke!$A:$E,3,0),"NÃO ESTÁ NA LISTA")</f>
        <v>AUDI: A3  13/18
VOLKSWAGEN: Golf  12/...
VOLKSWAGEN: Jetta 1.4 TSI 19/...</v>
      </c>
      <c r="P1333" s="12" t="str">
        <f aca="false">IFERROR(VLOOKUP($A1333,Lista_Starke!$A:$E,2,0),"NÃO ESTÁ NA LISTA")</f>
        <v>BANDEJA INFERIOR COMPLETA LD</v>
      </c>
    </row>
    <row r="1334" customFormat="false" ht="15" hidden="false" customHeight="true" outlineLevel="0" collapsed="false">
      <c r="A1334" s="10" t="s">
        <v>2897</v>
      </c>
      <c r="B1334" s="10" t="str">
        <f aca="false">IFERROR(VLOOKUP(A1334,Pedido!$A:$B,2,0),"")</f>
        <v/>
      </c>
      <c r="C1334" s="10" t="str">
        <f aca="false">IF(B1334="","NÃO COMPRA","COMPRA")</f>
        <v>NÃO COMPRA</v>
      </c>
      <c r="D1334" s="1" t="n">
        <f aca="false">IFERROR(VLOOKUP(A1334,Pedido!$A:$C,3,0),0)</f>
        <v>0</v>
      </c>
      <c r="E1334" s="5" t="n">
        <f aca="false">IFERROR(VLOOKUP(A1334,Pedido!$A:$E,5,0),0)</f>
        <v>0</v>
      </c>
      <c r="F1334" s="1" t="s">
        <v>9</v>
      </c>
      <c r="G1334" s="1" t="s">
        <v>2233</v>
      </c>
      <c r="H1334" s="1" t="s">
        <v>1358</v>
      </c>
      <c r="I1334" s="1" t="s">
        <v>50</v>
      </c>
      <c r="J1334" s="1" t="s">
        <v>2898</v>
      </c>
      <c r="K1334" s="1" t="n">
        <v>35</v>
      </c>
      <c r="L1334" s="11" t="n">
        <v>0.989187239403922</v>
      </c>
      <c r="M1334" s="1" t="n">
        <f aca="false">SUMIF(Relatorio_AK!$A:$A,A1334,Relatorio_AK!$B:$B)</f>
        <v>35</v>
      </c>
      <c r="N1334" s="1" t="str">
        <f aca="false">IF(M1334=K1334,"OK","DIF")</f>
        <v>OK</v>
      </c>
      <c r="O1334" s="12" t="str">
        <f aca="false">IFERROR(VLOOKUP($A1334,Lista_Starke!$A:$E,3,0),"NÃO ESTÁ NA LISTA")</f>
        <v>HONDA: City 1.5 16V 22/...</v>
      </c>
      <c r="P1334" s="12" t="str">
        <f aca="false">IFERROR(VLOOKUP($A1334,Lista_Starke!$A:$E,2,0),"NÃO ESTÁ NA LISTA")</f>
        <v>BANDEJA INFERIOR COMPLETA LD</v>
      </c>
    </row>
    <row r="1335" customFormat="false" ht="15" hidden="false" customHeight="true" outlineLevel="0" collapsed="false">
      <c r="A1335" s="10" t="s">
        <v>2899</v>
      </c>
      <c r="B1335" s="10" t="str">
        <f aca="false">IFERROR(VLOOKUP(A1335,Pedido!$A:$B,2,0),"")</f>
        <v/>
      </c>
      <c r="C1335" s="10" t="str">
        <f aca="false">IF(B1335="","NÃO COMPRA","COMPRA")</f>
        <v>NÃO COMPRA</v>
      </c>
      <c r="D1335" s="1" t="n">
        <f aca="false">IFERROR(VLOOKUP(A1335,Pedido!$A:$C,3,0),0)</f>
        <v>0</v>
      </c>
      <c r="E1335" s="5" t="n">
        <f aca="false">IFERROR(VLOOKUP(A1335,Pedido!$A:$E,5,0),0)</f>
        <v>0</v>
      </c>
      <c r="F1335" s="1" t="s">
        <v>9</v>
      </c>
      <c r="G1335" s="1" t="s">
        <v>1909</v>
      </c>
      <c r="H1335" s="1" t="s">
        <v>1358</v>
      </c>
      <c r="I1335" s="1" t="s">
        <v>29</v>
      </c>
      <c r="K1335" s="1" t="n">
        <v>35</v>
      </c>
      <c r="L1335" s="11" t="n">
        <v>0.989247072861766</v>
      </c>
      <c r="M1335" s="1" t="n">
        <f aca="false">SUMIF(Relatorio_AK!$A:$A,A1335,Relatorio_AK!$B:$B)</f>
        <v>35</v>
      </c>
      <c r="N1335" s="1" t="str">
        <f aca="false">IF(M1335=K1335,"OK","DIF")</f>
        <v>OK</v>
      </c>
      <c r="O1335" s="12" t="str">
        <f aca="false">IFERROR(VLOOKUP($A1335,Lista_Starke!$A:$E,3,0),"NÃO ESTÁ NA LISTA")</f>
        <v>HYUNDAI: New Tucson 1.6 16v Turbo 21/...</v>
      </c>
      <c r="P1335" s="12" t="str">
        <f aca="false">IFERROR(VLOOKUP($A1335,Lista_Starke!$A:$E,2,0),"NÃO ESTÁ NA LISTA")</f>
        <v>BANDEJA INFERIOR COMPLETA LE</v>
      </c>
    </row>
    <row r="1336" customFormat="false" ht="15" hidden="false" customHeight="true" outlineLevel="0" collapsed="false">
      <c r="A1336" s="10" t="s">
        <v>2900</v>
      </c>
      <c r="B1336" s="10" t="str">
        <f aca="false">IFERROR(VLOOKUP(A1336,Pedido!$A:$B,2,0),"")</f>
        <v/>
      </c>
      <c r="C1336" s="10" t="str">
        <f aca="false">IF(B1336="","NÃO COMPRA","COMPRA")</f>
        <v>NÃO COMPRA</v>
      </c>
      <c r="D1336" s="1" t="n">
        <f aca="false">IFERROR(VLOOKUP(A1336,Pedido!$A:$C,3,0),0)</f>
        <v>0</v>
      </c>
      <c r="E1336" s="5" t="n">
        <f aca="false">IFERROR(VLOOKUP(A1336,Pedido!$A:$E,5,0),0)</f>
        <v>0</v>
      </c>
      <c r="F1336" s="1" t="s">
        <v>9</v>
      </c>
      <c r="G1336" s="1" t="s">
        <v>616</v>
      </c>
      <c r="H1336" s="1" t="s">
        <v>906</v>
      </c>
      <c r="I1336" s="1" t="s">
        <v>226</v>
      </c>
      <c r="J1336" s="1" t="s">
        <v>2901</v>
      </c>
      <c r="K1336" s="1" t="n">
        <v>35</v>
      </c>
      <c r="L1336" s="11" t="n">
        <v>0.989306906319609</v>
      </c>
      <c r="M1336" s="1" t="n">
        <f aca="false">SUMIF(Relatorio_AK!$A:$A,A1336,Relatorio_AK!$B:$B)</f>
        <v>35</v>
      </c>
      <c r="N1336" s="1" t="str">
        <f aca="false">IF(M1336=K1336,"OK","DIF")</f>
        <v>OK</v>
      </c>
      <c r="O1336" s="13" t="str">
        <f aca="false">IFERROR(VLOOKUP($A1336,Lista_Starke!$A:$E,3,0),"NÃO ESTÁ NA LISTA")</f>
        <v>AUDI: A1 1.4 16V TFSI 10/21
AUDI: A3 1.4 16V TFSI 12/21
AUDI: A3 Sedan 1.4 16V TFSI 13/…
AUDI: Q3 1.4 16V TFSI 14/21
VOLKSWAGEN: Golf 1.0 12V TSI 16/18
VOLKSWAGEN: Golf 1.4 16V TSI 13/…
VOLKSWAGEN: Golf 1.4 16V TSI 14/18
VOLKSWAGEN: Golf Variant 1.4 16V TSI 15/18
VOLKSWAGEN: Jetta 1.4 16V TSI 15/...
VOLKSWAGEN: Nivus 1.0 12V TSI 20/...
VOLKSWAGEN: Polo 1.0 12V TSI 17/...
VOLKSWAGEN: Polo GTS 1.4 16V TSI 20/...
VOLKSWAGEN: T-Cross 1.0 12V TSI 19/...
VOLKSWAGEN: T-Cross 1.4 16V TSI 19/...
VOLKSWAGEN: Tiguan 1.4 16V TSI 16/…
VOLKSWAGEN: Up 1.0 12V TSI 14/21
VOLKSWAGEN: Virtus 1.0 12V TSI 18/...</v>
      </c>
      <c r="P1336" s="12" t="str">
        <f aca="false">IFERROR(VLOOKUP($A1336,Lista_Starke!$A:$E,2,0),"NÃO ESTÁ NA LISTA")</f>
        <v>BOMBA D'ÁGUA AUXILIAR</v>
      </c>
    </row>
    <row r="1337" customFormat="false" ht="15" hidden="false" customHeight="true" outlineLevel="0" collapsed="false">
      <c r="A1337" s="10" t="s">
        <v>2902</v>
      </c>
      <c r="B1337" s="10" t="str">
        <f aca="false">IFERROR(VLOOKUP(A1337,Pedido!$A:$B,2,0),"")</f>
        <v/>
      </c>
      <c r="C1337" s="10" t="str">
        <f aca="false">IF(B1337="","NÃO COMPRA","COMPRA")</f>
        <v>NÃO COMPRA</v>
      </c>
      <c r="D1337" s="1" t="n">
        <f aca="false">IFERROR(VLOOKUP(A1337,Pedido!$A:$C,3,0),0)</f>
        <v>0</v>
      </c>
      <c r="E1337" s="5" t="n">
        <f aca="false">IFERROR(VLOOKUP(A1337,Pedido!$A:$E,5,0),0)</f>
        <v>0</v>
      </c>
      <c r="F1337" s="1" t="s">
        <v>9</v>
      </c>
      <c r="G1337" s="1" t="s">
        <v>1175</v>
      </c>
      <c r="H1337" s="1" t="s">
        <v>197</v>
      </c>
      <c r="I1337" s="1" t="s">
        <v>1896</v>
      </c>
      <c r="K1337" s="1" t="n">
        <v>35</v>
      </c>
      <c r="L1337" s="11" t="n">
        <v>0.989366739777453</v>
      </c>
      <c r="M1337" s="1" t="n">
        <f aca="false">SUMIF(Relatorio_AK!$A:$A,A1337,Relatorio_AK!$B:$B)</f>
        <v>35</v>
      </c>
      <c r="N1337" s="1" t="str">
        <f aca="false">IF(M1337=K1337,"OK","DIF")</f>
        <v>OK</v>
      </c>
      <c r="O1337" s="12" t="str">
        <f aca="false">IFERROR(VLOOKUP($A1337,Lista_Starke!$A:$E,3,0),"NÃO ESTÁ NA LISTA")</f>
        <v>JEEP: Grand Cherokee 2.7 Diesel 5 cil ENF 98/05</v>
      </c>
      <c r="P1337" s="12" t="str">
        <f aca="false">IFERROR(VLOOKUP($A1337,Lista_Starke!$A:$E,2,0),"NÃO ESTÁ NA LISTA")</f>
        <v>BOMBA D'ÁGUA</v>
      </c>
    </row>
    <row r="1338" customFormat="false" ht="15" hidden="false" customHeight="true" outlineLevel="0" collapsed="false">
      <c r="A1338" s="10" t="s">
        <v>2903</v>
      </c>
      <c r="B1338" s="10" t="str">
        <f aca="false">IFERROR(VLOOKUP(A1338,Pedido!$A:$B,2,0),"")</f>
        <v/>
      </c>
      <c r="C1338" s="10" t="str">
        <f aca="false">IF(B1338="","NÃO COMPRA","COMPRA")</f>
        <v>NÃO COMPRA</v>
      </c>
      <c r="D1338" s="1" t="n">
        <f aca="false">IFERROR(VLOOKUP(A1338,Pedido!$A:$C,3,0),0)</f>
        <v>0</v>
      </c>
      <c r="E1338" s="5" t="n">
        <f aca="false">IFERROR(VLOOKUP(A1338,Pedido!$A:$E,5,0),0)</f>
        <v>0</v>
      </c>
      <c r="F1338" s="1" t="s">
        <v>9</v>
      </c>
      <c r="G1338" s="1" t="s">
        <v>2904</v>
      </c>
      <c r="H1338" s="1" t="s">
        <v>600</v>
      </c>
      <c r="I1338" s="1" t="s">
        <v>709</v>
      </c>
      <c r="J1338" s="1" t="s">
        <v>2905</v>
      </c>
      <c r="K1338" s="1" t="n">
        <v>35</v>
      </c>
      <c r="L1338" s="11" t="n">
        <v>0.989426573235297</v>
      </c>
      <c r="M1338" s="1" t="n">
        <f aca="false">SUMIF(Relatorio_AK!$A:$A,A1338,Relatorio_AK!$B:$B)</f>
        <v>35</v>
      </c>
      <c r="N1338" s="1" t="str">
        <f aca="false">IF(M1338=K1338,"OK","DIF")</f>
        <v>OK</v>
      </c>
      <c r="O1338" s="13" t="str">
        <f aca="false">IFERROR(VLOOKUP($A1338,Lista_Starke!$A:$E,3,0),"NÃO ESTÁ NA LISTA")</f>
        <v>LAND ROVER: Freelander 2 3.2 6 cil. B6324S 06/14
VOLVO: XC60 AWD 3.2 6 cil. B6324S 09/10
VOLVO: XC60 AWD 3.2 6 cil. B6324S5 10/16
VOLVO: XC60 T6 AWD 3.0 6 cil B6304T2 08/10
VOLVO: XC60 T6 AWD 3.0 6 cil B6304T4 / B6304T3 14/15
VOLVO: XC60 T6 AWD 3.0 6 cil. B6304T4 10/16
VOLVO: XC90 AWD 3.2 6 cil. B6324S 07/14</v>
      </c>
      <c r="P1338" s="12" t="str">
        <f aca="false">IFERROR(VLOOKUP($A1338,Lista_Starke!$A:$E,2,0),"NÃO ESTÁ NA LISTA")</f>
        <v>BOMBA DE VÁCUO FREIO</v>
      </c>
    </row>
    <row r="1339" customFormat="false" ht="15" hidden="false" customHeight="true" outlineLevel="0" collapsed="false">
      <c r="A1339" s="10" t="s">
        <v>2906</v>
      </c>
      <c r="B1339" s="10" t="str">
        <f aca="false">IFERROR(VLOOKUP(A1339,Pedido!$A:$B,2,0),"")</f>
        <v/>
      </c>
      <c r="C1339" s="10" t="str">
        <f aca="false">IF(B1339="","NÃO COMPRA","COMPRA")</f>
        <v>NÃO COMPRA</v>
      </c>
      <c r="D1339" s="1" t="n">
        <f aca="false">IFERROR(VLOOKUP(A1339,Pedido!$A:$C,3,0),0)</f>
        <v>0</v>
      </c>
      <c r="E1339" s="5" t="n">
        <f aca="false">IFERROR(VLOOKUP(A1339,Pedido!$A:$E,5,0),0)</f>
        <v>0</v>
      </c>
      <c r="F1339" s="1" t="s">
        <v>9</v>
      </c>
      <c r="G1339" s="1" t="s">
        <v>2844</v>
      </c>
      <c r="H1339" s="1" t="s">
        <v>1073</v>
      </c>
      <c r="I1339" s="1" t="s">
        <v>2907</v>
      </c>
      <c r="J1339" s="1" t="s">
        <v>2908</v>
      </c>
      <c r="K1339" s="1" t="n">
        <v>35</v>
      </c>
      <c r="L1339" s="11" t="n">
        <v>0.989486406693141</v>
      </c>
      <c r="M1339" s="1" t="n">
        <f aca="false">SUMIF(Relatorio_AK!$A:$A,A1339,Relatorio_AK!$B:$B)</f>
        <v>35</v>
      </c>
      <c r="N1339" s="1" t="str">
        <f aca="false">IF(M1339=K1339,"OK","DIF")</f>
        <v>OK</v>
      </c>
      <c r="O1339" s="12" t="str">
        <f aca="false">IFERROR(VLOOKUP($A1339,Lista_Starke!$A:$E,3,0),"NÃO ESTÁ NA LISTA")</f>
        <v>AUDI: A1 1.4 16V TSI 11/18</v>
      </c>
      <c r="P1339" s="12" t="str">
        <f aca="false">IFERROR(VLOOKUP($A1339,Lista_Starke!$A:$E,2,0),"NÃO ESTÁ NA LISTA")</f>
        <v>VÁLVULA TERMOSTÁTICA</v>
      </c>
    </row>
    <row r="1340" customFormat="false" ht="15" hidden="false" customHeight="true" outlineLevel="0" collapsed="false">
      <c r="A1340" s="10" t="s">
        <v>2909</v>
      </c>
      <c r="B1340" s="10" t="str">
        <f aca="false">IFERROR(VLOOKUP(A1340,Pedido!$A:$B,2,0),"")</f>
        <v/>
      </c>
      <c r="C1340" s="10" t="str">
        <f aca="false">IF(B1340="","NÃO COMPRA","COMPRA")</f>
        <v>NÃO COMPRA</v>
      </c>
      <c r="D1340" s="1" t="n">
        <f aca="false">IFERROR(VLOOKUP(A1340,Pedido!$A:$C,3,0),0)</f>
        <v>0</v>
      </c>
      <c r="E1340" s="5" t="n">
        <f aca="false">IFERROR(VLOOKUP(A1340,Pedido!$A:$E,5,0),0)</f>
        <v>0</v>
      </c>
      <c r="F1340" s="1" t="s">
        <v>9</v>
      </c>
      <c r="G1340" s="1" t="s">
        <v>356</v>
      </c>
      <c r="H1340" s="1" t="s">
        <v>845</v>
      </c>
      <c r="I1340" s="1" t="s">
        <v>172</v>
      </c>
      <c r="J1340" s="1" t="s">
        <v>2910</v>
      </c>
      <c r="K1340" s="1" t="n">
        <v>35</v>
      </c>
      <c r="L1340" s="11" t="n">
        <v>0.989546240150985</v>
      </c>
      <c r="M1340" s="1" t="n">
        <f aca="false">SUMIF(Relatorio_AK!$A:$A,A1340,Relatorio_AK!$B:$B)</f>
        <v>35</v>
      </c>
      <c r="N1340" s="1" t="str">
        <f aca="false">IF(M1340=K1340,"OK","DIF")</f>
        <v>OK</v>
      </c>
      <c r="O1340" s="13" t="str">
        <f aca="false">IFERROR(VLOOKUP($A1340,Lista_Starke!$A:$E,3,0),"NÃO ESTÁ NA LISTA")</f>
        <v>HYUNDAI: Santa Fe 2.2 11/12
HYUNDAI: Santa Fe 2.4 09/12
HYUNDAI: Santa Fe 3.3 24V V6   G6DB 13/…
HYUNDAI: Santa Fe 3.5 24V V6   G6CU 10/…
KIA: Sorento 3.3 24V V6   G6DG 07/…
KIA: Sorento 3.5 24V V6   G6CU 07/…</v>
      </c>
      <c r="P1340" s="12" t="str">
        <f aca="false">IFERROR(VLOOKUP($A1340,Lista_Starke!$A:$E,2,0),"NÃO ESTÁ NA LISTA")</f>
        <v>SAPATA DE FREIO DE MÃO</v>
      </c>
    </row>
    <row r="1341" customFormat="false" ht="15" hidden="false" customHeight="true" outlineLevel="0" collapsed="false">
      <c r="A1341" s="10" t="s">
        <v>2911</v>
      </c>
      <c r="B1341" s="10" t="str">
        <f aca="false">IFERROR(VLOOKUP(A1341,Pedido!$A:$B,2,0),"")</f>
        <v/>
      </c>
      <c r="C1341" s="10" t="str">
        <f aca="false">IF(B1341="","NÃO COMPRA","COMPRA")</f>
        <v>NÃO COMPRA</v>
      </c>
      <c r="D1341" s="1" t="n">
        <f aca="false">IFERROR(VLOOKUP(A1341,Pedido!$A:$C,3,0),0)</f>
        <v>0</v>
      </c>
      <c r="E1341" s="5" t="n">
        <f aca="false">IFERROR(VLOOKUP(A1341,Pedido!$A:$E,5,0),0)</f>
        <v>0</v>
      </c>
      <c r="F1341" s="1" t="s">
        <v>9</v>
      </c>
      <c r="G1341" s="1" t="s">
        <v>2201</v>
      </c>
      <c r="H1341" s="1" t="s">
        <v>235</v>
      </c>
      <c r="I1341" s="1" t="s">
        <v>215</v>
      </c>
      <c r="J1341" s="1" t="s">
        <v>2912</v>
      </c>
      <c r="K1341" s="1" t="n">
        <v>35</v>
      </c>
      <c r="L1341" s="11" t="n">
        <v>0.989606073608829</v>
      </c>
      <c r="M1341" s="1" t="n">
        <f aca="false">SUMIF(Relatorio_AK!$A:$A,A1341,Relatorio_AK!$B:$B)</f>
        <v>35</v>
      </c>
      <c r="N1341" s="1" t="str">
        <f aca="false">IF(M1341=K1341,"OK","DIF")</f>
        <v>OK</v>
      </c>
      <c r="O1341" s="13" t="str">
        <f aca="false">IFERROR(VLOOKUP($A1341,Lista_Starke!$A:$E,3,0),"NÃO ESTÁ NA LISTA")</f>
        <v>NISSAN: Frontier 2.5 16V YDK25 Euro V 07/15
NISSAN: Pathfinder 2.5 16V YDK25 Euro V 05/12</v>
      </c>
      <c r="P1341" s="12" t="str">
        <f aca="false">IFERROR(VLOOKUP($A1341,Lista_Starke!$A:$E,2,0),"NÃO ESTÁ NA LISTA")</f>
        <v>RESFRIADOR DE ÓLEO MOTOR</v>
      </c>
    </row>
    <row r="1342" customFormat="false" ht="15" hidden="false" customHeight="true" outlineLevel="0" collapsed="false">
      <c r="A1342" s="10" t="s">
        <v>2913</v>
      </c>
      <c r="B1342" s="10" t="str">
        <f aca="false">IFERROR(VLOOKUP(A1342,Pedido!$A:$B,2,0),"")</f>
        <v/>
      </c>
      <c r="C1342" s="10" t="str">
        <f aca="false">IF(B1342="","NÃO COMPRA","COMPRA")</f>
        <v>NÃO COMPRA</v>
      </c>
      <c r="D1342" s="1" t="n">
        <f aca="false">IFERROR(VLOOKUP(A1342,Pedido!$A:$C,3,0),0)</f>
        <v>0</v>
      </c>
      <c r="E1342" s="5" t="n">
        <f aca="false">IFERROR(VLOOKUP(A1342,Pedido!$A:$E,5,0),0)</f>
        <v>0</v>
      </c>
      <c r="F1342" s="1" t="s">
        <v>9</v>
      </c>
      <c r="G1342" s="1" t="s">
        <v>65</v>
      </c>
      <c r="H1342" s="1" t="s">
        <v>35</v>
      </c>
      <c r="I1342" s="1" t="s">
        <v>46</v>
      </c>
      <c r="J1342" s="1" t="s">
        <v>2914</v>
      </c>
      <c r="K1342" s="1" t="n">
        <v>35</v>
      </c>
      <c r="L1342" s="11" t="n">
        <v>0.989665907066673</v>
      </c>
      <c r="M1342" s="1" t="n">
        <f aca="false">SUMIF(Relatorio_AK!$A:$A,A1342,Relatorio_AK!$B:$B)</f>
        <v>35</v>
      </c>
      <c r="N1342" s="1" t="str">
        <f aca="false">IF(M1342=K1342,"OK","DIF")</f>
        <v>OK</v>
      </c>
      <c r="O1342" s="13" t="str">
        <f aca="false">IFERROR(VLOOKUP($A1342,Lista_Starke!$A:$E,3,0),"NÃO ESTÁ NA LISTA")</f>
        <v>FIAT: Elba 1.5 8V FIASA 92/96
FIAT: Elba 1.6 8V Sevel 89/94
FIAT: Prêmio 1.5 8V FIASA 92/94
FIAT: Prêmio 1.6 8V Sevel 93/94
FIAT: Uno 1.0 8V Fire 05/13</v>
      </c>
      <c r="P1342" s="12" t="str">
        <f aca="false">IFERROR(VLOOKUP($A1342,Lista_Starke!$A:$E,2,0),"NÃO ESTÁ NA LISTA")</f>
        <v>CILINDRO MESTRE DE FREIO</v>
      </c>
    </row>
    <row r="1343" customFormat="false" ht="15" hidden="false" customHeight="true" outlineLevel="0" collapsed="false">
      <c r="A1343" s="10" t="s">
        <v>2915</v>
      </c>
      <c r="B1343" s="10" t="str">
        <f aca="false">IFERROR(VLOOKUP(A1343,Pedido!$A:$B,2,0),"")</f>
        <v/>
      </c>
      <c r="C1343" s="10" t="str">
        <f aca="false">IF(B1343="","NÃO COMPRA","COMPRA")</f>
        <v>NÃO COMPRA</v>
      </c>
      <c r="D1343" s="1" t="n">
        <f aca="false">IFERROR(VLOOKUP(A1343,Pedido!$A:$C,3,0),0)</f>
        <v>0</v>
      </c>
      <c r="E1343" s="5" t="n">
        <f aca="false">IFERROR(VLOOKUP(A1343,Pedido!$A:$E,5,0),0)</f>
        <v>0</v>
      </c>
      <c r="F1343" s="1" t="s">
        <v>9</v>
      </c>
      <c r="G1343" s="1" t="s">
        <v>2233</v>
      </c>
      <c r="H1343" s="1" t="s">
        <v>1358</v>
      </c>
      <c r="I1343" s="1" t="s">
        <v>50</v>
      </c>
      <c r="J1343" s="1" t="s">
        <v>2916</v>
      </c>
      <c r="K1343" s="1" t="n">
        <v>34</v>
      </c>
      <c r="L1343" s="11" t="n">
        <v>0.98972403099715</v>
      </c>
      <c r="M1343" s="1" t="n">
        <f aca="false">SUMIF(Relatorio_AK!$A:$A,A1343,Relatorio_AK!$B:$B)</f>
        <v>34</v>
      </c>
      <c r="N1343" s="1" t="str">
        <f aca="false">IF(M1343=K1343,"OK","DIF")</f>
        <v>OK</v>
      </c>
      <c r="O1343" s="13" t="str">
        <f aca="false">IFERROR(VLOOKUP($A1343,Lista_Starke!$A:$E,3,0),"NÃO ESTÁ NA LISTA")</f>
        <v>HONDA: City 1.5 16V 09/13
HONDA: Fit 1.4 16V / 1.5 16V 09/14</v>
      </c>
      <c r="P1343" s="12" t="str">
        <f aca="false">IFERROR(VLOOKUP($A1343,Lista_Starke!$A:$E,2,0),"NÃO ESTÁ NA LISTA")</f>
        <v>BANDEJA INFERIOR COMPLETA LD</v>
      </c>
    </row>
    <row r="1344" customFormat="false" ht="15" hidden="false" customHeight="true" outlineLevel="0" collapsed="false">
      <c r="A1344" s="10" t="s">
        <v>2917</v>
      </c>
      <c r="B1344" s="10" t="str">
        <f aca="false">IFERROR(VLOOKUP(A1344,Pedido!$A:$B,2,0),"")</f>
        <v/>
      </c>
      <c r="C1344" s="10" t="str">
        <f aca="false">IF(B1344="","NÃO COMPRA","COMPRA")</f>
        <v>NÃO COMPRA</v>
      </c>
      <c r="D1344" s="1" t="n">
        <f aca="false">IFERROR(VLOOKUP(A1344,Pedido!$A:$C,3,0),0)</f>
        <v>0</v>
      </c>
      <c r="E1344" s="5" t="n">
        <f aca="false">IFERROR(VLOOKUP(A1344,Pedido!$A:$E,5,0),0)</f>
        <v>0</v>
      </c>
      <c r="F1344" s="1" t="s">
        <v>9</v>
      </c>
      <c r="G1344" s="1" t="s">
        <v>2099</v>
      </c>
      <c r="H1344" s="1" t="s">
        <v>1358</v>
      </c>
      <c r="I1344" s="1" t="s">
        <v>57</v>
      </c>
      <c r="J1344" s="1" t="s">
        <v>2918</v>
      </c>
      <c r="K1344" s="1" t="n">
        <v>34</v>
      </c>
      <c r="L1344" s="11" t="n">
        <v>0.989782154927627</v>
      </c>
      <c r="M1344" s="1" t="n">
        <f aca="false">SUMIF(Relatorio_AK!$A:$A,A1344,Relatorio_AK!$B:$B)</f>
        <v>34</v>
      </c>
      <c r="N1344" s="1" t="str">
        <f aca="false">IF(M1344=K1344,"OK","DIF")</f>
        <v>OK</v>
      </c>
      <c r="O1344" s="13" t="str">
        <f aca="false">IFERROR(VLOOKUP($A1344,Lista_Starke!$A:$E,3,0),"NÃO ESTÁ NA LISTA")</f>
        <v>GM: Tracker 1.4 Turbo 17/19
GM: Tracker 1.8 16V 14/16</v>
      </c>
      <c r="P1344" s="12" t="str">
        <f aca="false">IFERROR(VLOOKUP($A1344,Lista_Starke!$A:$E,2,0),"NÃO ESTÁ NA LISTA")</f>
        <v>BANDEJA INFERIOR COMPLETA LD</v>
      </c>
    </row>
    <row r="1345" customFormat="false" ht="15" hidden="false" customHeight="true" outlineLevel="0" collapsed="false">
      <c r="A1345" s="10" t="s">
        <v>2919</v>
      </c>
      <c r="B1345" s="10" t="str">
        <f aca="false">IFERROR(VLOOKUP(A1345,Pedido!$A:$B,2,0),"")</f>
        <v/>
      </c>
      <c r="C1345" s="10" t="str">
        <f aca="false">IF(B1345="","NÃO COMPRA","COMPRA")</f>
        <v>NÃO COMPRA</v>
      </c>
      <c r="D1345" s="1" t="n">
        <f aca="false">IFERROR(VLOOKUP(A1345,Pedido!$A:$C,3,0),0)</f>
        <v>0</v>
      </c>
      <c r="E1345" s="5" t="n">
        <f aca="false">IFERROR(VLOOKUP(A1345,Pedido!$A:$E,5,0),0)</f>
        <v>0</v>
      </c>
      <c r="F1345" s="1" t="s">
        <v>9</v>
      </c>
      <c r="G1345" s="1" t="s">
        <v>1931</v>
      </c>
      <c r="H1345" s="1" t="s">
        <v>2420</v>
      </c>
      <c r="I1345" s="1" t="s">
        <v>53</v>
      </c>
      <c r="J1345" s="1" t="s">
        <v>2920</v>
      </c>
      <c r="K1345" s="1" t="n">
        <v>34</v>
      </c>
      <c r="L1345" s="11" t="n">
        <v>0.989840278858104</v>
      </c>
      <c r="M1345" s="1" t="n">
        <f aca="false">SUMIF(Relatorio_AK!$A:$A,A1345,Relatorio_AK!$B:$B)</f>
        <v>34</v>
      </c>
      <c r="N1345" s="1" t="str">
        <f aca="false">IF(M1345=K1345,"OK","DIF")</f>
        <v>OK</v>
      </c>
      <c r="O1345" s="12" t="str">
        <f aca="false">IFERROR(VLOOKUP($A1345,Lista_Starke!$A:$E,3,0),"NÃO ESTÁ NA LISTA")</f>
        <v>FORD: Ranger  12/22</v>
      </c>
      <c r="P1345" s="12" t="str">
        <f aca="false">IFERROR(VLOOKUP($A1345,Lista_Starke!$A:$E,2,0),"NÃO ESTÁ NA LISTA")</f>
        <v>BANDEJA SUPERIOR COMPLETA LD</v>
      </c>
    </row>
    <row r="1346" customFormat="false" ht="15" hidden="false" customHeight="true" outlineLevel="0" collapsed="false">
      <c r="A1346" s="10" t="s">
        <v>2921</v>
      </c>
      <c r="B1346" s="10" t="str">
        <f aca="false">IFERROR(VLOOKUP(A1346,Pedido!$A:$B,2,0),"")</f>
        <v/>
      </c>
      <c r="C1346" s="10" t="str">
        <f aca="false">IF(B1346="","NÃO COMPRA","COMPRA")</f>
        <v>NÃO COMPRA</v>
      </c>
      <c r="D1346" s="1" t="n">
        <f aca="false">IFERROR(VLOOKUP(A1346,Pedido!$A:$C,3,0),0)</f>
        <v>0</v>
      </c>
      <c r="E1346" s="5" t="n">
        <f aca="false">IFERROR(VLOOKUP(A1346,Pedido!$A:$E,5,0),0)</f>
        <v>0</v>
      </c>
      <c r="F1346" s="1" t="s">
        <v>9</v>
      </c>
      <c r="G1346" s="1" t="s">
        <v>377</v>
      </c>
      <c r="H1346" s="1" t="s">
        <v>197</v>
      </c>
      <c r="I1346" s="1" t="s">
        <v>53</v>
      </c>
      <c r="J1346" s="1" t="s">
        <v>2922</v>
      </c>
      <c r="K1346" s="1" t="n">
        <v>34</v>
      </c>
      <c r="L1346" s="11" t="n">
        <v>0.989898402788581</v>
      </c>
      <c r="M1346" s="1" t="n">
        <f aca="false">SUMIF(Relatorio_AK!$A:$A,A1346,Relatorio_AK!$B:$B)</f>
        <v>34</v>
      </c>
      <c r="N1346" s="1" t="str">
        <f aca="false">IF(M1346=K1346,"OK","DIF")</f>
        <v>OK</v>
      </c>
      <c r="O1346" s="12" t="str">
        <f aca="false">IFERROR(VLOOKUP($A1346,Lista_Starke!$A:$E,3,0),"NÃO ESTÁ NA LISTA")</f>
        <v>FORD: Fusion 3.0 24V V6 10/13</v>
      </c>
      <c r="P1346" s="12" t="str">
        <f aca="false">IFERROR(VLOOKUP($A1346,Lista_Starke!$A:$E,2,0),"NÃO ESTÁ NA LISTA")</f>
        <v>BOMBA D'ÁGUA</v>
      </c>
    </row>
    <row r="1347" customFormat="false" ht="15" hidden="false" customHeight="true" outlineLevel="0" collapsed="false">
      <c r="A1347" s="10" t="s">
        <v>2923</v>
      </c>
      <c r="B1347" s="10" t="str">
        <f aca="false">IFERROR(VLOOKUP(A1347,Pedido!$A:$B,2,0),"")</f>
        <v/>
      </c>
      <c r="C1347" s="10" t="str">
        <f aca="false">IF(B1347="","NÃO COMPRA","COMPRA")</f>
        <v>NÃO COMPRA</v>
      </c>
      <c r="D1347" s="1" t="n">
        <f aca="false">IFERROR(VLOOKUP(A1347,Pedido!$A:$C,3,0),0)</f>
        <v>0</v>
      </c>
      <c r="E1347" s="5" t="n">
        <f aca="false">IFERROR(VLOOKUP(A1347,Pedido!$A:$E,5,0),0)</f>
        <v>0</v>
      </c>
      <c r="F1347" s="1" t="s">
        <v>9</v>
      </c>
      <c r="G1347" s="1" t="s">
        <v>616</v>
      </c>
      <c r="H1347" s="1" t="s">
        <v>906</v>
      </c>
      <c r="I1347" s="1" t="s">
        <v>226</v>
      </c>
      <c r="J1347" s="1" t="s">
        <v>2924</v>
      </c>
      <c r="K1347" s="1" t="n">
        <v>34</v>
      </c>
      <c r="L1347" s="11" t="n">
        <v>0.989956526719058</v>
      </c>
      <c r="M1347" s="1" t="n">
        <f aca="false">SUMIF(Relatorio_AK!$A:$A,A1347,Relatorio_AK!$B:$B)</f>
        <v>34</v>
      </c>
      <c r="N1347" s="1" t="str">
        <f aca="false">IF(M1347=K1347,"OK","DIF")</f>
        <v>OK</v>
      </c>
      <c r="O1347" s="13" t="str">
        <f aca="false">IFERROR(VLOOKUP($A1347,Lista_Starke!$A:$E,3,0),"NÃO ESTÁ NA LISTA")</f>
        <v>AUDI: A1 1.4 16V TFSI 10/21
AUDI: A3 1.4 16V TFSI 12/21
AUDI: A3 Sedan 1.4 16V TFSI 13/…
AUDI: Q3 1.4 16V TFSI 14/21
VOLKSWAGEN: Golf 1.0 12V TSI 16/18
VOLKSWAGEN: Golf 1.4 16V TSI 13/…
VOLKSWAGEN: Golf 1.4 16V TSI 14/18
VOLKSWAGEN: Golf Variant 1.4 16V TSI 15/18
VOLKSWAGEN: Jetta 1.4 16V TSI 15/...
VOLKSWAGEN: Nivus 1.0 12V TSI 20/...
VOLKSWAGEN: Polo 1.0 12V TSI 17/...
VOLKSWAGEN: Polo GTS 1.4 16V TSI 20/...
VOLKSWAGEN: T-Cross 1.0 12V TSI 19/...
VOLKSWAGEN: T-Cross 1.4 16V TSI 19/...
VOLKSWAGEN: Tiguan 1.4 16V TSI 16/…
VOLKSWAGEN: Up 1.0 12V TSI 14/21
VOLKSWAGEN: Virtus 1.0 12V TSI 18/...</v>
      </c>
      <c r="P1347" s="12" t="str">
        <f aca="false">IFERROR(VLOOKUP($A1347,Lista_Starke!$A:$E,2,0),"NÃO ESTÁ NA LISTA")</f>
        <v>BOMBA D'ÁGUA AUXILIAR</v>
      </c>
    </row>
    <row r="1348" customFormat="false" ht="15" hidden="false" customHeight="true" outlineLevel="0" collapsed="false">
      <c r="A1348" s="10" t="s">
        <v>2925</v>
      </c>
      <c r="B1348" s="10" t="str">
        <f aca="false">IFERROR(VLOOKUP(A1348,Pedido!$A:$B,2,0),"")</f>
        <v/>
      </c>
      <c r="C1348" s="10" t="str">
        <f aca="false">IF(B1348="","NÃO COMPRA","COMPRA")</f>
        <v>NÃO COMPRA</v>
      </c>
      <c r="D1348" s="1" t="n">
        <f aca="false">IFERROR(VLOOKUP(A1348,Pedido!$A:$C,3,0),0)</f>
        <v>0</v>
      </c>
      <c r="E1348" s="5" t="n">
        <f aca="false">IFERROR(VLOOKUP(A1348,Pedido!$A:$E,5,0),0)</f>
        <v>0</v>
      </c>
      <c r="F1348" s="1" t="s">
        <v>9</v>
      </c>
      <c r="G1348" s="1" t="s">
        <v>2926</v>
      </c>
      <c r="H1348" s="1" t="s">
        <v>197</v>
      </c>
      <c r="I1348" s="1" t="s">
        <v>2927</v>
      </c>
      <c r="K1348" s="1" t="n">
        <v>34</v>
      </c>
      <c r="L1348" s="11" t="n">
        <v>0.990014650649535</v>
      </c>
      <c r="M1348" s="1" t="n">
        <f aca="false">SUMIF(Relatorio_AK!$A:$A,A1348,Relatorio_AK!$B:$B)</f>
        <v>34</v>
      </c>
      <c r="N1348" s="1" t="str">
        <f aca="false">IF(M1348=K1348,"OK","DIF")</f>
        <v>OK</v>
      </c>
      <c r="O1348" s="12" t="str">
        <f aca="false">IFERROR(VLOOKUP($A1348,Lista_Starke!$A:$E,3,0),"NÃO ESTÁ NA LISTA")</f>
        <v>SMART: Fortwo 1.0 12V 3 cil   M132.910 07/…</v>
      </c>
      <c r="P1348" s="12" t="str">
        <f aca="false">IFERROR(VLOOKUP($A1348,Lista_Starke!$A:$E,2,0),"NÃO ESTÁ NA LISTA")</f>
        <v>BOMBA D'ÁGUA</v>
      </c>
    </row>
    <row r="1349" customFormat="false" ht="15" hidden="false" customHeight="true" outlineLevel="0" collapsed="false">
      <c r="A1349" s="10" t="s">
        <v>2928</v>
      </c>
      <c r="B1349" s="10" t="str">
        <f aca="false">IFERROR(VLOOKUP(A1349,Pedido!$A:$B,2,0),"")</f>
        <v/>
      </c>
      <c r="C1349" s="10" t="str">
        <f aca="false">IF(B1349="","NÃO COMPRA","COMPRA")</f>
        <v>NÃO COMPRA</v>
      </c>
      <c r="D1349" s="1" t="n">
        <f aca="false">IFERROR(VLOOKUP(A1349,Pedido!$A:$C,3,0),0)</f>
        <v>0</v>
      </c>
      <c r="E1349" s="5" t="n">
        <f aca="false">IFERROR(VLOOKUP(A1349,Pedido!$A:$E,5,0),0)</f>
        <v>0</v>
      </c>
      <c r="F1349" s="1" t="s">
        <v>9</v>
      </c>
      <c r="G1349" s="1" t="s">
        <v>1526</v>
      </c>
      <c r="H1349" s="1" t="s">
        <v>600</v>
      </c>
      <c r="I1349" s="1" t="s">
        <v>1855</v>
      </c>
      <c r="J1349" s="1" t="s">
        <v>2929</v>
      </c>
      <c r="K1349" s="1" t="n">
        <v>34</v>
      </c>
      <c r="L1349" s="11" t="n">
        <v>0.990072774580012</v>
      </c>
      <c r="M1349" s="1" t="n">
        <f aca="false">SUMIF(Relatorio_AK!$A:$A,A1349,Relatorio_AK!$B:$B)</f>
        <v>34</v>
      </c>
      <c r="N1349" s="1" t="str">
        <f aca="false">IF(M1349=K1349,"OK","DIF")</f>
        <v>OK</v>
      </c>
      <c r="O1349" s="13" t="str">
        <f aca="false">IFERROR(VLOOKUP($A1349,Lista_Starke!$A:$E,3,0),"NÃO ESTÁ NA LISTA")</f>
        <v>AUDI: A4 3.2 FSI 07/15
AUDI: A5 3.2 FSI 07/17
AUDI: A6 3.0 TFSI 04/18
AUDI: A6 3.2 FSI 05/08
AUDI: A7 3.0 TFSI 10/18
AUDI: A8 3.0 TFSI 10/18
AUDI: Q5 3.0 V6 TFSI CTUC/CTVA 12/17
AUDI: Q5 3.2 FSI 12/17
AUDI: Q7 3.0 V6 TFSI CTUC/CTVA 11/17
AUDI: S4 3.0 V6 TFSI CAKA/CCBA/CGXC/CTUB/CGWC/CREC 08/15
AUDI: S5 3.0 V6 TFSI CAKA/CGXC/CTUB/CGWC/CREC/CTDA 11/17
PORSCHE: Cayenne 3.0 V6 E-Hybrid 19/...
PORSCHE: Cayenne 3.6 V6 M55.02 / MCE.YA 10/18
VOLKSWAGEN: Touareg 3.0 V6 TSI CGFA/CGEA 10/18
VOLKSWAGEN: Touareg 3.6 V6 FSI CGRA 10/18</v>
      </c>
      <c r="P1349" s="12" t="str">
        <f aca="false">IFERROR(VLOOKUP($A1349,Lista_Starke!$A:$E,2,0),"NÃO ESTÁ NA LISTA")</f>
        <v>BOMBA DE VÁCUO FREIO</v>
      </c>
    </row>
    <row r="1350" customFormat="false" ht="15" hidden="false" customHeight="true" outlineLevel="0" collapsed="false">
      <c r="A1350" s="10" t="s">
        <v>2930</v>
      </c>
      <c r="B1350" s="10" t="str">
        <f aca="false">IFERROR(VLOOKUP(A1350,Pedido!$A:$B,2,0),"")</f>
        <v/>
      </c>
      <c r="C1350" s="10" t="str">
        <f aca="false">IF(B1350="","NÃO COMPRA","COMPRA")</f>
        <v>NÃO COMPRA</v>
      </c>
      <c r="D1350" s="1" t="n">
        <f aca="false">IFERROR(VLOOKUP(A1350,Pedido!$A:$C,3,0),0)</f>
        <v>0</v>
      </c>
      <c r="E1350" s="5" t="n">
        <f aca="false">IFERROR(VLOOKUP(A1350,Pedido!$A:$E,5,0),0)</f>
        <v>0</v>
      </c>
      <c r="F1350" s="1" t="s">
        <v>9</v>
      </c>
      <c r="G1350" s="1" t="s">
        <v>2026</v>
      </c>
      <c r="H1350" s="1" t="s">
        <v>1073</v>
      </c>
      <c r="I1350" s="1" t="s">
        <v>1157</v>
      </c>
      <c r="J1350" s="1" t="s">
        <v>2931</v>
      </c>
      <c r="K1350" s="1" t="n">
        <v>34</v>
      </c>
      <c r="L1350" s="11" t="n">
        <v>0.990130898510489</v>
      </c>
      <c r="M1350" s="1" t="n">
        <f aca="false">SUMIF(Relatorio_AK!$A:$A,A1350,Relatorio_AK!$B:$B)</f>
        <v>34</v>
      </c>
      <c r="N1350" s="1" t="str">
        <f aca="false">IF(M1350=K1350,"OK","DIF")</f>
        <v>OK</v>
      </c>
      <c r="O1350" s="13" t="str">
        <f aca="false">IFERROR(VLOOKUP($A1350,Lista_Starke!$A:$E,3,0),"NÃO ESTÁ NA LISTA")</f>
        <v>BMW: 340i (F30/F80) 3.0 6 cil. B58B30A 15/18
BMW: X3 (G01/G08/F97) 3.0 6 cil. B58B30A 17/...
BMW: X4 (G02/F98) 3.0 6 cil. B58B30A 18/...</v>
      </c>
      <c r="P1350" s="12" t="str">
        <f aca="false">IFERROR(VLOOKUP($A1350,Lista_Starke!$A:$E,2,0),"NÃO ESTÁ NA LISTA")</f>
        <v>VÁLVULA TERMOSTÁTICA</v>
      </c>
    </row>
    <row r="1351" customFormat="false" ht="15" hidden="false" customHeight="true" outlineLevel="0" collapsed="false">
      <c r="A1351" s="10" t="s">
        <v>2932</v>
      </c>
      <c r="B1351" s="10" t="str">
        <f aca="false">IFERROR(VLOOKUP(A1351,Pedido!$A:$B,2,0),"")</f>
        <v/>
      </c>
      <c r="C1351" s="10" t="str">
        <f aca="false">IF(B1351="","NÃO COMPRA","COMPRA")</f>
        <v>NÃO COMPRA</v>
      </c>
      <c r="D1351" s="1" t="n">
        <f aca="false">IFERROR(VLOOKUP(A1351,Pedido!$A:$C,3,0),0)</f>
        <v>0</v>
      </c>
      <c r="E1351" s="5" t="n">
        <f aca="false">IFERROR(VLOOKUP(A1351,Pedido!$A:$E,5,0),0)</f>
        <v>0</v>
      </c>
      <c r="F1351" s="1" t="s">
        <v>9</v>
      </c>
      <c r="G1351" s="1" t="s">
        <v>2458</v>
      </c>
      <c r="H1351" s="1" t="s">
        <v>1073</v>
      </c>
      <c r="I1351" s="1" t="s">
        <v>938</v>
      </c>
      <c r="J1351" s="1" t="s">
        <v>2933</v>
      </c>
      <c r="K1351" s="1" t="n">
        <v>34</v>
      </c>
      <c r="L1351" s="11" t="n">
        <v>0.990189022440966</v>
      </c>
      <c r="M1351" s="1" t="n">
        <f aca="false">SUMIF(Relatorio_AK!$A:$A,A1351,Relatorio_AK!$B:$B)</f>
        <v>34</v>
      </c>
      <c r="N1351" s="1" t="str">
        <f aca="false">IF(M1351=K1351,"OK","DIF")</f>
        <v>OK</v>
      </c>
      <c r="O1351" s="13" t="str">
        <f aca="false">IFERROR(VLOOKUP($A1351,Lista_Starke!$A:$E,3,0),"NÃO ESTÁ NA LISTA")</f>
        <v>JAGUAR: F-Pace 2.0 16V SD4 204DTD(AJ20D4) 17/...
LAND ROVER: Defender 2.0 16V 204DTD(AJ20D4) 19/...
LAND ROVER: Discovery Sport 2.0 16V SD4 204DTD(AJ20D4) 21/...
LAND ROVER: Evoque 2.0 16V SD4 Diesel 204DTD(AJ20D4) 21/...
LAND ROVER: Velar 2.0 16V TD4 204DTD(AJ20D4) 17/...</v>
      </c>
      <c r="P1351" s="12" t="str">
        <f aca="false">IFERROR(VLOOKUP($A1351,Lista_Starke!$A:$E,2,0),"NÃO ESTÁ NA LISTA")</f>
        <v>VÁLVULA TERMOSTÁTICA</v>
      </c>
    </row>
    <row r="1352" customFormat="false" ht="15" hidden="false" customHeight="true" outlineLevel="0" collapsed="false">
      <c r="A1352" s="10" t="s">
        <v>2934</v>
      </c>
      <c r="B1352" s="10" t="str">
        <f aca="false">IFERROR(VLOOKUP(A1352,Pedido!$A:$B,2,0),"")</f>
        <v/>
      </c>
      <c r="C1352" s="10" t="str">
        <f aca="false">IF(B1352="","NÃO COMPRA","COMPRA")</f>
        <v>NÃO COMPRA</v>
      </c>
      <c r="D1352" s="1" t="n">
        <f aca="false">IFERROR(VLOOKUP(A1352,Pedido!$A:$C,3,0),0)</f>
        <v>0</v>
      </c>
      <c r="E1352" s="5" t="n">
        <f aca="false">IFERROR(VLOOKUP(A1352,Pedido!$A:$E,5,0),0)</f>
        <v>0</v>
      </c>
      <c r="F1352" s="1" t="s">
        <v>9</v>
      </c>
      <c r="G1352" s="1" t="s">
        <v>52</v>
      </c>
      <c r="H1352" s="1" t="s">
        <v>35</v>
      </c>
      <c r="I1352" s="1" t="s">
        <v>53</v>
      </c>
      <c r="J1352" s="1" t="s">
        <v>2935</v>
      </c>
      <c r="K1352" s="1" t="n">
        <v>34</v>
      </c>
      <c r="L1352" s="11" t="n">
        <v>0.990247146371443</v>
      </c>
      <c r="M1352" s="1" t="n">
        <f aca="false">SUMIF(Relatorio_AK!$A:$A,A1352,Relatorio_AK!$B:$B)</f>
        <v>34</v>
      </c>
      <c r="N1352" s="1" t="str">
        <f aca="false">IF(M1352=K1352,"OK","DIF")</f>
        <v>OK</v>
      </c>
      <c r="O1352" s="12" t="str">
        <f aca="false">IFERROR(VLOOKUP($A1352,Lista_Starke!$A:$E,3,0),"NÃO ESTÁ NA LISTA")</f>
        <v>FORD: New Fiesta 1.5 16V / 1.6 16V Sigma 10/18</v>
      </c>
      <c r="P1352" s="12" t="str">
        <f aca="false">IFERROR(VLOOKUP($A1352,Lista_Starke!$A:$E,2,0),"NÃO ESTÁ NA LISTA")</f>
        <v>CILINDRO MESTRE DE FREIO</v>
      </c>
    </row>
    <row r="1353" customFormat="false" ht="15" hidden="false" customHeight="true" outlineLevel="0" collapsed="false">
      <c r="A1353" s="10" t="s">
        <v>2936</v>
      </c>
      <c r="B1353" s="10" t="str">
        <f aca="false">IFERROR(VLOOKUP(A1353,Pedido!$A:$B,2,0),"")</f>
        <v/>
      </c>
      <c r="C1353" s="10" t="str">
        <f aca="false">IF(B1353="","NÃO COMPRA","COMPRA")</f>
        <v>NÃO COMPRA</v>
      </c>
      <c r="D1353" s="1" t="n">
        <f aca="false">IFERROR(VLOOKUP(A1353,Pedido!$A:$C,3,0),0)</f>
        <v>0</v>
      </c>
      <c r="E1353" s="5" t="n">
        <f aca="false">IFERROR(VLOOKUP(A1353,Pedido!$A:$E,5,0),0)</f>
        <v>0</v>
      </c>
      <c r="F1353" s="1" t="s">
        <v>9</v>
      </c>
      <c r="G1353" s="1" t="s">
        <v>1587</v>
      </c>
      <c r="H1353" s="1" t="s">
        <v>326</v>
      </c>
      <c r="I1353" s="1" t="s">
        <v>29</v>
      </c>
      <c r="K1353" s="1" t="n">
        <v>33</v>
      </c>
      <c r="L1353" s="11" t="n">
        <v>0.990303560774553</v>
      </c>
      <c r="M1353" s="1" t="n">
        <f aca="false">SUMIF(Relatorio_AK!$A:$A,A1353,Relatorio_AK!$B:$B)</f>
        <v>33</v>
      </c>
      <c r="N1353" s="1" t="str">
        <f aca="false">IF(M1353=K1353,"OK","DIF")</f>
        <v>OK</v>
      </c>
      <c r="O1353" s="13" t="str">
        <f aca="false">IFERROR(VLOOKUP($A1353,Lista_Starke!$A:$E,3,0),"NÃO ESTÁ NA LISTA")</f>
        <v>HYUNDAI: H100 2.5 Diesel 98/…
MITSUBISHI: L200 2.5 Diesel GL/GLS 96/06</v>
      </c>
      <c r="P1353" s="12" t="str">
        <f aca="false">IFERROR(VLOOKUP($A1353,Lista_Starke!$A:$E,2,0),"NÃO ESTÁ NA LISTA")</f>
        <v>BOMBA DE VÁCUO ALTERNADOR</v>
      </c>
    </row>
    <row r="1354" customFormat="false" ht="15" hidden="false" customHeight="true" outlineLevel="0" collapsed="false">
      <c r="A1354" s="10" t="s">
        <v>2937</v>
      </c>
      <c r="B1354" s="10" t="str">
        <f aca="false">IFERROR(VLOOKUP(A1354,Pedido!$A:$B,2,0),"")</f>
        <v/>
      </c>
      <c r="C1354" s="10" t="str">
        <f aca="false">IF(B1354="","NÃO COMPRA","COMPRA")</f>
        <v>NÃO COMPRA</v>
      </c>
      <c r="D1354" s="1" t="n">
        <f aca="false">IFERROR(VLOOKUP(A1354,Pedido!$A:$C,3,0),0)</f>
        <v>0</v>
      </c>
      <c r="E1354" s="5" t="n">
        <f aca="false">IFERROR(VLOOKUP(A1354,Pedido!$A:$E,5,0),0)</f>
        <v>0</v>
      </c>
      <c r="F1354" s="1" t="s">
        <v>9</v>
      </c>
      <c r="G1354" s="1" t="s">
        <v>1959</v>
      </c>
      <c r="H1354" s="1" t="s">
        <v>1358</v>
      </c>
      <c r="I1354" s="1" t="s">
        <v>172</v>
      </c>
      <c r="J1354" s="1" t="s">
        <v>2938</v>
      </c>
      <c r="K1354" s="1" t="n">
        <v>33</v>
      </c>
      <c r="L1354" s="11" t="n">
        <v>0.990359975177663</v>
      </c>
      <c r="M1354" s="1" t="n">
        <f aca="false">SUMIF(Relatorio_AK!$A:$A,A1354,Relatorio_AK!$B:$B)</f>
        <v>33</v>
      </c>
      <c r="N1354" s="1" t="str">
        <f aca="false">IF(M1354=K1354,"OK","DIF")</f>
        <v>OK</v>
      </c>
      <c r="O1354" s="13" t="str">
        <f aca="false">IFERROR(VLOOKUP($A1354,Lista_Starke!$A:$E,3,0),"NÃO ESTÁ NA LISTA")</f>
        <v>HYUNDAI: Santa Fe  11/...
KIA: Sorento  09/12</v>
      </c>
      <c r="P1354" s="12" t="str">
        <f aca="false">IFERROR(VLOOKUP($A1354,Lista_Starke!$A:$E,2,0),"NÃO ESTÁ NA LISTA")</f>
        <v>BANDEJA INFERIOR COMPLETA LD</v>
      </c>
    </row>
    <row r="1355" customFormat="false" ht="15" hidden="false" customHeight="true" outlineLevel="0" collapsed="false">
      <c r="A1355" s="10" t="s">
        <v>2939</v>
      </c>
      <c r="B1355" s="10" t="str">
        <f aca="false">IFERROR(VLOOKUP(A1355,Pedido!$A:$B,2,0),"")</f>
        <v/>
      </c>
      <c r="C1355" s="10" t="str">
        <f aca="false">IF(B1355="","NÃO COMPRA","COMPRA")</f>
        <v>NÃO COMPRA</v>
      </c>
      <c r="D1355" s="1" t="n">
        <f aca="false">IFERROR(VLOOKUP(A1355,Pedido!$A:$C,3,0),0)</f>
        <v>0</v>
      </c>
      <c r="E1355" s="5" t="n">
        <f aca="false">IFERROR(VLOOKUP(A1355,Pedido!$A:$E,5,0),0)</f>
        <v>0</v>
      </c>
      <c r="F1355" s="1" t="s">
        <v>9</v>
      </c>
      <c r="G1355" s="1" t="s">
        <v>1959</v>
      </c>
      <c r="H1355" s="1" t="s">
        <v>1358</v>
      </c>
      <c r="I1355" s="1" t="s">
        <v>172</v>
      </c>
      <c r="J1355" s="1" t="s">
        <v>2940</v>
      </c>
      <c r="K1355" s="1" t="n">
        <v>33</v>
      </c>
      <c r="L1355" s="11" t="n">
        <v>0.990416389580773</v>
      </c>
      <c r="M1355" s="1" t="n">
        <f aca="false">SUMIF(Relatorio_AK!$A:$A,A1355,Relatorio_AK!$B:$B)</f>
        <v>33</v>
      </c>
      <c r="N1355" s="1" t="str">
        <f aca="false">IF(M1355=K1355,"OK","DIF")</f>
        <v>OK</v>
      </c>
      <c r="O1355" s="13" t="str">
        <f aca="false">IFERROR(VLOOKUP($A1355,Lista_Starke!$A:$E,3,0),"NÃO ESTÁ NA LISTA")</f>
        <v>HYUNDAI: iX35  10/...
HYUNDAI: Tucson  09/14
KIA: Sportage  11/...</v>
      </c>
      <c r="P1355" s="12" t="str">
        <f aca="false">IFERROR(VLOOKUP($A1355,Lista_Starke!$A:$E,2,0),"NÃO ESTÁ NA LISTA")</f>
        <v>BANDEJA INFERIOR COMPLETA LD</v>
      </c>
    </row>
    <row r="1356" customFormat="false" ht="15" hidden="false" customHeight="true" outlineLevel="0" collapsed="false">
      <c r="A1356" s="10" t="s">
        <v>2941</v>
      </c>
      <c r="B1356" s="10" t="str">
        <f aca="false">IFERROR(VLOOKUP(A1356,Pedido!$A:$B,2,0),"")</f>
        <v/>
      </c>
      <c r="C1356" s="10" t="str">
        <f aca="false">IF(B1356="","NÃO COMPRA","COMPRA")</f>
        <v>NÃO COMPRA</v>
      </c>
      <c r="D1356" s="1" t="n">
        <f aca="false">IFERROR(VLOOKUP(A1356,Pedido!$A:$C,3,0),0)</f>
        <v>0</v>
      </c>
      <c r="E1356" s="5" t="n">
        <f aca="false">IFERROR(VLOOKUP(A1356,Pedido!$A:$E,5,0),0)</f>
        <v>0</v>
      </c>
      <c r="F1356" s="1" t="s">
        <v>9</v>
      </c>
      <c r="G1356" s="1" t="s">
        <v>1919</v>
      </c>
      <c r="H1356" s="1" t="s">
        <v>1358</v>
      </c>
      <c r="I1356" s="1" t="s">
        <v>177</v>
      </c>
      <c r="J1356" s="1" t="s">
        <v>2942</v>
      </c>
      <c r="K1356" s="1" t="n">
        <v>33</v>
      </c>
      <c r="L1356" s="11" t="n">
        <v>0.990472803983883</v>
      </c>
      <c r="M1356" s="1" t="n">
        <f aca="false">SUMIF(Relatorio_AK!$A:$A,A1356,Relatorio_AK!$B:$B)</f>
        <v>33</v>
      </c>
      <c r="N1356" s="1" t="str">
        <f aca="false">IF(M1356=K1356,"OK","DIF")</f>
        <v>OK</v>
      </c>
      <c r="O1356" s="13" t="str">
        <f aca="false">IFERROR(VLOOKUP($A1356,Lista_Starke!$A:$E,3,0),"NÃO ESTÁ NA LISTA")</f>
        <v>TOYOTA: Corolla 1.8 16V 03/08
TOYOTA: Filder 1.8 16V 03/08</v>
      </c>
      <c r="P1356" s="12" t="str">
        <f aca="false">IFERROR(VLOOKUP($A1356,Lista_Starke!$A:$E,2,0),"NÃO ESTÁ NA LISTA")</f>
        <v>BANDEJA INFERIOR COMPLETA LD</v>
      </c>
    </row>
    <row r="1357" customFormat="false" ht="15" hidden="false" customHeight="true" outlineLevel="0" collapsed="false">
      <c r="A1357" s="10" t="s">
        <v>2943</v>
      </c>
      <c r="B1357" s="10" t="str">
        <f aca="false">IFERROR(VLOOKUP(A1357,Pedido!$A:$B,2,0),"")</f>
        <v/>
      </c>
      <c r="C1357" s="10" t="str">
        <f aca="false">IF(B1357="","NÃO COMPRA","COMPRA")</f>
        <v>NÃO COMPRA</v>
      </c>
      <c r="D1357" s="1" t="n">
        <f aca="false">IFERROR(VLOOKUP(A1357,Pedido!$A:$C,3,0),0)</f>
        <v>0</v>
      </c>
      <c r="E1357" s="5" t="n">
        <f aca="false">IFERROR(VLOOKUP(A1357,Pedido!$A:$E,5,0),0)</f>
        <v>0</v>
      </c>
      <c r="F1357" s="1" t="s">
        <v>9</v>
      </c>
      <c r="G1357" s="1" t="s">
        <v>1931</v>
      </c>
      <c r="H1357" s="1" t="s">
        <v>1358</v>
      </c>
      <c r="I1357" s="1" t="s">
        <v>53</v>
      </c>
      <c r="J1357" s="1" t="s">
        <v>2944</v>
      </c>
      <c r="K1357" s="1" t="n">
        <v>33</v>
      </c>
      <c r="L1357" s="11" t="n">
        <v>0.990529218386993</v>
      </c>
      <c r="M1357" s="1" t="n">
        <f aca="false">SUMIF(Relatorio_AK!$A:$A,A1357,Relatorio_AK!$B:$B)</f>
        <v>33</v>
      </c>
      <c r="N1357" s="1" t="str">
        <f aca="false">IF(M1357=K1357,"OK","DIF")</f>
        <v>OK</v>
      </c>
      <c r="O1357" s="12" t="str">
        <f aca="false">IFERROR(VLOOKUP($A1357,Lista_Starke!$A:$E,3,0),"NÃO ESTÁ NA LISTA")</f>
        <v>FORD: Focus  13/18</v>
      </c>
      <c r="P1357" s="12" t="str">
        <f aca="false">IFERROR(VLOOKUP($A1357,Lista_Starke!$A:$E,2,0),"NÃO ESTÁ NA LISTA")</f>
        <v>BANDEJA INFERIOR COMPLETA LD</v>
      </c>
    </row>
    <row r="1358" customFormat="false" ht="15" hidden="false" customHeight="true" outlineLevel="0" collapsed="false">
      <c r="A1358" s="10" t="s">
        <v>2945</v>
      </c>
      <c r="B1358" s="10" t="str">
        <f aca="false">IFERROR(VLOOKUP(A1358,Pedido!$A:$B,2,0),"")</f>
        <v/>
      </c>
      <c r="C1358" s="10" t="str">
        <f aca="false">IF(B1358="","NÃO COMPRA","COMPRA")</f>
        <v>NÃO COMPRA</v>
      </c>
      <c r="D1358" s="1" t="n">
        <f aca="false">IFERROR(VLOOKUP(A1358,Pedido!$A:$C,3,0),0)</f>
        <v>0</v>
      </c>
      <c r="E1358" s="5" t="n">
        <f aca="false">IFERROR(VLOOKUP(A1358,Pedido!$A:$E,5,0),0)</f>
        <v>0</v>
      </c>
      <c r="F1358" s="1" t="s">
        <v>9</v>
      </c>
      <c r="G1358" s="1" t="s">
        <v>616</v>
      </c>
      <c r="H1358" s="1" t="s">
        <v>197</v>
      </c>
      <c r="I1358" s="1" t="s">
        <v>226</v>
      </c>
      <c r="J1358" s="1" t="s">
        <v>2946</v>
      </c>
      <c r="K1358" s="1" t="n">
        <v>33</v>
      </c>
      <c r="L1358" s="11" t="n">
        <v>0.990585632790103</v>
      </c>
      <c r="M1358" s="1" t="n">
        <f aca="false">SUMIF(Relatorio_AK!$A:$A,A1358,Relatorio_AK!$B:$B)</f>
        <v>33</v>
      </c>
      <c r="N1358" s="1" t="str">
        <f aca="false">IF(M1358=K1358,"OK","DIF")</f>
        <v>OK</v>
      </c>
      <c r="O1358" s="13" t="str">
        <f aca="false">IFERROR(VLOOKUP($A1358,Lista_Starke!$A:$E,3,0),"NÃO ESTÁ NA LISTA")</f>
        <v>AUDI: A1 1.4 TFSI CAVG / CTHG / CTJA 11/...
VOLKSWAGEN: Beetle 1.4 TSI CAVD / CNWA / CTHD / CTKA 11/...
VOLKSWAGEN: Golf 1.4 TSI CAVD / CNWA / CTHD / CTKA 16/...
VOLKSWAGEN: Jetta 1.4 TSI CAVD / CTHA / CTHD 16/...
VOLKSWAGEN: Tiguan 1.4 TSI CAVD / CTHD 16/...</v>
      </c>
      <c r="P1358" s="12" t="str">
        <f aca="false">IFERROR(VLOOKUP($A1358,Lista_Starke!$A:$E,2,0),"NÃO ESTÁ NA LISTA")</f>
        <v>BOMBA D'ÁGUA</v>
      </c>
    </row>
    <row r="1359" customFormat="false" ht="15" hidden="false" customHeight="true" outlineLevel="0" collapsed="false">
      <c r="A1359" s="10" t="s">
        <v>2947</v>
      </c>
      <c r="B1359" s="10" t="str">
        <f aca="false">IFERROR(VLOOKUP(A1359,Pedido!$A:$B,2,0),"")</f>
        <v/>
      </c>
      <c r="C1359" s="10" t="str">
        <f aca="false">IF(B1359="","NÃO COMPRA","COMPRA")</f>
        <v>NÃO COMPRA</v>
      </c>
      <c r="D1359" s="1" t="n">
        <f aca="false">IFERROR(VLOOKUP(A1359,Pedido!$A:$C,3,0),0)</f>
        <v>0</v>
      </c>
      <c r="E1359" s="5" t="n">
        <f aca="false">IFERROR(VLOOKUP(A1359,Pedido!$A:$E,5,0),0)</f>
        <v>0</v>
      </c>
      <c r="F1359" s="1" t="s">
        <v>9</v>
      </c>
      <c r="G1359" s="1" t="s">
        <v>349</v>
      </c>
      <c r="H1359" s="1" t="s">
        <v>197</v>
      </c>
      <c r="I1359" s="1" t="s">
        <v>57</v>
      </c>
      <c r="K1359" s="1" t="n">
        <v>33</v>
      </c>
      <c r="L1359" s="11" t="n">
        <v>0.990642047193213</v>
      </c>
      <c r="M1359" s="1" t="n">
        <f aca="false">SUMIF(Relatorio_AK!$A:$A,A1359,Relatorio_AK!$B:$B)</f>
        <v>33</v>
      </c>
      <c r="N1359" s="1" t="str">
        <f aca="false">IF(M1359=K1359,"OK","DIF")</f>
        <v>OK</v>
      </c>
      <c r="O1359" s="12" t="str">
        <f aca="false">IFERROR(VLOOKUP($A1359,Lista_Starke!$A:$E,3,0),"NÃO ESTÁ NA LISTA")</f>
        <v>NÃO ESTÁ NA LISTA</v>
      </c>
      <c r="P1359" s="12" t="str">
        <f aca="false">IFERROR(VLOOKUP($A1359,Lista_Starke!$A:$E,2,0),"NÃO ESTÁ NA LISTA")</f>
        <v>NÃO ESTÁ NA LISTA</v>
      </c>
    </row>
    <row r="1360" customFormat="false" ht="15" hidden="false" customHeight="true" outlineLevel="0" collapsed="false">
      <c r="A1360" s="10" t="s">
        <v>2948</v>
      </c>
      <c r="B1360" s="10" t="str">
        <f aca="false">IFERROR(VLOOKUP(A1360,Pedido!$A:$B,2,0),"")</f>
        <v/>
      </c>
      <c r="C1360" s="10" t="str">
        <f aca="false">IF(B1360="","NÃO COMPRA","COMPRA")</f>
        <v>NÃO COMPRA</v>
      </c>
      <c r="D1360" s="1" t="n">
        <f aca="false">IFERROR(VLOOKUP(A1360,Pedido!$A:$C,3,0),0)</f>
        <v>0</v>
      </c>
      <c r="E1360" s="5" t="n">
        <f aca="false">IFERROR(VLOOKUP(A1360,Pedido!$A:$E,5,0),0)</f>
        <v>0</v>
      </c>
      <c r="F1360" s="1" t="s">
        <v>9</v>
      </c>
      <c r="G1360" s="1" t="s">
        <v>2949</v>
      </c>
      <c r="H1360" s="1" t="s">
        <v>1714</v>
      </c>
      <c r="I1360" s="1" t="s">
        <v>327</v>
      </c>
      <c r="J1360" s="1" t="s">
        <v>2950</v>
      </c>
      <c r="K1360" s="1" t="n">
        <v>33</v>
      </c>
      <c r="L1360" s="11" t="n">
        <v>0.990698461596323</v>
      </c>
      <c r="M1360" s="1" t="n">
        <f aca="false">SUMIF(Relatorio_AK!$A:$A,A1360,Relatorio_AK!$B:$B)</f>
        <v>33</v>
      </c>
      <c r="N1360" s="1" t="str">
        <f aca="false">IF(M1360=K1360,"OK","DIF")</f>
        <v>OK</v>
      </c>
      <c r="O1360" s="13" t="str">
        <f aca="false">IFERROR(VLOOKUP($A1360,Lista_Starke!$A:$E,3,0),"NÃO ESTÁ NA LISTA")</f>
        <v>FORD: F1000 XL / XLT 2.5 Turbo Diesel Maxion HS …/98
FORD: Ranger 2.5 Turbo Diesel Maxion HS 96/06
FORD: Ranger 2.8 Turbo Diesel Maxion HS 98/06
GM: Blazer 2.5 Turbo Diesel Maxion HS 96/05
GM: Blazer 2.8 Turbo Diesel Maxion HS 96/05
GM: S10 2.5 Turbo Diesel Maxion HS 96/05
GM: S10 2.8 Turbo Diesel Maxion HS 96/05
LAND ROVER: Defender 2.5 Turbo Diesel Maxion HS 90/98
LAND ROVER: Discovery II 2.5 Turbo Diesel Maxion HS 90/98
MERCEDES-BENZ: Sprinter 310 / 312 / 412 2.5 Turbo Diesel Maxion HS 97/02
MERCEDES-BENZ: Sprinter 310 / 312 / 412 2.8 Turbo Diesel Maxion HS 97/02</v>
      </c>
      <c r="P1360" s="12" t="str">
        <f aca="false">IFERROR(VLOOKUP($A1360,Lista_Starke!$A:$E,2,0),"NÃO ESTÁ NA LISTA")</f>
        <v>POLIA VISCOSA</v>
      </c>
    </row>
    <row r="1361" customFormat="false" ht="15" hidden="false" customHeight="true" outlineLevel="0" collapsed="false">
      <c r="A1361" s="10" t="s">
        <v>2951</v>
      </c>
      <c r="B1361" s="10" t="str">
        <f aca="false">IFERROR(VLOOKUP(A1361,Pedido!$A:$B,2,0),"")</f>
        <v/>
      </c>
      <c r="C1361" s="10" t="str">
        <f aca="false">IF(B1361="","NÃO COMPRA","COMPRA")</f>
        <v>NÃO COMPRA</v>
      </c>
      <c r="D1361" s="1" t="n">
        <f aca="false">IFERROR(VLOOKUP(A1361,Pedido!$A:$C,3,0),0)</f>
        <v>0</v>
      </c>
      <c r="E1361" s="5" t="n">
        <f aca="false">IFERROR(VLOOKUP(A1361,Pedido!$A:$E,5,0),0)</f>
        <v>0</v>
      </c>
      <c r="F1361" s="1" t="s">
        <v>9</v>
      </c>
      <c r="G1361" s="1" t="s">
        <v>2292</v>
      </c>
      <c r="H1361" s="1" t="s">
        <v>1714</v>
      </c>
      <c r="I1361" s="1" t="s">
        <v>53</v>
      </c>
      <c r="J1361" s="1" t="s">
        <v>2952</v>
      </c>
      <c r="K1361" s="1" t="n">
        <v>33</v>
      </c>
      <c r="L1361" s="11" t="n">
        <v>0.990754875999433</v>
      </c>
      <c r="M1361" s="1" t="n">
        <f aca="false">SUMIF(Relatorio_AK!$A:$A,A1361,Relatorio_AK!$B:$B)</f>
        <v>33</v>
      </c>
      <c r="N1361" s="1" t="str">
        <f aca="false">IF(M1361=K1361,"OK","DIF")</f>
        <v>OK</v>
      </c>
      <c r="O1361" s="12" t="str">
        <f aca="false">IFERROR(VLOOKUP($A1361,Lista_Starke!$A:$E,3,0),"NÃO ESTÁ NA LISTA")</f>
        <v>FORD: Transit 2.4 16V TDCi / TDE  Duratorq 08/…</v>
      </c>
      <c r="P1361" s="12" t="str">
        <f aca="false">IFERROR(VLOOKUP($A1361,Lista_Starke!$A:$E,2,0),"NÃO ESTÁ NA LISTA")</f>
        <v>POLIA VISCOSA</v>
      </c>
    </row>
    <row r="1362" customFormat="false" ht="15" hidden="false" customHeight="true" outlineLevel="0" collapsed="false">
      <c r="A1362" s="10" t="s">
        <v>2953</v>
      </c>
      <c r="B1362" s="10" t="str">
        <f aca="false">IFERROR(VLOOKUP(A1362,Pedido!$A:$B,2,0),"")</f>
        <v/>
      </c>
      <c r="C1362" s="10" t="str">
        <f aca="false">IF(B1362="","NÃO COMPRA","COMPRA")</f>
        <v>NÃO COMPRA</v>
      </c>
      <c r="D1362" s="1" t="n">
        <f aca="false">IFERROR(VLOOKUP(A1362,Pedido!$A:$C,3,0),0)</f>
        <v>0</v>
      </c>
      <c r="E1362" s="5" t="n">
        <f aca="false">IFERROR(VLOOKUP(A1362,Pedido!$A:$E,5,0),0)</f>
        <v>0</v>
      </c>
      <c r="F1362" s="1" t="s">
        <v>9</v>
      </c>
      <c r="G1362" s="1" t="s">
        <v>2954</v>
      </c>
      <c r="H1362" s="1" t="s">
        <v>790</v>
      </c>
      <c r="I1362" s="1" t="s">
        <v>684</v>
      </c>
      <c r="J1362" s="1" t="s">
        <v>2955</v>
      </c>
      <c r="K1362" s="1" t="n">
        <v>33</v>
      </c>
      <c r="L1362" s="11" t="n">
        <v>0.990811290402543</v>
      </c>
      <c r="M1362" s="1" t="n">
        <f aca="false">SUMIF(Relatorio_AK!$A:$A,A1362,Relatorio_AK!$B:$B)</f>
        <v>33</v>
      </c>
      <c r="N1362" s="1" t="str">
        <f aca="false">IF(M1362=K1362,"OK","DIF")</f>
        <v>OK</v>
      </c>
      <c r="O1362" s="13" t="str">
        <f aca="false">IFERROR(VLOOKUP($A1362,Lista_Starke!$A:$E,3,0),"NÃO ESTÁ NA LISTA")</f>
        <v>LAND ROVER: Defender P300 MHEV 4x4 3.0 6 cil. PT306(AJ20P6) 22/...
LAND ROVER: Defender P400 I6 MHEV 4x4 3.0 6 cil. PT306(AJ20P6) 19/...
LAND ROVER: Range Rover Sport 3.0 P360 MHEV 4x4 PT306(AJ20P6) 19/22
LAND ROVER: Range Rover Sport P400 MHEV AWD 3.0 6 cil. PT306(AJ20P6) 22/...</v>
      </c>
      <c r="P1362" s="12" t="str">
        <f aca="false">IFERROR(VLOOKUP($A1362,Lista_Starke!$A:$E,2,0),"NÃO ESTÁ NA LISTA")</f>
        <v>BOMBA D'ÁGUA ELÉTRICA</v>
      </c>
    </row>
    <row r="1363" customFormat="false" ht="15" hidden="false" customHeight="true" outlineLevel="0" collapsed="false">
      <c r="A1363" s="10" t="s">
        <v>2956</v>
      </c>
      <c r="B1363" s="10" t="str">
        <f aca="false">IFERROR(VLOOKUP(A1363,Pedido!$A:$B,2,0),"")</f>
        <v/>
      </c>
      <c r="C1363" s="10" t="str">
        <f aca="false">IF(B1363="","NÃO COMPRA","COMPRA")</f>
        <v>NÃO COMPRA</v>
      </c>
      <c r="D1363" s="1" t="n">
        <f aca="false">IFERROR(VLOOKUP(A1363,Pedido!$A:$C,3,0),0)</f>
        <v>0</v>
      </c>
      <c r="E1363" s="5" t="n">
        <f aca="false">IFERROR(VLOOKUP(A1363,Pedido!$A:$E,5,0),0)</f>
        <v>0</v>
      </c>
      <c r="F1363" s="1" t="s">
        <v>9</v>
      </c>
      <c r="G1363" s="1" t="s">
        <v>640</v>
      </c>
      <c r="H1363" s="1" t="s">
        <v>845</v>
      </c>
      <c r="I1363" s="1" t="s">
        <v>2957</v>
      </c>
      <c r="J1363" s="1" t="s">
        <v>2958</v>
      </c>
      <c r="K1363" s="1" t="n">
        <v>33</v>
      </c>
      <c r="L1363" s="11" t="n">
        <v>0.990867704805653</v>
      </c>
      <c r="M1363" s="1" t="n">
        <f aca="false">SUMIF(Relatorio_AK!$A:$A,A1363,Relatorio_AK!$B:$B)</f>
        <v>33</v>
      </c>
      <c r="N1363" s="1" t="str">
        <f aca="false">IF(M1363=K1363,"OK","DIF")</f>
        <v>OK</v>
      </c>
      <c r="O1363" s="13" t="str">
        <f aca="false">IFERROR(VLOOKUP($A1363,Lista_Starke!$A:$E,3,0),"NÃO ESTÁ NA LISTA")</f>
        <v>CHERY: Tiggo 2.0 16V   SQR484F 10/…
MITSUBISHI: Pajero Sport 2.4 16V 19/...
MITSUBISHI: Pajero Sport 3.0 V6 08/19
TOYOTA: RAV4 2.0 16V 01/05</v>
      </c>
      <c r="P1363" s="12" t="str">
        <f aca="false">IFERROR(VLOOKUP($A1363,Lista_Starke!$A:$E,2,0),"NÃO ESTÁ NA LISTA")</f>
        <v>SAPATA DE FREIO DE MÃO</v>
      </c>
    </row>
    <row r="1364" customFormat="false" ht="15" hidden="false" customHeight="true" outlineLevel="0" collapsed="false">
      <c r="A1364" s="10" t="s">
        <v>2959</v>
      </c>
      <c r="B1364" s="10" t="str">
        <f aca="false">IFERROR(VLOOKUP(A1364,Pedido!$A:$B,2,0),"")</f>
        <v/>
      </c>
      <c r="C1364" s="10" t="str">
        <f aca="false">IF(B1364="","NÃO COMPRA","COMPRA")</f>
        <v>NÃO COMPRA</v>
      </c>
      <c r="D1364" s="1" t="n">
        <f aca="false">IFERROR(VLOOKUP(A1364,Pedido!$A:$C,3,0),0)</f>
        <v>0</v>
      </c>
      <c r="E1364" s="5" t="n">
        <f aca="false">IFERROR(VLOOKUP(A1364,Pedido!$A:$E,5,0),0)</f>
        <v>0</v>
      </c>
      <c r="F1364" s="1" t="s">
        <v>9</v>
      </c>
      <c r="G1364" s="1" t="s">
        <v>2960</v>
      </c>
      <c r="H1364" s="1" t="s">
        <v>88</v>
      </c>
      <c r="I1364" s="1" t="s">
        <v>42</v>
      </c>
      <c r="J1364" s="1" t="s">
        <v>2692</v>
      </c>
      <c r="K1364" s="1" t="n">
        <v>33</v>
      </c>
      <c r="L1364" s="11" t="n">
        <v>0.990924119208763</v>
      </c>
      <c r="M1364" s="1" t="n">
        <f aca="false">SUMIF(Relatorio_AK!$A:$A,A1364,Relatorio_AK!$B:$B)</f>
        <v>33</v>
      </c>
      <c r="N1364" s="1" t="str">
        <f aca="false">IF(M1364=K1364,"OK","DIF")</f>
        <v>OK</v>
      </c>
      <c r="O1364" s="13" t="str">
        <f aca="false">IFERROR(VLOOKUP($A1364,Lista_Starke!$A:$E,3,0),"NÃO ESTÁ NA LISTA")</f>
        <v>RENAULT: Kangoo 1.0 8V 02/07
RENAULT: Kangoo 1.6 16V 00/07
RENAULT: Kangoo 1.6 16V 02/11</v>
      </c>
      <c r="P1364" s="12" t="str">
        <f aca="false">IFERROR(VLOOKUP($A1364,Lista_Starke!$A:$E,2,0),"NÃO ESTÁ NA LISTA")</f>
        <v>CILINDRO DE RODA LE/LD - IGUAL SWC5086</v>
      </c>
    </row>
    <row r="1365" customFormat="false" ht="15" hidden="false" customHeight="true" outlineLevel="0" collapsed="false">
      <c r="A1365" s="10" t="s">
        <v>2961</v>
      </c>
      <c r="B1365" s="10" t="str">
        <f aca="false">IFERROR(VLOOKUP(A1365,Pedido!$A:$B,2,0),"")</f>
        <v/>
      </c>
      <c r="C1365" s="10" t="str">
        <f aca="false">IF(B1365="","NÃO COMPRA","COMPRA")</f>
        <v>NÃO COMPRA</v>
      </c>
      <c r="D1365" s="1" t="n">
        <f aca="false">IFERROR(VLOOKUP(A1365,Pedido!$A:$C,3,0),0)</f>
        <v>0</v>
      </c>
      <c r="E1365" s="5" t="n">
        <f aca="false">IFERROR(VLOOKUP(A1365,Pedido!$A:$E,5,0),0)</f>
        <v>0</v>
      </c>
      <c r="F1365" s="1" t="s">
        <v>9</v>
      </c>
      <c r="G1365" s="1" t="s">
        <v>349</v>
      </c>
      <c r="H1365" s="1" t="s">
        <v>197</v>
      </c>
      <c r="I1365" s="1" t="s">
        <v>613</v>
      </c>
      <c r="J1365" s="1" t="s">
        <v>2962</v>
      </c>
      <c r="K1365" s="1" t="n">
        <v>32</v>
      </c>
      <c r="L1365" s="11" t="n">
        <v>0.990978824084506</v>
      </c>
      <c r="M1365" s="1" t="n">
        <f aca="false">SUMIF(Relatorio_AK!$A:$A,A1365,Relatorio_AK!$B:$B)</f>
        <v>32</v>
      </c>
      <c r="N1365" s="1" t="str">
        <f aca="false">IF(M1365=K1365,"OK","DIF")</f>
        <v>OK</v>
      </c>
      <c r="O1365" s="13" t="str">
        <f aca="false">IFERROR(VLOOKUP($A1365,Lista_Starke!$A:$E,3,0),"NÃO ESTÁ NA LISTA")</f>
        <v>FIAT: Doblo 1.8 8V Powertrain 04/10
FIAT: Idea 1.8 8V Powertrain 06/10
FIAT: Palio 1.8 8V Powertrain 03/10
FIAT: Palio Weekend 1.8 8V Powertrain 03/10
FIAT: Punto 1.8 8V Powertrain 08/10
FIAT: Siena 1.8 8V Powertrain 03/10
GM: Cobalt 1.8 8V Econoflex 12/...
GM: Corsa 1.8 8V Powertrain 02/12
GM: Meriva 1.8 8V Powertrain 02/12
GM: Montana 1.8 8V Powertrain 02/10
GM: Spin 1.8 8V Powertrain 13/...
GM: Stilo 1.8 8V Powertrain 03/11
GM: Strada 1.8 8V Powertrain 03/10</v>
      </c>
      <c r="P1365" s="12" t="str">
        <f aca="false">IFERROR(VLOOKUP($A1365,Lista_Starke!$A:$E,2,0),"NÃO ESTÁ NA LISTA")</f>
        <v>BOMBA D'ÁGUA</v>
      </c>
    </row>
    <row r="1366" customFormat="false" ht="15" hidden="false" customHeight="true" outlineLevel="0" collapsed="false">
      <c r="A1366" s="10" t="s">
        <v>2963</v>
      </c>
      <c r="B1366" s="10" t="str">
        <f aca="false">IFERROR(VLOOKUP(A1366,Pedido!$A:$B,2,0),"")</f>
        <v/>
      </c>
      <c r="C1366" s="10" t="str">
        <f aca="false">IF(B1366="","NÃO COMPRA","COMPRA")</f>
        <v>NÃO COMPRA</v>
      </c>
      <c r="D1366" s="1" t="n">
        <f aca="false">IFERROR(VLOOKUP(A1366,Pedido!$A:$C,3,0),0)</f>
        <v>0</v>
      </c>
      <c r="E1366" s="5" t="n">
        <f aca="false">IFERROR(VLOOKUP(A1366,Pedido!$A:$E,5,0),0)</f>
        <v>0</v>
      </c>
      <c r="F1366" s="1" t="s">
        <v>9</v>
      </c>
      <c r="G1366" s="1" t="s">
        <v>2964</v>
      </c>
      <c r="H1366" s="1" t="s">
        <v>197</v>
      </c>
      <c r="I1366" s="1" t="s">
        <v>929</v>
      </c>
      <c r="J1366" s="1" t="s">
        <v>2965</v>
      </c>
      <c r="K1366" s="1" t="n">
        <v>32</v>
      </c>
      <c r="L1366" s="11" t="n">
        <v>0.991033528960249</v>
      </c>
      <c r="M1366" s="1" t="n">
        <f aca="false">SUMIF(Relatorio_AK!$A:$A,A1366,Relatorio_AK!$B:$B)</f>
        <v>32</v>
      </c>
      <c r="N1366" s="1" t="str">
        <f aca="false">IF(M1366=K1366,"OK","DIF")</f>
        <v>OK</v>
      </c>
      <c r="O1366" s="13" t="str">
        <f aca="false">IFERROR(VLOOKUP($A1366,Lista_Starke!$A:$E,3,0),"NÃO ESTÁ NA LISTA")</f>
        <v>SUZUKI: Jimny 1.3 16V G13BA 98/...
SUZUKI: Samurai 1.3 16V G13BA 91/98
SUZUKI: Samurai 1.3 8V G13BA 91/98</v>
      </c>
      <c r="P1366" s="12" t="str">
        <f aca="false">IFERROR(VLOOKUP($A1366,Lista_Starke!$A:$E,2,0),"NÃO ESTÁ NA LISTA")</f>
        <v>BOMBA D´ÁGUA</v>
      </c>
    </row>
    <row r="1367" customFormat="false" ht="15" hidden="false" customHeight="true" outlineLevel="0" collapsed="false">
      <c r="A1367" s="10" t="s">
        <v>2966</v>
      </c>
      <c r="B1367" s="10" t="str">
        <f aca="false">IFERROR(VLOOKUP(A1367,Pedido!$A:$B,2,0),"")</f>
        <v/>
      </c>
      <c r="C1367" s="10" t="str">
        <f aca="false">IF(B1367="","NÃO COMPRA","COMPRA")</f>
        <v>NÃO COMPRA</v>
      </c>
      <c r="D1367" s="1" t="n">
        <f aca="false">IFERROR(VLOOKUP(A1367,Pedido!$A:$C,3,0),0)</f>
        <v>0</v>
      </c>
      <c r="E1367" s="5" t="n">
        <f aca="false">IFERROR(VLOOKUP(A1367,Pedido!$A:$E,5,0),0)</f>
        <v>0</v>
      </c>
      <c r="F1367" s="1" t="s">
        <v>9</v>
      </c>
      <c r="G1367" s="1" t="s">
        <v>2137</v>
      </c>
      <c r="H1367" s="1" t="s">
        <v>197</v>
      </c>
      <c r="I1367" s="1" t="s">
        <v>1182</v>
      </c>
      <c r="J1367" s="1" t="s">
        <v>2967</v>
      </c>
      <c r="K1367" s="1" t="n">
        <v>32</v>
      </c>
      <c r="L1367" s="11" t="n">
        <v>0.991088233835992</v>
      </c>
      <c r="M1367" s="1" t="n">
        <f aca="false">SUMIF(Relatorio_AK!$A:$A,A1367,Relatorio_AK!$B:$B)</f>
        <v>32</v>
      </c>
      <c r="N1367" s="1" t="str">
        <f aca="false">IF(M1367=K1367,"OK","DIF")</f>
        <v>OK</v>
      </c>
      <c r="O1367" s="12" t="str">
        <f aca="false">IFERROR(VLOOKUP($A1367,Lista_Starke!$A:$E,3,0),"NÃO ESTÁ NA LISTA")</f>
        <v>KIA: Besta 2.7 Diesel 93/98</v>
      </c>
      <c r="P1367" s="12" t="str">
        <f aca="false">IFERROR(VLOOKUP($A1367,Lista_Starke!$A:$E,2,0),"NÃO ESTÁ NA LISTA")</f>
        <v>BOMBA D'ÁGUA</v>
      </c>
    </row>
    <row r="1368" customFormat="false" ht="15" hidden="false" customHeight="true" outlineLevel="0" collapsed="false">
      <c r="A1368" s="10" t="s">
        <v>2968</v>
      </c>
      <c r="B1368" s="10" t="str">
        <f aca="false">IFERROR(VLOOKUP(A1368,Pedido!$A:$B,2,0),"")</f>
        <v/>
      </c>
      <c r="C1368" s="10" t="str">
        <f aca="false">IF(B1368="","NÃO COMPRA","COMPRA")</f>
        <v>NÃO COMPRA</v>
      </c>
      <c r="D1368" s="1" t="n">
        <f aca="false">IFERROR(VLOOKUP(A1368,Pedido!$A:$C,3,0),0)</f>
        <v>0</v>
      </c>
      <c r="E1368" s="5" t="n">
        <f aca="false">IFERROR(VLOOKUP(A1368,Pedido!$A:$E,5,0),0)</f>
        <v>0</v>
      </c>
      <c r="F1368" s="1" t="s">
        <v>9</v>
      </c>
      <c r="G1368" s="1" t="s">
        <v>1508</v>
      </c>
      <c r="H1368" s="1" t="s">
        <v>35</v>
      </c>
      <c r="I1368" s="1" t="s">
        <v>1509</v>
      </c>
      <c r="J1368" s="1" t="s">
        <v>2969</v>
      </c>
      <c r="K1368" s="1" t="n">
        <v>32</v>
      </c>
      <c r="L1368" s="11" t="n">
        <v>0.991142938711735</v>
      </c>
      <c r="M1368" s="1" t="n">
        <f aca="false">SUMIF(Relatorio_AK!$A:$A,A1368,Relatorio_AK!$B:$B)</f>
        <v>32</v>
      </c>
      <c r="N1368" s="1" t="str">
        <f aca="false">IF(M1368=K1368,"OK","DIF")</f>
        <v>OK</v>
      </c>
      <c r="O1368" s="13" t="str">
        <f aca="false">IFERROR(VLOOKUP($A1368,Lista_Starke!$A:$E,3,0),"NÃO ESTÁ NA LISTA")</f>
        <v>DODGE: Journey 2.7 V6 08/10
DODGE: Journey 3.6 V6 11/12</v>
      </c>
      <c r="P1368" s="12" t="str">
        <f aca="false">IFERROR(VLOOKUP($A1368,Lista_Starke!$A:$E,2,0),"NÃO ESTÁ NA LISTA")</f>
        <v>CILINDRO MESTRE DE FREIO</v>
      </c>
    </row>
    <row r="1369" customFormat="false" ht="15" hidden="false" customHeight="true" outlineLevel="0" collapsed="false">
      <c r="A1369" s="10" t="s">
        <v>2970</v>
      </c>
      <c r="B1369" s="10" t="str">
        <f aca="false">IFERROR(VLOOKUP(A1369,Pedido!$A:$B,2,0),"")</f>
        <v/>
      </c>
      <c r="C1369" s="10" t="str">
        <f aca="false">IF(B1369="","NÃO COMPRA","COMPRA")</f>
        <v>NÃO COMPRA</v>
      </c>
      <c r="D1369" s="1" t="n">
        <f aca="false">IFERROR(VLOOKUP(A1369,Pedido!$A:$C,3,0),0)</f>
        <v>0</v>
      </c>
      <c r="E1369" s="5" t="n">
        <f aca="false">IFERROR(VLOOKUP(A1369,Pedido!$A:$E,5,0),0)</f>
        <v>0</v>
      </c>
      <c r="F1369" s="1" t="s">
        <v>9</v>
      </c>
      <c r="G1369" s="1" t="s">
        <v>2066</v>
      </c>
      <c r="H1369" s="1" t="s">
        <v>197</v>
      </c>
      <c r="I1369" s="1" t="s">
        <v>2067</v>
      </c>
      <c r="J1369" s="1" t="s">
        <v>2971</v>
      </c>
      <c r="K1369" s="1" t="n">
        <v>31</v>
      </c>
      <c r="L1369" s="11" t="n">
        <v>0.991195934060111</v>
      </c>
      <c r="M1369" s="1" t="n">
        <f aca="false">SUMIF(Relatorio_AK!$A:$A,A1369,Relatorio_AK!$B:$B)</f>
        <v>31</v>
      </c>
      <c r="N1369" s="1" t="str">
        <f aca="false">IF(M1369=K1369,"OK","DIF")</f>
        <v>OK</v>
      </c>
      <c r="O1369" s="13" t="str">
        <f aca="false">IFERROR(VLOOKUP($A1369,Lista_Starke!$A:$E,3,0),"NÃO ESTÁ NA LISTA")</f>
        <v>CHRYSLER: Town &amp; Country 3.3 V6 07/...
CHRYSLER: Town &amp; Country 3.8 V6 07/...
CHRYSLER: Voyager 3.3 V6 03/...
DODGE: Caravan 3.3 V6 07/...
DODGE: Grand Caravan 3.3 V6 07/...
DODGE: Grand Caravan 3.8 V6 07/...</v>
      </c>
      <c r="P1369" s="12" t="str">
        <f aca="false">IFERROR(VLOOKUP($A1369,Lista_Starke!$A:$E,2,0),"NÃO ESTÁ NA LISTA")</f>
        <v>BOMBA D'ÁGUA</v>
      </c>
    </row>
    <row r="1370" customFormat="false" ht="15" hidden="false" customHeight="true" outlineLevel="0" collapsed="false">
      <c r="A1370" s="10" t="s">
        <v>2972</v>
      </c>
      <c r="B1370" s="10" t="str">
        <f aca="false">IFERROR(VLOOKUP(A1370,Pedido!$A:$B,2,0),"")</f>
        <v/>
      </c>
      <c r="C1370" s="10" t="str">
        <f aca="false">IF(B1370="","NÃO COMPRA","COMPRA")</f>
        <v>NÃO COMPRA</v>
      </c>
      <c r="D1370" s="1" t="n">
        <f aca="false">IFERROR(VLOOKUP(A1370,Pedido!$A:$C,3,0),0)</f>
        <v>0</v>
      </c>
      <c r="E1370" s="5" t="n">
        <f aca="false">IFERROR(VLOOKUP(A1370,Pedido!$A:$E,5,0),0)</f>
        <v>0</v>
      </c>
      <c r="F1370" s="1" t="s">
        <v>9</v>
      </c>
      <c r="G1370" s="1" t="s">
        <v>1326</v>
      </c>
      <c r="H1370" s="1" t="s">
        <v>197</v>
      </c>
      <c r="I1370" s="1" t="s">
        <v>177</v>
      </c>
      <c r="J1370" s="1" t="s">
        <v>2973</v>
      </c>
      <c r="K1370" s="1" t="n">
        <v>31</v>
      </c>
      <c r="L1370" s="11" t="n">
        <v>0.991248929408487</v>
      </c>
      <c r="M1370" s="1" t="n">
        <f aca="false">SUMIF(Relatorio_AK!$A:$A,A1370,Relatorio_AK!$B:$B)</f>
        <v>31</v>
      </c>
      <c r="N1370" s="1" t="str">
        <f aca="false">IF(M1370=K1370,"OK","DIF")</f>
        <v>OK</v>
      </c>
      <c r="O1370" s="13" t="str">
        <f aca="false">IFERROR(VLOOKUP($A1370,Lista_Starke!$A:$E,3,0),"NÃO ESTÁ NA LISTA")</f>
        <v>TOYOTA: Camry 2.0 16V   3S-FE 86/91
TOYOTA: Camry 2.2 16V   5S-FE 91/01
TOYOTA: RAV 4 2.0 16V   3S-FE / 3S-FEC 94/00</v>
      </c>
      <c r="P1370" s="12" t="str">
        <f aca="false">IFERROR(VLOOKUP($A1370,Lista_Starke!$A:$E,2,0),"NÃO ESTÁ NA LISTA")</f>
        <v>BOMBA D'ÁGUA</v>
      </c>
    </row>
    <row r="1371" customFormat="false" ht="15" hidden="false" customHeight="true" outlineLevel="0" collapsed="false">
      <c r="A1371" s="10" t="s">
        <v>2974</v>
      </c>
      <c r="B1371" s="10" t="str">
        <f aca="false">IFERROR(VLOOKUP(A1371,Pedido!$A:$B,2,0),"")</f>
        <v/>
      </c>
      <c r="C1371" s="10" t="str">
        <f aca="false">IF(B1371="","NÃO COMPRA","COMPRA")</f>
        <v>NÃO COMPRA</v>
      </c>
      <c r="D1371" s="1" t="n">
        <f aca="false">IFERROR(VLOOKUP(A1371,Pedido!$A:$C,3,0),0)</f>
        <v>0</v>
      </c>
      <c r="E1371" s="5" t="n">
        <f aca="false">IFERROR(VLOOKUP(A1371,Pedido!$A:$E,5,0),0)</f>
        <v>0</v>
      </c>
      <c r="F1371" s="1" t="s">
        <v>9</v>
      </c>
      <c r="G1371" s="1" t="s">
        <v>325</v>
      </c>
      <c r="H1371" s="1" t="s">
        <v>96</v>
      </c>
      <c r="I1371" s="1" t="s">
        <v>53</v>
      </c>
      <c r="J1371" s="1" t="s">
        <v>2975</v>
      </c>
      <c r="K1371" s="1" t="n">
        <v>31</v>
      </c>
      <c r="L1371" s="11" t="n">
        <v>0.991301924756863</v>
      </c>
      <c r="M1371" s="1" t="n">
        <f aca="false">SUMIF(Relatorio_AK!$A:$A,A1371,Relatorio_AK!$B:$B)</f>
        <v>31</v>
      </c>
      <c r="N1371" s="1" t="str">
        <f aca="false">IF(M1371=K1371,"OK","DIF")</f>
        <v>OK</v>
      </c>
      <c r="O1371" s="12" t="str">
        <f aca="false">IFERROR(VLOOKUP($A1371,Lista_Starke!$A:$E,3,0),"NÃO ESTÁ NA LISTA")</f>
        <v>FORD: Transit 2.2 16V Duratorq 11/14</v>
      </c>
      <c r="P1371" s="12" t="str">
        <f aca="false">IFERROR(VLOOKUP($A1371,Lista_Starke!$A:$E,2,0),"NÃO ESTÁ NA LISTA")</f>
        <v>BOMBA DE VÁCUO</v>
      </c>
    </row>
    <row r="1372" customFormat="false" ht="15" hidden="false" customHeight="true" outlineLevel="0" collapsed="false">
      <c r="A1372" s="10" t="s">
        <v>2976</v>
      </c>
      <c r="B1372" s="10" t="str">
        <f aca="false">IFERROR(VLOOKUP(A1372,Pedido!$A:$B,2,0),"")</f>
        <v/>
      </c>
      <c r="C1372" s="10" t="str">
        <f aca="false">IF(B1372="","NÃO COMPRA","COMPRA")</f>
        <v>NÃO COMPRA</v>
      </c>
      <c r="D1372" s="1" t="n">
        <f aca="false">IFERROR(VLOOKUP(A1372,Pedido!$A:$C,3,0),0)</f>
        <v>0</v>
      </c>
      <c r="E1372" s="5" t="n">
        <f aca="false">IFERROR(VLOOKUP(A1372,Pedido!$A:$E,5,0),0)</f>
        <v>0</v>
      </c>
      <c r="F1372" s="1" t="s">
        <v>9</v>
      </c>
      <c r="G1372" s="1" t="s">
        <v>2954</v>
      </c>
      <c r="H1372" s="1" t="s">
        <v>906</v>
      </c>
      <c r="I1372" s="1" t="s">
        <v>938</v>
      </c>
      <c r="J1372" s="1" t="s">
        <v>2977</v>
      </c>
      <c r="K1372" s="1" t="n">
        <v>31</v>
      </c>
      <c r="L1372" s="11" t="n">
        <v>0.991354920105239</v>
      </c>
      <c r="M1372" s="1" t="n">
        <f aca="false">SUMIF(Relatorio_AK!$A:$A,A1372,Relatorio_AK!$B:$B)</f>
        <v>31</v>
      </c>
      <c r="N1372" s="1" t="str">
        <f aca="false">IF(M1372=K1372,"OK","DIF")</f>
        <v>OK</v>
      </c>
      <c r="O1372" s="13" t="str">
        <f aca="false">IFERROR(VLOOKUP($A1372,Lista_Starke!$A:$E,3,0),"NÃO ESTÁ NA LISTA")</f>
        <v>JAGUAR: F-Pace 2.0 SD4 AWD 20DTA(AJ20D4) 17/...
JAGUAR: F-Pace 2.0 Ti4 AWD PT204(AJ20P4) 17/...
JAGUAR: F-Pace 3.0 SDV6 AWD 306DT(AJTDV6) 15/...
LAND ROVER: Discovery V 2.0 Si4 4x4 PT204(AJ20P4) 17/...
LAND ROVER: Discovery V 3.0 D 4x4 306DT(TDV6) 16/...
LAND ROVER: Discovery V 3.0 SCV6 4x4 306PS(AJ126) 16/...
LAND ROVER: Discovery V 3.0 SDV6 4x4 306DT(TDV6) 18/...
LAND ROVER: Velar 2.0 D180 TD4 4x4 204DTD(AJ20D4) 17/...
LAND ROVER: Velar 2.0 P250 Si4 4x4 PT204(AJ20P4) 17/...
LAND ROVER: Velar 3.0 P340 SCV6 4x4 306PS(AJ126) 18/...
LAND ROVER: Velar 3.0 P380 SCV6 4x4 306PS(AJ126) 17/...</v>
      </c>
      <c r="P1372" s="12" t="str">
        <f aca="false">IFERROR(VLOOKUP($A1372,Lista_Starke!$A:$E,2,0),"NÃO ESTÁ NA LISTA")</f>
        <v>BOMBA D'ÁGUA AUXILIAR</v>
      </c>
    </row>
    <row r="1373" customFormat="false" ht="15" hidden="false" customHeight="true" outlineLevel="0" collapsed="false">
      <c r="A1373" s="10" t="s">
        <v>2978</v>
      </c>
      <c r="B1373" s="10" t="str">
        <f aca="false">IFERROR(VLOOKUP(A1373,Pedido!$A:$B,2,0),"")</f>
        <v/>
      </c>
      <c r="C1373" s="10" t="str">
        <f aca="false">IF(B1373="","NÃO COMPRA","COMPRA")</f>
        <v>NÃO COMPRA</v>
      </c>
      <c r="D1373" s="1" t="n">
        <f aca="false">IFERROR(VLOOKUP(A1373,Pedido!$A:$C,3,0),0)</f>
        <v>0</v>
      </c>
      <c r="E1373" s="5" t="n">
        <f aca="false">IFERROR(VLOOKUP(A1373,Pedido!$A:$E,5,0),0)</f>
        <v>0</v>
      </c>
      <c r="F1373" s="1" t="s">
        <v>9</v>
      </c>
      <c r="G1373" s="1" t="s">
        <v>2284</v>
      </c>
      <c r="H1373" s="1" t="s">
        <v>2420</v>
      </c>
      <c r="I1373" s="1" t="s">
        <v>255</v>
      </c>
      <c r="J1373" s="1" t="s">
        <v>2979</v>
      </c>
      <c r="K1373" s="1" t="n">
        <v>30</v>
      </c>
      <c r="L1373" s="11" t="n">
        <v>0.991406205926248</v>
      </c>
      <c r="M1373" s="1" t="n">
        <f aca="false">SUMIF(Relatorio_AK!$A:$A,A1373,Relatorio_AK!$B:$B)</f>
        <v>30</v>
      </c>
      <c r="N1373" s="1" t="str">
        <f aca="false">IF(M1373=K1373,"OK","DIF")</f>
        <v>OK</v>
      </c>
      <c r="O1373" s="13" t="str">
        <f aca="false">IFERROR(VLOOKUP($A1373,Lista_Starke!$A:$E,3,0),"NÃO ESTÁ NA LISTA")</f>
        <v>MITSUBISHI: L200 Sport / HPE / Outdoor / Savana 07/12
MITSUBISHI: L200 Sport 06/...
MITSUBISHI: Pajero Sport  96/08</v>
      </c>
      <c r="P1373" s="12" t="str">
        <f aca="false">IFERROR(VLOOKUP($A1373,Lista_Starke!$A:$E,2,0),"NÃO ESTÁ NA LISTA")</f>
        <v>BANDEJA SUPERIOR COMPLETA LD</v>
      </c>
    </row>
    <row r="1374" customFormat="false" ht="15" hidden="false" customHeight="true" outlineLevel="0" collapsed="false">
      <c r="A1374" s="10" t="s">
        <v>2980</v>
      </c>
      <c r="B1374" s="10" t="str">
        <f aca="false">IFERROR(VLOOKUP(A1374,Pedido!$A:$B,2,0),"")</f>
        <v/>
      </c>
      <c r="C1374" s="10" t="str">
        <f aca="false">IF(B1374="","NÃO COMPRA","COMPRA")</f>
        <v>NÃO COMPRA</v>
      </c>
      <c r="D1374" s="1" t="n">
        <f aca="false">IFERROR(VLOOKUP(A1374,Pedido!$A:$C,3,0),0)</f>
        <v>0</v>
      </c>
      <c r="E1374" s="5" t="n">
        <f aca="false">IFERROR(VLOOKUP(A1374,Pedido!$A:$E,5,0),0)</f>
        <v>0</v>
      </c>
      <c r="F1374" s="1" t="s">
        <v>9</v>
      </c>
      <c r="G1374" s="1" t="s">
        <v>826</v>
      </c>
      <c r="H1374" s="1" t="s">
        <v>906</v>
      </c>
      <c r="I1374" s="1" t="s">
        <v>1157</v>
      </c>
      <c r="J1374" s="1" t="s">
        <v>2981</v>
      </c>
      <c r="K1374" s="1" t="n">
        <v>30</v>
      </c>
      <c r="L1374" s="11" t="n">
        <v>0.991457491747257</v>
      </c>
      <c r="M1374" s="1" t="n">
        <f aca="false">SUMIF(Relatorio_AK!$A:$A,A1374,Relatorio_AK!$B:$B)</f>
        <v>30</v>
      </c>
      <c r="N1374" s="1" t="str">
        <f aca="false">IF(M1374=K1374,"OK","DIF")</f>
        <v>OK</v>
      </c>
      <c r="O1374" s="13" t="str">
        <f aca="false">IFERROR(VLOOKUP($A1374,Lista_Starke!$A:$E,3,0),"NÃO ESTÁ NA LISTA")</f>
        <v>BMW: 550i 4.4 8 cil N63 B44A 10/13
BMW: 550i xDrive 4.4 8 cil N63 B44A 10/13
BMW: 750i 4.4 8 cil N63 B44A 08/15
BMW: X5 xDrive 50i 4.4 8 cil N63 B44A 10/13
BMW: X6 xDrive 50i 4.4 8 cil N63 B44A 14/19</v>
      </c>
      <c r="P1374" s="12" t="str">
        <f aca="false">IFERROR(VLOOKUP($A1374,Lista_Starke!$A:$E,2,0),"NÃO ESTÁ NA LISTA")</f>
        <v>BOMBA D'ÁGUA AUXILIAR</v>
      </c>
    </row>
    <row r="1375" customFormat="false" ht="15" hidden="false" customHeight="true" outlineLevel="0" collapsed="false">
      <c r="A1375" s="10" t="s">
        <v>2982</v>
      </c>
      <c r="B1375" s="10" t="str">
        <f aca="false">IFERROR(VLOOKUP(A1375,Pedido!$A:$B,2,0),"")</f>
        <v/>
      </c>
      <c r="C1375" s="10" t="str">
        <f aca="false">IF(B1375="","NÃO COMPRA","COMPRA")</f>
        <v>NÃO COMPRA</v>
      </c>
      <c r="D1375" s="1" t="n">
        <f aca="false">IFERROR(VLOOKUP(A1375,Pedido!$A:$C,3,0),0)</f>
        <v>0</v>
      </c>
      <c r="E1375" s="5" t="n">
        <f aca="false">IFERROR(VLOOKUP(A1375,Pedido!$A:$E,5,0),0)</f>
        <v>0</v>
      </c>
      <c r="F1375" s="1" t="s">
        <v>9</v>
      </c>
      <c r="G1375" s="1" t="s">
        <v>763</v>
      </c>
      <c r="H1375" s="1" t="s">
        <v>906</v>
      </c>
      <c r="I1375" s="1" t="s">
        <v>373</v>
      </c>
      <c r="J1375" s="1" t="s">
        <v>2983</v>
      </c>
      <c r="K1375" s="1" t="n">
        <v>30</v>
      </c>
      <c r="L1375" s="11" t="n">
        <v>0.991508777568266</v>
      </c>
      <c r="M1375" s="1" t="n">
        <f aca="false">SUMIF(Relatorio_AK!$A:$A,A1375,Relatorio_AK!$B:$B)</f>
        <v>30</v>
      </c>
      <c r="N1375" s="1" t="str">
        <f aca="false">IF(M1375=K1375,"OK","DIF")</f>
        <v>OK</v>
      </c>
      <c r="O1375" s="13" t="str">
        <f aca="false">IFERROR(VLOOKUP($A1375,Lista_Starke!$A:$E,3,0),"NÃO ESTÁ NA LISTA")</f>
        <v>MERCEDES-BENZ: B180 1.7   M266.940 05/11
MERCEDES-BENZ: B200 2.0   M266.960 05/11
MERCEDES-BENZ: B200 Turbo 2.0   M266.980 05/…
MERCEDES-BENZ: C180 1.8 M271.820 07/14
MERCEDES-BENZ: C180 Kompressor 1.6 M271.910 08/14
MERCEDES-BENZ: C180 Kompressor 1.8 M271.952 07/14
MERCEDES-BENZ: C200 1.8 M271.860 / 271.820 07/14
MERCEDES-BENZ: C200 Kompressor 1.8 M271.950 07/14
MERCEDES-BENZ: C250 1.8 M271.860 09/14</v>
      </c>
      <c r="P1375" s="12" t="str">
        <f aca="false">IFERROR(VLOOKUP($A1375,Lista_Starke!$A:$E,2,0),"NÃO ESTÁ NA LISTA")</f>
        <v>BOMBA ÁGUA AUXILIAR</v>
      </c>
    </row>
    <row r="1376" customFormat="false" ht="15" hidden="false" customHeight="true" outlineLevel="0" collapsed="false">
      <c r="A1376" s="10" t="s">
        <v>2984</v>
      </c>
      <c r="B1376" s="10" t="str">
        <f aca="false">IFERROR(VLOOKUP(A1376,Pedido!$A:$B,2,0),"")</f>
        <v/>
      </c>
      <c r="C1376" s="10" t="str">
        <f aca="false">IF(B1376="","NÃO COMPRA","COMPRA")</f>
        <v>NÃO COMPRA</v>
      </c>
      <c r="D1376" s="1" t="n">
        <f aca="false">IFERROR(VLOOKUP(A1376,Pedido!$A:$C,3,0),0)</f>
        <v>0</v>
      </c>
      <c r="E1376" s="5" t="n">
        <f aca="false">IFERROR(VLOOKUP(A1376,Pedido!$A:$E,5,0),0)</f>
        <v>0</v>
      </c>
      <c r="F1376" s="1" t="s">
        <v>9</v>
      </c>
      <c r="G1376" s="1" t="s">
        <v>377</v>
      </c>
      <c r="H1376" s="1" t="s">
        <v>197</v>
      </c>
      <c r="I1376" s="1" t="s">
        <v>53</v>
      </c>
      <c r="K1376" s="1" t="n">
        <v>30</v>
      </c>
      <c r="L1376" s="11" t="n">
        <v>0.991560063389275</v>
      </c>
      <c r="M1376" s="1" t="n">
        <f aca="false">SUMIF(Relatorio_AK!$A:$A,A1376,Relatorio_AK!$B:$B)</f>
        <v>30</v>
      </c>
      <c r="N1376" s="1" t="str">
        <f aca="false">IF(M1376=K1376,"OK","DIF")</f>
        <v>OK</v>
      </c>
      <c r="O1376" s="13" t="str">
        <f aca="false">IFERROR(VLOOKUP($A1376,Lista_Starke!$A:$E,3,0),"NÃO ESTÁ NA LISTA")</f>
        <v>FORD: F100 4.9 V6 …/98
FORD: F1000 4.9 V6 …/98
FORD: F350 4.9 V6 …/98</v>
      </c>
      <c r="P1376" s="12" t="str">
        <f aca="false">IFERROR(VLOOKUP($A1376,Lista_Starke!$A:$E,2,0),"NÃO ESTÁ NA LISTA")</f>
        <v>BOMBA D'ÁGUA</v>
      </c>
    </row>
    <row r="1377" customFormat="false" ht="15" hidden="false" customHeight="true" outlineLevel="0" collapsed="false">
      <c r="A1377" s="10" t="s">
        <v>2985</v>
      </c>
      <c r="B1377" s="10" t="str">
        <f aca="false">IFERROR(VLOOKUP(A1377,Pedido!$A:$B,2,0),"")</f>
        <v/>
      </c>
      <c r="C1377" s="10" t="str">
        <f aca="false">IF(B1377="","NÃO COMPRA","COMPRA")</f>
        <v>NÃO COMPRA</v>
      </c>
      <c r="D1377" s="1" t="n">
        <f aca="false">IFERROR(VLOOKUP(A1377,Pedido!$A:$C,3,0),0)</f>
        <v>0</v>
      </c>
      <c r="E1377" s="5" t="n">
        <f aca="false">IFERROR(VLOOKUP(A1377,Pedido!$A:$E,5,0),0)</f>
        <v>0</v>
      </c>
      <c r="F1377" s="1" t="s">
        <v>9</v>
      </c>
      <c r="G1377" s="1" t="s">
        <v>937</v>
      </c>
      <c r="H1377" s="1" t="s">
        <v>197</v>
      </c>
      <c r="I1377" s="1" t="s">
        <v>684</v>
      </c>
      <c r="J1377" s="1" t="s">
        <v>2986</v>
      </c>
      <c r="K1377" s="1" t="n">
        <v>30</v>
      </c>
      <c r="L1377" s="11" t="n">
        <v>0.991611349210284</v>
      </c>
      <c r="M1377" s="1" t="n">
        <f aca="false">SUMIF(Relatorio_AK!$A:$A,A1377,Relatorio_AK!$B:$B)</f>
        <v>30</v>
      </c>
      <c r="N1377" s="1" t="str">
        <f aca="false">IF(M1377=K1377,"OK","DIF")</f>
        <v>OK</v>
      </c>
      <c r="O1377" s="12" t="str">
        <f aca="false">IFERROR(VLOOKUP($A1377,Lista_Starke!$A:$E,3,0),"NÃO ESTÁ NA LISTA")</f>
        <v>LAND ROVER: Freelander 2.5 V6 4x4 25K4F 00/06</v>
      </c>
      <c r="P1377" s="12" t="str">
        <f aca="false">IFERROR(VLOOKUP($A1377,Lista_Starke!$A:$E,2,0),"NÃO ESTÁ NA LISTA")</f>
        <v>BOMBA D'ÁGUA</v>
      </c>
    </row>
    <row r="1378" customFormat="false" ht="15" hidden="false" customHeight="true" outlineLevel="0" collapsed="false">
      <c r="A1378" s="10" t="s">
        <v>2987</v>
      </c>
      <c r="B1378" s="10" t="str">
        <f aca="false">IFERROR(VLOOKUP(A1378,Pedido!$A:$B,2,0),"")</f>
        <v/>
      </c>
      <c r="C1378" s="10" t="str">
        <f aca="false">IF(B1378="","NÃO COMPRA","COMPRA")</f>
        <v>NÃO COMPRA</v>
      </c>
      <c r="D1378" s="1" t="n">
        <f aca="false">IFERROR(VLOOKUP(A1378,Pedido!$A:$C,3,0),0)</f>
        <v>0</v>
      </c>
      <c r="E1378" s="5" t="n">
        <f aca="false">IFERROR(VLOOKUP(A1378,Pedido!$A:$E,5,0),0)</f>
        <v>0</v>
      </c>
      <c r="F1378" s="1" t="s">
        <v>9</v>
      </c>
      <c r="G1378" s="1" t="s">
        <v>725</v>
      </c>
      <c r="H1378" s="1" t="s">
        <v>197</v>
      </c>
      <c r="I1378" s="1" t="s">
        <v>929</v>
      </c>
      <c r="J1378" s="1" t="s">
        <v>2988</v>
      </c>
      <c r="K1378" s="1" t="n">
        <v>30</v>
      </c>
      <c r="L1378" s="11" t="n">
        <v>0.991662635031293</v>
      </c>
      <c r="M1378" s="1" t="n">
        <f aca="false">SUMIF(Relatorio_AK!$A:$A,A1378,Relatorio_AK!$B:$B)</f>
        <v>30</v>
      </c>
      <c r="N1378" s="1" t="str">
        <f aca="false">IF(M1378=K1378,"OK","DIF")</f>
        <v>OK</v>
      </c>
      <c r="O1378" s="13" t="str">
        <f aca="false">IFERROR(VLOOKUP($A1378,Lista_Starke!$A:$E,3,0),"NÃO ESTÁ NA LISTA")</f>
        <v>SUZUKI: Baleno 1.3i    G13B 95/…
SUZUKI: Swift 1.0 / 1.3    G10 / G13B 86/…</v>
      </c>
      <c r="P1378" s="12" t="str">
        <f aca="false">IFERROR(VLOOKUP($A1378,Lista_Starke!$A:$E,2,0),"NÃO ESTÁ NA LISTA")</f>
        <v>BOMBA D'ÁGUA</v>
      </c>
    </row>
    <row r="1379" customFormat="false" ht="15" hidden="false" customHeight="true" outlineLevel="0" collapsed="false">
      <c r="A1379" s="10" t="s">
        <v>2989</v>
      </c>
      <c r="B1379" s="10" t="str">
        <f aca="false">IFERROR(VLOOKUP(A1379,Pedido!$A:$B,2,0),"")</f>
        <v/>
      </c>
      <c r="C1379" s="10" t="str">
        <f aca="false">IF(B1379="","NÃO COMPRA","COMPRA")</f>
        <v>NÃO COMPRA</v>
      </c>
      <c r="D1379" s="1" t="n">
        <f aca="false">IFERROR(VLOOKUP(A1379,Pedido!$A:$C,3,0),0)</f>
        <v>0</v>
      </c>
      <c r="E1379" s="5" t="n">
        <f aca="false">IFERROR(VLOOKUP(A1379,Pedido!$A:$E,5,0),0)</f>
        <v>0</v>
      </c>
      <c r="F1379" s="1" t="s">
        <v>9</v>
      </c>
      <c r="G1379" s="1" t="s">
        <v>552</v>
      </c>
      <c r="H1379" s="1" t="s">
        <v>197</v>
      </c>
      <c r="I1379" s="1" t="s">
        <v>893</v>
      </c>
      <c r="J1379" s="1" t="s">
        <v>2990</v>
      </c>
      <c r="K1379" s="1" t="n">
        <v>30</v>
      </c>
      <c r="L1379" s="11" t="n">
        <v>0.991713920852302</v>
      </c>
      <c r="M1379" s="1" t="n">
        <f aca="false">SUMIF(Relatorio_AK!$A:$A,A1379,Relatorio_AK!$B:$B)</f>
        <v>30</v>
      </c>
      <c r="N1379" s="1" t="str">
        <f aca="false">IF(M1379=K1379,"OK","DIF")</f>
        <v>OK</v>
      </c>
      <c r="O1379" s="13" t="str">
        <f aca="false">IFERROR(VLOOKUP($A1379,Lista_Starke!$A:$E,3,0),"NÃO ESTÁ NA LISTA")</f>
        <v>HYUNDAI: Accent 1.5 G4EK 94/…
HYUNDAI: Elantra 1.8 16V DOHC G4CN 92/95
HYUNDAI: Sonata 2.0 G4CP / 2.0 16V DOHC G4CPD 88/98
MITSUBISHI: Colt 1.8 16V C58A / 4G67 88/93
MITSUBISHI: Eclipse 2.0 16V D20 / 4G63 92/96
MITSUBISHI: Eclipse 2.0 16V D30 / 4G63 96/…
MITSUBISHI: Galant 2.0 16V 4G63 87/93</v>
      </c>
      <c r="P1379" s="12" t="str">
        <f aca="false">IFERROR(VLOOKUP($A1379,Lista_Starke!$A:$E,2,0),"NÃO ESTÁ NA LISTA")</f>
        <v>BOMBA D'ÁGUA</v>
      </c>
    </row>
    <row r="1380" customFormat="false" ht="15" hidden="false" customHeight="true" outlineLevel="0" collapsed="false">
      <c r="A1380" s="10" t="s">
        <v>2991</v>
      </c>
      <c r="B1380" s="10" t="str">
        <f aca="false">IFERROR(VLOOKUP(A1380,Pedido!$A:$B,2,0),"")</f>
        <v/>
      </c>
      <c r="C1380" s="10" t="str">
        <f aca="false">IF(B1380="","NÃO COMPRA","COMPRA")</f>
        <v>NÃO COMPRA</v>
      </c>
      <c r="D1380" s="1" t="n">
        <f aca="false">IFERROR(VLOOKUP(A1380,Pedido!$A:$C,3,0),0)</f>
        <v>0</v>
      </c>
      <c r="E1380" s="5" t="n">
        <f aca="false">IFERROR(VLOOKUP(A1380,Pedido!$A:$E,5,0),0)</f>
        <v>0</v>
      </c>
      <c r="F1380" s="1" t="s">
        <v>9</v>
      </c>
      <c r="G1380" s="1" t="s">
        <v>2632</v>
      </c>
      <c r="H1380" s="1" t="s">
        <v>1714</v>
      </c>
      <c r="I1380" s="1" t="s">
        <v>177</v>
      </c>
      <c r="J1380" s="1" t="s">
        <v>2992</v>
      </c>
      <c r="K1380" s="1" t="n">
        <v>30</v>
      </c>
      <c r="L1380" s="11" t="n">
        <v>0.991765206673311</v>
      </c>
      <c r="M1380" s="1" t="n">
        <f aca="false">SUMIF(Relatorio_AK!$A:$A,A1380,Relatorio_AK!$B:$B)</f>
        <v>30</v>
      </c>
      <c r="N1380" s="1" t="str">
        <f aca="false">IF(M1380=K1380,"OK","DIF")</f>
        <v>OK</v>
      </c>
      <c r="O1380" s="13" t="str">
        <f aca="false">IFERROR(VLOOKUP($A1380,Lista_Starke!$A:$E,3,0),"NÃO ESTÁ NA LISTA")</f>
        <v>TOYOTA: Hilux 2.8 TURBODIESEL 16/...
TOYOTA: Hilux 3.0 Turbo Diesel 1KD 02/15
TOYOTA: Land Cruiser Prado 3.0 Turbo Diesel 1KD 03/09
TOYOTA: SW4 2.8 TURBODIESEL 16/...
TOYOTA: SW4 3.0 Turbo Diesel 1KD 05/18</v>
      </c>
      <c r="P1380" s="12" t="str">
        <f aca="false">IFERROR(VLOOKUP($A1380,Lista_Starke!$A:$E,2,0),"NÃO ESTÁ NA LISTA")</f>
        <v>POLIA VISCOSA</v>
      </c>
    </row>
    <row r="1381" customFormat="false" ht="15" hidden="false" customHeight="true" outlineLevel="0" collapsed="false">
      <c r="A1381" s="10" t="s">
        <v>2993</v>
      </c>
      <c r="B1381" s="10" t="str">
        <f aca="false">IFERROR(VLOOKUP(A1381,Pedido!$A:$B,2,0),"")</f>
        <v/>
      </c>
      <c r="C1381" s="10" t="str">
        <f aca="false">IF(B1381="","NÃO COMPRA","COMPRA")</f>
        <v>NÃO COMPRA</v>
      </c>
      <c r="D1381" s="1" t="n">
        <f aca="false">IFERROR(VLOOKUP(A1381,Pedido!$A:$C,3,0),0)</f>
        <v>0</v>
      </c>
      <c r="E1381" s="5" t="n">
        <f aca="false">IFERROR(VLOOKUP(A1381,Pedido!$A:$E,5,0),0)</f>
        <v>0</v>
      </c>
      <c r="F1381" s="1" t="s">
        <v>9</v>
      </c>
      <c r="G1381" s="1" t="s">
        <v>377</v>
      </c>
      <c r="H1381" s="1" t="s">
        <v>197</v>
      </c>
      <c r="I1381" s="1" t="s">
        <v>53</v>
      </c>
      <c r="J1381" s="1" t="s">
        <v>2994</v>
      </c>
      <c r="K1381" s="1" t="n">
        <v>30</v>
      </c>
      <c r="L1381" s="11" t="n">
        <v>0.991816492494321</v>
      </c>
      <c r="M1381" s="1" t="n">
        <f aca="false">SUMIF(Relatorio_AK!$A:$A,A1381,Relatorio_AK!$B:$B)</f>
        <v>30</v>
      </c>
      <c r="N1381" s="1" t="str">
        <f aca="false">IF(M1381=K1381,"OK","DIF")</f>
        <v>OK</v>
      </c>
      <c r="O1381" s="13" t="str">
        <f aca="false">IFERROR(VLOOKUP($A1381,Lista_Starke!$A:$E,3,0),"NÃO ESTÁ NA LISTA")</f>
        <v>FORD: F150 4.2 V6 97/06
FORD: F250 4.2 V6 97/06</v>
      </c>
      <c r="P1381" s="12" t="str">
        <f aca="false">IFERROR(VLOOKUP($A1381,Lista_Starke!$A:$E,2,0),"NÃO ESTÁ NA LISTA")</f>
        <v>BOMBA D'ÁGUA</v>
      </c>
    </row>
    <row r="1382" customFormat="false" ht="15" hidden="false" customHeight="true" outlineLevel="0" collapsed="false">
      <c r="A1382" s="10" t="s">
        <v>2995</v>
      </c>
      <c r="B1382" s="10" t="str">
        <f aca="false">IFERROR(VLOOKUP(A1382,Pedido!$A:$B,2,0),"")</f>
        <v/>
      </c>
      <c r="C1382" s="10" t="str">
        <f aca="false">IF(B1382="","NÃO COMPRA","COMPRA")</f>
        <v>NÃO COMPRA</v>
      </c>
      <c r="D1382" s="1" t="n">
        <f aca="false">IFERROR(VLOOKUP(A1382,Pedido!$A:$C,3,0),0)</f>
        <v>0</v>
      </c>
      <c r="E1382" s="5" t="n">
        <f aca="false">IFERROR(VLOOKUP(A1382,Pedido!$A:$E,5,0),0)</f>
        <v>0</v>
      </c>
      <c r="F1382" s="1" t="s">
        <v>9</v>
      </c>
      <c r="G1382" s="1" t="s">
        <v>2996</v>
      </c>
      <c r="H1382" s="1" t="s">
        <v>600</v>
      </c>
      <c r="I1382" s="1" t="s">
        <v>1431</v>
      </c>
      <c r="J1382" s="1" t="s">
        <v>2997</v>
      </c>
      <c r="K1382" s="1" t="n">
        <v>30</v>
      </c>
      <c r="L1382" s="11" t="n">
        <v>0.99186777831533</v>
      </c>
      <c r="M1382" s="1" t="n">
        <f aca="false">SUMIF(Relatorio_AK!$A:$A,A1382,Relatorio_AK!$B:$B)</f>
        <v>30</v>
      </c>
      <c r="N1382" s="1" t="str">
        <f aca="false">IF(M1382=K1382,"OK","DIF")</f>
        <v>OK</v>
      </c>
      <c r="O1382" s="13" t="str">
        <f aca="false">IFERROR(VLOOKUP($A1382,Lista_Starke!$A:$E,3,0),"NÃO ESTÁ NA LISTA")</f>
        <v>VOLVO: S60 T4 2.0 B4204T31 18/22
VOLVO: S60 T5 2.0 B4204T20 / B4204T23 / B4204T26 19/22
VOLVO: S60 T6 2.0 B4204T29 / B4204T34 / B4204T52 19/22
VOLVO: S60 T8 2.0 B4204T34 / B4204T48 / B4204T56 19/22
VOLVO: S90 T4 2.0 B4204T31 17/27
VOLVO: S90 T5 2.0 B4204T23 / B4204T26 16/21
VOLVO: S90 T6 2.0 B4204T27 / B4204T29 16/21
VOLVO: XC40 T4 2.0 B4204T31 / B4204T47 18/22
VOLVO: XC40 T5 2.0 B4204T14 / B4204T20 / B4204T36 17/22
VOLVO: XC60 T4 2.0 B4204T31 18/22
VOLVO: XC60 T5 2.0 B4204T20 / B4204T23 / B4204T26 17/22
VOLVO: XC60 T6 2.0 B4204T27 / B4204T29 17/22
VOLVO: XC90 T5 2.0 B4204T23 / B4204T26 15/21</v>
      </c>
      <c r="P1382" s="12" t="str">
        <f aca="false">IFERROR(VLOOKUP($A1382,Lista_Starke!$A:$E,2,0),"NÃO ESTÁ NA LISTA")</f>
        <v>BOMBA DE VÁCUO FREIO</v>
      </c>
    </row>
    <row r="1383" customFormat="false" ht="15" hidden="false" customHeight="true" outlineLevel="0" collapsed="false">
      <c r="A1383" s="10" t="s">
        <v>2998</v>
      </c>
      <c r="B1383" s="10" t="str">
        <f aca="false">IFERROR(VLOOKUP(A1383,Pedido!$A:$B,2,0),"")</f>
        <v/>
      </c>
      <c r="C1383" s="10" t="str">
        <f aca="false">IF(B1383="","NÃO COMPRA","COMPRA")</f>
        <v>NÃO COMPRA</v>
      </c>
      <c r="D1383" s="1" t="n">
        <f aca="false">IFERROR(VLOOKUP(A1383,Pedido!$A:$C,3,0),0)</f>
        <v>0</v>
      </c>
      <c r="E1383" s="5" t="n">
        <f aca="false">IFERROR(VLOOKUP(A1383,Pedido!$A:$E,5,0),0)</f>
        <v>0</v>
      </c>
      <c r="F1383" s="1" t="s">
        <v>9</v>
      </c>
      <c r="G1383" s="1" t="s">
        <v>826</v>
      </c>
      <c r="H1383" s="1" t="s">
        <v>906</v>
      </c>
      <c r="I1383" s="1" t="s">
        <v>1157</v>
      </c>
      <c r="J1383" s="1" t="s">
        <v>2999</v>
      </c>
      <c r="K1383" s="1" t="n">
        <v>30</v>
      </c>
      <c r="L1383" s="11" t="n">
        <v>0.991919064136339</v>
      </c>
      <c r="M1383" s="1" t="n">
        <f aca="false">SUMIF(Relatorio_AK!$A:$A,A1383,Relatorio_AK!$B:$B)</f>
        <v>30</v>
      </c>
      <c r="N1383" s="1" t="str">
        <f aca="false">IF(M1383=K1383,"OK","DIF")</f>
        <v>OK</v>
      </c>
      <c r="O1383" s="13" t="str">
        <f aca="false">IFERROR(VLOOKUP($A1383,Lista_Starke!$A:$E,3,0),"NÃO ESTÁ NA LISTA")</f>
        <v>BMW: 218i (G42/G87) 2.0 B48B20A 22/...
BMW: 220i (G42/G87) 2.0 B48B20A 21/...
BMW: 230i (G42/G87) 2.0 B48B20B 22/...
BMW: 320e Hybrid (G20/G28/G80) 2.0 B48B20A 20/...
BMW: 320i (G20/G28/G80) 2.0 B48B20A / B48B20B / B46B20B 19/...
BMW: 330e Hybrid (G20/G28/G80) 2.0 B48B20A / B48B20B / B46B20B 19/...
BMW: 330i (G20/G28/G80) 2.0 B48B20B 18/...
BMW: iX (I20) M60 xDrive Electric 619HP 22/...
BMW: M3 (G20/G28/G80) 3.0 6 cil. S58B30B 20/...
BMW: M3 Competition (G20/G28/G80) 3.0 6 cil. S58B30A 20/...
BMW: M340i (G20/G28/G80) 3.0 6 cil B58B30B 19/...
BMW: M340i (G20/G28/G80) 3.0 6 cil. Hybrid B58B30B 20/...
BMW: X3 (G01/G08/F97) 2.0 B48B20A 17/...
BMW: X3 (G01/G08/F97) 2.0 Plug-in Hybrid B48A20A / B46B20B 23/...
BMW: X4 (G02/F98) 2.0 Hybrid B48B20A / B46B20B 21/...
BMW: X4 (G02/F98) 3.0 6 cil Hybrid B58B30B 21/...
BMW: X5 (G05/F95) 3.0 6 cil Hybrid B58B30V 20/23
BMW: X5 (G05/F95) 3.0 6 cil. Hybrid B58B30P 23/...
BMW: X6 (G06/F96) 3.0 6 cil. B58B30C 19/23
BMW: X6 (G06/F96) 3.0 6 cil. B58B30P 23/...
BMW: X6 (G06/F96) 3.0 6 cil. Hybrid B58B30C 20/23</v>
      </c>
      <c r="P1383" s="12" t="str">
        <f aca="false">IFERROR(VLOOKUP($A1383,Lista_Starke!$A:$E,2,0),"NÃO ESTÁ NA LISTA")</f>
        <v>BOMBA D'ÁGUA AUXILIAR</v>
      </c>
    </row>
    <row r="1384" customFormat="false" ht="15" hidden="false" customHeight="true" outlineLevel="0" collapsed="false">
      <c r="A1384" s="10" t="s">
        <v>3000</v>
      </c>
      <c r="B1384" s="10" t="str">
        <f aca="false">IFERROR(VLOOKUP(A1384,Pedido!$A:$B,2,0),"")</f>
        <v/>
      </c>
      <c r="C1384" s="10" t="str">
        <f aca="false">IF(B1384="","NÃO COMPRA","COMPRA")</f>
        <v>NÃO COMPRA</v>
      </c>
      <c r="D1384" s="1" t="n">
        <f aca="false">IFERROR(VLOOKUP(A1384,Pedido!$A:$C,3,0),0)</f>
        <v>0</v>
      </c>
      <c r="E1384" s="5" t="n">
        <f aca="false">IFERROR(VLOOKUP(A1384,Pedido!$A:$E,5,0),0)</f>
        <v>0</v>
      </c>
      <c r="F1384" s="1" t="s">
        <v>9</v>
      </c>
      <c r="G1384" s="1" t="s">
        <v>2281</v>
      </c>
      <c r="H1384" s="1" t="s">
        <v>2420</v>
      </c>
      <c r="I1384" s="1" t="s">
        <v>255</v>
      </c>
      <c r="J1384" s="1" t="s">
        <v>3001</v>
      </c>
      <c r="K1384" s="1" t="n">
        <v>29</v>
      </c>
      <c r="L1384" s="11" t="n">
        <v>0.991968640429981</v>
      </c>
      <c r="M1384" s="1" t="n">
        <f aca="false">SUMIF(Relatorio_AK!$A:$A,A1384,Relatorio_AK!$B:$B)</f>
        <v>29</v>
      </c>
      <c r="N1384" s="1" t="str">
        <f aca="false">IF(M1384=K1384,"OK","DIF")</f>
        <v>OK</v>
      </c>
      <c r="O1384" s="13" t="str">
        <f aca="false">IFERROR(VLOOKUP($A1384,Lista_Starke!$A:$E,3,0),"NÃO ESTÁ NA LISTA")</f>
        <v>MITSUBISHI: L200 Sport / HPE / Outdoor / Savana 07/12
MITSUBISHI: L200 Sport 06/...
MITSUBISHI: Pajero Sport  96/08</v>
      </c>
      <c r="P1384" s="12" t="str">
        <f aca="false">IFERROR(VLOOKUP($A1384,Lista_Starke!$A:$E,2,0),"NÃO ESTÁ NA LISTA")</f>
        <v>BANDEJA SUPERIOR COMPLETA LE</v>
      </c>
    </row>
    <row r="1385" customFormat="false" ht="15" hidden="false" customHeight="true" outlineLevel="0" collapsed="false">
      <c r="A1385" s="10" t="s">
        <v>3002</v>
      </c>
      <c r="B1385" s="10" t="str">
        <f aca="false">IFERROR(VLOOKUP(A1385,Pedido!$A:$B,2,0),"")</f>
        <v/>
      </c>
      <c r="C1385" s="10" t="str">
        <f aca="false">IF(B1385="","NÃO COMPRA","COMPRA")</f>
        <v>NÃO COMPRA</v>
      </c>
      <c r="D1385" s="1" t="n">
        <f aca="false">IFERROR(VLOOKUP(A1385,Pedido!$A:$C,3,0),0)</f>
        <v>0</v>
      </c>
      <c r="E1385" s="5" t="n">
        <f aca="false">IFERROR(VLOOKUP(A1385,Pedido!$A:$E,5,0),0)</f>
        <v>0</v>
      </c>
      <c r="F1385" s="1" t="s">
        <v>9</v>
      </c>
      <c r="G1385" s="1" t="s">
        <v>1909</v>
      </c>
      <c r="H1385" s="1" t="s">
        <v>1358</v>
      </c>
      <c r="I1385" s="1" t="s">
        <v>172</v>
      </c>
      <c r="J1385" s="1" t="s">
        <v>3003</v>
      </c>
      <c r="K1385" s="1" t="n">
        <v>29</v>
      </c>
      <c r="L1385" s="11" t="n">
        <v>0.992018216723623</v>
      </c>
      <c r="M1385" s="1" t="n">
        <f aca="false">SUMIF(Relatorio_AK!$A:$A,A1385,Relatorio_AK!$B:$B)</f>
        <v>29</v>
      </c>
      <c r="N1385" s="1" t="str">
        <f aca="false">IF(M1385=K1385,"OK","DIF")</f>
        <v>OK</v>
      </c>
      <c r="O1385" s="13" t="str">
        <f aca="false">IFERROR(VLOOKUP($A1385,Lista_Starke!$A:$E,3,0),"NÃO ESTÁ NA LISTA")</f>
        <v>HYUNDAI: iX35  10/...
HYUNDAI: Tucson  09/14
KIA: Sportage  11/...</v>
      </c>
      <c r="P1385" s="12" t="str">
        <f aca="false">IFERROR(VLOOKUP($A1385,Lista_Starke!$A:$E,2,0),"NÃO ESTÁ NA LISTA")</f>
        <v>BANDEJA INFERIOR COMPLETA LE</v>
      </c>
    </row>
    <row r="1386" customFormat="false" ht="15" hidden="false" customHeight="true" outlineLevel="0" collapsed="false">
      <c r="A1386" s="10" t="s">
        <v>3004</v>
      </c>
      <c r="B1386" s="10" t="str">
        <f aca="false">IFERROR(VLOOKUP(A1386,Pedido!$A:$B,2,0),"")</f>
        <v/>
      </c>
      <c r="C1386" s="10" t="str">
        <f aca="false">IF(B1386="","NÃO COMPRA","COMPRA")</f>
        <v>NÃO COMPRA</v>
      </c>
      <c r="D1386" s="1" t="n">
        <f aca="false">IFERROR(VLOOKUP(A1386,Pedido!$A:$C,3,0),0)</f>
        <v>0</v>
      </c>
      <c r="E1386" s="5" t="n">
        <f aca="false">IFERROR(VLOOKUP(A1386,Pedido!$A:$E,5,0),0)</f>
        <v>0</v>
      </c>
      <c r="F1386" s="1" t="s">
        <v>9</v>
      </c>
      <c r="G1386" s="1" t="s">
        <v>2284</v>
      </c>
      <c r="H1386" s="1" t="s">
        <v>1358</v>
      </c>
      <c r="I1386" s="1" t="s">
        <v>255</v>
      </c>
      <c r="J1386" s="1" t="s">
        <v>3005</v>
      </c>
      <c r="K1386" s="1" t="n">
        <v>29</v>
      </c>
      <c r="L1386" s="11" t="n">
        <v>0.992067793017265</v>
      </c>
      <c r="M1386" s="1" t="n">
        <f aca="false">SUMIF(Relatorio_AK!$A:$A,A1386,Relatorio_AK!$B:$B)</f>
        <v>29</v>
      </c>
      <c r="N1386" s="1" t="str">
        <f aca="false">IF(M1386=K1386,"OK","DIF")</f>
        <v>OK</v>
      </c>
      <c r="O1386" s="13" t="str">
        <f aca="false">IFERROR(VLOOKUP($A1386,Lista_Starke!$A:$E,3,0),"NÃO ESTÁ NA LISTA")</f>
        <v>MITSUBISHI: ASX  11/19
MITSUBISHI: Lancer  11/19
MITSUBISHI: Outlander  07/13</v>
      </c>
      <c r="P1386" s="12" t="str">
        <f aca="false">IFERROR(VLOOKUP($A1386,Lista_Starke!$A:$E,2,0),"NÃO ESTÁ NA LISTA")</f>
        <v>BANDEJA INFERIOR COMPLETA LD</v>
      </c>
    </row>
    <row r="1387" customFormat="false" ht="15" hidden="false" customHeight="true" outlineLevel="0" collapsed="false">
      <c r="A1387" s="10" t="s">
        <v>3006</v>
      </c>
      <c r="B1387" s="10" t="str">
        <f aca="false">IFERROR(VLOOKUP(A1387,Pedido!$A:$B,2,0),"")</f>
        <v/>
      </c>
      <c r="C1387" s="10" t="str">
        <f aca="false">IF(B1387="","NÃO COMPRA","COMPRA")</f>
        <v>NÃO COMPRA</v>
      </c>
      <c r="D1387" s="1" t="n">
        <f aca="false">IFERROR(VLOOKUP(A1387,Pedido!$A:$C,3,0),0)</f>
        <v>0</v>
      </c>
      <c r="E1387" s="5" t="n">
        <f aca="false">IFERROR(VLOOKUP(A1387,Pedido!$A:$E,5,0),0)</f>
        <v>0</v>
      </c>
      <c r="F1387" s="1" t="s">
        <v>9</v>
      </c>
      <c r="G1387" s="1" t="s">
        <v>1919</v>
      </c>
      <c r="H1387" s="1" t="s">
        <v>1358</v>
      </c>
      <c r="I1387" s="1" t="s">
        <v>177</v>
      </c>
      <c r="J1387" s="1" t="s">
        <v>3007</v>
      </c>
      <c r="K1387" s="1" t="n">
        <v>29</v>
      </c>
      <c r="L1387" s="11" t="n">
        <v>0.992117369310907</v>
      </c>
      <c r="M1387" s="1" t="n">
        <f aca="false">SUMIF(Relatorio_AK!$A:$A,A1387,Relatorio_AK!$B:$B)</f>
        <v>29</v>
      </c>
      <c r="N1387" s="1" t="str">
        <f aca="false">IF(M1387=K1387,"OK","DIF")</f>
        <v>OK</v>
      </c>
      <c r="O1387" s="13" t="str">
        <f aca="false">IFERROR(VLOOKUP($A1387,Lista_Starke!$A:$E,3,0),"NÃO ESTÁ NA LISTA")</f>
        <v>TOYOTA: RAV 4 2.0 16V 19/...
TOYOTA: RAV 4 2.5 16V 19/...</v>
      </c>
      <c r="P1387" s="12" t="str">
        <f aca="false">IFERROR(VLOOKUP($A1387,Lista_Starke!$A:$E,2,0),"NÃO ESTÁ NA LISTA")</f>
        <v>BANDEJA INFERIOR COMPLETA LD</v>
      </c>
    </row>
    <row r="1388" customFormat="false" ht="15" hidden="false" customHeight="true" outlineLevel="0" collapsed="false">
      <c r="A1388" s="10" t="s">
        <v>3008</v>
      </c>
      <c r="B1388" s="10" t="str">
        <f aca="false">IFERROR(VLOOKUP(A1388,Pedido!$A:$B,2,0),"")</f>
        <v/>
      </c>
      <c r="C1388" s="10" t="str">
        <f aca="false">IF(B1388="","NÃO COMPRA","COMPRA")</f>
        <v>NÃO COMPRA</v>
      </c>
      <c r="D1388" s="1" t="n">
        <f aca="false">IFERROR(VLOOKUP(A1388,Pedido!$A:$C,3,0),0)</f>
        <v>0</v>
      </c>
      <c r="E1388" s="5" t="n">
        <f aca="false">IFERROR(VLOOKUP(A1388,Pedido!$A:$E,5,0),0)</f>
        <v>0</v>
      </c>
      <c r="F1388" s="1" t="s">
        <v>9</v>
      </c>
      <c r="G1388" s="1" t="s">
        <v>2400</v>
      </c>
      <c r="H1388" s="1" t="s">
        <v>197</v>
      </c>
      <c r="I1388" s="1" t="s">
        <v>2401</v>
      </c>
      <c r="K1388" s="1" t="n">
        <v>29</v>
      </c>
      <c r="L1388" s="11" t="n">
        <v>0.992166945604549</v>
      </c>
      <c r="M1388" s="1" t="n">
        <f aca="false">SUMIF(Relatorio_AK!$A:$A,A1388,Relatorio_AK!$B:$B)</f>
        <v>29</v>
      </c>
      <c r="N1388" s="1" t="str">
        <f aca="false">IF(M1388=K1388,"OK","DIF")</f>
        <v>OK</v>
      </c>
      <c r="O1388" s="13" t="str">
        <f aca="false">IFERROR(VLOOKUP($A1388,Lista_Starke!$A:$E,3,0),"NÃO ESTÁ NA LISTA")</f>
        <v>SSANGYONG: Actyon 2.0 16V   D20DT 05/…
SSANGYONG: Actyon Sports 2.0 16V   D20DT 07/…
SSANGYONG: Actyon Sports 2.0 16V   D20DTR 11/…
SSANGYONG: Korando 2.0 16V   D20DTR 11/…
SSANGYONG: Kyron 2.0 16V   D20DT 05/…
SSANGYONG: Kyron 2.0 16V   D20DT 10/…
SSANGYONG: Kyron 2.7 20V   D27DT 06/…
SSANGYONG: Rexton 2.7 20V   D27DT 04/…
SSANGYONG: Rexton 2.7 20V Turbo   D27DTP 11/…</v>
      </c>
      <c r="P1388" s="12" t="str">
        <f aca="false">IFERROR(VLOOKUP($A1388,Lista_Starke!$A:$E,2,0),"NÃO ESTÁ NA LISTA")</f>
        <v>BOMBA D'ÁGUA</v>
      </c>
    </row>
    <row r="1389" customFormat="false" ht="15" hidden="false" customHeight="true" outlineLevel="0" collapsed="false">
      <c r="A1389" s="10" t="s">
        <v>3009</v>
      </c>
      <c r="B1389" s="10" t="str">
        <f aca="false">IFERROR(VLOOKUP(A1389,Pedido!$A:$B,2,0),"")</f>
        <v/>
      </c>
      <c r="C1389" s="10" t="str">
        <f aca="false">IF(B1389="","NÃO COMPRA","COMPRA")</f>
        <v>NÃO COMPRA</v>
      </c>
      <c r="D1389" s="1" t="n">
        <f aca="false">IFERROR(VLOOKUP(A1389,Pedido!$A:$C,3,0),0)</f>
        <v>0</v>
      </c>
      <c r="E1389" s="5" t="n">
        <f aca="false">IFERROR(VLOOKUP(A1389,Pedido!$A:$E,5,0),0)</f>
        <v>0</v>
      </c>
      <c r="F1389" s="1" t="s">
        <v>9</v>
      </c>
      <c r="G1389" s="1" t="s">
        <v>763</v>
      </c>
      <c r="H1389" s="1" t="s">
        <v>197</v>
      </c>
      <c r="I1389" s="1" t="s">
        <v>373</v>
      </c>
      <c r="K1389" s="1" t="n">
        <v>29</v>
      </c>
      <c r="L1389" s="11" t="n">
        <v>0.992216521898191</v>
      </c>
      <c r="M1389" s="1" t="n">
        <f aca="false">SUMIF(Relatorio_AK!$A:$A,A1389,Relatorio_AK!$B:$B)</f>
        <v>29</v>
      </c>
      <c r="N1389" s="1" t="str">
        <f aca="false">IF(M1389=K1389,"OK","DIF")</f>
        <v>OK</v>
      </c>
      <c r="O1389" s="12" t="str">
        <f aca="false">IFERROR(VLOOKUP($A1389,Lista_Starke!$A:$E,3,0),"NÃO ESTÁ NA LISTA")</f>
        <v>NÃO ESTÁ NA LISTA</v>
      </c>
      <c r="P1389" s="12" t="str">
        <f aca="false">IFERROR(VLOOKUP($A1389,Lista_Starke!$A:$E,2,0),"NÃO ESTÁ NA LISTA")</f>
        <v>NÃO ESTÁ NA LISTA</v>
      </c>
    </row>
    <row r="1390" customFormat="false" ht="15" hidden="false" customHeight="true" outlineLevel="0" collapsed="false">
      <c r="A1390" s="10" t="s">
        <v>3010</v>
      </c>
      <c r="B1390" s="10" t="str">
        <f aca="false">IFERROR(VLOOKUP(A1390,Pedido!$A:$B,2,0),"")</f>
        <v/>
      </c>
      <c r="C1390" s="10" t="str">
        <f aca="false">IF(B1390="","NÃO COMPRA","COMPRA")</f>
        <v>NÃO COMPRA</v>
      </c>
      <c r="D1390" s="1" t="n">
        <f aca="false">IFERROR(VLOOKUP(A1390,Pedido!$A:$C,3,0),0)</f>
        <v>0</v>
      </c>
      <c r="E1390" s="5" t="n">
        <f aca="false">IFERROR(VLOOKUP(A1390,Pedido!$A:$E,5,0),0)</f>
        <v>0</v>
      </c>
      <c r="F1390" s="1" t="s">
        <v>9</v>
      </c>
      <c r="G1390" s="1" t="s">
        <v>971</v>
      </c>
      <c r="H1390" s="1" t="s">
        <v>157</v>
      </c>
      <c r="I1390" s="1" t="s">
        <v>613</v>
      </c>
      <c r="J1390" s="1" t="s">
        <v>3011</v>
      </c>
      <c r="K1390" s="1" t="n">
        <v>29</v>
      </c>
      <c r="L1390" s="11" t="n">
        <v>0.992266098191834</v>
      </c>
      <c r="M1390" s="1" t="n">
        <f aca="false">SUMIF(Relatorio_AK!$A:$A,A1390,Relatorio_AK!$B:$B)</f>
        <v>29</v>
      </c>
      <c r="N1390" s="1" t="str">
        <f aca="false">IF(M1390=K1390,"OK","DIF")</f>
        <v>OK</v>
      </c>
      <c r="O1390" s="13" t="str">
        <f aca="false">IFERROR(VLOOKUP($A1390,Lista_Starke!$A:$E,3,0),"NÃO ESTÁ NA LISTA")</f>
        <v>FIAT: Doblo 1.8 16V E Torq 11/…
FIAT: Doblo 1.8 8V Powertrain 04/10
FIAT: Idea 1.8 16V E Torq 11/…
FIAT: Idea 1.8 8V Powertrain 06/10
FIAT: Palio 1.8 16V E Torq 11/…
FIAT: Palio 1.8 8V Powertrain 03/10
FIAT: Palio Weekend 1.8 16V E Torq 11/…
FIAT: Palio Weekend 1.8 8V Powertrain 03/10
FIAT: Punto 1.6 16V E Torq 11/…
FIAT: Punto 1.8 16V E Torq 11/…
FIAT: Punto 1.8 8V Powertrain 08/10
FIAT: Siena 1.8 16V E Torq 11/…
FIAT: Siena 1.8 8V Powertrain 03/10
FIAT: Strada 1.8 16V E Torq 11/…
GM: Stilo 1.8 8V Powertrain 03/11
GM: Strada 1.8 8V Powertrain 03/10</v>
      </c>
      <c r="P1390" s="12" t="str">
        <f aca="false">IFERROR(VLOOKUP($A1390,Lista_Starke!$A:$E,2,0),"NÃO ESTÁ NA LISTA")</f>
        <v>ATUADOR DE EMBREAGEM</v>
      </c>
    </row>
    <row r="1391" customFormat="false" ht="15" hidden="false" customHeight="true" outlineLevel="0" collapsed="false">
      <c r="A1391" s="10" t="s">
        <v>3012</v>
      </c>
      <c r="B1391" s="10" t="str">
        <f aca="false">IFERROR(VLOOKUP(A1391,Pedido!$A:$B,2,0),"")</f>
        <v/>
      </c>
      <c r="C1391" s="10" t="str">
        <f aca="false">IF(B1391="","NÃO COMPRA","COMPRA")</f>
        <v>NÃO COMPRA</v>
      </c>
      <c r="D1391" s="1" t="n">
        <f aca="false">IFERROR(VLOOKUP(A1391,Pedido!$A:$C,3,0),0)</f>
        <v>0</v>
      </c>
      <c r="E1391" s="5" t="n">
        <f aca="false">IFERROR(VLOOKUP(A1391,Pedido!$A:$E,5,0),0)</f>
        <v>0</v>
      </c>
      <c r="F1391" s="1" t="s">
        <v>9</v>
      </c>
      <c r="G1391" s="1" t="s">
        <v>2954</v>
      </c>
      <c r="H1391" s="1" t="s">
        <v>790</v>
      </c>
      <c r="I1391" s="1" t="s">
        <v>684</v>
      </c>
      <c r="J1391" s="1" t="s">
        <v>3013</v>
      </c>
      <c r="K1391" s="1" t="n">
        <v>29</v>
      </c>
      <c r="L1391" s="11" t="n">
        <v>0.992315674485476</v>
      </c>
      <c r="M1391" s="1" t="n">
        <f aca="false">SUMIF(Relatorio_AK!$A:$A,A1391,Relatorio_AK!$B:$B)</f>
        <v>29</v>
      </c>
      <c r="N1391" s="1" t="str">
        <f aca="false">IF(M1391=K1391,"OK","DIF")</f>
        <v>OK</v>
      </c>
      <c r="O1391" s="13" t="str">
        <f aca="false">IFERROR(VLOOKUP($A1391,Lista_Starke!$A:$E,3,0),"NÃO ESTÁ NA LISTA")</f>
        <v>LAND ROVER: Defender D200 MHEV 4x4 3.0 6 cil. DIesel DT306(AJ20D6) 20/...
LAND ROVER: Defender D250 MHEV 4x4 3.0 6 cil. Diesel DT306(AJ20D6) 20/...
LAND ROVER: Defender D300 MHEV 4x4 3.0 6 cil. Diesel DT306(AJ20D6) 20/...
LAND ROVER: Range Rover Sport 3.0 D250 4x4 6 cil. Diesel DT306(AJ20D6) 20/22
LAND ROVER: Range Rover Sport 3.0 D250 MHEV 4x4 6 cil Diesel DT306(AJ20D6) 20/...
LAND ROVER: Range Rover Sport 3.0 D300 4x4 6 cil. Diesel DT306(AJ20D6) 20/22
LAND ROVER: Range Rover Sport 3.0 D300 MHEV 4x4 6 cil. Diesel DT306(AJ20D6) 20/...
LAND ROVER: Range Rover Sport 3.0 D350 4x4 Diesel DT306(AJ20D6) 20/22
LAND ROVER: Range Rover Sport 3.0 D350 MHEV 4x4 6 cil. Diesel DT306(AJ20D6) 20/...
LAND ROVER: Range Rover Sport P440e PHEV AWD 3.0 6 cil. PT306(AJ20P6) 22/...
LAND ROVER: Range Rover Sport P510e PHEV AWD 3.0 6 cil. PT306(AJ20P6) 22/...</v>
      </c>
      <c r="P1391" s="12" t="str">
        <f aca="false">IFERROR(VLOOKUP($A1391,Lista_Starke!$A:$E,2,0),"NÃO ESTÁ NA LISTA")</f>
        <v>BOMBA D'ÁGUA ELÉTRICA</v>
      </c>
    </row>
    <row r="1392" customFormat="false" ht="15" hidden="false" customHeight="true" outlineLevel="0" collapsed="false">
      <c r="A1392" s="10" t="s">
        <v>3014</v>
      </c>
      <c r="B1392" s="10" t="str">
        <f aca="false">IFERROR(VLOOKUP(A1392,Pedido!$A:$B,2,0),"")</f>
        <v/>
      </c>
      <c r="C1392" s="10" t="str">
        <f aca="false">IF(B1392="","NÃO COMPRA","COMPRA")</f>
        <v>NÃO COMPRA</v>
      </c>
      <c r="D1392" s="1" t="n">
        <f aca="false">IFERROR(VLOOKUP(A1392,Pedido!$A:$C,3,0),0)</f>
        <v>0</v>
      </c>
      <c r="E1392" s="5" t="n">
        <f aca="false">IFERROR(VLOOKUP(A1392,Pedido!$A:$E,5,0),0)</f>
        <v>0</v>
      </c>
      <c r="F1392" s="1" t="s">
        <v>9</v>
      </c>
      <c r="G1392" s="1" t="s">
        <v>264</v>
      </c>
      <c r="H1392" s="1" t="s">
        <v>88</v>
      </c>
      <c r="I1392" s="1" t="s">
        <v>53</v>
      </c>
      <c r="J1392" s="1" t="s">
        <v>3015</v>
      </c>
      <c r="K1392" s="1" t="n">
        <v>29</v>
      </c>
      <c r="L1392" s="11" t="n">
        <v>0.992365250779118</v>
      </c>
      <c r="M1392" s="1" t="n">
        <f aca="false">SUMIF(Relatorio_AK!$A:$A,A1392,Relatorio_AK!$B:$B)</f>
        <v>29</v>
      </c>
      <c r="N1392" s="1" t="str">
        <f aca="false">IF(M1392=K1392,"OK","DIF")</f>
        <v>OK</v>
      </c>
      <c r="O1392" s="13" t="str">
        <f aca="false">IFERROR(VLOOKUP($A1392,Lista_Starke!$A:$E,3,0),"NÃO ESTÁ NA LISTA")</f>
        <v>FORD: Focus 1.6 16V Sigma 10/19
FORD: Focus 2.0 16V Duratec 10/19</v>
      </c>
      <c r="P1392" s="12" t="str">
        <f aca="false">IFERROR(VLOOKUP($A1392,Lista_Starke!$A:$E,2,0),"NÃO ESTÁ NA LISTA")</f>
        <v>CILINDRO DE RODA LE/LD</v>
      </c>
    </row>
    <row r="1393" customFormat="false" ht="15" hidden="false" customHeight="true" outlineLevel="0" collapsed="false">
      <c r="A1393" s="10" t="s">
        <v>3016</v>
      </c>
      <c r="B1393" s="10" t="str">
        <f aca="false">IFERROR(VLOOKUP(A1393,Pedido!$A:$B,2,0),"")</f>
        <v/>
      </c>
      <c r="C1393" s="10" t="str">
        <f aca="false">IF(B1393="","NÃO COMPRA","COMPRA")</f>
        <v>NÃO COMPRA</v>
      </c>
      <c r="D1393" s="1" t="n">
        <f aca="false">IFERROR(VLOOKUP(A1393,Pedido!$A:$C,3,0),0)</f>
        <v>0</v>
      </c>
      <c r="E1393" s="5" t="n">
        <f aca="false">IFERROR(VLOOKUP(A1393,Pedido!$A:$E,5,0),0)</f>
        <v>0</v>
      </c>
      <c r="F1393" s="1" t="s">
        <v>9</v>
      </c>
      <c r="G1393" s="1" t="s">
        <v>1084</v>
      </c>
      <c r="H1393" s="1" t="s">
        <v>88</v>
      </c>
      <c r="I1393" s="1" t="s">
        <v>57</v>
      </c>
      <c r="J1393" s="1" t="s">
        <v>3017</v>
      </c>
      <c r="K1393" s="1" t="n">
        <v>29</v>
      </c>
      <c r="L1393" s="11" t="n">
        <v>0.99241482707276</v>
      </c>
      <c r="M1393" s="1" t="n">
        <f aca="false">SUMIF(Relatorio_AK!$A:$A,A1393,Relatorio_AK!$B:$B)</f>
        <v>29</v>
      </c>
      <c r="N1393" s="1" t="str">
        <f aca="false">IF(M1393=K1393,"OK","DIF")</f>
        <v>OK</v>
      </c>
      <c r="O1393" s="13" t="str">
        <f aca="false">IFERROR(VLOOKUP($A1393,Lista_Starke!$A:$E,3,0),"NÃO ESTÁ NA LISTA")</f>
        <v>GM: D20 Q20B 3.9 L 8V SOHC L4 85/92
GM: D20 CS Q20B 3.9 L 8V SOHC L4 84/94
GM: D20 CUSTOM LUXE Q20B 3.9 L 8V SOHC L4 85/92
GM: D20 CUSTOM S Q20B 3.9 L 8V SOHC L4 85/92
GM: Veraneio Custom Luxe 250 4.1 L 12V SOHC L6 80/92
GM: Veraneio Custom S 250 4.1 L 12V SOHC L6 80/92
GM: Veraneio L 151 2.5 L 8V SOHC L4 80/92</v>
      </c>
      <c r="P1393" s="12" t="str">
        <f aca="false">IFERROR(VLOOKUP($A1393,Lista_Starke!$A:$E,2,0),"NÃO ESTÁ NA LISTA")</f>
        <v>CILINDRO DE RODA LD</v>
      </c>
    </row>
    <row r="1394" customFormat="false" ht="15" hidden="false" customHeight="true" outlineLevel="0" collapsed="false">
      <c r="A1394" s="10" t="s">
        <v>3018</v>
      </c>
      <c r="B1394" s="10" t="str">
        <f aca="false">IFERROR(VLOOKUP(A1394,Pedido!$A:$B,2,0),"")</f>
        <v/>
      </c>
      <c r="C1394" s="10" t="str">
        <f aca="false">IF(B1394="","NÃO COMPRA","COMPRA")</f>
        <v>NÃO COMPRA</v>
      </c>
      <c r="D1394" s="1" t="n">
        <f aca="false">IFERROR(VLOOKUP(A1394,Pedido!$A:$C,3,0),0)</f>
        <v>0</v>
      </c>
      <c r="E1394" s="5" t="n">
        <f aca="false">IFERROR(VLOOKUP(A1394,Pedido!$A:$E,5,0),0)</f>
        <v>0</v>
      </c>
      <c r="F1394" s="1" t="s">
        <v>9</v>
      </c>
      <c r="G1394" s="1" t="s">
        <v>353</v>
      </c>
      <c r="H1394" s="1" t="s">
        <v>88</v>
      </c>
      <c r="I1394" s="1" t="s">
        <v>177</v>
      </c>
      <c r="J1394" s="1" t="s">
        <v>3019</v>
      </c>
      <c r="K1394" s="1" t="n">
        <v>29</v>
      </c>
      <c r="L1394" s="11" t="n">
        <v>0.992464403366402</v>
      </c>
      <c r="M1394" s="1" t="n">
        <f aca="false">SUMIF(Relatorio_AK!$A:$A,A1394,Relatorio_AK!$B:$B)</f>
        <v>29</v>
      </c>
      <c r="N1394" s="1" t="str">
        <f aca="false">IF(M1394=K1394,"OK","DIF")</f>
        <v>OK</v>
      </c>
      <c r="O1394" s="13" t="str">
        <f aca="false">IFERROR(VLOOKUP($A1394,Lista_Starke!$A:$E,3,0),"NÃO ESTÁ NA LISTA")</f>
        <v>TOYOTA: Hilux 2.8 8V LN6TR 00/01
TOYOTA: Hilux 3.0 16V D4D 05/10
TOYOTA: Hilux 3.0 8V 1KZTE 02/05
TOYOTA: Hilux 3.0 8V 5LE 00/02
TOYOTA: Hilux 3.0 8V 5LE 02/06
TOYOTA: Hilux 3.4 24V V6 5VZFE 00</v>
      </c>
      <c r="P1394" s="12" t="str">
        <f aca="false">IFERROR(VLOOKUP($A1394,Lista_Starke!$A:$E,2,0),"NÃO ESTÁ NA LISTA")</f>
        <v>CILINDRO DE RODA LE/LD</v>
      </c>
    </row>
    <row r="1395" customFormat="false" ht="15" hidden="false" customHeight="true" outlineLevel="0" collapsed="false">
      <c r="A1395" s="10" t="s">
        <v>3020</v>
      </c>
      <c r="B1395" s="10" t="str">
        <f aca="false">IFERROR(VLOOKUP(A1395,Pedido!$A:$B,2,0),"")</f>
        <v/>
      </c>
      <c r="C1395" s="10" t="str">
        <f aca="false">IF(B1395="","NÃO COMPRA","COMPRA")</f>
        <v>NÃO COMPRA</v>
      </c>
      <c r="D1395" s="1" t="n">
        <f aca="false">IFERROR(VLOOKUP(A1395,Pedido!$A:$C,3,0),0)</f>
        <v>0</v>
      </c>
      <c r="E1395" s="5" t="n">
        <f aca="false">IFERROR(VLOOKUP(A1395,Pedido!$A:$E,5,0),0)</f>
        <v>0</v>
      </c>
      <c r="F1395" s="1" t="s">
        <v>9</v>
      </c>
      <c r="G1395" s="1" t="s">
        <v>2469</v>
      </c>
      <c r="H1395" s="1" t="s">
        <v>2466</v>
      </c>
      <c r="I1395" s="1" t="s">
        <v>3021</v>
      </c>
      <c r="J1395" s="1" t="s">
        <v>3022</v>
      </c>
      <c r="K1395" s="1" t="n">
        <v>29</v>
      </c>
      <c r="L1395" s="11" t="n">
        <v>0.992513979660044</v>
      </c>
      <c r="M1395" s="1" t="n">
        <f aca="false">SUMIF(Relatorio_AK!$A:$A,A1395,Relatorio_AK!$B:$B)</f>
        <v>29</v>
      </c>
      <c r="N1395" s="1" t="str">
        <f aca="false">IF(M1395=K1395,"OK","DIF")</f>
        <v>OK</v>
      </c>
      <c r="O1395" s="13" t="str">
        <f aca="false">IFERROR(VLOOKUP($A1395,Lista_Starke!$A:$E,3,0),"NÃO ESTÁ NA LISTA")</f>
        <v>AGRALE: 1600 A 2.5 L 8V SOHC L4 Sist. Varga 86/89
AGRALE: 1600 D SERIE 229 3.0 L 6V SOHV L3 Sist. Varga 86/89
AGRALE: 1600 D SERIE 229 3.9 L 8V SOHV L4 Sist. ATE 86/89
AGRALE: 1800 D Q20B 3.9 L 8V SOHV L4 Sist. ATE 88/89
AGRALE: 1800 D SERIE 229 3.9 L 8V SOHV L4 Sist. ATE 88/89
GM: A10 4.1 12V 6 cil. Sist. ATE 85/88
GM: A20 4.1 12V 6 cil. Sist. ATE 85/88
GM: A20 4.1 12V 6 cil. Sist. Varga 85/88
GM: C20 4.1 12V 6 cil. Sist. Varga 85/89</v>
      </c>
      <c r="P1395" s="12" t="str">
        <f aca="false">IFERROR(VLOOKUP($A1395,Lista_Starke!$A:$E,2,0),"NÃO ESTÁ NA LISTA")</f>
        <v>SERVO FREIO</v>
      </c>
    </row>
    <row r="1396" customFormat="false" ht="15" hidden="false" customHeight="true" outlineLevel="0" collapsed="false">
      <c r="A1396" s="10" t="s">
        <v>3023</v>
      </c>
      <c r="B1396" s="10" t="str">
        <f aca="false">IFERROR(VLOOKUP(A1396,Pedido!$A:$B,2,0),"")</f>
        <v/>
      </c>
      <c r="C1396" s="10" t="str">
        <f aca="false">IF(B1396="","NÃO COMPRA","COMPRA")</f>
        <v>NÃO COMPRA</v>
      </c>
      <c r="D1396" s="1" t="n">
        <f aca="false">IFERROR(VLOOKUP(A1396,Pedido!$A:$C,3,0),0)</f>
        <v>0</v>
      </c>
      <c r="E1396" s="5" t="n">
        <f aca="false">IFERROR(VLOOKUP(A1396,Pedido!$A:$E,5,0),0)</f>
        <v>0</v>
      </c>
      <c r="F1396" s="1" t="s">
        <v>9</v>
      </c>
      <c r="G1396" s="1" t="s">
        <v>2495</v>
      </c>
      <c r="H1396" s="1" t="s">
        <v>2466</v>
      </c>
      <c r="I1396" s="1" t="s">
        <v>46</v>
      </c>
      <c r="J1396" s="1" t="s">
        <v>3024</v>
      </c>
      <c r="K1396" s="1" t="n">
        <v>29</v>
      </c>
      <c r="L1396" s="11" t="n">
        <v>0.992563555953686</v>
      </c>
      <c r="M1396" s="1" t="n">
        <f aca="false">SUMIF(Relatorio_AK!$A:$A,A1396,Relatorio_AK!$B:$B)</f>
        <v>29</v>
      </c>
      <c r="N1396" s="1" t="str">
        <f aca="false">IF(M1396=K1396,"OK","DIF")</f>
        <v>OK</v>
      </c>
      <c r="O1396" s="13" t="str">
        <f aca="false">IFERROR(VLOOKUP($A1396,Lista_Starke!$A:$E,3,0),"NÃO ESTÁ NA LISTA")</f>
        <v>FIAT: Argo 1.0 6V 3 cil. Firefly 19/...
FIAT: Argo 1.3 8V Firefly 17/...
FIAT: Argo 1.8 16V Etorq 17/21
FIAT: Cronos 1.0 6V 3 cil. Firefly c/ ABS 22/...
FIAT: Cronos 1.3 8V Firefly 18/22
FIAT: Cronos 1.3 8V Firefly 22/...
FIAT: Cronos 1.8 16V Etorq 19/22
FIAT: Fiorino 1.4 8V Fire Evo 20/...
FIAT: Fiorino 1.4 8V Fire Evo c/ ABS 13/20
FIAT: Fiorino 1.4 8V Fire Evo c/ ABS 16/20
FIAT: Grand Siena 1.4 8V Fire Evo c/ ABS 13/20
FIAT: Grand Siena 1.6 16V Etorq c/ ABS 13/18
FIAT: Mobi 1.0 8V Fire Evo c/ ABS 17/...
FIAT: Palio 1.0 8V Fire 13/16
FIAT: Palio 1.4 8V Fire Evo 14/18
FIAT: Palio 1.6 16V Etorq 12/18
FIAT: Uno 1.0 6V 3 cil. Firefly c/ ABS 17/21
FIAT: Uno 1.0 8V Fire Evo c/ ABS 13/17
FIAT: Uno 1.3 8V Firefly 16/19
FIAT: Uno 1.4 8V Fire Evo c/ ABS 13/14
FIAT: Uno 1.4 8V Fire Evo c/ ABS 14/...
FIAT: Uno 1.4 8V Fire Evo c/ ABS 14/16
FIAT: Uno Mille 10. 8V Fire c/ ABS 13/13
FIAT: Uno Way 1.0 6V 3 cil. Firefly c/ ABS 16/20</v>
      </c>
      <c r="P1396" s="12" t="str">
        <f aca="false">IFERROR(VLOOKUP($A1396,Lista_Starke!$A:$E,2,0),"NÃO ESTÁ NA LISTA")</f>
        <v>SERVO FREIO</v>
      </c>
    </row>
    <row r="1397" customFormat="false" ht="15" hidden="false" customHeight="true" outlineLevel="0" collapsed="false">
      <c r="A1397" s="10" t="s">
        <v>3025</v>
      </c>
      <c r="B1397" s="10" t="str">
        <f aca="false">IFERROR(VLOOKUP(A1397,Pedido!$A:$B,2,0),"")</f>
        <v/>
      </c>
      <c r="C1397" s="10" t="str">
        <f aca="false">IF(B1397="","NÃO COMPRA","COMPRA")</f>
        <v>NÃO COMPRA</v>
      </c>
      <c r="D1397" s="1" t="n">
        <f aca="false">IFERROR(VLOOKUP(A1397,Pedido!$A:$C,3,0),0)</f>
        <v>0</v>
      </c>
      <c r="E1397" s="5" t="n">
        <f aca="false">IFERROR(VLOOKUP(A1397,Pedido!$A:$E,5,0),0)</f>
        <v>0</v>
      </c>
      <c r="F1397" s="1" t="s">
        <v>9</v>
      </c>
      <c r="G1397" s="1" t="s">
        <v>2281</v>
      </c>
      <c r="H1397" s="1" t="s">
        <v>1358</v>
      </c>
      <c r="I1397" s="1" t="s">
        <v>255</v>
      </c>
      <c r="J1397" s="1" t="s">
        <v>3026</v>
      </c>
      <c r="K1397" s="1" t="n">
        <v>28</v>
      </c>
      <c r="L1397" s="11" t="n">
        <v>0.992611422719961</v>
      </c>
      <c r="M1397" s="1" t="n">
        <f aca="false">SUMIF(Relatorio_AK!$A:$A,A1397,Relatorio_AK!$B:$B)</f>
        <v>28</v>
      </c>
      <c r="N1397" s="1" t="str">
        <f aca="false">IF(M1397=K1397,"OK","DIF")</f>
        <v>OK</v>
      </c>
      <c r="O1397" s="13" t="str">
        <f aca="false">IFERROR(VLOOKUP($A1397,Lista_Starke!$A:$E,3,0),"NÃO ESTÁ NA LISTA")</f>
        <v>MITSUBISHI: ASX  11/19
MITSUBISHI: Lancer  11/19
MITSUBISHI: Outlander  07/13</v>
      </c>
      <c r="P1397" s="12" t="str">
        <f aca="false">IFERROR(VLOOKUP($A1397,Lista_Starke!$A:$E,2,0),"NÃO ESTÁ NA LISTA")</f>
        <v>BANDEJA INFERIOR COMPLETA LE</v>
      </c>
    </row>
    <row r="1398" customFormat="false" ht="15" hidden="false" customHeight="true" outlineLevel="0" collapsed="false">
      <c r="A1398" s="10" t="s">
        <v>3027</v>
      </c>
      <c r="B1398" s="10" t="str">
        <f aca="false">IFERROR(VLOOKUP(A1398,Pedido!$A:$B,2,0),"")</f>
        <v/>
      </c>
      <c r="C1398" s="10" t="str">
        <f aca="false">IF(B1398="","NÃO COMPRA","COMPRA")</f>
        <v>NÃO COMPRA</v>
      </c>
      <c r="D1398" s="1" t="n">
        <f aca="false">IFERROR(VLOOKUP(A1398,Pedido!$A:$C,3,0),0)</f>
        <v>0</v>
      </c>
      <c r="E1398" s="5" t="n">
        <f aca="false">IFERROR(VLOOKUP(A1398,Pedido!$A:$E,5,0),0)</f>
        <v>0</v>
      </c>
      <c r="F1398" s="1" t="s">
        <v>9</v>
      </c>
      <c r="G1398" s="1" t="s">
        <v>332</v>
      </c>
      <c r="H1398" s="1" t="s">
        <v>28</v>
      </c>
      <c r="I1398" s="1" t="s">
        <v>177</v>
      </c>
      <c r="J1398" s="1" t="s">
        <v>3028</v>
      </c>
      <c r="K1398" s="1" t="n">
        <v>28</v>
      </c>
      <c r="L1398" s="11" t="n">
        <v>0.992659289486236</v>
      </c>
      <c r="M1398" s="1" t="n">
        <f aca="false">SUMIF(Relatorio_AK!$A:$A,A1398,Relatorio_AK!$B:$B)</f>
        <v>28</v>
      </c>
      <c r="N1398" s="1" t="str">
        <f aca="false">IF(M1398=K1398,"OK","DIF")</f>
        <v>OK</v>
      </c>
      <c r="O1398" s="13" t="str">
        <f aca="false">IFERROR(VLOOKUP($A1398,Lista_Starke!$A:$E,3,0),"NÃO ESTÁ NA LISTA")</f>
        <v>TOYOTA: Hilux 1KZTE 3.0 L 8V SOHC L4 02/05
TOYOTA: Hilux 5LE 3.0 L 8V SOHC L4 02/05</v>
      </c>
      <c r="P1398" s="12" t="str">
        <f aca="false">IFERROR(VLOOKUP($A1398,Lista_Starke!$A:$E,2,0),"NÃO ESTÁ NA LISTA")</f>
        <v>CILINDRO AUXILIAR DE EMBREAGEM</v>
      </c>
    </row>
    <row r="1399" customFormat="false" ht="15" hidden="false" customHeight="true" outlineLevel="0" collapsed="false">
      <c r="A1399" s="10" t="s">
        <v>3029</v>
      </c>
      <c r="B1399" s="10" t="str">
        <f aca="false">IFERROR(VLOOKUP(A1399,Pedido!$A:$B,2,0),"")</f>
        <v/>
      </c>
      <c r="C1399" s="10" t="str">
        <f aca="false">IF(B1399="","NÃO COMPRA","COMPRA")</f>
        <v>NÃO COMPRA</v>
      </c>
      <c r="D1399" s="1" t="n">
        <f aca="false">IFERROR(VLOOKUP(A1399,Pedido!$A:$C,3,0),0)</f>
        <v>0</v>
      </c>
      <c r="E1399" s="5" t="n">
        <f aca="false">IFERROR(VLOOKUP(A1399,Pedido!$A:$E,5,0),0)</f>
        <v>0</v>
      </c>
      <c r="F1399" s="1" t="s">
        <v>9</v>
      </c>
      <c r="G1399" s="1" t="s">
        <v>542</v>
      </c>
      <c r="H1399" s="1" t="s">
        <v>35</v>
      </c>
      <c r="I1399" s="1" t="s">
        <v>77</v>
      </c>
      <c r="J1399" s="1" t="s">
        <v>3030</v>
      </c>
      <c r="K1399" s="1" t="n">
        <v>28</v>
      </c>
      <c r="L1399" s="11" t="n">
        <v>0.992707156252511</v>
      </c>
      <c r="M1399" s="1" t="n">
        <f aca="false">SUMIF(Relatorio_AK!$A:$A,A1399,Relatorio_AK!$B:$B)</f>
        <v>28</v>
      </c>
      <c r="N1399" s="1" t="str">
        <f aca="false">IF(M1399=K1399,"OK","DIF")</f>
        <v>OK</v>
      </c>
      <c r="O1399" s="13" t="str">
        <f aca="false">IFERROR(VLOOKUP($A1399,Lista_Starke!$A:$E,3,0),"NÃO ESTÁ NA LISTA")</f>
        <v>CITROEN: Berlingo 1.6 16V TU5JP4 05/07
CITROEN: Berlingo 1.6 16V TU5JP4 c/ abs 18/20
CITROEN: Berlingo 1.8 8V XU7JB 98/03
CITROEN: Xsara Picasso 1.6 16V TU5JP4 s/abs 06/13
PEUGEOT: 306 1.8 16V XU7JP4 97/04
PEUGEOT: Partner 1.6 16V TU5JP4 04/18
PEUGEOT: Partner 1.8 8V XU7JB 99/03</v>
      </c>
      <c r="P1399" s="12" t="str">
        <f aca="false">IFERROR(VLOOKUP($A1399,Lista_Starke!$A:$E,2,0),"NÃO ESTÁ NA LISTA")</f>
        <v>CILINDRO MESTRE DE FREIO</v>
      </c>
    </row>
    <row r="1400" customFormat="false" ht="15" hidden="false" customHeight="true" outlineLevel="0" collapsed="false">
      <c r="A1400" s="10" t="s">
        <v>3031</v>
      </c>
      <c r="B1400" s="10" t="str">
        <f aca="false">IFERROR(VLOOKUP(A1400,Pedido!$A:$B,2,0),"")</f>
        <v/>
      </c>
      <c r="C1400" s="10" t="str">
        <f aca="false">IF(B1400="","NÃO COMPRA","COMPRA")</f>
        <v>NÃO COMPRA</v>
      </c>
      <c r="D1400" s="1" t="n">
        <f aca="false">IFERROR(VLOOKUP(A1400,Pedido!$A:$C,3,0),0)</f>
        <v>0</v>
      </c>
      <c r="E1400" s="5" t="n">
        <f aca="false">IFERROR(VLOOKUP(A1400,Pedido!$A:$E,5,0),0)</f>
        <v>0</v>
      </c>
      <c r="F1400" s="1" t="s">
        <v>9</v>
      </c>
      <c r="G1400" s="1" t="s">
        <v>2469</v>
      </c>
      <c r="H1400" s="1" t="s">
        <v>2466</v>
      </c>
      <c r="I1400" s="1" t="s">
        <v>57</v>
      </c>
      <c r="J1400" s="1" t="s">
        <v>3032</v>
      </c>
      <c r="K1400" s="1" t="n">
        <v>28</v>
      </c>
      <c r="L1400" s="11" t="n">
        <v>0.992755023018787</v>
      </c>
      <c r="M1400" s="1" t="n">
        <f aca="false">SUMIF(Relatorio_AK!$A:$A,A1400,Relatorio_AK!$B:$B)</f>
        <v>28</v>
      </c>
      <c r="N1400" s="1" t="str">
        <f aca="false">IF(M1400=K1400,"OK","DIF")</f>
        <v>OK</v>
      </c>
      <c r="O1400" s="13" t="str">
        <f aca="false">IFERROR(VLOOKUP($A1400,Lista_Starke!$A:$E,3,0),"NÃO ESTÁ NA LISTA")</f>
        <v>GM: Cobalt 1.4 8V 17/...
GM: Cobalt 1.8 8V 15/...
GM: Onix 1.0 12V 3 cil. Aspirado 19/...
GM: Onix 1.0 12V 3 cil. Turbo 19/...
GM: Onix 1.0 8V 12/16
GM: Onix 1.4 8V 12/16
GM: Onix 1.4 8V 16/...
GM: Prisma 1.4 8V 13/16</v>
      </c>
      <c r="P1400" s="12" t="str">
        <f aca="false">IFERROR(VLOOKUP($A1400,Lista_Starke!$A:$E,2,0),"NÃO ESTÁ NA LISTA")</f>
        <v>SERVO FREIO</v>
      </c>
    </row>
    <row r="1401" customFormat="false" ht="15" hidden="false" customHeight="true" outlineLevel="0" collapsed="false">
      <c r="A1401" s="10" t="s">
        <v>3033</v>
      </c>
      <c r="B1401" s="10" t="str">
        <f aca="false">IFERROR(VLOOKUP(A1401,Pedido!$A:$B,2,0),"")</f>
        <v/>
      </c>
      <c r="C1401" s="10" t="str">
        <f aca="false">IF(B1401="","NÃO COMPRA","COMPRA")</f>
        <v>NÃO COMPRA</v>
      </c>
      <c r="D1401" s="1" t="n">
        <f aca="false">IFERROR(VLOOKUP(A1401,Pedido!$A:$C,3,0),0)</f>
        <v>0</v>
      </c>
      <c r="E1401" s="5" t="n">
        <f aca="false">IFERROR(VLOOKUP(A1401,Pedido!$A:$E,5,0),0)</f>
        <v>0</v>
      </c>
      <c r="F1401" s="1" t="s">
        <v>9</v>
      </c>
      <c r="G1401" s="1" t="s">
        <v>1982</v>
      </c>
      <c r="H1401" s="1" t="s">
        <v>1358</v>
      </c>
      <c r="I1401" s="1" t="s">
        <v>295</v>
      </c>
      <c r="J1401" s="1" t="s">
        <v>3034</v>
      </c>
      <c r="K1401" s="1" t="n">
        <v>27</v>
      </c>
      <c r="L1401" s="11" t="n">
        <v>0.992801180257695</v>
      </c>
      <c r="M1401" s="1" t="n">
        <f aca="false">SUMIF(Relatorio_AK!$A:$A,A1401,Relatorio_AK!$B:$B)</f>
        <v>27</v>
      </c>
      <c r="N1401" s="1" t="str">
        <f aca="false">IF(M1401=K1401,"OK","DIF")</f>
        <v>OK</v>
      </c>
      <c r="O1401" s="12" t="str">
        <f aca="false">IFERROR(VLOOKUP($A1401,Lista_Starke!$A:$E,3,0),"NÃO ESTÁ NA LISTA")</f>
        <v>CHERY: Celer 1.5 16V   SQR477F 13/…</v>
      </c>
      <c r="P1401" s="12" t="str">
        <f aca="false">IFERROR(VLOOKUP($A1401,Lista_Starke!$A:$E,2,0),"NÃO ESTÁ NA LISTA")</f>
        <v>BANDEJA INFERIOR COMPLETA LD</v>
      </c>
    </row>
    <row r="1402" customFormat="false" ht="15" hidden="false" customHeight="true" outlineLevel="0" collapsed="false">
      <c r="A1402" s="10" t="s">
        <v>3035</v>
      </c>
      <c r="B1402" s="10" t="str">
        <f aca="false">IFERROR(VLOOKUP(A1402,Pedido!$A:$B,2,0),"")</f>
        <v/>
      </c>
      <c r="C1402" s="10" t="str">
        <f aca="false">IF(B1402="","NÃO COMPRA","COMPRA")</f>
        <v>NÃO COMPRA</v>
      </c>
      <c r="D1402" s="1" t="n">
        <f aca="false">IFERROR(VLOOKUP(A1402,Pedido!$A:$C,3,0),0)</f>
        <v>0</v>
      </c>
      <c r="E1402" s="5" t="n">
        <f aca="false">IFERROR(VLOOKUP(A1402,Pedido!$A:$E,5,0),0)</f>
        <v>0</v>
      </c>
      <c r="F1402" s="1" t="s">
        <v>9</v>
      </c>
      <c r="G1402" s="1" t="s">
        <v>1881</v>
      </c>
      <c r="H1402" s="1" t="s">
        <v>2420</v>
      </c>
      <c r="I1402" s="1" t="s">
        <v>57</v>
      </c>
      <c r="J1402" s="1" t="s">
        <v>3036</v>
      </c>
      <c r="K1402" s="1" t="n">
        <v>27</v>
      </c>
      <c r="L1402" s="11" t="n">
        <v>0.992847337496603</v>
      </c>
      <c r="M1402" s="1" t="n">
        <f aca="false">SUMIF(Relatorio_AK!$A:$A,A1402,Relatorio_AK!$B:$B)</f>
        <v>27</v>
      </c>
      <c r="N1402" s="1" t="str">
        <f aca="false">IF(M1402=K1402,"OK","DIF")</f>
        <v>OK</v>
      </c>
      <c r="O1402" s="13" t="str">
        <f aca="false">IFERROR(VLOOKUP($A1402,Lista_Starke!$A:$E,3,0),"NÃO ESTÁ NA LISTA")</f>
        <v>GM: S10 4x2 / 4x4 12/17
GM: Trailblazer  13/17</v>
      </c>
      <c r="P1402" s="12" t="str">
        <f aca="false">IFERROR(VLOOKUP($A1402,Lista_Starke!$A:$E,2,0),"NÃO ESTÁ NA LISTA")</f>
        <v>BANDEJA SUPERIOR COMPLETA LE</v>
      </c>
    </row>
    <row r="1403" customFormat="false" ht="15" hidden="false" customHeight="true" outlineLevel="0" collapsed="false">
      <c r="A1403" s="10" t="s">
        <v>3037</v>
      </c>
      <c r="B1403" s="10" t="str">
        <f aca="false">IFERROR(VLOOKUP(A1403,Pedido!$A:$B,2,0),"")</f>
        <v/>
      </c>
      <c r="C1403" s="10" t="str">
        <f aca="false">IF(B1403="","NÃO COMPRA","COMPRA")</f>
        <v>NÃO COMPRA</v>
      </c>
      <c r="D1403" s="1" t="n">
        <f aca="false">IFERROR(VLOOKUP(A1403,Pedido!$A:$C,3,0),0)</f>
        <v>0</v>
      </c>
      <c r="E1403" s="5" t="n">
        <f aca="false">IFERROR(VLOOKUP(A1403,Pedido!$A:$E,5,0),0)</f>
        <v>0</v>
      </c>
      <c r="F1403" s="1" t="s">
        <v>9</v>
      </c>
      <c r="G1403" s="1" t="s">
        <v>2066</v>
      </c>
      <c r="H1403" s="1" t="s">
        <v>197</v>
      </c>
      <c r="I1403" s="1" t="s">
        <v>2648</v>
      </c>
      <c r="J1403" s="1" t="s">
        <v>3038</v>
      </c>
      <c r="K1403" s="1" t="n">
        <v>27</v>
      </c>
      <c r="L1403" s="11" t="n">
        <v>0.992893494735511</v>
      </c>
      <c r="M1403" s="1" t="n">
        <f aca="false">SUMIF(Relatorio_AK!$A:$A,A1403,Relatorio_AK!$B:$B)</f>
        <v>27</v>
      </c>
      <c r="N1403" s="1" t="str">
        <f aca="false">IF(M1403=K1403,"OK","DIF")</f>
        <v>OK</v>
      </c>
      <c r="O1403" s="13" t="str">
        <f aca="false">IFERROR(VLOOKUP($A1403,Lista_Starke!$A:$E,3,0),"NÃO ESTÁ NA LISTA")</f>
        <v>CHRYSLER: Neon 2.0 16V 95/05
CHRYSLER: PT Cruiser 2.0 16V 00/…
CHRYSLER: Stratus 2.0 16V 95/00
MITSUBISHI: Eclipse GS / GT 2.0 16V 93/99</v>
      </c>
      <c r="P1403" s="12" t="str">
        <f aca="false">IFERROR(VLOOKUP($A1403,Lista_Starke!$A:$E,2,0),"NÃO ESTÁ NA LISTA")</f>
        <v>BOMBA D'ÁGUA</v>
      </c>
    </row>
    <row r="1404" customFormat="false" ht="15" hidden="false" customHeight="true" outlineLevel="0" collapsed="false">
      <c r="A1404" s="10" t="s">
        <v>3039</v>
      </c>
      <c r="B1404" s="10" t="str">
        <f aca="false">IFERROR(VLOOKUP(A1404,Pedido!$A:$B,2,0),"")</f>
        <v/>
      </c>
      <c r="C1404" s="10" t="str">
        <f aca="false">IF(B1404="","NÃO COMPRA","COMPRA")</f>
        <v>NÃO COMPRA</v>
      </c>
      <c r="D1404" s="1" t="n">
        <f aca="false">IFERROR(VLOOKUP(A1404,Pedido!$A:$C,3,0),0)</f>
        <v>0</v>
      </c>
      <c r="E1404" s="5" t="n">
        <f aca="false">IFERROR(VLOOKUP(A1404,Pedido!$A:$E,5,0),0)</f>
        <v>0</v>
      </c>
      <c r="F1404" s="1" t="s">
        <v>9</v>
      </c>
      <c r="G1404" s="1" t="s">
        <v>1326</v>
      </c>
      <c r="H1404" s="1" t="s">
        <v>197</v>
      </c>
      <c r="I1404" s="1" t="s">
        <v>177</v>
      </c>
      <c r="J1404" s="1" t="s">
        <v>3040</v>
      </c>
      <c r="K1404" s="1" t="n">
        <v>27</v>
      </c>
      <c r="L1404" s="11" t="n">
        <v>0.992939651974419</v>
      </c>
      <c r="M1404" s="1" t="n">
        <f aca="false">SUMIF(Relatorio_AK!$A:$A,A1404,Relatorio_AK!$B:$B)</f>
        <v>27</v>
      </c>
      <c r="N1404" s="1" t="str">
        <f aca="false">IF(M1404=K1404,"OK","DIF")</f>
        <v>OK</v>
      </c>
      <c r="O1404" s="13" t="str">
        <f aca="false">IFERROR(VLOOKUP($A1404,Lista_Starke!$A:$E,3,0),"NÃO ESTÁ NA LISTA")</f>
        <v>TOYOTA: Hilux 3.0 Turbo Diesel   1KZ 97/05
TOYOTA: SW4 3.0 Turbo Diesel   1KZ 97/05</v>
      </c>
      <c r="P1404" s="12" t="str">
        <f aca="false">IFERROR(VLOOKUP($A1404,Lista_Starke!$A:$E,2,0),"NÃO ESTÁ NA LISTA")</f>
        <v>BOMBA D'ÁGUA</v>
      </c>
    </row>
    <row r="1405" customFormat="false" ht="15" hidden="false" customHeight="true" outlineLevel="0" collapsed="false">
      <c r="A1405" s="10" t="s">
        <v>3041</v>
      </c>
      <c r="B1405" s="10" t="str">
        <f aca="false">IFERROR(VLOOKUP(A1405,Pedido!$A:$B,2,0),"")</f>
        <v/>
      </c>
      <c r="C1405" s="10" t="str">
        <f aca="false">IF(B1405="","NÃO COMPRA","COMPRA")</f>
        <v>NÃO COMPRA</v>
      </c>
      <c r="D1405" s="1" t="n">
        <f aca="false">IFERROR(VLOOKUP(A1405,Pedido!$A:$C,3,0),0)</f>
        <v>0</v>
      </c>
      <c r="E1405" s="5" t="n">
        <f aca="false">IFERROR(VLOOKUP(A1405,Pedido!$A:$E,5,0),0)</f>
        <v>0</v>
      </c>
      <c r="F1405" s="1" t="s">
        <v>9</v>
      </c>
      <c r="G1405" s="1" t="s">
        <v>552</v>
      </c>
      <c r="H1405" s="1" t="s">
        <v>197</v>
      </c>
      <c r="I1405" s="1" t="s">
        <v>1182</v>
      </c>
      <c r="K1405" s="1" t="n">
        <v>27</v>
      </c>
      <c r="L1405" s="11" t="n">
        <v>0.992985809213327</v>
      </c>
      <c r="M1405" s="1" t="n">
        <f aca="false">SUMIF(Relatorio_AK!$A:$A,A1405,Relatorio_AK!$B:$B)</f>
        <v>27</v>
      </c>
      <c r="N1405" s="1" t="str">
        <f aca="false">IF(M1405=K1405,"OK","DIF")</f>
        <v>OK</v>
      </c>
      <c r="O1405" s="12" t="str">
        <f aca="false">IFERROR(VLOOKUP($A1405,Lista_Starke!$A:$E,3,0),"NÃO ESTÁ NA LISTA")</f>
        <v>KIA: Sorento 2.5 CRDi 06/...</v>
      </c>
      <c r="P1405" s="12" t="str">
        <f aca="false">IFERROR(VLOOKUP($A1405,Lista_Starke!$A:$E,2,0),"NÃO ESTÁ NA LISTA")</f>
        <v>BOMBA D'ÁGUA</v>
      </c>
    </row>
    <row r="1406" customFormat="false" ht="15" hidden="false" customHeight="true" outlineLevel="0" collapsed="false">
      <c r="A1406" s="10" t="s">
        <v>3042</v>
      </c>
      <c r="B1406" s="10" t="str">
        <f aca="false">IFERROR(VLOOKUP(A1406,Pedido!$A:$B,2,0),"")</f>
        <v/>
      </c>
      <c r="C1406" s="10" t="str">
        <f aca="false">IF(B1406="","NÃO COMPRA","COMPRA")</f>
        <v>NÃO COMPRA</v>
      </c>
      <c r="D1406" s="1" t="n">
        <f aca="false">IFERROR(VLOOKUP(A1406,Pedido!$A:$C,3,0),0)</f>
        <v>0</v>
      </c>
      <c r="E1406" s="5" t="n">
        <f aca="false">IFERROR(VLOOKUP(A1406,Pedido!$A:$E,5,0),0)</f>
        <v>0</v>
      </c>
      <c r="F1406" s="1" t="s">
        <v>9</v>
      </c>
      <c r="G1406" s="1" t="s">
        <v>3043</v>
      </c>
      <c r="H1406" s="1" t="s">
        <v>845</v>
      </c>
      <c r="I1406" s="1" t="s">
        <v>373</v>
      </c>
      <c r="J1406" s="1" t="s">
        <v>3044</v>
      </c>
      <c r="K1406" s="1" t="n">
        <v>27</v>
      </c>
      <c r="L1406" s="11" t="n">
        <v>0.993031966452235</v>
      </c>
      <c r="M1406" s="1" t="n">
        <f aca="false">SUMIF(Relatorio_AK!$A:$A,A1406,Relatorio_AK!$B:$B)</f>
        <v>27</v>
      </c>
      <c r="N1406" s="1" t="str">
        <f aca="false">IF(M1406=K1406,"OK","DIF")</f>
        <v>OK</v>
      </c>
      <c r="O1406" s="13" t="str">
        <f aca="false">IFERROR(VLOOKUP($A1406,Lista_Starke!$A:$E,3,0),"NÃO ESTÁ NA LISTA")</f>
        <v>MERCEDES-BENZ: C180 CGI (W204) 1.8 M271.820 07/14
MERCEDES-BENZ: C180 Kompressor 1.8 M271.952 07/14
MERCEDES-BENZ: C180 Kompressor (W204) 1.6 M271.910 08/14
MERCEDES-BENZ: C200 CGI (W204) 1.8 M271.860 / 271.820 07/14
MERCEDES-BENZ: C200 Kompressor (W204) 1.8 M271.950 07/14
MERCEDES-BENZ: C250 CGI (W204) 1.8 M271.860 09/14
MERCEDES-BENZ: C63 AMG (C204) 6.2 M156.985 11/...
MERCEDES-BENZ: C63 AMG (W204) 6.2 M156.985 08/14
MERCEDES-BENZ: E200 (A207)  10/16
MERCEDES-BENZ: E200 (C207)  09/...
MERCEDES-BENZ: E250 (A207)  10/16
MERCEDES-BENZ: E350 (A207)  10/14
MERCEDES-BENZ: E400 (A207)  13/16</v>
      </c>
      <c r="P1406" s="12" t="str">
        <f aca="false">IFERROR(VLOOKUP($A1406,Lista_Starke!$A:$E,2,0),"NÃO ESTÁ NA LISTA")</f>
        <v>SAPATA DE FREIO DE MÃO</v>
      </c>
    </row>
    <row r="1407" customFormat="false" ht="15" hidden="false" customHeight="true" outlineLevel="0" collapsed="false">
      <c r="A1407" s="10" t="s">
        <v>3045</v>
      </c>
      <c r="B1407" s="10" t="str">
        <f aca="false">IFERROR(VLOOKUP(A1407,Pedido!$A:$B,2,0),"")</f>
        <v/>
      </c>
      <c r="C1407" s="10" t="str">
        <f aca="false">IF(B1407="","NÃO COMPRA","COMPRA")</f>
        <v>NÃO COMPRA</v>
      </c>
      <c r="D1407" s="1" t="n">
        <f aca="false">IFERROR(VLOOKUP(A1407,Pedido!$A:$C,3,0),0)</f>
        <v>0</v>
      </c>
      <c r="E1407" s="5" t="n">
        <f aca="false">IFERROR(VLOOKUP(A1407,Pedido!$A:$E,5,0),0)</f>
        <v>0</v>
      </c>
      <c r="F1407" s="1" t="s">
        <v>9</v>
      </c>
      <c r="G1407" s="1" t="s">
        <v>139</v>
      </c>
      <c r="H1407" s="1" t="s">
        <v>88</v>
      </c>
      <c r="I1407" s="1" t="s">
        <v>36</v>
      </c>
      <c r="J1407" s="1" t="s">
        <v>3046</v>
      </c>
      <c r="K1407" s="1" t="n">
        <v>27</v>
      </c>
      <c r="L1407" s="11" t="n">
        <v>0.993078123691143</v>
      </c>
      <c r="M1407" s="1" t="n">
        <f aca="false">SUMIF(Relatorio_AK!$A:$A,A1407,Relatorio_AK!$B:$B)</f>
        <v>27</v>
      </c>
      <c r="N1407" s="1" t="str">
        <f aca="false">IF(M1407=K1407,"OK","DIF")</f>
        <v>OK</v>
      </c>
      <c r="O1407" s="13" t="str">
        <f aca="false">IFERROR(VLOOKUP($A1407,Lista_Starke!$A:$E,3,0),"NÃO ESTÁ NA LISTA")</f>
        <v>VOLKSWAGEN: Brasilia 1300 Ar 80/82
VOLKSWAGEN: Brasilia 1600 Ar 73/82
VOLKSWAGEN: Variant I 1600 Ar 69/77
VOLKSWAGEN: Variant II 1600 Ar 78/81</v>
      </c>
      <c r="P1407" s="12" t="str">
        <f aca="false">IFERROR(VLOOKUP($A1407,Lista_Starke!$A:$E,2,0),"NÃO ESTÁ NA LISTA")</f>
        <v>CILINDRO DE RODA LE/LD</v>
      </c>
    </row>
    <row r="1408" customFormat="false" ht="15" hidden="false" customHeight="true" outlineLevel="0" collapsed="false">
      <c r="A1408" s="10" t="s">
        <v>3047</v>
      </c>
      <c r="B1408" s="10" t="str">
        <f aca="false">IFERROR(VLOOKUP(A1408,Pedido!$A:$B,2,0),"")</f>
        <v/>
      </c>
      <c r="C1408" s="10" t="str">
        <f aca="false">IF(B1408="","NÃO COMPRA","COMPRA")</f>
        <v>NÃO COMPRA</v>
      </c>
      <c r="D1408" s="1" t="n">
        <f aca="false">IFERROR(VLOOKUP(A1408,Pedido!$A:$C,3,0),0)</f>
        <v>0</v>
      </c>
      <c r="E1408" s="5" t="n">
        <f aca="false">IFERROR(VLOOKUP(A1408,Pedido!$A:$E,5,0),0)</f>
        <v>0</v>
      </c>
      <c r="F1408" s="1" t="s">
        <v>9</v>
      </c>
      <c r="G1408" s="1" t="s">
        <v>3048</v>
      </c>
      <c r="H1408" s="1" t="s">
        <v>35</v>
      </c>
      <c r="I1408" s="1" t="s">
        <v>1509</v>
      </c>
      <c r="J1408" s="1" t="s">
        <v>3049</v>
      </c>
      <c r="K1408" s="1" t="n">
        <v>27</v>
      </c>
      <c r="L1408" s="11" t="n">
        <v>0.993124280930051</v>
      </c>
      <c r="M1408" s="1" t="n">
        <f aca="false">SUMIF(Relatorio_AK!$A:$A,A1408,Relatorio_AK!$B:$B)</f>
        <v>27</v>
      </c>
      <c r="N1408" s="1" t="str">
        <f aca="false">IF(M1408=K1408,"OK","DIF")</f>
        <v>OK</v>
      </c>
      <c r="O1408" s="13" t="str">
        <f aca="false">IFERROR(VLOOKUP($A1408,Lista_Starke!$A:$E,3,0),"NÃO ESTÁ NA LISTA")</f>
        <v>DODGE: Ram 2500 5.7 8 cil Diesel 05/11
DODGE: Ram 2500 5.9 6 cil Diesel 05/11
DODGE: Ram 2500 6.7 6 cil Diesel 05/11</v>
      </c>
      <c r="P1408" s="12" t="str">
        <f aca="false">IFERROR(VLOOKUP($A1408,Lista_Starke!$A:$E,2,0),"NÃO ESTÁ NA LISTA")</f>
        <v>CILINDRO MESTRE DE FREIO</v>
      </c>
    </row>
    <row r="1409" customFormat="false" ht="15" hidden="false" customHeight="true" outlineLevel="0" collapsed="false">
      <c r="A1409" s="10" t="s">
        <v>3050</v>
      </c>
      <c r="B1409" s="10" t="str">
        <f aca="false">IFERROR(VLOOKUP(A1409,Pedido!$A:$B,2,0),"")</f>
        <v/>
      </c>
      <c r="C1409" s="10" t="str">
        <f aca="false">IF(B1409="","NÃO COMPRA","COMPRA")</f>
        <v>NÃO COMPRA</v>
      </c>
      <c r="D1409" s="1" t="n">
        <f aca="false">IFERROR(VLOOKUP(A1409,Pedido!$A:$C,3,0),0)</f>
        <v>0</v>
      </c>
      <c r="E1409" s="5" t="n">
        <f aca="false">IFERROR(VLOOKUP(A1409,Pedido!$A:$E,5,0),0)</f>
        <v>0</v>
      </c>
      <c r="F1409" s="1" t="s">
        <v>9</v>
      </c>
      <c r="G1409" s="1" t="s">
        <v>3051</v>
      </c>
      <c r="H1409" s="1" t="s">
        <v>1358</v>
      </c>
      <c r="I1409" s="1" t="s">
        <v>1194</v>
      </c>
      <c r="J1409" s="1" t="s">
        <v>3052</v>
      </c>
      <c r="K1409" s="1" t="n">
        <v>26</v>
      </c>
      <c r="L1409" s="11" t="n">
        <v>0.993168728641593</v>
      </c>
      <c r="M1409" s="1" t="n">
        <f aca="false">SUMIF(Relatorio_AK!$A:$A,A1409,Relatorio_AK!$B:$B)</f>
        <v>26</v>
      </c>
      <c r="N1409" s="1" t="str">
        <f aca="false">IF(M1409=K1409,"OK","DIF")</f>
        <v>OK</v>
      </c>
      <c r="O1409" s="13" t="str">
        <f aca="false">IFERROR(VLOOKUP($A1409,Lista_Starke!$A:$E,3,0),"NÃO ESTÁ NA LISTA")</f>
        <v>CHANA: Cargo 1.0 8V 06/…
CHANA: Family 1.0 8V 06/…
CHANA: Utility 1.0 8V 06/…
EFFA MOTORS: K01 Pick Up Simples 1.0 8V 08/…
EFFA MOTORS: K02 Pick Up Dupla 1.0 8V 08/…
EFFA MOTORS: Start 1.0 8V 06/...
HAFEI: Towner Jr Pick Up 1.0 8V 07/…
HAFEI: Towner Jr Van 1.0 8V 07/…</v>
      </c>
      <c r="P1409" s="12" t="str">
        <f aca="false">IFERROR(VLOOKUP($A1409,Lista_Starke!$A:$E,2,0),"NÃO ESTÁ NA LISTA")</f>
        <v>BANDEJA INFERIOR COMPLETA LD</v>
      </c>
    </row>
    <row r="1410" customFormat="false" ht="15" hidden="false" customHeight="true" outlineLevel="0" collapsed="false">
      <c r="A1410" s="10" t="s">
        <v>3053</v>
      </c>
      <c r="B1410" s="10" t="str">
        <f aca="false">IFERROR(VLOOKUP(A1410,Pedido!$A:$B,2,0),"")</f>
        <v/>
      </c>
      <c r="C1410" s="10" t="str">
        <f aca="false">IF(B1410="","NÃO COMPRA","COMPRA")</f>
        <v>NÃO COMPRA</v>
      </c>
      <c r="D1410" s="1" t="n">
        <f aca="false">IFERROR(VLOOKUP(A1410,Pedido!$A:$C,3,0),0)</f>
        <v>0</v>
      </c>
      <c r="E1410" s="5" t="n">
        <f aca="false">IFERROR(VLOOKUP(A1410,Pedido!$A:$E,5,0),0)</f>
        <v>0</v>
      </c>
      <c r="F1410" s="1" t="s">
        <v>9</v>
      </c>
      <c r="G1410" s="1" t="s">
        <v>2142</v>
      </c>
      <c r="H1410" s="1" t="s">
        <v>1358</v>
      </c>
      <c r="I1410" s="1" t="s">
        <v>226</v>
      </c>
      <c r="J1410" s="1" t="s">
        <v>3054</v>
      </c>
      <c r="K1410" s="1" t="n">
        <v>26</v>
      </c>
      <c r="L1410" s="11" t="n">
        <v>0.993213176353134</v>
      </c>
      <c r="M1410" s="1" t="n">
        <f aca="false">SUMIF(Relatorio_AK!$A:$A,A1410,Relatorio_AK!$B:$B)</f>
        <v>26</v>
      </c>
      <c r="N1410" s="1" t="str">
        <f aca="false">IF(M1410=K1410,"OK","DIF")</f>
        <v>OK</v>
      </c>
      <c r="O1410" s="13" t="str">
        <f aca="false">IFERROR(VLOOKUP($A1410,Lista_Starke!$A:$E,3,0),"NÃO ESTÁ NA LISTA")</f>
        <v>AUDI: A3  99/07
VOLKSWAGEN: Bora  00/11
VOLKSWAGEN: Golf  99/14
VOLKSWAGEN: New Beetle  99/10</v>
      </c>
      <c r="P1410" s="12" t="str">
        <f aca="false">IFERROR(VLOOKUP($A1410,Lista_Starke!$A:$E,2,0),"NÃO ESTÁ NA LISTA")</f>
        <v>BANDEJA INFERIOR LE/LD</v>
      </c>
    </row>
    <row r="1411" customFormat="false" ht="15" hidden="false" customHeight="true" outlineLevel="0" collapsed="false">
      <c r="A1411" s="10" t="s">
        <v>3055</v>
      </c>
      <c r="B1411" s="10" t="str">
        <f aca="false">IFERROR(VLOOKUP(A1411,Pedido!$A:$B,2,0),"")</f>
        <v/>
      </c>
      <c r="C1411" s="10" t="str">
        <f aca="false">IF(B1411="","NÃO COMPRA","COMPRA")</f>
        <v>NÃO COMPRA</v>
      </c>
      <c r="D1411" s="1" t="n">
        <f aca="false">IFERROR(VLOOKUP(A1411,Pedido!$A:$C,3,0),0)</f>
        <v>0</v>
      </c>
      <c r="E1411" s="5" t="n">
        <f aca="false">IFERROR(VLOOKUP(A1411,Pedido!$A:$E,5,0),0)</f>
        <v>0</v>
      </c>
      <c r="F1411" s="1" t="s">
        <v>9</v>
      </c>
      <c r="G1411" s="1" t="s">
        <v>3056</v>
      </c>
      <c r="H1411" s="1" t="s">
        <v>1951</v>
      </c>
      <c r="I1411" s="1" t="s">
        <v>373</v>
      </c>
      <c r="K1411" s="1" t="n">
        <v>26</v>
      </c>
      <c r="L1411" s="11" t="n">
        <v>0.993257624064675</v>
      </c>
      <c r="M1411" s="1" t="n">
        <f aca="false">SUMIF(Relatorio_AK!$A:$A,A1411,Relatorio_AK!$B:$B)</f>
        <v>26</v>
      </c>
      <c r="N1411" s="1" t="str">
        <f aca="false">IF(M1411=K1411,"OK","DIF")</f>
        <v>OK</v>
      </c>
      <c r="O1411" s="13" t="str">
        <f aca="false">IFERROR(VLOOKUP($A1411,Lista_Starke!$A:$E,3,0),"NÃO ESTÁ NA LISTA")</f>
        <v>MERCEDES-BENZ: C180 (W205) 1.6 16V Turbo M274.910 14/21
MERCEDES-BENZ: C200 (W205) 2.0 16V Turbo M274.920 14/21
MERCEDES-BENZ: C250 (W205) 2.0 16V Turbo M274.920 14/21
MERCEDES-BENZ: C300 (W205) 2.0 16V Turbo M274.920 14/21
MERCEDES-BENZ: C350 (W205) 2.0 16V Turbo M274.920 14/21
MERCEDES-BENZ: GLC250 (X253) 2.0 16V Turbo M274.920 15/19
MERCEDES-BENZ: GLC300 (X253) 2.0 16V Turbo M274.920 15/22</v>
      </c>
      <c r="P1411" s="12" t="str">
        <f aca="false">IFERROR(VLOOKUP($A1411,Lista_Starke!$A:$E,2,0),"NÃO ESTÁ NA LISTA")</f>
        <v>KIT BRAÇO OSCILANTE DIANT INF COMPLETO LE/LD</v>
      </c>
    </row>
    <row r="1412" customFormat="false" ht="15" hidden="false" customHeight="true" outlineLevel="0" collapsed="false">
      <c r="A1412" s="10" t="s">
        <v>3057</v>
      </c>
      <c r="B1412" s="10" t="str">
        <f aca="false">IFERROR(VLOOKUP(A1412,Pedido!$A:$B,2,0),"")</f>
        <v/>
      </c>
      <c r="C1412" s="10" t="str">
        <f aca="false">IF(B1412="","NÃO COMPRA","COMPRA")</f>
        <v>NÃO COMPRA</v>
      </c>
      <c r="D1412" s="1" t="n">
        <f aca="false">IFERROR(VLOOKUP(A1412,Pedido!$A:$C,3,0),0)</f>
        <v>0</v>
      </c>
      <c r="E1412" s="5" t="n">
        <f aca="false">IFERROR(VLOOKUP(A1412,Pedido!$A:$E,5,0),0)</f>
        <v>0</v>
      </c>
      <c r="F1412" s="1" t="s">
        <v>9</v>
      </c>
      <c r="G1412" s="1" t="s">
        <v>377</v>
      </c>
      <c r="H1412" s="1" t="s">
        <v>197</v>
      </c>
      <c r="I1412" s="1" t="s">
        <v>53</v>
      </c>
      <c r="K1412" s="1" t="n">
        <v>26</v>
      </c>
      <c r="L1412" s="11" t="n">
        <v>0.993302071776216</v>
      </c>
      <c r="M1412" s="1" t="n">
        <f aca="false">SUMIF(Relatorio_AK!$A:$A,A1412,Relatorio_AK!$B:$B)</f>
        <v>26</v>
      </c>
      <c r="N1412" s="1" t="str">
        <f aca="false">IF(M1412=K1412,"OK","DIF")</f>
        <v>OK</v>
      </c>
      <c r="O1412" s="12" t="str">
        <f aca="false">IFERROR(VLOOKUP($A1412,Lista_Starke!$A:$E,3,0),"NÃO ESTÁ NA LISTA")</f>
        <v>FORD: Transit 2.2 16V / 2.4 16V TDCi / TDE  Duratorq 09/…</v>
      </c>
      <c r="P1412" s="12" t="str">
        <f aca="false">IFERROR(VLOOKUP($A1412,Lista_Starke!$A:$E,2,0),"NÃO ESTÁ NA LISTA")</f>
        <v>BOMBA D'ÁGUA</v>
      </c>
    </row>
    <row r="1413" customFormat="false" ht="15" hidden="false" customHeight="true" outlineLevel="0" collapsed="false">
      <c r="A1413" s="10" t="s">
        <v>3058</v>
      </c>
      <c r="B1413" s="10" t="str">
        <f aca="false">IFERROR(VLOOKUP(A1413,Pedido!$A:$B,2,0),"")</f>
        <v/>
      </c>
      <c r="C1413" s="10" t="str">
        <f aca="false">IF(B1413="","NÃO COMPRA","COMPRA")</f>
        <v>NÃO COMPRA</v>
      </c>
      <c r="D1413" s="1" t="n">
        <f aca="false">IFERROR(VLOOKUP(A1413,Pedido!$A:$C,3,0),0)</f>
        <v>0</v>
      </c>
      <c r="E1413" s="5" t="n">
        <f aca="false">IFERROR(VLOOKUP(A1413,Pedido!$A:$E,5,0),0)</f>
        <v>0</v>
      </c>
      <c r="F1413" s="1" t="s">
        <v>9</v>
      </c>
      <c r="G1413" s="1" t="s">
        <v>616</v>
      </c>
      <c r="H1413" s="1" t="s">
        <v>197</v>
      </c>
      <c r="I1413" s="1" t="s">
        <v>226</v>
      </c>
      <c r="J1413" s="1" t="s">
        <v>3059</v>
      </c>
      <c r="K1413" s="1" t="n">
        <v>26</v>
      </c>
      <c r="L1413" s="11" t="n">
        <v>0.993346519487758</v>
      </c>
      <c r="M1413" s="1" t="n">
        <f aca="false">SUMIF(Relatorio_AK!$A:$A,A1413,Relatorio_AK!$B:$B)</f>
        <v>26</v>
      </c>
      <c r="N1413" s="1" t="str">
        <f aca="false">IF(M1413=K1413,"OK","DIF")</f>
        <v>OK</v>
      </c>
      <c r="O1413" s="13" t="str">
        <f aca="false">IFERROR(VLOOKUP($A1413,Lista_Starke!$A:$E,3,0),"NÃO ESTÁ NA LISTA")</f>
        <v>AUDI: A4 / Avant / Quattro 2.4 V6 AGA / ALF 97/99
AUDI: A4 / Avant / Quattro 2.6 V6 ABC / ACZ 94/97
AUDI: A4 / S4 / Avant / Quattro 2.4 V6 AFM 95
AUDI: A4 / S4 / Avant / Quattro 2.4 V6 APZ / ARJ / APS 99/…
AUDI: A4 / S4 / Avant / Quattro 2.8 VR6 AAH 94/97
AUDI: A4 / S4 / Avant / Quattro 2.8 VR6 ACK / ALG 97/99
AUDI: A6 / Avant / Quattro 2.6 V6 ABC / ACZ 95/97
AUDI: A6 / Avant / Quattro 2.8 VR6 AAH / AFC 95/97
AUDI: A8 / Quattro 2.8 VR6 AAH / ACK / AEJ 95/…
VOLKSWAGEN: Passat  / Variant 2.8 VR6 ACK / AGE / AHA 96/97
VOLKSWAGEN: Passat / Variant 2.8 VR6 ALG 97/…</v>
      </c>
      <c r="P1413" s="12" t="str">
        <f aca="false">IFERROR(VLOOKUP($A1413,Lista_Starke!$A:$E,2,0),"NÃO ESTÁ NA LISTA")</f>
        <v>BOMBA D'ÁGUA</v>
      </c>
    </row>
    <row r="1414" customFormat="false" ht="15" hidden="false" customHeight="true" outlineLevel="0" collapsed="false">
      <c r="A1414" s="10" t="s">
        <v>3060</v>
      </c>
      <c r="B1414" s="10" t="str">
        <f aca="false">IFERROR(VLOOKUP(A1414,Pedido!$A:$B,2,0),"")</f>
        <v/>
      </c>
      <c r="C1414" s="10" t="str">
        <f aca="false">IF(B1414="","NÃO COMPRA","COMPRA")</f>
        <v>NÃO COMPRA</v>
      </c>
      <c r="D1414" s="1" t="n">
        <f aca="false">IFERROR(VLOOKUP(A1414,Pedido!$A:$C,3,0),0)</f>
        <v>0</v>
      </c>
      <c r="E1414" s="5" t="n">
        <f aca="false">IFERROR(VLOOKUP(A1414,Pedido!$A:$E,5,0),0)</f>
        <v>0</v>
      </c>
      <c r="F1414" s="1" t="s">
        <v>9</v>
      </c>
      <c r="G1414" s="1" t="s">
        <v>509</v>
      </c>
      <c r="H1414" s="1" t="s">
        <v>197</v>
      </c>
      <c r="I1414" s="1" t="s">
        <v>3061</v>
      </c>
      <c r="J1414" s="1" t="s">
        <v>3062</v>
      </c>
      <c r="K1414" s="1" t="n">
        <v>26</v>
      </c>
      <c r="L1414" s="11" t="n">
        <v>0.993390967199299</v>
      </c>
      <c r="M1414" s="1" t="n">
        <f aca="false">SUMIF(Relatorio_AK!$A:$A,A1414,Relatorio_AK!$B:$B)</f>
        <v>26</v>
      </c>
      <c r="N1414" s="1" t="str">
        <f aca="false">IF(M1414=K1414,"OK","DIF")</f>
        <v>OK</v>
      </c>
      <c r="O1414" s="13" t="str">
        <f aca="false">IFERROR(VLOOKUP($A1414,Lista_Starke!$A:$E,3,0),"NÃO ESTÁ NA LISTA")</f>
        <v>CITROEN: Xantia 3.0i 245V V6 ES9J4 96/…
CITROEN: XM 3.0i 24V V6 ZPJ / J4 97/…
PEUGEOT: 406 3.0 24V V6   ES9J4 99/…
PEUGEOT: 605 3.0 24V V6   ES9J4 97/99
RENAULT: Laguna 3.0i 24V V6 L7X7.00/01 01/…</v>
      </c>
      <c r="P1414" s="12" t="str">
        <f aca="false">IFERROR(VLOOKUP($A1414,Lista_Starke!$A:$E,2,0),"NÃO ESTÁ NA LISTA")</f>
        <v>BOMBA D'ÁGUA</v>
      </c>
    </row>
    <row r="1415" customFormat="false" ht="15" hidden="false" customHeight="true" outlineLevel="0" collapsed="false">
      <c r="A1415" s="10" t="s">
        <v>3063</v>
      </c>
      <c r="B1415" s="10" t="str">
        <f aca="false">IFERROR(VLOOKUP(A1415,Pedido!$A:$B,2,0),"")</f>
        <v/>
      </c>
      <c r="C1415" s="10" t="str">
        <f aca="false">IF(B1415="","NÃO COMPRA","COMPRA")</f>
        <v>NÃO COMPRA</v>
      </c>
      <c r="D1415" s="1" t="n">
        <f aca="false">IFERROR(VLOOKUP(A1415,Pedido!$A:$C,3,0),0)</f>
        <v>0</v>
      </c>
      <c r="E1415" s="5" t="n">
        <f aca="false">IFERROR(VLOOKUP(A1415,Pedido!$A:$E,5,0),0)</f>
        <v>0</v>
      </c>
      <c r="F1415" s="1" t="s">
        <v>9</v>
      </c>
      <c r="G1415" s="1" t="s">
        <v>168</v>
      </c>
      <c r="H1415" s="1" t="s">
        <v>845</v>
      </c>
      <c r="I1415" s="1" t="s">
        <v>57</v>
      </c>
      <c r="J1415" s="1" t="s">
        <v>3064</v>
      </c>
      <c r="K1415" s="1" t="n">
        <v>26</v>
      </c>
      <c r="L1415" s="11" t="n">
        <v>0.99343541491084</v>
      </c>
      <c r="M1415" s="1" t="n">
        <f aca="false">SUMIF(Relatorio_AK!$A:$A,A1415,Relatorio_AK!$B:$B)</f>
        <v>26</v>
      </c>
      <c r="N1415" s="1" t="str">
        <f aca="false">IF(M1415=K1415,"OK","DIF")</f>
        <v>OK</v>
      </c>
      <c r="O1415" s="13" t="str">
        <f aca="false">IFERROR(VLOOKUP($A1415,Lista_Starke!$A:$E,3,0),"NÃO ESTÁ NA LISTA")</f>
        <v>GM: Captiva 2.4 16V Ecotec 10/...
GM: Captiva 3.0 24V V6 11/...
GM: Captiva 3.6 24V V6 08/12</v>
      </c>
      <c r="P1415" s="12" t="str">
        <f aca="false">IFERROR(VLOOKUP($A1415,Lista_Starke!$A:$E,2,0),"NÃO ESTÁ NA LISTA")</f>
        <v>SAPATA DE FREIO DE MÃO</v>
      </c>
    </row>
    <row r="1416" customFormat="false" ht="15" hidden="false" customHeight="true" outlineLevel="0" collapsed="false">
      <c r="A1416" s="10" t="s">
        <v>3065</v>
      </c>
      <c r="B1416" s="10" t="str">
        <f aca="false">IFERROR(VLOOKUP(A1416,Pedido!$A:$B,2,0),"")</f>
        <v/>
      </c>
      <c r="C1416" s="10" t="str">
        <f aca="false">IF(B1416="","NÃO COMPRA","COMPRA")</f>
        <v>NÃO COMPRA</v>
      </c>
      <c r="D1416" s="1" t="n">
        <f aca="false">IFERROR(VLOOKUP(A1416,Pedido!$A:$C,3,0),0)</f>
        <v>0</v>
      </c>
      <c r="E1416" s="5" t="n">
        <f aca="false">IFERROR(VLOOKUP(A1416,Pedido!$A:$E,5,0),0)</f>
        <v>0</v>
      </c>
      <c r="F1416" s="1" t="s">
        <v>9</v>
      </c>
      <c r="G1416" s="1" t="s">
        <v>3066</v>
      </c>
      <c r="H1416" s="1" t="s">
        <v>2466</v>
      </c>
      <c r="I1416" s="1" t="s">
        <v>53</v>
      </c>
      <c r="J1416" s="1" t="s">
        <v>3067</v>
      </c>
      <c r="K1416" s="1" t="n">
        <v>26</v>
      </c>
      <c r="L1416" s="11" t="n">
        <v>0.993479862622381</v>
      </c>
      <c r="M1416" s="1" t="n">
        <f aca="false">SUMIF(Relatorio_AK!$A:$A,A1416,Relatorio_AK!$B:$B)</f>
        <v>26</v>
      </c>
      <c r="N1416" s="1" t="str">
        <f aca="false">IF(M1416=K1416,"OK","DIF")</f>
        <v>OK</v>
      </c>
      <c r="O1416" s="13" t="str">
        <f aca="false">IFERROR(VLOOKUP($A1416,Lista_Starke!$A:$E,3,0),"NÃO ESTÁ NA LISTA")</f>
        <v>FORD: Ka 1.0 8V Endura 97/99
FORD: Ka 1.0 8V Zetec Rocam 99/07
FORD: Ka 1.3 8V Endura 97/99</v>
      </c>
      <c r="P1416" s="12" t="str">
        <f aca="false">IFERROR(VLOOKUP($A1416,Lista_Starke!$A:$E,2,0),"NÃO ESTÁ NA LISTA")</f>
        <v>SERVO FREIO</v>
      </c>
    </row>
    <row r="1417" customFormat="false" ht="15" hidden="false" customHeight="true" outlineLevel="0" collapsed="false">
      <c r="A1417" s="10" t="s">
        <v>3068</v>
      </c>
      <c r="B1417" s="10" t="str">
        <f aca="false">IFERROR(VLOOKUP(A1417,Pedido!$A:$B,2,0),"")</f>
        <v/>
      </c>
      <c r="C1417" s="10" t="str">
        <f aca="false">IF(B1417="","NÃO COMPRA","COMPRA")</f>
        <v>NÃO COMPRA</v>
      </c>
      <c r="D1417" s="1" t="n">
        <f aca="false">IFERROR(VLOOKUP(A1417,Pedido!$A:$C,3,0),0)</f>
        <v>0</v>
      </c>
      <c r="E1417" s="5" t="n">
        <f aca="false">IFERROR(VLOOKUP(A1417,Pedido!$A:$E,5,0),0)</f>
        <v>0</v>
      </c>
      <c r="F1417" s="1" t="s">
        <v>9</v>
      </c>
      <c r="G1417" s="1" t="s">
        <v>1810</v>
      </c>
      <c r="H1417" s="1" t="s">
        <v>2420</v>
      </c>
      <c r="I1417" s="1" t="s">
        <v>215</v>
      </c>
      <c r="J1417" s="1" t="s">
        <v>3069</v>
      </c>
      <c r="K1417" s="1" t="n">
        <v>25</v>
      </c>
      <c r="L1417" s="11" t="n">
        <v>0.993522600806555</v>
      </c>
      <c r="M1417" s="1" t="n">
        <f aca="false">SUMIF(Relatorio_AK!$A:$A,A1417,Relatorio_AK!$B:$B)</f>
        <v>25</v>
      </c>
      <c r="N1417" s="1" t="str">
        <f aca="false">IF(M1417=K1417,"OK","DIF")</f>
        <v>OK</v>
      </c>
      <c r="O1417" s="12" t="str">
        <f aca="false">IFERROR(VLOOKUP($A1417,Lista_Starke!$A:$E,3,0),"NÃO ESTÁ NA LISTA")</f>
        <v>NISSAN: Frontier SEL 08/16</v>
      </c>
      <c r="P1417" s="12" t="str">
        <f aca="false">IFERROR(VLOOKUP($A1417,Lista_Starke!$A:$E,2,0),"NÃO ESTÁ NA LISTA")</f>
        <v>BANDEJA SUPERIOR COMPLETA LD</v>
      </c>
    </row>
    <row r="1418" customFormat="false" ht="15" hidden="false" customHeight="true" outlineLevel="0" collapsed="false">
      <c r="A1418" s="10" t="s">
        <v>3070</v>
      </c>
      <c r="B1418" s="10" t="str">
        <f aca="false">IFERROR(VLOOKUP(A1418,Pedido!$A:$B,2,0),"")</f>
        <v/>
      </c>
      <c r="C1418" s="10" t="str">
        <f aca="false">IF(B1418="","NÃO COMPRA","COMPRA")</f>
        <v>NÃO COMPRA</v>
      </c>
      <c r="D1418" s="1" t="n">
        <f aca="false">IFERROR(VLOOKUP(A1418,Pedido!$A:$C,3,0),0)</f>
        <v>0</v>
      </c>
      <c r="E1418" s="5" t="n">
        <f aca="false">IFERROR(VLOOKUP(A1418,Pedido!$A:$E,5,0),0)</f>
        <v>0</v>
      </c>
      <c r="F1418" s="1" t="s">
        <v>9</v>
      </c>
      <c r="G1418" s="1" t="s">
        <v>2875</v>
      </c>
      <c r="H1418" s="1" t="s">
        <v>1358</v>
      </c>
      <c r="I1418" s="1" t="s">
        <v>1182</v>
      </c>
      <c r="J1418" s="1" t="s">
        <v>3071</v>
      </c>
      <c r="K1418" s="1" t="n">
        <v>25</v>
      </c>
      <c r="L1418" s="11" t="n">
        <v>0.99356533899073</v>
      </c>
      <c r="M1418" s="1" t="n">
        <f aca="false">SUMIF(Relatorio_AK!$A:$A,A1418,Relatorio_AK!$B:$B)</f>
        <v>25</v>
      </c>
      <c r="N1418" s="1" t="str">
        <f aca="false">IF(M1418=K1418,"OK","DIF")</f>
        <v>OK</v>
      </c>
      <c r="O1418" s="12" t="str">
        <f aca="false">IFERROR(VLOOKUP($A1418,Lista_Starke!$A:$E,3,0),"NÃO ESTÁ NA LISTA")</f>
        <v>KIA: Bongo K2500  13/21</v>
      </c>
      <c r="P1418" s="12" t="str">
        <f aca="false">IFERROR(VLOOKUP($A1418,Lista_Starke!$A:$E,2,0),"NÃO ESTÁ NA LISTA")</f>
        <v>BANDEJA INFERIOR COMPLETA LE</v>
      </c>
    </row>
    <row r="1419" customFormat="false" ht="15" hidden="false" customHeight="true" outlineLevel="0" collapsed="false">
      <c r="A1419" s="10" t="s">
        <v>3072</v>
      </c>
      <c r="B1419" s="10" t="str">
        <f aca="false">IFERROR(VLOOKUP(A1419,Pedido!$A:$B,2,0),"")</f>
        <v/>
      </c>
      <c r="C1419" s="10" t="str">
        <f aca="false">IF(B1419="","NÃO COMPRA","COMPRA")</f>
        <v>NÃO COMPRA</v>
      </c>
      <c r="D1419" s="1" t="n">
        <f aca="false">IFERROR(VLOOKUP(A1419,Pedido!$A:$C,3,0),0)</f>
        <v>0</v>
      </c>
      <c r="E1419" s="5" t="n">
        <f aca="false">IFERROR(VLOOKUP(A1419,Pedido!$A:$E,5,0),0)</f>
        <v>0</v>
      </c>
      <c r="F1419" s="1" t="s">
        <v>9</v>
      </c>
      <c r="G1419" s="1" t="s">
        <v>377</v>
      </c>
      <c r="H1419" s="1" t="s">
        <v>197</v>
      </c>
      <c r="I1419" s="1" t="s">
        <v>53</v>
      </c>
      <c r="K1419" s="1" t="n">
        <v>25</v>
      </c>
      <c r="L1419" s="11" t="n">
        <v>0.993608077174904</v>
      </c>
      <c r="M1419" s="1" t="n">
        <f aca="false">SUMIF(Relatorio_AK!$A:$A,A1419,Relatorio_AK!$B:$B)</f>
        <v>25</v>
      </c>
      <c r="N1419" s="1" t="str">
        <f aca="false">IF(M1419=K1419,"OK","DIF")</f>
        <v>OK</v>
      </c>
      <c r="O1419" s="12" t="str">
        <f aca="false">IFERROR(VLOOKUP($A1419,Lista_Starke!$A:$E,3,0),"NÃO ESTÁ NA LISTA")</f>
        <v>FORD: Transit 2.2 16V / 2.4 16V TDCi / TDE  Duratorq 09/…</v>
      </c>
      <c r="P1419" s="12" t="str">
        <f aca="false">IFERROR(VLOOKUP($A1419,Lista_Starke!$A:$E,2,0),"NÃO ESTÁ NA LISTA")</f>
        <v>BOMBA D'ÁGUA</v>
      </c>
    </row>
    <row r="1420" customFormat="false" ht="15" hidden="false" customHeight="true" outlineLevel="0" collapsed="false">
      <c r="A1420" s="10" t="s">
        <v>3073</v>
      </c>
      <c r="B1420" s="10" t="str">
        <f aca="false">IFERROR(VLOOKUP(A1420,Pedido!$A:$B,2,0),"")</f>
        <v/>
      </c>
      <c r="C1420" s="10" t="str">
        <f aca="false">IF(B1420="","NÃO COMPRA","COMPRA")</f>
        <v>NÃO COMPRA</v>
      </c>
      <c r="D1420" s="1" t="n">
        <f aca="false">IFERROR(VLOOKUP(A1420,Pedido!$A:$C,3,0),0)</f>
        <v>0</v>
      </c>
      <c r="E1420" s="5" t="n">
        <f aca="false">IFERROR(VLOOKUP(A1420,Pedido!$A:$E,5,0),0)</f>
        <v>0</v>
      </c>
      <c r="F1420" s="1" t="s">
        <v>9</v>
      </c>
      <c r="G1420" s="1" t="s">
        <v>349</v>
      </c>
      <c r="H1420" s="1" t="s">
        <v>197</v>
      </c>
      <c r="I1420" s="1" t="s">
        <v>57</v>
      </c>
      <c r="J1420" s="1" t="s">
        <v>3074</v>
      </c>
      <c r="K1420" s="1" t="n">
        <v>25</v>
      </c>
      <c r="L1420" s="11" t="n">
        <v>0.993650815359078</v>
      </c>
      <c r="M1420" s="1" t="n">
        <f aca="false">SUMIF(Relatorio_AK!$A:$A,A1420,Relatorio_AK!$B:$B)</f>
        <v>25</v>
      </c>
      <c r="N1420" s="1" t="str">
        <f aca="false">IF(M1420=K1420,"OK","DIF")</f>
        <v>OK</v>
      </c>
      <c r="O1420" s="13" t="str">
        <f aca="false">IFERROR(VLOOKUP($A1420,Lista_Starke!$A:$E,3,0),"NÃO ESTÁ NA LISTA")</f>
        <v>GM: Astra 1.8 8V MPFI 99/05
GM: Astra 2.0 8V MPFI 99/11
GM: Blazer 2.2 8V EFI/MPFI 96/00
GM: Blazer 2.4 8V MPFI 01/12
GM: Ipanema 1.8 8V / 2.0 8V EFI/MPFI 96/98
GM: Kadett 1.8 8V / 2.0 8V EFI/MPFI 95/98
GM: Monza 2.0 8V EFI/MPFI 94/96
GM: Omega 2.0 8V / 2.2 8V EFI/MPFI 92/98
GM: S10 2 2 8V EFI/MPFI 96/00
GM: S10 2.4 8V LT/LTZ 13/...
GM: S10 2.4 8V MPFI 01/12
GM: Suprema 2.0 8V / 2.2 8V EFI/MPFI 92/98
GM: Vectra 2.0 8V EFI/MPFI 94/12
GM: Vectra GT / GTX 2.0 8V MPFI 08/11
GM: Zafira 2.0 8V 01/12</v>
      </c>
      <c r="P1420" s="12" t="str">
        <f aca="false">IFERROR(VLOOKUP($A1420,Lista_Starke!$A:$E,2,0),"NÃO ESTÁ NA LISTA")</f>
        <v>BOMBA D'ÁGUA</v>
      </c>
    </row>
    <row r="1421" customFormat="false" ht="15" hidden="false" customHeight="true" outlineLevel="0" collapsed="false">
      <c r="A1421" s="10" t="s">
        <v>3075</v>
      </c>
      <c r="B1421" s="10" t="str">
        <f aca="false">IFERROR(VLOOKUP(A1421,Pedido!$A:$B,2,0),"")</f>
        <v/>
      </c>
      <c r="C1421" s="10" t="str">
        <f aca="false">IF(B1421="","NÃO COMPRA","COMPRA")</f>
        <v>NÃO COMPRA</v>
      </c>
      <c r="D1421" s="1" t="n">
        <f aca="false">IFERROR(VLOOKUP(A1421,Pedido!$A:$C,3,0),0)</f>
        <v>0</v>
      </c>
      <c r="E1421" s="5" t="n">
        <f aca="false">IFERROR(VLOOKUP(A1421,Pedido!$A:$E,5,0),0)</f>
        <v>0</v>
      </c>
      <c r="F1421" s="1" t="s">
        <v>9</v>
      </c>
      <c r="G1421" s="1" t="s">
        <v>2194</v>
      </c>
      <c r="H1421" s="1" t="s">
        <v>197</v>
      </c>
      <c r="I1421" s="1" t="s">
        <v>2195</v>
      </c>
      <c r="J1421" s="1" t="s">
        <v>3076</v>
      </c>
      <c r="K1421" s="1" t="n">
        <v>25</v>
      </c>
      <c r="L1421" s="11" t="n">
        <v>0.993693553543252</v>
      </c>
      <c r="M1421" s="1" t="n">
        <f aca="false">SUMIF(Relatorio_AK!$A:$A,A1421,Relatorio_AK!$B:$B)</f>
        <v>25</v>
      </c>
      <c r="N1421" s="1" t="str">
        <f aca="false">IF(M1421=K1421,"OK","DIF")</f>
        <v>OK</v>
      </c>
      <c r="O1421" s="13" t="str">
        <f aca="false">IFERROR(VLOOKUP($A1421,Lista_Starke!$A:$E,3,0),"NÃO ESTÁ NA LISTA")</f>
        <v>ASIA: Hi Topic 2.7 Diesel 93/98
ASIA: Topic 2.7 Diesel 97/99</v>
      </c>
      <c r="P1421" s="12" t="str">
        <f aca="false">IFERROR(VLOOKUP($A1421,Lista_Starke!$A:$E,2,0),"NÃO ESTÁ NA LISTA")</f>
        <v>BOMBA D'ÁGUA</v>
      </c>
    </row>
    <row r="1422" customFormat="false" ht="15" hidden="false" customHeight="true" outlineLevel="0" collapsed="false">
      <c r="A1422" s="10" t="s">
        <v>3077</v>
      </c>
      <c r="B1422" s="10" t="str">
        <f aca="false">IFERROR(VLOOKUP(A1422,Pedido!$A:$B,2,0),"")</f>
        <v/>
      </c>
      <c r="C1422" s="10" t="str">
        <f aca="false">IF(B1422="","NÃO COMPRA","COMPRA")</f>
        <v>NÃO COMPRA</v>
      </c>
      <c r="D1422" s="1" t="n">
        <f aca="false">IFERROR(VLOOKUP(A1422,Pedido!$A:$C,3,0),0)</f>
        <v>0</v>
      </c>
      <c r="E1422" s="5" t="n">
        <f aca="false">IFERROR(VLOOKUP(A1422,Pedido!$A:$E,5,0),0)</f>
        <v>0</v>
      </c>
      <c r="F1422" s="1" t="s">
        <v>9</v>
      </c>
      <c r="G1422" s="1" t="s">
        <v>763</v>
      </c>
      <c r="H1422" s="1" t="s">
        <v>906</v>
      </c>
      <c r="I1422" s="1" t="s">
        <v>373</v>
      </c>
      <c r="J1422" s="1" t="s">
        <v>3078</v>
      </c>
      <c r="K1422" s="1" t="n">
        <v>25</v>
      </c>
      <c r="L1422" s="11" t="n">
        <v>0.993736291727427</v>
      </c>
      <c r="M1422" s="1" t="n">
        <f aca="false">SUMIF(Relatorio_AK!$A:$A,A1422,Relatorio_AK!$B:$B)</f>
        <v>25</v>
      </c>
      <c r="N1422" s="1" t="str">
        <f aca="false">IF(M1422=K1422,"OK","DIF")</f>
        <v>OK</v>
      </c>
      <c r="O1422" s="12" t="str">
        <f aca="false">IFERROR(VLOOKUP($A1422,Lista_Starke!$A:$E,3,0),"NÃO ESTÁ NA LISTA")</f>
        <v>MERCEDES-BENZ: C300 (W205) 2.0 16V M274.920 19/21</v>
      </c>
      <c r="P1422" s="12" t="str">
        <f aca="false">IFERROR(VLOOKUP($A1422,Lista_Starke!$A:$E,2,0),"NÃO ESTÁ NA LISTA")</f>
        <v>BOMBA D'ÁGUA AUXILIAR</v>
      </c>
    </row>
    <row r="1423" customFormat="false" ht="15" hidden="false" customHeight="true" outlineLevel="0" collapsed="false">
      <c r="A1423" s="10" t="s">
        <v>3079</v>
      </c>
      <c r="B1423" s="10" t="str">
        <f aca="false">IFERROR(VLOOKUP(A1423,Pedido!$A:$B,2,0),"")</f>
        <v/>
      </c>
      <c r="C1423" s="10" t="str">
        <f aca="false">IF(B1423="","NÃO COMPRA","COMPRA")</f>
        <v>NÃO COMPRA</v>
      </c>
      <c r="D1423" s="1" t="n">
        <f aca="false">IFERROR(VLOOKUP(A1423,Pedido!$A:$C,3,0),0)</f>
        <v>0</v>
      </c>
      <c r="E1423" s="5" t="n">
        <f aca="false">IFERROR(VLOOKUP(A1423,Pedido!$A:$E,5,0),0)</f>
        <v>0</v>
      </c>
      <c r="F1423" s="1" t="s">
        <v>9</v>
      </c>
      <c r="G1423" s="1" t="s">
        <v>136</v>
      </c>
      <c r="H1423" s="1" t="s">
        <v>32</v>
      </c>
      <c r="I1423" s="1" t="s">
        <v>46</v>
      </c>
      <c r="J1423" s="1" t="s">
        <v>3080</v>
      </c>
      <c r="K1423" s="1" t="n">
        <v>25</v>
      </c>
      <c r="L1423" s="11" t="n">
        <v>0.993779029911601</v>
      </c>
      <c r="M1423" s="1" t="n">
        <f aca="false">SUMIF(Relatorio_AK!$A:$A,A1423,Relatorio_AK!$B:$B)</f>
        <v>25</v>
      </c>
      <c r="N1423" s="1" t="str">
        <f aca="false">IF(M1423=K1423,"OK","DIF")</f>
        <v>OK</v>
      </c>
      <c r="O1423" s="13" t="str">
        <f aca="false">IFERROR(VLOOKUP($A1423,Lista_Starke!$A:$E,3,0),"NÃO ESTÁ NA LISTA")</f>
        <v>FIAT: Palio 1.8 8V 03/06
FIAT: Siena 1.8 8V 03/06
FIAT: Strada 1.8 8V 03/06</v>
      </c>
      <c r="P1423" s="12" t="str">
        <f aca="false">IFERROR(VLOOKUP($A1423,Lista_Starke!$A:$E,2,0),"NÃO ESTÁ NA LISTA")</f>
        <v>CILINDRO MESTRE DE EMBREAGEM</v>
      </c>
    </row>
    <row r="1424" customFormat="false" ht="15" hidden="false" customHeight="true" outlineLevel="0" collapsed="false">
      <c r="A1424" s="10" t="s">
        <v>3081</v>
      </c>
      <c r="B1424" s="10" t="str">
        <f aca="false">IFERROR(VLOOKUP(A1424,Pedido!$A:$B,2,0),"")</f>
        <v/>
      </c>
      <c r="C1424" s="10" t="str">
        <f aca="false">IF(B1424="","NÃO COMPRA","COMPRA")</f>
        <v>NÃO COMPRA</v>
      </c>
      <c r="D1424" s="1" t="n">
        <f aca="false">IFERROR(VLOOKUP(A1424,Pedido!$A:$C,3,0),0)</f>
        <v>0</v>
      </c>
      <c r="E1424" s="5" t="n">
        <f aca="false">IFERROR(VLOOKUP(A1424,Pedido!$A:$E,5,0),0)</f>
        <v>0</v>
      </c>
      <c r="F1424" s="1" t="s">
        <v>9</v>
      </c>
      <c r="G1424" s="1" t="s">
        <v>1189</v>
      </c>
      <c r="H1424" s="1" t="s">
        <v>88</v>
      </c>
      <c r="I1424" s="1" t="s">
        <v>57</v>
      </c>
      <c r="J1424" s="1" t="s">
        <v>3082</v>
      </c>
      <c r="K1424" s="1" t="n">
        <v>25</v>
      </c>
      <c r="L1424" s="11" t="n">
        <v>0.993821768095775</v>
      </c>
      <c r="M1424" s="1" t="n">
        <f aca="false">SUMIF(Relatorio_AK!$A:$A,A1424,Relatorio_AK!$B:$B)</f>
        <v>25</v>
      </c>
      <c r="N1424" s="1" t="str">
        <f aca="false">IF(M1424=K1424,"OK","DIF")</f>
        <v>OK</v>
      </c>
      <c r="O1424" s="13" t="str">
        <f aca="false">IFERROR(VLOOKUP($A1424,Lista_Starke!$A:$E,3,0),"NÃO ESTÁ NA LISTA")</f>
        <v>GM: D20 Q20B 3.9 L 8V SOHC L4 85/92
GM: D20 CS Q20B 3.9 L 8V SOHC L4 84/94
GM: D20 CUSTOM LUXE Q20B 3.9 L 8V SOHC L4 85/92
GM: D20 CUSTOM S Q20B 3.9 L 8V SOHC L4 85/92
GM: Veraneio Custom Luxe 250 4.1 L 12V SOHC L6 80/92
GM: Veraneio Custom S 250 4.1 L 12V SOHC L6 80/92
GM: Veraneio L 151 2.5 L 8V SOHC L4 80/92</v>
      </c>
      <c r="P1424" s="12" t="str">
        <f aca="false">IFERROR(VLOOKUP($A1424,Lista_Starke!$A:$E,2,0),"NÃO ESTÁ NA LISTA")</f>
        <v>CILINDRO DE RODA LE</v>
      </c>
    </row>
    <row r="1425" customFormat="false" ht="15" hidden="false" customHeight="true" outlineLevel="0" collapsed="false">
      <c r="A1425" s="10" t="s">
        <v>3083</v>
      </c>
      <c r="B1425" s="10" t="str">
        <f aca="false">IFERROR(VLOOKUP(A1425,Pedido!$A:$B,2,0),"")</f>
        <v/>
      </c>
      <c r="C1425" s="10" t="str">
        <f aca="false">IF(B1425="","NÃO COMPRA","COMPRA")</f>
        <v>NÃO COMPRA</v>
      </c>
      <c r="D1425" s="1" t="n">
        <f aca="false">IFERROR(VLOOKUP(A1425,Pedido!$A:$C,3,0),0)</f>
        <v>0</v>
      </c>
      <c r="E1425" s="5" t="n">
        <f aca="false">IFERROR(VLOOKUP(A1425,Pedido!$A:$E,5,0),0)</f>
        <v>0</v>
      </c>
      <c r="F1425" s="1" t="s">
        <v>9</v>
      </c>
      <c r="G1425" s="1" t="s">
        <v>1084</v>
      </c>
      <c r="H1425" s="1" t="s">
        <v>88</v>
      </c>
      <c r="I1425" s="1" t="s">
        <v>57</v>
      </c>
      <c r="J1425" s="1" t="s">
        <v>3084</v>
      </c>
      <c r="K1425" s="1" t="n">
        <v>25</v>
      </c>
      <c r="L1425" s="11" t="n">
        <v>0.993864506279949</v>
      </c>
      <c r="M1425" s="1" t="n">
        <f aca="false">SUMIF(Relatorio_AK!$A:$A,A1425,Relatorio_AK!$B:$B)</f>
        <v>25</v>
      </c>
      <c r="N1425" s="1" t="str">
        <f aca="false">IF(M1425=K1425,"OK","DIF")</f>
        <v>OK</v>
      </c>
      <c r="O1425" s="13" t="str">
        <f aca="false">IFERROR(VLOOKUP($A1425,Lista_Starke!$A:$E,3,0),"NÃO ESTÁ NA LISTA")</f>
        <v>GM: 3500 HD 4.2 18V 6 cil. 97/99
GM: A20 4.0 8V 4 cil. 92/96
GM: Bonanza 4.0 8V 4 cil. 92/96
GM: C20 4.1 12V 6 cil. 92/96
GM: D20 4.0 8V 4 cil. 92/96
GM: Grand Blazer 4.1 12V 6 cil 98/99
GM: Silverado 4.1 12V 6 cil. 96/01
GM: Veraneio 4.0 8V 4 cil. 92/96</v>
      </c>
      <c r="P1425" s="12" t="str">
        <f aca="false">IFERROR(VLOOKUP($A1425,Lista_Starke!$A:$E,2,0),"NÃO ESTÁ NA LISTA")</f>
        <v>CILINDRO DE RODA LD</v>
      </c>
    </row>
    <row r="1426" customFormat="false" ht="15" hidden="false" customHeight="true" outlineLevel="0" collapsed="false">
      <c r="A1426" s="10" t="s">
        <v>3085</v>
      </c>
      <c r="B1426" s="10" t="str">
        <f aca="false">IFERROR(VLOOKUP(A1426,Pedido!$A:$B,2,0),"")</f>
        <v/>
      </c>
      <c r="C1426" s="10" t="str">
        <f aca="false">IF(B1426="","NÃO COMPRA","COMPRA")</f>
        <v>NÃO COMPRA</v>
      </c>
      <c r="D1426" s="1" t="n">
        <f aca="false">IFERROR(VLOOKUP(A1426,Pedido!$A:$C,3,0),0)</f>
        <v>0</v>
      </c>
      <c r="E1426" s="5" t="n">
        <f aca="false">IFERROR(VLOOKUP(A1426,Pedido!$A:$E,5,0),0)</f>
        <v>0</v>
      </c>
      <c r="F1426" s="1" t="s">
        <v>9</v>
      </c>
      <c r="G1426" s="1" t="s">
        <v>3086</v>
      </c>
      <c r="H1426" s="1" t="s">
        <v>32</v>
      </c>
      <c r="I1426" s="1" t="s">
        <v>373</v>
      </c>
      <c r="J1426" s="1" t="s">
        <v>3087</v>
      </c>
      <c r="K1426" s="1" t="n">
        <v>25</v>
      </c>
      <c r="L1426" s="11" t="n">
        <v>0.993907244464123</v>
      </c>
      <c r="M1426" s="1" t="n">
        <f aca="false">SUMIF(Relatorio_AK!$A:$A,A1426,Relatorio_AK!$B:$B)</f>
        <v>25</v>
      </c>
      <c r="N1426" s="1" t="str">
        <f aca="false">IF(M1426=K1426,"OK","DIF")</f>
        <v>OK</v>
      </c>
      <c r="O1426" s="13" t="str">
        <f aca="false">IFERROR(VLOOKUP($A1426,Lista_Starke!$A:$E,3,0),"NÃO ESTÁ NA LISTA")</f>
        <v>MERCEDES-BENZ: 1215 C OM 904 LA 4.3 12V SOHV L4 99/05
MERCEDES-BENZ: 2423 K OM 906 LA 6.4 L 18V SOHV L6 99/06
MERCEDES-BENZ: 712 C OM 904 LA 4.3 L 12V SOHV L4 98/05
MERCEDES-BENZ: ACCELO 915 C OM 904 LA 4.3 L 12V SOHV L4 03/05
MERCEDES-BENZ: O500 OM 457 LA 12 L 24V SOHV L6 06/...
MERCEDES-BENZ: OF 1721 EV OM 924 LA BLUETEC 5 4.8 L 12V SOHV L4 12/...
MERCEDES-BENZ: OF 1721 L OM 924 LA BLUETEC 5 4.8 L 12V SOHV L4_x0001_ 16/...</v>
      </c>
      <c r="P1426" s="12" t="str">
        <f aca="false">IFERROR(VLOOKUP($A1426,Lista_Starke!$A:$E,2,0),"NÃO ESTÁ NA LISTA")</f>
        <v>CILINDRO MESTRE DE EMBREAGEM</v>
      </c>
    </row>
    <row r="1427" customFormat="false" ht="15" hidden="false" customHeight="true" outlineLevel="0" collapsed="false">
      <c r="A1427" s="10" t="s">
        <v>3088</v>
      </c>
      <c r="B1427" s="10" t="str">
        <f aca="false">IFERROR(VLOOKUP(A1427,Pedido!$A:$B,2,0),"")</f>
        <v/>
      </c>
      <c r="C1427" s="10" t="str">
        <f aca="false">IF(B1427="","NÃO COMPRA","COMPRA")</f>
        <v>NÃO COMPRA</v>
      </c>
      <c r="D1427" s="1" t="n">
        <f aca="false">IFERROR(VLOOKUP(A1427,Pedido!$A:$C,3,0),0)</f>
        <v>0</v>
      </c>
      <c r="E1427" s="5" t="n">
        <f aca="false">IFERROR(VLOOKUP(A1427,Pedido!$A:$E,5,0),0)</f>
        <v>0</v>
      </c>
      <c r="F1427" s="1" t="s">
        <v>9</v>
      </c>
      <c r="G1427" s="1" t="s">
        <v>3089</v>
      </c>
      <c r="H1427" s="1" t="s">
        <v>2466</v>
      </c>
      <c r="I1427" s="1" t="s">
        <v>42</v>
      </c>
      <c r="J1427" s="1" t="s">
        <v>3090</v>
      </c>
      <c r="K1427" s="1" t="n">
        <v>25</v>
      </c>
      <c r="L1427" s="11" t="n">
        <v>0.993949982648298</v>
      </c>
      <c r="M1427" s="1" t="n">
        <f aca="false">SUMIF(Relatorio_AK!$A:$A,A1427,Relatorio_AK!$B:$B)</f>
        <v>25</v>
      </c>
      <c r="N1427" s="1" t="str">
        <f aca="false">IF(M1427=K1427,"OK","DIF")</f>
        <v>OK</v>
      </c>
      <c r="O1427" s="13" t="str">
        <f aca="false">IFERROR(VLOOKUP($A1427,Lista_Starke!$A:$E,3,0),"NÃO ESTÁ NA LISTA")</f>
        <v>RENAULT: Logan 1.0 12V 3 cil. 19/...
RENAULT: Logan 1.6 16V H4M 17/...
RENAULT: Logan 1.6 8V K7M 15/...
RENAULT: Sandero 1.0 12V 3 cil. 17/...
RENAULT: Sandero 1.0 16V D4D 14/17
RENAULT: Sandero 1.6 16V H4M 17/19
RENAULT: Sandero 1.6 16V K7M 15/16
RENAULT: Sandero 1.6 8V K7M 16/17</v>
      </c>
      <c r="P1427" s="12" t="str">
        <f aca="false">IFERROR(VLOOKUP($A1427,Lista_Starke!$A:$E,2,0),"NÃO ESTÁ NA LISTA")</f>
        <v>SERVO FREIO</v>
      </c>
    </row>
    <row r="1428" customFormat="false" ht="15" hidden="false" customHeight="true" outlineLevel="0" collapsed="false">
      <c r="A1428" s="10" t="s">
        <v>3091</v>
      </c>
      <c r="B1428" s="10" t="str">
        <f aca="false">IFERROR(VLOOKUP(A1428,Pedido!$A:$B,2,0),"")</f>
        <v/>
      </c>
      <c r="C1428" s="10" t="str">
        <f aca="false">IF(B1428="","NÃO COMPRA","COMPRA")</f>
        <v>NÃO COMPRA</v>
      </c>
      <c r="D1428" s="1" t="n">
        <f aca="false">IFERROR(VLOOKUP(A1428,Pedido!$A:$C,3,0),0)</f>
        <v>0</v>
      </c>
      <c r="E1428" s="5" t="n">
        <f aca="false">IFERROR(VLOOKUP(A1428,Pedido!$A:$E,5,0),0)</f>
        <v>0</v>
      </c>
      <c r="F1428" s="1" t="s">
        <v>9</v>
      </c>
      <c r="G1428" s="1" t="s">
        <v>509</v>
      </c>
      <c r="H1428" s="1" t="s">
        <v>197</v>
      </c>
      <c r="I1428" s="1" t="s">
        <v>77</v>
      </c>
      <c r="J1428" s="1" t="s">
        <v>3092</v>
      </c>
      <c r="K1428" s="1" t="n">
        <v>24</v>
      </c>
      <c r="L1428" s="11" t="n">
        <v>0.993991011305105</v>
      </c>
      <c r="M1428" s="1" t="n">
        <f aca="false">SUMIF(Relatorio_AK!$A:$A,A1428,Relatorio_AK!$B:$B)</f>
        <v>24</v>
      </c>
      <c r="N1428" s="1" t="str">
        <f aca="false">IF(M1428=K1428,"OK","DIF")</f>
        <v>OK</v>
      </c>
      <c r="O1428" s="13" t="str">
        <f aca="false">IFERROR(VLOOKUP($A1428,Lista_Starke!$A:$E,3,0),"NÃO ESTÁ NA LISTA")</f>
        <v>CITROEN: Berlingo 1.8 XU7JB 96/…
CITROEN: BX 1.6 XU51C / XU52C 92/94
CITROEN: Picasso 1.8 XU7JB 97/…
CITROEN: Xantia 1.6 XU5 / XU7JB 93/…
CITROEN: Xantia 1.8 XU5 / XU7JB 93/…
CITROEN: Xsara 1.8 XU7JB 97/…
CITROEN: ZX 1.6 XU51C / XU52C 92/…
CITROEN: ZX 1.8 XU7JB 92/…
PEUGEOT: 306 1.6 XU7JP 93/…
PEUGEOT: 306 1.8 XU7JP 93/…
PEUGEOT: 405 1.6 XU7JP 93/…
PEUGEOT: 405 1.8 XU7JP 93/…
PEUGEOT: 406 1.8 16V XU5JP 97/…
PEUGEOT: 806 1.8 XU7JP 96/…
PEUGEOT: Partner 1.8 97/…</v>
      </c>
      <c r="P1428" s="12" t="str">
        <f aca="false">IFERROR(VLOOKUP($A1428,Lista_Starke!$A:$E,2,0),"NÃO ESTÁ NA LISTA")</f>
        <v>BOMBA D'ÁGUA</v>
      </c>
    </row>
    <row r="1429" customFormat="false" ht="15" hidden="false" customHeight="true" outlineLevel="0" collapsed="false">
      <c r="A1429" s="10" t="s">
        <v>3093</v>
      </c>
      <c r="B1429" s="10" t="str">
        <f aca="false">IFERROR(VLOOKUP(A1429,Pedido!$A:$B,2,0),"")</f>
        <v/>
      </c>
      <c r="C1429" s="10" t="str">
        <f aca="false">IF(B1429="","NÃO COMPRA","COMPRA")</f>
        <v>NÃO COMPRA</v>
      </c>
      <c r="D1429" s="1" t="n">
        <f aca="false">IFERROR(VLOOKUP(A1429,Pedido!$A:$C,3,0),0)</f>
        <v>0</v>
      </c>
      <c r="E1429" s="5" t="n">
        <f aca="false">IFERROR(VLOOKUP(A1429,Pedido!$A:$E,5,0),0)</f>
        <v>0</v>
      </c>
      <c r="F1429" s="1" t="s">
        <v>9</v>
      </c>
      <c r="G1429" s="1" t="s">
        <v>841</v>
      </c>
      <c r="H1429" s="1" t="s">
        <v>197</v>
      </c>
      <c r="I1429" s="1" t="s">
        <v>50</v>
      </c>
      <c r="J1429" s="1" t="s">
        <v>3094</v>
      </c>
      <c r="K1429" s="1" t="n">
        <v>24</v>
      </c>
      <c r="L1429" s="11" t="n">
        <v>0.994032039961912</v>
      </c>
      <c r="M1429" s="1" t="n">
        <f aca="false">SUMIF(Relatorio_AK!$A:$A,A1429,Relatorio_AK!$B:$B)</f>
        <v>24</v>
      </c>
      <c r="N1429" s="1" t="str">
        <f aca="false">IF(M1429=K1429,"OK","DIF")</f>
        <v>OK</v>
      </c>
      <c r="O1429" s="13" t="str">
        <f aca="false">IFERROR(VLOOKUP($A1429,Lista_Starke!$A:$E,3,0),"NÃO ESTÁ NA LISTA")</f>
        <v>HONDA: Accord 2.0 16V K20A6 03/…
HONDA: Accord 2.2 16V N22A1 04/…</v>
      </c>
      <c r="P1429" s="12" t="str">
        <f aca="false">IFERROR(VLOOKUP($A1429,Lista_Starke!$A:$E,2,0),"NÃO ESTÁ NA LISTA")</f>
        <v>BOMBA D'ÁGUA</v>
      </c>
    </row>
    <row r="1430" customFormat="false" ht="15" hidden="false" customHeight="true" outlineLevel="0" collapsed="false">
      <c r="A1430" s="10" t="s">
        <v>3095</v>
      </c>
      <c r="B1430" s="10" t="str">
        <f aca="false">IFERROR(VLOOKUP(A1430,Pedido!$A:$B,2,0),"")</f>
        <v/>
      </c>
      <c r="C1430" s="10" t="str">
        <f aca="false">IF(B1430="","NÃO COMPRA","COMPRA")</f>
        <v>NÃO COMPRA</v>
      </c>
      <c r="D1430" s="1" t="n">
        <f aca="false">IFERROR(VLOOKUP(A1430,Pedido!$A:$C,3,0),0)</f>
        <v>0</v>
      </c>
      <c r="E1430" s="5" t="n">
        <f aca="false">IFERROR(VLOOKUP(A1430,Pedido!$A:$E,5,0),0)</f>
        <v>0</v>
      </c>
      <c r="F1430" s="1" t="s">
        <v>9</v>
      </c>
      <c r="G1430" s="1" t="s">
        <v>839</v>
      </c>
      <c r="H1430" s="1" t="s">
        <v>157</v>
      </c>
      <c r="I1430" s="1" t="s">
        <v>36</v>
      </c>
      <c r="J1430" s="1" t="s">
        <v>3096</v>
      </c>
      <c r="K1430" s="1" t="n">
        <v>24</v>
      </c>
      <c r="L1430" s="11" t="n">
        <v>0.994073068618719</v>
      </c>
      <c r="M1430" s="1" t="n">
        <f aca="false">SUMIF(Relatorio_AK!$A:$A,A1430,Relatorio_AK!$B:$B)</f>
        <v>24</v>
      </c>
      <c r="N1430" s="1" t="str">
        <f aca="false">IF(M1430=K1430,"OK","DIF")</f>
        <v>OK</v>
      </c>
      <c r="O1430" s="13" t="str">
        <f aca="false">IFERROR(VLOOKUP($A1430,Lista_Starke!$A:$E,3,0),"NÃO ESTÁ NA LISTA")</f>
        <v>VOLKSWAGEN: Golf GTI 1.8 20V Turbo 01/05
VOLKSWAGEN: Jetta 2.0 16V TSI 11/...
VOLKSWAGEN: Novo Fusca 2.0 TSI 11/...
VOLKSWAGEN: Tiguan 2.0 16V TSI 09/...</v>
      </c>
      <c r="P1430" s="12" t="str">
        <f aca="false">IFERROR(VLOOKUP($A1430,Lista_Starke!$A:$E,2,0),"NÃO ESTÁ NA LISTA")</f>
        <v>ATUADOR DE EMBREAGEM</v>
      </c>
    </row>
    <row r="1431" customFormat="false" ht="15" hidden="false" customHeight="true" outlineLevel="0" collapsed="false">
      <c r="A1431" s="10" t="s">
        <v>3097</v>
      </c>
      <c r="B1431" s="10" t="str">
        <f aca="false">IFERROR(VLOOKUP(A1431,Pedido!$A:$B,2,0),"")</f>
        <v/>
      </c>
      <c r="C1431" s="10" t="str">
        <f aca="false">IF(B1431="","NÃO COMPRA","COMPRA")</f>
        <v>NÃO COMPRA</v>
      </c>
      <c r="D1431" s="1" t="n">
        <f aca="false">IFERROR(VLOOKUP(A1431,Pedido!$A:$C,3,0),0)</f>
        <v>0</v>
      </c>
      <c r="E1431" s="5" t="n">
        <f aca="false">IFERROR(VLOOKUP(A1431,Pedido!$A:$E,5,0),0)</f>
        <v>0</v>
      </c>
      <c r="F1431" s="1" t="s">
        <v>9</v>
      </c>
      <c r="G1431" s="1" t="s">
        <v>616</v>
      </c>
      <c r="H1431" s="1" t="s">
        <v>197</v>
      </c>
      <c r="I1431" s="1" t="s">
        <v>226</v>
      </c>
      <c r="J1431" s="1" t="s">
        <v>3098</v>
      </c>
      <c r="K1431" s="1" t="n">
        <v>24</v>
      </c>
      <c r="L1431" s="11" t="n">
        <v>0.994114097275526</v>
      </c>
      <c r="M1431" s="1" t="n">
        <f aca="false">SUMIF(Relatorio_AK!$A:$A,A1431,Relatorio_AK!$B:$B)</f>
        <v>24</v>
      </c>
      <c r="N1431" s="1" t="str">
        <f aca="false">IF(M1431=K1431,"OK","DIF")</f>
        <v>OK</v>
      </c>
      <c r="O1431" s="13" t="str">
        <f aca="false">IFERROR(VLOOKUP($A1431,Lista_Starke!$A:$E,3,0),"NÃO ESTÁ NA LISTA")</f>
        <v>AUDI: A6 2.6 94/…
AUDI: A6 2.8 VR6 95/97
VOLKSWAGEN: Golf GTI 2.8 VR6 92/…
VOLKSWAGEN: Passat 2.8 VR6 92/…
VOLKSWAGEN: Variant 2.8 VR6 92/…</v>
      </c>
      <c r="P1431" s="12" t="str">
        <f aca="false">IFERROR(VLOOKUP($A1431,Lista_Starke!$A:$E,2,0),"NÃO ESTÁ NA LISTA")</f>
        <v>BOMBA D'ÁGUA</v>
      </c>
    </row>
    <row r="1432" customFormat="false" ht="15" hidden="false" customHeight="true" outlineLevel="0" collapsed="false">
      <c r="A1432" s="10" t="s">
        <v>3099</v>
      </c>
      <c r="B1432" s="10" t="str">
        <f aca="false">IFERROR(VLOOKUP(A1432,Pedido!$A:$B,2,0),"")</f>
        <v/>
      </c>
      <c r="C1432" s="10" t="str">
        <f aca="false">IF(B1432="","NÃO COMPRA","COMPRA")</f>
        <v>NÃO COMPRA</v>
      </c>
      <c r="D1432" s="1" t="n">
        <f aca="false">IFERROR(VLOOKUP(A1432,Pedido!$A:$C,3,0),0)</f>
        <v>0</v>
      </c>
      <c r="E1432" s="5" t="n">
        <f aca="false">IFERROR(VLOOKUP(A1432,Pedido!$A:$E,5,0),0)</f>
        <v>0</v>
      </c>
      <c r="F1432" s="1" t="s">
        <v>9</v>
      </c>
      <c r="G1432" s="1" t="s">
        <v>1479</v>
      </c>
      <c r="H1432" s="1" t="s">
        <v>197</v>
      </c>
      <c r="I1432" s="1" t="s">
        <v>1480</v>
      </c>
      <c r="J1432" s="1" t="s">
        <v>3100</v>
      </c>
      <c r="K1432" s="1" t="n">
        <v>24</v>
      </c>
      <c r="L1432" s="11" t="n">
        <v>0.994155125932334</v>
      </c>
      <c r="M1432" s="1" t="n">
        <f aca="false">SUMIF(Relatorio_AK!$A:$A,A1432,Relatorio_AK!$B:$B)</f>
        <v>24</v>
      </c>
      <c r="N1432" s="1" t="str">
        <f aca="false">IF(M1432=K1432,"OK","DIF")</f>
        <v>OK</v>
      </c>
      <c r="O1432" s="13" t="str">
        <f aca="false">IFERROR(VLOOKUP($A1432,Lista_Starke!$A:$E,3,0),"NÃO ESTÁ NA LISTA")</f>
        <v>SUBARU: Legacy 3.6 6cil EZ36D 09/...
SUBARU: Outback 3.6 6cil EZ36D 09/...
SUBARU: Tribeca 3.6 6cil EZ36D 07/...</v>
      </c>
      <c r="P1432" s="12" t="str">
        <f aca="false">IFERROR(VLOOKUP($A1432,Lista_Starke!$A:$E,2,0),"NÃO ESTÁ NA LISTA")</f>
        <v>BOMBA D'ÁGUA</v>
      </c>
    </row>
    <row r="1433" customFormat="false" ht="15" hidden="false" customHeight="true" outlineLevel="0" collapsed="false">
      <c r="A1433" s="10" t="s">
        <v>3101</v>
      </c>
      <c r="B1433" s="10" t="str">
        <f aca="false">IFERROR(VLOOKUP(A1433,Pedido!$A:$B,2,0),"")</f>
        <v/>
      </c>
      <c r="C1433" s="10" t="str">
        <f aca="false">IF(B1433="","NÃO COMPRA","COMPRA")</f>
        <v>NÃO COMPRA</v>
      </c>
      <c r="D1433" s="1" t="n">
        <f aca="false">IFERROR(VLOOKUP(A1433,Pedido!$A:$C,3,0),0)</f>
        <v>0</v>
      </c>
      <c r="E1433" s="5" t="n">
        <f aca="false">IFERROR(VLOOKUP(A1433,Pedido!$A:$E,5,0),0)</f>
        <v>0</v>
      </c>
      <c r="F1433" s="1" t="s">
        <v>9</v>
      </c>
      <c r="G1433" s="1" t="s">
        <v>3102</v>
      </c>
      <c r="H1433" s="1" t="s">
        <v>845</v>
      </c>
      <c r="I1433" s="1" t="s">
        <v>1855</v>
      </c>
      <c r="J1433" s="1" t="s">
        <v>3103</v>
      </c>
      <c r="K1433" s="1" t="n">
        <v>24</v>
      </c>
      <c r="L1433" s="11" t="n">
        <v>0.994196154589141</v>
      </c>
      <c r="M1433" s="1" t="n">
        <f aca="false">SUMIF(Relatorio_AK!$A:$A,A1433,Relatorio_AK!$B:$B)</f>
        <v>24</v>
      </c>
      <c r="N1433" s="1" t="str">
        <f aca="false">IF(M1433=K1433,"OK","DIF")</f>
        <v>OK</v>
      </c>
      <c r="O1433" s="13" t="str">
        <f aca="false">IFERROR(VLOOKUP($A1433,Lista_Starke!$A:$E,3,0),"NÃO ESTÁ NA LISTA")</f>
        <v>AUDI: Q7  06/15
PORSCHE: Cayenne  10/...
PORSCHE: Cayenne GTS  10/...
PORSCHE: Cayenne S  10/...
PORSCHE: Cayenne Turbo  10/...
PORSCHE: Cayenne Turbo S  10/...
VOLKSWAGEN: Touareg  10/18</v>
      </c>
      <c r="P1433" s="12" t="str">
        <f aca="false">IFERROR(VLOOKUP($A1433,Lista_Starke!$A:$E,2,0),"NÃO ESTÁ NA LISTA")</f>
        <v>SAPATA DE FREIO DE MÃO</v>
      </c>
    </row>
    <row r="1434" customFormat="false" ht="15" hidden="false" customHeight="true" outlineLevel="0" collapsed="false">
      <c r="A1434" s="10" t="s">
        <v>3104</v>
      </c>
      <c r="B1434" s="10" t="str">
        <f aca="false">IFERROR(VLOOKUP(A1434,Pedido!$A:$B,2,0),"")</f>
        <v/>
      </c>
      <c r="C1434" s="10" t="str">
        <f aca="false">IF(B1434="","NÃO COMPRA","COMPRA")</f>
        <v>NÃO COMPRA</v>
      </c>
      <c r="D1434" s="1" t="n">
        <f aca="false">IFERROR(VLOOKUP(A1434,Pedido!$A:$C,3,0),0)</f>
        <v>0</v>
      </c>
      <c r="E1434" s="5" t="n">
        <f aca="false">IFERROR(VLOOKUP(A1434,Pedido!$A:$E,5,0),0)</f>
        <v>0</v>
      </c>
      <c r="F1434" s="1" t="s">
        <v>9</v>
      </c>
      <c r="G1434" s="1" t="s">
        <v>763</v>
      </c>
      <c r="H1434" s="1" t="s">
        <v>790</v>
      </c>
      <c r="I1434" s="1" t="s">
        <v>373</v>
      </c>
      <c r="J1434" s="1" t="s">
        <v>3105</v>
      </c>
      <c r="K1434" s="1" t="n">
        <v>24</v>
      </c>
      <c r="L1434" s="11" t="n">
        <v>0.994237183245948</v>
      </c>
      <c r="M1434" s="1" t="n">
        <f aca="false">SUMIF(Relatorio_AK!$A:$A,A1434,Relatorio_AK!$B:$B)</f>
        <v>24</v>
      </c>
      <c r="N1434" s="1" t="str">
        <f aca="false">IF(M1434=K1434,"OK","DIF")</f>
        <v>OK</v>
      </c>
      <c r="O1434" s="13" t="str">
        <f aca="false">IFERROR(VLOOKUP($A1434,Lista_Starke!$A:$E,3,0),"NÃO ESTÁ NA LISTA")</f>
        <v>MERCEDES-BENZ: C180 (A205/W205) 1.5 4 cil. M264.915 19/23
MERCEDES-BENZ: C200 (A205/W205) 1.5 4 cil. EQ Boost M264.915 18/23
MERCEDES-BENZ: C200 (A205/W205) 2.0 4 cil. 4MATIC M264.920 19/23
MERCEDES-BENZ: C300 (A205/W205) 2.0 4 cil. EQ Boost M264.920 18/23
MERCEDES-BENZ: C300 (A205/W205) 2.0 4 cil. M264.920 18/23
MERCEDES-BENZ: C300 (A205/W205) 2.0 4 cil.4MATIC M264.920 18/23
MERCEDES-BENZ: E200 (S213) 2.0 4 cil. EQ Boost M264.920 20/23
MERCEDES-BENZ: E200 (W213) 2.0 4 cil. EQ Boost M264.920 19/23
MERCEDES-BENZ: E200 (W213) 2.0 4 cil. M264.920 18/23
MERCEDES-BENZ: E300 (W213) 2.0 4 cil. EQ Boost M264.920 19/23
MERCEDES-BENZ: E300 (W213) 2.0 4 cil. M274.920 / M264.920 19/23
MERCEDES-BENZ: E350 (W213) 2.0 4 cil. EQ Boost M264.920 18/23
MERCEDES-BENZ: GLC250 (X253) 2.0 4 cil. EQ Boost M264.920 19/22
MERCEDES-BENZ: GLC300 (X253) 2.0 4 cil. EQ Boost M264.920 19/22
MERCEDES-BENZ: GLC43 AMG 3.0 V6 Biturbo M276 19/23
MERCEDES-BENZ: GLC63 AMG 3.0 V6 Biturbo M276 19/23</v>
      </c>
      <c r="P1434" s="12" t="str">
        <f aca="false">IFERROR(VLOOKUP($A1434,Lista_Starke!$A:$E,2,0),"NÃO ESTÁ NA LISTA")</f>
        <v>BOMBA D'ÁGUA ELÉTRICA</v>
      </c>
    </row>
    <row r="1435" customFormat="false" ht="15" hidden="false" customHeight="true" outlineLevel="0" collapsed="false">
      <c r="A1435" s="10" t="s">
        <v>3106</v>
      </c>
      <c r="B1435" s="10" t="str">
        <f aca="false">IFERROR(VLOOKUP(A1435,Pedido!$A:$B,2,0),"")</f>
        <v/>
      </c>
      <c r="C1435" s="10" t="str">
        <f aca="false">IF(B1435="","NÃO COMPRA","COMPRA")</f>
        <v>NÃO COMPRA</v>
      </c>
      <c r="D1435" s="1" t="n">
        <f aca="false">IFERROR(VLOOKUP(A1435,Pedido!$A:$C,3,0),0)</f>
        <v>0</v>
      </c>
      <c r="E1435" s="5" t="n">
        <f aca="false">IFERROR(VLOOKUP(A1435,Pedido!$A:$E,5,0),0)</f>
        <v>0</v>
      </c>
      <c r="F1435" s="1" t="s">
        <v>9</v>
      </c>
      <c r="G1435" s="1" t="s">
        <v>3107</v>
      </c>
      <c r="H1435" s="1" t="s">
        <v>790</v>
      </c>
      <c r="I1435" s="1" t="s">
        <v>1987</v>
      </c>
      <c r="J1435" s="1" t="s">
        <v>3108</v>
      </c>
      <c r="K1435" s="1" t="n">
        <v>24</v>
      </c>
      <c r="L1435" s="11" t="n">
        <v>0.994278211902755</v>
      </c>
      <c r="M1435" s="1" t="n">
        <f aca="false">SUMIF(Relatorio_AK!$A:$A,A1435,Relatorio_AK!$B:$B)</f>
        <v>24</v>
      </c>
      <c r="N1435" s="1" t="str">
        <f aca="false">IF(M1435=K1435,"OK","DIF")</f>
        <v>OK</v>
      </c>
      <c r="O1435" s="13" t="str">
        <f aca="false">IFERROR(VLOOKUP($A1435,Lista_Starke!$A:$E,3,0),"NÃO ESTÁ NA LISTA")</f>
        <v>BYD: Song Plus 1.5 16V Híbrido 22/...
BYD: Song Pro 1.5 16V Híbrido 22/...</v>
      </c>
      <c r="P1435" s="12" t="str">
        <f aca="false">IFERROR(VLOOKUP($A1435,Lista_Starke!$A:$E,2,0),"NÃO ESTÁ NA LISTA")</f>
        <v>BOMBA D'ÁGUA ELÉTRICA</v>
      </c>
    </row>
    <row r="1436" customFormat="false" ht="15" hidden="false" customHeight="true" outlineLevel="0" collapsed="false">
      <c r="A1436" s="10" t="s">
        <v>3109</v>
      </c>
      <c r="B1436" s="10" t="str">
        <f aca="false">IFERROR(VLOOKUP(A1436,Pedido!$A:$B,2,0),"")</f>
        <v/>
      </c>
      <c r="C1436" s="10" t="str">
        <f aca="false">IF(B1436="","NÃO COMPRA","COMPRA")</f>
        <v>NÃO COMPRA</v>
      </c>
      <c r="D1436" s="1" t="n">
        <f aca="false">IFERROR(VLOOKUP(A1436,Pedido!$A:$C,3,0),0)</f>
        <v>0</v>
      </c>
      <c r="E1436" s="5" t="n">
        <f aca="false">IFERROR(VLOOKUP(A1436,Pedido!$A:$E,5,0),0)</f>
        <v>0</v>
      </c>
      <c r="F1436" s="1" t="s">
        <v>9</v>
      </c>
      <c r="G1436" s="1" t="s">
        <v>277</v>
      </c>
      <c r="H1436" s="1" t="s">
        <v>131</v>
      </c>
      <c r="I1436" s="1" t="s">
        <v>53</v>
      </c>
      <c r="J1436" s="1" t="s">
        <v>3110</v>
      </c>
      <c r="K1436" s="1" t="n">
        <v>24</v>
      </c>
      <c r="L1436" s="11" t="n">
        <v>0.994319240559563</v>
      </c>
      <c r="M1436" s="1" t="n">
        <f aca="false">SUMIF(Relatorio_AK!$A:$A,A1436,Relatorio_AK!$B:$B)</f>
        <v>24</v>
      </c>
      <c r="N1436" s="1" t="str">
        <f aca="false">IF(M1436=K1436,"OK","DIF")</f>
        <v>OK</v>
      </c>
      <c r="O1436" s="13" t="str">
        <f aca="false">IFERROR(VLOOKUP($A1436,Lista_Starke!$A:$E,3,0),"NÃO ESTÁ NA LISTA")</f>
        <v>FORD: Focus 1.6 16V Sigma 13/15
FORD: Focus 2.0 16V Duratec 13/15</v>
      </c>
      <c r="P1436" s="12" t="str">
        <f aca="false">IFERROR(VLOOKUP($A1436,Lista_Starke!$A:$E,2,0),"NÃO ESTÁ NA LISTA")</f>
        <v>SAPATA DE FREIO</v>
      </c>
    </row>
    <row r="1437" customFormat="false" ht="15" hidden="false" customHeight="true" outlineLevel="0" collapsed="false">
      <c r="A1437" s="10" t="s">
        <v>3111</v>
      </c>
      <c r="B1437" s="10" t="str">
        <f aca="false">IFERROR(VLOOKUP(A1437,Pedido!$A:$B,2,0),"")</f>
        <v/>
      </c>
      <c r="C1437" s="10" t="str">
        <f aca="false">IF(B1437="","NÃO COMPRA","COMPRA")</f>
        <v>NÃO COMPRA</v>
      </c>
      <c r="D1437" s="1" t="n">
        <f aca="false">IFERROR(VLOOKUP(A1437,Pedido!$A:$C,3,0),0)</f>
        <v>0</v>
      </c>
      <c r="E1437" s="5" t="n">
        <f aca="false">IFERROR(VLOOKUP(A1437,Pedido!$A:$E,5,0),0)</f>
        <v>0</v>
      </c>
      <c r="F1437" s="1" t="s">
        <v>9</v>
      </c>
      <c r="G1437" s="1" t="s">
        <v>3086</v>
      </c>
      <c r="H1437" s="1" t="s">
        <v>32</v>
      </c>
      <c r="I1437" s="1" t="s">
        <v>373</v>
      </c>
      <c r="J1437" s="1" t="s">
        <v>3112</v>
      </c>
      <c r="K1437" s="1" t="n">
        <v>24</v>
      </c>
      <c r="L1437" s="11" t="n">
        <v>0.99436026921637</v>
      </c>
      <c r="M1437" s="1" t="n">
        <f aca="false">SUMIF(Relatorio_AK!$A:$A,A1437,Relatorio_AK!$B:$B)</f>
        <v>24</v>
      </c>
      <c r="N1437" s="1" t="str">
        <f aca="false">IF(M1437=K1437,"OK","DIF")</f>
        <v>OK</v>
      </c>
      <c r="O1437" s="13" t="str">
        <f aca="false">IFERROR(VLOOKUP($A1437,Lista_Starke!$A:$E,3,0),"NÃO ESTÁ NA LISTA")</f>
        <v>MERCEDES-BENZ: 1218  03/...
MERCEDES-BENZ: 1318  03/...
MERCEDES-BENZ: 1418  03/...
MERCEDES-BENZ: 1620  03/...
MERCEDES-BENZ: 1622  03/...
MERCEDES-BENZ: 1938  03/...
MERCEDES-BENZ: ATEGO 1718  03/...
MERCEDES-BENZ: ATEGO 1725  03/...
MERCEDES-BENZ: ATEGO 2425  03/...
MERCEDES-BENZ: ATEGO 2429  03/...
MERCEDES-BENZ: OF 1519  03/...</v>
      </c>
      <c r="P1437" s="12" t="str">
        <f aca="false">IFERROR(VLOOKUP($A1437,Lista_Starke!$A:$E,2,0),"NÃO ESTÁ NA LISTA")</f>
        <v>CILINDRO MESTRE DE EMBREAGEM</v>
      </c>
    </row>
    <row r="1438" customFormat="false" ht="15" hidden="false" customHeight="true" outlineLevel="0" collapsed="false">
      <c r="A1438" s="10" t="s">
        <v>3113</v>
      </c>
      <c r="B1438" s="10" t="str">
        <f aca="false">IFERROR(VLOOKUP(A1438,Pedido!$A:$B,2,0),"")</f>
        <v/>
      </c>
      <c r="C1438" s="10" t="str">
        <f aca="false">IF(B1438="","NÃO COMPRA","COMPRA")</f>
        <v>NÃO COMPRA</v>
      </c>
      <c r="D1438" s="1" t="n">
        <f aca="false">IFERROR(VLOOKUP(A1438,Pedido!$A:$C,3,0),0)</f>
        <v>0</v>
      </c>
      <c r="E1438" s="5" t="n">
        <f aca="false">IFERROR(VLOOKUP(A1438,Pedido!$A:$E,5,0),0)</f>
        <v>0</v>
      </c>
      <c r="F1438" s="1" t="s">
        <v>9</v>
      </c>
      <c r="G1438" s="1" t="s">
        <v>2495</v>
      </c>
      <c r="H1438" s="1" t="s">
        <v>2466</v>
      </c>
      <c r="I1438" s="1" t="s">
        <v>46</v>
      </c>
      <c r="J1438" s="1" t="s">
        <v>3114</v>
      </c>
      <c r="K1438" s="1" t="n">
        <v>24</v>
      </c>
      <c r="L1438" s="11" t="n">
        <v>0.994401297873177</v>
      </c>
      <c r="M1438" s="1" t="n">
        <f aca="false">SUMIF(Relatorio_AK!$A:$A,A1438,Relatorio_AK!$B:$B)</f>
        <v>24</v>
      </c>
      <c r="N1438" s="1" t="str">
        <f aca="false">IF(M1438=K1438,"OK","DIF")</f>
        <v>OK</v>
      </c>
      <c r="O1438" s="13" t="str">
        <f aca="false">IFERROR(VLOOKUP($A1438,Lista_Starke!$A:$E,3,0),"NÃO ESTÁ NA LISTA")</f>
        <v>FIAT: Uno 1.0 6V Firefly 16/17
FIAT: Uno 1.0 8V Fire 01/13
FIAT: Uno 1.0 8V Fire EVO 14/21
FIAT: Uno 1.3 8V Fire 07/15
FIAT: Uno 1.4 8V Fire EVO 10/14</v>
      </c>
      <c r="P1438" s="12" t="str">
        <f aca="false">IFERROR(VLOOKUP($A1438,Lista_Starke!$A:$E,2,0),"NÃO ESTÁ NA LISTA")</f>
        <v>SERVO FREIO</v>
      </c>
    </row>
    <row r="1439" customFormat="false" ht="15" hidden="false" customHeight="true" outlineLevel="0" collapsed="false">
      <c r="A1439" s="10" t="s">
        <v>3115</v>
      </c>
      <c r="B1439" s="10" t="str">
        <f aca="false">IFERROR(VLOOKUP(A1439,Pedido!$A:$B,2,0),"")</f>
        <v/>
      </c>
      <c r="C1439" s="10" t="str">
        <f aca="false">IF(B1439="","NÃO COMPRA","COMPRA")</f>
        <v>NÃO COMPRA</v>
      </c>
      <c r="D1439" s="1" t="n">
        <f aca="false">IFERROR(VLOOKUP(A1439,Pedido!$A:$C,3,0),0)</f>
        <v>0</v>
      </c>
      <c r="E1439" s="5" t="n">
        <f aca="false">IFERROR(VLOOKUP(A1439,Pedido!$A:$E,5,0),0)</f>
        <v>0</v>
      </c>
      <c r="F1439" s="1" t="s">
        <v>9</v>
      </c>
      <c r="G1439" s="1" t="s">
        <v>2858</v>
      </c>
      <c r="H1439" s="1" t="s">
        <v>1358</v>
      </c>
      <c r="I1439" s="1" t="s">
        <v>1182</v>
      </c>
      <c r="J1439" s="1" t="s">
        <v>3116</v>
      </c>
      <c r="K1439" s="1" t="n">
        <v>23</v>
      </c>
      <c r="L1439" s="11" t="n">
        <v>0.994440617002617</v>
      </c>
      <c r="M1439" s="1" t="n">
        <f aca="false">SUMIF(Relatorio_AK!$A:$A,A1439,Relatorio_AK!$B:$B)</f>
        <v>23</v>
      </c>
      <c r="N1439" s="1" t="str">
        <f aca="false">IF(M1439=K1439,"OK","DIF")</f>
        <v>OK</v>
      </c>
      <c r="O1439" s="12" t="str">
        <f aca="false">IFERROR(VLOOKUP($A1439,Lista_Starke!$A:$E,3,0),"NÃO ESTÁ NA LISTA")</f>
        <v>KIA: Bongo K2500  13/21</v>
      </c>
      <c r="P1439" s="12" t="str">
        <f aca="false">IFERROR(VLOOKUP($A1439,Lista_Starke!$A:$E,2,0),"NÃO ESTÁ NA LISTA")</f>
        <v>BANDEJA INFERIOR COMPLETA LD</v>
      </c>
    </row>
    <row r="1440" customFormat="false" ht="15" hidden="false" customHeight="true" outlineLevel="0" collapsed="false">
      <c r="A1440" s="10" t="s">
        <v>3117</v>
      </c>
      <c r="B1440" s="10" t="str">
        <f aca="false">IFERROR(VLOOKUP(A1440,Pedido!$A:$B,2,0),"")</f>
        <v/>
      </c>
      <c r="C1440" s="10" t="str">
        <f aca="false">IF(B1440="","NÃO COMPRA","COMPRA")</f>
        <v>NÃO COMPRA</v>
      </c>
      <c r="D1440" s="1" t="n">
        <f aca="false">IFERROR(VLOOKUP(A1440,Pedido!$A:$C,3,0),0)</f>
        <v>0</v>
      </c>
      <c r="E1440" s="5" t="n">
        <f aca="false">IFERROR(VLOOKUP(A1440,Pedido!$A:$E,5,0),0)</f>
        <v>0</v>
      </c>
      <c r="F1440" s="1" t="s">
        <v>9</v>
      </c>
      <c r="G1440" s="1" t="s">
        <v>1899</v>
      </c>
      <c r="H1440" s="1" t="s">
        <v>1358</v>
      </c>
      <c r="I1440" s="1" t="s">
        <v>295</v>
      </c>
      <c r="J1440" s="1" t="s">
        <v>3118</v>
      </c>
      <c r="K1440" s="1" t="n">
        <v>23</v>
      </c>
      <c r="L1440" s="11" t="n">
        <v>0.994479936132058</v>
      </c>
      <c r="M1440" s="1" t="n">
        <f aca="false">SUMIF(Relatorio_AK!$A:$A,A1440,Relatorio_AK!$B:$B)</f>
        <v>23</v>
      </c>
      <c r="N1440" s="1" t="str">
        <f aca="false">IF(M1440=K1440,"OK","DIF")</f>
        <v>OK</v>
      </c>
      <c r="O1440" s="12" t="str">
        <f aca="false">IFERROR(VLOOKUP($A1440,Lista_Starke!$A:$E,3,0),"NÃO ESTÁ NA LISTA")</f>
        <v>CHERY: Celer 1.5 16V   SQR477F 13/…</v>
      </c>
      <c r="P1440" s="12" t="str">
        <f aca="false">IFERROR(VLOOKUP($A1440,Lista_Starke!$A:$E,2,0),"NÃO ESTÁ NA LISTA")</f>
        <v>BANDEJA INFERIOR COMPLETA LE</v>
      </c>
    </row>
    <row r="1441" customFormat="false" ht="15" hidden="false" customHeight="true" outlineLevel="0" collapsed="false">
      <c r="A1441" s="10" t="s">
        <v>3119</v>
      </c>
      <c r="B1441" s="10" t="str">
        <f aca="false">IFERROR(VLOOKUP(A1441,Pedido!$A:$B,2,0),"")</f>
        <v/>
      </c>
      <c r="C1441" s="10" t="str">
        <f aca="false">IF(B1441="","NÃO COMPRA","COMPRA")</f>
        <v>NÃO COMPRA</v>
      </c>
      <c r="D1441" s="1" t="n">
        <f aca="false">IFERROR(VLOOKUP(A1441,Pedido!$A:$C,3,0),0)</f>
        <v>0</v>
      </c>
      <c r="E1441" s="5" t="n">
        <f aca="false">IFERROR(VLOOKUP(A1441,Pedido!$A:$E,5,0),0)</f>
        <v>0</v>
      </c>
      <c r="F1441" s="1" t="s">
        <v>9</v>
      </c>
      <c r="G1441" s="1" t="s">
        <v>2099</v>
      </c>
      <c r="H1441" s="1" t="s">
        <v>2420</v>
      </c>
      <c r="I1441" s="1" t="s">
        <v>57</v>
      </c>
      <c r="J1441" s="1" t="s">
        <v>3120</v>
      </c>
      <c r="K1441" s="1" t="n">
        <v>23</v>
      </c>
      <c r="L1441" s="11" t="n">
        <v>0.994519255261498</v>
      </c>
      <c r="M1441" s="1" t="n">
        <f aca="false">SUMIF(Relatorio_AK!$A:$A,A1441,Relatorio_AK!$B:$B)</f>
        <v>23</v>
      </c>
      <c r="N1441" s="1" t="str">
        <f aca="false">IF(M1441=K1441,"OK","DIF")</f>
        <v>OK</v>
      </c>
      <c r="O1441" s="13" t="str">
        <f aca="false">IFERROR(VLOOKUP($A1441,Lista_Starke!$A:$E,3,0),"NÃO ESTÁ NA LISTA")</f>
        <v>GM: S10 4x2 / 4x4 12/17
GM: Trailblazer  13/17</v>
      </c>
      <c r="P1441" s="12" t="str">
        <f aca="false">IFERROR(VLOOKUP($A1441,Lista_Starke!$A:$E,2,0),"NÃO ESTÁ NA LISTA")</f>
        <v>BANDEJA SUPERIOR COMPLETA LD</v>
      </c>
    </row>
    <row r="1442" customFormat="false" ht="15" hidden="false" customHeight="true" outlineLevel="0" collapsed="false">
      <c r="A1442" s="10" t="s">
        <v>3121</v>
      </c>
      <c r="B1442" s="10" t="str">
        <f aca="false">IFERROR(VLOOKUP(A1442,Pedido!$A:$B,2,0),"")</f>
        <v/>
      </c>
      <c r="C1442" s="10" t="str">
        <f aca="false">IF(B1442="","NÃO COMPRA","COMPRA")</f>
        <v>NÃO COMPRA</v>
      </c>
      <c r="D1442" s="1" t="n">
        <f aca="false">IFERROR(VLOOKUP(A1442,Pedido!$A:$C,3,0),0)</f>
        <v>0</v>
      </c>
      <c r="E1442" s="5" t="n">
        <f aca="false">IFERROR(VLOOKUP(A1442,Pedido!$A:$E,5,0),0)</f>
        <v>0</v>
      </c>
      <c r="F1442" s="1" t="s">
        <v>9</v>
      </c>
      <c r="G1442" s="1" t="s">
        <v>1959</v>
      </c>
      <c r="H1442" s="1" t="s">
        <v>1358</v>
      </c>
      <c r="I1442" s="1" t="s">
        <v>172</v>
      </c>
      <c r="J1442" s="1" t="s">
        <v>3122</v>
      </c>
      <c r="K1442" s="1" t="n">
        <v>23</v>
      </c>
      <c r="L1442" s="11" t="n">
        <v>0.994558574390938</v>
      </c>
      <c r="M1442" s="1" t="n">
        <f aca="false">SUMIF(Relatorio_AK!$A:$A,A1442,Relatorio_AK!$B:$B)</f>
        <v>23</v>
      </c>
      <c r="N1442" s="1" t="str">
        <f aca="false">IF(M1442=K1442,"OK","DIF")</f>
        <v>OK</v>
      </c>
      <c r="O1442" s="13" t="str">
        <f aca="false">IFERROR(VLOOKUP($A1442,Lista_Starke!$A:$E,3,0),"NÃO ESTÁ NA LISTA")</f>
        <v>HYUNDAI: New Tucson  17/21
KIA: Sportage  16/21</v>
      </c>
      <c r="P1442" s="12" t="str">
        <f aca="false">IFERROR(VLOOKUP($A1442,Lista_Starke!$A:$E,2,0),"NÃO ESTÁ NA LISTA")</f>
        <v>BANDEJA INFERIOR COMPLETA LD</v>
      </c>
    </row>
    <row r="1443" customFormat="false" ht="15" hidden="false" customHeight="true" outlineLevel="0" collapsed="false">
      <c r="A1443" s="10" t="s">
        <v>3123</v>
      </c>
      <c r="B1443" s="10" t="str">
        <f aca="false">IFERROR(VLOOKUP(A1443,Pedido!$A:$B,2,0),"")</f>
        <v/>
      </c>
      <c r="C1443" s="10" t="str">
        <f aca="false">IF(B1443="","NÃO COMPRA","COMPRA")</f>
        <v>NÃO COMPRA</v>
      </c>
      <c r="D1443" s="1" t="n">
        <f aca="false">IFERROR(VLOOKUP(A1443,Pedido!$A:$C,3,0),0)</f>
        <v>0</v>
      </c>
      <c r="E1443" s="5" t="n">
        <f aca="false">IFERROR(VLOOKUP(A1443,Pedido!$A:$E,5,0),0)</f>
        <v>0</v>
      </c>
      <c r="F1443" s="1" t="s">
        <v>9</v>
      </c>
      <c r="G1443" s="1" t="s">
        <v>1906</v>
      </c>
      <c r="H1443" s="1" t="s">
        <v>2420</v>
      </c>
      <c r="I1443" s="1" t="s">
        <v>53</v>
      </c>
      <c r="J1443" s="1" t="s">
        <v>2920</v>
      </c>
      <c r="K1443" s="1" t="n">
        <v>23</v>
      </c>
      <c r="L1443" s="11" t="n">
        <v>0.994597893520379</v>
      </c>
      <c r="M1443" s="1" t="n">
        <f aca="false">SUMIF(Relatorio_AK!$A:$A,A1443,Relatorio_AK!$B:$B)</f>
        <v>23</v>
      </c>
      <c r="N1443" s="1" t="str">
        <f aca="false">IF(M1443=K1443,"OK","DIF")</f>
        <v>OK</v>
      </c>
      <c r="O1443" s="12" t="str">
        <f aca="false">IFERROR(VLOOKUP($A1443,Lista_Starke!$A:$E,3,0),"NÃO ESTÁ NA LISTA")</f>
        <v>FORD: Ranger  12/22</v>
      </c>
      <c r="P1443" s="12" t="str">
        <f aca="false">IFERROR(VLOOKUP($A1443,Lista_Starke!$A:$E,2,0),"NÃO ESTÁ NA LISTA")</f>
        <v>BANDEJA SUPERIOR COMPLETA LE</v>
      </c>
    </row>
    <row r="1444" customFormat="false" ht="15" hidden="false" customHeight="true" outlineLevel="0" collapsed="false">
      <c r="A1444" s="10" t="s">
        <v>3124</v>
      </c>
      <c r="B1444" s="10" t="str">
        <f aca="false">IFERROR(VLOOKUP(A1444,Pedido!$A:$B,2,0),"")</f>
        <v/>
      </c>
      <c r="C1444" s="10" t="str">
        <f aca="false">IF(B1444="","NÃO COMPRA","COMPRA")</f>
        <v>NÃO COMPRA</v>
      </c>
      <c r="D1444" s="1" t="n">
        <f aca="false">IFERROR(VLOOKUP(A1444,Pedido!$A:$C,3,0),0)</f>
        <v>0</v>
      </c>
      <c r="E1444" s="5" t="n">
        <f aca="false">IFERROR(VLOOKUP(A1444,Pedido!$A:$E,5,0),0)</f>
        <v>0</v>
      </c>
      <c r="F1444" s="1" t="s">
        <v>9</v>
      </c>
      <c r="G1444" s="1" t="s">
        <v>2233</v>
      </c>
      <c r="H1444" s="1" t="s">
        <v>1358</v>
      </c>
      <c r="I1444" s="1" t="s">
        <v>50</v>
      </c>
      <c r="J1444" s="1" t="s">
        <v>3125</v>
      </c>
      <c r="K1444" s="1" t="n">
        <v>23</v>
      </c>
      <c r="L1444" s="11" t="n">
        <v>0.994637212649819</v>
      </c>
      <c r="M1444" s="1" t="n">
        <f aca="false">SUMIF(Relatorio_AK!$A:$A,A1444,Relatorio_AK!$B:$B)</f>
        <v>23</v>
      </c>
      <c r="N1444" s="1" t="str">
        <f aca="false">IF(M1444=K1444,"OK","DIF")</f>
        <v>OK</v>
      </c>
      <c r="O1444" s="12" t="str">
        <f aca="false">IFERROR(VLOOKUP($A1444,Lista_Starke!$A:$E,3,0),"NÃO ESTÁ NA LISTA")</f>
        <v>HONDA: Fit 1.4 8V / 1.5 16V 03/08</v>
      </c>
      <c r="P1444" s="12" t="str">
        <f aca="false">IFERROR(VLOOKUP($A1444,Lista_Starke!$A:$E,2,0),"NÃO ESTÁ NA LISTA")</f>
        <v>BANDEJA INFERIOR COMPLETA LD</v>
      </c>
    </row>
    <row r="1445" customFormat="false" ht="15" hidden="false" customHeight="true" outlineLevel="0" collapsed="false">
      <c r="A1445" s="10" t="s">
        <v>3126</v>
      </c>
      <c r="B1445" s="10" t="str">
        <f aca="false">IFERROR(VLOOKUP(A1445,Pedido!$A:$B,2,0),"")</f>
        <v/>
      </c>
      <c r="C1445" s="10" t="str">
        <f aca="false">IF(B1445="","NÃO COMPRA","COMPRA")</f>
        <v>NÃO COMPRA</v>
      </c>
      <c r="D1445" s="1" t="n">
        <f aca="false">IFERROR(VLOOKUP(A1445,Pedido!$A:$C,3,0),0)</f>
        <v>0</v>
      </c>
      <c r="E1445" s="5" t="n">
        <f aca="false">IFERROR(VLOOKUP(A1445,Pedido!$A:$E,5,0),0)</f>
        <v>0</v>
      </c>
      <c r="F1445" s="1" t="s">
        <v>9</v>
      </c>
      <c r="G1445" s="1" t="s">
        <v>3127</v>
      </c>
      <c r="H1445" s="1" t="s">
        <v>1358</v>
      </c>
      <c r="I1445" s="1" t="s">
        <v>1431</v>
      </c>
      <c r="K1445" s="1" t="n">
        <v>23</v>
      </c>
      <c r="L1445" s="11" t="n">
        <v>0.994676531779259</v>
      </c>
      <c r="M1445" s="1" t="n">
        <f aca="false">SUMIF(Relatorio_AK!$A:$A,A1445,Relatorio_AK!$B:$B)</f>
        <v>23</v>
      </c>
      <c r="N1445" s="1" t="str">
        <f aca="false">IF(M1445=K1445,"OK","DIF")</f>
        <v>OK</v>
      </c>
      <c r="O1445" s="13" t="str">
        <f aca="false">IFERROR(VLOOKUP($A1445,Lista_Starke!$A:$E,3,0),"NÃO ESTÁ NA LISTA")</f>
        <v>VOLVO: XC40 T4 2.0 18/...
VOLVO: XC40 T5 2.0 17/...</v>
      </c>
      <c r="P1445" s="12" t="str">
        <f aca="false">IFERROR(VLOOKUP($A1445,Lista_Starke!$A:$E,2,0),"NÃO ESTÁ NA LISTA")</f>
        <v>BANDEJA INFERIOR COMPLETA LE</v>
      </c>
    </row>
    <row r="1446" customFormat="false" ht="15" hidden="false" customHeight="true" outlineLevel="0" collapsed="false">
      <c r="A1446" s="10" t="s">
        <v>3128</v>
      </c>
      <c r="B1446" s="10" t="str">
        <f aca="false">IFERROR(VLOOKUP(A1446,Pedido!$A:$B,2,0),"")</f>
        <v/>
      </c>
      <c r="C1446" s="10" t="str">
        <f aca="false">IF(B1446="","NÃO COMPRA","COMPRA")</f>
        <v>NÃO COMPRA</v>
      </c>
      <c r="D1446" s="1" t="n">
        <f aca="false">IFERROR(VLOOKUP(A1446,Pedido!$A:$C,3,0),0)</f>
        <v>0</v>
      </c>
      <c r="E1446" s="5" t="n">
        <f aca="false">IFERROR(VLOOKUP(A1446,Pedido!$A:$E,5,0),0)</f>
        <v>0</v>
      </c>
      <c r="F1446" s="1" t="s">
        <v>9</v>
      </c>
      <c r="G1446" s="1" t="s">
        <v>1761</v>
      </c>
      <c r="H1446" s="1" t="s">
        <v>197</v>
      </c>
      <c r="I1446" s="1" t="s">
        <v>1030</v>
      </c>
      <c r="J1446" s="1" t="s">
        <v>3129</v>
      </c>
      <c r="K1446" s="1" t="n">
        <v>23</v>
      </c>
      <c r="L1446" s="11" t="n">
        <v>0.9947158509087</v>
      </c>
      <c r="M1446" s="1" t="n">
        <f aca="false">SUMIF(Relatorio_AK!$A:$A,A1446,Relatorio_AK!$B:$B)</f>
        <v>23</v>
      </c>
      <c r="N1446" s="1" t="str">
        <f aca="false">IF(M1446=K1446,"OK","DIF")</f>
        <v>OK</v>
      </c>
      <c r="O1446" s="13" t="str">
        <f aca="false">IFERROR(VLOOKUP($A1446,Lista_Starke!$A:$E,3,0),"NÃO ESTÁ NA LISTA")</f>
        <v>DODGE: Dakota 3.7 V6 04/…
DODGE: Dakota 4.7 V8 00/…
DODGE: Ram 1500 3.7 V6 02/10
DODGE: Ram 1500 4.7 V8 02/10
JEEP: Durango 3.7 V6 04/09
JEEP: Durango 4.7 V8 00/09
JEEP: Grand Cherokee 3.7 V6 05/10
JEEP: Grand Cherokee 4.7 V8 05/10</v>
      </c>
      <c r="P1446" s="12" t="str">
        <f aca="false">IFERROR(VLOOKUP($A1446,Lista_Starke!$A:$E,2,0),"NÃO ESTÁ NA LISTA")</f>
        <v>BOMBA D'ÁGUA</v>
      </c>
    </row>
    <row r="1447" customFormat="false" ht="15" hidden="false" customHeight="true" outlineLevel="0" collapsed="false">
      <c r="A1447" s="10" t="s">
        <v>3130</v>
      </c>
      <c r="B1447" s="10" t="str">
        <f aca="false">IFERROR(VLOOKUP(A1447,Pedido!$A:$B,2,0),"")</f>
        <v/>
      </c>
      <c r="C1447" s="10" t="str">
        <f aca="false">IF(B1447="","NÃO COMPRA","COMPRA")</f>
        <v>NÃO COMPRA</v>
      </c>
      <c r="D1447" s="1" t="n">
        <f aca="false">IFERROR(VLOOKUP(A1447,Pedido!$A:$C,3,0),0)</f>
        <v>0</v>
      </c>
      <c r="E1447" s="5" t="n">
        <f aca="false">IFERROR(VLOOKUP(A1447,Pedido!$A:$E,5,0),0)</f>
        <v>0</v>
      </c>
      <c r="F1447" s="1" t="s">
        <v>9</v>
      </c>
      <c r="G1447" s="1" t="s">
        <v>3131</v>
      </c>
      <c r="H1447" s="1" t="s">
        <v>126</v>
      </c>
      <c r="I1447" s="1" t="s">
        <v>226</v>
      </c>
      <c r="J1447" s="1" t="s">
        <v>3132</v>
      </c>
      <c r="K1447" s="1" t="n">
        <v>23</v>
      </c>
      <c r="L1447" s="11" t="n">
        <v>0.99475517003814</v>
      </c>
      <c r="M1447" s="1" t="n">
        <f aca="false">SUMIF(Relatorio_AK!$A:$A,A1447,Relatorio_AK!$B:$B)</f>
        <v>23</v>
      </c>
      <c r="N1447" s="1" t="str">
        <f aca="false">IF(M1447=K1447,"OK","DIF")</f>
        <v>OK</v>
      </c>
      <c r="O1447" s="13" t="str">
        <f aca="false">IFERROR(VLOOKUP($A1447,Lista_Starke!$A:$E,3,0),"NÃO ESTÁ NA LISTA")</f>
        <v>AUDI: Q3 2.0 16V TFSI   CCZC / CULB / CPSA 11/15
AUDI: Q3 2.0 16V TFSI   CCZC / CULB / CPSA 16/18
AUDI: RS3 2.5 20V TFSI 12/16
AUDI: RSQ3 2.5 20V TFSI 14/16
AUDI: TTRS 2.5 20V TFSI 12/14
VOLKSWAGEN: Tiguan 2.0 16V TFSI CAWB / CCTA / CCZA 07/16
VOLKSWAGEN: Tiguan 2.0 16V TSI 211cv 11/18</v>
      </c>
      <c r="P1447" s="12" t="str">
        <f aca="false">IFERROR(VLOOKUP($A1447,Lista_Starke!$A:$E,2,0),"NÃO ESTÁ NA LISTA")</f>
        <v>RESFRIADOR DE ÓLEO CÂMBIO</v>
      </c>
    </row>
    <row r="1448" customFormat="false" ht="15" hidden="false" customHeight="true" outlineLevel="0" collapsed="false">
      <c r="A1448" s="10" t="s">
        <v>3133</v>
      </c>
      <c r="B1448" s="10" t="str">
        <f aca="false">IFERROR(VLOOKUP(A1448,Pedido!$A:$B,2,0),"")</f>
        <v/>
      </c>
      <c r="C1448" s="10" t="str">
        <f aca="false">IF(B1448="","NÃO COMPRA","COMPRA")</f>
        <v>NÃO COMPRA</v>
      </c>
      <c r="D1448" s="1" t="n">
        <f aca="false">IFERROR(VLOOKUP(A1448,Pedido!$A:$C,3,0),0)</f>
        <v>0</v>
      </c>
      <c r="E1448" s="5" t="n">
        <f aca="false">IFERROR(VLOOKUP(A1448,Pedido!$A:$E,5,0),0)</f>
        <v>0</v>
      </c>
      <c r="F1448" s="1" t="s">
        <v>9</v>
      </c>
      <c r="G1448" s="1" t="s">
        <v>176</v>
      </c>
      <c r="H1448" s="1" t="s">
        <v>35</v>
      </c>
      <c r="I1448" s="1" t="s">
        <v>177</v>
      </c>
      <c r="J1448" s="1" t="s">
        <v>3134</v>
      </c>
      <c r="K1448" s="1" t="n">
        <v>23</v>
      </c>
      <c r="L1448" s="11" t="n">
        <v>0.99479448916758</v>
      </c>
      <c r="M1448" s="1" t="n">
        <f aca="false">SUMIF(Relatorio_AK!$A:$A,A1448,Relatorio_AK!$B:$B)</f>
        <v>23</v>
      </c>
      <c r="N1448" s="1" t="str">
        <f aca="false">IF(M1448=K1448,"OK","DIF")</f>
        <v>OK</v>
      </c>
      <c r="O1448" s="13" t="str">
        <f aca="false">IFERROR(VLOOKUP($A1448,Lista_Starke!$A:$E,3,0),"NÃO ESTÁ NA LISTA")</f>
        <v>TOYOTA: Bandeirante OJ 50 3.7 8V 94/01
TOYOTA: Bandeirante OJ 55 3.7 8V 94/01</v>
      </c>
      <c r="P1448" s="12" t="str">
        <f aca="false">IFERROR(VLOOKUP($A1448,Lista_Starke!$A:$E,2,0),"NÃO ESTÁ NA LISTA")</f>
        <v>CILINDRO MESTRE DE FREIO</v>
      </c>
    </row>
    <row r="1449" customFormat="false" ht="15" hidden="false" customHeight="true" outlineLevel="0" collapsed="false">
      <c r="A1449" s="10" t="s">
        <v>3135</v>
      </c>
      <c r="B1449" s="10" t="str">
        <f aca="false">IFERROR(VLOOKUP(A1449,Pedido!$A:$B,2,0),"")</f>
        <v/>
      </c>
      <c r="C1449" s="10" t="str">
        <f aca="false">IF(B1449="","NÃO COMPRA","COMPRA")</f>
        <v>NÃO COMPRA</v>
      </c>
      <c r="D1449" s="1" t="n">
        <f aca="false">IFERROR(VLOOKUP(A1449,Pedido!$A:$C,3,0),0)</f>
        <v>0</v>
      </c>
      <c r="E1449" s="5" t="n">
        <f aca="false">IFERROR(VLOOKUP(A1449,Pedido!$A:$E,5,0),0)</f>
        <v>0</v>
      </c>
      <c r="F1449" s="1" t="s">
        <v>9</v>
      </c>
      <c r="G1449" s="1" t="s">
        <v>2495</v>
      </c>
      <c r="H1449" s="1" t="s">
        <v>2466</v>
      </c>
      <c r="I1449" s="1" t="s">
        <v>46</v>
      </c>
      <c r="J1449" s="1" t="s">
        <v>3136</v>
      </c>
      <c r="K1449" s="1" t="n">
        <v>23</v>
      </c>
      <c r="L1449" s="11" t="n">
        <v>0.994833808297021</v>
      </c>
      <c r="M1449" s="1" t="n">
        <f aca="false">SUMIF(Relatorio_AK!$A:$A,A1449,Relatorio_AK!$B:$B)</f>
        <v>23</v>
      </c>
      <c r="N1449" s="1" t="str">
        <f aca="false">IF(M1449=K1449,"OK","DIF")</f>
        <v>OK</v>
      </c>
      <c r="O1449" s="13" t="str">
        <f aca="false">IFERROR(VLOOKUP($A1449,Lista_Starke!$A:$E,3,0),"NÃO ESTÁ NA LISTA")</f>
        <v>FIAT: Duna 1.6 8V SEVEL Sist. Varga/Bosch 94/95
FIAT: Elba 1.5 8V FIASA Sist. Varga/Bosch 92/96
FIAT: Fiorino 1.3 8V FIASA Sist. Varga/Bosch 92/93
FIAT: Fiorino 1.5 8V FIASA Sist. Varga/Bosch 92/93
FIAT: Fiorino 1.5 8V SEVEL Sist. Varga/Bosch 92/93
FIAT: Premio 1.5 8V FIASA Sist. Varga/Bosch 92/94
FIAT: Premio 1.6 8V SEVEL Sist. Varga/Bosch 93/94
FIAT: Uno 1.5 8V FIASA Sist. ATE 93/96
FIAT: Uno 1.5 8V FIASA Sist. Bosch 93/96
FIAT: Uno 1.6R MPI 8V SEVEL Sist. ATE 93/94
FIAT: Uno Turbo 1.4 8V Turbo Sist. Bosch 94/95</v>
      </c>
      <c r="P1449" s="12" t="str">
        <f aca="false">IFERROR(VLOOKUP($A1449,Lista_Starke!$A:$E,2,0),"NÃO ESTÁ NA LISTA")</f>
        <v>SERVO FREIO</v>
      </c>
    </row>
    <row r="1450" customFormat="false" ht="15" hidden="false" customHeight="true" outlineLevel="0" collapsed="false">
      <c r="A1450" s="10" t="s">
        <v>3137</v>
      </c>
      <c r="B1450" s="10" t="str">
        <f aca="false">IFERROR(VLOOKUP(A1450,Pedido!$A:$B,2,0),"")</f>
        <v/>
      </c>
      <c r="C1450" s="10" t="str">
        <f aca="false">IF(B1450="","NÃO COMPRA","COMPRA")</f>
        <v>NÃO COMPRA</v>
      </c>
      <c r="D1450" s="1" t="n">
        <f aca="false">IFERROR(VLOOKUP(A1450,Pedido!$A:$C,3,0),0)</f>
        <v>0</v>
      </c>
      <c r="E1450" s="5" t="n">
        <f aca="false">IFERROR(VLOOKUP(A1450,Pedido!$A:$E,5,0),0)</f>
        <v>0</v>
      </c>
      <c r="F1450" s="1" t="s">
        <v>9</v>
      </c>
      <c r="G1450" s="1" t="s">
        <v>3089</v>
      </c>
      <c r="H1450" s="1" t="s">
        <v>2466</v>
      </c>
      <c r="I1450" s="1" t="s">
        <v>42</v>
      </c>
      <c r="J1450" s="1" t="s">
        <v>3138</v>
      </c>
      <c r="K1450" s="1" t="n">
        <v>23</v>
      </c>
      <c r="L1450" s="11" t="n">
        <v>0.994873127426461</v>
      </c>
      <c r="M1450" s="1" t="n">
        <f aca="false">SUMIF(Relatorio_AK!$A:$A,A1450,Relatorio_AK!$B:$B)</f>
        <v>23</v>
      </c>
      <c r="N1450" s="1" t="str">
        <f aca="false">IF(M1450=K1450,"OK","DIF")</f>
        <v>OK</v>
      </c>
      <c r="O1450" s="13" t="str">
        <f aca="false">IFERROR(VLOOKUP($A1450,Lista_Starke!$A:$E,3,0),"NÃO ESTÁ NA LISTA")</f>
        <v>RENAULT: Captur 1.6 16V SCE H4M 16/21
RENAULT: Captur 2.0 16V F4R 16/21
RENAULT: Duster 1.6 16V SCE H4M 11/21
RENAULT: Duster 2.0 16V F4R 11/21
RENAULT: Oroch 1.6 16V SCE H4M 16/21
RENAULT: Oroch 2.0 16V F4R 16/21</v>
      </c>
      <c r="P1450" s="12" t="str">
        <f aca="false">IFERROR(VLOOKUP($A1450,Lista_Starke!$A:$E,2,0),"NÃO ESTÁ NA LISTA")</f>
        <v>SERVO FREIO</v>
      </c>
    </row>
    <row r="1451" customFormat="false" ht="15" hidden="false" customHeight="true" outlineLevel="0" collapsed="false">
      <c r="A1451" s="10" t="s">
        <v>3139</v>
      </c>
      <c r="B1451" s="10" t="str">
        <f aca="false">IFERROR(VLOOKUP(A1451,Pedido!$A:$B,2,0),"")</f>
        <v/>
      </c>
      <c r="C1451" s="10" t="str">
        <f aca="false">IF(B1451="","NÃO COMPRA","COMPRA")</f>
        <v>NÃO COMPRA</v>
      </c>
      <c r="D1451" s="1" t="n">
        <f aca="false">IFERROR(VLOOKUP(A1451,Pedido!$A:$C,3,0),0)</f>
        <v>0</v>
      </c>
      <c r="E1451" s="5" t="n">
        <f aca="false">IFERROR(VLOOKUP(A1451,Pedido!$A:$E,5,0),0)</f>
        <v>0</v>
      </c>
      <c r="F1451" s="1" t="s">
        <v>9</v>
      </c>
      <c r="G1451" s="1" t="s">
        <v>2495</v>
      </c>
      <c r="H1451" s="1" t="s">
        <v>2466</v>
      </c>
      <c r="I1451" s="1" t="s">
        <v>46</v>
      </c>
      <c r="J1451" s="1" t="s">
        <v>3140</v>
      </c>
      <c r="K1451" s="1" t="n">
        <v>23</v>
      </c>
      <c r="L1451" s="11" t="n">
        <v>0.994912446555901</v>
      </c>
      <c r="M1451" s="1" t="n">
        <f aca="false">SUMIF(Relatorio_AK!$A:$A,A1451,Relatorio_AK!$B:$B)</f>
        <v>23</v>
      </c>
      <c r="N1451" s="1" t="str">
        <f aca="false">IF(M1451=K1451,"OK","DIF")</f>
        <v>OK</v>
      </c>
      <c r="O1451" s="13" t="str">
        <f aca="false">IFERROR(VLOOKUP($A1451,Lista_Starke!$A:$E,3,0),"NÃO ESTÁ NA LISTA")</f>
        <v>FIAT: Grand Siena 1.0 8V Fire EVO 17/...
FIAT: Grand Siena 1.4 8V Fire EVO 17/...
FIAT: Grand Siena 1.6 16V Etorq 17/...
FIAT: Idea 1.4 8V Fire 05/16
FIAT: Palio 1.0 8V Fire 14/16
FIAT: Palio 1.6 16V Etorq 11/17
FIAT: Palio Weekend 1.6 16V Etorq 12/16
FIAT: Palio Weekend Adventure 1.8 16V Etorq 16/...
FIAT: Palio Weekend Adventure 1.8 16V Etorq 16/17
FIAT: Palio Weekend Adventure Locker 1.8 16V Etorq 12/16
FIAT: Siena 1.0 8V Fire 12/16
FIAT: Siena 1.4 8V Fire 12/16
FIAT: Siena 1.6 16V Etorq 17/18
FIAT: Strada 1.4 8V Fire 14/...
FIAT: Strada 1.6 16V Etorq 12/15
FIAT: Strada 1.8 16V Adventure Locker 14/15
FIAT: Strada 1.8 16V Etorq Adventure 16/...
FIAT: Strada 1.8 16V Etorq Adventure Dualogic 14/15</v>
      </c>
      <c r="P1451" s="12" t="str">
        <f aca="false">IFERROR(VLOOKUP($A1451,Lista_Starke!$A:$E,2,0),"NÃO ESTÁ NA LISTA")</f>
        <v>SERVO FREIO</v>
      </c>
    </row>
    <row r="1452" customFormat="false" ht="15" hidden="false" customHeight="true" outlineLevel="0" collapsed="false">
      <c r="A1452" s="10" t="s">
        <v>3141</v>
      </c>
      <c r="B1452" s="10" t="str">
        <f aca="false">IFERROR(VLOOKUP(A1452,Pedido!$A:$B,2,0),"")</f>
        <v/>
      </c>
      <c r="C1452" s="10" t="str">
        <f aca="false">IF(B1452="","NÃO COMPRA","COMPRA")</f>
        <v>NÃO COMPRA</v>
      </c>
      <c r="D1452" s="1" t="n">
        <f aca="false">IFERROR(VLOOKUP(A1452,Pedido!$A:$C,3,0),0)</f>
        <v>0</v>
      </c>
      <c r="E1452" s="5" t="n">
        <f aca="false">IFERROR(VLOOKUP(A1452,Pedido!$A:$E,5,0),0)</f>
        <v>0</v>
      </c>
      <c r="F1452" s="1" t="s">
        <v>9</v>
      </c>
      <c r="G1452" s="1" t="s">
        <v>1878</v>
      </c>
      <c r="H1452" s="1" t="s">
        <v>1358</v>
      </c>
      <c r="I1452" s="1" t="s">
        <v>177</v>
      </c>
      <c r="J1452" s="1" t="s">
        <v>3142</v>
      </c>
      <c r="K1452" s="1" t="n">
        <v>22</v>
      </c>
      <c r="L1452" s="11" t="n">
        <v>0.994950056157975</v>
      </c>
      <c r="M1452" s="1" t="n">
        <f aca="false">SUMIF(Relatorio_AK!$A:$A,A1452,Relatorio_AK!$B:$B)</f>
        <v>22</v>
      </c>
      <c r="N1452" s="1" t="str">
        <f aca="false">IF(M1452=K1452,"OK","DIF")</f>
        <v>OK</v>
      </c>
      <c r="O1452" s="13" t="str">
        <f aca="false">IFERROR(VLOOKUP($A1452,Lista_Starke!$A:$E,3,0),"NÃO ESTÁ NA LISTA")</f>
        <v>TOYOTA: RAV 4 2.0 16V 19/...
TOYOTA: RAV 4 2.5 16V 19/...</v>
      </c>
      <c r="P1452" s="12" t="str">
        <f aca="false">IFERROR(VLOOKUP($A1452,Lista_Starke!$A:$E,2,0),"NÃO ESTÁ NA LISTA")</f>
        <v>BANDEJA INFERIOR COMPLETA LE</v>
      </c>
    </row>
    <row r="1453" customFormat="false" ht="15" hidden="false" customHeight="true" outlineLevel="0" collapsed="false">
      <c r="A1453" s="10" t="s">
        <v>3143</v>
      </c>
      <c r="B1453" s="10" t="str">
        <f aca="false">IFERROR(VLOOKUP(A1453,Pedido!$A:$B,2,0),"")</f>
        <v/>
      </c>
      <c r="C1453" s="10" t="str">
        <f aca="false">IF(B1453="","NÃO COMPRA","COMPRA")</f>
        <v>NÃO COMPRA</v>
      </c>
      <c r="D1453" s="1" t="n">
        <f aca="false">IFERROR(VLOOKUP(A1453,Pedido!$A:$C,3,0),0)</f>
        <v>0</v>
      </c>
      <c r="E1453" s="5" t="n">
        <f aca="false">IFERROR(VLOOKUP(A1453,Pedido!$A:$E,5,0),0)</f>
        <v>0</v>
      </c>
      <c r="F1453" s="1" t="s">
        <v>9</v>
      </c>
      <c r="G1453" s="1" t="s">
        <v>3144</v>
      </c>
      <c r="H1453" s="1" t="s">
        <v>197</v>
      </c>
      <c r="I1453" s="1" t="s">
        <v>1509</v>
      </c>
      <c r="J1453" s="1" t="s">
        <v>3145</v>
      </c>
      <c r="K1453" s="1" t="n">
        <v>22</v>
      </c>
      <c r="L1453" s="11" t="n">
        <v>0.994987665760048</v>
      </c>
      <c r="M1453" s="1" t="n">
        <f aca="false">SUMIF(Relatorio_AK!$A:$A,A1453,Relatorio_AK!$B:$B)</f>
        <v>22</v>
      </c>
      <c r="N1453" s="1" t="str">
        <f aca="false">IF(M1453=K1453,"OK","DIF")</f>
        <v>OK</v>
      </c>
      <c r="O1453" s="12" t="str">
        <f aca="false">IFERROR(VLOOKUP($A1453,Lista_Starke!$A:$E,3,0),"NÃO ESTÁ NA LISTA")</f>
        <v>DODGE: Ram 2500 5.9 24V 6 cil Cummins B 04/…</v>
      </c>
      <c r="P1453" s="12" t="str">
        <f aca="false">IFERROR(VLOOKUP($A1453,Lista_Starke!$A:$E,2,0),"NÃO ESTÁ NA LISTA")</f>
        <v>BOMBA D'ÁGUA</v>
      </c>
    </row>
    <row r="1454" customFormat="false" ht="15" hidden="false" customHeight="true" outlineLevel="0" collapsed="false">
      <c r="A1454" s="10" t="s">
        <v>3146</v>
      </c>
      <c r="B1454" s="10" t="str">
        <f aca="false">IFERROR(VLOOKUP(A1454,Pedido!$A:$B,2,0),"")</f>
        <v/>
      </c>
      <c r="C1454" s="10" t="str">
        <f aca="false">IF(B1454="","NÃO COMPRA","COMPRA")</f>
        <v>NÃO COMPRA</v>
      </c>
      <c r="D1454" s="1" t="n">
        <f aca="false">IFERROR(VLOOKUP(A1454,Pedido!$A:$C,3,0),0)</f>
        <v>0</v>
      </c>
      <c r="E1454" s="5" t="n">
        <f aca="false">IFERROR(VLOOKUP(A1454,Pedido!$A:$E,5,0),0)</f>
        <v>0</v>
      </c>
      <c r="F1454" s="1" t="s">
        <v>9</v>
      </c>
      <c r="G1454" s="1" t="s">
        <v>548</v>
      </c>
      <c r="H1454" s="1" t="s">
        <v>157</v>
      </c>
      <c r="I1454" s="1" t="s">
        <v>53</v>
      </c>
      <c r="K1454" s="1" t="n">
        <v>22</v>
      </c>
      <c r="L1454" s="11" t="n">
        <v>0.995025275362121</v>
      </c>
      <c r="M1454" s="1" t="n">
        <f aca="false">SUMIF(Relatorio_AK!$A:$A,A1454,Relatorio_AK!$B:$B)</f>
        <v>22</v>
      </c>
      <c r="N1454" s="1" t="str">
        <f aca="false">IF(M1454=K1454,"OK","DIF")</f>
        <v>OK</v>
      </c>
      <c r="O1454" s="13" t="str">
        <f aca="false">IFERROR(VLOOKUP($A1454,Lista_Starke!$A:$E,3,0),"NÃO ESTÁ NA LISTA")</f>
        <v>FORD: F150 4.9 V6 99/...
FORD: F250 4.9 V6 99/...
FORD: F350 4.9 V6 99/...</v>
      </c>
      <c r="P1454" s="12" t="str">
        <f aca="false">IFERROR(VLOOKUP($A1454,Lista_Starke!$A:$E,2,0),"NÃO ESTÁ NA LISTA")</f>
        <v>ATUADOR DE EMBREAGEM</v>
      </c>
    </row>
    <row r="1455" customFormat="false" ht="15" hidden="false" customHeight="true" outlineLevel="0" collapsed="false">
      <c r="A1455" s="10" t="s">
        <v>3147</v>
      </c>
      <c r="B1455" s="10" t="str">
        <f aca="false">IFERROR(VLOOKUP(A1455,Pedido!$A:$B,2,0),"")</f>
        <v/>
      </c>
      <c r="C1455" s="10" t="str">
        <f aca="false">IF(B1455="","NÃO COMPRA","COMPRA")</f>
        <v>NÃO COMPRA</v>
      </c>
      <c r="D1455" s="1" t="n">
        <f aca="false">IFERROR(VLOOKUP(A1455,Pedido!$A:$C,3,0),0)</f>
        <v>0</v>
      </c>
      <c r="E1455" s="5" t="n">
        <f aca="false">IFERROR(VLOOKUP(A1455,Pedido!$A:$E,5,0),0)</f>
        <v>0</v>
      </c>
      <c r="F1455" s="1" t="s">
        <v>9</v>
      </c>
      <c r="G1455" s="1" t="s">
        <v>2066</v>
      </c>
      <c r="H1455" s="1" t="s">
        <v>197</v>
      </c>
      <c r="I1455" s="1" t="s">
        <v>1315</v>
      </c>
      <c r="K1455" s="1" t="n">
        <v>22</v>
      </c>
      <c r="L1455" s="11" t="n">
        <v>0.995062884964195</v>
      </c>
      <c r="M1455" s="1" t="n">
        <f aca="false">SUMIF(Relatorio_AK!$A:$A,A1455,Relatorio_AK!$B:$B)</f>
        <v>22</v>
      </c>
      <c r="N1455" s="1" t="str">
        <f aca="false">IF(M1455=K1455,"OK","DIF")</f>
        <v>OK</v>
      </c>
      <c r="O1455" s="13" t="str">
        <f aca="false">IFERROR(VLOOKUP($A1455,Lista_Starke!$A:$E,3,0),"NÃO ESTÁ NA LISTA")</f>
        <v>CHRYSLER: 300C 5.7 V8 05/10
CHRYSLER: 300C 6.1 V8 05/10
DODGE: Charger 5.7 V8 06/10
DODGE: Charger 6.1 V8 06/10
JEEP: Grand Cherokee 5.7 V8 05/10
JEEP: Grand Cherokee 6.1 V8 05/10</v>
      </c>
      <c r="P1455" s="12" t="str">
        <f aca="false">IFERROR(VLOOKUP($A1455,Lista_Starke!$A:$E,2,0),"NÃO ESTÁ NA LISTA")</f>
        <v>BOMBA D'ÁGUA</v>
      </c>
    </row>
    <row r="1456" customFormat="false" ht="15" hidden="false" customHeight="true" outlineLevel="0" collapsed="false">
      <c r="A1456" s="10" t="s">
        <v>3148</v>
      </c>
      <c r="B1456" s="10" t="str">
        <f aca="false">IFERROR(VLOOKUP(A1456,Pedido!$A:$B,2,0),"")</f>
        <v/>
      </c>
      <c r="C1456" s="10" t="str">
        <f aca="false">IF(B1456="","NÃO COMPRA","COMPRA")</f>
        <v>NÃO COMPRA</v>
      </c>
      <c r="D1456" s="1" t="n">
        <f aca="false">IFERROR(VLOOKUP(A1456,Pedido!$A:$C,3,0),0)</f>
        <v>0</v>
      </c>
      <c r="E1456" s="5" t="n">
        <f aca="false">IFERROR(VLOOKUP(A1456,Pedido!$A:$E,5,0),0)</f>
        <v>0</v>
      </c>
      <c r="F1456" s="1" t="s">
        <v>9</v>
      </c>
      <c r="G1456" s="1" t="s">
        <v>971</v>
      </c>
      <c r="H1456" s="1" t="s">
        <v>157</v>
      </c>
      <c r="I1456" s="1" t="s">
        <v>613</v>
      </c>
      <c r="J1456" s="1" t="s">
        <v>3149</v>
      </c>
      <c r="K1456" s="1" t="n">
        <v>22</v>
      </c>
      <c r="L1456" s="11" t="n">
        <v>0.995100494566268</v>
      </c>
      <c r="M1456" s="1" t="n">
        <f aca="false">SUMIF(Relatorio_AK!$A:$A,A1456,Relatorio_AK!$B:$B)</f>
        <v>22</v>
      </c>
      <c r="N1456" s="1" t="str">
        <f aca="false">IF(M1456=K1456,"OK","DIF")</f>
        <v>OK</v>
      </c>
      <c r="O1456" s="13" t="str">
        <f aca="false">IFERROR(VLOOKUP($A1456,Lista_Starke!$A:$E,3,0),"NÃO ESTÁ NA LISTA")</f>
        <v>FIAT: Doblo 1.8 16V E Torq 11/…
FIAT: Doblo 1.8 8V Powertrain 04/10
FIAT: Idea 1.8 16V E Torq 11/…
FIAT: Idea 1.8 8V Powertrain 06/10
FIAT: Palio 1.8 16V E Torq 11/…
FIAT: Palio 1.8 8V Powertrain 03/10
FIAT: Palio Weekend 1.8 16V E Torq 11/…
FIAT: Palio Weekend 1.8 8V Powertrain 03/10
FIAT: Punto 1.6 16V E Torq 11/…
FIAT: Punto 1.8 16V E Torq 11/…
FIAT: Punto 1.8 8V Powertrain 08/10
FIAT: Siena 1.8 16V E Torq 11/…
FIAT: Siena 1.8 8V Powertrain 03/10
FIAT: Strada 1.8 16V E Torq 11/…
GM: Stilo 1.8 8V Powertrain 03/11
GM: Strada 1.8 8V Powertrain 03/10</v>
      </c>
      <c r="P1456" s="12" t="str">
        <f aca="false">IFERROR(VLOOKUP($A1456,Lista_Starke!$A:$E,2,0),"NÃO ESTÁ NA LISTA")</f>
        <v>ATUADOR DE EMBREAGEM</v>
      </c>
    </row>
    <row r="1457" customFormat="false" ht="15" hidden="false" customHeight="true" outlineLevel="0" collapsed="false">
      <c r="A1457" s="10" t="s">
        <v>3150</v>
      </c>
      <c r="B1457" s="10" t="str">
        <f aca="false">IFERROR(VLOOKUP(A1457,Pedido!$A:$B,2,0),"")</f>
        <v/>
      </c>
      <c r="C1457" s="10" t="str">
        <f aca="false">IF(B1457="","NÃO COMPRA","COMPRA")</f>
        <v>NÃO COMPRA</v>
      </c>
      <c r="D1457" s="1" t="n">
        <f aca="false">IFERROR(VLOOKUP(A1457,Pedido!$A:$C,3,0),0)</f>
        <v>0</v>
      </c>
      <c r="E1457" s="5" t="n">
        <f aca="false">IFERROR(VLOOKUP(A1457,Pedido!$A:$E,5,0),0)</f>
        <v>0</v>
      </c>
      <c r="F1457" s="1" t="s">
        <v>9</v>
      </c>
      <c r="G1457" s="1" t="s">
        <v>3151</v>
      </c>
      <c r="H1457" s="1" t="s">
        <v>1714</v>
      </c>
      <c r="I1457" s="1" t="s">
        <v>396</v>
      </c>
      <c r="J1457" s="1" t="s">
        <v>3152</v>
      </c>
      <c r="K1457" s="1" t="n">
        <v>22</v>
      </c>
      <c r="L1457" s="11" t="n">
        <v>0.995138104168341</v>
      </c>
      <c r="M1457" s="1" t="n">
        <f aca="false">SUMIF(Relatorio_AK!$A:$A,A1457,Relatorio_AK!$B:$B)</f>
        <v>22</v>
      </c>
      <c r="N1457" s="1" t="str">
        <f aca="false">IF(M1457=K1457,"OK","DIF")</f>
        <v>OK</v>
      </c>
      <c r="O1457" s="13" t="str">
        <f aca="false">IFERROR(VLOOKUP($A1457,Lista_Starke!$A:$E,3,0),"NÃO ESTÁ NA LISTA")</f>
        <v>GM: Tracker 2.0 16V J20A gasolina 99/…
SUZUKI: Grand Vitara 2.0 16V J20A gasolina 06/…
SUZUKI: Grand Vitara 2.0 16V J20A gasolina 98/…
SUZUKI: Vitara 2.0 16V J20A gasolina 97/…</v>
      </c>
      <c r="P1457" s="12" t="str">
        <f aca="false">IFERROR(VLOOKUP($A1457,Lista_Starke!$A:$E,2,0),"NÃO ESTÁ NA LISTA")</f>
        <v>POLIA VISCOSA</v>
      </c>
    </row>
    <row r="1458" customFormat="false" ht="15" hidden="false" customHeight="true" outlineLevel="0" collapsed="false">
      <c r="A1458" s="10" t="s">
        <v>3153</v>
      </c>
      <c r="B1458" s="10" t="str">
        <f aca="false">IFERROR(VLOOKUP(A1458,Pedido!$A:$B,2,0),"")</f>
        <v/>
      </c>
      <c r="C1458" s="10" t="str">
        <f aca="false">IF(B1458="","NÃO COMPRA","COMPRA")</f>
        <v>NÃO COMPRA</v>
      </c>
      <c r="D1458" s="1" t="n">
        <f aca="false">IFERROR(VLOOKUP(A1458,Pedido!$A:$C,3,0),0)</f>
        <v>0</v>
      </c>
      <c r="E1458" s="5" t="n">
        <f aca="false">IFERROR(VLOOKUP(A1458,Pedido!$A:$E,5,0),0)</f>
        <v>0</v>
      </c>
      <c r="F1458" s="1" t="s">
        <v>9</v>
      </c>
      <c r="G1458" s="1" t="s">
        <v>1783</v>
      </c>
      <c r="H1458" s="1" t="s">
        <v>1073</v>
      </c>
      <c r="I1458" s="1" t="s">
        <v>373</v>
      </c>
      <c r="J1458" s="1" t="s">
        <v>3154</v>
      </c>
      <c r="K1458" s="1" t="n">
        <v>22</v>
      </c>
      <c r="L1458" s="11" t="n">
        <v>0.995175713770415</v>
      </c>
      <c r="M1458" s="1" t="n">
        <f aca="false">SUMIF(Relatorio_AK!$A:$A,A1458,Relatorio_AK!$B:$B)</f>
        <v>22</v>
      </c>
      <c r="N1458" s="1" t="str">
        <f aca="false">IF(M1458=K1458,"OK","DIF")</f>
        <v>OK</v>
      </c>
      <c r="O1458" s="13" t="str">
        <f aca="false">IFERROR(VLOOKUP($A1458,Lista_Starke!$A:$E,3,0),"NÃO ESTÁ NA LISTA")</f>
        <v>MERCEDES-BENZ: C300 (W204) 3.5 6 cil. M276.957 11/14
MERCEDES-BENZ: C350 (W204) 3.5 6 cil. M276.957 11/14
MERCEDES-BENZ: E300 (W212) 3.5 6 cil. M276.952 11/15
MERCEDES-BENZ: E350 (W212) 3.5 6 cil. M276.952 11/15
MERCEDES-BENZ: GLK 350 (X204) 3.5 6 cil. M276.957 08/15
MERCEDES-BENZ: ML350 (W166) 3.5 6 cil. M276.955 11/15</v>
      </c>
      <c r="P1458" s="12" t="str">
        <f aca="false">IFERROR(VLOOKUP($A1458,Lista_Starke!$A:$E,2,0),"NÃO ESTÁ NA LISTA")</f>
        <v>VÁLVULA TERMOSTÁTICA</v>
      </c>
    </row>
    <row r="1459" customFormat="false" ht="15" hidden="false" customHeight="true" outlineLevel="0" collapsed="false">
      <c r="A1459" s="10" t="s">
        <v>3155</v>
      </c>
      <c r="B1459" s="10" t="str">
        <f aca="false">IFERROR(VLOOKUP(A1459,Pedido!$A:$B,2,0),"")</f>
        <v/>
      </c>
      <c r="C1459" s="10" t="str">
        <f aca="false">IF(B1459="","NÃO COMPRA","COMPRA")</f>
        <v>NÃO COMPRA</v>
      </c>
      <c r="D1459" s="1" t="n">
        <f aca="false">IFERROR(VLOOKUP(A1459,Pedido!$A:$C,3,0),0)</f>
        <v>0</v>
      </c>
      <c r="E1459" s="5" t="n">
        <f aca="false">IFERROR(VLOOKUP(A1459,Pedido!$A:$E,5,0),0)</f>
        <v>0</v>
      </c>
      <c r="F1459" s="1" t="s">
        <v>9</v>
      </c>
      <c r="G1459" s="1" t="s">
        <v>2844</v>
      </c>
      <c r="H1459" s="1" t="s">
        <v>1073</v>
      </c>
      <c r="I1459" s="1" t="s">
        <v>2088</v>
      </c>
      <c r="J1459" s="1" t="s">
        <v>3156</v>
      </c>
      <c r="K1459" s="1" t="n">
        <v>22</v>
      </c>
      <c r="L1459" s="11" t="n">
        <v>0.995213323372488</v>
      </c>
      <c r="M1459" s="1" t="n">
        <f aca="false">SUMIF(Relatorio_AK!$A:$A,A1459,Relatorio_AK!$B:$B)</f>
        <v>22</v>
      </c>
      <c r="N1459" s="1" t="str">
        <f aca="false">IF(M1459=K1459,"OK","DIF")</f>
        <v>OK</v>
      </c>
      <c r="O1459" s="13" t="str">
        <f aca="false">IFERROR(VLOOKUP($A1459,Lista_Starke!$A:$E,3,0),"NÃO ESTÁ NA LISTA")</f>
        <v>AUDI: RS6 4.0 TFSI 8 cil. Hybrid DJPB / DWLA / DYGB 19/...
AUDI: RS7 4.0 TFSI 8 cil. Hybrid DJPB / DWLA / DYGB 19/...
AUDI: RSQ8 4.0 TFSI 8 cil. Hybrid DHUB 19/...
AUDI: SQ8 4.0 TFSI 8 cil. DCUE 20/...
PORSCHE: Cayenne Turbo 4.0 8 cil. MDC.UA 17/...
PORSCHE: Panamera E-Hybrid 4.0 8 cil. MCV.DA 17/23
PORSCHE: Panamera Turbo 4.0 8 cil. MCV.DA 16/23
PORSCHE: Panamera Turbo S 4.0 8 cil. DTCA 20/23</v>
      </c>
      <c r="P1459" s="12" t="str">
        <f aca="false">IFERROR(VLOOKUP($A1459,Lista_Starke!$A:$E,2,0),"NÃO ESTÁ NA LISTA")</f>
        <v>VÁLVULA TERMOSTÁTICA</v>
      </c>
    </row>
    <row r="1460" customFormat="false" ht="15" hidden="false" customHeight="true" outlineLevel="0" collapsed="false">
      <c r="A1460" s="10" t="s">
        <v>3157</v>
      </c>
      <c r="B1460" s="10" t="str">
        <f aca="false">IFERROR(VLOOKUP(A1460,Pedido!$A:$B,2,0),"")</f>
        <v/>
      </c>
      <c r="C1460" s="10" t="str">
        <f aca="false">IF(B1460="","NÃO COMPRA","COMPRA")</f>
        <v>NÃO COMPRA</v>
      </c>
      <c r="D1460" s="1" t="n">
        <f aca="false">IFERROR(VLOOKUP(A1460,Pedido!$A:$C,3,0),0)</f>
        <v>0</v>
      </c>
      <c r="E1460" s="5" t="n">
        <f aca="false">IFERROR(VLOOKUP(A1460,Pedido!$A:$E,5,0),0)</f>
        <v>0</v>
      </c>
      <c r="F1460" s="1" t="s">
        <v>9</v>
      </c>
      <c r="G1460" s="1" t="s">
        <v>56</v>
      </c>
      <c r="H1460" s="1" t="s">
        <v>35</v>
      </c>
      <c r="I1460" s="1" t="s">
        <v>57</v>
      </c>
      <c r="J1460" s="1" t="s">
        <v>3158</v>
      </c>
      <c r="K1460" s="1" t="n">
        <v>22</v>
      </c>
      <c r="L1460" s="11" t="n">
        <v>0.995250932974561</v>
      </c>
      <c r="M1460" s="1" t="n">
        <f aca="false">SUMIF(Relatorio_AK!$A:$A,A1460,Relatorio_AK!$B:$B)</f>
        <v>22</v>
      </c>
      <c r="N1460" s="1" t="str">
        <f aca="false">IF(M1460=K1460,"OK","DIF")</f>
        <v>OK</v>
      </c>
      <c r="O1460" s="13" t="str">
        <f aca="false">IFERROR(VLOOKUP($A1460,Lista_Starke!$A:$E,3,0),"NÃO ESTÁ NA LISTA")</f>
        <v>GM: Corsa 1.0 8V 94/98
GM: Corsa 1.4 8V 94/98
GM: Corsa 1.6 16V 94/98
GM: Corsa 1.6 8V 94/98</v>
      </c>
      <c r="P1460" s="12" t="str">
        <f aca="false">IFERROR(VLOOKUP($A1460,Lista_Starke!$A:$E,2,0),"NÃO ESTÁ NA LISTA")</f>
        <v>CILINDRO MESTRE DE FREIO</v>
      </c>
    </row>
    <row r="1461" customFormat="false" ht="15" hidden="false" customHeight="true" outlineLevel="0" collapsed="false">
      <c r="A1461" s="10" t="s">
        <v>3159</v>
      </c>
      <c r="B1461" s="10" t="str">
        <f aca="false">IFERROR(VLOOKUP(A1461,Pedido!$A:$B,2,0),"")</f>
        <v/>
      </c>
      <c r="C1461" s="10" t="str">
        <f aca="false">IF(B1461="","NÃO COMPRA","COMPRA")</f>
        <v>NÃO COMPRA</v>
      </c>
      <c r="D1461" s="1" t="n">
        <f aca="false">IFERROR(VLOOKUP(A1461,Pedido!$A:$C,3,0),0)</f>
        <v>0</v>
      </c>
      <c r="E1461" s="5" t="n">
        <f aca="false">IFERROR(VLOOKUP(A1461,Pedido!$A:$E,5,0),0)</f>
        <v>0</v>
      </c>
      <c r="F1461" s="1" t="s">
        <v>9</v>
      </c>
      <c r="G1461" s="1" t="s">
        <v>1189</v>
      </c>
      <c r="H1461" s="1" t="s">
        <v>88</v>
      </c>
      <c r="I1461" s="1" t="s">
        <v>57</v>
      </c>
      <c r="J1461" s="1" t="s">
        <v>3160</v>
      </c>
      <c r="K1461" s="1" t="n">
        <v>22</v>
      </c>
      <c r="L1461" s="11" t="n">
        <v>0.995288542576635</v>
      </c>
      <c r="M1461" s="1" t="n">
        <f aca="false">SUMIF(Relatorio_AK!$A:$A,A1461,Relatorio_AK!$B:$B)</f>
        <v>22</v>
      </c>
      <c r="N1461" s="1" t="str">
        <f aca="false">IF(M1461=K1461,"OK","DIF")</f>
        <v>OK</v>
      </c>
      <c r="O1461" s="13" t="str">
        <f aca="false">IFERROR(VLOOKUP($A1461,Lista_Starke!$A:$E,3,0),"NÃO ESTÁ NA LISTA")</f>
        <v>GM: 3500 HD 4.2 18V 6 cil. 97/99
GM: A20 4.0 8V 4 cil. 92/96
GM: Bonanza 4.0 8V 4 cil. 92/96
GM: C20 4.1 12V 6 cil. 92/96
GM: D20 4.0 8V 4 cil. 92/96
GM: Grand Blazer 4.1 12V 6 cil 98/99
GM: Silverado 4.1 12V 6 cil. 96/01
GM: Veraneio 4.0 8V 4 cil. 92/96</v>
      </c>
      <c r="P1461" s="12" t="str">
        <f aca="false">IFERROR(VLOOKUP($A1461,Lista_Starke!$A:$E,2,0),"NÃO ESTÁ NA LISTA")</f>
        <v>CILINDRO DE RODA LE</v>
      </c>
    </row>
    <row r="1462" customFormat="false" ht="15" hidden="false" customHeight="true" outlineLevel="0" collapsed="false">
      <c r="A1462" s="10" t="s">
        <v>3161</v>
      </c>
      <c r="B1462" s="10" t="str">
        <f aca="false">IFERROR(VLOOKUP(A1462,Pedido!$A:$B,2,0),"")</f>
        <v/>
      </c>
      <c r="C1462" s="10" t="str">
        <f aca="false">IF(B1462="","NÃO COMPRA","COMPRA")</f>
        <v>NÃO COMPRA</v>
      </c>
      <c r="D1462" s="1" t="n">
        <f aca="false">IFERROR(VLOOKUP(A1462,Pedido!$A:$C,3,0),0)</f>
        <v>0</v>
      </c>
      <c r="E1462" s="5" t="n">
        <f aca="false">IFERROR(VLOOKUP(A1462,Pedido!$A:$E,5,0),0)</f>
        <v>0</v>
      </c>
      <c r="F1462" s="1" t="s">
        <v>9</v>
      </c>
      <c r="G1462" s="1" t="s">
        <v>3066</v>
      </c>
      <c r="H1462" s="1" t="s">
        <v>2466</v>
      </c>
      <c r="I1462" s="1" t="s">
        <v>53</v>
      </c>
      <c r="J1462" s="1" t="s">
        <v>3162</v>
      </c>
      <c r="K1462" s="1" t="n">
        <v>22</v>
      </c>
      <c r="L1462" s="11" t="n">
        <v>0.995326152178708</v>
      </c>
      <c r="M1462" s="1" t="n">
        <f aca="false">SUMIF(Relatorio_AK!$A:$A,A1462,Relatorio_AK!$B:$B)</f>
        <v>22</v>
      </c>
      <c r="N1462" s="1" t="str">
        <f aca="false">IF(M1462=K1462,"OK","DIF")</f>
        <v>OK</v>
      </c>
      <c r="O1462" s="13" t="str">
        <f aca="false">IFERROR(VLOOKUP($A1462,Lista_Starke!$A:$E,3,0),"NÃO ESTÁ NA LISTA")</f>
        <v>FORD: Belina II 1.6 8V CHT 83/89
FORD: Corcel II 1.6 8V CHT 80/83
FORD: Del Rey 1.6 8V CHT 81/89
FORD: Del Rey 1.8 8V AP 89/91
FORD: Pampa 1.6 8V AP 93/96
FORD: Pampa 1.6 8V CHT 83/89
FORD: Pampa 1.8 8V AP 93/97</v>
      </c>
      <c r="P1462" s="12" t="str">
        <f aca="false">IFERROR(VLOOKUP($A1462,Lista_Starke!$A:$E,2,0),"NÃO ESTÁ NA LISTA")</f>
        <v>SERVO FREIO</v>
      </c>
    </row>
    <row r="1463" customFormat="false" ht="15" hidden="false" customHeight="true" outlineLevel="0" collapsed="false">
      <c r="A1463" s="10" t="s">
        <v>3163</v>
      </c>
      <c r="B1463" s="10" t="str">
        <f aca="false">IFERROR(VLOOKUP(A1463,Pedido!$A:$B,2,0),"")</f>
        <v/>
      </c>
      <c r="C1463" s="10" t="str">
        <f aca="false">IF(B1463="","NÃO COMPRA","COMPRA")</f>
        <v>NÃO COMPRA</v>
      </c>
      <c r="D1463" s="1" t="n">
        <f aca="false">IFERROR(VLOOKUP(A1463,Pedido!$A:$C,3,0),0)</f>
        <v>0</v>
      </c>
      <c r="E1463" s="5" t="n">
        <f aca="false">IFERROR(VLOOKUP(A1463,Pedido!$A:$E,5,0),0)</f>
        <v>0</v>
      </c>
      <c r="F1463" s="1" t="s">
        <v>9</v>
      </c>
      <c r="G1463" s="1" t="s">
        <v>2659</v>
      </c>
      <c r="H1463" s="1" t="s">
        <v>2466</v>
      </c>
      <c r="I1463" s="1" t="s">
        <v>36</v>
      </c>
      <c r="J1463" s="1" t="s">
        <v>3164</v>
      </c>
      <c r="K1463" s="1" t="n">
        <v>22</v>
      </c>
      <c r="L1463" s="11" t="n">
        <v>0.995363761780781</v>
      </c>
      <c r="M1463" s="1" t="n">
        <f aca="false">SUMIF(Relatorio_AK!$A:$A,A1463,Relatorio_AK!$B:$B)</f>
        <v>22</v>
      </c>
      <c r="N1463" s="1" t="str">
        <f aca="false">IF(M1463=K1463,"OK","DIF")</f>
        <v>OK</v>
      </c>
      <c r="O1463" s="13" t="str">
        <f aca="false">IFERROR(VLOOKUP($A1463,Lista_Starke!$A:$E,3,0),"NÃO ESTÁ NA LISTA")</f>
        <v>VOLKSWAGEN: Crossfox 1.6 8V EA111 05/14
VOLKSWAGEN: Fox 1.0 12V 3 cil. EA111 13/14
VOLKSWAGEN: Fox 1.0 8V EA111 03/13
VOLKSWAGEN: Fox 1.0 8V EA111 05/08
VOLKSWAGEN: Fox 1.0 8V EA111 13/14
VOLKSWAGEN: Fox 1.6 8V EA111 03/05
VOLKSWAGEN: Fox 1.6 8V EA111 05/08
VOLKSWAGEN: Fox 1.6 8V EA111 08/15
VOLKSWAGEN: Gol 1.0 8V EA111 08/13
VOLKSWAGEN: Gol 1.6 8V EA111 11/14
VOLKSWAGEN: Gol 1.6 8V Power EA111 08/12
VOLKSWAGEN: Saveiro 1.6 8V EA111 09/13
VOLKSWAGEN: Voyage 1.6 8V EA111 08/16</v>
      </c>
      <c r="P1463" s="12" t="str">
        <f aca="false">IFERROR(VLOOKUP($A1463,Lista_Starke!$A:$E,2,0),"NÃO ESTÁ NA LISTA")</f>
        <v>SERVO FREIO</v>
      </c>
    </row>
    <row r="1464" customFormat="false" ht="15" hidden="false" customHeight="true" outlineLevel="0" collapsed="false">
      <c r="A1464" s="10" t="s">
        <v>3165</v>
      </c>
      <c r="B1464" s="10" t="str">
        <f aca="false">IFERROR(VLOOKUP(A1464,Pedido!$A:$B,2,0),"")</f>
        <v/>
      </c>
      <c r="C1464" s="10" t="str">
        <f aca="false">IF(B1464="","NÃO COMPRA","COMPRA")</f>
        <v>NÃO COMPRA</v>
      </c>
      <c r="D1464" s="1" t="n">
        <f aca="false">IFERROR(VLOOKUP(A1464,Pedido!$A:$C,3,0),0)</f>
        <v>0</v>
      </c>
      <c r="E1464" s="5" t="n">
        <f aca="false">IFERROR(VLOOKUP(A1464,Pedido!$A:$E,5,0),0)</f>
        <v>0</v>
      </c>
      <c r="F1464" s="1" t="s">
        <v>9</v>
      </c>
      <c r="G1464" s="1" t="s">
        <v>3166</v>
      </c>
      <c r="H1464" s="1" t="s">
        <v>1951</v>
      </c>
      <c r="I1464" s="1" t="s">
        <v>2907</v>
      </c>
      <c r="K1464" s="1" t="n">
        <v>21</v>
      </c>
      <c r="L1464" s="11" t="n">
        <v>0.995399661855488</v>
      </c>
      <c r="M1464" s="1" t="n">
        <f aca="false">SUMIF(Relatorio_AK!$A:$A,A1464,Relatorio_AK!$B:$B)</f>
        <v>21</v>
      </c>
      <c r="N1464" s="1" t="str">
        <f aca="false">IF(M1464=K1464,"OK","DIF")</f>
        <v>OK</v>
      </c>
      <c r="O1464" s="13" t="str">
        <f aca="false">IFERROR(VLOOKUP($A1464,Lista_Starke!$A:$E,3,0),"NÃO ESTÁ NA LISTA")</f>
        <v>AUDI: A4 2.0 TFSI 16/21
AUDI: A4 Avant 2.0 TFSI 16/21
AUDI: A5 2.0 TFSI 17/21</v>
      </c>
      <c r="P1464" s="12" t="str">
        <f aca="false">IFERROR(VLOOKUP($A1464,Lista_Starke!$A:$E,2,0),"NÃO ESTÁ NA LISTA")</f>
        <v>KIT BRAÇO OSCILANTE DIANT SUP/INF COMPLETO LE/LD</v>
      </c>
    </row>
    <row r="1465" customFormat="false" ht="15" hidden="false" customHeight="true" outlineLevel="0" collapsed="false">
      <c r="A1465" s="10" t="s">
        <v>3167</v>
      </c>
      <c r="B1465" s="10" t="str">
        <f aca="false">IFERROR(VLOOKUP(A1465,Pedido!$A:$B,2,0),"")</f>
        <v/>
      </c>
      <c r="C1465" s="10" t="str">
        <f aca="false">IF(B1465="","NÃO COMPRA","COMPRA")</f>
        <v>NÃO COMPRA</v>
      </c>
      <c r="D1465" s="1" t="n">
        <f aca="false">IFERROR(VLOOKUP(A1465,Pedido!$A:$C,3,0),0)</f>
        <v>0</v>
      </c>
      <c r="E1465" s="5" t="n">
        <f aca="false">IFERROR(VLOOKUP(A1465,Pedido!$A:$E,5,0),0)</f>
        <v>0</v>
      </c>
      <c r="F1465" s="1" t="s">
        <v>9</v>
      </c>
      <c r="G1465" s="1" t="s">
        <v>1909</v>
      </c>
      <c r="H1465" s="1" t="s">
        <v>1358</v>
      </c>
      <c r="I1465" s="1" t="s">
        <v>172</v>
      </c>
      <c r="J1465" s="1" t="s">
        <v>3168</v>
      </c>
      <c r="K1465" s="1" t="n">
        <v>21</v>
      </c>
      <c r="L1465" s="11" t="n">
        <v>0.995435561930194</v>
      </c>
      <c r="M1465" s="1" t="n">
        <f aca="false">SUMIF(Relatorio_AK!$A:$A,A1465,Relatorio_AK!$B:$B)</f>
        <v>21</v>
      </c>
      <c r="N1465" s="1" t="str">
        <f aca="false">IF(M1465=K1465,"OK","DIF")</f>
        <v>OK</v>
      </c>
      <c r="O1465" s="13" t="str">
        <f aca="false">IFERROR(VLOOKUP($A1465,Lista_Starke!$A:$E,3,0),"NÃO ESTÁ NA LISTA")</f>
        <v>HYUNDAI: New Tucson  17/21
KIA: Sportage  16/21</v>
      </c>
      <c r="P1465" s="12" t="str">
        <f aca="false">IFERROR(VLOOKUP($A1465,Lista_Starke!$A:$E,2,0),"NÃO ESTÁ NA LISTA")</f>
        <v>BANDEJA INFERIOR COMPLETA LE</v>
      </c>
    </row>
    <row r="1466" customFormat="false" ht="15" hidden="false" customHeight="true" outlineLevel="0" collapsed="false">
      <c r="A1466" s="10" t="s">
        <v>3169</v>
      </c>
      <c r="B1466" s="10" t="str">
        <f aca="false">IFERROR(VLOOKUP(A1466,Pedido!$A:$B,2,0),"")</f>
        <v/>
      </c>
      <c r="C1466" s="10" t="str">
        <f aca="false">IF(B1466="","NÃO COMPRA","COMPRA")</f>
        <v>NÃO COMPRA</v>
      </c>
      <c r="D1466" s="1" t="n">
        <f aca="false">IFERROR(VLOOKUP(A1466,Pedido!$A:$C,3,0),0)</f>
        <v>0</v>
      </c>
      <c r="E1466" s="5" t="n">
        <f aca="false">IFERROR(VLOOKUP(A1466,Pedido!$A:$E,5,0),0)</f>
        <v>0</v>
      </c>
      <c r="F1466" s="1" t="s">
        <v>9</v>
      </c>
      <c r="G1466" s="1" t="s">
        <v>2816</v>
      </c>
      <c r="H1466" s="1" t="s">
        <v>197</v>
      </c>
      <c r="I1466" s="1" t="s">
        <v>53</v>
      </c>
      <c r="K1466" s="1" t="n">
        <v>21</v>
      </c>
      <c r="L1466" s="11" t="n">
        <v>0.9954714620049</v>
      </c>
      <c r="M1466" s="1" t="n">
        <f aca="false">SUMIF(Relatorio_AK!$A:$A,A1466,Relatorio_AK!$B:$B)</f>
        <v>21</v>
      </c>
      <c r="N1466" s="1" t="str">
        <f aca="false">IF(M1466=K1466,"OK","DIF")</f>
        <v>OK</v>
      </c>
      <c r="O1466" s="12" t="str">
        <f aca="false">IFERROR(VLOOKUP($A1466,Lista_Starke!$A:$E,3,0),"NÃO ESTÁ NA LISTA")</f>
        <v>FORD: Mustang 3.7 V6 11/17</v>
      </c>
      <c r="P1466" s="12" t="str">
        <f aca="false">IFERROR(VLOOKUP($A1466,Lista_Starke!$A:$E,2,0),"NÃO ESTÁ NA LISTA")</f>
        <v>BOMBA D'ÁGUA</v>
      </c>
    </row>
    <row r="1467" customFormat="false" ht="15" hidden="false" customHeight="true" outlineLevel="0" collapsed="false">
      <c r="A1467" s="10" t="s">
        <v>3170</v>
      </c>
      <c r="B1467" s="10" t="str">
        <f aca="false">IFERROR(VLOOKUP(A1467,Pedido!$A:$B,2,0),"")</f>
        <v/>
      </c>
      <c r="C1467" s="10" t="str">
        <f aca="false">IF(B1467="","NÃO COMPRA","COMPRA")</f>
        <v>NÃO COMPRA</v>
      </c>
      <c r="D1467" s="1" t="n">
        <f aca="false">IFERROR(VLOOKUP(A1467,Pedido!$A:$C,3,0),0)</f>
        <v>0</v>
      </c>
      <c r="E1467" s="5" t="n">
        <f aca="false">IFERROR(VLOOKUP(A1467,Pedido!$A:$E,5,0),0)</f>
        <v>0</v>
      </c>
      <c r="F1467" s="1" t="s">
        <v>9</v>
      </c>
      <c r="G1467" s="1" t="s">
        <v>2964</v>
      </c>
      <c r="H1467" s="1" t="s">
        <v>197</v>
      </c>
      <c r="I1467" s="1" t="s">
        <v>396</v>
      </c>
      <c r="J1467" s="1" t="s">
        <v>3171</v>
      </c>
      <c r="K1467" s="1" t="n">
        <v>21</v>
      </c>
      <c r="L1467" s="11" t="n">
        <v>0.995507362079607</v>
      </c>
      <c r="M1467" s="1" t="n">
        <f aca="false">SUMIF(Relatorio_AK!$A:$A,A1467,Relatorio_AK!$B:$B)</f>
        <v>21</v>
      </c>
      <c r="N1467" s="1" t="str">
        <f aca="false">IF(M1467=K1467,"OK","DIF")</f>
        <v>OK</v>
      </c>
      <c r="O1467" s="13" t="str">
        <f aca="false">IFERROR(VLOOKUP($A1467,Lista_Starke!$A:$E,3,0),"NÃO ESTÁ NA LISTA")</f>
        <v>GM: Tracker 2.5 V6 24V 4x4 H25A 04/...
SUZUKI: Grand Vitara 2.5 V6 24V 4x4 H25A 98/03
SUZUKI: Grand Vitara 2.7 V6 24V 4x4 H27A 01/05</v>
      </c>
      <c r="P1467" s="12" t="str">
        <f aca="false">IFERROR(VLOOKUP($A1467,Lista_Starke!$A:$E,2,0),"NÃO ESTÁ NA LISTA")</f>
        <v>BOMBA D´ÁGUA</v>
      </c>
    </row>
    <row r="1468" customFormat="false" ht="15" hidden="false" customHeight="true" outlineLevel="0" collapsed="false">
      <c r="A1468" s="10" t="s">
        <v>3172</v>
      </c>
      <c r="B1468" s="10" t="str">
        <f aca="false">IFERROR(VLOOKUP(A1468,Pedido!$A:$B,2,0),"")</f>
        <v/>
      </c>
      <c r="C1468" s="10" t="str">
        <f aca="false">IF(B1468="","NÃO COMPRA","COMPRA")</f>
        <v>NÃO COMPRA</v>
      </c>
      <c r="D1468" s="1" t="n">
        <f aca="false">IFERROR(VLOOKUP(A1468,Pedido!$A:$C,3,0),0)</f>
        <v>0</v>
      </c>
      <c r="E1468" s="5" t="n">
        <f aca="false">IFERROR(VLOOKUP(A1468,Pedido!$A:$E,5,0),0)</f>
        <v>0</v>
      </c>
      <c r="F1468" s="1" t="s">
        <v>9</v>
      </c>
      <c r="G1468" s="1" t="s">
        <v>1783</v>
      </c>
      <c r="H1468" s="1" t="s">
        <v>1073</v>
      </c>
      <c r="I1468" s="1" t="s">
        <v>373</v>
      </c>
      <c r="J1468" s="1" t="s">
        <v>3173</v>
      </c>
      <c r="K1468" s="1" t="n">
        <v>21</v>
      </c>
      <c r="L1468" s="11" t="n">
        <v>0.995543262154313</v>
      </c>
      <c r="M1468" s="1" t="n">
        <f aca="false">SUMIF(Relatorio_AK!$A:$A,A1468,Relatorio_AK!$B:$B)</f>
        <v>21</v>
      </c>
      <c r="N1468" s="1" t="str">
        <f aca="false">IF(M1468=K1468,"OK","DIF")</f>
        <v>OK</v>
      </c>
      <c r="O1468" s="13" t="str">
        <f aca="false">IFERROR(VLOOKUP($A1468,Lista_Starke!$A:$E,3,0),"NÃO ESTÁ NA LISTA")</f>
        <v>MERCEDES-BENZ: C200 (W205) 2.0 16V M274.920 13/18
MERCEDES-BENZ: C250 (W205) 2.0 16V M274.920 14/18
MERCEDES-BENZ: C300 (W205) 2.0 16V M274.920 15/18
MERCEDES-BENZ: C300 (W205) 2.0 16V M274.920 19/21</v>
      </c>
      <c r="P1468" s="12" t="str">
        <f aca="false">IFERROR(VLOOKUP($A1468,Lista_Starke!$A:$E,2,0),"NÃO ESTÁ NA LISTA")</f>
        <v>VÁLVULA TERMOSTÁTICA</v>
      </c>
    </row>
    <row r="1469" customFormat="false" ht="15" hidden="false" customHeight="true" outlineLevel="0" collapsed="false">
      <c r="A1469" s="10" t="s">
        <v>3174</v>
      </c>
      <c r="B1469" s="10" t="str">
        <f aca="false">IFERROR(VLOOKUP(A1469,Pedido!$A:$B,2,0),"")</f>
        <v/>
      </c>
      <c r="C1469" s="10" t="str">
        <f aca="false">IF(B1469="","NÃO COMPRA","COMPRA")</f>
        <v>NÃO COMPRA</v>
      </c>
      <c r="D1469" s="1" t="n">
        <f aca="false">IFERROR(VLOOKUP(A1469,Pedido!$A:$C,3,0),0)</f>
        <v>0</v>
      </c>
      <c r="E1469" s="5" t="n">
        <f aca="false">IFERROR(VLOOKUP(A1469,Pedido!$A:$E,5,0),0)</f>
        <v>0</v>
      </c>
      <c r="F1469" s="1" t="s">
        <v>9</v>
      </c>
      <c r="G1469" s="1" t="s">
        <v>3175</v>
      </c>
      <c r="H1469" s="1" t="s">
        <v>126</v>
      </c>
      <c r="I1469" s="1" t="s">
        <v>1490</v>
      </c>
      <c r="J1469" s="1" t="s">
        <v>3176</v>
      </c>
      <c r="K1469" s="1" t="n">
        <v>21</v>
      </c>
      <c r="L1469" s="11" t="n">
        <v>0.995579162229019</v>
      </c>
      <c r="M1469" s="1" t="n">
        <f aca="false">SUMIF(Relatorio_AK!$A:$A,A1469,Relatorio_AK!$B:$B)</f>
        <v>21</v>
      </c>
      <c r="N1469" s="1" t="str">
        <f aca="false">IF(M1469=K1469,"OK","DIF")</f>
        <v>OK</v>
      </c>
      <c r="O1469" s="13" t="str">
        <f aca="false">IFERROR(VLOOKUP($A1469,Lista_Starke!$A:$E,3,0),"NÃO ESTÁ NA LISTA")</f>
        <v>JEEP: Compass 2.0 16V 07/16
MITSUBISHI: ASX 2.0 16V 10/20
MITSUBISHI: Lancer 2.0 16V 11/19
MITSUBISHI: Outlander 2.0 16V 11/20</v>
      </c>
      <c r="P1469" s="12" t="str">
        <f aca="false">IFERROR(VLOOKUP($A1469,Lista_Starke!$A:$E,2,0),"NÃO ESTÁ NA LISTA")</f>
        <v>RESFRIADOR DE ÓLEO CÂMBIO</v>
      </c>
    </row>
    <row r="1470" customFormat="false" ht="15" hidden="false" customHeight="true" outlineLevel="0" collapsed="false">
      <c r="A1470" s="10" t="s">
        <v>3177</v>
      </c>
      <c r="B1470" s="10" t="str">
        <f aca="false">IFERROR(VLOOKUP(A1470,Pedido!$A:$B,2,0),"")</f>
        <v/>
      </c>
      <c r="C1470" s="10" t="str">
        <f aca="false">IF(B1470="","NÃO COMPRA","COMPRA")</f>
        <v>NÃO COMPRA</v>
      </c>
      <c r="D1470" s="1" t="n">
        <f aca="false">IFERROR(VLOOKUP(A1470,Pedido!$A:$C,3,0),0)</f>
        <v>0</v>
      </c>
      <c r="E1470" s="5" t="n">
        <f aca="false">IFERROR(VLOOKUP(A1470,Pedido!$A:$E,5,0),0)</f>
        <v>0</v>
      </c>
      <c r="F1470" s="1" t="s">
        <v>9</v>
      </c>
      <c r="G1470" s="1" t="s">
        <v>1130</v>
      </c>
      <c r="H1470" s="1" t="s">
        <v>1131</v>
      </c>
      <c r="I1470" s="1" t="s">
        <v>57</v>
      </c>
      <c r="J1470" s="1" t="s">
        <v>3178</v>
      </c>
      <c r="K1470" s="1" t="n">
        <v>21</v>
      </c>
      <c r="L1470" s="11" t="n">
        <v>0.995615062303726</v>
      </c>
      <c r="M1470" s="1" t="n">
        <f aca="false">SUMIF(Relatorio_AK!$A:$A,A1470,Relatorio_AK!$B:$B)</f>
        <v>21</v>
      </c>
      <c r="N1470" s="1" t="str">
        <f aca="false">IF(M1470=K1470,"OK","DIF")</f>
        <v>OK</v>
      </c>
      <c r="O1470" s="12" t="str">
        <f aca="false">IFERROR(VLOOKUP($A1470,Lista_Starke!$A:$E,3,0),"NÃO ESTÁ NA LISTA")</f>
        <v>GM: Captiva 2.4 16V Ecotec 11/17</v>
      </c>
      <c r="P1470" s="12" t="str">
        <f aca="false">IFERROR(VLOOKUP($A1470,Lista_Starke!$A:$E,2,0),"NÃO ESTÁ NA LISTA")</f>
        <v>BOMBA DE ALTA PRESSÃO GDI</v>
      </c>
    </row>
    <row r="1471" customFormat="false" ht="15" hidden="false" customHeight="true" outlineLevel="0" collapsed="false">
      <c r="A1471" s="10" t="s">
        <v>3179</v>
      </c>
      <c r="B1471" s="10" t="str">
        <f aca="false">IFERROR(VLOOKUP(A1471,Pedido!$A:$B,2,0),"")</f>
        <v/>
      </c>
      <c r="C1471" s="10" t="str">
        <f aca="false">IF(B1471="","NÃO COMPRA","COMPRA")</f>
        <v>NÃO COMPRA</v>
      </c>
      <c r="D1471" s="1" t="n">
        <f aca="false">IFERROR(VLOOKUP(A1471,Pedido!$A:$C,3,0),0)</f>
        <v>0</v>
      </c>
      <c r="E1471" s="5" t="n">
        <f aca="false">IFERROR(VLOOKUP(A1471,Pedido!$A:$E,5,0),0)</f>
        <v>0</v>
      </c>
      <c r="F1471" s="1" t="s">
        <v>9</v>
      </c>
      <c r="G1471" s="1" t="s">
        <v>1982</v>
      </c>
      <c r="H1471" s="1" t="s">
        <v>1358</v>
      </c>
      <c r="I1471" s="1" t="s">
        <v>3180</v>
      </c>
      <c r="J1471" s="1" t="s">
        <v>3181</v>
      </c>
      <c r="K1471" s="1" t="n">
        <v>20</v>
      </c>
      <c r="L1471" s="11" t="n">
        <v>0.995649252851065</v>
      </c>
      <c r="M1471" s="1" t="n">
        <f aca="false">SUMIF(Relatorio_AK!$A:$A,A1471,Relatorio_AK!$B:$B)</f>
        <v>20</v>
      </c>
      <c r="N1471" s="1" t="str">
        <f aca="false">IF(M1471=K1471,"OK","DIF")</f>
        <v>OK</v>
      </c>
      <c r="O1471" s="13" t="str">
        <f aca="false">IFERROR(VLOOKUP($A1471,Lista_Starke!$A:$E,3,0),"NÃO ESTÁ NA LISTA")</f>
        <v>CHERY: Tiggo 2  09/16
LIFAN: X60  12/16</v>
      </c>
      <c r="P1471" s="12" t="str">
        <f aca="false">IFERROR(VLOOKUP($A1471,Lista_Starke!$A:$E,2,0),"NÃO ESTÁ NA LISTA")</f>
        <v>BANDEJA INFERIOR COMPLETA LD</v>
      </c>
    </row>
    <row r="1472" customFormat="false" ht="15" hidden="false" customHeight="true" outlineLevel="0" collapsed="false">
      <c r="A1472" s="10" t="s">
        <v>3182</v>
      </c>
      <c r="B1472" s="10" t="str">
        <f aca="false">IFERROR(VLOOKUP(A1472,Pedido!$A:$B,2,0),"")</f>
        <v/>
      </c>
      <c r="C1472" s="10" t="str">
        <f aca="false">IF(B1472="","NÃO COMPRA","COMPRA")</f>
        <v>NÃO COMPRA</v>
      </c>
      <c r="D1472" s="1" t="n">
        <f aca="false">IFERROR(VLOOKUP(A1472,Pedido!$A:$C,3,0),0)</f>
        <v>0</v>
      </c>
      <c r="E1472" s="5" t="n">
        <f aca="false">IFERROR(VLOOKUP(A1472,Pedido!$A:$E,5,0),0)</f>
        <v>0</v>
      </c>
      <c r="F1472" s="1" t="s">
        <v>9</v>
      </c>
      <c r="G1472" s="1" t="s">
        <v>1947</v>
      </c>
      <c r="H1472" s="1" t="s">
        <v>2420</v>
      </c>
      <c r="I1472" s="1" t="s">
        <v>36</v>
      </c>
      <c r="J1472" s="1" t="s">
        <v>3183</v>
      </c>
      <c r="K1472" s="1" t="n">
        <v>20</v>
      </c>
      <c r="L1472" s="11" t="n">
        <v>0.995683443398404</v>
      </c>
      <c r="M1472" s="1" t="n">
        <f aca="false">SUMIF(Relatorio_AK!$A:$A,A1472,Relatorio_AK!$B:$B)</f>
        <v>20</v>
      </c>
      <c r="N1472" s="1" t="str">
        <f aca="false">IF(M1472=K1472,"OK","DIF")</f>
        <v>OK</v>
      </c>
      <c r="O1472" s="13" t="str">
        <f aca="false">IFERROR(VLOOKUP($A1472,Lista_Starke!$A:$E,3,0),"NÃO ESTÁ NA LISTA")</f>
        <v>VOLKSWAGEN: Amarok 2.0 16V TDI 10/…
VOLKSWAGEN: Amarok 3.0 V6 17/...</v>
      </c>
      <c r="P1472" s="12" t="str">
        <f aca="false">IFERROR(VLOOKUP($A1472,Lista_Starke!$A:$E,2,0),"NÃO ESTÁ NA LISTA")</f>
        <v>BANDEJA SUPERIOR COMPLETA LD</v>
      </c>
    </row>
    <row r="1473" customFormat="false" ht="15" hidden="false" customHeight="true" outlineLevel="0" collapsed="false">
      <c r="A1473" s="10" t="s">
        <v>3184</v>
      </c>
      <c r="B1473" s="10" t="str">
        <f aca="false">IFERROR(VLOOKUP(A1473,Pedido!$A:$B,2,0),"")</f>
        <v/>
      </c>
      <c r="C1473" s="10" t="str">
        <f aca="false">IF(B1473="","NÃO COMPRA","COMPRA")</f>
        <v>NÃO COMPRA</v>
      </c>
      <c r="D1473" s="1" t="n">
        <f aca="false">IFERROR(VLOOKUP(A1473,Pedido!$A:$C,3,0),0)</f>
        <v>0</v>
      </c>
      <c r="E1473" s="5" t="n">
        <f aca="false">IFERROR(VLOOKUP(A1473,Pedido!$A:$E,5,0),0)</f>
        <v>0</v>
      </c>
      <c r="F1473" s="1" t="s">
        <v>9</v>
      </c>
      <c r="G1473" s="1" t="s">
        <v>1810</v>
      </c>
      <c r="H1473" s="1" t="s">
        <v>1358</v>
      </c>
      <c r="I1473" s="1" t="s">
        <v>215</v>
      </c>
      <c r="J1473" s="1" t="s">
        <v>3185</v>
      </c>
      <c r="K1473" s="1" t="n">
        <v>20</v>
      </c>
      <c r="L1473" s="11" t="n">
        <v>0.995717633945744</v>
      </c>
      <c r="M1473" s="1" t="n">
        <f aca="false">SUMIF(Relatorio_AK!$A:$A,A1473,Relatorio_AK!$B:$B)</f>
        <v>20</v>
      </c>
      <c r="N1473" s="1" t="str">
        <f aca="false">IF(M1473=K1473,"OK","DIF")</f>
        <v>OK</v>
      </c>
      <c r="O1473" s="12" t="str">
        <f aca="false">IFERROR(VLOOKUP($A1473,Lista_Starke!$A:$E,3,0),"NÃO ESTÁ NA LISTA")</f>
        <v>NISSAN: Sentra  07/12</v>
      </c>
      <c r="P1473" s="12" t="str">
        <f aca="false">IFERROR(VLOOKUP($A1473,Lista_Starke!$A:$E,2,0),"NÃO ESTÁ NA LISTA")</f>
        <v>BANDEJA INFERIOR COMPLETA LD</v>
      </c>
    </row>
    <row r="1474" customFormat="false" ht="15" hidden="false" customHeight="true" outlineLevel="0" collapsed="false">
      <c r="A1474" s="10" t="s">
        <v>3186</v>
      </c>
      <c r="B1474" s="10" t="str">
        <f aca="false">IFERROR(VLOOKUP(A1474,Pedido!$A:$B,2,0),"")</f>
        <v/>
      </c>
      <c r="C1474" s="10" t="str">
        <f aca="false">IF(B1474="","NÃO COMPRA","COMPRA")</f>
        <v>NÃO COMPRA</v>
      </c>
      <c r="D1474" s="1" t="n">
        <f aca="false">IFERROR(VLOOKUP(A1474,Pedido!$A:$C,3,0),0)</f>
        <v>0</v>
      </c>
      <c r="E1474" s="5" t="n">
        <f aca="false">IFERROR(VLOOKUP(A1474,Pedido!$A:$E,5,0),0)</f>
        <v>0</v>
      </c>
      <c r="F1474" s="1" t="s">
        <v>9</v>
      </c>
      <c r="G1474" s="1" t="s">
        <v>349</v>
      </c>
      <c r="H1474" s="1" t="s">
        <v>197</v>
      </c>
      <c r="I1474" s="1" t="s">
        <v>57</v>
      </c>
      <c r="K1474" s="1" t="n">
        <v>20</v>
      </c>
      <c r="L1474" s="11" t="n">
        <v>0.995751824493083</v>
      </c>
      <c r="M1474" s="1" t="n">
        <f aca="false">SUMIF(Relatorio_AK!$A:$A,A1474,Relatorio_AK!$B:$B)</f>
        <v>20</v>
      </c>
      <c r="N1474" s="1" t="str">
        <f aca="false">IF(M1474=K1474,"OK","DIF")</f>
        <v>OK</v>
      </c>
      <c r="O1474" s="12" t="str">
        <f aca="false">IFERROR(VLOOKUP($A1474,Lista_Starke!$A:$E,3,0),"NÃO ESTÁ NA LISTA")</f>
        <v>NÃO ESTÁ NA LISTA</v>
      </c>
      <c r="P1474" s="12" t="str">
        <f aca="false">IFERROR(VLOOKUP($A1474,Lista_Starke!$A:$E,2,0),"NÃO ESTÁ NA LISTA")</f>
        <v>NÃO ESTÁ NA LISTA</v>
      </c>
    </row>
    <row r="1475" customFormat="false" ht="15" hidden="false" customHeight="true" outlineLevel="0" collapsed="false">
      <c r="A1475" s="10" t="s">
        <v>3187</v>
      </c>
      <c r="B1475" s="10" t="str">
        <f aca="false">IFERROR(VLOOKUP(A1475,Pedido!$A:$B,2,0),"")</f>
        <v/>
      </c>
      <c r="C1475" s="10" t="str">
        <f aca="false">IF(B1475="","NÃO COMPRA","COMPRA")</f>
        <v>NÃO COMPRA</v>
      </c>
      <c r="D1475" s="1" t="n">
        <f aca="false">IFERROR(VLOOKUP(A1475,Pedido!$A:$C,3,0),0)</f>
        <v>0</v>
      </c>
      <c r="E1475" s="5" t="n">
        <f aca="false">IFERROR(VLOOKUP(A1475,Pedido!$A:$E,5,0),0)</f>
        <v>0</v>
      </c>
      <c r="F1475" s="1" t="s">
        <v>9</v>
      </c>
      <c r="G1475" s="1" t="s">
        <v>2488</v>
      </c>
      <c r="H1475" s="1" t="s">
        <v>1714</v>
      </c>
      <c r="I1475" s="1" t="s">
        <v>57</v>
      </c>
      <c r="J1475" s="1" t="s">
        <v>3188</v>
      </c>
      <c r="K1475" s="1" t="n">
        <v>20</v>
      </c>
      <c r="L1475" s="11" t="n">
        <v>0.995786015040422</v>
      </c>
      <c r="M1475" s="1" t="n">
        <f aca="false">SUMIF(Relatorio_AK!$A:$A,A1475,Relatorio_AK!$B:$B)</f>
        <v>20</v>
      </c>
      <c r="N1475" s="1" t="str">
        <f aca="false">IF(M1475=K1475,"OK","DIF")</f>
        <v>OK</v>
      </c>
      <c r="O1475" s="13" t="str">
        <f aca="false">IFERROR(VLOOKUP($A1475,Lista_Starke!$A:$E,3,0),"NÃO ESTÁ NA LISTA")</f>
        <v>GM: Omega 2.0 16V / 2.2 16V MPFI 94/98
GM: Omega 3.0 V6 C30NE-CIH/ C30LE-CIH 92/95
GM: Suprema 2.0 16V / 2.2 16V MPFI 94/98
GM: Suprema 3.0 V6 C30NE-CIH/ C30LE-CIH 92/95</v>
      </c>
      <c r="P1475" s="12" t="str">
        <f aca="false">IFERROR(VLOOKUP($A1475,Lista_Starke!$A:$E,2,0),"NÃO ESTÁ NA LISTA")</f>
        <v>POLIA VISCOSA</v>
      </c>
    </row>
    <row r="1476" customFormat="false" ht="15" hidden="false" customHeight="true" outlineLevel="0" collapsed="false">
      <c r="A1476" s="10" t="s">
        <v>3189</v>
      </c>
      <c r="B1476" s="10" t="str">
        <f aca="false">IFERROR(VLOOKUP(A1476,Pedido!$A:$B,2,0),"")</f>
        <v/>
      </c>
      <c r="C1476" s="10" t="str">
        <f aca="false">IF(B1476="","NÃO COMPRA","COMPRA")</f>
        <v>NÃO COMPRA</v>
      </c>
      <c r="D1476" s="1" t="n">
        <f aca="false">IFERROR(VLOOKUP(A1476,Pedido!$A:$C,3,0),0)</f>
        <v>0</v>
      </c>
      <c r="E1476" s="5" t="n">
        <f aca="false">IFERROR(VLOOKUP(A1476,Pedido!$A:$E,5,0),0)</f>
        <v>0</v>
      </c>
      <c r="F1476" s="1" t="s">
        <v>9</v>
      </c>
      <c r="G1476" s="1" t="s">
        <v>826</v>
      </c>
      <c r="H1476" s="1" t="s">
        <v>790</v>
      </c>
      <c r="I1476" s="1" t="s">
        <v>1157</v>
      </c>
      <c r="K1476" s="1" t="n">
        <v>20</v>
      </c>
      <c r="L1476" s="11" t="n">
        <v>0.995820205587762</v>
      </c>
      <c r="M1476" s="1" t="n">
        <f aca="false">SUMIF(Relatorio_AK!$A:$A,A1476,Relatorio_AK!$B:$B)</f>
        <v>20</v>
      </c>
      <c r="N1476" s="1" t="str">
        <f aca="false">IF(M1476=K1476,"OK","DIF")</f>
        <v>OK</v>
      </c>
      <c r="O1476" s="13" t="str">
        <f aca="false">IFERROR(VLOOKUP($A1476,Lista_Starke!$A:$E,3,0),"NÃO ESTÁ NA LISTA")</f>
        <v>BMW: 523i (F10/F11) 2.5 6 cil _x0001_N52 B25 AF/N52 B25A/N52 B25B/N52 B25BF 09/16
BMW: 523i (F10/F11) 3.0 6 cil N53 B30 A 09/16
BMW: 528i (F10/F11) 3.0 6 cil N53 B30 A 09/16
BMW: 530i (F10/F11) 3.0 6 cil N52 B30 A/N52 B30 BF/N52 B30 AF 09/16
BMW: 730i (F01/F02/F03/F04) 3.0 6 cil _x0001_N52 B30 A/N52 B30 BF/N52 B30 AF 09/16
BMW: X3 (F25) xDrive 28i 3.0 6 cil _x0001_N52 B30 A/N52 B30 BF/N52 B30 AF 09/16</v>
      </c>
      <c r="P1476" s="12" t="str">
        <f aca="false">IFERROR(VLOOKUP($A1476,Lista_Starke!$A:$E,2,0),"NÃO ESTÁ NA LISTA")</f>
        <v>BOMBA D'ÁGUA ELÉTRICA</v>
      </c>
    </row>
    <row r="1477" customFormat="false" ht="15" hidden="false" customHeight="true" outlineLevel="0" collapsed="false">
      <c r="A1477" s="10" t="s">
        <v>3190</v>
      </c>
      <c r="B1477" s="10" t="str">
        <f aca="false">IFERROR(VLOOKUP(A1477,Pedido!$A:$B,2,0),"")</f>
        <v/>
      </c>
      <c r="C1477" s="10" t="str">
        <f aca="false">IF(B1477="","NÃO COMPRA","COMPRA")</f>
        <v>NÃO COMPRA</v>
      </c>
      <c r="D1477" s="1" t="n">
        <f aca="false">IFERROR(VLOOKUP(A1477,Pedido!$A:$C,3,0),0)</f>
        <v>0</v>
      </c>
      <c r="E1477" s="5" t="n">
        <f aca="false">IFERROR(VLOOKUP(A1477,Pedido!$A:$E,5,0),0)</f>
        <v>0</v>
      </c>
      <c r="F1477" s="1" t="s">
        <v>9</v>
      </c>
      <c r="G1477" s="1" t="s">
        <v>3191</v>
      </c>
      <c r="H1477" s="1" t="s">
        <v>32</v>
      </c>
      <c r="I1477" s="1" t="s">
        <v>403</v>
      </c>
      <c r="J1477" s="1" t="s">
        <v>3192</v>
      </c>
      <c r="K1477" s="1" t="n">
        <v>20</v>
      </c>
      <c r="L1477" s="11" t="n">
        <v>0.995854396135101</v>
      </c>
      <c r="M1477" s="1" t="n">
        <f aca="false">SUMIF(Relatorio_AK!$A:$A,A1477,Relatorio_AK!$B:$B)</f>
        <v>20</v>
      </c>
      <c r="N1477" s="1" t="str">
        <f aca="false">IF(M1477=K1477,"OK","DIF")</f>
        <v>OK</v>
      </c>
      <c r="O1477" s="13" t="str">
        <f aca="false">IFERROR(VLOOKUP($A1477,Lista_Starke!$A:$E,3,0),"NÃO ESTÁ NA LISTA")</f>
        <v>IVECO: Eurocargo 170E15 / 150E18  / 170E22 / 170E24 05/...
IVECO: Eurocargo 8060.45A  5.9 01/...
IVECO: Eurocargo SERIE 10 / X10 6.4 01/...
IVECO: Eurotech 440E42T 4.1 01/...
IVECO: Eurotech 440E42TZ/P 4.1 01/...
IVECO: Eurotech 450E37HR 4.1 01/...
IVECO: Eurotech 450E37TP 4.1 01/...
IVECO: Eurotech 720E42 4.1 01/...
IVECO: Eurotech 740E42TZ 4.1 01/...</v>
      </c>
      <c r="P1477" s="12" t="str">
        <f aca="false">IFERROR(VLOOKUP($A1477,Lista_Starke!$A:$E,2,0),"NÃO ESTÁ NA LISTA")</f>
        <v>CILINDRO MESTRE DE EMBREAGEM</v>
      </c>
    </row>
    <row r="1478" customFormat="false" ht="15" hidden="false" customHeight="true" outlineLevel="0" collapsed="false">
      <c r="A1478" s="10" t="s">
        <v>3193</v>
      </c>
      <c r="B1478" s="10" t="str">
        <f aca="false">IFERROR(VLOOKUP(A1478,Pedido!$A:$B,2,0),"")</f>
        <v/>
      </c>
      <c r="C1478" s="10" t="str">
        <f aca="false">IF(B1478="","NÃO COMPRA","COMPRA")</f>
        <v>NÃO COMPRA</v>
      </c>
      <c r="D1478" s="1" t="n">
        <f aca="false">IFERROR(VLOOKUP(A1478,Pedido!$A:$C,3,0),0)</f>
        <v>0</v>
      </c>
      <c r="E1478" s="5" t="n">
        <f aca="false">IFERROR(VLOOKUP(A1478,Pedido!$A:$E,5,0),0)</f>
        <v>0</v>
      </c>
      <c r="F1478" s="1" t="s">
        <v>9</v>
      </c>
      <c r="G1478" s="1" t="s">
        <v>2659</v>
      </c>
      <c r="H1478" s="1" t="s">
        <v>2466</v>
      </c>
      <c r="I1478" s="1" t="s">
        <v>36</v>
      </c>
      <c r="J1478" s="1" t="s">
        <v>3194</v>
      </c>
      <c r="K1478" s="1" t="n">
        <v>20</v>
      </c>
      <c r="L1478" s="11" t="n">
        <v>0.99588858668244</v>
      </c>
      <c r="M1478" s="1" t="n">
        <f aca="false">SUMIF(Relatorio_AK!$A:$A,A1478,Relatorio_AK!$B:$B)</f>
        <v>20</v>
      </c>
      <c r="N1478" s="1" t="str">
        <f aca="false">IF(M1478=K1478,"OK","DIF")</f>
        <v>OK</v>
      </c>
      <c r="O1478" s="13" t="str">
        <f aca="false">IFERROR(VLOOKUP($A1478,Lista_Starke!$A:$E,3,0),"NÃO ESTÁ NA LISTA")</f>
        <v>VOLKSWAGEN: Gol 1.0 16V EA111 AT 97/99
VOLKSWAGEN: Gol 1.0 16V EA111 AT 99/05
VOLKSWAGEN: Gol 1.0 16V Power EA111 AT 99/05
VOLKSWAGEN: Gol 1.0 16V Turbo EA111 AT 00/03
VOLKSWAGEN: Gol 1.0 8V EA111 99/01
VOLKSWAGEN: Gol 1.0 8V EA111 AT 99/05
VOLKSWAGEN: Gol 1.0 8V Power EA111 99/01
VOLKSWAGEN: Gol GTI 2.0 16V AP 96/99
VOLKSWAGEN: Gol GTI 2.0 16V AP 99/02
VOLKSWAGEN: Gol GTI 2.0 8V AP 94/96
VOLKSWAGEN: Parati 1.6 8V AP 96/99
VOLKSWAGEN: Parati 1.8 8V AP 96/99
VOLKSWAGEN: Parati 2.0 16V AP 96/99
VOLKSWAGEN: Parati 2.0 16V AP 99/00
VOLKSWAGEN: Saveiro 1.6 8V AP 97/00
VOLKSWAGEN: Saveiro 2.0 8V AP 97/00</v>
      </c>
      <c r="P1478" s="12" t="str">
        <f aca="false">IFERROR(VLOOKUP($A1478,Lista_Starke!$A:$E,2,0),"NÃO ESTÁ NA LISTA")</f>
        <v>SERVO FREIO</v>
      </c>
    </row>
    <row r="1479" customFormat="false" ht="15" hidden="false" customHeight="true" outlineLevel="0" collapsed="false">
      <c r="A1479" s="10" t="s">
        <v>3195</v>
      </c>
      <c r="B1479" s="10" t="str">
        <f aca="false">IFERROR(VLOOKUP(A1479,Pedido!$A:$B,2,0),"")</f>
        <v/>
      </c>
      <c r="C1479" s="10" t="str">
        <f aca="false">IF(B1479="","NÃO COMPRA","COMPRA")</f>
        <v>NÃO COMPRA</v>
      </c>
      <c r="D1479" s="1" t="n">
        <f aca="false">IFERROR(VLOOKUP(A1479,Pedido!$A:$C,3,0),0)</f>
        <v>0</v>
      </c>
      <c r="E1479" s="5" t="n">
        <f aca="false">IFERROR(VLOOKUP(A1479,Pedido!$A:$E,5,0),0)</f>
        <v>0</v>
      </c>
      <c r="F1479" s="1" t="s">
        <v>9</v>
      </c>
      <c r="G1479" s="1" t="s">
        <v>483</v>
      </c>
      <c r="H1479" s="1" t="s">
        <v>197</v>
      </c>
      <c r="I1479" s="1" t="s">
        <v>36</v>
      </c>
      <c r="K1479" s="1" t="n">
        <v>19</v>
      </c>
      <c r="L1479" s="11" t="n">
        <v>0.995921067702413</v>
      </c>
      <c r="M1479" s="1" t="n">
        <f aca="false">SUMIF(Relatorio_AK!$A:$A,A1479,Relatorio_AK!$B:$B)</f>
        <v>19</v>
      </c>
      <c r="N1479" s="1" t="str">
        <f aca="false">IF(M1479=K1479,"OK","DIF")</f>
        <v>OK</v>
      </c>
      <c r="O1479" s="12" t="str">
        <f aca="false">IFERROR(VLOOKUP($A1479,Lista_Starke!$A:$E,3,0),"NÃO ESTÁ NA LISTA")</f>
        <v>NÃO ESTÁ NA LISTA</v>
      </c>
      <c r="P1479" s="12" t="str">
        <f aca="false">IFERROR(VLOOKUP($A1479,Lista_Starke!$A:$E,2,0),"NÃO ESTÁ NA LISTA")</f>
        <v>NÃO ESTÁ NA LISTA</v>
      </c>
    </row>
    <row r="1480" customFormat="false" ht="15" hidden="false" customHeight="true" outlineLevel="0" collapsed="false">
      <c r="A1480" s="10" t="s">
        <v>3196</v>
      </c>
      <c r="B1480" s="10" t="str">
        <f aca="false">IFERROR(VLOOKUP(A1480,Pedido!$A:$B,2,0),"")</f>
        <v/>
      </c>
      <c r="C1480" s="10" t="str">
        <f aca="false">IF(B1480="","NÃO COMPRA","COMPRA")</f>
        <v>NÃO COMPRA</v>
      </c>
      <c r="D1480" s="1" t="n">
        <f aca="false">IFERROR(VLOOKUP(A1480,Pedido!$A:$C,3,0),0)</f>
        <v>0</v>
      </c>
      <c r="E1480" s="5" t="n">
        <f aca="false">IFERROR(VLOOKUP(A1480,Pedido!$A:$E,5,0),0)</f>
        <v>0</v>
      </c>
      <c r="F1480" s="1" t="s">
        <v>9</v>
      </c>
      <c r="G1480" s="1" t="s">
        <v>1795</v>
      </c>
      <c r="H1480" s="1" t="s">
        <v>2420</v>
      </c>
      <c r="I1480" s="1" t="s">
        <v>215</v>
      </c>
      <c r="J1480" s="1" t="s">
        <v>3197</v>
      </c>
      <c r="K1480" s="1" t="n">
        <v>19</v>
      </c>
      <c r="L1480" s="11" t="n">
        <v>0.995953548722385</v>
      </c>
      <c r="M1480" s="1" t="n">
        <f aca="false">SUMIF(Relatorio_AK!$A:$A,A1480,Relatorio_AK!$B:$B)</f>
        <v>19</v>
      </c>
      <c r="N1480" s="1" t="str">
        <f aca="false">IF(M1480=K1480,"OK","DIF")</f>
        <v>OK</v>
      </c>
      <c r="O1480" s="12" t="str">
        <f aca="false">IFERROR(VLOOKUP($A1480,Lista_Starke!$A:$E,3,0),"NÃO ESTÁ NA LISTA")</f>
        <v>NISSAN: Frontier SEL 08/16</v>
      </c>
      <c r="P1480" s="12" t="str">
        <f aca="false">IFERROR(VLOOKUP($A1480,Lista_Starke!$A:$E,2,0),"NÃO ESTÁ NA LISTA")</f>
        <v>BANDEJA SUPERIOR COMPLETA LE</v>
      </c>
    </row>
    <row r="1481" customFormat="false" ht="15" hidden="false" customHeight="true" outlineLevel="0" collapsed="false">
      <c r="A1481" s="10" t="s">
        <v>3198</v>
      </c>
      <c r="B1481" s="10" t="str">
        <f aca="false">IFERROR(VLOOKUP(A1481,Pedido!$A:$B,2,0),"")</f>
        <v/>
      </c>
      <c r="C1481" s="10" t="str">
        <f aca="false">IF(B1481="","NÃO COMPRA","COMPRA")</f>
        <v>NÃO COMPRA</v>
      </c>
      <c r="D1481" s="1" t="n">
        <f aca="false">IFERROR(VLOOKUP(A1481,Pedido!$A:$C,3,0),0)</f>
        <v>0</v>
      </c>
      <c r="E1481" s="5" t="n">
        <f aca="false">IFERROR(VLOOKUP(A1481,Pedido!$A:$E,5,0),0)</f>
        <v>0</v>
      </c>
      <c r="F1481" s="1" t="s">
        <v>9</v>
      </c>
      <c r="G1481" s="1" t="s">
        <v>2858</v>
      </c>
      <c r="H1481" s="1" t="s">
        <v>2420</v>
      </c>
      <c r="I1481" s="1" t="s">
        <v>1182</v>
      </c>
      <c r="J1481" s="1" t="s">
        <v>3199</v>
      </c>
      <c r="K1481" s="1" t="n">
        <v>19</v>
      </c>
      <c r="L1481" s="11" t="n">
        <v>0.995986029742358</v>
      </c>
      <c r="M1481" s="1" t="n">
        <f aca="false">SUMIF(Relatorio_AK!$A:$A,A1481,Relatorio_AK!$B:$B)</f>
        <v>19</v>
      </c>
      <c r="N1481" s="1" t="str">
        <f aca="false">IF(M1481=K1481,"OK","DIF")</f>
        <v>OK</v>
      </c>
      <c r="O1481" s="12" t="str">
        <f aca="false">IFERROR(VLOOKUP($A1481,Lista_Starke!$A:$E,3,0),"NÃO ESTÁ NA LISTA")</f>
        <v>KIA: Bongo K2500  13/21</v>
      </c>
      <c r="P1481" s="12" t="str">
        <f aca="false">IFERROR(VLOOKUP($A1481,Lista_Starke!$A:$E,2,0),"NÃO ESTÁ NA LISTA")</f>
        <v>BANDEJA SUPERIOR COMPLETA LD</v>
      </c>
    </row>
    <row r="1482" customFormat="false" ht="15" hidden="false" customHeight="true" outlineLevel="0" collapsed="false">
      <c r="A1482" s="10" t="s">
        <v>3200</v>
      </c>
      <c r="B1482" s="10" t="str">
        <f aca="false">IFERROR(VLOOKUP(A1482,Pedido!$A:$B,2,0),"")</f>
        <v/>
      </c>
      <c r="C1482" s="10" t="str">
        <f aca="false">IF(B1482="","NÃO COMPRA","COMPRA")</f>
        <v>NÃO COMPRA</v>
      </c>
      <c r="D1482" s="1" t="n">
        <f aca="false">IFERROR(VLOOKUP(A1482,Pedido!$A:$C,3,0),0)</f>
        <v>0</v>
      </c>
      <c r="E1482" s="5" t="n">
        <f aca="false">IFERROR(VLOOKUP(A1482,Pedido!$A:$E,5,0),0)</f>
        <v>0</v>
      </c>
      <c r="F1482" s="1" t="s">
        <v>9</v>
      </c>
      <c r="G1482" s="1" t="s">
        <v>2344</v>
      </c>
      <c r="H1482" s="1" t="s">
        <v>1358</v>
      </c>
      <c r="I1482" s="1" t="s">
        <v>50</v>
      </c>
      <c r="J1482" s="1" t="s">
        <v>3201</v>
      </c>
      <c r="K1482" s="1" t="n">
        <v>19</v>
      </c>
      <c r="L1482" s="11" t="n">
        <v>0.99601851076233</v>
      </c>
      <c r="M1482" s="1" t="n">
        <f aca="false">SUMIF(Relatorio_AK!$A:$A,A1482,Relatorio_AK!$B:$B)</f>
        <v>19</v>
      </c>
      <c r="N1482" s="1" t="str">
        <f aca="false">IF(M1482=K1482,"OK","DIF")</f>
        <v>OK</v>
      </c>
      <c r="O1482" s="12" t="str">
        <f aca="false">IFERROR(VLOOKUP($A1482,Lista_Starke!$A:$E,3,0),"NÃO ESTÁ NA LISTA")</f>
        <v>HONDA: Fit 1.4 8V / 1.5 16V 03/08</v>
      </c>
      <c r="P1482" s="12" t="str">
        <f aca="false">IFERROR(VLOOKUP($A1482,Lista_Starke!$A:$E,2,0),"NÃO ESTÁ NA LISTA")</f>
        <v>BANDEJA INFERIOR COMPLETA LE</v>
      </c>
    </row>
    <row r="1483" customFormat="false" ht="15" hidden="false" customHeight="true" outlineLevel="0" collapsed="false">
      <c r="A1483" s="10" t="s">
        <v>3202</v>
      </c>
      <c r="B1483" s="10" t="str">
        <f aca="false">IFERROR(VLOOKUP(A1483,Pedido!$A:$B,2,0),"")</f>
        <v/>
      </c>
      <c r="C1483" s="10" t="str">
        <f aca="false">IF(B1483="","NÃO COMPRA","COMPRA")</f>
        <v>NÃO COMPRA</v>
      </c>
      <c r="D1483" s="1" t="n">
        <f aca="false">IFERROR(VLOOKUP(A1483,Pedido!$A:$C,3,0),0)</f>
        <v>0</v>
      </c>
      <c r="E1483" s="5" t="n">
        <f aca="false">IFERROR(VLOOKUP(A1483,Pedido!$A:$E,5,0),0)</f>
        <v>0</v>
      </c>
      <c r="F1483" s="1" t="s">
        <v>9</v>
      </c>
      <c r="G1483" s="1" t="s">
        <v>1795</v>
      </c>
      <c r="H1483" s="1" t="s">
        <v>1358</v>
      </c>
      <c r="I1483" s="1" t="s">
        <v>215</v>
      </c>
      <c r="J1483" s="1" t="s">
        <v>3203</v>
      </c>
      <c r="K1483" s="1" t="n">
        <v>19</v>
      </c>
      <c r="L1483" s="11" t="n">
        <v>0.996050991782302</v>
      </c>
      <c r="M1483" s="1" t="n">
        <f aca="false">SUMIF(Relatorio_AK!$A:$A,A1483,Relatorio_AK!$B:$B)</f>
        <v>19</v>
      </c>
      <c r="N1483" s="1" t="str">
        <f aca="false">IF(M1483=K1483,"OK","DIF")</f>
        <v>OK</v>
      </c>
      <c r="O1483" s="12" t="str">
        <f aca="false">IFERROR(VLOOKUP($A1483,Lista_Starke!$A:$E,3,0),"NÃO ESTÁ NA LISTA")</f>
        <v>NISSAN: Sentra  07/12</v>
      </c>
      <c r="P1483" s="12" t="str">
        <f aca="false">IFERROR(VLOOKUP($A1483,Lista_Starke!$A:$E,2,0),"NÃO ESTÁ NA LISTA")</f>
        <v>BANDEJA INFERIOR COMPLETA LE</v>
      </c>
    </row>
    <row r="1484" customFormat="false" ht="15" hidden="false" customHeight="true" outlineLevel="0" collapsed="false">
      <c r="A1484" s="10" t="s">
        <v>3204</v>
      </c>
      <c r="B1484" s="10" t="str">
        <f aca="false">IFERROR(VLOOKUP(A1484,Pedido!$A:$B,2,0),"")</f>
        <v/>
      </c>
      <c r="C1484" s="10" t="str">
        <f aca="false">IF(B1484="","NÃO COMPRA","COMPRA")</f>
        <v>NÃO COMPRA</v>
      </c>
      <c r="D1484" s="1" t="n">
        <f aca="false">IFERROR(VLOOKUP(A1484,Pedido!$A:$C,3,0),0)</f>
        <v>0</v>
      </c>
      <c r="E1484" s="5" t="n">
        <f aca="false">IFERROR(VLOOKUP(A1484,Pedido!$A:$E,5,0),0)</f>
        <v>0</v>
      </c>
      <c r="F1484" s="1" t="s">
        <v>9</v>
      </c>
      <c r="G1484" s="1" t="s">
        <v>483</v>
      </c>
      <c r="H1484" s="1" t="s">
        <v>197</v>
      </c>
      <c r="I1484" s="1" t="s">
        <v>36</v>
      </c>
      <c r="J1484" s="1" t="s">
        <v>3205</v>
      </c>
      <c r="K1484" s="1" t="n">
        <v>19</v>
      </c>
      <c r="L1484" s="11" t="n">
        <v>0.996083472802275</v>
      </c>
      <c r="M1484" s="1" t="n">
        <f aca="false">SUMIF(Relatorio_AK!$A:$A,A1484,Relatorio_AK!$B:$B)</f>
        <v>19</v>
      </c>
      <c r="N1484" s="1" t="str">
        <f aca="false">IF(M1484=K1484,"OK","DIF")</f>
        <v>OK</v>
      </c>
      <c r="O1484" s="13" t="str">
        <f aca="false">IFERROR(VLOOKUP($A1484,Lista_Starke!$A:$E,3,0),"NÃO ESTÁ NA LISTA")</f>
        <v>VOLKSWAGEN: Passat 2.8 VR6 91/…
VOLKSWAGEN: Variant 2.8 VR6 91/…</v>
      </c>
      <c r="P1484" s="12" t="str">
        <f aca="false">IFERROR(VLOOKUP($A1484,Lista_Starke!$A:$E,2,0),"NÃO ESTÁ NA LISTA")</f>
        <v>BOMBA D'ÁGUA</v>
      </c>
    </row>
    <row r="1485" customFormat="false" ht="15" hidden="false" customHeight="true" outlineLevel="0" collapsed="false">
      <c r="A1485" s="10" t="s">
        <v>3206</v>
      </c>
      <c r="B1485" s="10" t="str">
        <f aca="false">IFERROR(VLOOKUP(A1485,Pedido!$A:$B,2,0),"")</f>
        <v/>
      </c>
      <c r="C1485" s="10" t="str">
        <f aca="false">IF(B1485="","NÃO COMPRA","COMPRA")</f>
        <v>NÃO COMPRA</v>
      </c>
      <c r="D1485" s="1" t="n">
        <f aca="false">IFERROR(VLOOKUP(A1485,Pedido!$A:$C,3,0),0)</f>
        <v>0</v>
      </c>
      <c r="E1485" s="5" t="n">
        <f aca="false">IFERROR(VLOOKUP(A1485,Pedido!$A:$E,5,0),0)</f>
        <v>0</v>
      </c>
      <c r="F1485" s="1" t="s">
        <v>9</v>
      </c>
      <c r="G1485" s="1" t="s">
        <v>191</v>
      </c>
      <c r="H1485" s="1" t="s">
        <v>35</v>
      </c>
      <c r="I1485" s="1" t="s">
        <v>50</v>
      </c>
      <c r="K1485" s="1" t="n">
        <v>19</v>
      </c>
      <c r="L1485" s="11" t="n">
        <v>0.996115953822247</v>
      </c>
      <c r="M1485" s="1" t="n">
        <f aca="false">SUMIF(Relatorio_AK!$A:$A,A1485,Relatorio_AK!$B:$B)</f>
        <v>19</v>
      </c>
      <c r="N1485" s="1" t="str">
        <f aca="false">IF(M1485=K1485,"OK","DIF")</f>
        <v>OK</v>
      </c>
      <c r="O1485" s="12" t="str">
        <f aca="false">IFERROR(VLOOKUP($A1485,Lista_Starke!$A:$E,3,0),"NÃO ESTÁ NA LISTA")</f>
        <v>HONDA: Civic 1.5 16V / 1.6 16V 92/95</v>
      </c>
      <c r="P1485" s="12" t="str">
        <f aca="false">IFERROR(VLOOKUP($A1485,Lista_Starke!$A:$E,2,0),"NÃO ESTÁ NA LISTA")</f>
        <v>CILINDRO MESTRE DE FREIO</v>
      </c>
    </row>
    <row r="1486" customFormat="false" ht="15" hidden="false" customHeight="true" outlineLevel="0" collapsed="false">
      <c r="A1486" s="10" t="s">
        <v>3207</v>
      </c>
      <c r="B1486" s="10" t="str">
        <f aca="false">IFERROR(VLOOKUP(A1486,Pedido!$A:$B,2,0),"")</f>
        <v/>
      </c>
      <c r="C1486" s="10" t="str">
        <f aca="false">IF(B1486="","NÃO COMPRA","COMPRA")</f>
        <v>NÃO COMPRA</v>
      </c>
      <c r="D1486" s="1" t="n">
        <f aca="false">IFERROR(VLOOKUP(A1486,Pedido!$A:$C,3,0),0)</f>
        <v>0</v>
      </c>
      <c r="E1486" s="5" t="n">
        <f aca="false">IFERROR(VLOOKUP(A1486,Pedido!$A:$E,5,0),0)</f>
        <v>0</v>
      </c>
      <c r="F1486" s="1" t="s">
        <v>9</v>
      </c>
      <c r="G1486" s="1" t="s">
        <v>377</v>
      </c>
      <c r="H1486" s="1" t="s">
        <v>790</v>
      </c>
      <c r="I1486" s="1" t="s">
        <v>53</v>
      </c>
      <c r="J1486" s="1" t="s">
        <v>3208</v>
      </c>
      <c r="K1486" s="1" t="n">
        <v>19</v>
      </c>
      <c r="L1486" s="11" t="n">
        <v>0.99614843484222</v>
      </c>
      <c r="M1486" s="1" t="n">
        <f aca="false">SUMIF(Relatorio_AK!$A:$A,A1486,Relatorio_AK!$B:$B)</f>
        <v>19</v>
      </c>
      <c r="N1486" s="1" t="str">
        <f aca="false">IF(M1486=K1486,"OK","DIF")</f>
        <v>OK</v>
      </c>
      <c r="O1486" s="12" t="str">
        <f aca="false">IFERROR(VLOOKUP($A1486,Lista_Starke!$A:$E,3,0),"NÃO ESTÁ NA LISTA")</f>
        <v>FORD: Fusion 2.0 16V Hybrid C20EDEF / UACA / UACC 13/19</v>
      </c>
      <c r="P1486" s="12" t="str">
        <f aca="false">IFERROR(VLOOKUP($A1486,Lista_Starke!$A:$E,2,0),"NÃO ESTÁ NA LISTA")</f>
        <v>BOMBA D'ÁGUA ELÉTRICA</v>
      </c>
    </row>
    <row r="1487" customFormat="false" ht="15" hidden="false" customHeight="true" outlineLevel="0" collapsed="false">
      <c r="A1487" s="10" t="s">
        <v>3209</v>
      </c>
      <c r="B1487" s="10" t="str">
        <f aca="false">IFERROR(VLOOKUP(A1487,Pedido!$A:$B,2,0),"")</f>
        <v/>
      </c>
      <c r="C1487" s="10" t="str">
        <f aca="false">IF(B1487="","NÃO COMPRA","COMPRA")</f>
        <v>NÃO COMPRA</v>
      </c>
      <c r="D1487" s="1" t="n">
        <f aca="false">IFERROR(VLOOKUP(A1487,Pedido!$A:$C,3,0),0)</f>
        <v>0</v>
      </c>
      <c r="E1487" s="5" t="n">
        <f aca="false">IFERROR(VLOOKUP(A1487,Pedido!$A:$E,5,0),0)</f>
        <v>0</v>
      </c>
      <c r="F1487" s="1" t="s">
        <v>9</v>
      </c>
      <c r="G1487" s="1" t="s">
        <v>1722</v>
      </c>
      <c r="H1487" s="1" t="s">
        <v>197</v>
      </c>
      <c r="I1487" s="1" t="s">
        <v>1723</v>
      </c>
      <c r="J1487" s="1" t="s">
        <v>3210</v>
      </c>
      <c r="K1487" s="1" t="n">
        <v>19</v>
      </c>
      <c r="L1487" s="11" t="n">
        <v>0.996180915862192</v>
      </c>
      <c r="M1487" s="1" t="n">
        <f aca="false">SUMIF(Relatorio_AK!$A:$A,A1487,Relatorio_AK!$B:$B)</f>
        <v>19</v>
      </c>
      <c r="N1487" s="1" t="str">
        <f aca="false">IF(M1487=K1487,"OK","DIF")</f>
        <v>OK</v>
      </c>
      <c r="O1487" s="13" t="str">
        <f aca="false">IFERROR(VLOOKUP($A1487,Lista_Starke!$A:$E,3,0),"NÃO ESTÁ NA LISTA")</f>
        <v>PORSCHE: 911 Carrera 3.0 6 cil. DRTA / DKCA 19/24
PORSCHE: 911 Carrera 3.0 6 cil. MDC.KA/DCKA 15/19
PORSCHE: 911 Carrera 3.4 6 cil. MA1.04 / MAB.04 11/19
PORSCHE: 911 Carrera GTS 3.0 6 cil. MDC.JA 17/19
PORSCHE: 911 Carrera S 3.0 6 cil. DKKA / DRVA 19/24
PORSCHE: 911 Carrera S 3.0 6 cil. MDC.HA / DCHA 15/19
PORSCHE: 911 Carrera S 3.8 6 cil.MAB.03 / MA1.03 11/19
PORSCHE: 911 Carrera T 3.0 6 cil. DRTA / DKCA 22/24
PORSCHE: 911 Carrera T 3.0 6 cil. MDC.KA / DCKA 18/19
PORSCHE: 911 Carrera Turbo 3.8 6 cil. DKE 20/24</v>
      </c>
      <c r="P1487" s="12" t="str">
        <f aca="false">IFERROR(VLOOKUP($A1487,Lista_Starke!$A:$E,2,0),"NÃO ESTÁ NA LISTA")</f>
        <v>BOMBA D'ÁGUA</v>
      </c>
    </row>
    <row r="1488" customFormat="false" ht="15" hidden="false" customHeight="true" outlineLevel="0" collapsed="false">
      <c r="A1488" s="10" t="s">
        <v>3211</v>
      </c>
      <c r="B1488" s="10" t="str">
        <f aca="false">IFERROR(VLOOKUP(A1488,Pedido!$A:$B,2,0),"")</f>
        <v/>
      </c>
      <c r="C1488" s="10" t="str">
        <f aca="false">IF(B1488="","NÃO COMPRA","COMPRA")</f>
        <v>NÃO COMPRA</v>
      </c>
      <c r="D1488" s="1" t="n">
        <f aca="false">IFERROR(VLOOKUP(A1488,Pedido!$A:$C,3,0),0)</f>
        <v>0</v>
      </c>
      <c r="E1488" s="5" t="n">
        <f aca="false">IFERROR(VLOOKUP(A1488,Pedido!$A:$E,5,0),0)</f>
        <v>0</v>
      </c>
      <c r="F1488" s="1" t="s">
        <v>9</v>
      </c>
      <c r="G1488" s="1" t="s">
        <v>52</v>
      </c>
      <c r="H1488" s="1" t="s">
        <v>35</v>
      </c>
      <c r="I1488" s="1" t="s">
        <v>53</v>
      </c>
      <c r="J1488" s="1" t="s">
        <v>3212</v>
      </c>
      <c r="K1488" s="1" t="n">
        <v>19</v>
      </c>
      <c r="L1488" s="11" t="n">
        <v>0.996213396882165</v>
      </c>
      <c r="M1488" s="1" t="n">
        <f aca="false">SUMIF(Relatorio_AK!$A:$A,A1488,Relatorio_AK!$B:$B)</f>
        <v>19</v>
      </c>
      <c r="N1488" s="1" t="str">
        <f aca="false">IF(M1488=K1488,"OK","DIF")</f>
        <v>OK</v>
      </c>
      <c r="O1488" s="12" t="str">
        <f aca="false">IFERROR(VLOOKUP($A1488,Lista_Starke!$A:$E,3,0),"NÃO ESTÁ NA LISTA")</f>
        <v>FORD: Focus 2.0 16V Duratec 08/10</v>
      </c>
      <c r="P1488" s="12" t="str">
        <f aca="false">IFERROR(VLOOKUP($A1488,Lista_Starke!$A:$E,2,0),"NÃO ESTÁ NA LISTA")</f>
        <v>CILINDRO MESTRE DE FREIO</v>
      </c>
    </row>
    <row r="1489" customFormat="false" ht="15" hidden="false" customHeight="true" outlineLevel="0" collapsed="false">
      <c r="A1489" s="10" t="s">
        <v>3213</v>
      </c>
      <c r="B1489" s="10" t="str">
        <f aca="false">IFERROR(VLOOKUP(A1489,Pedido!$A:$B,2,0),"")</f>
        <v/>
      </c>
      <c r="C1489" s="10" t="str">
        <f aca="false">IF(B1489="","NÃO COMPRA","COMPRA")</f>
        <v>NÃO COMPRA</v>
      </c>
      <c r="D1489" s="1" t="n">
        <f aca="false">IFERROR(VLOOKUP(A1489,Pedido!$A:$C,3,0),0)</f>
        <v>0</v>
      </c>
      <c r="E1489" s="5" t="n">
        <f aca="false">IFERROR(VLOOKUP(A1489,Pedido!$A:$E,5,0),0)</f>
        <v>0</v>
      </c>
      <c r="F1489" s="1" t="s">
        <v>9</v>
      </c>
      <c r="G1489" s="1" t="s">
        <v>1130</v>
      </c>
      <c r="H1489" s="1" t="s">
        <v>1131</v>
      </c>
      <c r="I1489" s="1" t="s">
        <v>57</v>
      </c>
      <c r="J1489" s="1" t="s">
        <v>3214</v>
      </c>
      <c r="K1489" s="1" t="n">
        <v>19</v>
      </c>
      <c r="L1489" s="11" t="n">
        <v>0.996245877902137</v>
      </c>
      <c r="M1489" s="1" t="n">
        <f aca="false">SUMIF(Relatorio_AK!$A:$A,A1489,Relatorio_AK!$B:$B)</f>
        <v>19</v>
      </c>
      <c r="N1489" s="1" t="str">
        <f aca="false">IF(M1489=K1489,"OK","DIF")</f>
        <v>OK</v>
      </c>
      <c r="O1489" s="13" t="str">
        <f aca="false">IFERROR(VLOOKUP($A1489,Lista_Starke!$A:$E,3,0),"NÃO ESTÁ NA LISTA")</f>
        <v>GM: Camaro 6.2 V8 SS 10/14
GM: Camaro 6.2 V8 SS 14/16
GM: Captiva 2.4 16V Ecotec 15/17
GM: Captiva 3.0 24V V6 11/13
GM: Trailblazer 2.8 CTDI 14/25</v>
      </c>
      <c r="P1489" s="12" t="str">
        <f aca="false">IFERROR(VLOOKUP($A1489,Lista_Starke!$A:$E,2,0),"NÃO ESTÁ NA LISTA")</f>
        <v>BOMBA DE ALTA PRESSÃO GDI</v>
      </c>
    </row>
    <row r="1490" customFormat="false" ht="15" hidden="false" customHeight="true" outlineLevel="0" collapsed="false">
      <c r="A1490" s="10" t="s">
        <v>3215</v>
      </c>
      <c r="B1490" s="10" t="str">
        <f aca="false">IFERROR(VLOOKUP(A1490,Pedido!$A:$B,2,0),"")</f>
        <v/>
      </c>
      <c r="C1490" s="10" t="str">
        <f aca="false">IF(B1490="","NÃO COMPRA","COMPRA")</f>
        <v>NÃO COMPRA</v>
      </c>
      <c r="D1490" s="1" t="n">
        <f aca="false">IFERROR(VLOOKUP(A1490,Pedido!$A:$C,3,0),0)</f>
        <v>0</v>
      </c>
      <c r="E1490" s="5" t="n">
        <f aca="false">IFERROR(VLOOKUP(A1490,Pedido!$A:$E,5,0),0)</f>
        <v>0</v>
      </c>
      <c r="F1490" s="1" t="s">
        <v>9</v>
      </c>
      <c r="G1490" s="1" t="s">
        <v>2469</v>
      </c>
      <c r="H1490" s="1" t="s">
        <v>2466</v>
      </c>
      <c r="I1490" s="1" t="s">
        <v>57</v>
      </c>
      <c r="J1490" s="1" t="s">
        <v>3216</v>
      </c>
      <c r="K1490" s="1" t="n">
        <v>19</v>
      </c>
      <c r="L1490" s="11" t="n">
        <v>0.996278358922109</v>
      </c>
      <c r="M1490" s="1" t="n">
        <f aca="false">SUMIF(Relatorio_AK!$A:$A,A1490,Relatorio_AK!$B:$B)</f>
        <v>19</v>
      </c>
      <c r="N1490" s="1" t="str">
        <f aca="false">IF(M1490=K1490,"OK","DIF")</f>
        <v>OK</v>
      </c>
      <c r="O1490" s="13" t="str">
        <f aca="false">IFERROR(VLOOKUP($A1490,Lista_Starke!$A:$E,3,0),"NÃO ESTÁ NA LISTA")</f>
        <v>GM: Classic 1.0 8V VHC 02/08
GM: Corsa 1.0 8V 98/02
GM: Corsa 1.6 8V 98/02
GM: Corsa Sedan / Wagon 1.6 8V 98/02</v>
      </c>
      <c r="P1490" s="12" t="str">
        <f aca="false">IFERROR(VLOOKUP($A1490,Lista_Starke!$A:$E,2,0),"NÃO ESTÁ NA LISTA")</f>
        <v>SERVO FREIO</v>
      </c>
    </row>
    <row r="1491" customFormat="false" ht="15" hidden="false" customHeight="true" outlineLevel="0" collapsed="false">
      <c r="A1491" s="10" t="s">
        <v>3217</v>
      </c>
      <c r="B1491" s="10" t="str">
        <f aca="false">IFERROR(VLOOKUP(A1491,Pedido!$A:$B,2,0),"")</f>
        <v/>
      </c>
      <c r="C1491" s="10" t="str">
        <f aca="false">IF(B1491="","NÃO COMPRA","COMPRA")</f>
        <v>NÃO COMPRA</v>
      </c>
      <c r="D1491" s="1" t="n">
        <f aca="false">IFERROR(VLOOKUP(A1491,Pedido!$A:$C,3,0),0)</f>
        <v>0</v>
      </c>
      <c r="E1491" s="5" t="n">
        <f aca="false">IFERROR(VLOOKUP(A1491,Pedido!$A:$E,5,0),0)</f>
        <v>0</v>
      </c>
      <c r="F1491" s="1" t="s">
        <v>9</v>
      </c>
      <c r="G1491" s="1" t="s">
        <v>3089</v>
      </c>
      <c r="H1491" s="1" t="s">
        <v>2466</v>
      </c>
      <c r="I1491" s="1" t="s">
        <v>42</v>
      </c>
      <c r="J1491" s="1" t="s">
        <v>3218</v>
      </c>
      <c r="K1491" s="1" t="n">
        <v>19</v>
      </c>
      <c r="L1491" s="11" t="n">
        <v>0.996310839942082</v>
      </c>
      <c r="M1491" s="1" t="n">
        <f aca="false">SUMIF(Relatorio_AK!$A:$A,A1491,Relatorio_AK!$B:$B)</f>
        <v>19</v>
      </c>
      <c r="N1491" s="1" t="str">
        <f aca="false">IF(M1491=K1491,"OK","DIF")</f>
        <v>OK</v>
      </c>
      <c r="O1491" s="13" t="str">
        <f aca="false">IFERROR(VLOOKUP($A1491,Lista_Starke!$A:$E,3,0),"NÃO ESTÁ NA LISTA")</f>
        <v>RENAULT: Clio 1.0 16V D4D 00/05
RENAULT: Clio 1.0 16V D4D 01/05
RENAULT: Clio 1.0 16V D4D 05/13
RENAULT: Clio 1.6 16V K4M 00/04
RENAULT: Clio 1.6 16V K4M 00/06
RENAULT: Clio 1.6 16V K4M 04/09
RENAULT: Symbol 1.6 16V K4M 09/13</v>
      </c>
      <c r="P1491" s="12" t="str">
        <f aca="false">IFERROR(VLOOKUP($A1491,Lista_Starke!$A:$E,2,0),"NÃO ESTÁ NA LISTA")</f>
        <v>SERVO FREIO</v>
      </c>
    </row>
    <row r="1492" customFormat="false" ht="15" hidden="false" customHeight="true" outlineLevel="0" collapsed="false">
      <c r="A1492" s="10" t="s">
        <v>3219</v>
      </c>
      <c r="B1492" s="10" t="str">
        <f aca="false">IFERROR(VLOOKUP(A1492,Pedido!$A:$B,2,0),"")</f>
        <v/>
      </c>
      <c r="C1492" s="10" t="str">
        <f aca="false">IF(B1492="","NÃO COMPRA","COMPRA")</f>
        <v>NÃO COMPRA</v>
      </c>
      <c r="D1492" s="1" t="n">
        <f aca="false">IFERROR(VLOOKUP(A1492,Pedido!$A:$C,3,0),0)</f>
        <v>0</v>
      </c>
      <c r="E1492" s="5" t="n">
        <f aca="false">IFERROR(VLOOKUP(A1492,Pedido!$A:$E,5,0),0)</f>
        <v>0</v>
      </c>
      <c r="F1492" s="1" t="s">
        <v>9</v>
      </c>
      <c r="G1492" s="1" t="s">
        <v>207</v>
      </c>
      <c r="H1492" s="1" t="s">
        <v>197</v>
      </c>
      <c r="I1492" s="1" t="s">
        <v>3220</v>
      </c>
      <c r="J1492" s="1" t="s">
        <v>3221</v>
      </c>
      <c r="K1492" s="1" t="n">
        <v>18</v>
      </c>
      <c r="L1492" s="11" t="n">
        <v>0.996341611434687</v>
      </c>
      <c r="M1492" s="1" t="n">
        <f aca="false">SUMIF(Relatorio_AK!$A:$A,A1492,Relatorio_AK!$B:$B)</f>
        <v>18</v>
      </c>
      <c r="N1492" s="1" t="str">
        <f aca="false">IF(M1492=K1492,"OK","DIF")</f>
        <v>OK</v>
      </c>
      <c r="O1492" s="13" t="str">
        <f aca="false">IFERROR(VLOOKUP($A1492,Lista_Starke!$A:$E,3,0),"NÃO ESTÁ NA LISTA")</f>
        <v>RENAULT: Laguna 1.8 16V F3P / F4P 94/01
RENAULT: Laguna 2.0 16V F3P / F4P 94/01
RENAULT: Megane 1.8 16V F4P720 / F4P722 94/…
RENAULT: Megane 2.0 16V F4P720 / F4P722 94/…
RENAULT: R19 1.8 16V F3P / F7P 92/96
RENAULT: Scenic 1.8 16V F4P720 / F4P722 99/03
RENAULT: Scenic 2.0 16V F4P720 / F4P722 99/03
SUZUKI: Vitara 1.6 16V 96/98
VOLVO: 440 1.7 Turbo / 1.8 / 2.0 92/…
VOLVO: 460 1.7 Turbo / 1.8 / 2.0 92/…</v>
      </c>
      <c r="P1492" s="12" t="str">
        <f aca="false">IFERROR(VLOOKUP($A1492,Lista_Starke!$A:$E,2,0),"NÃO ESTÁ NA LISTA")</f>
        <v>BOMBA D'ÁGUA</v>
      </c>
    </row>
    <row r="1493" customFormat="false" ht="15" hidden="false" customHeight="true" outlineLevel="0" collapsed="false">
      <c r="A1493" s="10" t="s">
        <v>3222</v>
      </c>
      <c r="B1493" s="10" t="str">
        <f aca="false">IFERROR(VLOOKUP(A1493,Pedido!$A:$B,2,0),"")</f>
        <v/>
      </c>
      <c r="C1493" s="10" t="str">
        <f aca="false">IF(B1493="","NÃO COMPRA","COMPRA")</f>
        <v>NÃO COMPRA</v>
      </c>
      <c r="D1493" s="1" t="n">
        <f aca="false">IFERROR(VLOOKUP(A1493,Pedido!$A:$C,3,0),0)</f>
        <v>0</v>
      </c>
      <c r="E1493" s="5" t="n">
        <f aca="false">IFERROR(VLOOKUP(A1493,Pedido!$A:$E,5,0),0)</f>
        <v>0</v>
      </c>
      <c r="F1493" s="1" t="s">
        <v>9</v>
      </c>
      <c r="G1493" s="1" t="s">
        <v>2875</v>
      </c>
      <c r="H1493" s="1" t="s">
        <v>2420</v>
      </c>
      <c r="I1493" s="1" t="s">
        <v>1182</v>
      </c>
      <c r="J1493" s="1" t="s">
        <v>3223</v>
      </c>
      <c r="K1493" s="1" t="n">
        <v>18</v>
      </c>
      <c r="L1493" s="11" t="n">
        <v>0.996372382927293</v>
      </c>
      <c r="M1493" s="1" t="n">
        <f aca="false">SUMIF(Relatorio_AK!$A:$A,A1493,Relatorio_AK!$B:$B)</f>
        <v>18</v>
      </c>
      <c r="N1493" s="1" t="str">
        <f aca="false">IF(M1493=K1493,"OK","DIF")</f>
        <v>OK</v>
      </c>
      <c r="O1493" s="12" t="str">
        <f aca="false">IFERROR(VLOOKUP($A1493,Lista_Starke!$A:$E,3,0),"NÃO ESTÁ NA LISTA")</f>
        <v>KIA: Bongo K2500  13/21</v>
      </c>
      <c r="P1493" s="12" t="str">
        <f aca="false">IFERROR(VLOOKUP($A1493,Lista_Starke!$A:$E,2,0),"NÃO ESTÁ NA LISTA")</f>
        <v>BANDEJA SUPERIOR COMPLETA LE</v>
      </c>
    </row>
    <row r="1494" customFormat="false" ht="15" hidden="false" customHeight="true" outlineLevel="0" collapsed="false">
      <c r="A1494" s="10" t="s">
        <v>3224</v>
      </c>
      <c r="B1494" s="10" t="str">
        <f aca="false">IFERROR(VLOOKUP(A1494,Pedido!$A:$B,2,0),"")</f>
        <v/>
      </c>
      <c r="C1494" s="10" t="str">
        <f aca="false">IF(B1494="","NÃO COMPRA","COMPRA")</f>
        <v>NÃO COMPRA</v>
      </c>
      <c r="D1494" s="1" t="n">
        <f aca="false">IFERROR(VLOOKUP(A1494,Pedido!$A:$C,3,0),0)</f>
        <v>0</v>
      </c>
      <c r="E1494" s="5" t="n">
        <f aca="false">IFERROR(VLOOKUP(A1494,Pedido!$A:$E,5,0),0)</f>
        <v>0</v>
      </c>
      <c r="F1494" s="1" t="s">
        <v>9</v>
      </c>
      <c r="G1494" s="1" t="s">
        <v>1899</v>
      </c>
      <c r="H1494" s="1" t="s">
        <v>1358</v>
      </c>
      <c r="I1494" s="1" t="s">
        <v>3180</v>
      </c>
      <c r="J1494" s="1" t="s">
        <v>3225</v>
      </c>
      <c r="K1494" s="1" t="n">
        <v>18</v>
      </c>
      <c r="L1494" s="11" t="n">
        <v>0.996403154419898</v>
      </c>
      <c r="M1494" s="1" t="n">
        <f aca="false">SUMIF(Relatorio_AK!$A:$A,A1494,Relatorio_AK!$B:$B)</f>
        <v>18</v>
      </c>
      <c r="N1494" s="1" t="str">
        <f aca="false">IF(M1494=K1494,"OK","DIF")</f>
        <v>OK</v>
      </c>
      <c r="O1494" s="13" t="str">
        <f aca="false">IFERROR(VLOOKUP($A1494,Lista_Starke!$A:$E,3,0),"NÃO ESTÁ NA LISTA")</f>
        <v>CHERY: Tiggo 2  09/16
LIFAN: X60  12/16</v>
      </c>
      <c r="P1494" s="12" t="str">
        <f aca="false">IFERROR(VLOOKUP($A1494,Lista_Starke!$A:$E,2,0),"NÃO ESTÁ NA LISTA")</f>
        <v>BANDEJA INFERIOR COMPLETA LE</v>
      </c>
    </row>
    <row r="1495" customFormat="false" ht="15" hidden="false" customHeight="true" outlineLevel="0" collapsed="false">
      <c r="A1495" s="10" t="s">
        <v>3226</v>
      </c>
      <c r="B1495" s="10" t="str">
        <f aca="false">IFERROR(VLOOKUP(A1495,Pedido!$A:$B,2,0),"")</f>
        <v/>
      </c>
      <c r="C1495" s="10" t="str">
        <f aca="false">IF(B1495="","NÃO COMPRA","COMPRA")</f>
        <v>NÃO COMPRA</v>
      </c>
      <c r="D1495" s="1" t="n">
        <f aca="false">IFERROR(VLOOKUP(A1495,Pedido!$A:$C,3,0),0)</f>
        <v>0</v>
      </c>
      <c r="E1495" s="5" t="n">
        <f aca="false">IFERROR(VLOOKUP(A1495,Pedido!$A:$E,5,0),0)</f>
        <v>0</v>
      </c>
      <c r="F1495" s="1" t="s">
        <v>9</v>
      </c>
      <c r="G1495" s="1" t="s">
        <v>3127</v>
      </c>
      <c r="H1495" s="1" t="s">
        <v>1358</v>
      </c>
      <c r="I1495" s="1" t="s">
        <v>1431</v>
      </c>
      <c r="J1495" s="1" t="s">
        <v>3227</v>
      </c>
      <c r="K1495" s="1" t="n">
        <v>18</v>
      </c>
      <c r="L1495" s="11" t="n">
        <v>0.996433925912504</v>
      </c>
      <c r="M1495" s="1" t="n">
        <f aca="false">SUMIF(Relatorio_AK!$A:$A,A1495,Relatorio_AK!$B:$B)</f>
        <v>18</v>
      </c>
      <c r="N1495" s="1" t="str">
        <f aca="false">IF(M1495=K1495,"OK","DIF")</f>
        <v>OK</v>
      </c>
      <c r="O1495" s="12" t="str">
        <f aca="false">IFERROR(VLOOKUP($A1495,Lista_Starke!$A:$E,3,0),"NÃO ESTÁ NA LISTA")</f>
        <v>VOLVO: XC60  09/17</v>
      </c>
      <c r="P1495" s="12" t="str">
        <f aca="false">IFERROR(VLOOKUP($A1495,Lista_Starke!$A:$E,2,0),"NÃO ESTÁ NA LISTA")</f>
        <v>BANDEJA INFERIOR COMPLETA LE</v>
      </c>
    </row>
    <row r="1496" customFormat="false" ht="15" hidden="false" customHeight="true" outlineLevel="0" collapsed="false">
      <c r="A1496" s="10" t="s">
        <v>3228</v>
      </c>
      <c r="B1496" s="10" t="str">
        <f aca="false">IFERROR(VLOOKUP(A1496,Pedido!$A:$B,2,0),"")</f>
        <v/>
      </c>
      <c r="C1496" s="10" t="str">
        <f aca="false">IF(B1496="","NÃO COMPRA","COMPRA")</f>
        <v>NÃO COMPRA</v>
      </c>
      <c r="D1496" s="1" t="n">
        <f aca="false">IFERROR(VLOOKUP(A1496,Pedido!$A:$C,3,0),0)</f>
        <v>0</v>
      </c>
      <c r="E1496" s="5" t="n">
        <f aca="false">IFERROR(VLOOKUP(A1496,Pedido!$A:$E,5,0),0)</f>
        <v>0</v>
      </c>
      <c r="F1496" s="1" t="s">
        <v>9</v>
      </c>
      <c r="G1496" s="1" t="s">
        <v>2580</v>
      </c>
      <c r="H1496" s="1" t="s">
        <v>1951</v>
      </c>
      <c r="I1496" s="1" t="s">
        <v>1157</v>
      </c>
      <c r="K1496" s="1" t="n">
        <v>18</v>
      </c>
      <c r="L1496" s="11" t="n">
        <v>0.996464697405109</v>
      </c>
      <c r="M1496" s="1" t="n">
        <f aca="false">SUMIF(Relatorio_AK!$A:$A,A1496,Relatorio_AK!$B:$B)</f>
        <v>18</v>
      </c>
      <c r="N1496" s="1" t="str">
        <f aca="false">IF(M1496=K1496,"OK","DIF")</f>
        <v>OK</v>
      </c>
      <c r="O1496" s="13" t="str">
        <f aca="false">IFERROR(VLOOKUP($A1496,Lista_Starke!$A:$E,3,0),"NÃO ESTÁ NA LISTA")</f>
        <v>BMW: X5  13/19
BMW: X6  14/20</v>
      </c>
      <c r="P1496" s="12" t="str">
        <f aca="false">IFERROR(VLOOKUP($A1496,Lista_Starke!$A:$E,2,0),"NÃO ESTÁ NA LISTA")</f>
        <v>KIT BRAÇO OSCILANTE DIANT INFERIOR COMPLETO LE/LD</v>
      </c>
    </row>
    <row r="1497" customFormat="false" ht="15" hidden="false" customHeight="true" outlineLevel="0" collapsed="false">
      <c r="A1497" s="10" t="s">
        <v>3229</v>
      </c>
      <c r="B1497" s="10" t="str">
        <f aca="false">IFERROR(VLOOKUP(A1497,Pedido!$A:$B,2,0),"")</f>
        <v/>
      </c>
      <c r="C1497" s="10" t="str">
        <f aca="false">IF(B1497="","NÃO COMPRA","COMPRA")</f>
        <v>NÃO COMPRA</v>
      </c>
      <c r="D1497" s="1" t="n">
        <f aca="false">IFERROR(VLOOKUP(A1497,Pedido!$A:$C,3,0),0)</f>
        <v>0</v>
      </c>
      <c r="E1497" s="5" t="n">
        <f aca="false">IFERROR(VLOOKUP(A1497,Pedido!$A:$E,5,0),0)</f>
        <v>0</v>
      </c>
      <c r="F1497" s="1" t="s">
        <v>9</v>
      </c>
      <c r="G1497" s="1" t="s">
        <v>1878</v>
      </c>
      <c r="H1497" s="1" t="s">
        <v>1358</v>
      </c>
      <c r="I1497" s="1" t="s">
        <v>177</v>
      </c>
      <c r="J1497" s="1" t="s">
        <v>3230</v>
      </c>
      <c r="K1497" s="1" t="n">
        <v>18</v>
      </c>
      <c r="L1497" s="11" t="n">
        <v>0.996495468897715</v>
      </c>
      <c r="M1497" s="1" t="n">
        <f aca="false">SUMIF(Relatorio_AK!$A:$A,A1497,Relatorio_AK!$B:$B)</f>
        <v>18</v>
      </c>
      <c r="N1497" s="1" t="str">
        <f aca="false">IF(M1497=K1497,"OK","DIF")</f>
        <v>OK</v>
      </c>
      <c r="O1497" s="13" t="str">
        <f aca="false">IFERROR(VLOOKUP($A1497,Lista_Starke!$A:$E,3,0),"NÃO ESTÁ NA LISTA")</f>
        <v>TOYOTA: Corolla 1.8 16V 03/08
TOYOTA: Filder 1.8 16V 03/08</v>
      </c>
      <c r="P1497" s="12" t="str">
        <f aca="false">IFERROR(VLOOKUP($A1497,Lista_Starke!$A:$E,2,0),"NÃO ESTÁ NA LISTA")</f>
        <v>BANDEJA INFERIOR COMPLETA LE</v>
      </c>
    </row>
    <row r="1498" customFormat="false" ht="15" hidden="false" customHeight="true" outlineLevel="0" collapsed="false">
      <c r="A1498" s="10" t="s">
        <v>3231</v>
      </c>
      <c r="B1498" s="10" t="str">
        <f aca="false">IFERROR(VLOOKUP(A1498,Pedido!$A:$B,2,0),"")</f>
        <v/>
      </c>
      <c r="C1498" s="10" t="str">
        <f aca="false">IF(B1498="","NÃO COMPRA","COMPRA")</f>
        <v>NÃO COMPRA</v>
      </c>
      <c r="D1498" s="1" t="n">
        <f aca="false">IFERROR(VLOOKUP(A1498,Pedido!$A:$C,3,0),0)</f>
        <v>0</v>
      </c>
      <c r="E1498" s="5" t="n">
        <f aca="false">IFERROR(VLOOKUP(A1498,Pedido!$A:$E,5,0),0)</f>
        <v>0</v>
      </c>
      <c r="F1498" s="1" t="s">
        <v>9</v>
      </c>
      <c r="G1498" s="1" t="s">
        <v>349</v>
      </c>
      <c r="H1498" s="1" t="s">
        <v>197</v>
      </c>
      <c r="I1498" s="1" t="s">
        <v>57</v>
      </c>
      <c r="J1498" s="1" t="s">
        <v>3232</v>
      </c>
      <c r="K1498" s="1" t="n">
        <v>18</v>
      </c>
      <c r="L1498" s="11" t="n">
        <v>0.99652624039032</v>
      </c>
      <c r="M1498" s="1" t="n">
        <f aca="false">SUMIF(Relatorio_AK!$A:$A,A1498,Relatorio_AK!$B:$B)</f>
        <v>18</v>
      </c>
      <c r="N1498" s="1" t="str">
        <f aca="false">IF(M1498=K1498,"OK","DIF")</f>
        <v>OK</v>
      </c>
      <c r="O1498" s="13" t="str">
        <f aca="false">IFERROR(VLOOKUP($A1498,Lista_Starke!$A:$E,3,0),"NÃO ESTÁ NA LISTA")</f>
        <v>GM: Blazer 2.2 94/95
GM: Lumina 2.2 93
GM: S10 2.2 94/95</v>
      </c>
      <c r="P1498" s="12" t="str">
        <f aca="false">IFERROR(VLOOKUP($A1498,Lista_Starke!$A:$E,2,0),"NÃO ESTÁ NA LISTA")</f>
        <v>BOMBA D'ÁGUA</v>
      </c>
    </row>
    <row r="1499" customFormat="false" ht="15" hidden="false" customHeight="true" outlineLevel="0" collapsed="false">
      <c r="A1499" s="10" t="s">
        <v>3233</v>
      </c>
      <c r="B1499" s="10" t="str">
        <f aca="false">IFERROR(VLOOKUP(A1499,Pedido!$A:$B,2,0),"")</f>
        <v/>
      </c>
      <c r="C1499" s="10" t="str">
        <f aca="false">IF(B1499="","NÃO COMPRA","COMPRA")</f>
        <v>NÃO COMPRA</v>
      </c>
      <c r="D1499" s="1" t="n">
        <f aca="false">IFERROR(VLOOKUP(A1499,Pedido!$A:$C,3,0),0)</f>
        <v>0</v>
      </c>
      <c r="E1499" s="5" t="n">
        <f aca="false">IFERROR(VLOOKUP(A1499,Pedido!$A:$E,5,0),0)</f>
        <v>0</v>
      </c>
      <c r="F1499" s="1" t="s">
        <v>9</v>
      </c>
      <c r="G1499" s="1" t="s">
        <v>377</v>
      </c>
      <c r="H1499" s="1" t="s">
        <v>197</v>
      </c>
      <c r="I1499" s="1" t="s">
        <v>53</v>
      </c>
      <c r="J1499" s="1" t="s">
        <v>3234</v>
      </c>
      <c r="K1499" s="1" t="n">
        <v>18</v>
      </c>
      <c r="L1499" s="11" t="n">
        <v>0.996557011882925</v>
      </c>
      <c r="M1499" s="1" t="n">
        <f aca="false">SUMIF(Relatorio_AK!$A:$A,A1499,Relatorio_AK!$B:$B)</f>
        <v>18</v>
      </c>
      <c r="N1499" s="1" t="str">
        <f aca="false">IF(M1499=K1499,"OK","DIF")</f>
        <v>OK</v>
      </c>
      <c r="O1499" s="13" t="str">
        <f aca="false">IFERROR(VLOOKUP($A1499,Lista_Starke!$A:$E,3,0),"NÃO ESTÁ NA LISTA")</f>
        <v>FORD: Courier 1.6 Zetec Rocam 00/06
FORD: Ecosport 1.0 Zetec Rocam 03/...
FORD: Ecosport 1.0 Zetec Rocam Supercharger 03/08
FORD: Ecosport 1.6 Zetec Rocam 03/...
FORD: Fiesta 1.0 Zetec Rocam 00/...
FORD: Fiesta 1.0 Zetec Rocam Supercharger 00/08
FORD: Fiesta 1.6 Zetec Rocam 99/06
FORD: Focus 1.6 Zetec Rocam 03/...
FORD: Ka 1.0 Zetec Rocam 99/...
FORD: Ka 1.6 Zetec Rocam 99/...</v>
      </c>
      <c r="P1499" s="12" t="str">
        <f aca="false">IFERROR(VLOOKUP($A1499,Lista_Starke!$A:$E,2,0),"NÃO ESTÁ NA LISTA")</f>
        <v>BOMBA D'ÁGUA</v>
      </c>
    </row>
    <row r="1500" customFormat="false" ht="15" hidden="false" customHeight="true" outlineLevel="0" collapsed="false">
      <c r="A1500" s="10" t="s">
        <v>3235</v>
      </c>
      <c r="B1500" s="10" t="str">
        <f aca="false">IFERROR(VLOOKUP(A1500,Pedido!$A:$B,2,0),"")</f>
        <v/>
      </c>
      <c r="C1500" s="10" t="str">
        <f aca="false">IF(B1500="","NÃO COMPRA","COMPRA")</f>
        <v>NÃO COMPRA</v>
      </c>
      <c r="D1500" s="1" t="n">
        <f aca="false">IFERROR(VLOOKUP(A1500,Pedido!$A:$C,3,0),0)</f>
        <v>0</v>
      </c>
      <c r="E1500" s="5" t="n">
        <f aca="false">IFERROR(VLOOKUP(A1500,Pedido!$A:$E,5,0),0)</f>
        <v>0</v>
      </c>
      <c r="F1500" s="1" t="s">
        <v>9</v>
      </c>
      <c r="G1500" s="1" t="s">
        <v>1914</v>
      </c>
      <c r="H1500" s="1" t="s">
        <v>906</v>
      </c>
      <c r="I1500" s="1" t="s">
        <v>2907</v>
      </c>
      <c r="J1500" s="1" t="s">
        <v>3236</v>
      </c>
      <c r="K1500" s="1" t="n">
        <v>18</v>
      </c>
      <c r="L1500" s="11" t="n">
        <v>0.996587783375531</v>
      </c>
      <c r="M1500" s="1" t="n">
        <f aca="false">SUMIF(Relatorio_AK!$A:$A,A1500,Relatorio_AK!$B:$B)</f>
        <v>18</v>
      </c>
      <c r="N1500" s="1" t="str">
        <f aca="false">IF(M1500=K1500,"OK","DIF")</f>
        <v>OK</v>
      </c>
      <c r="O1500" s="13" t="str">
        <f aca="false">IFERROR(VLOOKUP($A1500,Lista_Starke!$A:$E,3,0),"NÃO ESTÁ NA LISTA")</f>
        <v>AUDI: A3 2.0 16V TFSI CDNB/CDNC/CAEA/CAEB 07/16
AUDI: A4 1.8 16V TFSI CABA/CDHA/CABB/CDHB 07/12
AUDI: A4 2.0 16V TFSI CDNC/CPMA/CDNB/CFKA 08/16
AUDI: A5 2.0 16V TFSI CDNB/CDNC/CAEB 08/17
AUDI: Q5 2.0 16V TFSI CDNB/CNCB/CDNC/CAEB 09/17</v>
      </c>
      <c r="P1500" s="12" t="str">
        <f aca="false">IFERROR(VLOOKUP($A1500,Lista_Starke!$A:$E,2,0),"NÃO ESTÁ NA LISTA")</f>
        <v>BOMBA D'ÁGUA AUXILIAR</v>
      </c>
    </row>
    <row r="1501" customFormat="false" ht="15" hidden="false" customHeight="true" outlineLevel="0" collapsed="false">
      <c r="A1501" s="10" t="s">
        <v>3237</v>
      </c>
      <c r="B1501" s="10" t="str">
        <f aca="false">IFERROR(VLOOKUP(A1501,Pedido!$A:$B,2,0),"")</f>
        <v/>
      </c>
      <c r="C1501" s="10" t="str">
        <f aca="false">IF(B1501="","NÃO COMPRA","COMPRA")</f>
        <v>NÃO COMPRA</v>
      </c>
      <c r="D1501" s="1" t="n">
        <f aca="false">IFERROR(VLOOKUP(A1501,Pedido!$A:$C,3,0),0)</f>
        <v>0</v>
      </c>
      <c r="E1501" s="5" t="n">
        <f aca="false">IFERROR(VLOOKUP(A1501,Pedido!$A:$E,5,0),0)</f>
        <v>0</v>
      </c>
      <c r="F1501" s="1" t="s">
        <v>9</v>
      </c>
      <c r="G1501" s="1" t="s">
        <v>826</v>
      </c>
      <c r="H1501" s="1" t="s">
        <v>906</v>
      </c>
      <c r="I1501" s="1" t="s">
        <v>1157</v>
      </c>
      <c r="J1501" s="1" t="s">
        <v>3238</v>
      </c>
      <c r="K1501" s="1" t="n">
        <v>18</v>
      </c>
      <c r="L1501" s="11" t="n">
        <v>0.996618554868136</v>
      </c>
      <c r="M1501" s="1" t="n">
        <f aca="false">SUMIF(Relatorio_AK!$A:$A,A1501,Relatorio_AK!$B:$B)</f>
        <v>18</v>
      </c>
      <c r="N1501" s="1" t="str">
        <f aca="false">IF(M1501=K1501,"OK","DIF")</f>
        <v>OK</v>
      </c>
      <c r="O1501" s="13" t="str">
        <f aca="false">IFERROR(VLOOKUP($A1501,Lista_Starke!$A:$E,3,0),"NÃO ESTÁ NA LISTA")</f>
        <v>BMW: 550i (F07) 4.4 8 cil. N63B44A / N63B44B 09/17
BMW: 650i (F12/F13) 4.4 8 cil. N63B44A / N63B44B 10/18
BMW: 750i (F01/F02/F03/F04) 4.4 8 cil. N63B44A / N63B44B / N74B60A 10/15
BMW: X5 (E70) 4.4 8 cil. N63B44A 10/13
BMW: X5 (F15/F85) 4.4 8 cil. N53B44B 13/18
BMW: X6 (E71/E72) 4.4 8 cil. N63B44A 08/14
BMW: X6 (F16/F86) 4.4 8 cil. N63B44B 14/19</v>
      </c>
      <c r="P1501" s="12" t="str">
        <f aca="false">IFERROR(VLOOKUP($A1501,Lista_Starke!$A:$E,2,0),"NÃO ESTÁ NA LISTA")</f>
        <v>BOMBA D'ÁGUA AUXILIAR</v>
      </c>
    </row>
    <row r="1502" customFormat="false" ht="15" hidden="false" customHeight="true" outlineLevel="0" collapsed="false">
      <c r="A1502" s="10" t="s">
        <v>3239</v>
      </c>
      <c r="B1502" s="10" t="str">
        <f aca="false">IFERROR(VLOOKUP(A1502,Pedido!$A:$B,2,0),"")</f>
        <v/>
      </c>
      <c r="C1502" s="10" t="str">
        <f aca="false">IF(B1502="","NÃO COMPRA","COMPRA")</f>
        <v>NÃO COMPRA</v>
      </c>
      <c r="D1502" s="1" t="n">
        <f aca="false">IFERROR(VLOOKUP(A1502,Pedido!$A:$C,3,0),0)</f>
        <v>0</v>
      </c>
      <c r="E1502" s="5" t="n">
        <f aca="false">IFERROR(VLOOKUP(A1502,Pedido!$A:$E,5,0),0)</f>
        <v>0</v>
      </c>
      <c r="F1502" s="1" t="s">
        <v>9</v>
      </c>
      <c r="G1502" s="1" t="s">
        <v>168</v>
      </c>
      <c r="H1502" s="1" t="s">
        <v>845</v>
      </c>
      <c r="I1502" s="1" t="s">
        <v>373</v>
      </c>
      <c r="J1502" s="1" t="s">
        <v>3240</v>
      </c>
      <c r="K1502" s="1" t="n">
        <v>18</v>
      </c>
      <c r="L1502" s="11" t="n">
        <v>0.996649326360742</v>
      </c>
      <c r="M1502" s="1" t="n">
        <f aca="false">SUMIF(Relatorio_AK!$A:$A,A1502,Relatorio_AK!$B:$B)</f>
        <v>18</v>
      </c>
      <c r="N1502" s="1" t="str">
        <f aca="false">IF(M1502=K1502,"OK","DIF")</f>
        <v>OK</v>
      </c>
      <c r="O1502" s="13" t="str">
        <f aca="false">IFERROR(VLOOKUP($A1502,Lista_Starke!$A:$E,3,0),"NÃO ESTÁ NA LISTA")</f>
        <v>MERCEDES-BENZ: Classe C (C204)  11/...
MERCEDES-BENZ: Classe CLS (C218)  11/...
MERCEDES-BENZ: Classe CLS (X218)  12/...
MERCEDES-BENZ: Classe E (W212)  09/...
MERCEDES-BENZ: Classe E (W213)  14/...
MERCEDES-BENZ: Classe GLK (X204)  08/...</v>
      </c>
      <c r="P1502" s="12" t="str">
        <f aca="false">IFERROR(VLOOKUP($A1502,Lista_Starke!$A:$E,2,0),"NÃO ESTÁ NA LISTA")</f>
        <v>SAPATA DE FREIO DE MÃO</v>
      </c>
    </row>
    <row r="1503" customFormat="false" ht="15" hidden="false" customHeight="true" outlineLevel="0" collapsed="false">
      <c r="A1503" s="10" t="s">
        <v>3241</v>
      </c>
      <c r="B1503" s="10" t="str">
        <f aca="false">IFERROR(VLOOKUP(A1503,Pedido!$A:$B,2,0),"")</f>
        <v/>
      </c>
      <c r="C1503" s="10" t="str">
        <f aca="false">IF(B1503="","NÃO COMPRA","COMPRA")</f>
        <v>NÃO COMPRA</v>
      </c>
      <c r="D1503" s="1" t="n">
        <f aca="false">IFERROR(VLOOKUP(A1503,Pedido!$A:$C,3,0),0)</f>
        <v>0</v>
      </c>
      <c r="E1503" s="5" t="n">
        <f aca="false">IFERROR(VLOOKUP(A1503,Pedido!$A:$E,5,0),0)</f>
        <v>0</v>
      </c>
      <c r="F1503" s="1" t="s">
        <v>9</v>
      </c>
      <c r="G1503" s="1" t="s">
        <v>2469</v>
      </c>
      <c r="H1503" s="1" t="s">
        <v>2466</v>
      </c>
      <c r="I1503" s="1" t="s">
        <v>57</v>
      </c>
      <c r="J1503" s="1" t="s">
        <v>3242</v>
      </c>
      <c r="K1503" s="1" t="n">
        <v>18</v>
      </c>
      <c r="L1503" s="11" t="n">
        <v>0.996680097853347</v>
      </c>
      <c r="M1503" s="1" t="n">
        <f aca="false">SUMIF(Relatorio_AK!$A:$A,A1503,Relatorio_AK!$B:$B)</f>
        <v>18</v>
      </c>
      <c r="N1503" s="1" t="str">
        <f aca="false">IF(M1503=K1503,"OK","DIF")</f>
        <v>OK</v>
      </c>
      <c r="O1503" s="13" t="str">
        <f aca="false">IFERROR(VLOOKUP($A1503,Lista_Starke!$A:$E,3,0),"NÃO ESTÁ NA LISTA")</f>
        <v>GM: Celta 1.0 8V 09/14
GM: Prisma 1.0 8V 09/11
GM: Prisma 1.4 8V 06/13</v>
      </c>
      <c r="P1503" s="12" t="str">
        <f aca="false">IFERROR(VLOOKUP($A1503,Lista_Starke!$A:$E,2,0),"NÃO ESTÁ NA LISTA")</f>
        <v>SERVO FREIO</v>
      </c>
    </row>
    <row r="1504" customFormat="false" ht="15" hidden="false" customHeight="true" outlineLevel="0" collapsed="false">
      <c r="A1504" s="10" t="s">
        <v>3243</v>
      </c>
      <c r="B1504" s="10" t="str">
        <f aca="false">IFERROR(VLOOKUP(A1504,Pedido!$A:$B,2,0),"")</f>
        <v/>
      </c>
      <c r="C1504" s="10" t="str">
        <f aca="false">IF(B1504="","NÃO COMPRA","COMPRA")</f>
        <v>NÃO COMPRA</v>
      </c>
      <c r="D1504" s="1" t="n">
        <f aca="false">IFERROR(VLOOKUP(A1504,Pedido!$A:$C,3,0),0)</f>
        <v>0</v>
      </c>
      <c r="E1504" s="5" t="n">
        <f aca="false">IFERROR(VLOOKUP(A1504,Pedido!$A:$E,5,0),0)</f>
        <v>0</v>
      </c>
      <c r="F1504" s="1" t="s">
        <v>9</v>
      </c>
      <c r="G1504" s="1" t="s">
        <v>3244</v>
      </c>
      <c r="H1504" s="1" t="s">
        <v>2466</v>
      </c>
      <c r="I1504" s="1" t="s">
        <v>71</v>
      </c>
      <c r="J1504" s="1" t="s">
        <v>3245</v>
      </c>
      <c r="K1504" s="1" t="n">
        <v>18</v>
      </c>
      <c r="L1504" s="11" t="n">
        <v>0.996710869345953</v>
      </c>
      <c r="M1504" s="1" t="n">
        <f aca="false">SUMIF(Relatorio_AK!$A:$A,A1504,Relatorio_AK!$B:$B)</f>
        <v>18</v>
      </c>
      <c r="N1504" s="1" t="str">
        <f aca="false">IF(M1504=K1504,"OK","DIF")</f>
        <v>OK</v>
      </c>
      <c r="O1504" s="13" t="str">
        <f aca="false">IFERROR(VLOOKUP($A1504,Lista_Starke!$A:$E,3,0),"NÃO ESTÁ NA LISTA")</f>
        <v>PEUGEOT: 206 1.0 16V D4D 01/04
PEUGEOT: 206 1.4 8V TU3JP 05/09
PEUGEOT: 206 1.6 8V TU5JP4 99/01
PEUGEOT: 207 1.4 8V TU3JP 09/11</v>
      </c>
      <c r="P1504" s="12" t="str">
        <f aca="false">IFERROR(VLOOKUP($A1504,Lista_Starke!$A:$E,2,0),"NÃO ESTÁ NA LISTA")</f>
        <v>SERVO FREIO</v>
      </c>
    </row>
    <row r="1505" customFormat="false" ht="15" hidden="false" customHeight="true" outlineLevel="0" collapsed="false">
      <c r="A1505" s="10" t="s">
        <v>3246</v>
      </c>
      <c r="B1505" s="10" t="str">
        <f aca="false">IFERROR(VLOOKUP(A1505,Pedido!$A:$B,2,0),"")</f>
        <v/>
      </c>
      <c r="C1505" s="10" t="str">
        <f aca="false">IF(B1505="","NÃO COMPRA","COMPRA")</f>
        <v>NÃO COMPRA</v>
      </c>
      <c r="D1505" s="1" t="n">
        <f aca="false">IFERROR(VLOOKUP(A1505,Pedido!$A:$C,3,0),0)</f>
        <v>0</v>
      </c>
      <c r="E1505" s="5" t="n">
        <f aca="false">IFERROR(VLOOKUP(A1505,Pedido!$A:$E,5,0),0)</f>
        <v>0</v>
      </c>
      <c r="F1505" s="1" t="s">
        <v>9</v>
      </c>
      <c r="G1505" s="1" t="s">
        <v>2469</v>
      </c>
      <c r="H1505" s="1" t="s">
        <v>2466</v>
      </c>
      <c r="I1505" s="1" t="s">
        <v>57</v>
      </c>
      <c r="J1505" s="1" t="s">
        <v>3247</v>
      </c>
      <c r="K1505" s="1" t="n">
        <v>18</v>
      </c>
      <c r="L1505" s="11" t="n">
        <v>0.996741640838558</v>
      </c>
      <c r="M1505" s="1" t="n">
        <f aca="false">SUMIF(Relatorio_AK!$A:$A,A1505,Relatorio_AK!$B:$B)</f>
        <v>18</v>
      </c>
      <c r="N1505" s="1" t="str">
        <f aca="false">IF(M1505=K1505,"OK","DIF")</f>
        <v>OK</v>
      </c>
      <c r="O1505" s="13" t="str">
        <f aca="false">IFERROR(VLOOKUP($A1505,Lista_Starke!$A:$E,3,0),"NÃO ESTÁ NA LISTA")</f>
        <v>GM: Corsa 1.0 8V VHC 02/09
GM: Corsa 1.4 8V Econoflex 07/12
GM: Corsa 1.8 8V 02/09
GM: Montana 1.4 8V Econoflex 07/10
GM: Montana 1.8 8V 05/07</v>
      </c>
      <c r="P1505" s="12" t="str">
        <f aca="false">IFERROR(VLOOKUP($A1505,Lista_Starke!$A:$E,2,0),"NÃO ESTÁ NA LISTA")</f>
        <v>SERVO FREIO</v>
      </c>
    </row>
    <row r="1506" customFormat="false" ht="15" hidden="false" customHeight="true" outlineLevel="0" collapsed="false">
      <c r="A1506" s="10" t="s">
        <v>3248</v>
      </c>
      <c r="B1506" s="10" t="str">
        <f aca="false">IFERROR(VLOOKUP(A1506,Pedido!$A:$B,2,0),"")</f>
        <v/>
      </c>
      <c r="C1506" s="10" t="str">
        <f aca="false">IF(B1506="","NÃO COMPRA","COMPRA")</f>
        <v>NÃO COMPRA</v>
      </c>
      <c r="D1506" s="1" t="n">
        <f aca="false">IFERROR(VLOOKUP(A1506,Pedido!$A:$C,3,0),0)</f>
        <v>0</v>
      </c>
      <c r="E1506" s="5" t="n">
        <f aca="false">IFERROR(VLOOKUP(A1506,Pedido!$A:$E,5,0),0)</f>
        <v>0</v>
      </c>
      <c r="F1506" s="1" t="s">
        <v>9</v>
      </c>
      <c r="G1506" s="1" t="s">
        <v>3066</v>
      </c>
      <c r="H1506" s="1" t="s">
        <v>2466</v>
      </c>
      <c r="I1506" s="1" t="s">
        <v>53</v>
      </c>
      <c r="J1506" s="1" t="s">
        <v>3249</v>
      </c>
      <c r="K1506" s="1" t="n">
        <v>18</v>
      </c>
      <c r="L1506" s="11" t="n">
        <v>0.996772412331164</v>
      </c>
      <c r="M1506" s="1" t="n">
        <f aca="false">SUMIF(Relatorio_AK!$A:$A,A1506,Relatorio_AK!$B:$B)</f>
        <v>18</v>
      </c>
      <c r="N1506" s="1" t="str">
        <f aca="false">IF(M1506=K1506,"OK","DIF")</f>
        <v>OK</v>
      </c>
      <c r="O1506" s="13" t="str">
        <f aca="false">IFERROR(VLOOKUP($A1506,Lista_Starke!$A:$E,3,0),"NÃO ESTÁ NA LISTA")</f>
        <v>FORD: Ecosport 1.0 8V Zetec Rocam 03/06
FORD: Ecosport 1.6 8V Zetec Rocam 03/07
FORD: Ecosport 1.6 8V Zetec Rocam 05/12
FORD: Ecosport 2.0 16V Duratec 03/12
FORD: Fiesta 1.0 8V Zetec Rocam 04/14
FORD: Fiesta 1.6 8V Zetec Rocam 07/14
FORD: Fiesta Sedan 1.0 8V Zetec Rocam 06/10</v>
      </c>
      <c r="P1506" s="12" t="str">
        <f aca="false">IFERROR(VLOOKUP($A1506,Lista_Starke!$A:$E,2,0),"NÃO ESTÁ NA LISTA")</f>
        <v>SERVO FREIO</v>
      </c>
    </row>
    <row r="1507" customFormat="false" ht="15" hidden="false" customHeight="true" outlineLevel="0" collapsed="false">
      <c r="A1507" s="10" t="s">
        <v>3250</v>
      </c>
      <c r="B1507" s="10" t="str">
        <f aca="false">IFERROR(VLOOKUP(A1507,Pedido!$A:$B,2,0),"")</f>
        <v/>
      </c>
      <c r="C1507" s="10" t="str">
        <f aca="false">IF(B1507="","NÃO COMPRA","COMPRA")</f>
        <v>NÃO COMPRA</v>
      </c>
      <c r="D1507" s="1" t="n">
        <f aca="false">IFERROR(VLOOKUP(A1507,Pedido!$A:$C,3,0),0)</f>
        <v>0</v>
      </c>
      <c r="E1507" s="5" t="n">
        <f aca="false">IFERROR(VLOOKUP(A1507,Pedido!$A:$E,5,0),0)</f>
        <v>0</v>
      </c>
      <c r="F1507" s="1" t="s">
        <v>9</v>
      </c>
      <c r="G1507" s="1" t="s">
        <v>2659</v>
      </c>
      <c r="H1507" s="1" t="s">
        <v>2466</v>
      </c>
      <c r="I1507" s="1" t="s">
        <v>36</v>
      </c>
      <c r="J1507" s="1" t="s">
        <v>3251</v>
      </c>
      <c r="K1507" s="1" t="n">
        <v>18</v>
      </c>
      <c r="L1507" s="11" t="n">
        <v>0.996803183823769</v>
      </c>
      <c r="M1507" s="1" t="n">
        <f aca="false">SUMIF(Relatorio_AK!$A:$A,A1507,Relatorio_AK!$B:$B)</f>
        <v>18</v>
      </c>
      <c r="N1507" s="1" t="str">
        <f aca="false">IF(M1507=K1507,"OK","DIF")</f>
        <v>OK</v>
      </c>
      <c r="O1507" s="13" t="str">
        <f aca="false">IFERROR(VLOOKUP($A1507,Lista_Starke!$A:$E,3,0),"NÃO ESTÁ NA LISTA")</f>
        <v>VOLKSWAGEN: Gol G1 1.0 8V CHT 92/96
VOLKSWAGEN: Gol G1 1.3 8V Motor refrig. ar 80/81
VOLKSWAGEN: Gol G1 1.6 8V AP 85/89
VOLKSWAGEN: Gol G1 1.6 8V AP 93/94
VOLKSWAGEN: Gol G1 1.6 8V CHT 89/94
VOLKSWAGEN: Gol G1 1.6 8V Motor refrig. ar 82/86
VOLKSWAGEN: Gol G1 1.8 8V AP 84/94
VOLKSWAGEN: Gol GT/GTS G1 1.8 8V AP 84/87
VOLKSWAGEN: Parati G1 1.6 8V AP 82/89
VOLKSWAGEN: Parati G1 1.6 8V AP 93/95
VOLKSWAGEN: Parati G1 1.6 8V CHT 89/93
VOLKSWAGEN: Parati G1 1.8 8V AP 88/95
VOLKSWAGEN: Saveiro G1 1.6 8V AP 85/89
VOLKSWAGEN: Saveiro G1 1.6 8V AP 93/97
VOLKSWAGEN: Saveiro G1 1.6 8V Motor refrig. ar 82/86</v>
      </c>
      <c r="P1507" s="12" t="str">
        <f aca="false">IFERROR(VLOOKUP($A1507,Lista_Starke!$A:$E,2,0),"NÃO ESTÁ NA LISTA")</f>
        <v>SERVO FREIO</v>
      </c>
    </row>
    <row r="1508" customFormat="false" ht="15" hidden="false" customHeight="true" outlineLevel="0" collapsed="false">
      <c r="A1508" s="10" t="s">
        <v>3252</v>
      </c>
      <c r="B1508" s="10" t="str">
        <f aca="false">IFERROR(VLOOKUP(A1508,Pedido!$A:$B,2,0),"")</f>
        <v/>
      </c>
      <c r="C1508" s="10" t="str">
        <f aca="false">IF(B1508="","NÃO COMPRA","COMPRA")</f>
        <v>NÃO COMPRA</v>
      </c>
      <c r="D1508" s="1" t="n">
        <f aca="false">IFERROR(VLOOKUP(A1508,Pedido!$A:$C,3,0),0)</f>
        <v>0</v>
      </c>
      <c r="E1508" s="5" t="n">
        <f aca="false">IFERROR(VLOOKUP(A1508,Pedido!$A:$E,5,0),0)</f>
        <v>0</v>
      </c>
      <c r="F1508" s="1" t="s">
        <v>9</v>
      </c>
      <c r="G1508" s="1" t="s">
        <v>3089</v>
      </c>
      <c r="H1508" s="1" t="s">
        <v>2466</v>
      </c>
      <c r="I1508" s="1" t="s">
        <v>42</v>
      </c>
      <c r="J1508" s="1" t="s">
        <v>3253</v>
      </c>
      <c r="K1508" s="1" t="n">
        <v>18</v>
      </c>
      <c r="L1508" s="11" t="n">
        <v>0.996833955316374</v>
      </c>
      <c r="M1508" s="1" t="n">
        <f aca="false">SUMIF(Relatorio_AK!$A:$A,A1508,Relatorio_AK!$B:$B)</f>
        <v>18</v>
      </c>
      <c r="N1508" s="1" t="str">
        <f aca="false">IF(M1508=K1508,"OK","DIF")</f>
        <v>OK</v>
      </c>
      <c r="O1508" s="12" t="str">
        <f aca="false">IFERROR(VLOOKUP($A1508,Lista_Starke!$A:$E,3,0),"NÃO ESTÁ NA LISTA")</f>
        <v>RENAULT: Master 2.3 16V Turbo 13/24</v>
      </c>
      <c r="P1508" s="12" t="str">
        <f aca="false">IFERROR(VLOOKUP($A1508,Lista_Starke!$A:$E,2,0),"NÃO ESTÁ NA LISTA")</f>
        <v>SERVO FREIO</v>
      </c>
    </row>
    <row r="1509" customFormat="false" ht="15" hidden="false" customHeight="true" outlineLevel="0" collapsed="false">
      <c r="A1509" s="10" t="s">
        <v>3254</v>
      </c>
      <c r="B1509" s="10" t="str">
        <f aca="false">IFERROR(VLOOKUP(A1509,Pedido!$A:$B,2,0),"")</f>
        <v/>
      </c>
      <c r="C1509" s="10" t="str">
        <f aca="false">IF(B1509="","NÃO COMPRA","COMPRA")</f>
        <v>NÃO COMPRA</v>
      </c>
      <c r="D1509" s="1" t="n">
        <f aca="false">IFERROR(VLOOKUP(A1509,Pedido!$A:$C,3,0),0)</f>
        <v>0</v>
      </c>
      <c r="E1509" s="5" t="n">
        <f aca="false">IFERROR(VLOOKUP(A1509,Pedido!$A:$E,5,0),0)</f>
        <v>0</v>
      </c>
      <c r="F1509" s="1" t="s">
        <v>9</v>
      </c>
      <c r="G1509" s="1" t="s">
        <v>1881</v>
      </c>
      <c r="H1509" s="1" t="s">
        <v>1358</v>
      </c>
      <c r="I1509" s="1" t="s">
        <v>57</v>
      </c>
      <c r="J1509" s="1" t="s">
        <v>3255</v>
      </c>
      <c r="K1509" s="1" t="n">
        <v>17</v>
      </c>
      <c r="L1509" s="11" t="n">
        <v>0.996863017281613</v>
      </c>
      <c r="M1509" s="1" t="n">
        <f aca="false">SUMIF(Relatorio_AK!$A:$A,A1509,Relatorio_AK!$B:$B)</f>
        <v>17</v>
      </c>
      <c r="N1509" s="1" t="str">
        <f aca="false">IF(M1509=K1509,"OK","DIF")</f>
        <v>OK</v>
      </c>
      <c r="O1509" s="13" t="str">
        <f aca="false">IFERROR(VLOOKUP($A1509,Lista_Starke!$A:$E,3,0),"NÃO ESTÁ NA LISTA")</f>
        <v>GM: Blazer 4x2 95/11
GM: S10 4x2 95/11</v>
      </c>
      <c r="P1509" s="12" t="str">
        <f aca="false">IFERROR(VLOOKUP($A1509,Lista_Starke!$A:$E,2,0),"NÃO ESTÁ NA LISTA")</f>
        <v>BANDEJA INFERIOR COMPLETA LE</v>
      </c>
    </row>
    <row r="1510" customFormat="false" ht="15" hidden="false" customHeight="true" outlineLevel="0" collapsed="false">
      <c r="A1510" s="10" t="s">
        <v>3256</v>
      </c>
      <c r="B1510" s="10" t="str">
        <f aca="false">IFERROR(VLOOKUP(A1510,Pedido!$A:$B,2,0),"")</f>
        <v/>
      </c>
      <c r="C1510" s="10" t="str">
        <f aca="false">IF(B1510="","NÃO COMPRA","COMPRA")</f>
        <v>NÃO COMPRA</v>
      </c>
      <c r="D1510" s="1" t="n">
        <f aca="false">IFERROR(VLOOKUP(A1510,Pedido!$A:$C,3,0),0)</f>
        <v>0</v>
      </c>
      <c r="E1510" s="5" t="n">
        <f aca="false">IFERROR(VLOOKUP(A1510,Pedido!$A:$E,5,0),0)</f>
        <v>0</v>
      </c>
      <c r="F1510" s="1" t="s">
        <v>9</v>
      </c>
      <c r="G1510" s="1" t="s">
        <v>2766</v>
      </c>
      <c r="H1510" s="1" t="s">
        <v>1358</v>
      </c>
      <c r="I1510" s="1" t="s">
        <v>1431</v>
      </c>
      <c r="J1510" s="1" t="s">
        <v>3257</v>
      </c>
      <c r="K1510" s="1" t="n">
        <v>17</v>
      </c>
      <c r="L1510" s="11" t="n">
        <v>0.996892079246851</v>
      </c>
      <c r="M1510" s="1" t="n">
        <f aca="false">SUMIF(Relatorio_AK!$A:$A,A1510,Relatorio_AK!$B:$B)</f>
        <v>17</v>
      </c>
      <c r="N1510" s="1" t="str">
        <f aca="false">IF(M1510=K1510,"OK","DIF")</f>
        <v>OK</v>
      </c>
      <c r="O1510" s="12" t="str">
        <f aca="false">IFERROR(VLOOKUP($A1510,Lista_Starke!$A:$E,3,0),"NÃO ESTÁ NA LISTA")</f>
        <v>VOLVO: XC60  09/17</v>
      </c>
      <c r="P1510" s="12" t="str">
        <f aca="false">IFERROR(VLOOKUP($A1510,Lista_Starke!$A:$E,2,0),"NÃO ESTÁ NA LISTA")</f>
        <v>BANDEJA INFERIOR COMPLETA LD</v>
      </c>
    </row>
    <row r="1511" customFormat="false" ht="15" hidden="false" customHeight="true" outlineLevel="0" collapsed="false">
      <c r="A1511" s="10" t="s">
        <v>3258</v>
      </c>
      <c r="B1511" s="10" t="str">
        <f aca="false">IFERROR(VLOOKUP(A1511,Pedido!$A:$B,2,0),"")</f>
        <v/>
      </c>
      <c r="C1511" s="10" t="str">
        <f aca="false">IF(B1511="","NÃO COMPRA","COMPRA")</f>
        <v>NÃO COMPRA</v>
      </c>
      <c r="D1511" s="1" t="n">
        <f aca="false">IFERROR(VLOOKUP(A1511,Pedido!$A:$C,3,0),0)</f>
        <v>0</v>
      </c>
      <c r="E1511" s="5" t="n">
        <f aca="false">IFERROR(VLOOKUP(A1511,Pedido!$A:$E,5,0),0)</f>
        <v>0</v>
      </c>
      <c r="F1511" s="1" t="s">
        <v>9</v>
      </c>
      <c r="G1511" s="1" t="s">
        <v>509</v>
      </c>
      <c r="H1511" s="1" t="s">
        <v>197</v>
      </c>
      <c r="I1511" s="1" t="s">
        <v>77</v>
      </c>
      <c r="K1511" s="1" t="n">
        <v>17</v>
      </c>
      <c r="L1511" s="11" t="n">
        <v>0.99692114121209</v>
      </c>
      <c r="M1511" s="1" t="n">
        <f aca="false">SUMIF(Relatorio_AK!$A:$A,A1511,Relatorio_AK!$B:$B)</f>
        <v>17</v>
      </c>
      <c r="N1511" s="1" t="str">
        <f aca="false">IF(M1511=K1511,"OK","DIF")</f>
        <v>OK</v>
      </c>
      <c r="O1511" s="13" t="str">
        <f aca="false">IFERROR(VLOOKUP($A1511,Lista_Starke!$A:$E,3,0),"NÃO ESTÁ NA LISTA")</f>
        <v>CITROEN: C3 1.4 8V / 1.6 8V 02/…
PEUGEOT: 206 1.4 8V / 1.6 8V 02/…</v>
      </c>
      <c r="P1511" s="12" t="str">
        <f aca="false">IFERROR(VLOOKUP($A1511,Lista_Starke!$A:$E,2,0),"NÃO ESTÁ NA LISTA")</f>
        <v>BOMBA D'ÁGUA</v>
      </c>
    </row>
    <row r="1512" customFormat="false" ht="15" hidden="false" customHeight="true" outlineLevel="0" collapsed="false">
      <c r="A1512" s="10" t="s">
        <v>3259</v>
      </c>
      <c r="B1512" s="10" t="str">
        <f aca="false">IFERROR(VLOOKUP(A1512,Pedido!$A:$B,2,0),"")</f>
        <v/>
      </c>
      <c r="C1512" s="10" t="str">
        <f aca="false">IF(B1512="","NÃO COMPRA","COMPRA")</f>
        <v>NÃO COMPRA</v>
      </c>
      <c r="D1512" s="1" t="n">
        <f aca="false">IFERROR(VLOOKUP(A1512,Pedido!$A:$C,3,0),0)</f>
        <v>0</v>
      </c>
      <c r="E1512" s="5" t="n">
        <f aca="false">IFERROR(VLOOKUP(A1512,Pedido!$A:$E,5,0),0)</f>
        <v>0</v>
      </c>
      <c r="F1512" s="1" t="s">
        <v>9</v>
      </c>
      <c r="G1512" s="1" t="s">
        <v>3260</v>
      </c>
      <c r="H1512" s="1" t="s">
        <v>35</v>
      </c>
      <c r="I1512" s="1" t="s">
        <v>2304</v>
      </c>
      <c r="K1512" s="1" t="n">
        <v>17</v>
      </c>
      <c r="L1512" s="11" t="n">
        <v>0.996950203177328</v>
      </c>
      <c r="M1512" s="1" t="n">
        <f aca="false">SUMIF(Relatorio_AK!$A:$A,A1512,Relatorio_AK!$B:$B)</f>
        <v>17</v>
      </c>
      <c r="N1512" s="1" t="str">
        <f aca="false">IF(M1512=K1512,"OK","DIF")</f>
        <v>OK</v>
      </c>
      <c r="O1512" s="12" t="str">
        <f aca="false">IFERROR(VLOOKUP($A1512,Lista_Starke!$A:$E,3,0),"NÃO ESTÁ NA LISTA")</f>
        <v>CHRYSLER: PT Cruiser 2.4 16V 06/10</v>
      </c>
      <c r="P1512" s="12" t="str">
        <f aca="false">IFERROR(VLOOKUP($A1512,Lista_Starke!$A:$E,2,0),"NÃO ESTÁ NA LISTA")</f>
        <v>CILINDRO MESTRE DE FREIO</v>
      </c>
    </row>
    <row r="1513" customFormat="false" ht="15" hidden="false" customHeight="true" outlineLevel="0" collapsed="false">
      <c r="A1513" s="10" t="s">
        <v>3261</v>
      </c>
      <c r="B1513" s="10" t="str">
        <f aca="false">IFERROR(VLOOKUP(A1513,Pedido!$A:$B,2,0),"")</f>
        <v/>
      </c>
      <c r="C1513" s="10" t="str">
        <f aca="false">IF(B1513="","NÃO COMPRA","COMPRA")</f>
        <v>NÃO COMPRA</v>
      </c>
      <c r="D1513" s="1" t="n">
        <f aca="false">IFERROR(VLOOKUP(A1513,Pedido!$A:$C,3,0),0)</f>
        <v>0</v>
      </c>
      <c r="E1513" s="5" t="n">
        <f aca="false">IFERROR(VLOOKUP(A1513,Pedido!$A:$E,5,0),0)</f>
        <v>0</v>
      </c>
      <c r="F1513" s="1" t="s">
        <v>9</v>
      </c>
      <c r="G1513" s="1" t="s">
        <v>826</v>
      </c>
      <c r="H1513" s="1" t="s">
        <v>197</v>
      </c>
      <c r="I1513" s="1" t="s">
        <v>1157</v>
      </c>
      <c r="J1513" s="1" t="s">
        <v>3262</v>
      </c>
      <c r="K1513" s="1" t="n">
        <v>17</v>
      </c>
      <c r="L1513" s="11" t="n">
        <v>0.996979265142567</v>
      </c>
      <c r="M1513" s="1" t="n">
        <f aca="false">SUMIF(Relatorio_AK!$A:$A,A1513,Relatorio_AK!$B:$B)</f>
        <v>17</v>
      </c>
      <c r="N1513" s="1" t="str">
        <f aca="false">IF(M1513=K1513,"OK","DIF")</f>
        <v>OK</v>
      </c>
      <c r="O1513" s="13" t="str">
        <f aca="false">IFERROR(VLOOKUP($A1513,Lista_Starke!$A:$E,3,0),"NÃO ESTÁ NA LISTA")</f>
        <v>BMW: 520i (E39) 2.0    M52 B20 / M54 B22 96/03
BMW: 523i (E39) 2.5    M52 B25 95/00
BMW: 525i (E39) 2.5    M54 B25 00/03
BMW: 528i (E39) 2.8    M52 B28 95/00
BMW: 530i (E39) 3.0    M54 B30 00/03
BMW: 535i (E39) 3.5    M62 B35 96/03
BMW: 540i (E39) 4.4    M62 B44 96/03
BMW: X5 (E53) 3.0    M54 B30 00/…
BMW: X5 (E53) 4.4    M62 B44 00/…
BMW: X5 (E53) 4.4    N62 B44 / N62 B44A 03/…
BMW: X5 (E53) 4.6    M62 B46 02/…
BMW: X5 (E53) 4.8    N62 B48A 04/…</v>
      </c>
      <c r="P1513" s="12" t="str">
        <f aca="false">IFERROR(VLOOKUP($A1513,Lista_Starke!$A:$E,2,0),"NÃO ESTÁ NA LISTA")</f>
        <v>BOMBA D'ÁGUA</v>
      </c>
    </row>
    <row r="1514" customFormat="false" ht="15" hidden="false" customHeight="true" outlineLevel="0" collapsed="false">
      <c r="A1514" s="10" t="s">
        <v>3263</v>
      </c>
      <c r="B1514" s="10" t="str">
        <f aca="false">IFERROR(VLOOKUP(A1514,Pedido!$A:$B,2,0),"")</f>
        <v/>
      </c>
      <c r="C1514" s="10" t="str">
        <f aca="false">IF(B1514="","NÃO COMPRA","COMPRA")</f>
        <v>NÃO COMPRA</v>
      </c>
      <c r="D1514" s="1" t="n">
        <f aca="false">IFERROR(VLOOKUP(A1514,Pedido!$A:$C,3,0),0)</f>
        <v>0</v>
      </c>
      <c r="E1514" s="5" t="n">
        <f aca="false">IFERROR(VLOOKUP(A1514,Pedido!$A:$E,5,0),0)</f>
        <v>0</v>
      </c>
      <c r="F1514" s="1" t="s">
        <v>9</v>
      </c>
      <c r="G1514" s="1" t="s">
        <v>145</v>
      </c>
      <c r="H1514" s="1" t="s">
        <v>28</v>
      </c>
      <c r="I1514" s="1" t="s">
        <v>36</v>
      </c>
      <c r="K1514" s="1" t="n">
        <v>17</v>
      </c>
      <c r="L1514" s="11" t="n">
        <v>0.997008327107805</v>
      </c>
      <c r="M1514" s="1" t="n">
        <f aca="false">SUMIF(Relatorio_AK!$A:$A,A1514,Relatorio_AK!$B:$B)</f>
        <v>17</v>
      </c>
      <c r="N1514" s="1" t="str">
        <f aca="false">IF(M1514=K1514,"OK","DIF")</f>
        <v>OK</v>
      </c>
      <c r="O1514" s="12" t="str">
        <f aca="false">IFERROR(VLOOKUP($A1514,Lista_Starke!$A:$E,3,0),"NÃO ESTÁ NA LISTA")</f>
        <v>NÃO ESTÁ NA LISTA</v>
      </c>
      <c r="P1514" s="12" t="str">
        <f aca="false">IFERROR(VLOOKUP($A1514,Lista_Starke!$A:$E,2,0),"NÃO ESTÁ NA LISTA")</f>
        <v>NÃO ESTÁ NA LISTA</v>
      </c>
    </row>
    <row r="1515" customFormat="false" ht="15" hidden="false" customHeight="true" outlineLevel="0" collapsed="false">
      <c r="A1515" s="10" t="s">
        <v>3264</v>
      </c>
      <c r="B1515" s="10" t="str">
        <f aca="false">IFERROR(VLOOKUP(A1515,Pedido!$A:$B,2,0),"")</f>
        <v/>
      </c>
      <c r="C1515" s="10" t="str">
        <f aca="false">IF(B1515="","NÃO COMPRA","COMPRA")</f>
        <v>NÃO COMPRA</v>
      </c>
      <c r="D1515" s="1" t="n">
        <f aca="false">IFERROR(VLOOKUP(A1515,Pedido!$A:$C,3,0),0)</f>
        <v>0</v>
      </c>
      <c r="E1515" s="5" t="n">
        <f aca="false">IFERROR(VLOOKUP(A1515,Pedido!$A:$E,5,0),0)</f>
        <v>0</v>
      </c>
      <c r="F1515" s="1" t="s">
        <v>9</v>
      </c>
      <c r="G1515" s="1" t="s">
        <v>3144</v>
      </c>
      <c r="H1515" s="1" t="s">
        <v>197</v>
      </c>
      <c r="I1515" s="1" t="s">
        <v>2826</v>
      </c>
      <c r="J1515" s="1" t="s">
        <v>3265</v>
      </c>
      <c r="K1515" s="1" t="n">
        <v>17</v>
      </c>
      <c r="L1515" s="11" t="n">
        <v>0.997037389073044</v>
      </c>
      <c r="M1515" s="1" t="n">
        <f aca="false">SUMIF(Relatorio_AK!$A:$A,A1515,Relatorio_AK!$B:$B)</f>
        <v>17</v>
      </c>
      <c r="N1515" s="1" t="str">
        <f aca="false">IF(M1515=K1515,"OK","DIF")</f>
        <v>OK</v>
      </c>
      <c r="O1515" s="13" t="str">
        <f aca="false">IFERROR(VLOOKUP($A1515,Lista_Starke!$A:$E,3,0),"NÃO ESTÁ NA LISTA")</f>
        <v>AGRALE: Marrua AM 200 Cummins ISF 2.8 16/...
AGRALE: Marrua AM 300 Cummins ISF 2.8 16/...
AGRALE: Marrua AM11/AM21/AM23/AM31 Cummins ISF 2.8 16/...
FORD: F350 Cummins ISF 2.8 18/...
FORD: F4000 Cummins ISF 2.8 18/...
VOLKSWAGEN: Delivery 4.150 Express Euro V Cummins ISF 2.8 18/...
VOLKSWAGEN: Delivery 4.170 Express Euro VI Cummins ISF 2.8 18/...
VOLKSWAGEN: Delivery 6.160 Express Euro V / Euro VI Cummins ISF 2.8 18/...
VOLKSWAGEN: Delivery 6.170 Express Euro VI Cummins ISF 2.8 18/...</v>
      </c>
      <c r="P1515" s="12" t="str">
        <f aca="false">IFERROR(VLOOKUP($A1515,Lista_Starke!$A:$E,2,0),"NÃO ESTÁ NA LISTA")</f>
        <v>BOMBA D'ÁGUA</v>
      </c>
    </row>
    <row r="1516" customFormat="false" ht="15" hidden="false" customHeight="true" outlineLevel="0" collapsed="false">
      <c r="A1516" s="10" t="s">
        <v>3266</v>
      </c>
      <c r="B1516" s="10" t="str">
        <f aca="false">IFERROR(VLOOKUP(A1516,Pedido!$A:$B,2,0),"")</f>
        <v/>
      </c>
      <c r="C1516" s="10" t="str">
        <f aca="false">IF(B1516="","NÃO COMPRA","COMPRA")</f>
        <v>NÃO COMPRA</v>
      </c>
      <c r="D1516" s="1" t="n">
        <f aca="false">IFERROR(VLOOKUP(A1516,Pedido!$A:$C,3,0),0)</f>
        <v>0</v>
      </c>
      <c r="E1516" s="5" t="n">
        <f aca="false">IFERROR(VLOOKUP(A1516,Pedido!$A:$E,5,0),0)</f>
        <v>0</v>
      </c>
      <c r="F1516" s="1" t="s">
        <v>9</v>
      </c>
      <c r="G1516" s="1" t="s">
        <v>1722</v>
      </c>
      <c r="H1516" s="1" t="s">
        <v>197</v>
      </c>
      <c r="I1516" s="1" t="s">
        <v>2088</v>
      </c>
      <c r="J1516" s="1" t="s">
        <v>3267</v>
      </c>
      <c r="K1516" s="1" t="n">
        <v>17</v>
      </c>
      <c r="L1516" s="11" t="n">
        <v>0.997066451038282</v>
      </c>
      <c r="M1516" s="1" t="n">
        <f aca="false">SUMIF(Relatorio_AK!$A:$A,A1516,Relatorio_AK!$B:$B)</f>
        <v>17</v>
      </c>
      <c r="N1516" s="1" t="str">
        <f aca="false">IF(M1516=K1516,"OK","DIF")</f>
        <v>OK</v>
      </c>
      <c r="O1516" s="13" t="str">
        <f aca="false">IFERROR(VLOOKUP($A1516,Lista_Starke!$A:$E,3,0),"NÃO ESTÁ NA LISTA")</f>
        <v>AUDI: RS6 4.0 8 cil. Hybrid DJPB / DWLA / DYGB 19/...
AUDI: RS7 4.0 8 cil. DJPB / DWLA / DYGB 19/...
AUDI: SQ8 4.0 8 cil. DCUE / DWRB 20/...
PORSCHE: Cayenne Turbo 4.08 cil. AWD MDC.UA / DCUA 17/...
PORSCHE: Cayenne Turbo S 4.0 8 cil. AWD Hybrid DCUA 21/...
PORSCHE: Panamera GTS 4.0 8 cil. CVDD 18/23
PORSCHE: Panamera Turbo 4.0 8 cil. MCV.DA 16/23
PORSCHE: Panamera Turbo S 4.0 8 cil. E-Hybrid MCV.DA 17/23</v>
      </c>
      <c r="P1516" s="12" t="str">
        <f aca="false">IFERROR(VLOOKUP($A1516,Lista_Starke!$A:$E,2,0),"NÃO ESTÁ NA LISTA")</f>
        <v>BOMBA D'ÁGUA</v>
      </c>
    </row>
    <row r="1517" customFormat="false" ht="15" hidden="false" customHeight="true" outlineLevel="0" collapsed="false">
      <c r="A1517" s="10" t="s">
        <v>3268</v>
      </c>
      <c r="B1517" s="10" t="str">
        <f aca="false">IFERROR(VLOOKUP(A1517,Pedido!$A:$B,2,0),"")</f>
        <v/>
      </c>
      <c r="C1517" s="10" t="str">
        <f aca="false">IF(B1517="","NÃO COMPRA","COMPRA")</f>
        <v>NÃO COMPRA</v>
      </c>
      <c r="D1517" s="1" t="n">
        <f aca="false">IFERROR(VLOOKUP(A1517,Pedido!$A:$C,3,0),0)</f>
        <v>0</v>
      </c>
      <c r="E1517" s="5" t="n">
        <f aca="false">IFERROR(VLOOKUP(A1517,Pedido!$A:$E,5,0),0)</f>
        <v>0</v>
      </c>
      <c r="F1517" s="1" t="s">
        <v>9</v>
      </c>
      <c r="G1517" s="1" t="s">
        <v>1783</v>
      </c>
      <c r="H1517" s="1" t="s">
        <v>1073</v>
      </c>
      <c r="I1517" s="1" t="s">
        <v>373</v>
      </c>
      <c r="J1517" s="1" t="s">
        <v>3269</v>
      </c>
      <c r="K1517" s="1" t="n">
        <v>17</v>
      </c>
      <c r="L1517" s="11" t="n">
        <v>0.99709551300352</v>
      </c>
      <c r="M1517" s="1" t="n">
        <f aca="false">SUMIF(Relatorio_AK!$A:$A,A1517,Relatorio_AK!$B:$B)</f>
        <v>17</v>
      </c>
      <c r="N1517" s="1" t="str">
        <f aca="false">IF(M1517=K1517,"OK","DIF")</f>
        <v>OK</v>
      </c>
      <c r="O1517" s="13" t="str">
        <f aca="false">IFERROR(VLOOKUP($A1517,Lista_Starke!$A:$E,3,0),"NÃO ESTÁ NA LISTA")</f>
        <v>MERCEDES-BENZ: C43 AMG (W205) 3.0 6 cil. M276.823 16/21
MERCEDES-BENZ: E43 AMG (W213) 3.0 6 cil. M276.823 16/18
MERCEDES-BENZ: GLC43 AMG (X253) 3.0 6 cil. M276.823 16/22
MERCEDES-BENZ: GLE43 AMG (W166) 3.0 6 cil. M276.821 15/18
MERCEDES-BENZ: ML400 (W166) 3.0 6 cil. M276.821 13/15</v>
      </c>
      <c r="P1517" s="12" t="str">
        <f aca="false">IFERROR(VLOOKUP($A1517,Lista_Starke!$A:$E,2,0),"NÃO ESTÁ NA LISTA")</f>
        <v>VÁLVULA TERMOSTÁTICA</v>
      </c>
    </row>
    <row r="1518" customFormat="false" ht="15" hidden="false" customHeight="true" outlineLevel="0" collapsed="false">
      <c r="A1518" s="10" t="s">
        <v>3270</v>
      </c>
      <c r="B1518" s="10" t="str">
        <f aca="false">IFERROR(VLOOKUP(A1518,Pedido!$A:$B,2,0),"")</f>
        <v/>
      </c>
      <c r="C1518" s="10" t="str">
        <f aca="false">IF(B1518="","NÃO COMPRA","COMPRA")</f>
        <v>NÃO COMPRA</v>
      </c>
      <c r="D1518" s="1" t="n">
        <f aca="false">IFERROR(VLOOKUP(A1518,Pedido!$A:$C,3,0),0)</f>
        <v>0</v>
      </c>
      <c r="E1518" s="5" t="n">
        <f aca="false">IFERROR(VLOOKUP(A1518,Pedido!$A:$E,5,0),0)</f>
        <v>0</v>
      </c>
      <c r="F1518" s="1" t="s">
        <v>9</v>
      </c>
      <c r="G1518" s="1" t="s">
        <v>3271</v>
      </c>
      <c r="H1518" s="1" t="s">
        <v>235</v>
      </c>
      <c r="I1518" s="1" t="s">
        <v>137</v>
      </c>
      <c r="J1518" s="1" t="s">
        <v>3272</v>
      </c>
      <c r="K1518" s="1" t="n">
        <v>17</v>
      </c>
      <c r="L1518" s="11" t="n">
        <v>0.997124574968759</v>
      </c>
      <c r="M1518" s="1" t="n">
        <f aca="false">SUMIF(Relatorio_AK!$A:$A,A1518,Relatorio_AK!$B:$B)</f>
        <v>17</v>
      </c>
      <c r="N1518" s="1" t="str">
        <f aca="false">IF(M1518=K1518,"OK","DIF")</f>
        <v>OK</v>
      </c>
      <c r="O1518" s="13" t="str">
        <f aca="false">IFERROR(VLOOKUP($A1518,Lista_Starke!$A:$E,3,0),"NÃO ESTÁ NA LISTA")</f>
        <v>CITROEN: Jumpy 1.5 16V HDI 22/...
FIAT: Scudo 1.5 16V Diesel 22/...
PEUGEOT: Expert 1.5 16V HDI 22/...</v>
      </c>
      <c r="P1518" s="12" t="str">
        <f aca="false">IFERROR(VLOOKUP($A1518,Lista_Starke!$A:$E,2,0),"NÃO ESTÁ NA LISTA")</f>
        <v>RESFRIADOR DE ÓLEO MOTOR</v>
      </c>
    </row>
    <row r="1519" customFormat="false" ht="15" hidden="false" customHeight="true" outlineLevel="0" collapsed="false">
      <c r="A1519" s="10" t="s">
        <v>3273</v>
      </c>
      <c r="B1519" s="10" t="str">
        <f aca="false">IFERROR(VLOOKUP(A1519,Pedido!$A:$B,2,0),"")</f>
        <v/>
      </c>
      <c r="C1519" s="10" t="str">
        <f aca="false">IF(B1519="","NÃO COMPRA","COMPRA")</f>
        <v>NÃO COMPRA</v>
      </c>
      <c r="D1519" s="1" t="n">
        <f aca="false">IFERROR(VLOOKUP(A1519,Pedido!$A:$C,3,0),0)</f>
        <v>0</v>
      </c>
      <c r="E1519" s="5" t="n">
        <f aca="false">IFERROR(VLOOKUP(A1519,Pedido!$A:$E,5,0),0)</f>
        <v>0</v>
      </c>
      <c r="F1519" s="1" t="s">
        <v>9</v>
      </c>
      <c r="G1519" s="1" t="s">
        <v>2469</v>
      </c>
      <c r="H1519" s="1" t="s">
        <v>2466</v>
      </c>
      <c r="I1519" s="1" t="s">
        <v>57</v>
      </c>
      <c r="J1519" s="1" t="s">
        <v>3274</v>
      </c>
      <c r="K1519" s="1" t="n">
        <v>17</v>
      </c>
      <c r="L1519" s="11" t="n">
        <v>0.997153636933997</v>
      </c>
      <c r="M1519" s="1" t="n">
        <f aca="false">SUMIF(Relatorio_AK!$A:$A,A1519,Relatorio_AK!$B:$B)</f>
        <v>17</v>
      </c>
      <c r="N1519" s="1" t="str">
        <f aca="false">IF(M1519=K1519,"OK","DIF")</f>
        <v>OK</v>
      </c>
      <c r="O1519" s="13" t="str">
        <f aca="false">IFERROR(VLOOKUP($A1519,Lista_Starke!$A:$E,3,0),"NÃO ESTÁ NA LISTA")</f>
        <v>GM: Ipanema 1.8 8V Sist. ATE 91/97
GM: Ipanema 2.0 8V Sist. ATE 91/97
GM: Ipanema 2.0 8V Sist. Bosch 91/97
GM: Kadett 1.8 8V Sist. Varga 89/97
GM: Kadett 2.0 8V Sist. Varga 91/97</v>
      </c>
      <c r="P1519" s="12" t="str">
        <f aca="false">IFERROR(VLOOKUP($A1519,Lista_Starke!$A:$E,2,0),"NÃO ESTÁ NA LISTA")</f>
        <v>SERVO FREIO</v>
      </c>
    </row>
    <row r="1520" customFormat="false" ht="15" hidden="false" customHeight="true" outlineLevel="0" collapsed="false">
      <c r="A1520" s="10" t="s">
        <v>3275</v>
      </c>
      <c r="B1520" s="10" t="str">
        <f aca="false">IFERROR(VLOOKUP(A1520,Pedido!$A:$B,2,0),"")</f>
        <v/>
      </c>
      <c r="C1520" s="10" t="str">
        <f aca="false">IF(B1520="","NÃO COMPRA","COMPRA")</f>
        <v>NÃO COMPRA</v>
      </c>
      <c r="D1520" s="1" t="n">
        <f aca="false">IFERROR(VLOOKUP(A1520,Pedido!$A:$C,3,0),0)</f>
        <v>0</v>
      </c>
      <c r="E1520" s="5" t="n">
        <f aca="false">IFERROR(VLOOKUP(A1520,Pedido!$A:$E,5,0),0)</f>
        <v>0</v>
      </c>
      <c r="F1520" s="1" t="s">
        <v>9</v>
      </c>
      <c r="G1520" s="1" t="s">
        <v>2469</v>
      </c>
      <c r="H1520" s="1" t="s">
        <v>2466</v>
      </c>
      <c r="I1520" s="1" t="s">
        <v>57</v>
      </c>
      <c r="J1520" s="1" t="s">
        <v>3276</v>
      </c>
      <c r="K1520" s="1" t="n">
        <v>17</v>
      </c>
      <c r="L1520" s="11" t="n">
        <v>0.997182698899236</v>
      </c>
      <c r="M1520" s="1" t="n">
        <f aca="false">SUMIF(Relatorio_AK!$A:$A,A1520,Relatorio_AK!$B:$B)</f>
        <v>17</v>
      </c>
      <c r="N1520" s="1" t="str">
        <f aca="false">IF(M1520=K1520,"OK","DIF")</f>
        <v>OK</v>
      </c>
      <c r="O1520" s="12" t="str">
        <f aca="false">IFERROR(VLOOKUP($A1520,Lista_Starke!$A:$E,3,0),"NÃO ESTÁ NA LISTA")</f>
        <v>GM: Montana 1.4 8V c/ ABS 10/23</v>
      </c>
      <c r="P1520" s="12" t="str">
        <f aca="false">IFERROR(VLOOKUP($A1520,Lista_Starke!$A:$E,2,0),"NÃO ESTÁ NA LISTA")</f>
        <v>SERVO FREIO</v>
      </c>
    </row>
    <row r="1521" customFormat="false" ht="15" hidden="false" customHeight="true" outlineLevel="0" collapsed="false">
      <c r="A1521" s="10" t="s">
        <v>3277</v>
      </c>
      <c r="B1521" s="10" t="str">
        <f aca="false">IFERROR(VLOOKUP(A1521,Pedido!$A:$B,2,0),"")</f>
        <v/>
      </c>
      <c r="C1521" s="10" t="str">
        <f aca="false">IF(B1521="","NÃO COMPRA","COMPRA")</f>
        <v>NÃO COMPRA</v>
      </c>
      <c r="D1521" s="1" t="n">
        <f aca="false">IFERROR(VLOOKUP(A1521,Pedido!$A:$C,3,0),0)</f>
        <v>0</v>
      </c>
      <c r="E1521" s="5" t="n">
        <f aca="false">IFERROR(VLOOKUP(A1521,Pedido!$A:$E,5,0),0)</f>
        <v>0</v>
      </c>
      <c r="F1521" s="1" t="s">
        <v>9</v>
      </c>
      <c r="G1521" s="1" t="s">
        <v>2031</v>
      </c>
      <c r="H1521" s="1" t="s">
        <v>2420</v>
      </c>
      <c r="I1521" s="1" t="s">
        <v>36</v>
      </c>
      <c r="J1521" s="1" t="s">
        <v>3278</v>
      </c>
      <c r="K1521" s="1" t="n">
        <v>16</v>
      </c>
      <c r="L1521" s="11" t="n">
        <v>0.997210051337107</v>
      </c>
      <c r="M1521" s="1" t="n">
        <f aca="false">SUMIF(Relatorio_AK!$A:$A,A1521,Relatorio_AK!$B:$B)</f>
        <v>16</v>
      </c>
      <c r="N1521" s="1" t="str">
        <f aca="false">IF(M1521=K1521,"OK","DIF")</f>
        <v>OK</v>
      </c>
      <c r="O1521" s="13" t="str">
        <f aca="false">IFERROR(VLOOKUP($A1521,Lista_Starke!$A:$E,3,0),"NÃO ESTÁ NA LISTA")</f>
        <v>VOLKSWAGEN: Amarok 2.0 16V TDI 10/…
VOLKSWAGEN: Amarok 3.0 V6 17/...</v>
      </c>
      <c r="P1521" s="12" t="str">
        <f aca="false">IFERROR(VLOOKUP($A1521,Lista_Starke!$A:$E,2,0),"NÃO ESTÁ NA LISTA")</f>
        <v>BANDEJA SUPERIOR COMPLETA LE</v>
      </c>
    </row>
    <row r="1522" customFormat="false" ht="15" hidden="false" customHeight="true" outlineLevel="0" collapsed="false">
      <c r="A1522" s="10" t="s">
        <v>3279</v>
      </c>
      <c r="B1522" s="10" t="str">
        <f aca="false">IFERROR(VLOOKUP(A1522,Pedido!$A:$B,2,0),"")</f>
        <v/>
      </c>
      <c r="C1522" s="10" t="str">
        <f aca="false">IF(B1522="","NÃO COMPRA","COMPRA")</f>
        <v>NÃO COMPRA</v>
      </c>
      <c r="D1522" s="1" t="n">
        <f aca="false">IFERROR(VLOOKUP(A1522,Pedido!$A:$C,3,0),0)</f>
        <v>0</v>
      </c>
      <c r="E1522" s="5" t="n">
        <f aca="false">IFERROR(VLOOKUP(A1522,Pedido!$A:$E,5,0),0)</f>
        <v>0</v>
      </c>
      <c r="F1522" s="1" t="s">
        <v>9</v>
      </c>
      <c r="G1522" s="1" t="s">
        <v>3280</v>
      </c>
      <c r="H1522" s="1" t="s">
        <v>1358</v>
      </c>
      <c r="I1522" s="1" t="s">
        <v>2907</v>
      </c>
      <c r="J1522" s="1" t="s">
        <v>3281</v>
      </c>
      <c r="K1522" s="1" t="n">
        <v>16</v>
      </c>
      <c r="L1522" s="11" t="n">
        <v>0.997237403774979</v>
      </c>
      <c r="M1522" s="1" t="n">
        <f aca="false">SUMIF(Relatorio_AK!$A:$A,A1522,Relatorio_AK!$B:$B)</f>
        <v>16</v>
      </c>
      <c r="N1522" s="1" t="str">
        <f aca="false">IF(M1522=K1522,"OK","DIF")</f>
        <v>OK</v>
      </c>
      <c r="O1522" s="13" t="str">
        <f aca="false">IFERROR(VLOOKUP($A1522,Lista_Starke!$A:$E,3,0),"NÃO ESTÁ NA LISTA")</f>
        <v>AUDI: Q3  19/...
AUDI: Q3 Sportback  19/...</v>
      </c>
      <c r="P1522" s="12" t="str">
        <f aca="false">IFERROR(VLOOKUP($A1522,Lista_Starke!$A:$E,2,0),"NÃO ESTÁ NA LISTA")</f>
        <v>BANDEJA INFERIOR COMPLETA LD</v>
      </c>
    </row>
    <row r="1523" customFormat="false" ht="15" hidden="false" customHeight="true" outlineLevel="0" collapsed="false">
      <c r="A1523" s="10" t="s">
        <v>3282</v>
      </c>
      <c r="B1523" s="10" t="str">
        <f aca="false">IFERROR(VLOOKUP(A1523,Pedido!$A:$B,2,0),"")</f>
        <v/>
      </c>
      <c r="C1523" s="10" t="str">
        <f aca="false">IF(B1523="","NÃO COMPRA","COMPRA")</f>
        <v>NÃO COMPRA</v>
      </c>
      <c r="D1523" s="1" t="n">
        <f aca="false">IFERROR(VLOOKUP(A1523,Pedido!$A:$C,3,0),0)</f>
        <v>0</v>
      </c>
      <c r="E1523" s="5" t="n">
        <f aca="false">IFERROR(VLOOKUP(A1523,Pedido!$A:$E,5,0),0)</f>
        <v>0</v>
      </c>
      <c r="F1523" s="1" t="s">
        <v>9</v>
      </c>
      <c r="G1523" s="1" t="s">
        <v>1390</v>
      </c>
      <c r="H1523" s="1" t="s">
        <v>1358</v>
      </c>
      <c r="I1523" s="1" t="s">
        <v>42</v>
      </c>
      <c r="J1523" s="1" t="s">
        <v>3283</v>
      </c>
      <c r="K1523" s="1" t="n">
        <v>16</v>
      </c>
      <c r="L1523" s="11" t="n">
        <v>0.99726475621285</v>
      </c>
      <c r="M1523" s="1" t="n">
        <f aca="false">SUMIF(Relatorio_AK!$A:$A,A1523,Relatorio_AK!$B:$B)</f>
        <v>16</v>
      </c>
      <c r="N1523" s="1" t="str">
        <f aca="false">IF(M1523=K1523,"OK","DIF")</f>
        <v>OK</v>
      </c>
      <c r="O1523" s="12" t="str">
        <f aca="false">IFERROR(VLOOKUP($A1523,Lista_Starke!$A:$E,3,0),"NÃO ESTÁ NA LISTA")</f>
        <v>RENAULT: Fluence  11/18</v>
      </c>
      <c r="P1523" s="12" t="str">
        <f aca="false">IFERROR(VLOOKUP($A1523,Lista_Starke!$A:$E,2,0),"NÃO ESTÁ NA LISTA")</f>
        <v>BANDEJA INFERIOR COMPLETA LE</v>
      </c>
    </row>
    <row r="1524" customFormat="false" ht="15" hidden="false" customHeight="true" outlineLevel="0" collapsed="false">
      <c r="A1524" s="10" t="s">
        <v>3284</v>
      </c>
      <c r="B1524" s="10" t="str">
        <f aca="false">IFERROR(VLOOKUP(A1524,Pedido!$A:$B,2,0),"")</f>
        <v/>
      </c>
      <c r="C1524" s="10" t="str">
        <f aca="false">IF(B1524="","NÃO COMPRA","COMPRA")</f>
        <v>NÃO COMPRA</v>
      </c>
      <c r="D1524" s="1" t="n">
        <f aca="false">IFERROR(VLOOKUP(A1524,Pedido!$A:$C,3,0),0)</f>
        <v>0</v>
      </c>
      <c r="E1524" s="5" t="n">
        <f aca="false">IFERROR(VLOOKUP(A1524,Pedido!$A:$E,5,0),0)</f>
        <v>0</v>
      </c>
      <c r="F1524" s="1" t="s">
        <v>9</v>
      </c>
      <c r="G1524" s="1" t="s">
        <v>377</v>
      </c>
      <c r="H1524" s="1" t="s">
        <v>197</v>
      </c>
      <c r="I1524" s="1" t="s">
        <v>53</v>
      </c>
      <c r="K1524" s="1" t="n">
        <v>16</v>
      </c>
      <c r="L1524" s="11" t="n">
        <v>0.997292108650722</v>
      </c>
      <c r="M1524" s="1" t="n">
        <f aca="false">SUMIF(Relatorio_AK!$A:$A,A1524,Relatorio_AK!$B:$B)</f>
        <v>16</v>
      </c>
      <c r="N1524" s="1" t="str">
        <f aca="false">IF(M1524=K1524,"OK","DIF")</f>
        <v>OK</v>
      </c>
      <c r="O1524" s="12" t="str">
        <f aca="false">IFERROR(VLOOKUP($A1524,Lista_Starke!$A:$E,3,0),"NÃO ESTÁ NA LISTA")</f>
        <v>FORD: Edge ST 2.7 V6 Bi Turbo 19/24</v>
      </c>
      <c r="P1524" s="12" t="str">
        <f aca="false">IFERROR(VLOOKUP($A1524,Lista_Starke!$A:$E,2,0),"NÃO ESTÁ NA LISTA")</f>
        <v>BOMBA D'ÁGUA</v>
      </c>
    </row>
    <row r="1525" customFormat="false" ht="15" hidden="false" customHeight="true" outlineLevel="0" collapsed="false">
      <c r="A1525" s="10" t="s">
        <v>3285</v>
      </c>
      <c r="B1525" s="10" t="str">
        <f aca="false">IFERROR(VLOOKUP(A1525,Pedido!$A:$B,2,0),"")</f>
        <v/>
      </c>
      <c r="C1525" s="10" t="str">
        <f aca="false">IF(B1525="","NÃO COMPRA","COMPRA")</f>
        <v>NÃO COMPRA</v>
      </c>
      <c r="D1525" s="1" t="n">
        <f aca="false">IFERROR(VLOOKUP(A1525,Pedido!$A:$C,3,0),0)</f>
        <v>0</v>
      </c>
      <c r="E1525" s="5" t="n">
        <f aca="false">IFERROR(VLOOKUP(A1525,Pedido!$A:$E,5,0),0)</f>
        <v>0</v>
      </c>
      <c r="F1525" s="1" t="s">
        <v>9</v>
      </c>
      <c r="G1525" s="1" t="s">
        <v>748</v>
      </c>
      <c r="H1525" s="1" t="s">
        <v>96</v>
      </c>
      <c r="I1525" s="1" t="s">
        <v>1157</v>
      </c>
      <c r="J1525" s="1" t="s">
        <v>3286</v>
      </c>
      <c r="K1525" s="1" t="n">
        <v>16</v>
      </c>
      <c r="L1525" s="11" t="n">
        <v>0.997319461088593</v>
      </c>
      <c r="M1525" s="1" t="n">
        <f aca="false">SUMIF(Relatorio_AK!$A:$A,A1525,Relatorio_AK!$B:$B)</f>
        <v>16</v>
      </c>
      <c r="N1525" s="1" t="str">
        <f aca="false">IF(M1525=K1525,"OK","DIF")</f>
        <v>OK</v>
      </c>
      <c r="O1525" s="13" t="str">
        <f aca="false">IFERROR(VLOOKUP($A1525,Lista_Starke!$A:$E,3,0),"NÃO ESTÁ NA LISTA")</f>
        <v>BMW: 116i (F20) 1.6 16V Turbo N13B16A 11/15
BMW: 118i 1.6 16V Turbo N13B16A 11/15
BMW: 316i (F21) 1.6 16V Turbo N13B16A 13/16</v>
      </c>
      <c r="P1525" s="12" t="str">
        <f aca="false">IFERROR(VLOOKUP($A1525,Lista_Starke!$A:$E,2,0),"NÃO ESTÁ NA LISTA")</f>
        <v>BOMBA DE VÁCUO</v>
      </c>
    </row>
    <row r="1526" customFormat="false" ht="15" hidden="false" customHeight="true" outlineLevel="0" collapsed="false">
      <c r="A1526" s="10" t="s">
        <v>3287</v>
      </c>
      <c r="B1526" s="10" t="str">
        <f aca="false">IFERROR(VLOOKUP(A1526,Pedido!$A:$B,2,0),"")</f>
        <v/>
      </c>
      <c r="C1526" s="10" t="str">
        <f aca="false">IF(B1526="","NÃO COMPRA","COMPRA")</f>
        <v>NÃO COMPRA</v>
      </c>
      <c r="D1526" s="1" t="n">
        <f aca="false">IFERROR(VLOOKUP(A1526,Pedido!$A:$C,3,0),0)</f>
        <v>0</v>
      </c>
      <c r="E1526" s="5" t="n">
        <f aca="false">IFERROR(VLOOKUP(A1526,Pedido!$A:$E,5,0),0)</f>
        <v>0</v>
      </c>
      <c r="F1526" s="1" t="s">
        <v>9</v>
      </c>
      <c r="G1526" s="1" t="s">
        <v>356</v>
      </c>
      <c r="H1526" s="1" t="s">
        <v>131</v>
      </c>
      <c r="I1526" s="1" t="s">
        <v>172</v>
      </c>
      <c r="J1526" s="1" t="s">
        <v>3288</v>
      </c>
      <c r="K1526" s="1" t="n">
        <v>16</v>
      </c>
      <c r="L1526" s="11" t="n">
        <v>0.997346813526465</v>
      </c>
      <c r="M1526" s="1" t="n">
        <f aca="false">SUMIF(Relatorio_AK!$A:$A,A1526,Relatorio_AK!$B:$B)</f>
        <v>16</v>
      </c>
      <c r="N1526" s="1" t="str">
        <f aca="false">IF(M1526=K1526,"OK","DIF")</f>
        <v>OK</v>
      </c>
      <c r="O1526" s="13" t="str">
        <f aca="false">IFERROR(VLOOKUP($A1526,Lista_Starke!$A:$E,3,0),"NÃO ESTÁ NA LISTA")</f>
        <v>HYUNDAI: H100 2.5 8V Diesel 95/04
HYUNDAI: HR 2.5 16V Diesel 13/...
HYUNDAI: HR 2.5 8V Diesel 05/12
KIA: Bongo K2500 2.5 16V Diesel 13/...
KIA: Bongo K2500 2.5 8V Diesel 05/12</v>
      </c>
      <c r="P1526" s="12" t="str">
        <f aca="false">IFERROR(VLOOKUP($A1526,Lista_Starke!$A:$E,2,0),"NÃO ESTÁ NA LISTA")</f>
        <v>SAPATA DE FREIO</v>
      </c>
    </row>
    <row r="1527" customFormat="false" ht="15" hidden="false" customHeight="true" outlineLevel="0" collapsed="false">
      <c r="A1527" s="10" t="s">
        <v>3289</v>
      </c>
      <c r="B1527" s="10" t="str">
        <f aca="false">IFERROR(VLOOKUP(A1527,Pedido!$A:$B,2,0),"")</f>
        <v/>
      </c>
      <c r="C1527" s="10" t="str">
        <f aca="false">IF(B1527="","NÃO COMPRA","COMPRA")</f>
        <v>NÃO COMPRA</v>
      </c>
      <c r="D1527" s="1" t="n">
        <f aca="false">IFERROR(VLOOKUP(A1527,Pedido!$A:$C,3,0),0)</f>
        <v>0</v>
      </c>
      <c r="E1527" s="5" t="n">
        <f aca="false">IFERROR(VLOOKUP(A1527,Pedido!$A:$E,5,0),0)</f>
        <v>0</v>
      </c>
      <c r="F1527" s="1" t="s">
        <v>9</v>
      </c>
      <c r="G1527" s="1" t="s">
        <v>1387</v>
      </c>
      <c r="H1527" s="1" t="s">
        <v>235</v>
      </c>
      <c r="I1527" s="1" t="s">
        <v>1157</v>
      </c>
      <c r="J1527" s="1" t="s">
        <v>3290</v>
      </c>
      <c r="K1527" s="1" t="n">
        <v>16</v>
      </c>
      <c r="L1527" s="11" t="n">
        <v>0.997374165964337</v>
      </c>
      <c r="M1527" s="1" t="n">
        <f aca="false">SUMIF(Relatorio_AK!$A:$A,A1527,Relatorio_AK!$B:$B)</f>
        <v>16</v>
      </c>
      <c r="N1527" s="1" t="str">
        <f aca="false">IF(M1527=K1527,"OK","DIF")</f>
        <v>OK</v>
      </c>
      <c r="O1527" s="13" t="str">
        <f aca="false">IFERROR(VLOOKUP($A1527,Lista_Starke!$A:$E,3,0),"NÃO ESTÁ NA LISTA")</f>
        <v>BMW: 116i (F20) 1.6 16v Turbo 12/15
BMW: 118i (E87) 2.0 16V 10/12
BMW: 120i (E87) 2.016V 05/12
BMW: 320i (E90) 2.0 16V 05/12
BMW: X3 (E83) 2.5 24V 04/10
BMW: Z4 (E85) 2.5 24V 05/09</v>
      </c>
      <c r="P1527" s="12" t="str">
        <f aca="false">IFERROR(VLOOKUP($A1527,Lista_Starke!$A:$E,2,0),"NÃO ESTÁ NA LISTA")</f>
        <v>RESFRIADOR DE ÓLEO MOTOR</v>
      </c>
    </row>
    <row r="1528" customFormat="false" ht="15" hidden="false" customHeight="true" outlineLevel="0" collapsed="false">
      <c r="A1528" s="10" t="s">
        <v>3291</v>
      </c>
      <c r="B1528" s="10" t="str">
        <f aca="false">IFERROR(VLOOKUP(A1528,Pedido!$A:$B,2,0),"")</f>
        <v/>
      </c>
      <c r="C1528" s="10" t="str">
        <f aca="false">IF(B1528="","NÃO COMPRA","COMPRA")</f>
        <v>NÃO COMPRA</v>
      </c>
      <c r="D1528" s="1" t="n">
        <f aca="false">IFERROR(VLOOKUP(A1528,Pedido!$A:$C,3,0),0)</f>
        <v>0</v>
      </c>
      <c r="E1528" s="5" t="n">
        <f aca="false">IFERROR(VLOOKUP(A1528,Pedido!$A:$E,5,0),0)</f>
        <v>0</v>
      </c>
      <c r="F1528" s="1" t="s">
        <v>9</v>
      </c>
      <c r="G1528" s="1" t="s">
        <v>3292</v>
      </c>
      <c r="H1528" s="1" t="s">
        <v>1131</v>
      </c>
      <c r="I1528" s="1" t="s">
        <v>36</v>
      </c>
      <c r="J1528" s="1" t="s">
        <v>3293</v>
      </c>
      <c r="K1528" s="1" t="n">
        <v>16</v>
      </c>
      <c r="L1528" s="11" t="n">
        <v>0.997401518402208</v>
      </c>
      <c r="M1528" s="1" t="n">
        <f aca="false">SUMIF(Relatorio_AK!$A:$A,A1528,Relatorio_AK!$B:$B)</f>
        <v>16</v>
      </c>
      <c r="N1528" s="1" t="str">
        <f aca="false">IF(M1528=K1528,"OK","DIF")</f>
        <v>OK</v>
      </c>
      <c r="O1528" s="13" t="str">
        <f aca="false">IFERROR(VLOOKUP($A1528,Lista_Starke!$A:$E,3,0),"NÃO ESTÁ NA LISTA")</f>
        <v>VOLKSWAGEN: Jetta 2.0 16V TSI 211cv 13/18
VOLKSWAGEN: New Beetle 2.0 16V TSI 211cv 12/16</v>
      </c>
      <c r="P1528" s="12" t="str">
        <f aca="false">IFERROR(VLOOKUP($A1528,Lista_Starke!$A:$E,2,0),"NÃO ESTÁ NA LISTA")</f>
        <v>BOMBA DE ALTA PRESSÃO GDI</v>
      </c>
    </row>
    <row r="1529" customFormat="false" ht="15" hidden="false" customHeight="true" outlineLevel="0" collapsed="false">
      <c r="A1529" s="10" t="s">
        <v>3294</v>
      </c>
      <c r="B1529" s="10" t="str">
        <f aca="false">IFERROR(VLOOKUP(A1529,Pedido!$A:$B,2,0),"")</f>
        <v/>
      </c>
      <c r="C1529" s="10" t="str">
        <f aca="false">IF(B1529="","NÃO COMPRA","COMPRA")</f>
        <v>NÃO COMPRA</v>
      </c>
      <c r="D1529" s="1" t="n">
        <f aca="false">IFERROR(VLOOKUP(A1529,Pedido!$A:$C,3,0),0)</f>
        <v>0</v>
      </c>
      <c r="E1529" s="5" t="n">
        <f aca="false">IFERROR(VLOOKUP(A1529,Pedido!$A:$E,5,0),0)</f>
        <v>0</v>
      </c>
      <c r="F1529" s="1" t="s">
        <v>9</v>
      </c>
      <c r="G1529" s="1" t="s">
        <v>3066</v>
      </c>
      <c r="H1529" s="1" t="s">
        <v>2466</v>
      </c>
      <c r="I1529" s="1" t="s">
        <v>53</v>
      </c>
      <c r="J1529" s="1" t="s">
        <v>3295</v>
      </c>
      <c r="K1529" s="1" t="n">
        <v>16</v>
      </c>
      <c r="L1529" s="11" t="n">
        <v>0.99742887084008</v>
      </c>
      <c r="M1529" s="1" t="n">
        <f aca="false">SUMIF(Relatorio_AK!$A:$A,A1529,Relatorio_AK!$B:$B)</f>
        <v>16</v>
      </c>
      <c r="N1529" s="1" t="str">
        <f aca="false">IF(M1529=K1529,"OK","DIF")</f>
        <v>OK</v>
      </c>
      <c r="O1529" s="13" t="str">
        <f aca="false">IFERROR(VLOOKUP($A1529,Lista_Starke!$A:$E,3,0),"NÃO ESTÁ NA LISTA")</f>
        <v>FORD: Ka 1.0 8V Zetec Rocam 01/07
FORD: Ka 1.6 8V Zetec Rocam 01/07</v>
      </c>
      <c r="P1529" s="12" t="str">
        <f aca="false">IFERROR(VLOOKUP($A1529,Lista_Starke!$A:$E,2,0),"NÃO ESTÁ NA LISTA")</f>
        <v>SERVO FREIO</v>
      </c>
    </row>
    <row r="1530" customFormat="false" ht="15" hidden="false" customHeight="true" outlineLevel="0" collapsed="false">
      <c r="A1530" s="10" t="s">
        <v>3296</v>
      </c>
      <c r="B1530" s="10" t="str">
        <f aca="false">IFERROR(VLOOKUP(A1530,Pedido!$A:$B,2,0),"")</f>
        <v/>
      </c>
      <c r="C1530" s="10" t="str">
        <f aca="false">IF(B1530="","NÃO COMPRA","COMPRA")</f>
        <v>NÃO COMPRA</v>
      </c>
      <c r="D1530" s="1" t="n">
        <f aca="false">IFERROR(VLOOKUP(A1530,Pedido!$A:$C,3,0),0)</f>
        <v>0</v>
      </c>
      <c r="E1530" s="5" t="n">
        <f aca="false">IFERROR(VLOOKUP(A1530,Pedido!$A:$E,5,0),0)</f>
        <v>0</v>
      </c>
      <c r="F1530" s="1" t="s">
        <v>9</v>
      </c>
      <c r="G1530" s="1" t="s">
        <v>377</v>
      </c>
      <c r="H1530" s="1" t="s">
        <v>197</v>
      </c>
      <c r="I1530" s="1" t="s">
        <v>53</v>
      </c>
      <c r="J1530" s="1" t="s">
        <v>3297</v>
      </c>
      <c r="K1530" s="1" t="n">
        <v>15</v>
      </c>
      <c r="L1530" s="11" t="n">
        <v>0.997454513750584</v>
      </c>
      <c r="M1530" s="1" t="n">
        <f aca="false">SUMIF(Relatorio_AK!$A:$A,A1530,Relatorio_AK!$B:$B)</f>
        <v>15</v>
      </c>
      <c r="N1530" s="1" t="str">
        <f aca="false">IF(M1530=K1530,"OK","DIF")</f>
        <v>OK</v>
      </c>
      <c r="O1530" s="12" t="str">
        <f aca="false">IFERROR(VLOOKUP($A1530,Lista_Starke!$A:$E,3,0),"NÃO ESTÁ NA LISTA")</f>
        <v>FORD: Mondeo 1.8 16V / 2.0 16V Zetec 94/06</v>
      </c>
      <c r="P1530" s="12" t="str">
        <f aca="false">IFERROR(VLOOKUP($A1530,Lista_Starke!$A:$E,2,0),"NÃO ESTÁ NA LISTA")</f>
        <v>BOMBA D'ÁGUA</v>
      </c>
    </row>
    <row r="1531" customFormat="false" ht="15" hidden="false" customHeight="true" outlineLevel="0" collapsed="false">
      <c r="A1531" s="10" t="s">
        <v>3298</v>
      </c>
      <c r="B1531" s="10" t="str">
        <f aca="false">IFERROR(VLOOKUP(A1531,Pedido!$A:$B,2,0),"")</f>
        <v/>
      </c>
      <c r="C1531" s="10" t="str">
        <f aca="false">IF(B1531="","NÃO COMPRA","COMPRA")</f>
        <v>NÃO COMPRA</v>
      </c>
      <c r="D1531" s="1" t="n">
        <f aca="false">IFERROR(VLOOKUP(A1531,Pedido!$A:$C,3,0),0)</f>
        <v>0</v>
      </c>
      <c r="E1531" s="5" t="n">
        <f aca="false">IFERROR(VLOOKUP(A1531,Pedido!$A:$E,5,0),0)</f>
        <v>0</v>
      </c>
      <c r="F1531" s="1" t="s">
        <v>9</v>
      </c>
      <c r="G1531" s="1" t="s">
        <v>1970</v>
      </c>
      <c r="H1531" s="1" t="s">
        <v>197</v>
      </c>
      <c r="I1531" s="1" t="s">
        <v>403</v>
      </c>
      <c r="J1531" s="1" t="s">
        <v>3299</v>
      </c>
      <c r="K1531" s="1" t="n">
        <v>15</v>
      </c>
      <c r="L1531" s="11" t="n">
        <v>0.997480156661089</v>
      </c>
      <c r="M1531" s="1" t="n">
        <f aca="false">SUMIF(Relatorio_AK!$A:$A,A1531,Relatorio_AK!$B:$B)</f>
        <v>15</v>
      </c>
      <c r="N1531" s="1" t="str">
        <f aca="false">IF(M1531=K1531,"OK","DIF")</f>
        <v>OK</v>
      </c>
      <c r="O1531" s="12" t="str">
        <f aca="false">IFERROR(VLOOKUP($A1531,Lista_Starke!$A:$E,3,0),"NÃO ESTÁ NA LISTA")</f>
        <v>IVECO: Daily 35.10 2.5 Turbo Diesel 96/…</v>
      </c>
      <c r="P1531" s="12" t="str">
        <f aca="false">IFERROR(VLOOKUP($A1531,Lista_Starke!$A:$E,2,0),"NÃO ESTÁ NA LISTA")</f>
        <v>BOMBA D'ÁGUA</v>
      </c>
    </row>
    <row r="1532" customFormat="false" ht="15" hidden="false" customHeight="true" outlineLevel="0" collapsed="false">
      <c r="A1532" s="10" t="s">
        <v>3300</v>
      </c>
      <c r="B1532" s="10" t="str">
        <f aca="false">IFERROR(VLOOKUP(A1532,Pedido!$A:$B,2,0),"")</f>
        <v/>
      </c>
      <c r="C1532" s="10" t="str">
        <f aca="false">IF(B1532="","NÃO COMPRA","COMPRA")</f>
        <v>NÃO COMPRA</v>
      </c>
      <c r="D1532" s="1" t="n">
        <f aca="false">IFERROR(VLOOKUP(A1532,Pedido!$A:$C,3,0),0)</f>
        <v>0</v>
      </c>
      <c r="E1532" s="5" t="n">
        <f aca="false">IFERROR(VLOOKUP(A1532,Pedido!$A:$E,5,0),0)</f>
        <v>0</v>
      </c>
      <c r="F1532" s="1" t="s">
        <v>9</v>
      </c>
      <c r="G1532" s="1" t="s">
        <v>2284</v>
      </c>
      <c r="H1532" s="1" t="s">
        <v>2420</v>
      </c>
      <c r="I1532" s="1" t="s">
        <v>255</v>
      </c>
      <c r="J1532" s="1" t="s">
        <v>3301</v>
      </c>
      <c r="K1532" s="1" t="n">
        <v>15</v>
      </c>
      <c r="L1532" s="11" t="n">
        <v>0.997505799571593</v>
      </c>
      <c r="M1532" s="1" t="n">
        <f aca="false">SUMIF(Relatorio_AK!$A:$A,A1532,Relatorio_AK!$B:$B)</f>
        <v>15</v>
      </c>
      <c r="N1532" s="1" t="str">
        <f aca="false">IF(M1532=K1532,"OK","DIF")</f>
        <v>OK</v>
      </c>
      <c r="O1532" s="13" t="str">
        <f aca="false">IFERROR(VLOOKUP($A1532,Lista_Starke!$A:$E,3,0),"NÃO ESTÁ NA LISTA")</f>
        <v>MITSUBISHI: Triton 3.2 16V Diesel 4M41 DI-D 08/16
MITSUBISHI: Triton 3.5 V6 24V Gasolina 6G74 08/16</v>
      </c>
      <c r="P1532" s="12" t="str">
        <f aca="false">IFERROR(VLOOKUP($A1532,Lista_Starke!$A:$E,2,0),"NÃO ESTÁ NA LISTA")</f>
        <v>BANDEJA SUPERIOR COMPLETA LD</v>
      </c>
    </row>
    <row r="1533" customFormat="false" ht="15" hidden="false" customHeight="true" outlineLevel="0" collapsed="false">
      <c r="A1533" s="10" t="s">
        <v>3302</v>
      </c>
      <c r="B1533" s="10" t="str">
        <f aca="false">IFERROR(VLOOKUP(A1533,Pedido!$A:$B,2,0),"")</f>
        <v/>
      </c>
      <c r="C1533" s="10" t="str">
        <f aca="false">IF(B1533="","NÃO COMPRA","COMPRA")</f>
        <v>NÃO COMPRA</v>
      </c>
      <c r="D1533" s="1" t="n">
        <f aca="false">IFERROR(VLOOKUP(A1533,Pedido!$A:$C,3,0),0)</f>
        <v>0</v>
      </c>
      <c r="E1533" s="5" t="n">
        <f aca="false">IFERROR(VLOOKUP(A1533,Pedido!$A:$E,5,0),0)</f>
        <v>0</v>
      </c>
      <c r="F1533" s="1" t="s">
        <v>9</v>
      </c>
      <c r="G1533" s="1" t="s">
        <v>3303</v>
      </c>
      <c r="H1533" s="1" t="s">
        <v>1358</v>
      </c>
      <c r="I1533" s="1" t="s">
        <v>2907</v>
      </c>
      <c r="J1533" s="1" t="s">
        <v>3304</v>
      </c>
      <c r="K1533" s="1" t="n">
        <v>15</v>
      </c>
      <c r="L1533" s="11" t="n">
        <v>0.997531442482098</v>
      </c>
      <c r="M1533" s="1" t="n">
        <f aca="false">SUMIF(Relatorio_AK!$A:$A,A1533,Relatorio_AK!$B:$B)</f>
        <v>15</v>
      </c>
      <c r="N1533" s="1" t="str">
        <f aca="false">IF(M1533=K1533,"OK","DIF")</f>
        <v>OK</v>
      </c>
      <c r="O1533" s="13" t="str">
        <f aca="false">IFERROR(VLOOKUP($A1533,Lista_Starke!$A:$E,3,0),"NÃO ESTÁ NA LISTA")</f>
        <v>AUDI: Q3  19/...
AUDI: Q3 Sportback  19/...</v>
      </c>
      <c r="P1533" s="12" t="str">
        <f aca="false">IFERROR(VLOOKUP($A1533,Lista_Starke!$A:$E,2,0),"NÃO ESTÁ NA LISTA")</f>
        <v>BANDEJA INFERIOR COMPLETA LE</v>
      </c>
    </row>
    <row r="1534" customFormat="false" ht="15" hidden="false" customHeight="true" outlineLevel="0" collapsed="false">
      <c r="A1534" s="10" t="s">
        <v>3305</v>
      </c>
      <c r="B1534" s="10" t="str">
        <f aca="false">IFERROR(VLOOKUP(A1534,Pedido!$A:$B,2,0),"")</f>
        <v/>
      </c>
      <c r="C1534" s="10" t="str">
        <f aca="false">IF(B1534="","NÃO COMPRA","COMPRA")</f>
        <v>NÃO COMPRA</v>
      </c>
      <c r="D1534" s="1" t="n">
        <f aca="false">IFERROR(VLOOKUP(A1534,Pedido!$A:$C,3,0),0)</f>
        <v>0</v>
      </c>
      <c r="E1534" s="5" t="n">
        <f aca="false">IFERROR(VLOOKUP(A1534,Pedido!$A:$E,5,0),0)</f>
        <v>0</v>
      </c>
      <c r="F1534" s="1" t="s">
        <v>9</v>
      </c>
      <c r="G1534" s="1" t="s">
        <v>1357</v>
      </c>
      <c r="H1534" s="1" t="s">
        <v>1358</v>
      </c>
      <c r="I1534" s="1" t="s">
        <v>42</v>
      </c>
      <c r="J1534" s="1" t="s">
        <v>3306</v>
      </c>
      <c r="K1534" s="1" t="n">
        <v>15</v>
      </c>
      <c r="L1534" s="11" t="n">
        <v>0.997557085392602</v>
      </c>
      <c r="M1534" s="1" t="n">
        <f aca="false">SUMIF(Relatorio_AK!$A:$A,A1534,Relatorio_AK!$B:$B)</f>
        <v>15</v>
      </c>
      <c r="N1534" s="1" t="str">
        <f aca="false">IF(M1534=K1534,"OK","DIF")</f>
        <v>OK</v>
      </c>
      <c r="O1534" s="12" t="str">
        <f aca="false">IFERROR(VLOOKUP($A1534,Lista_Starke!$A:$E,3,0),"NÃO ESTÁ NA LISTA")</f>
        <v>RENAULT: Fluence  11/18</v>
      </c>
      <c r="P1534" s="12" t="str">
        <f aca="false">IFERROR(VLOOKUP($A1534,Lista_Starke!$A:$E,2,0),"NÃO ESTÁ NA LISTA")</f>
        <v>BANDEJA INFERIOR COMPLETA LD</v>
      </c>
    </row>
    <row r="1535" customFormat="false" ht="15" hidden="false" customHeight="true" outlineLevel="0" collapsed="false">
      <c r="A1535" s="10" t="s">
        <v>3307</v>
      </c>
      <c r="B1535" s="10" t="str">
        <f aca="false">IFERROR(VLOOKUP(A1535,Pedido!$A:$B,2,0),"")</f>
        <v/>
      </c>
      <c r="C1535" s="10" t="str">
        <f aca="false">IF(B1535="","NÃO COMPRA","COMPRA")</f>
        <v>NÃO COMPRA</v>
      </c>
      <c r="D1535" s="1" t="n">
        <f aca="false">IFERROR(VLOOKUP(A1535,Pedido!$A:$C,3,0),0)</f>
        <v>0</v>
      </c>
      <c r="E1535" s="5" t="n">
        <f aca="false">IFERROR(VLOOKUP(A1535,Pedido!$A:$E,5,0),0)</f>
        <v>0</v>
      </c>
      <c r="F1535" s="1" t="s">
        <v>9</v>
      </c>
      <c r="G1535" s="1" t="s">
        <v>377</v>
      </c>
      <c r="H1535" s="1" t="s">
        <v>197</v>
      </c>
      <c r="I1535" s="1" t="s">
        <v>53</v>
      </c>
      <c r="J1535" s="1" t="s">
        <v>3308</v>
      </c>
      <c r="K1535" s="1" t="n">
        <v>15</v>
      </c>
      <c r="L1535" s="11" t="n">
        <v>0.997582728303107</v>
      </c>
      <c r="M1535" s="1" t="n">
        <f aca="false">SUMIF(Relatorio_AK!$A:$A,A1535,Relatorio_AK!$B:$B)</f>
        <v>15</v>
      </c>
      <c r="N1535" s="1" t="str">
        <f aca="false">IF(M1535=K1535,"OK","DIF")</f>
        <v>OK</v>
      </c>
      <c r="O1535" s="12" t="str">
        <f aca="false">IFERROR(VLOOKUP($A1535,Lista_Starke!$A:$E,3,0),"NÃO ESTÁ NA LISTA")</f>
        <v>FORD: Taurus 3.0 24V V6 96/00</v>
      </c>
      <c r="P1535" s="12" t="str">
        <f aca="false">IFERROR(VLOOKUP($A1535,Lista_Starke!$A:$E,2,0),"NÃO ESTÁ NA LISTA")</f>
        <v>BOMBA D'ÁGUA</v>
      </c>
    </row>
    <row r="1536" customFormat="false" ht="15" hidden="false" customHeight="true" outlineLevel="0" collapsed="false">
      <c r="A1536" s="10" t="s">
        <v>3309</v>
      </c>
      <c r="B1536" s="10" t="str">
        <f aca="false">IFERROR(VLOOKUP(A1536,Pedido!$A:$B,2,0),"")</f>
        <v/>
      </c>
      <c r="C1536" s="10" t="str">
        <f aca="false">IF(B1536="","NÃO COMPRA","COMPRA")</f>
        <v>NÃO COMPRA</v>
      </c>
      <c r="D1536" s="1" t="n">
        <f aca="false">IFERROR(VLOOKUP(A1536,Pedido!$A:$C,3,0),0)</f>
        <v>0</v>
      </c>
      <c r="E1536" s="5" t="n">
        <f aca="false">IFERROR(VLOOKUP(A1536,Pedido!$A:$E,5,0),0)</f>
        <v>0</v>
      </c>
      <c r="F1536" s="1" t="s">
        <v>9</v>
      </c>
      <c r="G1536" s="1" t="s">
        <v>3310</v>
      </c>
      <c r="H1536" s="1" t="s">
        <v>197</v>
      </c>
      <c r="I1536" s="1" t="s">
        <v>3311</v>
      </c>
      <c r="J1536" s="1" t="s">
        <v>3312</v>
      </c>
      <c r="K1536" s="1" t="n">
        <v>15</v>
      </c>
      <c r="L1536" s="11" t="n">
        <v>0.997608371213612</v>
      </c>
      <c r="M1536" s="1" t="n">
        <f aca="false">SUMIF(Relatorio_AK!$A:$A,A1536,Relatorio_AK!$B:$B)</f>
        <v>15</v>
      </c>
      <c r="N1536" s="1" t="str">
        <f aca="false">IF(M1536=K1536,"OK","DIF")</f>
        <v>OK</v>
      </c>
      <c r="O1536" s="13" t="str">
        <f aca="false">IFERROR(VLOOKUP($A1536,Lista_Starke!$A:$E,3,0),"NÃO ESTÁ NA LISTA")</f>
        <v>DAF: Novo CF PACCAR MX11 20/...
DAF: Novo XF PACCAR MX13 20/...</v>
      </c>
      <c r="P1536" s="12" t="str">
        <f aca="false">IFERROR(VLOOKUP($A1536,Lista_Starke!$A:$E,2,0),"NÃO ESTÁ NA LISTA")</f>
        <v>BOMBA D'ÁGUA</v>
      </c>
    </row>
    <row r="1537" customFormat="false" ht="15" hidden="false" customHeight="true" outlineLevel="0" collapsed="false">
      <c r="A1537" s="10" t="s">
        <v>3313</v>
      </c>
      <c r="B1537" s="10" t="str">
        <f aca="false">IFERROR(VLOOKUP(A1537,Pedido!$A:$B,2,0),"")</f>
        <v/>
      </c>
      <c r="C1537" s="10" t="str">
        <f aca="false">IF(B1537="","NÃO COMPRA","COMPRA")</f>
        <v>NÃO COMPRA</v>
      </c>
      <c r="D1537" s="1" t="n">
        <f aca="false">IFERROR(VLOOKUP(A1537,Pedido!$A:$C,3,0),0)</f>
        <v>0</v>
      </c>
      <c r="E1537" s="5" t="n">
        <f aca="false">IFERROR(VLOOKUP(A1537,Pedido!$A:$E,5,0),0)</f>
        <v>0</v>
      </c>
      <c r="F1537" s="1" t="s">
        <v>9</v>
      </c>
      <c r="G1537" s="1" t="s">
        <v>1326</v>
      </c>
      <c r="H1537" s="1" t="s">
        <v>790</v>
      </c>
      <c r="I1537" s="1" t="s">
        <v>177</v>
      </c>
      <c r="J1537" s="1" t="s">
        <v>3314</v>
      </c>
      <c r="K1537" s="1" t="n">
        <v>15</v>
      </c>
      <c r="L1537" s="11" t="n">
        <v>0.997634014124116</v>
      </c>
      <c r="M1537" s="1" t="n">
        <f aca="false">SUMIF(Relatorio_AK!$A:$A,A1537,Relatorio_AK!$B:$B)</f>
        <v>15</v>
      </c>
      <c r="N1537" s="1" t="str">
        <f aca="false">IF(M1537=K1537,"OK","DIF")</f>
        <v>OK</v>
      </c>
      <c r="O1537" s="13" t="str">
        <f aca="false">IFERROR(VLOOKUP($A1537,Lista_Starke!$A:$E,3,0),"NÃO ESTÁ NA LISTA")</f>
        <v>TOYOTA: Camry 2.5 Hybrid A25A-FXS 17/...
TOYOTA: RAV4 2.5 Hybrid A25A-FXS 18/...
TOYOTA: RAV4 2.5 VVT-i AWD A25A-FKS 18/...</v>
      </c>
      <c r="P1537" s="12" t="str">
        <f aca="false">IFERROR(VLOOKUP($A1537,Lista_Starke!$A:$E,2,0),"NÃO ESTÁ NA LISTA")</f>
        <v>BOMBA D'ÁGUA ELÉTRICA</v>
      </c>
    </row>
    <row r="1538" customFormat="false" ht="15" hidden="false" customHeight="true" outlineLevel="0" collapsed="false">
      <c r="A1538" s="10" t="s">
        <v>3315</v>
      </c>
      <c r="B1538" s="10" t="str">
        <f aca="false">IFERROR(VLOOKUP(A1538,Pedido!$A:$B,2,0),"")</f>
        <v/>
      </c>
      <c r="C1538" s="10" t="str">
        <f aca="false">IF(B1538="","NÃO COMPRA","COMPRA")</f>
        <v>NÃO COMPRA</v>
      </c>
      <c r="D1538" s="1" t="n">
        <f aca="false">IFERROR(VLOOKUP(A1538,Pedido!$A:$C,3,0),0)</f>
        <v>0</v>
      </c>
      <c r="E1538" s="5" t="n">
        <f aca="false">IFERROR(VLOOKUP(A1538,Pedido!$A:$E,5,0),0)</f>
        <v>0</v>
      </c>
      <c r="F1538" s="1" t="s">
        <v>9</v>
      </c>
      <c r="G1538" s="1" t="s">
        <v>2026</v>
      </c>
      <c r="H1538" s="1" t="s">
        <v>1073</v>
      </c>
      <c r="I1538" s="1" t="s">
        <v>1157</v>
      </c>
      <c r="J1538" s="1" t="s">
        <v>3316</v>
      </c>
      <c r="K1538" s="1" t="n">
        <v>15</v>
      </c>
      <c r="L1538" s="11" t="n">
        <v>0.997659657034621</v>
      </c>
      <c r="M1538" s="1" t="n">
        <f aca="false">SUMIF(Relatorio_AK!$A:$A,A1538,Relatorio_AK!$B:$B)</f>
        <v>15</v>
      </c>
      <c r="N1538" s="1" t="str">
        <f aca="false">IF(M1538=K1538,"OK","DIF")</f>
        <v>OK</v>
      </c>
      <c r="O1538" s="13" t="str">
        <f aca="false">IFERROR(VLOOKUP($A1538,Lista_Starke!$A:$E,3,0),"NÃO ESTÁ NA LISTA")</f>
        <v>BMW: 135i (E88) 3.0 6 cil. N54B30A / N55B30A 08/13
BMW: 335i (E90) 3.0 6 cil. N54B30A / N55B30A 06/11
BMW: X5 (E70) 3.0 6 cil. N55B30A 10/13
BMW: X6 (E71/E72) 3.0 6 cil. N54B30A / N55B30A 08/14</v>
      </c>
      <c r="P1538" s="12" t="str">
        <f aca="false">IFERROR(VLOOKUP($A1538,Lista_Starke!$A:$E,2,0),"NÃO ESTÁ NA LISTA")</f>
        <v>VÁLVULA TERMOSTÁTICA</v>
      </c>
    </row>
    <row r="1539" customFormat="false" ht="15" hidden="false" customHeight="true" outlineLevel="0" collapsed="false">
      <c r="A1539" s="10" t="s">
        <v>3317</v>
      </c>
      <c r="B1539" s="10" t="str">
        <f aca="false">IFERROR(VLOOKUP(A1539,Pedido!$A:$B,2,0),"")</f>
        <v/>
      </c>
      <c r="C1539" s="10" t="str">
        <f aca="false">IF(B1539="","NÃO COMPRA","COMPRA")</f>
        <v>NÃO COMPRA</v>
      </c>
      <c r="D1539" s="1" t="n">
        <f aca="false">IFERROR(VLOOKUP(A1539,Pedido!$A:$C,3,0),0)</f>
        <v>0</v>
      </c>
      <c r="E1539" s="5" t="n">
        <f aca="false">IFERROR(VLOOKUP(A1539,Pedido!$A:$E,5,0),0)</f>
        <v>0</v>
      </c>
      <c r="F1539" s="1" t="s">
        <v>9</v>
      </c>
      <c r="G1539" s="1" t="s">
        <v>3318</v>
      </c>
      <c r="H1539" s="1" t="s">
        <v>35</v>
      </c>
      <c r="I1539" s="1" t="s">
        <v>2907</v>
      </c>
      <c r="J1539" s="1" t="s">
        <v>3319</v>
      </c>
      <c r="K1539" s="1" t="n">
        <v>15</v>
      </c>
      <c r="L1539" s="11" t="n">
        <v>0.997685299945125</v>
      </c>
      <c r="M1539" s="1" t="n">
        <f aca="false">SUMIF(Relatorio_AK!$A:$A,A1539,Relatorio_AK!$B:$B)</f>
        <v>15</v>
      </c>
      <c r="N1539" s="1" t="str">
        <f aca="false">IF(M1539=K1539,"OK","DIF")</f>
        <v>OK</v>
      </c>
      <c r="O1539" s="12" t="str">
        <f aca="false">IFERROR(VLOOKUP($A1539,Lista_Starke!$A:$E,3,0),"NÃO ESTÁ NA LISTA")</f>
        <v>AUDI: A1 1.4 16V TFSI 10/15</v>
      </c>
      <c r="P1539" s="12" t="str">
        <f aca="false">IFERROR(VLOOKUP($A1539,Lista_Starke!$A:$E,2,0),"NÃO ESTÁ NA LISTA")</f>
        <v>CILINDRO MESTRE DE FREIO</v>
      </c>
    </row>
    <row r="1540" customFormat="false" ht="15" hidden="false" customHeight="true" outlineLevel="0" collapsed="false">
      <c r="A1540" s="10" t="s">
        <v>3320</v>
      </c>
      <c r="B1540" s="10" t="str">
        <f aca="false">IFERROR(VLOOKUP(A1540,Pedido!$A:$B,2,0),"")</f>
        <v/>
      </c>
      <c r="C1540" s="10" t="str">
        <f aca="false">IF(B1540="","NÃO COMPRA","COMPRA")</f>
        <v>NÃO COMPRA</v>
      </c>
      <c r="D1540" s="1" t="n">
        <f aca="false">IFERROR(VLOOKUP(A1540,Pedido!$A:$C,3,0),0)</f>
        <v>0</v>
      </c>
      <c r="E1540" s="5" t="n">
        <f aca="false">IFERROR(VLOOKUP(A1540,Pedido!$A:$E,5,0),0)</f>
        <v>0</v>
      </c>
      <c r="F1540" s="1" t="s">
        <v>9</v>
      </c>
      <c r="G1540" s="1" t="s">
        <v>353</v>
      </c>
      <c r="H1540" s="1" t="s">
        <v>88</v>
      </c>
      <c r="I1540" s="1" t="s">
        <v>177</v>
      </c>
      <c r="J1540" s="1" t="s">
        <v>3321</v>
      </c>
      <c r="K1540" s="1" t="n">
        <v>15</v>
      </c>
      <c r="L1540" s="11" t="n">
        <v>0.99771094285563</v>
      </c>
      <c r="M1540" s="1" t="n">
        <f aca="false">SUMIF(Relatorio_AK!$A:$A,A1540,Relatorio_AK!$B:$B)</f>
        <v>15</v>
      </c>
      <c r="N1540" s="1" t="str">
        <f aca="false">IF(M1540=K1540,"OK","DIF")</f>
        <v>OK</v>
      </c>
      <c r="O1540" s="13" t="str">
        <f aca="false">IFERROR(VLOOKUP($A1540,Lista_Starke!$A:$E,3,0),"NÃO ESTÁ NA LISTA")</f>
        <v>TOYOTA: SW4 3.0 12V V6 3VZE 89/95
TOYOTA: SW4 3.4 24V V6 5VZFE 95/02</v>
      </c>
      <c r="P1540" s="12" t="str">
        <f aca="false">IFERROR(VLOOKUP($A1540,Lista_Starke!$A:$E,2,0),"NÃO ESTÁ NA LISTA")</f>
        <v>CILINDRO DE RODA LE/LD</v>
      </c>
    </row>
    <row r="1541" customFormat="false" ht="15" hidden="false" customHeight="true" outlineLevel="0" collapsed="false">
      <c r="A1541" s="10" t="s">
        <v>3322</v>
      </c>
      <c r="B1541" s="10" t="str">
        <f aca="false">IFERROR(VLOOKUP(A1541,Pedido!$A:$B,2,0),"")</f>
        <v/>
      </c>
      <c r="C1541" s="10" t="str">
        <f aca="false">IF(B1541="","NÃO COMPRA","COMPRA")</f>
        <v>NÃO COMPRA</v>
      </c>
      <c r="D1541" s="1" t="n">
        <f aca="false">IFERROR(VLOOKUP(A1541,Pedido!$A:$C,3,0),0)</f>
        <v>0</v>
      </c>
      <c r="E1541" s="5" t="n">
        <f aca="false">IFERROR(VLOOKUP(A1541,Pedido!$A:$E,5,0),0)</f>
        <v>0</v>
      </c>
      <c r="F1541" s="1" t="s">
        <v>9</v>
      </c>
      <c r="G1541" s="1" t="s">
        <v>145</v>
      </c>
      <c r="H1541" s="1" t="s">
        <v>28</v>
      </c>
      <c r="I1541" s="1" t="s">
        <v>36</v>
      </c>
      <c r="J1541" s="1" t="s">
        <v>3323</v>
      </c>
      <c r="K1541" s="1" t="n">
        <v>15</v>
      </c>
      <c r="L1541" s="11" t="n">
        <v>0.997736585766134</v>
      </c>
      <c r="M1541" s="1" t="n">
        <f aca="false">SUMIF(Relatorio_AK!$A:$A,A1541,Relatorio_AK!$B:$B)</f>
        <v>15</v>
      </c>
      <c r="N1541" s="1" t="str">
        <f aca="false">IF(M1541=K1541,"OK","DIF")</f>
        <v>OK</v>
      </c>
      <c r="O1541" s="13" t="str">
        <f aca="false">IFERROR(VLOOKUP($A1541,Lista_Starke!$A:$E,3,0),"NÃO ESTÁ NA LISTA")</f>
        <v>VOLKSWAGEN: 11.130  82/85
VOLKSWAGEN: 11.140  82/...
VOLKSWAGEN: 12.140  82/...
VOLKSWAGEN: 13.130  81/86
VOLKSWAGEN: 14.140  82/...
VOLKSWAGEN: 22.160  86/...
VOLKSWAGEN: 6.90  82/86
VOLKSWAGEN: 7.110  88/94
VOLKSWAGEN: 7.80  82/86
VOLKSWAGEN: 7.90  87/94</v>
      </c>
      <c r="P1541" s="12" t="str">
        <f aca="false">IFERROR(VLOOKUP($A1541,Lista_Starke!$A:$E,2,0),"NÃO ESTÁ NA LISTA")</f>
        <v>CILINDRO AUXILIAR DE EMBREAGEM</v>
      </c>
    </row>
    <row r="1542" customFormat="false" ht="15" hidden="false" customHeight="true" outlineLevel="0" collapsed="false">
      <c r="A1542" s="10" t="s">
        <v>3324</v>
      </c>
      <c r="B1542" s="10" t="str">
        <f aca="false">IFERROR(VLOOKUP(A1542,Pedido!$A:$B,2,0),"")</f>
        <v/>
      </c>
      <c r="C1542" s="10" t="str">
        <f aca="false">IF(B1542="","NÃO COMPRA","COMPRA")</f>
        <v>NÃO COMPRA</v>
      </c>
      <c r="D1542" s="1" t="n">
        <f aca="false">IFERROR(VLOOKUP(A1542,Pedido!$A:$C,3,0),0)</f>
        <v>0</v>
      </c>
      <c r="E1542" s="5" t="n">
        <f aca="false">IFERROR(VLOOKUP(A1542,Pedido!$A:$E,5,0),0)</f>
        <v>0</v>
      </c>
      <c r="F1542" s="1" t="s">
        <v>9</v>
      </c>
      <c r="G1542" s="1" t="s">
        <v>2488</v>
      </c>
      <c r="H1542" s="1" t="s">
        <v>1714</v>
      </c>
      <c r="I1542" s="1" t="s">
        <v>57</v>
      </c>
      <c r="J1542" s="1" t="s">
        <v>3325</v>
      </c>
      <c r="K1542" s="1" t="n">
        <v>15</v>
      </c>
      <c r="L1542" s="11" t="n">
        <v>0.997762228676639</v>
      </c>
      <c r="M1542" s="1" t="n">
        <f aca="false">SUMIF(Relatorio_AK!$A:$A,A1542,Relatorio_AK!$B:$B)</f>
        <v>15</v>
      </c>
      <c r="N1542" s="1" t="str">
        <f aca="false">IF(M1542=K1542,"OK","DIF")</f>
        <v>OK</v>
      </c>
      <c r="O1542" s="13" t="str">
        <f aca="false">IFERROR(VLOOKUP($A1542,Lista_Starke!$A:$E,3,0),"NÃO ESTÁ NA LISTA")</f>
        <v>GM: S10 2.8 Turbodiedel Duramax 17/23
GM: Trailblazer 2.8 Turbodiesel Duramax 17/23</v>
      </c>
      <c r="P1542" s="12" t="str">
        <f aca="false">IFERROR(VLOOKUP($A1542,Lista_Starke!$A:$E,2,0),"NÃO ESTÁ NA LISTA")</f>
        <v>POLIA VISCOSA</v>
      </c>
    </row>
    <row r="1543" customFormat="false" ht="15" hidden="false" customHeight="true" outlineLevel="0" collapsed="false">
      <c r="A1543" s="10" t="s">
        <v>3326</v>
      </c>
      <c r="B1543" s="10" t="str">
        <f aca="false">IFERROR(VLOOKUP(A1543,Pedido!$A:$B,2,0),"")</f>
        <v/>
      </c>
      <c r="C1543" s="10" t="str">
        <f aca="false">IF(B1543="","NÃO COMPRA","COMPRA")</f>
        <v>NÃO COMPRA</v>
      </c>
      <c r="D1543" s="1" t="n">
        <f aca="false">IFERROR(VLOOKUP(A1543,Pedido!$A:$C,3,0),0)</f>
        <v>0</v>
      </c>
      <c r="E1543" s="5" t="n">
        <f aca="false">IFERROR(VLOOKUP(A1543,Pedido!$A:$E,5,0),0)</f>
        <v>0</v>
      </c>
      <c r="F1543" s="1" t="s">
        <v>9</v>
      </c>
      <c r="G1543" s="1" t="s">
        <v>2469</v>
      </c>
      <c r="H1543" s="1" t="s">
        <v>2466</v>
      </c>
      <c r="I1543" s="1" t="s">
        <v>57</v>
      </c>
      <c r="J1543" s="1" t="s">
        <v>3327</v>
      </c>
      <c r="K1543" s="1" t="n">
        <v>15</v>
      </c>
      <c r="L1543" s="11" t="n">
        <v>0.997787871587143</v>
      </c>
      <c r="M1543" s="1" t="n">
        <f aca="false">SUMIF(Relatorio_AK!$A:$A,A1543,Relatorio_AK!$B:$B)</f>
        <v>15</v>
      </c>
      <c r="N1543" s="1" t="str">
        <f aca="false">IF(M1543=K1543,"OK","DIF")</f>
        <v>OK</v>
      </c>
      <c r="O1543" s="13" t="str">
        <f aca="false">IFERROR(VLOOKUP($A1543,Lista_Starke!$A:$E,3,0),"NÃO ESTÁ NA LISTA")</f>
        <v>GM: Chevette 1.4 8V 77/86
GM: Chevette 1.6 8V 82/86
GM: Chevy 1.6 8V 83/86
GM: Marajo 1.6 8V 82/86</v>
      </c>
      <c r="P1543" s="12" t="str">
        <f aca="false">IFERROR(VLOOKUP($A1543,Lista_Starke!$A:$E,2,0),"NÃO ESTÁ NA LISTA")</f>
        <v>SERVO FREIO</v>
      </c>
    </row>
    <row r="1544" customFormat="false" ht="15" hidden="false" customHeight="true" outlineLevel="0" collapsed="false">
      <c r="A1544" s="10" t="s">
        <v>3328</v>
      </c>
      <c r="B1544" s="10" t="str">
        <f aca="false">IFERROR(VLOOKUP(A1544,Pedido!$A:$B,2,0),"")</f>
        <v/>
      </c>
      <c r="C1544" s="10" t="str">
        <f aca="false">IF(B1544="","NÃO COMPRA","COMPRA")</f>
        <v>NÃO COMPRA</v>
      </c>
      <c r="D1544" s="1" t="n">
        <f aca="false">IFERROR(VLOOKUP(A1544,Pedido!$A:$C,3,0),0)</f>
        <v>0</v>
      </c>
      <c r="E1544" s="5" t="n">
        <f aca="false">IFERROR(VLOOKUP(A1544,Pedido!$A:$E,5,0),0)</f>
        <v>0</v>
      </c>
      <c r="F1544" s="1" t="s">
        <v>9</v>
      </c>
      <c r="G1544" s="1" t="s">
        <v>2495</v>
      </c>
      <c r="H1544" s="1" t="s">
        <v>2466</v>
      </c>
      <c r="I1544" s="1" t="s">
        <v>46</v>
      </c>
      <c r="J1544" s="1" t="s">
        <v>3329</v>
      </c>
      <c r="K1544" s="1" t="n">
        <v>15</v>
      </c>
      <c r="L1544" s="11" t="n">
        <v>0.997813514497648</v>
      </c>
      <c r="M1544" s="1" t="n">
        <f aca="false">SUMIF(Relatorio_AK!$A:$A,A1544,Relatorio_AK!$B:$B)</f>
        <v>15</v>
      </c>
      <c r="N1544" s="1" t="str">
        <f aca="false">IF(M1544=K1544,"OK","DIF")</f>
        <v>OK</v>
      </c>
      <c r="O1544" s="12" t="str">
        <f aca="false">IFERROR(VLOOKUP($A1544,Lista_Starke!$A:$E,3,0),"NÃO ESTÁ NA LISTA")</f>
        <v>FIAT: Palio 1.0 8V FIASA 96/97</v>
      </c>
      <c r="P1544" s="12" t="str">
        <f aca="false">IFERROR(VLOOKUP($A1544,Lista_Starke!$A:$E,2,0),"NÃO ESTÁ NA LISTA")</f>
        <v>SERVO FREIO</v>
      </c>
    </row>
    <row r="1545" customFormat="false" ht="15" hidden="false" customHeight="true" outlineLevel="0" collapsed="false">
      <c r="A1545" s="10" t="s">
        <v>3330</v>
      </c>
      <c r="B1545" s="10" t="str">
        <f aca="false">IFERROR(VLOOKUP(A1545,Pedido!$A:$B,2,0),"")</f>
        <v/>
      </c>
      <c r="C1545" s="10" t="str">
        <f aca="false">IF(B1545="","NÃO COMPRA","COMPRA")</f>
        <v>NÃO COMPRA</v>
      </c>
      <c r="D1545" s="1" t="n">
        <f aca="false">IFERROR(VLOOKUP(A1545,Pedido!$A:$C,3,0),0)</f>
        <v>0</v>
      </c>
      <c r="E1545" s="5" t="n">
        <f aca="false">IFERROR(VLOOKUP(A1545,Pedido!$A:$E,5,0),0)</f>
        <v>0</v>
      </c>
      <c r="F1545" s="1" t="s">
        <v>9</v>
      </c>
      <c r="G1545" s="1" t="s">
        <v>2469</v>
      </c>
      <c r="H1545" s="1" t="s">
        <v>2466</v>
      </c>
      <c r="I1545" s="1" t="s">
        <v>57</v>
      </c>
      <c r="J1545" s="1" t="s">
        <v>3331</v>
      </c>
      <c r="K1545" s="1" t="n">
        <v>15</v>
      </c>
      <c r="L1545" s="11" t="n">
        <v>0.997839157408153</v>
      </c>
      <c r="M1545" s="1" t="n">
        <f aca="false">SUMIF(Relatorio_AK!$A:$A,A1545,Relatorio_AK!$B:$B)</f>
        <v>15</v>
      </c>
      <c r="N1545" s="1" t="str">
        <f aca="false">IF(M1545=K1545,"OK","DIF")</f>
        <v>OK</v>
      </c>
      <c r="O1545" s="13" t="str">
        <f aca="false">IFERROR(VLOOKUP($A1545,Lista_Starke!$A:$E,3,0),"NÃO ESTÁ NA LISTA")</f>
        <v>GM: A10 2.5 8V Sist. Varga 80/94
GM: A10 4.1 12V 6 cil. Sist. Varga 80/84
GM: C10 4.1 12V 6 cil. Sist. Varga 79/84
GM: D10 3.9 8V 79/83
GM: D10 3.9 8V 84/94
GM: Veraneio 2.5 8V Sist. Varga 80/88
GM: Veraneio 4.1 12V 6 cil. Sist. Varga 80/88</v>
      </c>
      <c r="P1545" s="12" t="str">
        <f aca="false">IFERROR(VLOOKUP($A1545,Lista_Starke!$A:$E,2,0),"NÃO ESTÁ NA LISTA")</f>
        <v>SERVO FREIO</v>
      </c>
    </row>
    <row r="1546" customFormat="false" ht="15" hidden="false" customHeight="true" outlineLevel="0" collapsed="false">
      <c r="A1546" s="10" t="s">
        <v>3332</v>
      </c>
      <c r="B1546" s="10" t="str">
        <f aca="false">IFERROR(VLOOKUP(A1546,Pedido!$A:$B,2,0),"")</f>
        <v/>
      </c>
      <c r="C1546" s="10" t="str">
        <f aca="false">IF(B1546="","NÃO COMPRA","COMPRA")</f>
        <v>NÃO COMPRA</v>
      </c>
      <c r="D1546" s="1" t="n">
        <f aca="false">IFERROR(VLOOKUP(A1546,Pedido!$A:$C,3,0),0)</f>
        <v>0</v>
      </c>
      <c r="E1546" s="5" t="n">
        <f aca="false">IFERROR(VLOOKUP(A1546,Pedido!$A:$E,5,0),0)</f>
        <v>0</v>
      </c>
      <c r="F1546" s="1" t="s">
        <v>9</v>
      </c>
      <c r="G1546" s="1" t="s">
        <v>3333</v>
      </c>
      <c r="H1546" s="1" t="s">
        <v>2466</v>
      </c>
      <c r="I1546" s="1" t="s">
        <v>255</v>
      </c>
      <c r="J1546" s="1" t="s">
        <v>3334</v>
      </c>
      <c r="K1546" s="1" t="n">
        <v>15</v>
      </c>
      <c r="L1546" s="11" t="n">
        <v>0.997864800318657</v>
      </c>
      <c r="M1546" s="1" t="n">
        <f aca="false">SUMIF(Relatorio_AK!$A:$A,A1546,Relatorio_AK!$B:$B)</f>
        <v>15</v>
      </c>
      <c r="N1546" s="1" t="str">
        <f aca="false">IF(M1546=K1546,"OK","DIF")</f>
        <v>OK</v>
      </c>
      <c r="O1546" s="13" t="str">
        <f aca="false">IFERROR(VLOOKUP($A1546,Lista_Starke!$A:$E,3,0),"NÃO ESTÁ NA LISTA")</f>
        <v>MITSUBISHI: L200 Outdoor 2.5 8V TD 08/11
MITSUBISHI: L200 Savana 2.5 8V TD 08/11
MITSUBISHI: L200 Sport 2.5 8V TD 03/07</v>
      </c>
      <c r="P1546" s="12" t="str">
        <f aca="false">IFERROR(VLOOKUP($A1546,Lista_Starke!$A:$E,2,0),"NÃO ESTÁ NA LISTA")</f>
        <v>SERVO FREIO</v>
      </c>
    </row>
    <row r="1547" customFormat="false" ht="15" hidden="false" customHeight="true" outlineLevel="0" collapsed="false">
      <c r="A1547" s="10" t="s">
        <v>3335</v>
      </c>
      <c r="B1547" s="10" t="str">
        <f aca="false">IFERROR(VLOOKUP(A1547,Pedido!$A:$B,2,0),"")</f>
        <v/>
      </c>
      <c r="C1547" s="10" t="str">
        <f aca="false">IF(B1547="","NÃO COMPRA","COMPRA")</f>
        <v>NÃO COMPRA</v>
      </c>
      <c r="D1547" s="1" t="n">
        <f aca="false">IFERROR(VLOOKUP(A1547,Pedido!$A:$C,3,0),0)</f>
        <v>0</v>
      </c>
      <c r="E1547" s="5" t="n">
        <f aca="false">IFERROR(VLOOKUP(A1547,Pedido!$A:$E,5,0),0)</f>
        <v>0</v>
      </c>
      <c r="F1547" s="1" t="s">
        <v>9</v>
      </c>
      <c r="G1547" s="1" t="s">
        <v>3336</v>
      </c>
      <c r="H1547" s="1" t="s">
        <v>2466</v>
      </c>
      <c r="I1547" s="1" t="s">
        <v>373</v>
      </c>
      <c r="J1547" s="1" t="s">
        <v>3337</v>
      </c>
      <c r="K1547" s="1" t="n">
        <v>15</v>
      </c>
      <c r="L1547" s="11" t="n">
        <v>0.997890443229162</v>
      </c>
      <c r="M1547" s="1" t="n">
        <f aca="false">SUMIF(Relatorio_AK!$A:$A,A1547,Relatorio_AK!$B:$B)</f>
        <v>15</v>
      </c>
      <c r="N1547" s="1" t="str">
        <f aca="false">IF(M1547=K1547,"OK","DIF")</f>
        <v>OK</v>
      </c>
      <c r="O1547" s="13" t="str">
        <f aca="false">IFERROR(VLOOKUP($A1547,Lista_Starke!$A:$E,3,0),"NÃO ESTÁ NA LISTA")</f>
        <v>MERCEDES-BENZ: Sprinter 311 2.2 CDI OM651 12/17
MERCEDES-BENZ: Sprinter 415 2.2 CDI OM651 12/19
MERCEDES-BENZ: Sprinter 515 2.2 CDI OM651 12/19</v>
      </c>
      <c r="P1547" s="12" t="str">
        <f aca="false">IFERROR(VLOOKUP($A1547,Lista_Starke!$A:$E,2,0),"NÃO ESTÁ NA LISTA")</f>
        <v>SERVO FREIO</v>
      </c>
    </row>
    <row r="1548" customFormat="false" ht="15" hidden="false" customHeight="true" outlineLevel="0" collapsed="false">
      <c r="A1548" s="10" t="s">
        <v>3338</v>
      </c>
      <c r="B1548" s="10" t="str">
        <f aca="false">IFERROR(VLOOKUP(A1548,Pedido!$A:$B,2,0),"")</f>
        <v/>
      </c>
      <c r="C1548" s="10" t="str">
        <f aca="false">IF(B1548="","NÃO COMPRA","COMPRA")</f>
        <v>NÃO COMPRA</v>
      </c>
      <c r="D1548" s="1" t="n">
        <f aca="false">IFERROR(VLOOKUP(A1548,Pedido!$A:$C,3,0),0)</f>
        <v>0</v>
      </c>
      <c r="E1548" s="5" t="n">
        <f aca="false">IFERROR(VLOOKUP(A1548,Pedido!$A:$E,5,0),0)</f>
        <v>0</v>
      </c>
      <c r="F1548" s="1" t="s">
        <v>9</v>
      </c>
      <c r="G1548" s="1" t="s">
        <v>3339</v>
      </c>
      <c r="H1548" s="1" t="s">
        <v>3340</v>
      </c>
      <c r="I1548" s="1" t="s">
        <v>1182</v>
      </c>
      <c r="J1548" s="1" t="s">
        <v>3341</v>
      </c>
      <c r="K1548" s="1" t="n">
        <v>14</v>
      </c>
      <c r="L1548" s="11" t="n">
        <v>0.997914376612299</v>
      </c>
      <c r="M1548" s="1" t="n">
        <f aca="false">SUMIF(Relatorio_AK!$A:$A,A1548,Relatorio_AK!$B:$B)</f>
        <v>14</v>
      </c>
      <c r="N1548" s="1" t="str">
        <f aca="false">IF(M1548=K1548,"OK","DIF")</f>
        <v>OK</v>
      </c>
      <c r="O1548" s="12" t="str">
        <f aca="false">IFERROR(VLOOKUP($A1548,Lista_Starke!$A:$E,3,0),"NÃO ESTÁ NA LISTA")</f>
        <v>KIA: Sportage  10/15</v>
      </c>
      <c r="P1548" s="12" t="str">
        <f aca="false">IFERROR(VLOOKUP($A1548,Lista_Starke!$A:$E,2,0),"NÃO ESTÁ NA LISTA")</f>
        <v>BANDEJA TRASEIRA LE/LD</v>
      </c>
    </row>
    <row r="1549" customFormat="false" ht="15" hidden="false" customHeight="true" outlineLevel="0" collapsed="false">
      <c r="A1549" s="10" t="s">
        <v>3342</v>
      </c>
      <c r="B1549" s="10" t="str">
        <f aca="false">IFERROR(VLOOKUP(A1549,Pedido!$A:$B,2,0),"")</f>
        <v/>
      </c>
      <c r="C1549" s="10" t="str">
        <f aca="false">IF(B1549="","NÃO COMPRA","COMPRA")</f>
        <v>NÃO COMPRA</v>
      </c>
      <c r="D1549" s="1" t="n">
        <f aca="false">IFERROR(VLOOKUP(A1549,Pedido!$A:$C,3,0),0)</f>
        <v>0</v>
      </c>
      <c r="E1549" s="5" t="n">
        <f aca="false">IFERROR(VLOOKUP(A1549,Pedido!$A:$E,5,0),0)</f>
        <v>0</v>
      </c>
      <c r="F1549" s="1" t="s">
        <v>9</v>
      </c>
      <c r="G1549" s="1" t="s">
        <v>2099</v>
      </c>
      <c r="H1549" s="1" t="s">
        <v>2420</v>
      </c>
      <c r="I1549" s="1" t="s">
        <v>57</v>
      </c>
      <c r="J1549" s="1" t="s">
        <v>3343</v>
      </c>
      <c r="K1549" s="1" t="n">
        <v>14</v>
      </c>
      <c r="L1549" s="11" t="n">
        <v>0.997938309995437</v>
      </c>
      <c r="M1549" s="1" t="n">
        <f aca="false">SUMIF(Relatorio_AK!$A:$A,A1549,Relatorio_AK!$B:$B)</f>
        <v>14</v>
      </c>
      <c r="N1549" s="1" t="str">
        <f aca="false">IF(M1549=K1549,"OK","DIF")</f>
        <v>OK</v>
      </c>
      <c r="O1549" s="13" t="str">
        <f aca="false">IFERROR(VLOOKUP($A1549,Lista_Starke!$A:$E,3,0),"NÃO ESTÁ NA LISTA")</f>
        <v>GM: Blazer 4x2 / 4x4 95/11
GM: S10 4x2 / 4x4 95/11</v>
      </c>
      <c r="P1549" s="12" t="str">
        <f aca="false">IFERROR(VLOOKUP($A1549,Lista_Starke!$A:$E,2,0),"NÃO ESTÁ NA LISTA")</f>
        <v>BANDEJA SUPERIOR COMPELTA LD</v>
      </c>
    </row>
    <row r="1550" customFormat="false" ht="15" hidden="false" customHeight="true" outlineLevel="0" collapsed="false">
      <c r="A1550" s="10" t="s">
        <v>3344</v>
      </c>
      <c r="B1550" s="10" t="str">
        <f aca="false">IFERROR(VLOOKUP(A1550,Pedido!$A:$B,2,0),"")</f>
        <v/>
      </c>
      <c r="C1550" s="10" t="str">
        <f aca="false">IF(B1550="","NÃO COMPRA","COMPRA")</f>
        <v>NÃO COMPRA</v>
      </c>
      <c r="D1550" s="1" t="n">
        <f aca="false">IFERROR(VLOOKUP(A1550,Pedido!$A:$C,3,0),0)</f>
        <v>0</v>
      </c>
      <c r="E1550" s="5" t="n">
        <f aca="false">IFERROR(VLOOKUP(A1550,Pedido!$A:$E,5,0),0)</f>
        <v>0</v>
      </c>
      <c r="F1550" s="1" t="s">
        <v>9</v>
      </c>
      <c r="G1550" s="1" t="s">
        <v>1278</v>
      </c>
      <c r="H1550" s="1" t="s">
        <v>197</v>
      </c>
      <c r="I1550" s="1" t="s">
        <v>3345</v>
      </c>
      <c r="J1550" s="1" t="s">
        <v>3346</v>
      </c>
      <c r="K1550" s="1" t="n">
        <v>14</v>
      </c>
      <c r="L1550" s="11" t="n">
        <v>0.997962243378574</v>
      </c>
      <c r="M1550" s="1" t="n">
        <f aca="false">SUMIF(Relatorio_AK!$A:$A,A1550,Relatorio_AK!$B:$B)</f>
        <v>14</v>
      </c>
      <c r="N1550" s="1" t="str">
        <f aca="false">IF(M1550=K1550,"OK","DIF")</f>
        <v>OK</v>
      </c>
      <c r="O1550" s="13" t="str">
        <f aca="false">IFERROR(VLOOKUP($A1550,Lista_Starke!$A:$E,3,0),"NÃO ESTÁ NA LISTA")</f>
        <v>RENAULT: Laguna RXT 2.0 16V B56MLE 95/…
RENAULT: Megane 2.0 16V B56MLE 95/…
VOLVO: 800 2.0 / 2.3 20V B5204S / FS / FT 91/…
VOLVO: 850 2.0 / 2.3 20V B5204S / FS / FT 91/…
VOLVO: 850 2.5 B5252FS 91/…
VOLVO: 940 2.5 / 3.0 6254F/S 90/…
VOLVO: 960 2.5 / 3.0 6254F/S 90/…
VOLVO: C30 2.4 16V 07/10
VOLVO: C30 T5 2.0 20V Turbo 5 cil 07/…
VOLVO: C70 2.0 / 2.3 / 2.4 20V B5204T / B5234T / B5244T 96/…
VOLVO: S40 1.6 / 1.8 / 2.0 16V B4164S / B4184S / B4194T 96/…
VOLVO: S70 2.0 / 2.3 / 2.4 B5202S / B52044T 96/…
VOLVO: V40 1.6 / 1.8 / 2.0 16V B4164S / B4184S / B4194T 96/…
VOLVO: V70 2.0 / 2.3 / 2.4 B5202S / B52044T 96/…
VOLVO: XC70 2.5 03/06
VOLVO: XC90 2.5 03/06</v>
      </c>
      <c r="P1550" s="12" t="str">
        <f aca="false">IFERROR(VLOOKUP($A1550,Lista_Starke!$A:$E,2,0),"NÃO ESTÁ NA LISTA")</f>
        <v>BOMBA D'ÁGUA</v>
      </c>
    </row>
    <row r="1551" customFormat="false" ht="15" hidden="false" customHeight="true" outlineLevel="0" collapsed="false">
      <c r="A1551" s="10" t="s">
        <v>3347</v>
      </c>
      <c r="B1551" s="10" t="str">
        <f aca="false">IFERROR(VLOOKUP(A1551,Pedido!$A:$B,2,0),"")</f>
        <v/>
      </c>
      <c r="C1551" s="10" t="str">
        <f aca="false">IF(B1551="","NÃO COMPRA","COMPRA")</f>
        <v>NÃO COMPRA</v>
      </c>
      <c r="D1551" s="1" t="n">
        <f aca="false">IFERROR(VLOOKUP(A1551,Pedido!$A:$C,3,0),0)</f>
        <v>0</v>
      </c>
      <c r="E1551" s="5" t="n">
        <f aca="false">IFERROR(VLOOKUP(A1551,Pedido!$A:$E,5,0),0)</f>
        <v>0</v>
      </c>
      <c r="F1551" s="1" t="s">
        <v>9</v>
      </c>
      <c r="G1551" s="1" t="s">
        <v>748</v>
      </c>
      <c r="H1551" s="1" t="s">
        <v>96</v>
      </c>
      <c r="I1551" s="1" t="s">
        <v>1157</v>
      </c>
      <c r="J1551" s="1" t="s">
        <v>3348</v>
      </c>
      <c r="K1551" s="1" t="n">
        <v>14</v>
      </c>
      <c r="L1551" s="11" t="n">
        <v>0.997986176761712</v>
      </c>
      <c r="M1551" s="1" t="n">
        <f aca="false">SUMIF(Relatorio_AK!$A:$A,A1551,Relatorio_AK!$B:$B)</f>
        <v>14</v>
      </c>
      <c r="N1551" s="1" t="str">
        <f aca="false">IF(M1551=K1551,"OK","DIF")</f>
        <v>OK</v>
      </c>
      <c r="O1551" s="13" t="str">
        <f aca="false">IFERROR(VLOOKUP($A1551,Lista_Starke!$A:$E,3,0),"NÃO ESTÁ NA LISTA")</f>
        <v>BMW: 120i (F20) Active Flex 2.0 16V N20B20 15/16
BMW: 120i (F20) Sport GP 2.0 16V N20B20 15/16
BMW: 125i (F20) M Sport 2.0 16V N20B20 13/14
BMW: 320i (F30) 2.0 16V N20B20A 12/13
BMW: 320i GT (F34) 2.0 16V N20B20A 14/17
BMW: 328i (F30) 2.0 16V N20B20A 13/16
BMW: 528i M Sport 2.0 16V N20B20A 15/19
BMW: X3 (F25) sDrive 28i 2.0 16V N20B20A 12/15
BMW: X3 (F25) xDrive 20i 2.0 16V N20B20A 14/16
BMW: X3 xDrive 20i X-Line 2.0 16V N20B20A 14/16</v>
      </c>
      <c r="P1551" s="12" t="str">
        <f aca="false">IFERROR(VLOOKUP($A1551,Lista_Starke!$A:$E,2,0),"NÃO ESTÁ NA LISTA")</f>
        <v>BOMBA DE VÁCUO</v>
      </c>
    </row>
    <row r="1552" customFormat="false" ht="15" hidden="false" customHeight="true" outlineLevel="0" collapsed="false">
      <c r="A1552" s="10" t="s">
        <v>3349</v>
      </c>
      <c r="B1552" s="10" t="str">
        <f aca="false">IFERROR(VLOOKUP(A1552,Pedido!$A:$B,2,0),"")</f>
        <v/>
      </c>
      <c r="C1552" s="10" t="str">
        <f aca="false">IF(B1552="","NÃO COMPRA","COMPRA")</f>
        <v>NÃO COMPRA</v>
      </c>
      <c r="D1552" s="1" t="n">
        <f aca="false">IFERROR(VLOOKUP(A1552,Pedido!$A:$C,3,0),0)</f>
        <v>0</v>
      </c>
      <c r="E1552" s="5" t="n">
        <f aca="false">IFERROR(VLOOKUP(A1552,Pedido!$A:$E,5,0),0)</f>
        <v>0</v>
      </c>
      <c r="F1552" s="1" t="s">
        <v>9</v>
      </c>
      <c r="G1552" s="1" t="s">
        <v>748</v>
      </c>
      <c r="H1552" s="1" t="s">
        <v>96</v>
      </c>
      <c r="I1552" s="1" t="s">
        <v>3350</v>
      </c>
      <c r="J1552" s="1" t="s">
        <v>3351</v>
      </c>
      <c r="K1552" s="1" t="n">
        <v>14</v>
      </c>
      <c r="L1552" s="11" t="n">
        <v>0.998010110144849</v>
      </c>
      <c r="M1552" s="1" t="n">
        <f aca="false">SUMIF(Relatorio_AK!$A:$A,A1552,Relatorio_AK!$B:$B)</f>
        <v>14</v>
      </c>
      <c r="N1552" s="1" t="str">
        <f aca="false">IF(M1552=K1552,"OK","DIF")</f>
        <v>OK</v>
      </c>
      <c r="O1552" s="13" t="str">
        <f aca="false">IFERROR(VLOOKUP($A1552,Lista_Starke!$A:$E,3,0),"NÃO ESTÁ NA LISTA")</f>
        <v>BMW: 130i (E87) 3.0 24V N52B30 05/09
BMW: 130i (E87) 3.0 24V N52B30 07/10
BMW: 325i (E90) 2.5 24V N52B25 06/12
BMW: 325i (E90) 2.5 24V N52B25 09/09
BMW: 330i (E90) 3.0 24V N52B30A 06/09
BMW: 330i (E90) Motorsport 3.0 24V N52B30A 06/09
BMW: 530i (E60) 3.0 24V N52B30A 05/11
BMW: X1 (E84) xDrive 28i 3.0 24V N52B30A 10/11
BMW: X3 (E83) 3.0 24V N52B30 07/08
BMW: X3 (E83) xDrive 28i 3.0 24V N52B30A 09/11
BMW: X5 (E70) 3.0 24V N52B30 07/09
BMW: Z4 (E89) sDrive 23i 2.5 24V N52B25A 10/15</v>
      </c>
      <c r="P1552" s="12" t="str">
        <f aca="false">IFERROR(VLOOKUP($A1552,Lista_Starke!$A:$E,2,0),"NÃO ESTÁ NA LISTA")</f>
        <v>BOMBA DE VÁCUO</v>
      </c>
    </row>
    <row r="1553" customFormat="false" ht="15" hidden="false" customHeight="true" outlineLevel="0" collapsed="false">
      <c r="A1553" s="10" t="s">
        <v>3352</v>
      </c>
      <c r="B1553" s="10" t="str">
        <f aca="false">IFERROR(VLOOKUP(A1553,Pedido!$A:$B,2,0),"")</f>
        <v/>
      </c>
      <c r="C1553" s="10" t="str">
        <f aca="false">IF(B1553="","NÃO COMPRA","COMPRA")</f>
        <v>NÃO COMPRA</v>
      </c>
      <c r="D1553" s="1" t="n">
        <f aca="false">IFERROR(VLOOKUP(A1553,Pedido!$A:$C,3,0),0)</f>
        <v>0</v>
      </c>
      <c r="E1553" s="5" t="n">
        <f aca="false">IFERROR(VLOOKUP(A1553,Pedido!$A:$E,5,0),0)</f>
        <v>0</v>
      </c>
      <c r="F1553" s="1" t="s">
        <v>9</v>
      </c>
      <c r="G1553" s="1" t="s">
        <v>2758</v>
      </c>
      <c r="H1553" s="1" t="s">
        <v>28</v>
      </c>
      <c r="I1553" s="1" t="s">
        <v>373</v>
      </c>
      <c r="J1553" s="1" t="s">
        <v>3353</v>
      </c>
      <c r="K1553" s="1" t="n">
        <v>14</v>
      </c>
      <c r="L1553" s="11" t="n">
        <v>0.998034043527987</v>
      </c>
      <c r="M1553" s="1" t="n">
        <f aca="false">SUMIF(Relatorio_AK!$A:$A,A1553,Relatorio_AK!$B:$B)</f>
        <v>14</v>
      </c>
      <c r="N1553" s="1" t="str">
        <f aca="false">IF(M1553=K1553,"OK","DIF")</f>
        <v>OK</v>
      </c>
      <c r="O1553" s="13" t="str">
        <f aca="false">IFERROR(VLOOKUP($A1553,Lista_Starke!$A:$E,3,0),"NÃO ESTÁ NA LISTA")</f>
        <v>MERCEDES-BENZ: L 608 D OM314 3.8 L 8V SOHV L4 70/88
MERCEDES-BENZ: L 708 E OM314 3.8 L 8V SOHV L4 87/90
MERCEDES-BENZ: LO 608 OM314 3.8 L 8V SOHV L4 73/87
MERCEDES-BENZ: LO 708 OM314 3.8 L 8V SOHV L4 87/89</v>
      </c>
      <c r="P1553" s="12" t="str">
        <f aca="false">IFERROR(VLOOKUP($A1553,Lista_Starke!$A:$E,2,0),"NÃO ESTÁ NA LISTA")</f>
        <v>CILINDRO AUXILIAR DE EMBREAGEM</v>
      </c>
    </row>
    <row r="1554" customFormat="false" ht="15" hidden="false" customHeight="true" outlineLevel="0" collapsed="false">
      <c r="A1554" s="10" t="s">
        <v>3354</v>
      </c>
      <c r="B1554" s="10" t="str">
        <f aca="false">IFERROR(VLOOKUP(A1554,Pedido!$A:$B,2,0),"")</f>
        <v/>
      </c>
      <c r="C1554" s="10" t="str">
        <f aca="false">IF(B1554="","NÃO COMPRA","COMPRA")</f>
        <v>NÃO COMPRA</v>
      </c>
      <c r="D1554" s="1" t="n">
        <f aca="false">IFERROR(VLOOKUP(A1554,Pedido!$A:$C,3,0),0)</f>
        <v>0</v>
      </c>
      <c r="E1554" s="5" t="n">
        <f aca="false">IFERROR(VLOOKUP(A1554,Pedido!$A:$E,5,0),0)</f>
        <v>0</v>
      </c>
      <c r="F1554" s="1" t="s">
        <v>9</v>
      </c>
      <c r="G1554" s="1" t="s">
        <v>1189</v>
      </c>
      <c r="H1554" s="1" t="s">
        <v>88</v>
      </c>
      <c r="I1554" s="1" t="s">
        <v>57</v>
      </c>
      <c r="J1554" s="1" t="s">
        <v>3355</v>
      </c>
      <c r="K1554" s="1" t="n">
        <v>14</v>
      </c>
      <c r="L1554" s="11" t="n">
        <v>0.998057976911125</v>
      </c>
      <c r="M1554" s="1" t="n">
        <f aca="false">SUMIF(Relatorio_AK!$A:$A,A1554,Relatorio_AK!$B:$B)</f>
        <v>14</v>
      </c>
      <c r="N1554" s="1" t="str">
        <f aca="false">IF(M1554=K1554,"OK","DIF")</f>
        <v>OK</v>
      </c>
      <c r="O1554" s="13" t="str">
        <f aca="false">IFERROR(VLOOKUP($A1554,Lista_Starke!$A:$E,3,0),"NÃO ESTÁ NA LISTA")</f>
        <v>GM: A10 4.1 12V 6 cil. 79/84
GM: A20 4.1 12V 6 cil. 85/92
GM: Bonanza 4.0 8V 4 cil. 92/94
GM: Bonanza 4.1 12V 6 cil. 90/92
GM: C10 4.1 12V 6 cil. 79/84
GM: C20 4.1 12V 6 cil. 85/92</v>
      </c>
      <c r="P1554" s="12" t="str">
        <f aca="false">IFERROR(VLOOKUP($A1554,Lista_Starke!$A:$E,2,0),"NÃO ESTÁ NA LISTA")</f>
        <v>CILINDRO DE RODA LE</v>
      </c>
    </row>
    <row r="1555" customFormat="false" ht="15" hidden="false" customHeight="true" outlineLevel="0" collapsed="false">
      <c r="A1555" s="10" t="s">
        <v>3356</v>
      </c>
      <c r="B1555" s="10" t="str">
        <f aca="false">IFERROR(VLOOKUP(A1555,Pedido!$A:$B,2,0),"")</f>
        <v/>
      </c>
      <c r="C1555" s="10" t="str">
        <f aca="false">IF(B1555="","NÃO COMPRA","COMPRA")</f>
        <v>NÃO COMPRA</v>
      </c>
      <c r="D1555" s="1" t="n">
        <f aca="false">IFERROR(VLOOKUP(A1555,Pedido!$A:$C,3,0),0)</f>
        <v>0</v>
      </c>
      <c r="E1555" s="5" t="n">
        <f aca="false">IFERROR(VLOOKUP(A1555,Pedido!$A:$E,5,0),0)</f>
        <v>0</v>
      </c>
      <c r="F1555" s="1" t="s">
        <v>9</v>
      </c>
      <c r="G1555" s="1" t="s">
        <v>3357</v>
      </c>
      <c r="H1555" s="1" t="s">
        <v>28</v>
      </c>
      <c r="I1555" s="1" t="s">
        <v>53</v>
      </c>
      <c r="J1555" s="1" t="s">
        <v>3358</v>
      </c>
      <c r="K1555" s="1" t="n">
        <v>14</v>
      </c>
      <c r="L1555" s="11" t="n">
        <v>0.998081910294262</v>
      </c>
      <c r="M1555" s="1" t="n">
        <f aca="false">SUMIF(Relatorio_AK!$A:$A,A1555,Relatorio_AK!$B:$B)</f>
        <v>14</v>
      </c>
      <c r="N1555" s="1" t="str">
        <f aca="false">IF(M1555=K1555,"OK","DIF")</f>
        <v>OK</v>
      </c>
      <c r="O1555" s="13" t="str">
        <f aca="false">IFERROR(VLOOKUP($A1555,Lista_Starke!$A:$E,3,0),"NÃO ESTÁ NA LISTA")</f>
        <v>FORD: F1000  96/98
FORD: F12000  96/98
FORD: F14000  96/98</v>
      </c>
      <c r="P1555" s="12" t="str">
        <f aca="false">IFERROR(VLOOKUP($A1555,Lista_Starke!$A:$E,2,0),"NÃO ESTÁ NA LISTA")</f>
        <v>CILINDRO AUXILIAR DE EMBREAGEM</v>
      </c>
    </row>
    <row r="1556" customFormat="false" ht="15" hidden="false" customHeight="true" outlineLevel="0" collapsed="false">
      <c r="A1556" s="10" t="s">
        <v>3359</v>
      </c>
      <c r="B1556" s="10" t="str">
        <f aca="false">IFERROR(VLOOKUP(A1556,Pedido!$A:$B,2,0),"")</f>
        <v/>
      </c>
      <c r="C1556" s="10" t="str">
        <f aca="false">IF(B1556="","NÃO COMPRA","COMPRA")</f>
        <v>NÃO COMPRA</v>
      </c>
      <c r="D1556" s="1" t="n">
        <f aca="false">IFERROR(VLOOKUP(A1556,Pedido!$A:$C,3,0),0)</f>
        <v>0</v>
      </c>
      <c r="E1556" s="5" t="n">
        <f aca="false">IFERROR(VLOOKUP(A1556,Pedido!$A:$E,5,0),0)</f>
        <v>0</v>
      </c>
      <c r="F1556" s="1" t="s">
        <v>9</v>
      </c>
      <c r="G1556" s="1" t="s">
        <v>193</v>
      </c>
      <c r="H1556" s="1" t="s">
        <v>32</v>
      </c>
      <c r="I1556" s="1" t="s">
        <v>53</v>
      </c>
      <c r="J1556" s="1" t="s">
        <v>3360</v>
      </c>
      <c r="K1556" s="1" t="n">
        <v>14</v>
      </c>
      <c r="L1556" s="11" t="n">
        <v>0.9981058436774</v>
      </c>
      <c r="M1556" s="1" t="n">
        <f aca="false">SUMIF(Relatorio_AK!$A:$A,A1556,Relatorio_AK!$B:$B)</f>
        <v>14</v>
      </c>
      <c r="N1556" s="1" t="str">
        <f aca="false">IF(M1556=K1556,"OK","DIF")</f>
        <v>OK</v>
      </c>
      <c r="O1556" s="12" t="str">
        <f aca="false">IFERROR(VLOOKUP($A1556,Lista_Starke!$A:$E,3,0),"NÃO ESTÁ NA LISTA")</f>
        <v>FORD: F1000 2.5 8V Maxion HS 96/98</v>
      </c>
      <c r="P1556" s="12" t="str">
        <f aca="false">IFERROR(VLOOKUP($A1556,Lista_Starke!$A:$E,2,0),"NÃO ESTÁ NA LISTA")</f>
        <v>CILINDRO MESTRE DE EMBREAGEM</v>
      </c>
    </row>
    <row r="1557" customFormat="false" ht="15" hidden="false" customHeight="true" outlineLevel="0" collapsed="false">
      <c r="A1557" s="10" t="s">
        <v>3361</v>
      </c>
      <c r="B1557" s="10" t="str">
        <f aca="false">IFERROR(VLOOKUP(A1557,Pedido!$A:$B,2,0),"")</f>
        <v/>
      </c>
      <c r="C1557" s="10" t="str">
        <f aca="false">IF(B1557="","NÃO COMPRA","COMPRA")</f>
        <v>NÃO COMPRA</v>
      </c>
      <c r="D1557" s="1" t="n">
        <f aca="false">IFERROR(VLOOKUP(A1557,Pedido!$A:$C,3,0),0)</f>
        <v>0</v>
      </c>
      <c r="E1557" s="5" t="n">
        <f aca="false">IFERROR(VLOOKUP(A1557,Pedido!$A:$E,5,0),0)</f>
        <v>0</v>
      </c>
      <c r="F1557" s="1" t="s">
        <v>9</v>
      </c>
      <c r="G1557" s="1" t="s">
        <v>2758</v>
      </c>
      <c r="H1557" s="1" t="s">
        <v>28</v>
      </c>
      <c r="I1557" s="1" t="s">
        <v>373</v>
      </c>
      <c r="J1557" s="1" t="s">
        <v>3362</v>
      </c>
      <c r="K1557" s="1" t="n">
        <v>14</v>
      </c>
      <c r="L1557" s="11" t="n">
        <v>0.998129777060537</v>
      </c>
      <c r="M1557" s="1" t="n">
        <f aca="false">SUMIF(Relatorio_AK!$A:$A,A1557,Relatorio_AK!$B:$B)</f>
        <v>14</v>
      </c>
      <c r="N1557" s="1" t="str">
        <f aca="false">IF(M1557=K1557,"OK","DIF")</f>
        <v>OK</v>
      </c>
      <c r="O1557" s="13" t="str">
        <f aca="false">IFERROR(VLOOKUP($A1557,Lista_Starke!$A:$E,3,0),"NÃO ESTÁ NA LISTA")</f>
        <v>MERCEDES-BENZ: LO 608 OM 314 3.8 L 8V SOHV L4 73/87
MERCEDES-BENZ: LO 708 OM 314 3.8 L 8V SOHV L4 87/89
MERCEDES-BENZ: LO 708 E OM 314 3.8 L 8V SOHV L4 87/90</v>
      </c>
      <c r="P1557" s="12" t="str">
        <f aca="false">IFERROR(VLOOKUP($A1557,Lista_Starke!$A:$E,2,0),"NÃO ESTÁ NA LISTA")</f>
        <v>CILINDRO AUXILIAR DE EMBREAGEM</v>
      </c>
    </row>
    <row r="1558" customFormat="false" ht="15" hidden="false" customHeight="true" outlineLevel="0" collapsed="false">
      <c r="A1558" s="10" t="s">
        <v>3363</v>
      </c>
      <c r="B1558" s="10" t="str">
        <f aca="false">IFERROR(VLOOKUP(A1558,Pedido!$A:$B,2,0),"")</f>
        <v/>
      </c>
      <c r="C1558" s="10" t="str">
        <f aca="false">IF(B1558="","NÃO COMPRA","COMPRA")</f>
        <v>NÃO COMPRA</v>
      </c>
      <c r="D1558" s="1" t="n">
        <f aca="false">IFERROR(VLOOKUP(A1558,Pedido!$A:$C,3,0),0)</f>
        <v>0</v>
      </c>
      <c r="E1558" s="5" t="n">
        <f aca="false">IFERROR(VLOOKUP(A1558,Pedido!$A:$E,5,0),0)</f>
        <v>0</v>
      </c>
      <c r="F1558" s="1" t="s">
        <v>9</v>
      </c>
      <c r="G1558" s="1" t="s">
        <v>1442</v>
      </c>
      <c r="H1558" s="1" t="s">
        <v>1131</v>
      </c>
      <c r="I1558" s="1" t="s">
        <v>226</v>
      </c>
      <c r="J1558" s="1" t="s">
        <v>3364</v>
      </c>
      <c r="K1558" s="1" t="n">
        <v>14</v>
      </c>
      <c r="L1558" s="11" t="n">
        <v>0.998153710443675</v>
      </c>
      <c r="M1558" s="1" t="n">
        <f aca="false">SUMIF(Relatorio_AK!$A:$A,A1558,Relatorio_AK!$B:$B)</f>
        <v>14</v>
      </c>
      <c r="N1558" s="1" t="str">
        <f aca="false">IF(M1558=K1558,"OK","DIF")</f>
        <v>OK</v>
      </c>
      <c r="O1558" s="13" t="str">
        <f aca="false">IFERROR(VLOOKUP($A1558,Lista_Starke!$A:$E,3,0),"NÃO ESTÁ NA LISTA")</f>
        <v>AUDI: A1 1.4 16V TFSI 10/18
AUDI: A3 1.4 16V TFSI 14/21
AUDI: A3 1.8 16V TFSI 14/19
AUDI: A3 2.0 16V TFSI 13/21
AUDI: A4 2.0 16V TFSI 16/...
AUDI: Q3 1.4 16V TFSI 17/19
AUDI: Q3 2.0 16V TFSI 16/19
AUDI: RSQ3 2.5 20V TFSI 15/19
AUDI: S3 2.0 16V TFSI 14/19
VOLKSWAGEN: Golf 1.0 12V 3 cil. EA211 Flex 16/19
VOLKSWAGEN: Golf 1.4 16V TSI EA211 13/19
VOLKSWAGEN: Golf 1.6 16V EA211 Flex 16/21
VOLKSWAGEN: Golf 1.6 8V EA111 Flex 08/14
VOLKSWAGEN: Golf 2.0 8V EA113 Flex 08/14
VOLKSWAGEN: Golf GTI 2.0 16V TSI 13/18
VOLKSWAGEN: Golf Variant 1.4 16V TSI EA211 15/18
VOLKSWAGEN: Jetta 1.4 16V TSI 16/19
VOLKSWAGEN: Jetta 2.0 16V 10/13
VOLKSWAGEN: Jetta 2.0 16V TSI 13/20
VOLKSWAGEN: Jetta 2.0 8V CKJA Flex 10/15
VOLKSWAGEN: Jetta 2.0 8V CKJA Flex 10/16
VOLKSWAGEN: Passat 2.0 16V TSI CCZB 10/14
VOLKSWAGEN: Passat 2.0 16V TSI EA888 15/21
VOLKSWAGEN: Passat CC 2.0 16V TSI EA888 14/18
VOLKSWAGEN: Tiguan 1.0 16V TSI EA211 16/19
VOLKSWAGEN: Tiguan 2.0 16V TSI D2L 07/16
VOLKSWAGEN: Tiguan 2.0 16V TSI EA888 09/11</v>
      </c>
      <c r="P1558" s="12" t="str">
        <f aca="false">IFERROR(VLOOKUP($A1558,Lista_Starke!$A:$E,2,0),"NÃO ESTÁ NA LISTA")</f>
        <v>BOMBA DE ALTA PRESSÃO GDI</v>
      </c>
    </row>
    <row r="1559" customFormat="false" ht="15" hidden="false" customHeight="true" outlineLevel="0" collapsed="false">
      <c r="A1559" s="10" t="s">
        <v>3365</v>
      </c>
      <c r="B1559" s="10" t="str">
        <f aca="false">IFERROR(VLOOKUP(A1559,Pedido!$A:$B,2,0),"")</f>
        <v/>
      </c>
      <c r="C1559" s="10" t="str">
        <f aca="false">IF(B1559="","NÃO COMPRA","COMPRA")</f>
        <v>NÃO COMPRA</v>
      </c>
      <c r="D1559" s="1" t="n">
        <f aca="false">IFERROR(VLOOKUP(A1559,Pedido!$A:$C,3,0),0)</f>
        <v>0</v>
      </c>
      <c r="E1559" s="5" t="n">
        <f aca="false">IFERROR(VLOOKUP(A1559,Pedido!$A:$E,5,0),0)</f>
        <v>0</v>
      </c>
      <c r="F1559" s="1" t="s">
        <v>9</v>
      </c>
      <c r="G1559" s="1" t="s">
        <v>3066</v>
      </c>
      <c r="H1559" s="1" t="s">
        <v>2466</v>
      </c>
      <c r="I1559" s="1" t="s">
        <v>53</v>
      </c>
      <c r="J1559" s="1" t="s">
        <v>3366</v>
      </c>
      <c r="K1559" s="1" t="n">
        <v>14</v>
      </c>
      <c r="L1559" s="11" t="n">
        <v>0.998177643826812</v>
      </c>
      <c r="M1559" s="1" t="n">
        <f aca="false">SUMIF(Relatorio_AK!$A:$A,A1559,Relatorio_AK!$B:$B)</f>
        <v>14</v>
      </c>
      <c r="N1559" s="1" t="str">
        <f aca="false">IF(M1559=K1559,"OK","DIF")</f>
        <v>OK</v>
      </c>
      <c r="O1559" s="13" t="str">
        <f aca="false">IFERROR(VLOOKUP($A1559,Lista_Starke!$A:$E,3,0),"NÃO ESTÁ NA LISTA")</f>
        <v>FORD: Ecosport 1.6 8V Zetec Rocam c/ ABS 10/12
FORD: Ecosport 2.0 16V 4x4 Duratec c/ ABS 10/12
FORD: Ecosport 2.0 16V Duratec c/ ABS 10/12
FORD: Fiesta 1.0 8V Zetec Rocam c/ ABS 10/14
FORD: Fiesta 1.6 8V Zetec Rocam c/ ABS 10/14</v>
      </c>
      <c r="P1559" s="12" t="str">
        <f aca="false">IFERROR(VLOOKUP($A1559,Lista_Starke!$A:$E,2,0),"NÃO ESTÁ NA LISTA")</f>
        <v>SERVO FREIO</v>
      </c>
    </row>
    <row r="1560" customFormat="false" ht="15" hidden="false" customHeight="true" outlineLevel="0" collapsed="false">
      <c r="A1560" s="10" t="s">
        <v>3367</v>
      </c>
      <c r="B1560" s="10" t="str">
        <f aca="false">IFERROR(VLOOKUP(A1560,Pedido!$A:$B,2,0),"")</f>
        <v/>
      </c>
      <c r="C1560" s="10" t="str">
        <f aca="false">IF(B1560="","NÃO COMPRA","COMPRA")</f>
        <v>NÃO COMPRA</v>
      </c>
      <c r="D1560" s="1" t="n">
        <f aca="false">IFERROR(VLOOKUP(A1560,Pedido!$A:$C,3,0),0)</f>
        <v>0</v>
      </c>
      <c r="E1560" s="5" t="n">
        <f aca="false">IFERROR(VLOOKUP(A1560,Pedido!$A:$E,5,0),0)</f>
        <v>0</v>
      </c>
      <c r="F1560" s="1" t="s">
        <v>9</v>
      </c>
      <c r="G1560" s="1" t="s">
        <v>3066</v>
      </c>
      <c r="H1560" s="1" t="s">
        <v>2466</v>
      </c>
      <c r="I1560" s="1" t="s">
        <v>53</v>
      </c>
      <c r="J1560" s="1" t="s">
        <v>3368</v>
      </c>
      <c r="K1560" s="1" t="n">
        <v>14</v>
      </c>
      <c r="L1560" s="11" t="n">
        <v>0.99820157720995</v>
      </c>
      <c r="M1560" s="1" t="n">
        <f aca="false">SUMIF(Relatorio_AK!$A:$A,A1560,Relatorio_AK!$B:$B)</f>
        <v>14</v>
      </c>
      <c r="N1560" s="1" t="str">
        <f aca="false">IF(M1560=K1560,"OK","DIF")</f>
        <v>OK</v>
      </c>
      <c r="O1560" s="13" t="str">
        <f aca="false">IFERROR(VLOOKUP($A1560,Lista_Starke!$A:$E,3,0),"NÃO ESTÁ NA LISTA")</f>
        <v>FORD: Courier 1.3 8V Endura Sist. ATE/Bosch 97/99
FORD: Courier 1.4 16V Zetec Sist. ATE/Bosch 97/99
FORD: Courier 1.6 8V Zetec Rocam Sist. ATE/Bosch 07/09
FORD: Courier 1.6 8V Zetec Rocam Sist. ATE/Bosch 99/07
FORD: Fiesta 1.0 8V Endura Sist. ATE/Bosch 96/99
FORD: Fiesta 1.0 8V Zetec Rocam Sist. ATE/Bosch 01/04
FORD: Fiesta 1.3 8V HCS Sist. ATE/Bosch 95/99
FORD: Fiesta 1.6 8V Zetec Rocam Sist. ATE/Bosch 99/05
FORD: Ka 1.6 8V Zetec Rocam Sist. ATE/Bosch 08/14</v>
      </c>
      <c r="P1560" s="12" t="str">
        <f aca="false">IFERROR(VLOOKUP($A1560,Lista_Starke!$A:$E,2,0),"NÃO ESTÁ NA LISTA")</f>
        <v>SERVO FREIO</v>
      </c>
    </row>
    <row r="1561" customFormat="false" ht="15" hidden="false" customHeight="true" outlineLevel="0" collapsed="false">
      <c r="A1561" s="10" t="s">
        <v>3369</v>
      </c>
      <c r="B1561" s="10" t="str">
        <f aca="false">IFERROR(VLOOKUP(A1561,Pedido!$A:$B,2,0),"")</f>
        <v/>
      </c>
      <c r="C1561" s="10" t="str">
        <f aca="false">IF(B1561="","NÃO COMPRA","COMPRA")</f>
        <v>NÃO COMPRA</v>
      </c>
      <c r="D1561" s="1" t="n">
        <f aca="false">IFERROR(VLOOKUP(A1561,Pedido!$A:$C,3,0),0)</f>
        <v>0</v>
      </c>
      <c r="E1561" s="5" t="n">
        <f aca="false">IFERROR(VLOOKUP(A1561,Pedido!$A:$E,5,0),0)</f>
        <v>0</v>
      </c>
      <c r="F1561" s="1" t="s">
        <v>9</v>
      </c>
      <c r="G1561" s="1" t="s">
        <v>2281</v>
      </c>
      <c r="H1561" s="1" t="s">
        <v>2420</v>
      </c>
      <c r="I1561" s="1" t="s">
        <v>255</v>
      </c>
      <c r="J1561" s="1" t="s">
        <v>3370</v>
      </c>
      <c r="K1561" s="1" t="n">
        <v>13</v>
      </c>
      <c r="L1561" s="11" t="n">
        <v>0.99822380106572</v>
      </c>
      <c r="M1561" s="1" t="n">
        <f aca="false">SUMIF(Relatorio_AK!$A:$A,A1561,Relatorio_AK!$B:$B)</f>
        <v>13</v>
      </c>
      <c r="N1561" s="1" t="str">
        <f aca="false">IF(M1561=K1561,"OK","DIF")</f>
        <v>OK</v>
      </c>
      <c r="O1561" s="13" t="str">
        <f aca="false">IFERROR(VLOOKUP($A1561,Lista_Starke!$A:$E,3,0),"NÃO ESTÁ NA LISTA")</f>
        <v>MITSUBISHI: Triton 3.2 16V Diesel 4M41 DI-D 08/16
MITSUBISHI: Triton 3.5 V6 24V Gasolina 6G74 08/16</v>
      </c>
      <c r="P1561" s="12" t="str">
        <f aca="false">IFERROR(VLOOKUP($A1561,Lista_Starke!$A:$E,2,0),"NÃO ESTÁ NA LISTA")</f>
        <v>BANDEJA SUPERIOR COMPLETA LE</v>
      </c>
    </row>
    <row r="1562" customFormat="false" ht="15" hidden="false" customHeight="true" outlineLevel="0" collapsed="false">
      <c r="A1562" s="10" t="s">
        <v>3371</v>
      </c>
      <c r="B1562" s="10" t="str">
        <f aca="false">IFERROR(VLOOKUP(A1562,Pedido!$A:$B,2,0),"")</f>
        <v/>
      </c>
      <c r="C1562" s="10" t="str">
        <f aca="false">IF(B1562="","NÃO COMPRA","COMPRA")</f>
        <v>NÃO COMPRA</v>
      </c>
      <c r="D1562" s="1" t="n">
        <f aca="false">IFERROR(VLOOKUP(A1562,Pedido!$A:$C,3,0),0)</f>
        <v>0</v>
      </c>
      <c r="E1562" s="5" t="n">
        <f aca="false">IFERROR(VLOOKUP(A1562,Pedido!$A:$E,5,0),0)</f>
        <v>0</v>
      </c>
      <c r="F1562" s="1" t="s">
        <v>9</v>
      </c>
      <c r="G1562" s="1" t="s">
        <v>1909</v>
      </c>
      <c r="H1562" s="1" t="s">
        <v>2420</v>
      </c>
      <c r="I1562" s="1" t="s">
        <v>29</v>
      </c>
      <c r="J1562" s="1" t="s">
        <v>3372</v>
      </c>
      <c r="K1562" s="1" t="n">
        <v>13</v>
      </c>
      <c r="L1562" s="11" t="n">
        <v>0.998246024921491</v>
      </c>
      <c r="M1562" s="1" t="n">
        <f aca="false">SUMIF(Relatorio_AK!$A:$A,A1562,Relatorio_AK!$B:$B)</f>
        <v>13</v>
      </c>
      <c r="N1562" s="1" t="str">
        <f aca="false">IF(M1562=K1562,"OK","DIF")</f>
        <v>OK</v>
      </c>
      <c r="O1562" s="12" t="str">
        <f aca="false">IFERROR(VLOOKUP($A1562,Lista_Starke!$A:$E,3,0),"NÃO ESTÁ NA LISTA")</f>
        <v>HYUNDAI: Azera  08/11</v>
      </c>
      <c r="P1562" s="12" t="str">
        <f aca="false">IFERROR(VLOOKUP($A1562,Lista_Starke!$A:$E,2,0),"NÃO ESTÁ NA LISTA")</f>
        <v>BANDEJA SUPERIOR COMPLETA LE</v>
      </c>
    </row>
    <row r="1563" customFormat="false" ht="15" hidden="false" customHeight="true" outlineLevel="0" collapsed="false">
      <c r="A1563" s="10" t="s">
        <v>3373</v>
      </c>
      <c r="B1563" s="10" t="str">
        <f aca="false">IFERROR(VLOOKUP(A1563,Pedido!$A:$B,2,0),"")</f>
        <v/>
      </c>
      <c r="C1563" s="10" t="str">
        <f aca="false">IF(B1563="","NÃO COMPRA","COMPRA")</f>
        <v>NÃO COMPRA</v>
      </c>
      <c r="D1563" s="1" t="n">
        <f aca="false">IFERROR(VLOOKUP(A1563,Pedido!$A:$C,3,0),0)</f>
        <v>0</v>
      </c>
      <c r="E1563" s="5" t="n">
        <f aca="false">IFERROR(VLOOKUP(A1563,Pedido!$A:$E,5,0),0)</f>
        <v>0</v>
      </c>
      <c r="F1563" s="1" t="s">
        <v>9</v>
      </c>
      <c r="G1563" s="1" t="s">
        <v>1959</v>
      </c>
      <c r="H1563" s="1" t="s">
        <v>2420</v>
      </c>
      <c r="I1563" s="1" t="s">
        <v>29</v>
      </c>
      <c r="J1563" s="1" t="s">
        <v>3374</v>
      </c>
      <c r="K1563" s="1" t="n">
        <v>13</v>
      </c>
      <c r="L1563" s="11" t="n">
        <v>0.998268248777262</v>
      </c>
      <c r="M1563" s="1" t="n">
        <f aca="false">SUMIF(Relatorio_AK!$A:$A,A1563,Relatorio_AK!$B:$B)</f>
        <v>13</v>
      </c>
      <c r="N1563" s="1" t="str">
        <f aca="false">IF(M1563=K1563,"OK","DIF")</f>
        <v>OK</v>
      </c>
      <c r="O1563" s="12" t="str">
        <f aca="false">IFERROR(VLOOKUP($A1563,Lista_Starke!$A:$E,3,0),"NÃO ESTÁ NA LISTA")</f>
        <v>HYUNDAI: Azera  08/11</v>
      </c>
      <c r="P1563" s="12" t="str">
        <f aca="false">IFERROR(VLOOKUP($A1563,Lista_Starke!$A:$E,2,0),"NÃO ESTÁ NA LISTA")</f>
        <v>BANDEJA SUPERIOR COMPLETA LD</v>
      </c>
    </row>
    <row r="1564" customFormat="false" ht="15" hidden="false" customHeight="true" outlineLevel="0" collapsed="false">
      <c r="A1564" s="10" t="s">
        <v>3375</v>
      </c>
      <c r="B1564" s="10" t="str">
        <f aca="false">IFERROR(VLOOKUP(A1564,Pedido!$A:$B,2,0),"")</f>
        <v/>
      </c>
      <c r="C1564" s="10" t="str">
        <f aca="false">IF(B1564="","NÃO COMPRA","COMPRA")</f>
        <v>NÃO COMPRA</v>
      </c>
      <c r="D1564" s="1" t="n">
        <f aca="false">IFERROR(VLOOKUP(A1564,Pedido!$A:$C,3,0),0)</f>
        <v>0</v>
      </c>
      <c r="E1564" s="5" t="n">
        <f aca="false">IFERROR(VLOOKUP(A1564,Pedido!$A:$E,5,0),0)</f>
        <v>0</v>
      </c>
      <c r="F1564" s="1" t="s">
        <v>9</v>
      </c>
      <c r="G1564" s="1" t="s">
        <v>826</v>
      </c>
      <c r="H1564" s="1" t="s">
        <v>906</v>
      </c>
      <c r="I1564" s="1" t="s">
        <v>1157</v>
      </c>
      <c r="J1564" s="1" t="s">
        <v>3376</v>
      </c>
      <c r="K1564" s="1" t="n">
        <v>13</v>
      </c>
      <c r="L1564" s="11" t="n">
        <v>0.998290472633032</v>
      </c>
      <c r="M1564" s="1" t="n">
        <f aca="false">SUMIF(Relatorio_AK!$A:$A,A1564,Relatorio_AK!$B:$B)</f>
        <v>13</v>
      </c>
      <c r="N1564" s="1" t="str">
        <f aca="false">IF(M1564=K1564,"OK","DIF")</f>
        <v>OK</v>
      </c>
      <c r="O1564" s="13" t="str">
        <f aca="false">IFERROR(VLOOKUP($A1564,Lista_Starke!$A:$E,3,0),"NÃO ESTÁ NA LISTA")</f>
        <v>BMW: X5 (E70) 4.8 8 cil N62B48B 06/10
BMW: X6 4.8 8 cil N62B48B 07/18</v>
      </c>
      <c r="P1564" s="12" t="str">
        <f aca="false">IFERROR(VLOOKUP($A1564,Lista_Starke!$A:$E,2,0),"NÃO ESTÁ NA LISTA")</f>
        <v>BOMBA DÁGUA AUXILIAR</v>
      </c>
    </row>
    <row r="1565" customFormat="false" ht="15" hidden="false" customHeight="true" outlineLevel="0" collapsed="false">
      <c r="A1565" s="10" t="s">
        <v>3377</v>
      </c>
      <c r="B1565" s="10" t="str">
        <f aca="false">IFERROR(VLOOKUP(A1565,Pedido!$A:$B,2,0),"")</f>
        <v/>
      </c>
      <c r="C1565" s="10" t="str">
        <f aca="false">IF(B1565="","NÃO COMPRA","COMPRA")</f>
        <v>NÃO COMPRA</v>
      </c>
      <c r="D1565" s="1" t="n">
        <f aca="false">IFERROR(VLOOKUP(A1565,Pedido!$A:$C,3,0),0)</f>
        <v>0</v>
      </c>
      <c r="E1565" s="5" t="n">
        <f aca="false">IFERROR(VLOOKUP(A1565,Pedido!$A:$E,5,0),0)</f>
        <v>0</v>
      </c>
      <c r="F1565" s="1" t="s">
        <v>9</v>
      </c>
      <c r="G1565" s="1" t="s">
        <v>1659</v>
      </c>
      <c r="H1565" s="1" t="s">
        <v>197</v>
      </c>
      <c r="I1565" s="1" t="s">
        <v>46</v>
      </c>
      <c r="J1565" s="1" t="s">
        <v>3378</v>
      </c>
      <c r="K1565" s="1" t="n">
        <v>13</v>
      </c>
      <c r="L1565" s="11" t="n">
        <v>0.998312696488803</v>
      </c>
      <c r="M1565" s="1" t="n">
        <f aca="false">SUMIF(Relatorio_AK!$A:$A,A1565,Relatorio_AK!$B:$B)</f>
        <v>13</v>
      </c>
      <c r="N1565" s="1" t="str">
        <f aca="false">IF(M1565=K1565,"OK","DIF")</f>
        <v>OK</v>
      </c>
      <c r="O1565" s="13" t="str">
        <f aca="false">IFERROR(VLOOKUP($A1565,Lista_Starke!$A:$E,3,0),"NÃO ESTÁ NA LISTA")</f>
        <v>FIAT: 500 1.4 8V 09/…
FIAT: 500 Abarth 1.4 16V Turbo 14/…
FIAT: Bravo T-Jet 1.4 16V Turbo 12/…
FIAT: Grand Siena 1.4 8V EVO 12/…
FIAT: Linea T-Jet 1.4 16V Turbo 09/12
FIAT: Mobi 1.0 8V EVO 16/…
FIAT: Palio 1.0 8V EVO / 1.4 8V EVO 10/…
FIAT: Palio Weekend 1.4 8V EVO 10/…
FIAT: Punto 1.4 8V EVO 10/…
FIAT: Punto T-Jet 1.4 16V Turbo 12/…
FIAT: Siena 1.4 8V EVO 10/…
FIAT: Strada 1.4 8V EVO 10/…
FIAT: Uno 1.0 8V EVO / 1.4 8V EVO 10/…</v>
      </c>
      <c r="P1565" s="12" t="str">
        <f aca="false">IFERROR(VLOOKUP($A1565,Lista_Starke!$A:$E,2,0),"NÃO ESTÁ NA LISTA")</f>
        <v>BOMBA D'ÁGUA</v>
      </c>
    </row>
    <row r="1566" customFormat="false" ht="15" hidden="false" customHeight="true" outlineLevel="0" collapsed="false">
      <c r="A1566" s="10" t="s">
        <v>3379</v>
      </c>
      <c r="B1566" s="10" t="str">
        <f aca="false">IFERROR(VLOOKUP(A1566,Pedido!$A:$B,2,0),"")</f>
        <v/>
      </c>
      <c r="C1566" s="10" t="str">
        <f aca="false">IF(B1566="","NÃO COMPRA","COMPRA")</f>
        <v>NÃO COMPRA</v>
      </c>
      <c r="D1566" s="1" t="n">
        <f aca="false">IFERROR(VLOOKUP(A1566,Pedido!$A:$C,3,0),0)</f>
        <v>0</v>
      </c>
      <c r="E1566" s="5" t="n">
        <f aca="false">IFERROR(VLOOKUP(A1566,Pedido!$A:$E,5,0),0)</f>
        <v>0</v>
      </c>
      <c r="F1566" s="1" t="s">
        <v>9</v>
      </c>
      <c r="G1566" s="1" t="s">
        <v>2425</v>
      </c>
      <c r="H1566" s="1" t="s">
        <v>88</v>
      </c>
      <c r="I1566" s="1" t="s">
        <v>53</v>
      </c>
      <c r="J1566" s="1" t="s">
        <v>3380</v>
      </c>
      <c r="K1566" s="1" t="n">
        <v>13</v>
      </c>
      <c r="L1566" s="11" t="n">
        <v>0.998334920344573</v>
      </c>
      <c r="M1566" s="1" t="n">
        <f aca="false">SUMIF(Relatorio_AK!$A:$A,A1566,Relatorio_AK!$B:$B)</f>
        <v>13</v>
      </c>
      <c r="N1566" s="1" t="str">
        <f aca="false">IF(M1566=K1566,"OK","DIF")</f>
        <v>OK</v>
      </c>
      <c r="O1566" s="12" t="str">
        <f aca="false">IFERROR(VLOOKUP($A1566,Lista_Starke!$A:$E,3,0),"NÃO ESTÁ NA LISTA")</f>
        <v>FORD: F4000 SÉRIE 229 3.6 8V 4 cil. 95/98</v>
      </c>
      <c r="P1566" s="12" t="str">
        <f aca="false">IFERROR(VLOOKUP($A1566,Lista_Starke!$A:$E,2,0),"NÃO ESTÁ NA LISTA")</f>
        <v>CILINDRO DE RODA LE</v>
      </c>
    </row>
    <row r="1567" customFormat="false" ht="15" hidden="false" customHeight="true" outlineLevel="0" collapsed="false">
      <c r="A1567" s="10" t="s">
        <v>3381</v>
      </c>
      <c r="B1567" s="10" t="str">
        <f aca="false">IFERROR(VLOOKUP(A1567,Pedido!$A:$B,2,0),"")</f>
        <v/>
      </c>
      <c r="C1567" s="10" t="str">
        <f aca="false">IF(B1567="","NÃO COMPRA","COMPRA")</f>
        <v>NÃO COMPRA</v>
      </c>
      <c r="D1567" s="1" t="n">
        <f aca="false">IFERROR(VLOOKUP(A1567,Pedido!$A:$C,3,0),0)</f>
        <v>0</v>
      </c>
      <c r="E1567" s="5" t="n">
        <f aca="false">IFERROR(VLOOKUP(A1567,Pedido!$A:$E,5,0),0)</f>
        <v>0</v>
      </c>
      <c r="F1567" s="1" t="s">
        <v>9</v>
      </c>
      <c r="G1567" s="1" t="s">
        <v>2425</v>
      </c>
      <c r="H1567" s="1" t="s">
        <v>88</v>
      </c>
      <c r="I1567" s="1" t="s">
        <v>2826</v>
      </c>
      <c r="K1567" s="1" t="n">
        <v>13</v>
      </c>
      <c r="L1567" s="11" t="n">
        <v>0.998357144200344</v>
      </c>
      <c r="M1567" s="1" t="n">
        <f aca="false">SUMIF(Relatorio_AK!$A:$A,A1567,Relatorio_AK!$B:$B)</f>
        <v>13</v>
      </c>
      <c r="N1567" s="1" t="str">
        <f aca="false">IF(M1567=K1567,"OK","DIF")</f>
        <v>OK</v>
      </c>
      <c r="O1567" s="13" t="str">
        <f aca="false">IFERROR(VLOOKUP($A1567,Lista_Starke!$A:$E,3,0),"NÃO ESTÁ NA LISTA")</f>
        <v>AGRALE: 1600 A 2.5 L 8V SOHC L4 90/95
AGRALE: 1600 D SERIE 229 3.0 L 6V SOHV L3 90/95
AGRALE: 1600 D SERIE 229 3.9 L 8V SOHV L4 90/95
AGRALE: 1800 D SERIE 229 3.9 L 8V SOHV L4 90/96
FORD: 1800 D Q20B 3.9 L 8V SOHV L4 90/96
FORD: F4000 SERIE 229 3.9 L 8V SOHV L4 84/94</v>
      </c>
      <c r="P1567" s="12" t="str">
        <f aca="false">IFERROR(VLOOKUP($A1567,Lista_Starke!$A:$E,2,0),"NÃO ESTÁ NA LISTA")</f>
        <v>CILINDRO DE RODA LE</v>
      </c>
    </row>
    <row r="1568" customFormat="false" ht="15" hidden="false" customHeight="true" outlineLevel="0" collapsed="false">
      <c r="A1568" s="10" t="s">
        <v>3382</v>
      </c>
      <c r="B1568" s="10" t="str">
        <f aca="false">IFERROR(VLOOKUP(A1568,Pedido!$A:$B,2,0),"")</f>
        <v/>
      </c>
      <c r="C1568" s="10" t="str">
        <f aca="false">IF(B1568="","NÃO COMPRA","COMPRA")</f>
        <v>NÃO COMPRA</v>
      </c>
      <c r="D1568" s="1" t="n">
        <f aca="false">IFERROR(VLOOKUP(A1568,Pedido!$A:$C,3,0),0)</f>
        <v>0</v>
      </c>
      <c r="E1568" s="5" t="n">
        <f aca="false">IFERROR(VLOOKUP(A1568,Pedido!$A:$E,5,0),0)</f>
        <v>0</v>
      </c>
      <c r="F1568" s="1" t="s">
        <v>9</v>
      </c>
      <c r="G1568" s="1" t="s">
        <v>2355</v>
      </c>
      <c r="H1568" s="1" t="s">
        <v>1131</v>
      </c>
      <c r="I1568" s="1" t="s">
        <v>373</v>
      </c>
      <c r="J1568" s="1" t="s">
        <v>3383</v>
      </c>
      <c r="K1568" s="1" t="n">
        <v>13</v>
      </c>
      <c r="L1568" s="11" t="n">
        <v>0.998379368056114</v>
      </c>
      <c r="M1568" s="1" t="n">
        <f aca="false">SUMIF(Relatorio_AK!$A:$A,A1568,Relatorio_AK!$B:$B)</f>
        <v>13</v>
      </c>
      <c r="N1568" s="1" t="str">
        <f aca="false">IF(M1568=K1568,"OK","DIF")</f>
        <v>OK</v>
      </c>
      <c r="O1568" s="13" t="str">
        <f aca="false">IFERROR(VLOOKUP($A1568,Lista_Starke!$A:$E,3,0),"NÃO ESTÁ NA LISTA")</f>
        <v>MERCEDES-BENZ: A200 (W176) 1.6 M270.910 15/18
MERCEDES-BENZ: A220 (W176) 2.0 M270.920 14/18
MERCEDES-BENZ: A250 (W176) 2.0 M270.920 12/18
MERCEDES-BENZ: A45 AMG (W176) 2.0 M133.980 13/18
MERCEDES-BENZ: B180 (W242/W246) 1.6 M270.910 11/18
MERCEDES-BENZ: B200 (W242/W246) 1.6 M270.910 11/18
MERCEDES-BENZ: B220 (W242/W246) 2.0 M270.920 13/18
MERCEDES-BENZ: B250 (W242/W246) 2.0 M270.920 12/18
MERCEDES-BENZ: CLA200 (X117) 1.6 M270.910 15/19
MERCEDES-BENZ: CLA220 (X117) 2.0 M270.920 16/19
MERCEDES-BENZ: CLA250 (X117) 2.0 M270.920 15/19
MERCEDES-BENZ: CLA45 AMG (C117) 2.0 M133.980 15/19
MERCEDES-BENZ: GLA180 (X156) 1.6 M270.910 15/19
MERCEDES-BENZ: GLA200 (X156) 1.6 M270.910 13/19
MERCEDES-BENZ: GLA220 (X156) 2.0 M270.920 13/19
MERCEDES-BENZ: GLA250 (X156) 2.0 M270.920 13/19
MERCEDES-BENZ: GLA45 AMG (X156) 2.0 M133.980 14/19</v>
      </c>
      <c r="P1568" s="12" t="str">
        <f aca="false">IFERROR(VLOOKUP($A1568,Lista_Starke!$A:$E,2,0),"NÃO ESTÁ NA LISTA")</f>
        <v>BOMBA DE ALTA PRESSÃO GDI</v>
      </c>
    </row>
    <row r="1569" customFormat="false" ht="15" hidden="false" customHeight="true" outlineLevel="0" collapsed="false">
      <c r="A1569" s="10" t="s">
        <v>3384</v>
      </c>
      <c r="B1569" s="10" t="str">
        <f aca="false">IFERROR(VLOOKUP(A1569,Pedido!$A:$B,2,0),"")</f>
        <v/>
      </c>
      <c r="C1569" s="10" t="str">
        <f aca="false">IF(B1569="","NÃO COMPRA","COMPRA")</f>
        <v>NÃO COMPRA</v>
      </c>
      <c r="D1569" s="1" t="n">
        <f aca="false">IFERROR(VLOOKUP(A1569,Pedido!$A:$C,3,0),0)</f>
        <v>0</v>
      </c>
      <c r="E1569" s="5" t="n">
        <f aca="false">IFERROR(VLOOKUP(A1569,Pedido!$A:$E,5,0),0)</f>
        <v>0</v>
      </c>
      <c r="F1569" s="1" t="s">
        <v>9</v>
      </c>
      <c r="G1569" s="1" t="s">
        <v>3385</v>
      </c>
      <c r="H1569" s="1" t="s">
        <v>2466</v>
      </c>
      <c r="I1569" s="1" t="s">
        <v>50</v>
      </c>
      <c r="J1569" s="1" t="s">
        <v>3386</v>
      </c>
      <c r="K1569" s="1" t="n">
        <v>13</v>
      </c>
      <c r="L1569" s="11" t="n">
        <v>0.998401591911885</v>
      </c>
      <c r="M1569" s="1" t="n">
        <f aca="false">SUMIF(Relatorio_AK!$A:$A,A1569,Relatorio_AK!$B:$B)</f>
        <v>13</v>
      </c>
      <c r="N1569" s="1" t="str">
        <f aca="false">IF(M1569=K1569,"OK","DIF")</f>
        <v>OK</v>
      </c>
      <c r="O1569" s="13" t="str">
        <f aca="false">IFERROR(VLOOKUP($A1569,Lista_Starke!$A:$E,3,0),"NÃO ESTÁ NA LISTA")</f>
        <v>HONDA: Fit 1.4 16V 03/08
HONDA: Fit 1.5 16V 03/08</v>
      </c>
      <c r="P1569" s="12" t="str">
        <f aca="false">IFERROR(VLOOKUP($A1569,Lista_Starke!$A:$E,2,0),"NÃO ESTÁ NA LISTA")</f>
        <v>SERVO FREIO</v>
      </c>
    </row>
    <row r="1570" customFormat="false" ht="15" hidden="false" customHeight="true" outlineLevel="0" collapsed="false">
      <c r="A1570" s="10" t="s">
        <v>3387</v>
      </c>
      <c r="B1570" s="10" t="str">
        <f aca="false">IFERROR(VLOOKUP(A1570,Pedido!$A:$B,2,0),"")</f>
        <v/>
      </c>
      <c r="C1570" s="10" t="str">
        <f aca="false">IF(B1570="","NÃO COMPRA","COMPRA")</f>
        <v>NÃO COMPRA</v>
      </c>
      <c r="D1570" s="1" t="n">
        <f aca="false">IFERROR(VLOOKUP(A1570,Pedido!$A:$C,3,0),0)</f>
        <v>0</v>
      </c>
      <c r="E1570" s="5" t="n">
        <f aca="false">IFERROR(VLOOKUP(A1570,Pedido!$A:$E,5,0),0)</f>
        <v>0</v>
      </c>
      <c r="F1570" s="1" t="s">
        <v>9</v>
      </c>
      <c r="G1570" s="1" t="s">
        <v>3244</v>
      </c>
      <c r="H1570" s="1" t="s">
        <v>2466</v>
      </c>
      <c r="I1570" s="1" t="s">
        <v>71</v>
      </c>
      <c r="J1570" s="1" t="s">
        <v>3388</v>
      </c>
      <c r="K1570" s="1" t="n">
        <v>13</v>
      </c>
      <c r="L1570" s="11" t="n">
        <v>0.998423815767655</v>
      </c>
      <c r="M1570" s="1" t="n">
        <f aca="false">SUMIF(Relatorio_AK!$A:$A,A1570,Relatorio_AK!$B:$B)</f>
        <v>13</v>
      </c>
      <c r="N1570" s="1" t="str">
        <f aca="false">IF(M1570=K1570,"OK","DIF")</f>
        <v>OK</v>
      </c>
      <c r="O1570" s="13" t="str">
        <f aca="false">IFERROR(VLOOKUP($A1570,Lista_Starke!$A:$E,3,0),"NÃO ESTÁ NA LISTA")</f>
        <v>PEUGEOT: 206 1.6 16V TU5JP4 01/08
PEUGEOT: 207 1.6 16V TU5JP4 08/13</v>
      </c>
      <c r="P1570" s="12" t="str">
        <f aca="false">IFERROR(VLOOKUP($A1570,Lista_Starke!$A:$E,2,0),"NÃO ESTÁ NA LISTA")</f>
        <v>SERVO FREIO</v>
      </c>
    </row>
    <row r="1571" customFormat="false" ht="15" hidden="false" customHeight="true" outlineLevel="0" collapsed="false">
      <c r="A1571" s="10" t="s">
        <v>3389</v>
      </c>
      <c r="B1571" s="10" t="str">
        <f aca="false">IFERROR(VLOOKUP(A1571,Pedido!$A:$B,2,0),"")</f>
        <v/>
      </c>
      <c r="C1571" s="10" t="str">
        <f aca="false">IF(B1571="","NÃO COMPRA","COMPRA")</f>
        <v>NÃO COMPRA</v>
      </c>
      <c r="D1571" s="1" t="n">
        <f aca="false">IFERROR(VLOOKUP(A1571,Pedido!$A:$C,3,0),0)</f>
        <v>0</v>
      </c>
      <c r="E1571" s="5" t="n">
        <f aca="false">IFERROR(VLOOKUP(A1571,Pedido!$A:$E,5,0),0)</f>
        <v>0</v>
      </c>
      <c r="F1571" s="1" t="s">
        <v>9</v>
      </c>
      <c r="G1571" s="1" t="s">
        <v>2495</v>
      </c>
      <c r="H1571" s="1" t="s">
        <v>2466</v>
      </c>
      <c r="I1571" s="1" t="s">
        <v>46</v>
      </c>
      <c r="J1571" s="1" t="s">
        <v>3390</v>
      </c>
      <c r="K1571" s="1" t="n">
        <v>13</v>
      </c>
      <c r="L1571" s="11" t="n">
        <v>0.998446039623426</v>
      </c>
      <c r="M1571" s="1" t="n">
        <f aca="false">SUMIF(Relatorio_AK!$A:$A,A1571,Relatorio_AK!$B:$B)</f>
        <v>13</v>
      </c>
      <c r="N1571" s="1" t="str">
        <f aca="false">IF(M1571=K1571,"OK","DIF")</f>
        <v>OK</v>
      </c>
      <c r="O1571" s="13" t="str">
        <f aca="false">IFERROR(VLOOKUP($A1571,Lista_Starke!$A:$E,3,0),"NÃO ESTÁ NA LISTA")</f>
        <v>FIAT: Fiorino 1.0 8V FIASA Sist. Delco convexo 94/95
FIAT: Fiorino 1.0 8V FIASA Sist. Varga/Teves 94/95
FIAT: Fiorino 1.3 8V Fire Sist. ATE 03/06
FIAT: Fiorino 1.3 8V Fire Sist. ATE 07/13
FIAT: Fiorino 1.4 8V Fire Evo Sist. ATE 13/...
FIAT: Fiorino 1.4 8V Fire Evo Sist. ATE 16/...
FIAT: Fiorino 1.5 8V FIASA Sist. ATE 94/96
FIAT: Fiorino 1.5 8V FIASA Sist. ATE 97/02
FIAT: Fiorino 1.6 8V SEVEL Sist. Varga/Teves 95/96
FIAT: Uno Turbo 1.4 8V Turbo Sist. Varga/Teves 94/95</v>
      </c>
      <c r="P1571" s="12" t="str">
        <f aca="false">IFERROR(VLOOKUP($A1571,Lista_Starke!$A:$E,2,0),"NÃO ESTÁ NA LISTA")</f>
        <v>SERVO FREIO</v>
      </c>
    </row>
    <row r="1572" customFormat="false" ht="15" hidden="false" customHeight="true" outlineLevel="0" collapsed="false">
      <c r="A1572" s="10" t="s">
        <v>3391</v>
      </c>
      <c r="B1572" s="10" t="str">
        <f aca="false">IFERROR(VLOOKUP(A1572,Pedido!$A:$B,2,0),"")</f>
        <v/>
      </c>
      <c r="C1572" s="10" t="str">
        <f aca="false">IF(B1572="","NÃO COMPRA","COMPRA")</f>
        <v>NÃO COMPRA</v>
      </c>
      <c r="D1572" s="1" t="n">
        <f aca="false">IFERROR(VLOOKUP(A1572,Pedido!$A:$C,3,0),0)</f>
        <v>0</v>
      </c>
      <c r="E1572" s="5" t="n">
        <f aca="false">IFERROR(VLOOKUP(A1572,Pedido!$A:$E,5,0),0)</f>
        <v>0</v>
      </c>
      <c r="F1572" s="1" t="s">
        <v>9</v>
      </c>
      <c r="G1572" s="1" t="s">
        <v>3333</v>
      </c>
      <c r="H1572" s="1" t="s">
        <v>2466</v>
      </c>
      <c r="I1572" s="1" t="s">
        <v>255</v>
      </c>
      <c r="J1572" s="1" t="s">
        <v>3392</v>
      </c>
      <c r="K1572" s="1" t="n">
        <v>13</v>
      </c>
      <c r="L1572" s="11" t="n">
        <v>0.998468263479196</v>
      </c>
      <c r="M1572" s="1" t="n">
        <f aca="false">SUMIF(Relatorio_AK!$A:$A,A1572,Relatorio_AK!$B:$B)</f>
        <v>13</v>
      </c>
      <c r="N1572" s="1" t="str">
        <f aca="false">IF(M1572=K1572,"OK","DIF")</f>
        <v>OK</v>
      </c>
      <c r="O1572" s="13" t="str">
        <f aca="false">IFERROR(VLOOKUP($A1572,Lista_Starke!$A:$E,3,0),"NÃO ESTÁ NA LISTA")</f>
        <v>MITSUBISHI: Pajero IO 1.8 16V 4G93 99/02
MITSUBISHI: Pajero TR4 2.0 16V 00/…
MITSUBISHI: Pajero TR4 2.0 20V 4G94 04/…</v>
      </c>
      <c r="P1572" s="12" t="str">
        <f aca="false">IFERROR(VLOOKUP($A1572,Lista_Starke!$A:$E,2,0),"NÃO ESTÁ NA LISTA")</f>
        <v>SERVO FREIO</v>
      </c>
    </row>
    <row r="1573" customFormat="false" ht="15" hidden="false" customHeight="true" outlineLevel="0" collapsed="false">
      <c r="A1573" s="10" t="s">
        <v>3393</v>
      </c>
      <c r="B1573" s="10" t="str">
        <f aca="false">IFERROR(VLOOKUP(A1573,Pedido!$A:$B,2,0),"")</f>
        <v/>
      </c>
      <c r="C1573" s="10" t="str">
        <f aca="false">IF(B1573="","NÃO COMPRA","COMPRA")</f>
        <v>NÃO COMPRA</v>
      </c>
      <c r="D1573" s="1" t="n">
        <f aca="false">IFERROR(VLOOKUP(A1573,Pedido!$A:$C,3,0),0)</f>
        <v>0</v>
      </c>
      <c r="E1573" s="5" t="n">
        <f aca="false">IFERROR(VLOOKUP(A1573,Pedido!$A:$E,5,0),0)</f>
        <v>0</v>
      </c>
      <c r="F1573" s="1" t="s">
        <v>9</v>
      </c>
      <c r="G1573" s="1" t="s">
        <v>3394</v>
      </c>
      <c r="H1573" s="1" t="s">
        <v>2466</v>
      </c>
      <c r="I1573" s="1" t="s">
        <v>172</v>
      </c>
      <c r="J1573" s="1" t="s">
        <v>3395</v>
      </c>
      <c r="K1573" s="1" t="n">
        <v>13</v>
      </c>
      <c r="L1573" s="11" t="n">
        <v>0.998490487334967</v>
      </c>
      <c r="M1573" s="1" t="n">
        <f aca="false">SUMIF(Relatorio_AK!$A:$A,A1573,Relatorio_AK!$B:$B)</f>
        <v>13</v>
      </c>
      <c r="N1573" s="1" t="str">
        <f aca="false">IF(M1573=K1573,"OK","DIF")</f>
        <v>OK</v>
      </c>
      <c r="O1573" s="13" t="str">
        <f aca="false">IFERROR(VLOOKUP($A1573,Lista_Starke!$A:$E,3,0),"NÃO ESTÁ NA LISTA")</f>
        <v>HYUNDAI: HR 2.5 16V Diesel 13/22
KIA: Bongo K2500 2.5 16V Diesel 13/22</v>
      </c>
      <c r="P1573" s="12" t="str">
        <f aca="false">IFERROR(VLOOKUP($A1573,Lista_Starke!$A:$E,2,0),"NÃO ESTÁ NA LISTA")</f>
        <v>SERVO FREIO</v>
      </c>
    </row>
    <row r="1574" customFormat="false" ht="15" hidden="false" customHeight="true" outlineLevel="0" collapsed="false">
      <c r="A1574" s="10" t="s">
        <v>3396</v>
      </c>
      <c r="B1574" s="10" t="str">
        <f aca="false">IFERROR(VLOOKUP(A1574,Pedido!$A:$B,2,0),"")</f>
        <v/>
      </c>
      <c r="C1574" s="10" t="str">
        <f aca="false">IF(B1574="","NÃO COMPRA","COMPRA")</f>
        <v>NÃO COMPRA</v>
      </c>
      <c r="D1574" s="1" t="n">
        <f aca="false">IFERROR(VLOOKUP(A1574,Pedido!$A:$C,3,0),0)</f>
        <v>0</v>
      </c>
      <c r="E1574" s="5" t="n">
        <f aca="false">IFERROR(VLOOKUP(A1574,Pedido!$A:$E,5,0),0)</f>
        <v>0</v>
      </c>
      <c r="F1574" s="1" t="s">
        <v>9</v>
      </c>
      <c r="G1574" s="1" t="s">
        <v>2344</v>
      </c>
      <c r="H1574" s="1" t="s">
        <v>1358</v>
      </c>
      <c r="I1574" s="1" t="s">
        <v>50</v>
      </c>
      <c r="J1574" s="1" t="s">
        <v>3397</v>
      </c>
      <c r="K1574" s="1" t="n">
        <v>12</v>
      </c>
      <c r="L1574" s="11" t="n">
        <v>0.998511001663371</v>
      </c>
      <c r="M1574" s="1" t="n">
        <f aca="false">SUMIF(Relatorio_AK!$A:$A,A1574,Relatorio_AK!$B:$B)</f>
        <v>12</v>
      </c>
      <c r="N1574" s="1" t="str">
        <f aca="false">IF(M1574=K1574,"OK","DIF")</f>
        <v>OK</v>
      </c>
      <c r="O1574" s="12" t="str">
        <f aca="false">IFERROR(VLOOKUP($A1574,Lista_Starke!$A:$E,3,0),"NÃO ESTÁ NA LISTA")</f>
        <v>HONDA: New Civic 1.8 16V 12/16</v>
      </c>
      <c r="P1574" s="12" t="str">
        <f aca="false">IFERROR(VLOOKUP($A1574,Lista_Starke!$A:$E,2,0),"NÃO ESTÁ NA LISTA")</f>
        <v>BANDEJA INFERIOR LE</v>
      </c>
    </row>
    <row r="1575" customFormat="false" ht="15" hidden="false" customHeight="true" outlineLevel="0" collapsed="false">
      <c r="A1575" s="10" t="s">
        <v>3398</v>
      </c>
      <c r="B1575" s="10" t="str">
        <f aca="false">IFERROR(VLOOKUP(A1575,Pedido!$A:$B,2,0),"")</f>
        <v/>
      </c>
      <c r="C1575" s="10" t="str">
        <f aca="false">IF(B1575="","NÃO COMPRA","COMPRA")</f>
        <v>NÃO COMPRA</v>
      </c>
      <c r="D1575" s="1" t="n">
        <f aca="false">IFERROR(VLOOKUP(A1575,Pedido!$A:$C,3,0),0)</f>
        <v>0</v>
      </c>
      <c r="E1575" s="5" t="n">
        <f aca="false">IFERROR(VLOOKUP(A1575,Pedido!$A:$E,5,0),0)</f>
        <v>0</v>
      </c>
      <c r="F1575" s="1" t="s">
        <v>9</v>
      </c>
      <c r="G1575" s="1" t="s">
        <v>735</v>
      </c>
      <c r="H1575" s="1" t="s">
        <v>197</v>
      </c>
      <c r="I1575" s="1" t="s">
        <v>172</v>
      </c>
      <c r="K1575" s="1" t="n">
        <v>12</v>
      </c>
      <c r="L1575" s="11" t="n">
        <v>0.998531515991774</v>
      </c>
      <c r="M1575" s="1" t="n">
        <f aca="false">SUMIF(Relatorio_AK!$A:$A,A1575,Relatorio_AK!$B:$B)</f>
        <v>12</v>
      </c>
      <c r="N1575" s="1" t="str">
        <f aca="false">IF(M1575=K1575,"OK","DIF")</f>
        <v>OK</v>
      </c>
      <c r="O1575" s="13" t="str">
        <f aca="false">IFERROR(VLOOKUP($A1575,Lista_Starke!$A:$E,3,0),"NÃO ESTÁ NA LISTA")</f>
        <v>HYUNDAI: iX35 2.0 16V   GKD 11/…
HYUNDAI: Sonata 2.4 16V   GKE 11/…
KIA: Sportage 2.0 16V   GKD 11/…</v>
      </c>
      <c r="P1575" s="12" t="str">
        <f aca="false">IFERROR(VLOOKUP($A1575,Lista_Starke!$A:$E,2,0),"NÃO ESTÁ NA LISTA")</f>
        <v>BOMBA D'ÁGUA</v>
      </c>
    </row>
    <row r="1576" customFormat="false" ht="15" hidden="false" customHeight="true" outlineLevel="0" collapsed="false">
      <c r="A1576" s="10" t="s">
        <v>3399</v>
      </c>
      <c r="B1576" s="10" t="str">
        <f aca="false">IFERROR(VLOOKUP(A1576,Pedido!$A:$B,2,0),"")</f>
        <v/>
      </c>
      <c r="C1576" s="10" t="str">
        <f aca="false">IF(B1576="","NÃO COMPRA","COMPRA")</f>
        <v>NÃO COMPRA</v>
      </c>
      <c r="D1576" s="1" t="n">
        <f aca="false">IFERROR(VLOOKUP(A1576,Pedido!$A:$C,3,0),0)</f>
        <v>0</v>
      </c>
      <c r="E1576" s="5" t="n">
        <f aca="false">IFERROR(VLOOKUP(A1576,Pedido!$A:$E,5,0),0)</f>
        <v>0</v>
      </c>
      <c r="F1576" s="1" t="s">
        <v>9</v>
      </c>
      <c r="G1576" s="1" t="s">
        <v>1914</v>
      </c>
      <c r="H1576" s="1" t="s">
        <v>906</v>
      </c>
      <c r="I1576" s="1" t="s">
        <v>2907</v>
      </c>
      <c r="J1576" s="1" t="s">
        <v>3400</v>
      </c>
      <c r="K1576" s="1" t="n">
        <v>12</v>
      </c>
      <c r="L1576" s="11" t="n">
        <v>0.998552030320178</v>
      </c>
      <c r="M1576" s="1" t="n">
        <f aca="false">SUMIF(Relatorio_AK!$A:$A,A1576,Relatorio_AK!$B:$B)</f>
        <v>12</v>
      </c>
      <c r="N1576" s="1" t="str">
        <f aca="false">IF(M1576=K1576,"OK","DIF")</f>
        <v>OK</v>
      </c>
      <c r="O1576" s="13" t="str">
        <f aca="false">IFERROR(VLOOKUP($A1576,Lista_Starke!$A:$E,3,0),"NÃO ESTÁ NA LISTA")</f>
        <v>AUDI: A4 1.4 TSFI CVNA 15/19
AUDI: A5 1.4 TFSI CVNA 16/20
AUDI: A5 TFSI Quattro CMUA / CRED / CHMB 11/17
AUDI: Q7 3.0 6 cil. CREC 15/19
AUDI: S4 3.0 6 cil. CAKA / CCBA / CGCX / CTUB / CGWC / CREC 08/15
AUDI: S5 3.0 6 cil. CAKA / CGXC / CTUB / CGWC / CREC / CTDA 11/17</v>
      </c>
      <c r="P1576" s="12" t="str">
        <f aca="false">IFERROR(VLOOKUP($A1576,Lista_Starke!$A:$E,2,0),"NÃO ESTÁ NA LISTA")</f>
        <v>BOMBA D'ÁGUA AUXILIAR</v>
      </c>
    </row>
    <row r="1577" customFormat="false" ht="15" hidden="false" customHeight="true" outlineLevel="0" collapsed="false">
      <c r="A1577" s="10" t="s">
        <v>3401</v>
      </c>
      <c r="B1577" s="10" t="str">
        <f aca="false">IFERROR(VLOOKUP(A1577,Pedido!$A:$B,2,0),"")</f>
        <v/>
      </c>
      <c r="C1577" s="10" t="str">
        <f aca="false">IF(B1577="","NÃO COMPRA","COMPRA")</f>
        <v>NÃO COMPRA</v>
      </c>
      <c r="D1577" s="1" t="n">
        <f aca="false">IFERROR(VLOOKUP(A1577,Pedido!$A:$C,3,0),0)</f>
        <v>0</v>
      </c>
      <c r="E1577" s="5" t="n">
        <f aca="false">IFERROR(VLOOKUP(A1577,Pedido!$A:$E,5,0),0)</f>
        <v>0</v>
      </c>
      <c r="F1577" s="1" t="s">
        <v>9</v>
      </c>
      <c r="G1577" s="1" t="s">
        <v>1442</v>
      </c>
      <c r="H1577" s="1" t="s">
        <v>1131</v>
      </c>
      <c r="I1577" s="1" t="s">
        <v>226</v>
      </c>
      <c r="J1577" s="1" t="s">
        <v>3402</v>
      </c>
      <c r="K1577" s="1" t="n">
        <v>12</v>
      </c>
      <c r="L1577" s="11" t="n">
        <v>0.998572544648582</v>
      </c>
      <c r="M1577" s="1" t="n">
        <f aca="false">SUMIF(Relatorio_AK!$A:$A,A1577,Relatorio_AK!$B:$B)</f>
        <v>12</v>
      </c>
      <c r="N1577" s="1" t="str">
        <f aca="false">IF(M1577=K1577,"OK","DIF")</f>
        <v>OK</v>
      </c>
      <c r="O1577" s="13" t="str">
        <f aca="false">IFERROR(VLOOKUP($A1577,Lista_Starke!$A:$E,3,0),"NÃO ESTÁ NA LISTA")</f>
        <v>AUDI: A1 2.0 16V EA888 12/13
AUDI: A3 2.0 16V D2L 13/14
AUDI: A3 2.0 16V TFSI EA113 06/07
AUDI: A3 2.0 16V TFSI EA888 08/13
AUDI: A4 2.0 16V TFSI EA113 06/09
AUDI: A4 2.0 16V TFSI EA888 08/15
AUDI: S3 2.0 16V TFSI D81 0913
AUDI: TT 2.0 16V TFSI D14 10/14
VOLKSWAGEN: Golf 1.4 16V TSI EA211 13/13
VOLKSWAGEN: Golf 2.0 8V EA113 Flex 09/13
VOLKSWAGEN: Golf GTI 2.0 16V TSI EA888 13/13
VOLKSWAGEN: Jetta 2.0 8V CKJA Flex 10/10
VOLKSWAGEN: Jetta 2.5 20V FSI 06/10</v>
      </c>
      <c r="P1577" s="12" t="str">
        <f aca="false">IFERROR(VLOOKUP($A1577,Lista_Starke!$A:$E,2,0),"NÃO ESTÁ NA LISTA")</f>
        <v>BOMBA DE ALTA PRESSÃO GDI</v>
      </c>
    </row>
    <row r="1578" customFormat="false" ht="15" hidden="false" customHeight="true" outlineLevel="0" collapsed="false">
      <c r="A1578" s="10" t="s">
        <v>3403</v>
      </c>
      <c r="B1578" s="10" t="str">
        <f aca="false">IFERROR(VLOOKUP(A1578,Pedido!$A:$B,2,0),"")</f>
        <v/>
      </c>
      <c r="C1578" s="10" t="str">
        <f aca="false">IF(B1578="","NÃO COMPRA","COMPRA")</f>
        <v>NÃO COMPRA</v>
      </c>
      <c r="D1578" s="1" t="n">
        <f aca="false">IFERROR(VLOOKUP(A1578,Pedido!$A:$C,3,0),0)</f>
        <v>0</v>
      </c>
      <c r="E1578" s="5" t="n">
        <f aca="false">IFERROR(VLOOKUP(A1578,Pedido!$A:$E,5,0),0)</f>
        <v>0</v>
      </c>
      <c r="F1578" s="1" t="s">
        <v>9</v>
      </c>
      <c r="G1578" s="1" t="s">
        <v>2116</v>
      </c>
      <c r="H1578" s="1" t="s">
        <v>1131</v>
      </c>
      <c r="I1578" s="1" t="s">
        <v>1157</v>
      </c>
      <c r="J1578" s="1" t="s">
        <v>3404</v>
      </c>
      <c r="K1578" s="1" t="n">
        <v>12</v>
      </c>
      <c r="L1578" s="11" t="n">
        <v>0.998593058976985</v>
      </c>
      <c r="M1578" s="1" t="n">
        <f aca="false">SUMIF(Relatorio_AK!$A:$A,A1578,Relatorio_AK!$B:$B)</f>
        <v>12</v>
      </c>
      <c r="N1578" s="1" t="str">
        <f aca="false">IF(M1578=K1578,"OK","DIF")</f>
        <v>OK</v>
      </c>
      <c r="O1578" s="13" t="str">
        <f aca="false">IFERROR(VLOOKUP($A1578,Lista_Starke!$A:$E,3,0),"NÃO ESTÁ NA LISTA")</f>
        <v>BMW: 120i (F20) 2.0 16V B48B20A 15/19
BMW: 125i (F20) 2.0 16V B48B20A 15/19
BMW: 220i (F23) 2.0 16V N20B20 15/19
BMW: 320i (F30/F80) 2.0 16V N20B20A / N20B20B 14/19
BMW: 330i (F30/F80) 2.0 16V N20B20A / N20B20B 14/19
BMW: 430i (F32/F82) 2.0 16V B48B20 / B46B20B 16/20
BMW: 530i (G30/F90) 2.0 16V B48B20A / B46B20B 15/20
BMW: 540i (G30/F90) 3.0 6 cil. 16/20
BMW: M140i (F20) 3.0 6 cil.  B58B30A 16/19
BMW: M240i (F20) 3.0 6 cil B48B30 16/21
BMW: X3 (G01/F97) 1.6 16V B48B20A 17/...
BMW: X3 (G01/F97) 3.0 6 cil. B46A20 18/...
BMW: X3 M (G01) 3.0 6 cil. B58B30A 17/...
BMW: X4 M (G02/F98) 3.0 6 cil. B58B30A 18/23</v>
      </c>
      <c r="P1578" s="12" t="str">
        <f aca="false">IFERROR(VLOOKUP($A1578,Lista_Starke!$A:$E,2,0),"NÃO ESTÁ NA LISTA")</f>
        <v>BOMBA DE ALTA PRESSÃO GDI</v>
      </c>
    </row>
    <row r="1579" customFormat="false" ht="15" hidden="false" customHeight="true" outlineLevel="0" collapsed="false">
      <c r="A1579" s="10" t="s">
        <v>3405</v>
      </c>
      <c r="B1579" s="10" t="str">
        <f aca="false">IFERROR(VLOOKUP(A1579,Pedido!$A:$B,2,0),"")</f>
        <v/>
      </c>
      <c r="C1579" s="10" t="str">
        <f aca="false">IF(B1579="","NÃO COMPRA","COMPRA")</f>
        <v>NÃO COMPRA</v>
      </c>
      <c r="D1579" s="1" t="n">
        <f aca="false">IFERROR(VLOOKUP(A1579,Pedido!$A:$C,3,0),0)</f>
        <v>0</v>
      </c>
      <c r="E1579" s="5" t="n">
        <f aca="false">IFERROR(VLOOKUP(A1579,Pedido!$A:$E,5,0),0)</f>
        <v>0</v>
      </c>
      <c r="F1579" s="1" t="s">
        <v>9</v>
      </c>
      <c r="G1579" s="1" t="s">
        <v>2659</v>
      </c>
      <c r="H1579" s="1" t="s">
        <v>2466</v>
      </c>
      <c r="I1579" s="1" t="s">
        <v>36</v>
      </c>
      <c r="J1579" s="1" t="s">
        <v>3406</v>
      </c>
      <c r="K1579" s="1" t="n">
        <v>12</v>
      </c>
      <c r="L1579" s="11" t="n">
        <v>0.998613573305389</v>
      </c>
      <c r="M1579" s="1" t="n">
        <f aca="false">SUMIF(Relatorio_AK!$A:$A,A1579,Relatorio_AK!$B:$B)</f>
        <v>12</v>
      </c>
      <c r="N1579" s="1" t="str">
        <f aca="false">IF(M1579=K1579,"OK","DIF")</f>
        <v>OK</v>
      </c>
      <c r="O1579" s="13" t="str">
        <f aca="false">IFERROR(VLOOKUP($A1579,Lista_Starke!$A:$E,3,0),"NÃO ESTÁ NA LISTA")</f>
        <v>VOLKSWAGEN: Gol 1.0 16V Turbo 00/01
VOLKSWAGEN: Parati 1.0 16V Turbo 00/01</v>
      </c>
      <c r="P1579" s="12" t="str">
        <f aca="false">IFERROR(VLOOKUP($A1579,Lista_Starke!$A:$E,2,0),"NÃO ESTÁ NA LISTA")</f>
        <v>SERVO FREIO</v>
      </c>
    </row>
    <row r="1580" customFormat="false" ht="15" hidden="false" customHeight="true" outlineLevel="0" collapsed="false">
      <c r="A1580" s="10" t="s">
        <v>3407</v>
      </c>
      <c r="B1580" s="10" t="str">
        <f aca="false">IFERROR(VLOOKUP(A1580,Pedido!$A:$B,2,0),"")</f>
        <v/>
      </c>
      <c r="C1580" s="10" t="str">
        <f aca="false">IF(B1580="","NÃO COMPRA","COMPRA")</f>
        <v>NÃO COMPRA</v>
      </c>
      <c r="D1580" s="1" t="n">
        <f aca="false">IFERROR(VLOOKUP(A1580,Pedido!$A:$C,3,0),0)</f>
        <v>0</v>
      </c>
      <c r="E1580" s="5" t="n">
        <f aca="false">IFERROR(VLOOKUP(A1580,Pedido!$A:$E,5,0),0)</f>
        <v>0</v>
      </c>
      <c r="F1580" s="1" t="s">
        <v>9</v>
      </c>
      <c r="G1580" s="1" t="s">
        <v>3333</v>
      </c>
      <c r="H1580" s="1" t="s">
        <v>2466</v>
      </c>
      <c r="I1580" s="1" t="s">
        <v>255</v>
      </c>
      <c r="J1580" s="1" t="s">
        <v>3408</v>
      </c>
      <c r="K1580" s="1" t="n">
        <v>12</v>
      </c>
      <c r="L1580" s="11" t="n">
        <v>0.998634087633793</v>
      </c>
      <c r="M1580" s="1" t="n">
        <f aca="false">SUMIF(Relatorio_AK!$A:$A,A1580,Relatorio_AK!$B:$B)</f>
        <v>12</v>
      </c>
      <c r="N1580" s="1" t="str">
        <f aca="false">IF(M1580=K1580,"OK","DIF")</f>
        <v>OK</v>
      </c>
      <c r="O1580" s="13" t="str">
        <f aca="false">IFERROR(VLOOKUP($A1580,Lista_Starke!$A:$E,3,0),"NÃO ESTÁ NA LISTA")</f>
        <v>MITSUBISHI: L200 2.5 8V 4D56 94/96
MITSUBISHI: L200 2.5 8V 4D56 97/03
MITSUBISHI: L200 Sport 2.5 8V 4D56 97/03</v>
      </c>
      <c r="P1580" s="12" t="str">
        <f aca="false">IFERROR(VLOOKUP($A1580,Lista_Starke!$A:$E,2,0),"NÃO ESTÁ NA LISTA")</f>
        <v>SERVO FREIO</v>
      </c>
    </row>
    <row r="1581" customFormat="false" ht="15" hidden="false" customHeight="true" outlineLevel="0" collapsed="false">
      <c r="A1581" s="10" t="s">
        <v>3409</v>
      </c>
      <c r="B1581" s="10" t="str">
        <f aca="false">IFERROR(VLOOKUP(A1581,Pedido!$A:$B,2,0),"")</f>
        <v/>
      </c>
      <c r="C1581" s="10" t="str">
        <f aca="false">IF(B1581="","NÃO COMPRA","COMPRA")</f>
        <v>NÃO COMPRA</v>
      </c>
      <c r="D1581" s="1" t="n">
        <f aca="false">IFERROR(VLOOKUP(A1581,Pedido!$A:$C,3,0),0)</f>
        <v>0</v>
      </c>
      <c r="E1581" s="5" t="n">
        <f aca="false">IFERROR(VLOOKUP(A1581,Pedido!$A:$E,5,0),0)</f>
        <v>0</v>
      </c>
      <c r="F1581" s="1" t="s">
        <v>9</v>
      </c>
      <c r="G1581" s="1" t="s">
        <v>2469</v>
      </c>
      <c r="H1581" s="1" t="s">
        <v>2466</v>
      </c>
      <c r="I1581" s="1" t="s">
        <v>57</v>
      </c>
      <c r="J1581" s="1" t="s">
        <v>3410</v>
      </c>
      <c r="K1581" s="1" t="n">
        <v>12</v>
      </c>
      <c r="L1581" s="11" t="n">
        <v>0.998654601962196</v>
      </c>
      <c r="M1581" s="1" t="n">
        <f aca="false">SUMIF(Relatorio_AK!$A:$A,A1581,Relatorio_AK!$B:$B)</f>
        <v>12</v>
      </c>
      <c r="N1581" s="1" t="str">
        <f aca="false">IF(M1581=K1581,"OK","DIF")</f>
        <v>OK</v>
      </c>
      <c r="O1581" s="13" t="str">
        <f aca="false">IFERROR(VLOOKUP($A1581,Lista_Starke!$A:$E,3,0),"NÃO ESTÁ NA LISTA")</f>
        <v>GM: Astra 2.0 8V 95/96
GM: Vectra 2.0 8V 94/96
GM: Vectra GSI 2.0 16V 94/96</v>
      </c>
      <c r="P1581" s="12" t="str">
        <f aca="false">IFERROR(VLOOKUP($A1581,Lista_Starke!$A:$E,2,0),"NÃO ESTÁ NA LISTA")</f>
        <v>SERVO FREIO</v>
      </c>
    </row>
    <row r="1582" customFormat="false" ht="15" hidden="false" customHeight="true" outlineLevel="0" collapsed="false">
      <c r="A1582" s="10" t="s">
        <v>3411</v>
      </c>
      <c r="B1582" s="10" t="str">
        <f aca="false">IFERROR(VLOOKUP(A1582,Pedido!$A:$B,2,0),"")</f>
        <v/>
      </c>
      <c r="C1582" s="10" t="str">
        <f aca="false">IF(B1582="","NÃO COMPRA","COMPRA")</f>
        <v>NÃO COMPRA</v>
      </c>
      <c r="D1582" s="1" t="n">
        <f aca="false">IFERROR(VLOOKUP(A1582,Pedido!$A:$C,3,0),0)</f>
        <v>0</v>
      </c>
      <c r="E1582" s="5" t="n">
        <f aca="false">IFERROR(VLOOKUP(A1582,Pedido!$A:$E,5,0),0)</f>
        <v>0</v>
      </c>
      <c r="F1582" s="1" t="s">
        <v>9</v>
      </c>
      <c r="G1582" s="1" t="s">
        <v>3089</v>
      </c>
      <c r="H1582" s="1" t="s">
        <v>2466</v>
      </c>
      <c r="I1582" s="1" t="s">
        <v>42</v>
      </c>
      <c r="J1582" s="1" t="s">
        <v>3412</v>
      </c>
      <c r="K1582" s="1" t="n">
        <v>12</v>
      </c>
      <c r="L1582" s="11" t="n">
        <v>0.9986751162906</v>
      </c>
      <c r="M1582" s="1" t="n">
        <f aca="false">SUMIF(Relatorio_AK!$A:$A,A1582,Relatorio_AK!$B:$B)</f>
        <v>12</v>
      </c>
      <c r="N1582" s="1" t="str">
        <f aca="false">IF(M1582=K1582,"OK","DIF")</f>
        <v>OK</v>
      </c>
      <c r="O1582" s="12" t="str">
        <f aca="false">IFERROR(VLOOKUP($A1582,Lista_Starke!$A:$E,3,0),"NÃO ESTÁ NA LISTA")</f>
        <v>RENAULT: Clio 1.6 8V K7M 96/99</v>
      </c>
      <c r="P1582" s="12" t="str">
        <f aca="false">IFERROR(VLOOKUP($A1582,Lista_Starke!$A:$E,2,0),"NÃO ESTÁ NA LISTA")</f>
        <v>SERVO FREIO</v>
      </c>
    </row>
    <row r="1583" customFormat="false" ht="15" hidden="false" customHeight="true" outlineLevel="0" collapsed="false">
      <c r="A1583" s="10" t="s">
        <v>3413</v>
      </c>
      <c r="B1583" s="10" t="str">
        <f aca="false">IFERROR(VLOOKUP(A1583,Pedido!$A:$B,2,0),"")</f>
        <v/>
      </c>
      <c r="C1583" s="10" t="str">
        <f aca="false">IF(B1583="","NÃO COMPRA","COMPRA")</f>
        <v>NÃO COMPRA</v>
      </c>
      <c r="D1583" s="1" t="n">
        <f aca="false">IFERROR(VLOOKUP(A1583,Pedido!$A:$C,3,0),0)</f>
        <v>0</v>
      </c>
      <c r="E1583" s="5" t="n">
        <f aca="false">IFERROR(VLOOKUP(A1583,Pedido!$A:$E,5,0),0)</f>
        <v>0</v>
      </c>
      <c r="F1583" s="1" t="s">
        <v>9</v>
      </c>
      <c r="G1583" s="1" t="s">
        <v>3089</v>
      </c>
      <c r="H1583" s="1" t="s">
        <v>2466</v>
      </c>
      <c r="I1583" s="1" t="s">
        <v>42</v>
      </c>
      <c r="J1583" s="1" t="s">
        <v>3414</v>
      </c>
      <c r="K1583" s="1" t="n">
        <v>12</v>
      </c>
      <c r="L1583" s="11" t="n">
        <v>0.998695630619004</v>
      </c>
      <c r="M1583" s="1" t="n">
        <f aca="false">SUMIF(Relatorio_AK!$A:$A,A1583,Relatorio_AK!$B:$B)</f>
        <v>12</v>
      </c>
      <c r="N1583" s="1" t="str">
        <f aca="false">IF(M1583=K1583,"OK","DIF")</f>
        <v>OK</v>
      </c>
      <c r="O1583" s="13" t="str">
        <f aca="false">IFERROR(VLOOKUP($A1583,Lista_Starke!$A:$E,3,0),"NÃO ESTÁ NA LISTA")</f>
        <v>RENAULT: Master 2.5 16V G9U 05/12
RENAULT: Master 2.8 8V 03/06</v>
      </c>
      <c r="P1583" s="12" t="str">
        <f aca="false">IFERROR(VLOOKUP($A1583,Lista_Starke!$A:$E,2,0),"NÃO ESTÁ NA LISTA")</f>
        <v>SERVO FREIO</v>
      </c>
    </row>
    <row r="1584" customFormat="false" ht="15" hidden="false" customHeight="true" outlineLevel="0" collapsed="false">
      <c r="A1584" s="10" t="s">
        <v>3415</v>
      </c>
      <c r="B1584" s="10" t="str">
        <f aca="false">IFERROR(VLOOKUP(A1584,Pedido!$A:$B,2,0),"")</f>
        <v/>
      </c>
      <c r="C1584" s="10" t="str">
        <f aca="false">IF(B1584="","NÃO COMPRA","COMPRA")</f>
        <v>NÃO COMPRA</v>
      </c>
      <c r="D1584" s="1" t="n">
        <f aca="false">IFERROR(VLOOKUP(A1584,Pedido!$A:$C,3,0),0)</f>
        <v>0</v>
      </c>
      <c r="E1584" s="5" t="n">
        <f aca="false">IFERROR(VLOOKUP(A1584,Pedido!$A:$E,5,0),0)</f>
        <v>0</v>
      </c>
      <c r="F1584" s="1" t="s">
        <v>9</v>
      </c>
      <c r="G1584" s="1" t="s">
        <v>2233</v>
      </c>
      <c r="H1584" s="1" t="s">
        <v>1358</v>
      </c>
      <c r="I1584" s="1" t="s">
        <v>50</v>
      </c>
      <c r="J1584" s="1" t="s">
        <v>3416</v>
      </c>
      <c r="K1584" s="1" t="n">
        <v>11</v>
      </c>
      <c r="L1584" s="11" t="n">
        <v>0.99871443542004</v>
      </c>
      <c r="M1584" s="1" t="n">
        <f aca="false">SUMIF(Relatorio_AK!$A:$A,A1584,Relatorio_AK!$B:$B)</f>
        <v>11</v>
      </c>
      <c r="N1584" s="1" t="str">
        <f aca="false">IF(M1584=K1584,"OK","DIF")</f>
        <v>OK</v>
      </c>
      <c r="O1584" s="12" t="str">
        <f aca="false">IFERROR(VLOOKUP($A1584,Lista_Starke!$A:$E,3,0),"NÃO ESTÁ NA LISTA")</f>
        <v>HONDA: New Civic 1.8 16V 12/16</v>
      </c>
      <c r="P1584" s="12" t="str">
        <f aca="false">IFERROR(VLOOKUP($A1584,Lista_Starke!$A:$E,2,0),"NÃO ESTÁ NA LISTA")</f>
        <v>BANDEJA INFERIOR LD</v>
      </c>
    </row>
    <row r="1585" customFormat="false" ht="15" hidden="false" customHeight="true" outlineLevel="0" collapsed="false">
      <c r="A1585" s="10" t="s">
        <v>3417</v>
      </c>
      <c r="B1585" s="10" t="str">
        <f aca="false">IFERROR(VLOOKUP(A1585,Pedido!$A:$B,2,0),"")</f>
        <v/>
      </c>
      <c r="C1585" s="10" t="str">
        <f aca="false">IF(B1585="","NÃO COMPRA","COMPRA")</f>
        <v>NÃO COMPRA</v>
      </c>
      <c r="D1585" s="1" t="n">
        <f aca="false">IFERROR(VLOOKUP(A1585,Pedido!$A:$C,3,0),0)</f>
        <v>0</v>
      </c>
      <c r="E1585" s="5" t="n">
        <f aca="false">IFERROR(VLOOKUP(A1585,Pedido!$A:$E,5,0),0)</f>
        <v>0</v>
      </c>
      <c r="F1585" s="1" t="s">
        <v>9</v>
      </c>
      <c r="G1585" s="1" t="s">
        <v>2189</v>
      </c>
      <c r="H1585" s="1" t="s">
        <v>845</v>
      </c>
      <c r="I1585" s="1" t="s">
        <v>1157</v>
      </c>
      <c r="J1585" s="1" t="s">
        <v>3418</v>
      </c>
      <c r="K1585" s="1" t="n">
        <v>11</v>
      </c>
      <c r="L1585" s="11" t="n">
        <v>0.998733240221077</v>
      </c>
      <c r="M1585" s="1" t="n">
        <f aca="false">SUMIF(Relatorio_AK!$A:$A,A1585,Relatorio_AK!$B:$B)</f>
        <v>11</v>
      </c>
      <c r="N1585" s="1" t="str">
        <f aca="false">IF(M1585=K1585,"OK","DIF")</f>
        <v>OK</v>
      </c>
      <c r="O1585" s="13" t="str">
        <f aca="false">IFERROR(VLOOKUP($A1585,Lista_Starke!$A:$E,3,0),"NÃO ESTÁ NA LISTA")</f>
        <v>BMW: 520i (E60)  06/10
BMW: 523i (E60)  04/09
BMW: 525i (E60)  03/10
BMW: 528i (F07)  13/17
BMW: 530i (E60)  01/10
BMW: 535i (E60)  04/10
BMW: 535i (F07)  09/17
BMW: 540i (E60)  03/09
BMW: 550i (F07)  09/17
BMW: 730i (F01/F02/F03/F04)  09/15
BMW: 740i (F01/F02/F03/F04)  08/15
BMW: 750i (F01/F02/F03/F04)  08/15
BMW: X3 (E83)  03/11
BMW: X5 (E53)  05/07
BMW: X5 (E70)  06/13
BMW: X5 (F15/F85)  12/18
BMW: X6 (E71/E72)  07/14
BMW: X6 (F16/F86)  14/...
BMW: Z4 (E85)  03/09
BMW: Z4 (E86)  06/09</v>
      </c>
      <c r="P1585" s="12" t="str">
        <f aca="false">IFERROR(VLOOKUP($A1585,Lista_Starke!$A:$E,2,0),"NÃO ESTÁ NA LISTA")</f>
        <v>SAPATA DE FREIO DE MÃO</v>
      </c>
    </row>
    <row r="1586" customFormat="false" ht="15" hidden="false" customHeight="true" outlineLevel="0" collapsed="false">
      <c r="A1586" s="10" t="s">
        <v>3419</v>
      </c>
      <c r="B1586" s="10" t="str">
        <f aca="false">IFERROR(VLOOKUP(A1586,Pedido!$A:$B,2,0),"")</f>
        <v/>
      </c>
      <c r="C1586" s="10" t="str">
        <f aca="false">IF(B1586="","NÃO COMPRA","COMPRA")</f>
        <v>NÃO COMPRA</v>
      </c>
      <c r="D1586" s="1" t="n">
        <f aca="false">IFERROR(VLOOKUP(A1586,Pedido!$A:$C,3,0),0)</f>
        <v>0</v>
      </c>
      <c r="E1586" s="5" t="n">
        <f aca="false">IFERROR(VLOOKUP(A1586,Pedido!$A:$E,5,0),0)</f>
        <v>0</v>
      </c>
      <c r="F1586" s="1" t="s">
        <v>9</v>
      </c>
      <c r="G1586" s="1" t="s">
        <v>1970</v>
      </c>
      <c r="H1586" s="1" t="s">
        <v>197</v>
      </c>
      <c r="I1586" s="1" t="s">
        <v>403</v>
      </c>
      <c r="J1586" s="1" t="s">
        <v>3420</v>
      </c>
      <c r="K1586" s="1" t="n">
        <v>11</v>
      </c>
      <c r="L1586" s="11" t="n">
        <v>0.998752045022114</v>
      </c>
      <c r="M1586" s="1" t="n">
        <f aca="false">SUMIF(Relatorio_AK!$A:$A,A1586,Relatorio_AK!$B:$B)</f>
        <v>11</v>
      </c>
      <c r="N1586" s="1" t="str">
        <f aca="false">IF(M1586=K1586,"OK","DIF")</f>
        <v>OK</v>
      </c>
      <c r="O1586" s="13" t="str">
        <f aca="false">IFERROR(VLOOKUP($A1586,Lista_Starke!$A:$E,3,0),"NÃO ESTÁ NA LISTA")</f>
        <v>IVECO: Eurotech 440E42T 4.1 Todos
IVECO: Eurotech 440E42TZ/P 4.1 Todos
IVECO: Eurotech 450E37HR 4.1 Todos
IVECO: Eurotech 450E37TP 4.1 Todos
IVECO: Eurotech 720E42 4.1 Todos
IVECO: Eurotech 740E42TZ 4.1 Todos
IVECO: Powerstar 450E37T 4.1 Todos
IVECO: Trakker 380E37 4.1 Todos
IVECO: Trakker 450E37T 4.1 Todos</v>
      </c>
      <c r="P1586" s="12" t="str">
        <f aca="false">IFERROR(VLOOKUP($A1586,Lista_Starke!$A:$E,2,0),"NÃO ESTÁ NA LISTA")</f>
        <v>BOMBA D'ÁGUA</v>
      </c>
    </row>
    <row r="1587" customFormat="false" ht="15" hidden="false" customHeight="true" outlineLevel="0" collapsed="false">
      <c r="A1587" s="10" t="s">
        <v>3421</v>
      </c>
      <c r="B1587" s="10" t="str">
        <f aca="false">IFERROR(VLOOKUP(A1587,Pedido!$A:$B,2,0),"")</f>
        <v/>
      </c>
      <c r="C1587" s="10" t="str">
        <f aca="false">IF(B1587="","NÃO COMPRA","COMPRA")</f>
        <v>NÃO COMPRA</v>
      </c>
      <c r="D1587" s="1" t="n">
        <f aca="false">IFERROR(VLOOKUP(A1587,Pedido!$A:$C,3,0),0)</f>
        <v>0</v>
      </c>
      <c r="E1587" s="5" t="n">
        <f aca="false">IFERROR(VLOOKUP(A1587,Pedido!$A:$E,5,0),0)</f>
        <v>0</v>
      </c>
      <c r="F1587" s="1" t="s">
        <v>9</v>
      </c>
      <c r="G1587" s="1" t="s">
        <v>2384</v>
      </c>
      <c r="H1587" s="1" t="s">
        <v>88</v>
      </c>
      <c r="I1587" s="1" t="s">
        <v>2826</v>
      </c>
      <c r="J1587" s="1" t="s">
        <v>3422</v>
      </c>
      <c r="K1587" s="1" t="n">
        <v>11</v>
      </c>
      <c r="L1587" s="11" t="n">
        <v>0.99877084982315</v>
      </c>
      <c r="M1587" s="1" t="n">
        <f aca="false">SUMIF(Relatorio_AK!$A:$A,A1587,Relatorio_AK!$B:$B)</f>
        <v>11</v>
      </c>
      <c r="N1587" s="1" t="str">
        <f aca="false">IF(M1587=K1587,"OK","DIF")</f>
        <v>OK</v>
      </c>
      <c r="O1587" s="13" t="str">
        <f aca="false">IFERROR(VLOOKUP($A1587,Lista_Starke!$A:$E,3,0),"NÃO ESTÁ NA LISTA")</f>
        <v>AGRALE: 1600 A 2.5 L 8V SOHC L4 90/95
AGRALE: 1600 D SERIE 229 3.0 L 6V SOHV L3 90/95
AGRALE: 1600 D SERIE 229 3.9 L 8V SOHV L4 90/95
AGRALE: 1800 D SERIE 229 3.9 L 8V SOHV L4 90/96
FORD: 1800 D Q20B 3.9 L 8V SOHV L4 90/96
FORD: F4000 SERIE 229 3.9 L 8V SOHV L4 84/94</v>
      </c>
      <c r="P1587" s="12" t="str">
        <f aca="false">IFERROR(VLOOKUP($A1587,Lista_Starke!$A:$E,2,0),"NÃO ESTÁ NA LISTA")</f>
        <v>CILINDRO DE RODA LD</v>
      </c>
    </row>
    <row r="1588" customFormat="false" ht="15" hidden="false" customHeight="true" outlineLevel="0" collapsed="false">
      <c r="A1588" s="10" t="s">
        <v>3423</v>
      </c>
      <c r="B1588" s="10" t="str">
        <f aca="false">IFERROR(VLOOKUP(A1588,Pedido!$A:$B,2,0),"")</f>
        <v/>
      </c>
      <c r="C1588" s="10" t="str">
        <f aca="false">IF(B1588="","NÃO COMPRA","COMPRA")</f>
        <v>NÃO COMPRA</v>
      </c>
      <c r="D1588" s="1" t="n">
        <f aca="false">IFERROR(VLOOKUP(A1588,Pedido!$A:$C,3,0),0)</f>
        <v>0</v>
      </c>
      <c r="E1588" s="5" t="n">
        <f aca="false">IFERROR(VLOOKUP(A1588,Pedido!$A:$E,5,0),0)</f>
        <v>0</v>
      </c>
      <c r="F1588" s="1" t="s">
        <v>9</v>
      </c>
      <c r="G1588" s="1" t="s">
        <v>2469</v>
      </c>
      <c r="H1588" s="1" t="s">
        <v>2466</v>
      </c>
      <c r="I1588" s="1" t="s">
        <v>57</v>
      </c>
      <c r="J1588" s="1" t="s">
        <v>3424</v>
      </c>
      <c r="K1588" s="1" t="n">
        <v>11</v>
      </c>
      <c r="L1588" s="11" t="n">
        <v>0.998789654624187</v>
      </c>
      <c r="M1588" s="1" t="n">
        <f aca="false">SUMIF(Relatorio_AK!$A:$A,A1588,Relatorio_AK!$B:$B)</f>
        <v>11</v>
      </c>
      <c r="N1588" s="1" t="str">
        <f aca="false">IF(M1588=K1588,"OK","DIF")</f>
        <v>OK</v>
      </c>
      <c r="O1588" s="13" t="str">
        <f aca="false">IFERROR(VLOOKUP($A1588,Lista_Starke!$A:$E,3,0),"NÃO ESTÁ NA LISTA")</f>
        <v>GM: Corsa 1.0 16V 99/02
GM: Corsa Sedan 1.0 16V 99/02
GM: Corsa Sedan / Wagon 1.6 16V 98/01</v>
      </c>
      <c r="P1588" s="12" t="str">
        <f aca="false">IFERROR(VLOOKUP($A1588,Lista_Starke!$A:$E,2,0),"NÃO ESTÁ NA LISTA")</f>
        <v>SERVO FREIO</v>
      </c>
    </row>
    <row r="1589" customFormat="false" ht="15" hidden="false" customHeight="true" outlineLevel="0" collapsed="false">
      <c r="A1589" s="10" t="s">
        <v>3425</v>
      </c>
      <c r="B1589" s="10" t="str">
        <f aca="false">IFERROR(VLOOKUP(A1589,Pedido!$A:$B,2,0),"")</f>
        <v/>
      </c>
      <c r="C1589" s="10" t="str">
        <f aca="false">IF(B1589="","NÃO COMPRA","COMPRA")</f>
        <v>NÃO COMPRA</v>
      </c>
      <c r="D1589" s="1" t="n">
        <f aca="false">IFERROR(VLOOKUP(A1589,Pedido!$A:$C,3,0),0)</f>
        <v>0</v>
      </c>
      <c r="E1589" s="5" t="n">
        <f aca="false">IFERROR(VLOOKUP(A1589,Pedido!$A:$E,5,0),0)</f>
        <v>0</v>
      </c>
      <c r="F1589" s="1" t="s">
        <v>9</v>
      </c>
      <c r="G1589" s="1" t="s">
        <v>2469</v>
      </c>
      <c r="H1589" s="1" t="s">
        <v>2466</v>
      </c>
      <c r="I1589" s="1" t="s">
        <v>57</v>
      </c>
      <c r="J1589" s="1" t="s">
        <v>3426</v>
      </c>
      <c r="K1589" s="1" t="n">
        <v>11</v>
      </c>
      <c r="L1589" s="11" t="n">
        <v>0.998808459425224</v>
      </c>
      <c r="M1589" s="1" t="n">
        <f aca="false">SUMIF(Relatorio_AK!$A:$A,A1589,Relatorio_AK!$B:$B)</f>
        <v>11</v>
      </c>
      <c r="N1589" s="1" t="str">
        <f aca="false">IF(M1589=K1589,"OK","DIF")</f>
        <v>OK</v>
      </c>
      <c r="O1589" s="13" t="str">
        <f aca="false">IFERROR(VLOOKUP($A1589,Lista_Starke!$A:$E,3,0),"NÃO ESTÁ NA LISTA")</f>
        <v>GM: Astra 1.8 8V 99/01
GM: Astra 2.0 16V 99/05
GM: Astra 2.0 8V 04/09
GM: Astra 2.0 8V 98/04</v>
      </c>
      <c r="P1589" s="12" t="str">
        <f aca="false">IFERROR(VLOOKUP($A1589,Lista_Starke!$A:$E,2,0),"NÃO ESTÁ NA LISTA")</f>
        <v>SERVO FREIO</v>
      </c>
    </row>
    <row r="1590" customFormat="false" ht="15" hidden="false" customHeight="true" outlineLevel="0" collapsed="false">
      <c r="A1590" s="10" t="s">
        <v>3427</v>
      </c>
      <c r="B1590" s="10" t="str">
        <f aca="false">IFERROR(VLOOKUP(A1590,Pedido!$A:$B,2,0),"")</f>
        <v/>
      </c>
      <c r="C1590" s="10" t="str">
        <f aca="false">IF(B1590="","NÃO COMPRA","COMPRA")</f>
        <v>NÃO COMPRA</v>
      </c>
      <c r="D1590" s="1" t="n">
        <f aca="false">IFERROR(VLOOKUP(A1590,Pedido!$A:$C,3,0),0)</f>
        <v>0</v>
      </c>
      <c r="E1590" s="5" t="n">
        <f aca="false">IFERROR(VLOOKUP(A1590,Pedido!$A:$E,5,0),0)</f>
        <v>0</v>
      </c>
      <c r="F1590" s="1" t="s">
        <v>9</v>
      </c>
      <c r="G1590" s="1" t="s">
        <v>2469</v>
      </c>
      <c r="H1590" s="1" t="s">
        <v>2466</v>
      </c>
      <c r="I1590" s="1" t="s">
        <v>57</v>
      </c>
      <c r="J1590" s="1" t="s">
        <v>3428</v>
      </c>
      <c r="K1590" s="1" t="n">
        <v>11</v>
      </c>
      <c r="L1590" s="11" t="n">
        <v>0.99882726422626</v>
      </c>
      <c r="M1590" s="1" t="n">
        <f aca="false">SUMIF(Relatorio_AK!$A:$A,A1590,Relatorio_AK!$B:$B)</f>
        <v>11</v>
      </c>
      <c r="N1590" s="1" t="str">
        <f aca="false">IF(M1590=K1590,"OK","DIF")</f>
        <v>OK</v>
      </c>
      <c r="O1590" s="13" t="str">
        <f aca="false">IFERROR(VLOOKUP($A1590,Lista_Starke!$A:$E,3,0),"NÃO ESTÁ NA LISTA")</f>
        <v>GM: Monza 1.8 8V Sist. Bosch 86/95
GM: Monza 2.0 8V Sist. Bosch 91/96</v>
      </c>
      <c r="P1590" s="12" t="str">
        <f aca="false">IFERROR(VLOOKUP($A1590,Lista_Starke!$A:$E,2,0),"NÃO ESTÁ NA LISTA")</f>
        <v>SERVO FREIO</v>
      </c>
    </row>
    <row r="1591" customFormat="false" ht="15" hidden="false" customHeight="true" outlineLevel="0" collapsed="false">
      <c r="A1591" s="10" t="s">
        <v>3429</v>
      </c>
      <c r="B1591" s="10" t="str">
        <f aca="false">IFERROR(VLOOKUP(A1591,Pedido!$A:$B,2,0),"")</f>
        <v/>
      </c>
      <c r="C1591" s="10" t="str">
        <f aca="false">IF(B1591="","NÃO COMPRA","COMPRA")</f>
        <v>NÃO COMPRA</v>
      </c>
      <c r="D1591" s="1" t="n">
        <f aca="false">IFERROR(VLOOKUP(A1591,Pedido!$A:$C,3,0),0)</f>
        <v>0</v>
      </c>
      <c r="E1591" s="5" t="n">
        <f aca="false">IFERROR(VLOOKUP(A1591,Pedido!$A:$E,5,0),0)</f>
        <v>0</v>
      </c>
      <c r="F1591" s="1" t="s">
        <v>9</v>
      </c>
      <c r="G1591" s="1" t="s">
        <v>2469</v>
      </c>
      <c r="H1591" s="1" t="s">
        <v>2466</v>
      </c>
      <c r="I1591" s="1" t="s">
        <v>57</v>
      </c>
      <c r="J1591" s="1" t="s">
        <v>3430</v>
      </c>
      <c r="K1591" s="1" t="n">
        <v>11</v>
      </c>
      <c r="L1591" s="11" t="n">
        <v>0.998846069027297</v>
      </c>
      <c r="M1591" s="1" t="n">
        <f aca="false">SUMIF(Relatorio_AK!$A:$A,A1591,Relatorio_AK!$B:$B)</f>
        <v>11</v>
      </c>
      <c r="N1591" s="1" t="str">
        <f aca="false">IF(M1591=K1591,"OK","DIF")</f>
        <v>OK</v>
      </c>
      <c r="O1591" s="12" t="str">
        <f aca="false">IFERROR(VLOOKUP($A1591,Lista_Starke!$A:$E,3,0),"NÃO ESTÁ NA LISTA")</f>
        <v>GM: Agile 1.4 8V 11/14</v>
      </c>
      <c r="P1591" s="12" t="str">
        <f aca="false">IFERROR(VLOOKUP($A1591,Lista_Starke!$A:$E,2,0),"NÃO ESTÁ NA LISTA")</f>
        <v>SERVO FREIO</v>
      </c>
    </row>
    <row r="1592" customFormat="false" ht="15" hidden="false" customHeight="true" outlineLevel="0" collapsed="false">
      <c r="A1592" s="10" t="s">
        <v>3431</v>
      </c>
      <c r="B1592" s="10" t="str">
        <f aca="false">IFERROR(VLOOKUP(A1592,Pedido!$A:$B,2,0),"")</f>
        <v/>
      </c>
      <c r="C1592" s="10" t="str">
        <f aca="false">IF(B1592="","NÃO COMPRA","COMPRA")</f>
        <v>NÃO COMPRA</v>
      </c>
      <c r="D1592" s="1" t="n">
        <f aca="false">IFERROR(VLOOKUP(A1592,Pedido!$A:$C,3,0),0)</f>
        <v>0</v>
      </c>
      <c r="E1592" s="5" t="n">
        <f aca="false">IFERROR(VLOOKUP(A1592,Pedido!$A:$E,5,0),0)</f>
        <v>0</v>
      </c>
      <c r="F1592" s="1" t="s">
        <v>9</v>
      </c>
      <c r="G1592" s="1" t="s">
        <v>3336</v>
      </c>
      <c r="H1592" s="1" t="s">
        <v>2466</v>
      </c>
      <c r="I1592" s="1" t="s">
        <v>373</v>
      </c>
      <c r="J1592" s="1" t="s">
        <v>3432</v>
      </c>
      <c r="K1592" s="1" t="n">
        <v>11</v>
      </c>
      <c r="L1592" s="11" t="n">
        <v>0.998864873828334</v>
      </c>
      <c r="M1592" s="1" t="n">
        <f aca="false">SUMIF(Relatorio_AK!$A:$A,A1592,Relatorio_AK!$B:$B)</f>
        <v>11</v>
      </c>
      <c r="N1592" s="1" t="str">
        <f aca="false">IF(M1592=K1592,"OK","DIF")</f>
        <v>OK</v>
      </c>
      <c r="O1592" s="13" t="str">
        <f aca="false">IFERROR(VLOOKUP($A1592,Lista_Starke!$A:$E,3,0),"NÃO ESTÁ NA LISTA")</f>
        <v>MERCEDES-BENZ: Sprinter 311 CDI 2.2 16V Diesel OM611 02/12
MERCEDES-BENZ: Sprinter 313 CDI 2.2 16V Diesel OM611 02/12
MERCEDES-BENZ: Sprinter 411 CDI 2.2 16V Diesel OM611 02/12
MERCEDES-BENZ: Sprinter 413 CDI 2.2 16V Diesel OM611 02/12</v>
      </c>
      <c r="P1592" s="12" t="str">
        <f aca="false">IFERROR(VLOOKUP($A1592,Lista_Starke!$A:$E,2,0),"NÃO ESTÁ NA LISTA")</f>
        <v>SERVO FREIO</v>
      </c>
    </row>
    <row r="1593" customFormat="false" ht="15" hidden="false" customHeight="true" outlineLevel="0" collapsed="false">
      <c r="A1593" s="10" t="s">
        <v>3433</v>
      </c>
      <c r="B1593" s="10" t="str">
        <f aca="false">IFERROR(VLOOKUP(A1593,Pedido!$A:$B,2,0),"")</f>
        <v/>
      </c>
      <c r="C1593" s="10" t="str">
        <f aca="false">IF(B1593="","NÃO COMPRA","COMPRA")</f>
        <v>NÃO COMPRA</v>
      </c>
      <c r="D1593" s="1" t="n">
        <f aca="false">IFERROR(VLOOKUP(A1593,Pedido!$A:$C,3,0),0)</f>
        <v>0</v>
      </c>
      <c r="E1593" s="5" t="n">
        <f aca="false">IFERROR(VLOOKUP(A1593,Pedido!$A:$E,5,0),0)</f>
        <v>0</v>
      </c>
      <c r="F1593" s="1" t="s">
        <v>9</v>
      </c>
      <c r="G1593" s="1" t="s">
        <v>2099</v>
      </c>
      <c r="H1593" s="1" t="s">
        <v>1358</v>
      </c>
      <c r="I1593" s="1" t="s">
        <v>57</v>
      </c>
      <c r="J1593" s="1" t="s">
        <v>3434</v>
      </c>
      <c r="K1593" s="1" t="n">
        <v>10</v>
      </c>
      <c r="L1593" s="11" t="n">
        <v>0.998881969102003</v>
      </c>
      <c r="M1593" s="1" t="n">
        <f aca="false">SUMIF(Relatorio_AK!$A:$A,A1593,Relatorio_AK!$B:$B)</f>
        <v>10</v>
      </c>
      <c r="N1593" s="1" t="str">
        <f aca="false">IF(M1593=K1593,"OK","DIF")</f>
        <v>OK</v>
      </c>
      <c r="O1593" s="13" t="str">
        <f aca="false">IFERROR(VLOOKUP($A1593,Lista_Starke!$A:$E,3,0),"NÃO ESTÁ NA LISTA")</f>
        <v>GM: Blazer 4x2 95/11
GM: S10 4x2 95/11</v>
      </c>
      <c r="P1593" s="12" t="str">
        <f aca="false">IFERROR(VLOOKUP($A1593,Lista_Starke!$A:$E,2,0),"NÃO ESTÁ NA LISTA")</f>
        <v>BANDEJA INFERIOR COMPLETA LD</v>
      </c>
    </row>
    <row r="1594" customFormat="false" ht="15" hidden="false" customHeight="true" outlineLevel="0" collapsed="false">
      <c r="A1594" s="10" t="s">
        <v>3435</v>
      </c>
      <c r="B1594" s="10" t="str">
        <f aca="false">IFERROR(VLOOKUP(A1594,Pedido!$A:$B,2,0),"")</f>
        <v/>
      </c>
      <c r="C1594" s="10" t="str">
        <f aca="false">IF(B1594="","NÃO COMPRA","COMPRA")</f>
        <v>NÃO COMPRA</v>
      </c>
      <c r="D1594" s="1" t="n">
        <f aca="false">IFERROR(VLOOKUP(A1594,Pedido!$A:$C,3,0),0)</f>
        <v>0</v>
      </c>
      <c r="E1594" s="5" t="n">
        <f aca="false">IFERROR(VLOOKUP(A1594,Pedido!$A:$E,5,0),0)</f>
        <v>0</v>
      </c>
      <c r="F1594" s="1" t="s">
        <v>9</v>
      </c>
      <c r="G1594" s="1" t="s">
        <v>377</v>
      </c>
      <c r="H1594" s="1" t="s">
        <v>197</v>
      </c>
      <c r="I1594" s="1" t="s">
        <v>53</v>
      </c>
      <c r="K1594" s="1" t="n">
        <v>10</v>
      </c>
      <c r="L1594" s="11" t="n">
        <v>0.998899064375673</v>
      </c>
      <c r="M1594" s="1" t="n">
        <f aca="false">SUMIF(Relatorio_AK!$A:$A,A1594,Relatorio_AK!$B:$B)</f>
        <v>10</v>
      </c>
      <c r="N1594" s="1" t="str">
        <f aca="false">IF(M1594=K1594,"OK","DIF")</f>
        <v>OK</v>
      </c>
      <c r="O1594" s="12" t="str">
        <f aca="false">IFERROR(VLOOKUP($A1594,Lista_Starke!$A:$E,3,0),"NÃO ESTÁ NA LISTA")</f>
        <v>NÃO ESTÁ NA LISTA</v>
      </c>
      <c r="P1594" s="12" t="str">
        <f aca="false">IFERROR(VLOOKUP($A1594,Lista_Starke!$A:$E,2,0),"NÃO ESTÁ NA LISTA")</f>
        <v>NÃO ESTÁ NA LISTA</v>
      </c>
    </row>
    <row r="1595" customFormat="false" ht="15" hidden="false" customHeight="true" outlineLevel="0" collapsed="false">
      <c r="A1595" s="10" t="s">
        <v>3436</v>
      </c>
      <c r="B1595" s="10" t="str">
        <f aca="false">IFERROR(VLOOKUP(A1595,Pedido!$A:$B,2,0),"")</f>
        <v/>
      </c>
      <c r="C1595" s="10" t="str">
        <f aca="false">IF(B1595="","NÃO COMPRA","COMPRA")</f>
        <v>NÃO COMPRA</v>
      </c>
      <c r="D1595" s="1" t="n">
        <f aca="false">IFERROR(VLOOKUP(A1595,Pedido!$A:$C,3,0),0)</f>
        <v>0</v>
      </c>
      <c r="E1595" s="5" t="n">
        <f aca="false">IFERROR(VLOOKUP(A1595,Pedido!$A:$E,5,0),0)</f>
        <v>0</v>
      </c>
      <c r="F1595" s="1" t="s">
        <v>9</v>
      </c>
      <c r="G1595" s="1" t="s">
        <v>3437</v>
      </c>
      <c r="H1595" s="1" t="s">
        <v>197</v>
      </c>
      <c r="I1595" s="1" t="s">
        <v>53</v>
      </c>
      <c r="K1595" s="1" t="n">
        <v>10</v>
      </c>
      <c r="L1595" s="11" t="n">
        <v>0.998916159649343</v>
      </c>
      <c r="M1595" s="1" t="n">
        <f aca="false">SUMIF(Relatorio_AK!$A:$A,A1595,Relatorio_AK!$B:$B)</f>
        <v>10</v>
      </c>
      <c r="N1595" s="1" t="str">
        <f aca="false">IF(M1595=K1595,"OK","DIF")</f>
        <v>OK</v>
      </c>
      <c r="O1595" s="12" t="str">
        <f aca="false">IFERROR(VLOOKUP($A1595,Lista_Starke!$A:$E,3,0),"NÃO ESTÁ NA LISTA")</f>
        <v>FORD: Mustang 3.7 V6 11/17</v>
      </c>
      <c r="P1595" s="12" t="str">
        <f aca="false">IFERROR(VLOOKUP($A1595,Lista_Starke!$A:$E,2,0),"NÃO ESTÁ NA LISTA")</f>
        <v>BOMBA D'ÁGUA</v>
      </c>
    </row>
    <row r="1596" customFormat="false" ht="15" hidden="false" customHeight="true" outlineLevel="0" collapsed="false">
      <c r="A1596" s="10" t="s">
        <v>3438</v>
      </c>
      <c r="B1596" s="10" t="str">
        <f aca="false">IFERROR(VLOOKUP(A1596,Pedido!$A:$B,2,0),"")</f>
        <v/>
      </c>
      <c r="C1596" s="10" t="str">
        <f aca="false">IF(B1596="","NÃO COMPRA","COMPRA")</f>
        <v>NÃO COMPRA</v>
      </c>
      <c r="D1596" s="1" t="n">
        <f aca="false">IFERROR(VLOOKUP(A1596,Pedido!$A:$C,3,0),0)</f>
        <v>0</v>
      </c>
      <c r="E1596" s="5" t="n">
        <f aca="false">IFERROR(VLOOKUP(A1596,Pedido!$A:$E,5,0),0)</f>
        <v>0</v>
      </c>
      <c r="F1596" s="1" t="s">
        <v>9</v>
      </c>
      <c r="G1596" s="1" t="s">
        <v>3439</v>
      </c>
      <c r="H1596" s="1" t="s">
        <v>235</v>
      </c>
      <c r="I1596" s="1" t="s">
        <v>1509</v>
      </c>
      <c r="J1596" s="1" t="s">
        <v>3440</v>
      </c>
      <c r="K1596" s="1" t="n">
        <v>10</v>
      </c>
      <c r="L1596" s="11" t="n">
        <v>0.998933254923012</v>
      </c>
      <c r="M1596" s="1" t="n">
        <f aca="false">SUMIF(Relatorio_AK!$A:$A,A1596,Relatorio_AK!$B:$B)</f>
        <v>10</v>
      </c>
      <c r="N1596" s="1" t="str">
        <f aca="false">IF(M1596=K1596,"OK","DIF")</f>
        <v>OK</v>
      </c>
      <c r="O1596" s="12" t="str">
        <f aca="false">IFERROR(VLOOKUP($A1596,Lista_Starke!$A:$E,3,0),"NÃO ESTÁ NA LISTA")</f>
        <v>DODGE: Journey 2.7 V6 08/11</v>
      </c>
      <c r="P1596" s="12" t="str">
        <f aca="false">IFERROR(VLOOKUP($A1596,Lista_Starke!$A:$E,2,0),"NÃO ESTÁ NA LISTA")</f>
        <v>RESFRIADOR DE ÓLEO MOTOR</v>
      </c>
    </row>
    <row r="1597" customFormat="false" ht="15" hidden="false" customHeight="true" outlineLevel="0" collapsed="false">
      <c r="A1597" s="10" t="s">
        <v>3441</v>
      </c>
      <c r="B1597" s="10" t="str">
        <f aca="false">IFERROR(VLOOKUP(A1597,Pedido!$A:$B,2,0),"")</f>
        <v/>
      </c>
      <c r="C1597" s="10" t="str">
        <f aca="false">IF(B1597="","NÃO COMPRA","COMPRA")</f>
        <v>NÃO COMPRA</v>
      </c>
      <c r="D1597" s="1" t="n">
        <f aca="false">IFERROR(VLOOKUP(A1597,Pedido!$A:$C,3,0),0)</f>
        <v>0</v>
      </c>
      <c r="E1597" s="5" t="n">
        <f aca="false">IFERROR(VLOOKUP(A1597,Pedido!$A:$E,5,0),0)</f>
        <v>0</v>
      </c>
      <c r="F1597" s="1" t="s">
        <v>9</v>
      </c>
      <c r="G1597" s="1" t="s">
        <v>1084</v>
      </c>
      <c r="H1597" s="1" t="s">
        <v>88</v>
      </c>
      <c r="I1597" s="1" t="s">
        <v>57</v>
      </c>
      <c r="J1597" s="1" t="s">
        <v>3442</v>
      </c>
      <c r="K1597" s="1" t="n">
        <v>10</v>
      </c>
      <c r="L1597" s="11" t="n">
        <v>0.998950350196682</v>
      </c>
      <c r="M1597" s="1" t="n">
        <f aca="false">SUMIF(Relatorio_AK!$A:$A,A1597,Relatorio_AK!$B:$B)</f>
        <v>10</v>
      </c>
      <c r="N1597" s="1" t="str">
        <f aca="false">IF(M1597=K1597,"OK","DIF")</f>
        <v>OK</v>
      </c>
      <c r="O1597" s="13" t="str">
        <f aca="false">IFERROR(VLOOKUP($A1597,Lista_Starke!$A:$E,3,0),"NÃO ESTÁ NA LISTA")</f>
        <v>GM: A10 4.1 12V 6 cil. 79/84
GM: A20 4.1 12V 6 cil. 85/92
GM: Bonanza 4.0 8V 4 cil. 92/94
GM: Bonanza 4.1 12V 6 cil. 90/92
GM: C10 4.1 12V 6 cil. 79/84
GM: C20 4.1 12V 6 cil. 85/92</v>
      </c>
      <c r="P1597" s="12" t="str">
        <f aca="false">IFERROR(VLOOKUP($A1597,Lista_Starke!$A:$E,2,0),"NÃO ESTÁ NA LISTA")</f>
        <v>CILINDRO DE RODA LD</v>
      </c>
    </row>
    <row r="1598" customFormat="false" ht="15" hidden="false" customHeight="true" outlineLevel="0" collapsed="false">
      <c r="A1598" s="10" t="s">
        <v>3443</v>
      </c>
      <c r="B1598" s="10" t="str">
        <f aca="false">IFERROR(VLOOKUP(A1598,Pedido!$A:$B,2,0),"")</f>
        <v/>
      </c>
      <c r="C1598" s="10" t="str">
        <f aca="false">IF(B1598="","NÃO COMPRA","COMPRA")</f>
        <v>NÃO COMPRA</v>
      </c>
      <c r="D1598" s="1" t="n">
        <f aca="false">IFERROR(VLOOKUP(A1598,Pedido!$A:$C,3,0),0)</f>
        <v>0</v>
      </c>
      <c r="E1598" s="5" t="n">
        <f aca="false">IFERROR(VLOOKUP(A1598,Pedido!$A:$E,5,0),0)</f>
        <v>0</v>
      </c>
      <c r="F1598" s="1" t="s">
        <v>9</v>
      </c>
      <c r="G1598" s="1" t="s">
        <v>2384</v>
      </c>
      <c r="H1598" s="1" t="s">
        <v>88</v>
      </c>
      <c r="I1598" s="1" t="s">
        <v>2826</v>
      </c>
      <c r="J1598" s="1" t="s">
        <v>3444</v>
      </c>
      <c r="K1598" s="1" t="n">
        <v>10</v>
      </c>
      <c r="L1598" s="11" t="n">
        <v>0.998967445470352</v>
      </c>
      <c r="M1598" s="1" t="n">
        <f aca="false">SUMIF(Relatorio_AK!$A:$A,A1598,Relatorio_AK!$B:$B)</f>
        <v>10</v>
      </c>
      <c r="N1598" s="1" t="str">
        <f aca="false">IF(M1598=K1598,"OK","DIF")</f>
        <v>OK</v>
      </c>
      <c r="O1598" s="13" t="str">
        <f aca="false">IFERROR(VLOOKUP($A1598,Lista_Starke!$A:$E,3,0),"NÃO ESTÁ NA LISTA")</f>
        <v>AGRALE: 1600 A 2.5 L 8V SOHC L4 85/89
AGRALE: 1600 D SERIE 229 3.0 L 6V SOHV L3 85/89
AGRALE: 1600 D SERIE 229 3.9 L 8V SOHV L4 85/89
AGRALE: 1800 D SERIE 229 3.9 L 8V SOHV L4 88/89
FORD: 1800 D Q20B 3.9 L 8V SOHV L4 88/89
FORD: F400 272 4.5 L 16V SOHC V8 75/77
FORD: F4000 D 226-4 4.2 L 8V SOHV L4 79/83</v>
      </c>
      <c r="P1598" s="12" t="str">
        <f aca="false">IFERROR(VLOOKUP($A1598,Lista_Starke!$A:$E,2,0),"NÃO ESTÁ NA LISTA")</f>
        <v>CILINDRO DE RODA LD</v>
      </c>
    </row>
    <row r="1599" customFormat="false" ht="15" hidden="false" customHeight="true" outlineLevel="0" collapsed="false">
      <c r="A1599" s="10" t="s">
        <v>3445</v>
      </c>
      <c r="B1599" s="10" t="str">
        <f aca="false">IFERROR(VLOOKUP(A1599,Pedido!$A:$B,2,0),"")</f>
        <v/>
      </c>
      <c r="C1599" s="10" t="str">
        <f aca="false">IF(B1599="","NÃO COMPRA","COMPRA")</f>
        <v>NÃO COMPRA</v>
      </c>
      <c r="D1599" s="1" t="n">
        <f aca="false">IFERROR(VLOOKUP(A1599,Pedido!$A:$C,3,0),0)</f>
        <v>0</v>
      </c>
      <c r="E1599" s="5" t="n">
        <f aca="false">IFERROR(VLOOKUP(A1599,Pedido!$A:$E,5,0),0)</f>
        <v>0</v>
      </c>
      <c r="F1599" s="1" t="s">
        <v>9</v>
      </c>
      <c r="G1599" s="1" t="s">
        <v>3446</v>
      </c>
      <c r="H1599" s="1" t="s">
        <v>28</v>
      </c>
      <c r="I1599" s="1" t="s">
        <v>53</v>
      </c>
      <c r="J1599" s="1" t="s">
        <v>3447</v>
      </c>
      <c r="K1599" s="1" t="n">
        <v>10</v>
      </c>
      <c r="L1599" s="11" t="n">
        <v>0.998984540744021</v>
      </c>
      <c r="M1599" s="1" t="n">
        <f aca="false">SUMIF(Relatorio_AK!$A:$A,A1599,Relatorio_AK!$B:$B)</f>
        <v>10</v>
      </c>
      <c r="N1599" s="1" t="str">
        <f aca="false">IF(M1599=K1599,"OK","DIF")</f>
        <v>OK</v>
      </c>
      <c r="O1599" s="13" t="str">
        <f aca="false">IFERROR(VLOOKUP($A1599,Lista_Starke!$A:$E,3,0),"NÃO ESTÁ NA LISTA")</f>
        <v>FORD: F1000  96/98
FORD: F12000  96/98
FORD: F14000  96/98</v>
      </c>
      <c r="P1599" s="12" t="str">
        <f aca="false">IFERROR(VLOOKUP($A1599,Lista_Starke!$A:$E,2,0),"NÃO ESTÁ NA LISTA")</f>
        <v>CILINDRO AUXILIAR DE EMBREAGEM</v>
      </c>
    </row>
    <row r="1600" customFormat="false" ht="15" hidden="false" customHeight="true" outlineLevel="0" collapsed="false">
      <c r="A1600" s="10" t="s">
        <v>3448</v>
      </c>
      <c r="B1600" s="10" t="str">
        <f aca="false">IFERROR(VLOOKUP(A1600,Pedido!$A:$B,2,0),"")</f>
        <v/>
      </c>
      <c r="C1600" s="10" t="str">
        <f aca="false">IF(B1600="","NÃO COMPRA","COMPRA")</f>
        <v>NÃO COMPRA</v>
      </c>
      <c r="D1600" s="1" t="n">
        <f aca="false">IFERROR(VLOOKUP(A1600,Pedido!$A:$C,3,0),0)</f>
        <v>0</v>
      </c>
      <c r="E1600" s="5" t="n">
        <f aca="false">IFERROR(VLOOKUP(A1600,Pedido!$A:$E,5,0),0)</f>
        <v>0</v>
      </c>
      <c r="F1600" s="1" t="s">
        <v>9</v>
      </c>
      <c r="G1600" s="1" t="s">
        <v>3449</v>
      </c>
      <c r="H1600" s="1" t="s">
        <v>1131</v>
      </c>
      <c r="I1600" s="1" t="s">
        <v>1723</v>
      </c>
      <c r="J1600" s="1" t="s">
        <v>3450</v>
      </c>
      <c r="K1600" s="1" t="n">
        <v>10</v>
      </c>
      <c r="L1600" s="11" t="n">
        <v>0.999001636017691</v>
      </c>
      <c r="M1600" s="1" t="n">
        <f aca="false">SUMIF(Relatorio_AK!$A:$A,A1600,Relatorio_AK!$B:$B)</f>
        <v>10</v>
      </c>
      <c r="N1600" s="1" t="str">
        <f aca="false">IF(M1600=K1600,"OK","DIF")</f>
        <v>OK</v>
      </c>
      <c r="O1600" s="13" t="str">
        <f aca="false">IFERROR(VLOOKUP($A1600,Lista_Starke!$A:$E,3,0),"NÃO ESTÁ NA LISTA")</f>
        <v>PORSCHE: Cayenne GTS 3.6 6 cil. 14/18
PORSCHE: Cayenne S 3.6 6 cil. 14/18
PORSCHE: Macan GTS 3.0 6 cil. 15/18
PORSCHE: Macan S 3.0 6 cil. 15/18
PORSCHE: Macan Turbo 3.6 6 cil. 14/23</v>
      </c>
      <c r="P1600" s="12" t="str">
        <f aca="false">IFERROR(VLOOKUP($A1600,Lista_Starke!$A:$E,2,0),"NÃO ESTÁ NA LISTA")</f>
        <v>BOMBA DE ALTA PRESSÃO GDI</v>
      </c>
    </row>
    <row r="1601" customFormat="false" ht="15" hidden="false" customHeight="true" outlineLevel="0" collapsed="false">
      <c r="A1601" s="10" t="s">
        <v>3451</v>
      </c>
      <c r="B1601" s="10" t="str">
        <f aca="false">IFERROR(VLOOKUP(A1601,Pedido!$A:$B,2,0),"")</f>
        <v/>
      </c>
      <c r="C1601" s="10" t="str">
        <f aca="false">IF(B1601="","NÃO COMPRA","COMPRA")</f>
        <v>NÃO COMPRA</v>
      </c>
      <c r="D1601" s="1" t="n">
        <f aca="false">IFERROR(VLOOKUP(A1601,Pedido!$A:$C,3,0),0)</f>
        <v>0</v>
      </c>
      <c r="E1601" s="5" t="n">
        <f aca="false">IFERROR(VLOOKUP(A1601,Pedido!$A:$E,5,0),0)</f>
        <v>0</v>
      </c>
      <c r="F1601" s="1" t="s">
        <v>9</v>
      </c>
      <c r="G1601" s="1" t="s">
        <v>2469</v>
      </c>
      <c r="H1601" s="1" t="s">
        <v>2466</v>
      </c>
      <c r="I1601" s="1" t="s">
        <v>57</v>
      </c>
      <c r="J1601" s="1" t="s">
        <v>3452</v>
      </c>
      <c r="K1601" s="1" t="n">
        <v>10</v>
      </c>
      <c r="L1601" s="11" t="n">
        <v>0.999018731291361</v>
      </c>
      <c r="M1601" s="1" t="n">
        <f aca="false">SUMIF(Relatorio_AK!$A:$A,A1601,Relatorio_AK!$B:$B)</f>
        <v>10</v>
      </c>
      <c r="N1601" s="1" t="str">
        <f aca="false">IF(M1601=K1601,"OK","DIF")</f>
        <v>OK</v>
      </c>
      <c r="O1601" s="13" t="str">
        <f aca="false">IFERROR(VLOOKUP($A1601,Lista_Starke!$A:$E,3,0),"NÃO ESTÁ NA LISTA")</f>
        <v>GM: Chevette 1.0 8V 92/93
GM: Chevette 1.6 8V 87/94
GM: Chevy 1.6 8V 87/92
GM: Marajo 1.6 8V 87/90</v>
      </c>
      <c r="P1601" s="12" t="str">
        <f aca="false">IFERROR(VLOOKUP($A1601,Lista_Starke!$A:$E,2,0),"NÃO ESTÁ NA LISTA")</f>
        <v>SERVO FREIO</v>
      </c>
    </row>
    <row r="1602" customFormat="false" ht="15" hidden="false" customHeight="true" outlineLevel="0" collapsed="false">
      <c r="A1602" s="10" t="s">
        <v>3453</v>
      </c>
      <c r="B1602" s="10" t="str">
        <f aca="false">IFERROR(VLOOKUP(A1602,Pedido!$A:$B,2,0),"")</f>
        <v/>
      </c>
      <c r="C1602" s="10" t="str">
        <f aca="false">IF(B1602="","NÃO COMPRA","COMPRA")</f>
        <v>NÃO COMPRA</v>
      </c>
      <c r="D1602" s="1" t="n">
        <f aca="false">IFERROR(VLOOKUP(A1602,Pedido!$A:$C,3,0),0)</f>
        <v>0</v>
      </c>
      <c r="E1602" s="5" t="n">
        <f aca="false">IFERROR(VLOOKUP(A1602,Pedido!$A:$E,5,0),0)</f>
        <v>0</v>
      </c>
      <c r="F1602" s="1" t="s">
        <v>9</v>
      </c>
      <c r="G1602" s="1" t="s">
        <v>3385</v>
      </c>
      <c r="H1602" s="1" t="s">
        <v>2466</v>
      </c>
      <c r="I1602" s="1" t="s">
        <v>50</v>
      </c>
      <c r="J1602" s="1" t="s">
        <v>3454</v>
      </c>
      <c r="K1602" s="1" t="n">
        <v>10</v>
      </c>
      <c r="L1602" s="11" t="n">
        <v>0.99903582656503</v>
      </c>
      <c r="M1602" s="1" t="n">
        <f aca="false">SUMIF(Relatorio_AK!$A:$A,A1602,Relatorio_AK!$B:$B)</f>
        <v>10</v>
      </c>
      <c r="N1602" s="1" t="str">
        <f aca="false">IF(M1602=K1602,"OK","DIF")</f>
        <v>OK</v>
      </c>
      <c r="O1602" s="13" t="str">
        <f aca="false">IFERROR(VLOOKUP($A1602,Lista_Starke!$A:$E,3,0),"NÃO ESTÁ NA LISTA")</f>
        <v>HONDA: HRV 1.5 16V Turbo 19/...
HONDA: HRV 1.8 16V 15/22</v>
      </c>
      <c r="P1602" s="12" t="str">
        <f aca="false">IFERROR(VLOOKUP($A1602,Lista_Starke!$A:$E,2,0),"NÃO ESTÁ NA LISTA")</f>
        <v>SERVO FREIO</v>
      </c>
    </row>
    <row r="1603" customFormat="false" ht="15" hidden="false" customHeight="true" outlineLevel="0" collapsed="false">
      <c r="A1603" s="10" t="s">
        <v>3455</v>
      </c>
      <c r="B1603" s="10" t="str">
        <f aca="false">IFERROR(VLOOKUP(A1603,Pedido!$A:$B,2,0),"")</f>
        <v/>
      </c>
      <c r="C1603" s="10" t="str">
        <f aca="false">IF(B1603="","NÃO COMPRA","COMPRA")</f>
        <v>NÃO COMPRA</v>
      </c>
      <c r="D1603" s="1" t="n">
        <f aca="false">IFERROR(VLOOKUP(A1603,Pedido!$A:$C,3,0),0)</f>
        <v>0</v>
      </c>
      <c r="E1603" s="5" t="n">
        <f aca="false">IFERROR(VLOOKUP(A1603,Pedido!$A:$E,5,0),0)</f>
        <v>0</v>
      </c>
      <c r="F1603" s="1" t="s">
        <v>9</v>
      </c>
      <c r="G1603" s="1" t="s">
        <v>2495</v>
      </c>
      <c r="H1603" s="1" t="s">
        <v>2466</v>
      </c>
      <c r="I1603" s="1" t="s">
        <v>46</v>
      </c>
      <c r="J1603" s="1" t="s">
        <v>3456</v>
      </c>
      <c r="K1603" s="1" t="n">
        <v>10</v>
      </c>
      <c r="L1603" s="11" t="n">
        <v>0.9990529218387</v>
      </c>
      <c r="M1603" s="1" t="n">
        <f aca="false">SUMIF(Relatorio_AK!$A:$A,A1603,Relatorio_AK!$B:$B)</f>
        <v>10</v>
      </c>
      <c r="N1603" s="1" t="str">
        <f aca="false">IF(M1603=K1603,"OK","DIF")</f>
        <v>OK</v>
      </c>
      <c r="O1603" s="13" t="str">
        <f aca="false">IFERROR(VLOOKUP($A1603,Lista_Starke!$A:$E,3,0),"NÃO ESTÁ NA LISTA")</f>
        <v>FIAT: Palio 1.0 8V FIASA Sist. ATE/Bosch 98/99
FIAT: Palio 1.5 8V FIASA Sust. ATE/Bosch 98/99
FIAT: Palio 1.6 8V SEVEL Sist. ATE/Bosch 98/99
FIAT: Palio Economy 1.5 8V FIASA Sist. ATE/Bosch 99/99
FIAT: Palio Weekend 1.0 8V FIASA Sist. ATE/Bosch 99/99
FIAT: Palio Weekend 1.6 8V SEVEL Sist. ATE/Bosch 99/99
FIAT: Siena 1.6 8V SEVEL Sist. ATE/Bosch 98/99
FIAT: Strada 1.5 8V SEVEL Sist. ATE/Bosch 99/99
FIAT: Strada 1.6 8V FIASA Sist. ATE/Bosch 99/99</v>
      </c>
      <c r="P1603" s="12" t="str">
        <f aca="false">IFERROR(VLOOKUP($A1603,Lista_Starke!$A:$E,2,0),"NÃO ESTÁ NA LISTA")</f>
        <v>SERVO FREIO</v>
      </c>
    </row>
    <row r="1604" customFormat="false" ht="15" hidden="false" customHeight="true" outlineLevel="0" collapsed="false">
      <c r="A1604" s="10" t="s">
        <v>3457</v>
      </c>
      <c r="B1604" s="10" t="str">
        <f aca="false">IFERROR(VLOOKUP(A1604,Pedido!$A:$B,2,0),"")</f>
        <v/>
      </c>
      <c r="C1604" s="10" t="str">
        <f aca="false">IF(B1604="","NÃO COMPRA","COMPRA")</f>
        <v>NÃO COMPRA</v>
      </c>
      <c r="D1604" s="1" t="n">
        <f aca="false">IFERROR(VLOOKUP(A1604,Pedido!$A:$C,3,0),0)</f>
        <v>0</v>
      </c>
      <c r="E1604" s="5" t="n">
        <f aca="false">IFERROR(VLOOKUP(A1604,Pedido!$A:$E,5,0),0)</f>
        <v>0</v>
      </c>
      <c r="F1604" s="1" t="s">
        <v>9</v>
      </c>
      <c r="G1604" s="1" t="s">
        <v>2469</v>
      </c>
      <c r="H1604" s="1" t="s">
        <v>2466</v>
      </c>
      <c r="I1604" s="1" t="s">
        <v>57</v>
      </c>
      <c r="J1604" s="1" t="s">
        <v>3458</v>
      </c>
      <c r="K1604" s="1" t="n">
        <v>10</v>
      </c>
      <c r="L1604" s="11" t="n">
        <v>0.99907001711237</v>
      </c>
      <c r="M1604" s="1" t="n">
        <f aca="false">SUMIF(Relatorio_AK!$A:$A,A1604,Relatorio_AK!$B:$B)</f>
        <v>10</v>
      </c>
      <c r="N1604" s="1" t="str">
        <f aca="false">IF(M1604=K1604,"OK","DIF")</f>
        <v>OK</v>
      </c>
      <c r="O1604" s="13" t="str">
        <f aca="false">IFERROR(VLOOKUP($A1604,Lista_Starke!$A:$E,3,0),"NÃO ESTÁ NA LISTA")</f>
        <v>GM: Corsa 1.0 8V Sist. Varga 94/96
GM: Corsa 1.4 8V Sist. Varga 94/96
GM: Corsa 1.6 16V Sist. Varga 95/96
GM: Corsa 1.6 8V Sist. Varga 95/98</v>
      </c>
      <c r="P1604" s="12" t="str">
        <f aca="false">IFERROR(VLOOKUP($A1604,Lista_Starke!$A:$E,2,0),"NÃO ESTÁ NA LISTA")</f>
        <v>SERVO FREIO</v>
      </c>
    </row>
    <row r="1605" customFormat="false" ht="15" hidden="false" customHeight="true" outlineLevel="0" collapsed="false">
      <c r="A1605" s="10" t="s">
        <v>3459</v>
      </c>
      <c r="B1605" s="10" t="str">
        <f aca="false">IFERROR(VLOOKUP(A1605,Pedido!$A:$B,2,0),"")</f>
        <v/>
      </c>
      <c r="C1605" s="10" t="str">
        <f aca="false">IF(B1605="","NÃO COMPRA","COMPRA")</f>
        <v>NÃO COMPRA</v>
      </c>
      <c r="D1605" s="1" t="n">
        <f aca="false">IFERROR(VLOOKUP(A1605,Pedido!$A:$C,3,0),0)</f>
        <v>0</v>
      </c>
      <c r="E1605" s="5" t="n">
        <f aca="false">IFERROR(VLOOKUP(A1605,Pedido!$A:$E,5,0),0)</f>
        <v>0</v>
      </c>
      <c r="F1605" s="1" t="s">
        <v>9</v>
      </c>
      <c r="G1605" s="1" t="s">
        <v>3460</v>
      </c>
      <c r="H1605" s="1" t="s">
        <v>2466</v>
      </c>
      <c r="I1605" s="1" t="s">
        <v>215</v>
      </c>
      <c r="J1605" s="1" t="s">
        <v>3461</v>
      </c>
      <c r="K1605" s="1" t="n">
        <v>10</v>
      </c>
      <c r="L1605" s="11" t="n">
        <v>0.999087112386039</v>
      </c>
      <c r="M1605" s="1" t="n">
        <f aca="false">SUMIF(Relatorio_AK!$A:$A,A1605,Relatorio_AK!$B:$B)</f>
        <v>10</v>
      </c>
      <c r="N1605" s="1" t="str">
        <f aca="false">IF(M1605=K1605,"OK","DIF")</f>
        <v>OK</v>
      </c>
      <c r="O1605" s="12" t="str">
        <f aca="false">IFERROR(VLOOKUP($A1605,Lista_Starke!$A:$E,3,0),"NÃO ESTÁ NA LISTA")</f>
        <v>NISSAN: Frontier 2.5 16V YD25DDTi 08/16</v>
      </c>
      <c r="P1605" s="12" t="str">
        <f aca="false">IFERROR(VLOOKUP($A1605,Lista_Starke!$A:$E,2,0),"NÃO ESTÁ NA LISTA")</f>
        <v>SERVO FREIO</v>
      </c>
    </row>
    <row r="1606" customFormat="false" ht="15" hidden="false" customHeight="true" outlineLevel="0" collapsed="false">
      <c r="A1606" s="10" t="s">
        <v>3462</v>
      </c>
      <c r="B1606" s="10" t="str">
        <f aca="false">IFERROR(VLOOKUP(A1606,Pedido!$A:$B,2,0),"")</f>
        <v/>
      </c>
      <c r="C1606" s="10" t="str">
        <f aca="false">IF(B1606="","NÃO COMPRA","COMPRA")</f>
        <v>NÃO COMPRA</v>
      </c>
      <c r="D1606" s="1" t="n">
        <f aca="false">IFERROR(VLOOKUP(A1606,Pedido!$A:$C,3,0),0)</f>
        <v>0</v>
      </c>
      <c r="E1606" s="5" t="n">
        <f aca="false">IFERROR(VLOOKUP(A1606,Pedido!$A:$E,5,0),0)</f>
        <v>0</v>
      </c>
      <c r="F1606" s="1" t="s">
        <v>9</v>
      </c>
      <c r="G1606" s="1" t="s">
        <v>3385</v>
      </c>
      <c r="H1606" s="1" t="s">
        <v>2466</v>
      </c>
      <c r="I1606" s="1" t="s">
        <v>50</v>
      </c>
      <c r="J1606" s="1" t="s">
        <v>3463</v>
      </c>
      <c r="K1606" s="1" t="n">
        <v>10</v>
      </c>
      <c r="L1606" s="11" t="n">
        <v>0.999104207659709</v>
      </c>
      <c r="M1606" s="1" t="n">
        <f aca="false">SUMIF(Relatorio_AK!$A:$A,A1606,Relatorio_AK!$B:$B)</f>
        <v>10</v>
      </c>
      <c r="N1606" s="1" t="str">
        <f aca="false">IF(M1606=K1606,"OK","DIF")</f>
        <v>OK</v>
      </c>
      <c r="O1606" s="13" t="str">
        <f aca="false">IFERROR(VLOOKUP($A1606,Lista_Starke!$A:$E,3,0),"NÃO ESTÁ NA LISTA")</f>
        <v>HONDA: New Civic 1.8 16V 07/11
HONDA: New Civic 1.8 16V 12/16
HONDA: New Civic 2.0 16V 13/16</v>
      </c>
      <c r="P1606" s="12" t="str">
        <f aca="false">IFERROR(VLOOKUP($A1606,Lista_Starke!$A:$E,2,0),"NÃO ESTÁ NA LISTA")</f>
        <v>SERVO FREIO</v>
      </c>
    </row>
    <row r="1607" customFormat="false" ht="15" hidden="false" customHeight="true" outlineLevel="0" collapsed="false">
      <c r="A1607" s="10" t="s">
        <v>3464</v>
      </c>
      <c r="B1607" s="10" t="str">
        <f aca="false">IFERROR(VLOOKUP(A1607,Pedido!$A:$B,2,0),"")</f>
        <v/>
      </c>
      <c r="C1607" s="10" t="str">
        <f aca="false">IF(B1607="","NÃO COMPRA","COMPRA")</f>
        <v>NÃO COMPRA</v>
      </c>
      <c r="D1607" s="1" t="n">
        <f aca="false">IFERROR(VLOOKUP(A1607,Pedido!$A:$C,3,0),0)</f>
        <v>0</v>
      </c>
      <c r="E1607" s="5" t="n">
        <f aca="false">IFERROR(VLOOKUP(A1607,Pedido!$A:$E,5,0),0)</f>
        <v>0</v>
      </c>
      <c r="F1607" s="1" t="s">
        <v>9</v>
      </c>
      <c r="G1607" s="1" t="s">
        <v>616</v>
      </c>
      <c r="H1607" s="1" t="s">
        <v>197</v>
      </c>
      <c r="I1607" s="1" t="s">
        <v>36</v>
      </c>
      <c r="K1607" s="1" t="n">
        <v>9</v>
      </c>
      <c r="L1607" s="11" t="n">
        <v>0.999119593406012</v>
      </c>
      <c r="M1607" s="1" t="n">
        <f aca="false">SUMIF(Relatorio_AK!$A:$A,A1607,Relatorio_AK!$B:$B)</f>
        <v>9</v>
      </c>
      <c r="N1607" s="1" t="str">
        <f aca="false">IF(M1607=K1607,"OK","DIF")</f>
        <v>OK</v>
      </c>
      <c r="O1607" s="13" t="str">
        <f aca="false">IFERROR(VLOOKUP($A1607,Lista_Starke!$A:$E,3,0),"NÃO ESTÁ NA LISTA")</f>
        <v>VOLKSWAGEN: Jetta 2.0 16V TSI 211cv 13/17
VOLKSWAGEN: New Beetle 2.0 16V TSI 211cv 12/16</v>
      </c>
      <c r="P1607" s="12" t="str">
        <f aca="false">IFERROR(VLOOKUP($A1607,Lista_Starke!$A:$E,2,0),"NÃO ESTÁ NA LISTA")</f>
        <v>BOMBA D'ÁGUA</v>
      </c>
    </row>
    <row r="1608" customFormat="false" ht="15" hidden="false" customHeight="true" outlineLevel="0" collapsed="false">
      <c r="A1608" s="10" t="s">
        <v>3465</v>
      </c>
      <c r="B1608" s="10" t="str">
        <f aca="false">IFERROR(VLOOKUP(A1608,Pedido!$A:$B,2,0),"")</f>
        <v/>
      </c>
      <c r="C1608" s="10" t="str">
        <f aca="false">IF(B1608="","NÃO COMPRA","COMPRA")</f>
        <v>NÃO COMPRA</v>
      </c>
      <c r="D1608" s="1" t="n">
        <f aca="false">IFERROR(VLOOKUP(A1608,Pedido!$A:$C,3,0),0)</f>
        <v>0</v>
      </c>
      <c r="E1608" s="5" t="n">
        <f aca="false">IFERROR(VLOOKUP(A1608,Pedido!$A:$E,5,0),0)</f>
        <v>0</v>
      </c>
      <c r="F1608" s="1" t="s">
        <v>9</v>
      </c>
      <c r="G1608" s="1" t="s">
        <v>2292</v>
      </c>
      <c r="H1608" s="1" t="s">
        <v>1714</v>
      </c>
      <c r="I1608" s="1" t="s">
        <v>286</v>
      </c>
      <c r="J1608" s="1" t="s">
        <v>3466</v>
      </c>
      <c r="K1608" s="1" t="n">
        <v>9</v>
      </c>
      <c r="L1608" s="11" t="n">
        <v>0.999134979152314</v>
      </c>
      <c r="M1608" s="1" t="n">
        <f aca="false">SUMIF(Relatorio_AK!$A:$A,A1608,Relatorio_AK!$B:$B)</f>
        <v>9</v>
      </c>
      <c r="N1608" s="1" t="str">
        <f aca="false">IF(M1608=K1608,"OK","DIF")</f>
        <v>OK</v>
      </c>
      <c r="O1608" s="13" t="str">
        <f aca="false">IFERROR(VLOOKUP($A1608,Lista_Starke!$A:$E,3,0),"NÃO ESTÁ NA LISTA")</f>
        <v>FORD: Ranger 3.0 Turbo Diesel  NGD 05/…
TROLLER: T4 3.0 Turbo Diesel  NGD 07/…</v>
      </c>
      <c r="P1608" s="12" t="str">
        <f aca="false">IFERROR(VLOOKUP($A1608,Lista_Starke!$A:$E,2,0),"NÃO ESTÁ NA LISTA")</f>
        <v>POLIA VISCOSA</v>
      </c>
    </row>
    <row r="1609" customFormat="false" ht="15" hidden="false" customHeight="true" outlineLevel="0" collapsed="false">
      <c r="A1609" s="10" t="s">
        <v>3467</v>
      </c>
      <c r="B1609" s="10" t="str">
        <f aca="false">IFERROR(VLOOKUP(A1609,Pedido!$A:$B,2,0),"")</f>
        <v/>
      </c>
      <c r="C1609" s="10" t="str">
        <f aca="false">IF(B1609="","NÃO COMPRA","COMPRA")</f>
        <v>NÃO COMPRA</v>
      </c>
      <c r="D1609" s="1" t="n">
        <f aca="false">IFERROR(VLOOKUP(A1609,Pedido!$A:$C,3,0),0)</f>
        <v>0</v>
      </c>
      <c r="E1609" s="5" t="n">
        <f aca="false">IFERROR(VLOOKUP(A1609,Pedido!$A:$E,5,0),0)</f>
        <v>0</v>
      </c>
      <c r="F1609" s="1" t="s">
        <v>9</v>
      </c>
      <c r="G1609" s="1" t="s">
        <v>3468</v>
      </c>
      <c r="H1609" s="1" t="s">
        <v>96</v>
      </c>
      <c r="I1609" s="1" t="s">
        <v>3469</v>
      </c>
      <c r="J1609" s="1" t="s">
        <v>3470</v>
      </c>
      <c r="K1609" s="1" t="n">
        <v>9</v>
      </c>
      <c r="L1609" s="11" t="n">
        <v>0.999150364898617</v>
      </c>
      <c r="M1609" s="1" t="n">
        <f aca="false">SUMIF(Relatorio_AK!$A:$A,A1609,Relatorio_AK!$B:$B)</f>
        <v>9</v>
      </c>
      <c r="N1609" s="1" t="str">
        <f aca="false">IF(M1609=K1609,"OK","DIF")</f>
        <v>OK</v>
      </c>
      <c r="O1609" s="13" t="str">
        <f aca="false">IFERROR(VLOOKUP($A1609,Lista_Starke!$A:$E,3,0),"NÃO ESTÁ NA LISTA")</f>
        <v>MINI: Cooper 1.6 16V N13B16 07/10
MINI: Cooper Cabrio 1.6 16V N13B16 08/10
MINI: Cooper S 1.6 16V N13B16 07/12
MINI: Cooper S Cabrio 1.6 16V N18B16A 11/12</v>
      </c>
      <c r="P1609" s="12" t="str">
        <f aca="false">IFERROR(VLOOKUP($A1609,Lista_Starke!$A:$E,2,0),"NÃO ESTÁ NA LISTA")</f>
        <v>BOMBA DE VÁCUO</v>
      </c>
    </row>
    <row r="1610" customFormat="false" ht="15" hidden="false" customHeight="true" outlineLevel="0" collapsed="false">
      <c r="A1610" s="10" t="s">
        <v>3471</v>
      </c>
      <c r="B1610" s="10" t="str">
        <f aca="false">IFERROR(VLOOKUP(A1610,Pedido!$A:$B,2,0),"")</f>
        <v/>
      </c>
      <c r="C1610" s="10" t="str">
        <f aca="false">IF(B1610="","NÃO COMPRA","COMPRA")</f>
        <v>NÃO COMPRA</v>
      </c>
      <c r="D1610" s="1" t="n">
        <f aca="false">IFERROR(VLOOKUP(A1610,Pedido!$A:$C,3,0),0)</f>
        <v>0</v>
      </c>
      <c r="E1610" s="5" t="n">
        <f aca="false">IFERROR(VLOOKUP(A1610,Pedido!$A:$E,5,0),0)</f>
        <v>0</v>
      </c>
      <c r="F1610" s="1" t="s">
        <v>9</v>
      </c>
      <c r="G1610" s="1" t="s">
        <v>2425</v>
      </c>
      <c r="H1610" s="1" t="s">
        <v>88</v>
      </c>
      <c r="I1610" s="1" t="s">
        <v>53</v>
      </c>
      <c r="J1610" s="1" t="s">
        <v>3472</v>
      </c>
      <c r="K1610" s="1" t="n">
        <v>9</v>
      </c>
      <c r="L1610" s="11" t="n">
        <v>0.99916575064492</v>
      </c>
      <c r="M1610" s="1" t="n">
        <f aca="false">SUMIF(Relatorio_AK!$A:$A,A1610,Relatorio_AK!$B:$B)</f>
        <v>9</v>
      </c>
      <c r="N1610" s="1" t="str">
        <f aca="false">IF(M1610=K1610,"OK","DIF")</f>
        <v>OK</v>
      </c>
      <c r="O1610" s="13" t="str">
        <f aca="false">IFERROR(VLOOKUP($A1610,Lista_Starke!$A:$E,3,0),"NÃO ESTÁ NA LISTA")</f>
        <v>FORD: F12000 SERIE 229 5.9 L 12V SOHV L6 78/80
FORD: F7000 SERIE 229 5.9 L 12V SOHV L6 80/82</v>
      </c>
      <c r="P1610" s="12" t="str">
        <f aca="false">IFERROR(VLOOKUP($A1610,Lista_Starke!$A:$E,2,0),"NÃO ESTÁ NA LISTA")</f>
        <v>CILINDRO DE RODA LD</v>
      </c>
    </row>
    <row r="1611" customFormat="false" ht="15" hidden="false" customHeight="true" outlineLevel="0" collapsed="false">
      <c r="A1611" s="10" t="s">
        <v>3473</v>
      </c>
      <c r="B1611" s="10" t="str">
        <f aca="false">IFERROR(VLOOKUP(A1611,Pedido!$A:$B,2,0),"")</f>
        <v/>
      </c>
      <c r="C1611" s="10" t="str">
        <f aca="false">IF(B1611="","NÃO COMPRA","COMPRA")</f>
        <v>NÃO COMPRA</v>
      </c>
      <c r="D1611" s="1" t="n">
        <f aca="false">IFERROR(VLOOKUP(A1611,Pedido!$A:$C,3,0),0)</f>
        <v>0</v>
      </c>
      <c r="E1611" s="5" t="n">
        <f aca="false">IFERROR(VLOOKUP(A1611,Pedido!$A:$E,5,0),0)</f>
        <v>0</v>
      </c>
      <c r="F1611" s="1" t="s">
        <v>9</v>
      </c>
      <c r="G1611" s="1" t="s">
        <v>2659</v>
      </c>
      <c r="H1611" s="1" t="s">
        <v>2466</v>
      </c>
      <c r="I1611" s="1" t="s">
        <v>36</v>
      </c>
      <c r="J1611" s="1" t="s">
        <v>3474</v>
      </c>
      <c r="K1611" s="1" t="n">
        <v>9</v>
      </c>
      <c r="L1611" s="11" t="n">
        <v>0.999181136391222</v>
      </c>
      <c r="M1611" s="1" t="n">
        <f aca="false">SUMIF(Relatorio_AK!$A:$A,A1611,Relatorio_AK!$B:$B)</f>
        <v>9</v>
      </c>
      <c r="N1611" s="1" t="str">
        <f aca="false">IF(M1611=K1611,"OK","DIF")</f>
        <v>OK</v>
      </c>
      <c r="O1611" s="13" t="str">
        <f aca="false">IFERROR(VLOOKUP($A1611,Lista_Starke!$A:$E,3,0),"NÃO ESTÁ NA LISTA")</f>
        <v>VOLKSWAGEN: Gol 1.0 8V EA111 12/16
VOLKSWAGEN: Gol 1.6 16V EA211 14/15
VOLKSWAGEN: Gol 1.6 8V EA111 08/16
VOLKSWAGEN: Gol 1.6 8V EA111 12/16
VOLKSWAGEN: Gol 1.6 8V EA111c/ ABS Sist. Bosch 15/15
VOLKSWAGEN: Voyage 1.0 12V 3 cil. EA211 16/18
VOLKSWAGEN: Voyage 1.0 12V 3 cil. EA211 19/...
VOLKSWAGEN: Voyage 1.6 16V MSI EA211 c/ ABS Sist. Bosch 18/21
VOLKSWAGEN: Voyage 1.6 8V EA111 14/18</v>
      </c>
      <c r="P1611" s="12" t="str">
        <f aca="false">IFERROR(VLOOKUP($A1611,Lista_Starke!$A:$E,2,0),"NÃO ESTÁ NA LISTA")</f>
        <v>SERVO FREIO</v>
      </c>
    </row>
    <row r="1612" customFormat="false" ht="15" hidden="false" customHeight="true" outlineLevel="0" collapsed="false">
      <c r="A1612" s="10" t="s">
        <v>3475</v>
      </c>
      <c r="B1612" s="10" t="str">
        <f aca="false">IFERROR(VLOOKUP(A1612,Pedido!$A:$B,2,0),"")</f>
        <v/>
      </c>
      <c r="C1612" s="10" t="str">
        <f aca="false">IF(B1612="","NÃO COMPRA","COMPRA")</f>
        <v>NÃO COMPRA</v>
      </c>
      <c r="D1612" s="1" t="n">
        <f aca="false">IFERROR(VLOOKUP(A1612,Pedido!$A:$C,3,0),0)</f>
        <v>0</v>
      </c>
      <c r="E1612" s="5" t="n">
        <f aca="false">IFERROR(VLOOKUP(A1612,Pedido!$A:$E,5,0),0)</f>
        <v>0</v>
      </c>
      <c r="F1612" s="1" t="s">
        <v>9</v>
      </c>
      <c r="G1612" s="1" t="s">
        <v>2469</v>
      </c>
      <c r="H1612" s="1" t="s">
        <v>2466</v>
      </c>
      <c r="I1612" s="1" t="s">
        <v>57</v>
      </c>
      <c r="J1612" s="1" t="s">
        <v>3476</v>
      </c>
      <c r="K1612" s="1" t="n">
        <v>9</v>
      </c>
      <c r="L1612" s="11" t="n">
        <v>0.999196522137525</v>
      </c>
      <c r="M1612" s="1" t="n">
        <f aca="false">SUMIF(Relatorio_AK!$A:$A,A1612,Relatorio_AK!$B:$B)</f>
        <v>9</v>
      </c>
      <c r="N1612" s="1" t="str">
        <f aca="false">IF(M1612=K1612,"OK","DIF")</f>
        <v>OK</v>
      </c>
      <c r="O1612" s="13" t="str">
        <f aca="false">IFERROR(VLOOKUP($A1612,Lista_Starke!$A:$E,3,0),"NÃO ESTÁ NA LISTA")</f>
        <v>GM: Chevette 1.6 8V 88/94
GM: Chevette Junior 1.0 8V 92/93
GM: Chevy 1.6 8V 87/92
GM: Marajo 1.6 8V 87/90</v>
      </c>
      <c r="P1612" s="12" t="str">
        <f aca="false">IFERROR(VLOOKUP($A1612,Lista_Starke!$A:$E,2,0),"NÃO ESTÁ NA LISTA")</f>
        <v>SERVO FREIO</v>
      </c>
    </row>
    <row r="1613" customFormat="false" ht="15" hidden="false" customHeight="true" outlineLevel="0" collapsed="false">
      <c r="A1613" s="10" t="s">
        <v>3477</v>
      </c>
      <c r="B1613" s="10" t="str">
        <f aca="false">IFERROR(VLOOKUP(A1613,Pedido!$A:$B,2,0),"")</f>
        <v/>
      </c>
      <c r="C1613" s="10" t="str">
        <f aca="false">IF(B1613="","NÃO COMPRA","COMPRA")</f>
        <v>NÃO COMPRA</v>
      </c>
      <c r="D1613" s="1" t="n">
        <f aca="false">IFERROR(VLOOKUP(A1613,Pedido!$A:$C,3,0),0)</f>
        <v>0</v>
      </c>
      <c r="E1613" s="5" t="n">
        <f aca="false">IFERROR(VLOOKUP(A1613,Pedido!$A:$E,5,0),0)</f>
        <v>0</v>
      </c>
      <c r="F1613" s="1" t="s">
        <v>9</v>
      </c>
      <c r="G1613" s="1" t="s">
        <v>3478</v>
      </c>
      <c r="H1613" s="1" t="s">
        <v>2466</v>
      </c>
      <c r="I1613" s="1" t="s">
        <v>184</v>
      </c>
      <c r="J1613" s="1" t="s">
        <v>3479</v>
      </c>
      <c r="K1613" s="1" t="n">
        <v>9</v>
      </c>
      <c r="L1613" s="11" t="n">
        <v>0.999211907883828</v>
      </c>
      <c r="M1613" s="1" t="n">
        <f aca="false">SUMIF(Relatorio_AK!$A:$A,A1613,Relatorio_AK!$B:$B)</f>
        <v>9</v>
      </c>
      <c r="N1613" s="1" t="str">
        <f aca="false">IF(M1613=K1613,"OK","DIF")</f>
        <v>OK</v>
      </c>
      <c r="O1613" s="13" t="str">
        <f aca="false">IFERROR(VLOOKUP($A1613,Lista_Starke!$A:$E,3,0),"NÃO ESTÁ NA LISTA")</f>
        <v>FORD: Royale 1.8 8V AP Sist. Varga/Bosch 92/96
FORD: Royale 2.0 8V AP Sist. Varga/Bosch 92/96
FORD: Versailles 1.8 8V AP Sist. varga/Bosch 91/96
FORD: Versailles 2.0 8V AP Sist. Varga/Bosch 91/96
VOLKSWAGEN: Quantum 1.8 8V AP Sist. Varga/Bosch 98/01
VOLKSWAGEN: Quantum 1.8 8V AP Sist. Varga/Bosch 99/01
VOLKSWAGEN: Quantum 1.8 8V AP Sist. Varga/Bosh 85/94
VOLKSWAGEN: Quantum 2.0 8V AP Sis.t Varga/Bosch 85/93
VOLKSWAGEN: Quantum 2.0 8V AP Sist. Varga/Bosch 93/96
VOLKSWAGEN: Quantum 2.0 8V AP Sist. Varga/Bosch 98/00
VOLKSWAGEN: Santana 1.8 8V AP Sist. Varga/Bosch 98/06
VOLKSWAGEN: Santana 2.0 8V AP Sist. Bosch 97/98
VOLKSWAGEN: Santana 2.0 8V AP Sist. Varga/Bosch 93/96
VOLKSWAGEN: Santana 2.0 8V AP Sist. Varga/Bosch 98/06</v>
      </c>
      <c r="P1613" s="12" t="str">
        <f aca="false">IFERROR(VLOOKUP($A1613,Lista_Starke!$A:$E,2,0),"NÃO ESTÁ NA LISTA")</f>
        <v>SERVO FREIO</v>
      </c>
    </row>
    <row r="1614" customFormat="false" ht="15" hidden="false" customHeight="true" outlineLevel="0" collapsed="false">
      <c r="A1614" s="10" t="s">
        <v>3480</v>
      </c>
      <c r="B1614" s="10" t="str">
        <f aca="false">IFERROR(VLOOKUP(A1614,Pedido!$A:$B,2,0),"")</f>
        <v/>
      </c>
      <c r="C1614" s="10" t="str">
        <f aca="false">IF(B1614="","NÃO COMPRA","COMPRA")</f>
        <v>NÃO COMPRA</v>
      </c>
      <c r="D1614" s="1" t="n">
        <f aca="false">IFERROR(VLOOKUP(A1614,Pedido!$A:$C,3,0),0)</f>
        <v>0</v>
      </c>
      <c r="E1614" s="5" t="n">
        <f aca="false">IFERROR(VLOOKUP(A1614,Pedido!$A:$E,5,0),0)</f>
        <v>0</v>
      </c>
      <c r="F1614" s="1" t="s">
        <v>9</v>
      </c>
      <c r="G1614" s="1" t="s">
        <v>3089</v>
      </c>
      <c r="H1614" s="1" t="s">
        <v>2466</v>
      </c>
      <c r="I1614" s="1" t="s">
        <v>42</v>
      </c>
      <c r="J1614" s="1" t="s">
        <v>3481</v>
      </c>
      <c r="K1614" s="1" t="n">
        <v>9</v>
      </c>
      <c r="L1614" s="11" t="n">
        <v>0.99922729363013</v>
      </c>
      <c r="M1614" s="1" t="n">
        <f aca="false">SUMIF(Relatorio_AK!$A:$A,A1614,Relatorio_AK!$B:$B)</f>
        <v>9</v>
      </c>
      <c r="N1614" s="1" t="str">
        <f aca="false">IF(M1614=K1614,"OK","DIF")</f>
        <v>OK</v>
      </c>
      <c r="O1614" s="13" t="str">
        <f aca="false">IFERROR(VLOOKUP($A1614,Lista_Starke!$A:$E,3,0),"NÃO ESTÁ NA LISTA")</f>
        <v>RENAULT: Logan 1.0 16V D4D 07/14
RENAULT: Logan 1.6 16V K4M 07/13
RENAULT: Logan 1.6 8V K7M 07/13
RENAULT: Sandero 1.0 16V D4D 07/14
RENAULT: Sandero 1.6 16V K4M 07/14
RENAULT: Sandero 1.6 8V K7M 07/14</v>
      </c>
      <c r="P1614" s="12" t="str">
        <f aca="false">IFERROR(VLOOKUP($A1614,Lista_Starke!$A:$E,2,0),"NÃO ESTÁ NA LISTA")</f>
        <v>SERVO FREIO</v>
      </c>
    </row>
    <row r="1615" customFormat="false" ht="15" hidden="false" customHeight="true" outlineLevel="0" collapsed="false">
      <c r="A1615" s="10" t="s">
        <v>3482</v>
      </c>
      <c r="B1615" s="10" t="str">
        <f aca="false">IFERROR(VLOOKUP(A1615,Pedido!$A:$B,2,0),"")</f>
        <v/>
      </c>
      <c r="C1615" s="10" t="str">
        <f aca="false">IF(B1615="","NÃO COMPRA","COMPRA")</f>
        <v>NÃO COMPRA</v>
      </c>
      <c r="D1615" s="1" t="n">
        <f aca="false">IFERROR(VLOOKUP(A1615,Pedido!$A:$C,3,0),0)</f>
        <v>0</v>
      </c>
      <c r="E1615" s="5" t="n">
        <f aca="false">IFERROR(VLOOKUP(A1615,Pedido!$A:$E,5,0),0)</f>
        <v>0</v>
      </c>
      <c r="F1615" s="1" t="s">
        <v>9</v>
      </c>
      <c r="G1615" s="1" t="s">
        <v>2495</v>
      </c>
      <c r="H1615" s="1" t="s">
        <v>2466</v>
      </c>
      <c r="I1615" s="1" t="s">
        <v>46</v>
      </c>
      <c r="J1615" s="1" t="s">
        <v>3483</v>
      </c>
      <c r="K1615" s="1" t="n">
        <v>9</v>
      </c>
      <c r="L1615" s="11" t="n">
        <v>0.999242679376433</v>
      </c>
      <c r="M1615" s="1" t="n">
        <f aca="false">SUMIF(Relatorio_AK!$A:$A,A1615,Relatorio_AK!$B:$B)</f>
        <v>9</v>
      </c>
      <c r="N1615" s="1" t="str">
        <f aca="false">IF(M1615=K1615,"OK","DIF")</f>
        <v>OK</v>
      </c>
      <c r="O1615" s="12" t="str">
        <f aca="false">IFERROR(VLOOKUP($A1615,Lista_Starke!$A:$E,3,0),"NÃO ESTÁ NA LISTA")</f>
        <v>FIAT: Uno Vivace 1.0 8V Fire EVO 10/14</v>
      </c>
      <c r="P1615" s="12" t="str">
        <f aca="false">IFERROR(VLOOKUP($A1615,Lista_Starke!$A:$E,2,0),"NÃO ESTÁ NA LISTA")</f>
        <v>SERVO FREIO</v>
      </c>
    </row>
    <row r="1616" customFormat="false" ht="15" hidden="false" customHeight="true" outlineLevel="0" collapsed="false">
      <c r="A1616" s="10" t="s">
        <v>3484</v>
      </c>
      <c r="B1616" s="10" t="str">
        <f aca="false">IFERROR(VLOOKUP(A1616,Pedido!$A:$B,2,0),"")</f>
        <v/>
      </c>
      <c r="C1616" s="10" t="str">
        <f aca="false">IF(B1616="","NÃO COMPRA","COMPRA")</f>
        <v>NÃO COMPRA</v>
      </c>
      <c r="D1616" s="1" t="n">
        <f aca="false">IFERROR(VLOOKUP(A1616,Pedido!$A:$C,3,0),0)</f>
        <v>0</v>
      </c>
      <c r="E1616" s="5" t="n">
        <f aca="false">IFERROR(VLOOKUP(A1616,Pedido!$A:$E,5,0),0)</f>
        <v>0</v>
      </c>
      <c r="F1616" s="1" t="s">
        <v>9</v>
      </c>
      <c r="G1616" s="1" t="s">
        <v>3066</v>
      </c>
      <c r="H1616" s="1" t="s">
        <v>2466</v>
      </c>
      <c r="I1616" s="1" t="s">
        <v>53</v>
      </c>
      <c r="J1616" s="1" t="s">
        <v>3485</v>
      </c>
      <c r="K1616" s="1" t="n">
        <v>9</v>
      </c>
      <c r="L1616" s="11" t="n">
        <v>0.999258065122736</v>
      </c>
      <c r="M1616" s="1" t="n">
        <f aca="false">SUMIF(Relatorio_AK!$A:$A,A1616,Relatorio_AK!$B:$B)</f>
        <v>9</v>
      </c>
      <c r="N1616" s="1" t="str">
        <f aca="false">IF(M1616=K1616,"OK","DIF")</f>
        <v>OK</v>
      </c>
      <c r="O1616" s="12" t="str">
        <f aca="false">IFERROR(VLOOKUP($A1616,Lista_Starke!$A:$E,3,0),"NÃO ESTÁ NA LISTA")</f>
        <v>FORD: Edge 3.5 V6 11/14</v>
      </c>
      <c r="P1616" s="12" t="str">
        <f aca="false">IFERROR(VLOOKUP($A1616,Lista_Starke!$A:$E,2,0),"NÃO ESTÁ NA LISTA")</f>
        <v>SERVO FREIO</v>
      </c>
    </row>
    <row r="1617" customFormat="false" ht="15" hidden="false" customHeight="true" outlineLevel="0" collapsed="false">
      <c r="A1617" s="10" t="s">
        <v>3486</v>
      </c>
      <c r="B1617" s="10" t="str">
        <f aca="false">IFERROR(VLOOKUP(A1617,Pedido!$A:$B,2,0),"")</f>
        <v/>
      </c>
      <c r="C1617" s="10" t="str">
        <f aca="false">IF(B1617="","NÃO COMPRA","COMPRA")</f>
        <v>NÃO COMPRA</v>
      </c>
      <c r="D1617" s="1" t="n">
        <f aca="false">IFERROR(VLOOKUP(A1617,Pedido!$A:$C,3,0),0)</f>
        <v>0</v>
      </c>
      <c r="E1617" s="5" t="n">
        <f aca="false">IFERROR(VLOOKUP(A1617,Pedido!$A:$E,5,0),0)</f>
        <v>0</v>
      </c>
      <c r="F1617" s="1" t="s">
        <v>9</v>
      </c>
      <c r="G1617" s="1" t="s">
        <v>377</v>
      </c>
      <c r="H1617" s="1" t="s">
        <v>197</v>
      </c>
      <c r="I1617" s="1" t="s">
        <v>53</v>
      </c>
      <c r="J1617" s="1" t="s">
        <v>3487</v>
      </c>
      <c r="K1617" s="1" t="n">
        <v>8</v>
      </c>
      <c r="L1617" s="11" t="n">
        <v>0.999271741341671</v>
      </c>
      <c r="M1617" s="1" t="n">
        <f aca="false">SUMIF(Relatorio_AK!$A:$A,A1617,Relatorio_AK!$B:$B)</f>
        <v>8</v>
      </c>
      <c r="N1617" s="1" t="str">
        <f aca="false">IF(M1617=K1617,"OK","DIF")</f>
        <v>OK</v>
      </c>
      <c r="O1617" s="13" t="str">
        <f aca="false">IFERROR(VLOOKUP($A1617,Lista_Starke!$A:$E,3,0),"NÃO ESTÁ NA LISTA")</f>
        <v>FORD: Courier 1.4 16V Zetec 97/99
FORD: Fiesta 1.4 16V Zetec 96/99</v>
      </c>
      <c r="P1617" s="12" t="str">
        <f aca="false">IFERROR(VLOOKUP($A1617,Lista_Starke!$A:$E,2,0),"NÃO ESTÁ NA LISTA")</f>
        <v>BOMBA D'ÁGUA</v>
      </c>
    </row>
    <row r="1618" customFormat="false" ht="15" hidden="false" customHeight="true" outlineLevel="0" collapsed="false">
      <c r="A1618" s="10" t="s">
        <v>3488</v>
      </c>
      <c r="B1618" s="10" t="str">
        <f aca="false">IFERROR(VLOOKUP(A1618,Pedido!$A:$B,2,0),"")</f>
        <v/>
      </c>
      <c r="C1618" s="10" t="str">
        <f aca="false">IF(B1618="","NÃO COMPRA","COMPRA")</f>
        <v>NÃO COMPRA</v>
      </c>
      <c r="D1618" s="1" t="n">
        <f aca="false">IFERROR(VLOOKUP(A1618,Pedido!$A:$C,3,0),0)</f>
        <v>0</v>
      </c>
      <c r="E1618" s="5" t="n">
        <f aca="false">IFERROR(VLOOKUP(A1618,Pedido!$A:$E,5,0),0)</f>
        <v>0</v>
      </c>
      <c r="F1618" s="1" t="s">
        <v>9</v>
      </c>
      <c r="G1618" s="1" t="s">
        <v>1914</v>
      </c>
      <c r="H1618" s="1" t="s">
        <v>197</v>
      </c>
      <c r="I1618" s="1" t="s">
        <v>226</v>
      </c>
      <c r="K1618" s="1" t="n">
        <v>8</v>
      </c>
      <c r="L1618" s="11" t="n">
        <v>0.999285417560607</v>
      </c>
      <c r="M1618" s="1" t="n">
        <f aca="false">SUMIF(Relatorio_AK!$A:$A,A1618,Relatorio_AK!$B:$B)</f>
        <v>8</v>
      </c>
      <c r="N1618" s="1" t="str">
        <f aca="false">IF(M1618=K1618,"OK","DIF")</f>
        <v>OK</v>
      </c>
      <c r="O1618" s="13" t="str">
        <f aca="false">IFERROR(VLOOKUP($A1618,Lista_Starke!$A:$E,3,0),"NÃO ESTÁ NA LISTA")</f>
        <v>AUDI: A3 2.0 TFSI   AXX / BWA / CAWB / CCZA 04/12
AUDI: A3  Quattro 2.0 TFSI   AXX / BWA / CCZA 04/12
AUDI: A4 1.8 20V Turbo   BFB 04/08
AUDI: A4 2.0 TFSI   BPJ / BYK / BGB / BWE / BUL 04/08
AUDI: A6 2.0 TFSI   BPJ 05/11
AUDI: TT 2.0 TFSI   BWA / CCZA / CESA 06/14
VOLKSWAGEN: Jetta TSI 2.0 TFSI   AXX / BWA / BPY 11/…
VOLKSWAGEN: Passat / Variant 2.0 TFSI   BPY / BWA 05/…
VOLKSWAGEN: Tiguan 2.0 TFSI   AXX / BWA 08/…</v>
      </c>
      <c r="P1618" s="12" t="str">
        <f aca="false">IFERROR(VLOOKUP($A1618,Lista_Starke!$A:$E,2,0),"NÃO ESTÁ NA LISTA")</f>
        <v>BOMBA D'ÁGUA</v>
      </c>
    </row>
    <row r="1619" customFormat="false" ht="15" hidden="false" customHeight="true" outlineLevel="0" collapsed="false">
      <c r="A1619" s="10" t="s">
        <v>3489</v>
      </c>
      <c r="B1619" s="10" t="str">
        <f aca="false">IFERROR(VLOOKUP(A1619,Pedido!$A:$B,2,0),"")</f>
        <v/>
      </c>
      <c r="C1619" s="10" t="str">
        <f aca="false">IF(B1619="","NÃO COMPRA","COMPRA")</f>
        <v>NÃO COMPRA</v>
      </c>
      <c r="D1619" s="1" t="n">
        <f aca="false">IFERROR(VLOOKUP(A1619,Pedido!$A:$C,3,0),0)</f>
        <v>0</v>
      </c>
      <c r="E1619" s="5" t="n">
        <f aca="false">IFERROR(VLOOKUP(A1619,Pedido!$A:$E,5,0),0)</f>
        <v>0</v>
      </c>
      <c r="F1619" s="1" t="s">
        <v>9</v>
      </c>
      <c r="G1619" s="1" t="s">
        <v>3490</v>
      </c>
      <c r="H1619" s="1" t="s">
        <v>197</v>
      </c>
      <c r="I1619" s="1" t="s">
        <v>3491</v>
      </c>
      <c r="J1619" s="1" t="s">
        <v>3492</v>
      </c>
      <c r="K1619" s="1" t="n">
        <v>8</v>
      </c>
      <c r="L1619" s="11" t="n">
        <v>0.999299093779543</v>
      </c>
      <c r="M1619" s="1" t="n">
        <f aca="false">SUMIF(Relatorio_AK!$A:$A,A1619,Relatorio_AK!$B:$B)</f>
        <v>8</v>
      </c>
      <c r="N1619" s="1" t="str">
        <f aca="false">IF(M1619=K1619,"OK","DIF")</f>
        <v>OK</v>
      </c>
      <c r="O1619" s="13" t="str">
        <f aca="false">IFERROR(VLOOKUP($A1619,Lista_Starke!$A:$E,3,0),"NÃO ESTÁ NA LISTA")</f>
        <v>FORD: Probe 2.2 FE 89/92
HYSTER: Empilhadeira Hyster 2.0 8V SOHC FE Todos
HYSTER: Empilhadeira Hyster 2.2 8V SOHC F2 Todos
KIA: Sportage 2.0 16V SOHC FE 95/99
MAZDA: 626 1.8 F8 87/97
MAZDA: 626 2.0 12V FE 87/92
MAZDA: 929 2.0 12V FE 91/97
MAZDA: 929 2.2 12V F2E / F21 / F2 88/…
MAZDA: B2200 2.2 FL28 87/93
YALE: Empilhadeira Yale 2.0 8V SOHC FE Todos
YALE: Empilhadeira Yale 2.2 8V SOHC F2 Todos</v>
      </c>
      <c r="P1619" s="12" t="str">
        <f aca="false">IFERROR(VLOOKUP($A1619,Lista_Starke!$A:$E,2,0),"NÃO ESTÁ NA LISTA")</f>
        <v>BOMBA D'ÁGUA</v>
      </c>
    </row>
    <row r="1620" customFormat="false" ht="15" hidden="false" customHeight="true" outlineLevel="0" collapsed="false">
      <c r="A1620" s="10" t="s">
        <v>3493</v>
      </c>
      <c r="B1620" s="10" t="str">
        <f aca="false">IFERROR(VLOOKUP(A1620,Pedido!$A:$B,2,0),"")</f>
        <v/>
      </c>
      <c r="C1620" s="10" t="str">
        <f aca="false">IF(B1620="","NÃO COMPRA","COMPRA")</f>
        <v>NÃO COMPRA</v>
      </c>
      <c r="D1620" s="1" t="n">
        <f aca="false">IFERROR(VLOOKUP(A1620,Pedido!$A:$C,3,0),0)</f>
        <v>0</v>
      </c>
      <c r="E1620" s="5" t="n">
        <f aca="false">IFERROR(VLOOKUP(A1620,Pedido!$A:$E,5,0),0)</f>
        <v>0</v>
      </c>
      <c r="F1620" s="1" t="s">
        <v>9</v>
      </c>
      <c r="G1620" s="1" t="s">
        <v>509</v>
      </c>
      <c r="H1620" s="1" t="s">
        <v>197</v>
      </c>
      <c r="I1620" s="1" t="s">
        <v>3494</v>
      </c>
      <c r="J1620" s="1" t="s">
        <v>3495</v>
      </c>
      <c r="K1620" s="1" t="n">
        <v>8</v>
      </c>
      <c r="L1620" s="11" t="n">
        <v>0.999312769998479</v>
      </c>
      <c r="M1620" s="1" t="n">
        <f aca="false">SUMIF(Relatorio_AK!$A:$A,A1620,Relatorio_AK!$B:$B)</f>
        <v>8</v>
      </c>
      <c r="N1620" s="1" t="str">
        <f aca="false">IF(M1620=K1620,"OK","DIF")</f>
        <v>OK</v>
      </c>
      <c r="O1620" s="13" t="str">
        <f aca="false">IFERROR(VLOOKUP($A1620,Lista_Starke!$A:$E,3,0),"NÃO ESTÁ NA LISTA")</f>
        <v>CITROEN: Berlingo 1.8 96/…
CITROEN: Xantia 2.0 16V 97/…
CITROEN: Xantia 2.0 16V Turbo 93/…
CITROEN: Xantia 2.0 93/…
CITROEN: ZX 2.0 16V 93/…
LADA: Niva 1.9 Diesel XUD7 / XUD9 94/…
PEUGEOT: 306 2.0 16V XUD9 94/…
PEUGEOT: 405 2.0 16V XU10J2 / XU10J4 94/…
PEUGEOT: 605 2.0 16V XU10J2 / XU10J4 94/…
PEUGEOT: 806 2.0 16V Turbo 94/…
PEUGEOT: Boxer Diesel / Turbo Diesel 94/…
SUZUKI: Vitara 1.6 16V 96/98</v>
      </c>
      <c r="P1620" s="12" t="str">
        <f aca="false">IFERROR(VLOOKUP($A1620,Lista_Starke!$A:$E,2,0),"NÃO ESTÁ NA LISTA")</f>
        <v>BOMBA D'ÁGUA</v>
      </c>
    </row>
    <row r="1621" customFormat="false" ht="15" hidden="false" customHeight="true" outlineLevel="0" collapsed="false">
      <c r="A1621" s="10" t="s">
        <v>3496</v>
      </c>
      <c r="B1621" s="10" t="str">
        <f aca="false">IFERROR(VLOOKUP(A1621,Pedido!$A:$B,2,0),"")</f>
        <v/>
      </c>
      <c r="C1621" s="10" t="str">
        <f aca="false">IF(B1621="","NÃO COMPRA","COMPRA")</f>
        <v>NÃO COMPRA</v>
      </c>
      <c r="D1621" s="1" t="n">
        <f aca="false">IFERROR(VLOOKUP(A1621,Pedido!$A:$C,3,0),0)</f>
        <v>0</v>
      </c>
      <c r="E1621" s="5" t="n">
        <f aca="false">IFERROR(VLOOKUP(A1621,Pedido!$A:$E,5,0),0)</f>
        <v>0</v>
      </c>
      <c r="F1621" s="1" t="s">
        <v>9</v>
      </c>
      <c r="G1621" s="1" t="s">
        <v>3497</v>
      </c>
      <c r="H1621" s="1" t="s">
        <v>197</v>
      </c>
      <c r="I1621" s="1" t="s">
        <v>3498</v>
      </c>
      <c r="J1621" s="1" t="s">
        <v>3499</v>
      </c>
      <c r="K1621" s="1" t="n">
        <v>8</v>
      </c>
      <c r="L1621" s="11" t="n">
        <v>0.999326446217415</v>
      </c>
      <c r="M1621" s="1" t="n">
        <f aca="false">SUMIF(Relatorio_AK!$A:$A,A1621,Relatorio_AK!$B:$B)</f>
        <v>8</v>
      </c>
      <c r="N1621" s="1" t="str">
        <f aca="false">IF(M1621=K1621,"OK","DIF")</f>
        <v>OK</v>
      </c>
      <c r="O1621" s="13" t="str">
        <f aca="false">IFERROR(VLOOKUP($A1621,Lista_Starke!$A:$E,3,0),"NÃO ESTÁ NA LISTA")</f>
        <v>MAN / VW: 17.280 OT 6.9 12/...
MAN / VW: 18.280 OT 6.9 15/...
MAN / VW: Constellation 17.280 6.9 12/19
MAN / VW: Constellation 24.280 6.9 11/...
MAN / VW: Constellation 26.280 6.9 11/19</v>
      </c>
      <c r="P1621" s="12" t="str">
        <f aca="false">IFERROR(VLOOKUP($A1621,Lista_Starke!$A:$E,2,0),"NÃO ESTÁ NA LISTA")</f>
        <v>BOMBA D'ÁGUA</v>
      </c>
    </row>
    <row r="1622" customFormat="false" ht="15" hidden="false" customHeight="true" outlineLevel="0" collapsed="false">
      <c r="A1622" s="10" t="s">
        <v>3500</v>
      </c>
      <c r="B1622" s="10" t="str">
        <f aca="false">IFERROR(VLOOKUP(A1622,Pedido!$A:$B,2,0),"")</f>
        <v/>
      </c>
      <c r="C1622" s="10" t="str">
        <f aca="false">IF(B1622="","NÃO COMPRA","COMPRA")</f>
        <v>NÃO COMPRA</v>
      </c>
      <c r="D1622" s="1" t="n">
        <f aca="false">IFERROR(VLOOKUP(A1622,Pedido!$A:$C,3,0),0)</f>
        <v>0</v>
      </c>
      <c r="E1622" s="5" t="n">
        <f aca="false">IFERROR(VLOOKUP(A1622,Pedido!$A:$E,5,0),0)</f>
        <v>0</v>
      </c>
      <c r="F1622" s="1" t="s">
        <v>9</v>
      </c>
      <c r="G1622" s="1" t="s">
        <v>3501</v>
      </c>
      <c r="H1622" s="1" t="s">
        <v>235</v>
      </c>
      <c r="I1622" s="1" t="s">
        <v>1723</v>
      </c>
      <c r="J1622" s="1" t="s">
        <v>3502</v>
      </c>
      <c r="K1622" s="1" t="n">
        <v>8</v>
      </c>
      <c r="L1622" s="11" t="n">
        <v>0.99934012243635</v>
      </c>
      <c r="M1622" s="1" t="n">
        <f aca="false">SUMIF(Relatorio_AK!$A:$A,A1622,Relatorio_AK!$B:$B)</f>
        <v>8</v>
      </c>
      <c r="N1622" s="1" t="str">
        <f aca="false">IF(M1622=K1622,"OK","DIF")</f>
        <v>OK</v>
      </c>
      <c r="O1622" s="13" t="str">
        <f aca="false">IFERROR(VLOOKUP($A1622,Lista_Starke!$A:$E,3,0),"NÃO ESTÁ NA LISTA")</f>
        <v>PORSCHE: Cayenne GTS 4.8 8cil M48.01 07/10
PORSCHE: Cayenne S 4.8 8cil M48.01 07/10
PORSCHE: Cayenne Turbo S 4.8 8cil M48.51 07/10</v>
      </c>
      <c r="P1622" s="12" t="str">
        <f aca="false">IFERROR(VLOOKUP($A1622,Lista_Starke!$A:$E,2,0),"NÃO ESTÁ NA LISTA")</f>
        <v>RESFRIADOR DE ÓLEO MOTOR</v>
      </c>
    </row>
    <row r="1623" customFormat="false" ht="15" hidden="false" customHeight="true" outlineLevel="0" collapsed="false">
      <c r="A1623" s="10" t="s">
        <v>3503</v>
      </c>
      <c r="B1623" s="10" t="str">
        <f aca="false">IFERROR(VLOOKUP(A1623,Pedido!$A:$B,2,0),"")</f>
        <v/>
      </c>
      <c r="C1623" s="10" t="str">
        <f aca="false">IF(B1623="","NÃO COMPRA","COMPRA")</f>
        <v>NÃO COMPRA</v>
      </c>
      <c r="D1623" s="1" t="n">
        <f aca="false">IFERROR(VLOOKUP(A1623,Pedido!$A:$C,3,0),0)</f>
        <v>0</v>
      </c>
      <c r="E1623" s="5" t="n">
        <f aca="false">IFERROR(VLOOKUP(A1623,Pedido!$A:$E,5,0),0)</f>
        <v>0</v>
      </c>
      <c r="F1623" s="1" t="s">
        <v>9</v>
      </c>
      <c r="G1623" s="1" t="s">
        <v>3504</v>
      </c>
      <c r="H1623" s="1" t="s">
        <v>235</v>
      </c>
      <c r="I1623" s="1" t="s">
        <v>373</v>
      </c>
      <c r="J1623" s="1" t="s">
        <v>3505</v>
      </c>
      <c r="K1623" s="1" t="n">
        <v>8</v>
      </c>
      <c r="L1623" s="11" t="n">
        <v>0.999353798655286</v>
      </c>
      <c r="M1623" s="1" t="n">
        <f aca="false">SUMIF(Relatorio_AK!$A:$A,A1623,Relatorio_AK!$B:$B)</f>
        <v>8</v>
      </c>
      <c r="N1623" s="1" t="str">
        <f aca="false">IF(M1623=K1623,"OK","DIF")</f>
        <v>OK</v>
      </c>
      <c r="O1623" s="13" t="str">
        <f aca="false">IFERROR(VLOOKUP($A1623,Lista_Starke!$A:$E,3,0),"NÃO ESTÁ NA LISTA")</f>
        <v>MERCEDES-BENZ: C180 CGI (W204) 1.8 16V Turbo M274 07/14
MERCEDES-BENZ: C200 CGI (W204) 1.8 16V Turbo M274 07/17
MERCEDES-BENZ: C250 (A207/C207/W212) 1.8 16V Turbo M274 11/14
MERCEDES-BENZ: E200 (A207/C207/W212) 1.8 16V Turbo M274 09/16
MERCEDES-BENZ: E250 (R172) 1.8 16V Turbo M274 11/13
MERCEDES-BENZ: SLK250 (W204) 1.816V Turbo M274 12/15</v>
      </c>
      <c r="P1623" s="12" t="str">
        <f aca="false">IFERROR(VLOOKUP($A1623,Lista_Starke!$A:$E,2,0),"NÃO ESTÁ NA LISTA")</f>
        <v>RESFRIADOR DE ÓLEO MOTOR</v>
      </c>
    </row>
    <row r="1624" customFormat="false" ht="15" hidden="false" customHeight="true" outlineLevel="0" collapsed="false">
      <c r="A1624" s="10" t="s">
        <v>3506</v>
      </c>
      <c r="B1624" s="10" t="str">
        <f aca="false">IFERROR(VLOOKUP(A1624,Pedido!$A:$B,2,0),"")</f>
        <v/>
      </c>
      <c r="C1624" s="10" t="str">
        <f aca="false">IF(B1624="","NÃO COMPRA","COMPRA")</f>
        <v>NÃO COMPRA</v>
      </c>
      <c r="D1624" s="1" t="n">
        <f aca="false">IFERROR(VLOOKUP(A1624,Pedido!$A:$C,3,0),0)</f>
        <v>0</v>
      </c>
      <c r="E1624" s="5" t="n">
        <f aca="false">IFERROR(VLOOKUP(A1624,Pedido!$A:$E,5,0),0)</f>
        <v>0</v>
      </c>
      <c r="F1624" s="1" t="s">
        <v>9</v>
      </c>
      <c r="G1624" s="1" t="s">
        <v>3507</v>
      </c>
      <c r="H1624" s="1" t="s">
        <v>1131</v>
      </c>
      <c r="I1624" s="1" t="s">
        <v>172</v>
      </c>
      <c r="J1624" s="1" t="s">
        <v>3508</v>
      </c>
      <c r="K1624" s="1" t="n">
        <v>8</v>
      </c>
      <c r="L1624" s="11" t="n">
        <v>0.999367474874222</v>
      </c>
      <c r="M1624" s="1" t="n">
        <f aca="false">SUMIF(Relatorio_AK!$A:$A,A1624,Relatorio_AK!$B:$B)</f>
        <v>8</v>
      </c>
      <c r="N1624" s="1" t="str">
        <f aca="false">IF(M1624=K1624,"OK","DIF")</f>
        <v>OK</v>
      </c>
      <c r="O1624" s="13" t="str">
        <f aca="false">IFERROR(VLOOKUP($A1624,Lista_Starke!$A:$E,3,0),"NÃO ESTÁ NA LISTA")</f>
        <v>HYUNDAI: Santa Fe 2.4 16V 11/12
KIA: Optima 2.4 16V 12/15
KIA: Sorento 2.4 16V 12/15
KIA: Sorento 2.4 16V 15/18
KIA: Sorento 2.4 16V 18/21
KIA: Sportage 2.0 16V 10/10
KIA: Sportage 2.0 16V 10/15
KIA: Sportage 2.0 16V Flex 12/15
KIA: Sportage 2.7 24V V6 10/10</v>
      </c>
      <c r="P1624" s="12" t="str">
        <f aca="false">IFERROR(VLOOKUP($A1624,Lista_Starke!$A:$E,2,0),"NÃO ESTÁ NA LISTA")</f>
        <v>BOMBA DE ALTA PRESSÃO GDI</v>
      </c>
    </row>
    <row r="1625" customFormat="false" ht="15" hidden="false" customHeight="true" outlineLevel="0" collapsed="false">
      <c r="A1625" s="10" t="s">
        <v>3509</v>
      </c>
      <c r="B1625" s="10" t="str">
        <f aca="false">IFERROR(VLOOKUP(A1625,Pedido!$A:$B,2,0),"")</f>
        <v/>
      </c>
      <c r="C1625" s="10" t="str">
        <f aca="false">IF(B1625="","NÃO COMPRA","COMPRA")</f>
        <v>NÃO COMPRA</v>
      </c>
      <c r="D1625" s="1" t="n">
        <f aca="false">IFERROR(VLOOKUP(A1625,Pedido!$A:$C,3,0),0)</f>
        <v>0</v>
      </c>
      <c r="E1625" s="5" t="n">
        <f aca="false">IFERROR(VLOOKUP(A1625,Pedido!$A:$E,5,0),0)</f>
        <v>0</v>
      </c>
      <c r="F1625" s="1" t="s">
        <v>9</v>
      </c>
      <c r="G1625" s="1" t="s">
        <v>2659</v>
      </c>
      <c r="H1625" s="1" t="s">
        <v>2466</v>
      </c>
      <c r="I1625" s="1" t="s">
        <v>36</v>
      </c>
      <c r="J1625" s="1" t="s">
        <v>3510</v>
      </c>
      <c r="K1625" s="1" t="n">
        <v>8</v>
      </c>
      <c r="L1625" s="11" t="n">
        <v>0.999381151093158</v>
      </c>
      <c r="M1625" s="1" t="n">
        <f aca="false">SUMIF(Relatorio_AK!$A:$A,A1625,Relatorio_AK!$B:$B)</f>
        <v>8</v>
      </c>
      <c r="N1625" s="1" t="str">
        <f aca="false">IF(M1625=K1625,"OK","DIF")</f>
        <v>OK</v>
      </c>
      <c r="O1625" s="13" t="str">
        <f aca="false">IFERROR(VLOOKUP($A1625,Lista_Starke!$A:$E,3,0),"NÃO ESTÁ NA LISTA")</f>
        <v>VOLKSWAGEN: Gol 1.6 8V AP c/ ABS 96/01
VOLKSWAGEN: Gol 1.8 8V AP c/ ABS 00/01
VOLKSWAGEN: Gol GTI 2.0 8V AP c/ ABS 95/99</v>
      </c>
      <c r="P1625" s="12" t="str">
        <f aca="false">IFERROR(VLOOKUP($A1625,Lista_Starke!$A:$E,2,0),"NÃO ESTÁ NA LISTA")</f>
        <v>SERVO FREIO</v>
      </c>
    </row>
    <row r="1626" customFormat="false" ht="15" hidden="false" customHeight="true" outlineLevel="0" collapsed="false">
      <c r="A1626" s="10" t="s">
        <v>3511</v>
      </c>
      <c r="B1626" s="10" t="str">
        <f aca="false">IFERROR(VLOOKUP(A1626,Pedido!$A:$B,2,0),"")</f>
        <v/>
      </c>
      <c r="C1626" s="10" t="str">
        <f aca="false">IF(B1626="","NÃO COMPRA","COMPRA")</f>
        <v>NÃO COMPRA</v>
      </c>
      <c r="D1626" s="1" t="n">
        <f aca="false">IFERROR(VLOOKUP(A1626,Pedido!$A:$C,3,0),0)</f>
        <v>0</v>
      </c>
      <c r="E1626" s="5" t="n">
        <f aca="false">IFERROR(VLOOKUP(A1626,Pedido!$A:$E,5,0),0)</f>
        <v>0</v>
      </c>
      <c r="F1626" s="1" t="s">
        <v>9</v>
      </c>
      <c r="G1626" s="1" t="s">
        <v>3333</v>
      </c>
      <c r="H1626" s="1" t="s">
        <v>2466</v>
      </c>
      <c r="I1626" s="1" t="s">
        <v>255</v>
      </c>
      <c r="J1626" s="1" t="s">
        <v>3512</v>
      </c>
      <c r="K1626" s="1" t="n">
        <v>8</v>
      </c>
      <c r="L1626" s="11" t="n">
        <v>0.999394827312093</v>
      </c>
      <c r="M1626" s="1" t="n">
        <f aca="false">SUMIF(Relatorio_AK!$A:$A,A1626,Relatorio_AK!$B:$B)</f>
        <v>8</v>
      </c>
      <c r="N1626" s="1" t="str">
        <f aca="false">IF(M1626=K1626,"OK","DIF")</f>
        <v>OK</v>
      </c>
      <c r="O1626" s="13" t="str">
        <f aca="false">IFERROR(VLOOKUP($A1626,Lista_Starke!$A:$E,3,0),"NÃO ESTÁ NA LISTA")</f>
        <v>MITSUBISHI: Pajero Dakar 3.2 16V Diesel 4M41 DI-D 07/13
MITSUBISHI: Pajero Full 3.2 16V Diesel 4M41 DI-D 07/13
MITSUBISHI: Triton 3.2 16V Diesel 4M41 DI-D 07/13
MITSUBISHI: Triton 3.5 V6 24V Flex 6G74 10/13
MITSUBISHI: Triton 3.5 V6 24V Gasolina 6G74 07/13</v>
      </c>
      <c r="P1626" s="12" t="str">
        <f aca="false">IFERROR(VLOOKUP($A1626,Lista_Starke!$A:$E,2,0),"NÃO ESTÁ NA LISTA")</f>
        <v>SERVO FREIO</v>
      </c>
    </row>
    <row r="1627" customFormat="false" ht="15" hidden="false" customHeight="true" outlineLevel="0" collapsed="false">
      <c r="A1627" s="10" t="s">
        <v>3513</v>
      </c>
      <c r="B1627" s="10" t="str">
        <f aca="false">IFERROR(VLOOKUP(A1627,Pedido!$A:$B,2,0),"")</f>
        <v/>
      </c>
      <c r="C1627" s="10" t="str">
        <f aca="false">IF(B1627="","NÃO COMPRA","COMPRA")</f>
        <v>NÃO COMPRA</v>
      </c>
      <c r="D1627" s="1" t="n">
        <f aca="false">IFERROR(VLOOKUP(A1627,Pedido!$A:$C,3,0),0)</f>
        <v>0</v>
      </c>
      <c r="E1627" s="5" t="n">
        <f aca="false">IFERROR(VLOOKUP(A1627,Pedido!$A:$E,5,0),0)</f>
        <v>0</v>
      </c>
      <c r="F1627" s="1" t="s">
        <v>9</v>
      </c>
      <c r="G1627" s="1" t="s">
        <v>826</v>
      </c>
      <c r="H1627" s="1" t="s">
        <v>197</v>
      </c>
      <c r="I1627" s="1" t="s">
        <v>1157</v>
      </c>
      <c r="K1627" s="1" t="n">
        <v>7</v>
      </c>
      <c r="L1627" s="11" t="n">
        <v>0.999406794003662</v>
      </c>
      <c r="M1627" s="1" t="n">
        <f aca="false">SUMIF(Relatorio_AK!$A:$A,A1627,Relatorio_AK!$B:$B)</f>
        <v>7</v>
      </c>
      <c r="N1627" s="1" t="str">
        <f aca="false">IF(M1627=K1627,"OK","DIF")</f>
        <v>OK</v>
      </c>
      <c r="O1627" s="12" t="str">
        <f aca="false">IFERROR(VLOOKUP($A1627,Lista_Starke!$A:$E,3,0),"NÃO ESTÁ NA LISTA")</f>
        <v>NÃO ESTÁ NA LISTA</v>
      </c>
      <c r="P1627" s="12" t="str">
        <f aca="false">IFERROR(VLOOKUP($A1627,Lista_Starke!$A:$E,2,0),"NÃO ESTÁ NA LISTA")</f>
        <v>NÃO ESTÁ NA LISTA</v>
      </c>
    </row>
    <row r="1628" customFormat="false" ht="15" hidden="false" customHeight="true" outlineLevel="0" collapsed="false">
      <c r="A1628" s="10" t="s">
        <v>3514</v>
      </c>
      <c r="B1628" s="10" t="str">
        <f aca="false">IFERROR(VLOOKUP(A1628,Pedido!$A:$B,2,0),"")</f>
        <v/>
      </c>
      <c r="C1628" s="10" t="str">
        <f aca="false">IF(B1628="","NÃO COMPRA","COMPRA")</f>
        <v>NÃO COMPRA</v>
      </c>
      <c r="D1628" s="1" t="n">
        <f aca="false">IFERROR(VLOOKUP(A1628,Pedido!$A:$C,3,0),0)</f>
        <v>0</v>
      </c>
      <c r="E1628" s="5" t="n">
        <f aca="false">IFERROR(VLOOKUP(A1628,Pedido!$A:$E,5,0),0)</f>
        <v>0</v>
      </c>
      <c r="F1628" s="1" t="s">
        <v>9</v>
      </c>
      <c r="G1628" s="1" t="s">
        <v>207</v>
      </c>
      <c r="H1628" s="1" t="s">
        <v>197</v>
      </c>
      <c r="I1628" s="1" t="s">
        <v>42</v>
      </c>
      <c r="J1628" s="1" t="s">
        <v>3515</v>
      </c>
      <c r="K1628" s="1" t="n">
        <v>7</v>
      </c>
      <c r="L1628" s="11" t="n">
        <v>0.999418760695231</v>
      </c>
      <c r="M1628" s="1" t="n">
        <f aca="false">SUMIF(Relatorio_AK!$A:$A,A1628,Relatorio_AK!$B:$B)</f>
        <v>7</v>
      </c>
      <c r="N1628" s="1" t="str">
        <f aca="false">IF(M1628=K1628,"OK","DIF")</f>
        <v>OK</v>
      </c>
      <c r="O1628" s="13" t="str">
        <f aca="false">IFERROR(VLOOKUP($A1628,Lista_Starke!$A:$E,3,0),"NÃO ESTÁ NA LISTA")</f>
        <v>RENAULT: Master 2.5 Diesel 00/…
RENAULT: Master 2.8 Diesel 00/…</v>
      </c>
      <c r="P1628" s="12" t="str">
        <f aca="false">IFERROR(VLOOKUP($A1628,Lista_Starke!$A:$E,2,0),"NÃO ESTÁ NA LISTA")</f>
        <v>BOMBA D'ÁGUA</v>
      </c>
    </row>
    <row r="1629" customFormat="false" ht="15" hidden="false" customHeight="true" outlineLevel="0" collapsed="false">
      <c r="A1629" s="10" t="s">
        <v>3516</v>
      </c>
      <c r="B1629" s="10" t="str">
        <f aca="false">IFERROR(VLOOKUP(A1629,Pedido!$A:$B,2,0),"")</f>
        <v/>
      </c>
      <c r="C1629" s="10" t="str">
        <f aca="false">IF(B1629="","NÃO COMPRA","COMPRA")</f>
        <v>NÃO COMPRA</v>
      </c>
      <c r="D1629" s="1" t="n">
        <f aca="false">IFERROR(VLOOKUP(A1629,Pedido!$A:$C,3,0),0)</f>
        <v>0</v>
      </c>
      <c r="E1629" s="5" t="n">
        <f aca="false">IFERROR(VLOOKUP(A1629,Pedido!$A:$E,5,0),0)</f>
        <v>0</v>
      </c>
      <c r="F1629" s="1" t="s">
        <v>9</v>
      </c>
      <c r="G1629" s="1" t="s">
        <v>1881</v>
      </c>
      <c r="H1629" s="1" t="s">
        <v>2420</v>
      </c>
      <c r="I1629" s="1" t="s">
        <v>57</v>
      </c>
      <c r="J1629" s="1" t="s">
        <v>3517</v>
      </c>
      <c r="K1629" s="1" t="n">
        <v>7</v>
      </c>
      <c r="L1629" s="11" t="n">
        <v>0.9994307273868</v>
      </c>
      <c r="M1629" s="1" t="n">
        <f aca="false">SUMIF(Relatorio_AK!$A:$A,A1629,Relatorio_AK!$B:$B)</f>
        <v>7</v>
      </c>
      <c r="N1629" s="1" t="str">
        <f aca="false">IF(M1629=K1629,"OK","DIF")</f>
        <v>OK</v>
      </c>
      <c r="O1629" s="13" t="str">
        <f aca="false">IFERROR(VLOOKUP($A1629,Lista_Starke!$A:$E,3,0),"NÃO ESTÁ NA LISTA")</f>
        <v>GM: Blazer 4x2 / 4x4 95/11
GM: S10 4x2 / 4x4 95/11</v>
      </c>
      <c r="P1629" s="12" t="str">
        <f aca="false">IFERROR(VLOOKUP($A1629,Lista_Starke!$A:$E,2,0),"NÃO ESTÁ NA LISTA")</f>
        <v>BANDEJA SUPERIOR COMPLETA LE</v>
      </c>
    </row>
    <row r="1630" customFormat="false" ht="15" hidden="false" customHeight="true" outlineLevel="0" collapsed="false">
      <c r="A1630" s="10" t="s">
        <v>3518</v>
      </c>
      <c r="B1630" s="10" t="str">
        <f aca="false">IFERROR(VLOOKUP(A1630,Pedido!$A:$B,2,0),"")</f>
        <v/>
      </c>
      <c r="C1630" s="10" t="str">
        <f aca="false">IF(B1630="","NÃO COMPRA","COMPRA")</f>
        <v>NÃO COMPRA</v>
      </c>
      <c r="D1630" s="1" t="n">
        <f aca="false">IFERROR(VLOOKUP(A1630,Pedido!$A:$C,3,0),0)</f>
        <v>0</v>
      </c>
      <c r="E1630" s="5" t="n">
        <f aca="false">IFERROR(VLOOKUP(A1630,Pedido!$A:$E,5,0),0)</f>
        <v>0</v>
      </c>
      <c r="F1630" s="1" t="s">
        <v>9</v>
      </c>
      <c r="G1630" s="1" t="s">
        <v>1795</v>
      </c>
      <c r="H1630" s="1" t="s">
        <v>2420</v>
      </c>
      <c r="I1630" s="1" t="s">
        <v>215</v>
      </c>
      <c r="J1630" s="1" t="s">
        <v>3519</v>
      </c>
      <c r="K1630" s="1" t="n">
        <v>7</v>
      </c>
      <c r="L1630" s="11" t="n">
        <v>0.999442694078368</v>
      </c>
      <c r="M1630" s="1" t="n">
        <f aca="false">SUMIF(Relatorio_AK!$A:$A,A1630,Relatorio_AK!$B:$B)</f>
        <v>7</v>
      </c>
      <c r="N1630" s="1" t="str">
        <f aca="false">IF(M1630=K1630,"OK","DIF")</f>
        <v>OK</v>
      </c>
      <c r="O1630" s="13" t="str">
        <f aca="false">IFERROR(VLOOKUP($A1630,Lista_Starke!$A:$E,3,0),"NÃO ESTÁ NA LISTA")</f>
        <v>NISSAN: Frontier  98/07
NISSAN: X Terra  98/07</v>
      </c>
      <c r="P1630" s="12" t="str">
        <f aca="false">IFERROR(VLOOKUP($A1630,Lista_Starke!$A:$E,2,0),"NÃO ESTÁ NA LISTA")</f>
        <v>BANDEJA SUPERIOR COMPLETA LE</v>
      </c>
    </row>
    <row r="1631" customFormat="false" ht="15" hidden="false" customHeight="true" outlineLevel="0" collapsed="false">
      <c r="A1631" s="10" t="s">
        <v>3520</v>
      </c>
      <c r="B1631" s="10" t="str">
        <f aca="false">IFERROR(VLOOKUP(A1631,Pedido!$A:$B,2,0),"")</f>
        <v/>
      </c>
      <c r="C1631" s="10" t="str">
        <f aca="false">IF(B1631="","NÃO COMPRA","COMPRA")</f>
        <v>NÃO COMPRA</v>
      </c>
      <c r="D1631" s="1" t="n">
        <f aca="false">IFERROR(VLOOKUP(A1631,Pedido!$A:$C,3,0),0)</f>
        <v>0</v>
      </c>
      <c r="E1631" s="5" t="n">
        <f aca="false">IFERROR(VLOOKUP(A1631,Pedido!$A:$E,5,0),0)</f>
        <v>0</v>
      </c>
      <c r="F1631" s="1" t="s">
        <v>9</v>
      </c>
      <c r="G1631" s="1" t="s">
        <v>1810</v>
      </c>
      <c r="H1631" s="1" t="s">
        <v>2420</v>
      </c>
      <c r="I1631" s="1" t="s">
        <v>215</v>
      </c>
      <c r="J1631" s="1" t="s">
        <v>3521</v>
      </c>
      <c r="K1631" s="1" t="n">
        <v>7</v>
      </c>
      <c r="L1631" s="11" t="n">
        <v>0.999454660769937</v>
      </c>
      <c r="M1631" s="1" t="n">
        <f aca="false">SUMIF(Relatorio_AK!$A:$A,A1631,Relatorio_AK!$B:$B)</f>
        <v>7</v>
      </c>
      <c r="N1631" s="1" t="str">
        <f aca="false">IF(M1631=K1631,"OK","DIF")</f>
        <v>OK</v>
      </c>
      <c r="O1631" s="13" t="str">
        <f aca="false">IFERROR(VLOOKUP($A1631,Lista_Starke!$A:$E,3,0),"NÃO ESTÁ NA LISTA")</f>
        <v>NISSAN: Frontier  98/07
NISSAN: X Terra  98/07</v>
      </c>
      <c r="P1631" s="12" t="str">
        <f aca="false">IFERROR(VLOOKUP($A1631,Lista_Starke!$A:$E,2,0),"NÃO ESTÁ NA LISTA")</f>
        <v>BANDEJA SUPERIOR COMPLETA LD</v>
      </c>
    </row>
    <row r="1632" customFormat="false" ht="15" hidden="false" customHeight="true" outlineLevel="0" collapsed="false">
      <c r="A1632" s="10" t="s">
        <v>3522</v>
      </c>
      <c r="B1632" s="10" t="str">
        <f aca="false">IFERROR(VLOOKUP(A1632,Pedido!$A:$B,2,0),"")</f>
        <v/>
      </c>
      <c r="C1632" s="10" t="str">
        <f aca="false">IF(B1632="","NÃO COMPRA","COMPRA")</f>
        <v>NÃO COMPRA</v>
      </c>
      <c r="D1632" s="1" t="n">
        <f aca="false">IFERROR(VLOOKUP(A1632,Pedido!$A:$C,3,0),0)</f>
        <v>0</v>
      </c>
      <c r="E1632" s="5" t="n">
        <f aca="false">IFERROR(VLOOKUP(A1632,Pedido!$A:$E,5,0),0)</f>
        <v>0</v>
      </c>
      <c r="F1632" s="1" t="s">
        <v>9</v>
      </c>
      <c r="G1632" s="1" t="s">
        <v>1906</v>
      </c>
      <c r="H1632" s="1" t="s">
        <v>1358</v>
      </c>
      <c r="I1632" s="1" t="s">
        <v>53</v>
      </c>
      <c r="J1632" s="1" t="s">
        <v>3523</v>
      </c>
      <c r="K1632" s="1" t="n">
        <v>7</v>
      </c>
      <c r="L1632" s="11" t="n">
        <v>0.999466627461506</v>
      </c>
      <c r="M1632" s="1" t="n">
        <f aca="false">SUMIF(Relatorio_AK!$A:$A,A1632,Relatorio_AK!$B:$B)</f>
        <v>7</v>
      </c>
      <c r="N1632" s="1" t="str">
        <f aca="false">IF(M1632=K1632,"OK","DIF")</f>
        <v>OK</v>
      </c>
      <c r="O1632" s="12" t="str">
        <f aca="false">IFERROR(VLOOKUP($A1632,Lista_Starke!$A:$E,3,0),"NÃO ESTÁ NA LISTA")</f>
        <v>FORD: Ranger  12/20</v>
      </c>
      <c r="P1632" s="12" t="str">
        <f aca="false">IFERROR(VLOOKUP($A1632,Lista_Starke!$A:$E,2,0),"NÃO ESTÁ NA LISTA")</f>
        <v>BANDEJA INFERIOR COMPLETA LE</v>
      </c>
    </row>
    <row r="1633" customFormat="false" ht="15" hidden="false" customHeight="true" outlineLevel="0" collapsed="false">
      <c r="A1633" s="10" t="s">
        <v>3524</v>
      </c>
      <c r="B1633" s="10" t="str">
        <f aca="false">IFERROR(VLOOKUP(A1633,Pedido!$A:$B,2,0),"")</f>
        <v/>
      </c>
      <c r="C1633" s="10" t="str">
        <f aca="false">IF(B1633="","NÃO COMPRA","COMPRA")</f>
        <v>NÃO COMPRA</v>
      </c>
      <c r="D1633" s="1" t="n">
        <f aca="false">IFERROR(VLOOKUP(A1633,Pedido!$A:$C,3,0),0)</f>
        <v>0</v>
      </c>
      <c r="E1633" s="5" t="n">
        <f aca="false">IFERROR(VLOOKUP(A1633,Pedido!$A:$E,5,0),0)</f>
        <v>0</v>
      </c>
      <c r="F1633" s="1" t="s">
        <v>9</v>
      </c>
      <c r="G1633" s="1" t="s">
        <v>1931</v>
      </c>
      <c r="H1633" s="1" t="s">
        <v>1358</v>
      </c>
      <c r="I1633" s="1" t="s">
        <v>53</v>
      </c>
      <c r="J1633" s="1" t="s">
        <v>3525</v>
      </c>
      <c r="K1633" s="1" t="n">
        <v>7</v>
      </c>
      <c r="L1633" s="11" t="n">
        <v>0.999478594153075</v>
      </c>
      <c r="M1633" s="1" t="n">
        <f aca="false">SUMIF(Relatorio_AK!$A:$A,A1633,Relatorio_AK!$B:$B)</f>
        <v>7</v>
      </c>
      <c r="N1633" s="1" t="str">
        <f aca="false">IF(M1633=K1633,"OK","DIF")</f>
        <v>OK</v>
      </c>
      <c r="O1633" s="12" t="str">
        <f aca="false">IFERROR(VLOOKUP($A1633,Lista_Starke!$A:$E,3,0),"NÃO ESTÁ NA LISTA")</f>
        <v>FORD: Ranger  12/20</v>
      </c>
      <c r="P1633" s="12" t="str">
        <f aca="false">IFERROR(VLOOKUP($A1633,Lista_Starke!$A:$E,2,0),"NÃO ESTÁ NA LISTA")</f>
        <v>BANDEJA INFERIOR COMPLETA LD</v>
      </c>
    </row>
    <row r="1634" customFormat="false" ht="15" hidden="false" customHeight="true" outlineLevel="0" collapsed="false">
      <c r="A1634" s="10" t="s">
        <v>3526</v>
      </c>
      <c r="B1634" s="10" t="str">
        <f aca="false">IFERROR(VLOOKUP(A1634,Pedido!$A:$B,2,0),"")</f>
        <v/>
      </c>
      <c r="C1634" s="10" t="str">
        <f aca="false">IF(B1634="","NÃO COMPRA","COMPRA")</f>
        <v>NÃO COMPRA</v>
      </c>
      <c r="D1634" s="1" t="n">
        <f aca="false">IFERROR(VLOOKUP(A1634,Pedido!$A:$C,3,0),0)</f>
        <v>0</v>
      </c>
      <c r="E1634" s="5" t="n">
        <f aca="false">IFERROR(VLOOKUP(A1634,Pedido!$A:$E,5,0),0)</f>
        <v>0</v>
      </c>
      <c r="F1634" s="1" t="s">
        <v>9</v>
      </c>
      <c r="G1634" s="1" t="s">
        <v>207</v>
      </c>
      <c r="H1634" s="1" t="s">
        <v>197</v>
      </c>
      <c r="I1634" s="1" t="s">
        <v>42</v>
      </c>
      <c r="K1634" s="1" t="n">
        <v>7</v>
      </c>
      <c r="L1634" s="11" t="n">
        <v>0.999490560844644</v>
      </c>
      <c r="M1634" s="1" t="n">
        <f aca="false">SUMIF(Relatorio_AK!$A:$A,A1634,Relatorio_AK!$B:$B)</f>
        <v>7</v>
      </c>
      <c r="N1634" s="1" t="str">
        <f aca="false">IF(M1634=K1634,"OK","DIF")</f>
        <v>OK</v>
      </c>
      <c r="O1634" s="13" t="str">
        <f aca="false">IFERROR(VLOOKUP($A1634,Lista_Starke!$A:$E,3,0),"NÃO ESTÁ NA LISTA")</f>
        <v>RENAULT: Clio RL / RN / RT 1.2 7EF 90/96
RENAULT: Clio RN / RT 1.4 E6J 90/96
RENAULT: Megane 1.6 96/…
RENAULT: Twingo 1.0 99/01</v>
      </c>
      <c r="P1634" s="12" t="str">
        <f aca="false">IFERROR(VLOOKUP($A1634,Lista_Starke!$A:$E,2,0),"NÃO ESTÁ NA LISTA")</f>
        <v>BOMBA D'ÁGUA</v>
      </c>
    </row>
    <row r="1635" customFormat="false" ht="15" hidden="false" customHeight="true" outlineLevel="0" collapsed="false">
      <c r="A1635" s="10" t="s">
        <v>3527</v>
      </c>
      <c r="B1635" s="10" t="str">
        <f aca="false">IFERROR(VLOOKUP(A1635,Pedido!$A:$B,2,0),"")</f>
        <v/>
      </c>
      <c r="C1635" s="10" t="str">
        <f aca="false">IF(B1635="","NÃO COMPRA","COMPRA")</f>
        <v>NÃO COMPRA</v>
      </c>
      <c r="D1635" s="1" t="n">
        <f aca="false">IFERROR(VLOOKUP(A1635,Pedido!$A:$C,3,0),0)</f>
        <v>0</v>
      </c>
      <c r="E1635" s="5" t="n">
        <f aca="false">IFERROR(VLOOKUP(A1635,Pedido!$A:$E,5,0),0)</f>
        <v>0</v>
      </c>
      <c r="F1635" s="1" t="s">
        <v>9</v>
      </c>
      <c r="G1635" s="1" t="s">
        <v>616</v>
      </c>
      <c r="H1635" s="1" t="s">
        <v>197</v>
      </c>
      <c r="I1635" s="1" t="s">
        <v>226</v>
      </c>
      <c r="K1635" s="1" t="n">
        <v>7</v>
      </c>
      <c r="L1635" s="11" t="n">
        <v>0.999502527536212</v>
      </c>
      <c r="M1635" s="1" t="n">
        <f aca="false">SUMIF(Relatorio_AK!$A:$A,A1635,Relatorio_AK!$B:$B)</f>
        <v>7</v>
      </c>
      <c r="N1635" s="1" t="str">
        <f aca="false">IF(M1635=K1635,"OK","DIF")</f>
        <v>OK</v>
      </c>
      <c r="O1635" s="13" t="str">
        <f aca="false">IFERROR(VLOOKUP($A1635,Lista_Starke!$A:$E,3,0),"NÃO ESTÁ NA LISTA")</f>
        <v>AUDI: A3 2.0 16V TFSI   CCZA / CAWB 04/13
AUDI: A4 2.0 16V TFSI   CAEA / CDNB / CFKA 08/…
AUDI: A4 2.0 16V TFSI   CAED / CNCD 13/…
AUDI: A5 2.0 16V TFSI   CDNB / CDNC 08/…
AUDI: A5 2.0 16V TFSI   CNCD 13/…
AUDI: A6 2.0 16V TFSI   CAED 13/…
AUDI: A6 2.0 16V TFSI   CDNB 11/…
AUDI: Q3 2.0 16V TFSI   CCZC / CULB / CPSA 11/…
AUDI: Q5 2.0 16V TFSI   CDNB / CNCB / CAEB / CDNC 09/…
AUDI: TT 2.0 16V TFSI   BWA / CCZA / CESA / CCTA 09/…
VOLKSWAGEN: Beetle 2.0 16V TSI   CBFA / CCTA / CCZA 13/…
VOLKSWAGEN: Golf GTI 2.0 16V TSI   CBFA / CCTA / CCZA 13/…
VOLKSWAGEN: Jetta 2.0 16V TSI   CBFA / CCTA / CCZA / CPLA / CPPA 11/…
VOLKSWAGEN: Passat / Variant 2.0 16V TSI   CCZB 09/…
VOLKSWAGEN: Passat CC 2.0 16V TSI   CBFA / CCTA / CCZA / CPLA / CPPA 11/…
VOLKSWAGEN: Tiguan 2.0 16V TFSI CAWB / CCTA / CCZA 08/…</v>
      </c>
      <c r="P1635" s="12" t="str">
        <f aca="false">IFERROR(VLOOKUP($A1635,Lista_Starke!$A:$E,2,0),"NÃO ESTÁ NA LISTA")</f>
        <v>BOMBA D'ÁGUA</v>
      </c>
    </row>
    <row r="1636" customFormat="false" ht="15" hidden="false" customHeight="true" outlineLevel="0" collapsed="false">
      <c r="A1636" s="10" t="s">
        <v>3528</v>
      </c>
      <c r="B1636" s="10" t="str">
        <f aca="false">IFERROR(VLOOKUP(A1636,Pedido!$A:$B,2,0),"")</f>
        <v/>
      </c>
      <c r="C1636" s="10" t="str">
        <f aca="false">IF(B1636="","NÃO COMPRA","COMPRA")</f>
        <v>NÃO COMPRA</v>
      </c>
      <c r="D1636" s="1" t="n">
        <f aca="false">IFERROR(VLOOKUP(A1636,Pedido!$A:$C,3,0),0)</f>
        <v>0</v>
      </c>
      <c r="E1636" s="5" t="n">
        <f aca="false">IFERROR(VLOOKUP(A1636,Pedido!$A:$E,5,0),0)</f>
        <v>0</v>
      </c>
      <c r="F1636" s="1" t="s">
        <v>9</v>
      </c>
      <c r="G1636" s="1" t="s">
        <v>3310</v>
      </c>
      <c r="H1636" s="1" t="s">
        <v>197</v>
      </c>
      <c r="I1636" s="1" t="s">
        <v>3311</v>
      </c>
      <c r="J1636" s="1" t="s">
        <v>3529</v>
      </c>
      <c r="K1636" s="1" t="n">
        <v>7</v>
      </c>
      <c r="L1636" s="11" t="n">
        <v>0.999514494227781</v>
      </c>
      <c r="M1636" s="1" t="n">
        <f aca="false">SUMIF(Relatorio_AK!$A:$A,A1636,Relatorio_AK!$B:$B)</f>
        <v>7</v>
      </c>
      <c r="N1636" s="1" t="str">
        <f aca="false">IF(M1636=K1636,"OK","DIF")</f>
        <v>OK</v>
      </c>
      <c r="O1636" s="13" t="str">
        <f aca="false">IFERROR(VLOOKUP($A1636,Lista_Starke!$A:$E,3,0),"NÃO ESTÁ NA LISTA")</f>
        <v>DAF: CF85 PACCAR MX 12.9 12/...
DAF: XF105 PACCAR MX 12.9 12/...</v>
      </c>
      <c r="P1636" s="12" t="str">
        <f aca="false">IFERROR(VLOOKUP($A1636,Lista_Starke!$A:$E,2,0),"NÃO ESTÁ NA LISTA")</f>
        <v>BOMBA D'ÁGUA</v>
      </c>
    </row>
    <row r="1637" customFormat="false" ht="15" hidden="false" customHeight="true" outlineLevel="0" collapsed="false">
      <c r="A1637" s="10" t="s">
        <v>3530</v>
      </c>
      <c r="B1637" s="10" t="str">
        <f aca="false">IFERROR(VLOOKUP(A1637,Pedido!$A:$B,2,0),"")</f>
        <v/>
      </c>
      <c r="C1637" s="10" t="str">
        <f aca="false">IF(B1637="","NÃO COMPRA","COMPRA")</f>
        <v>NÃO COMPRA</v>
      </c>
      <c r="D1637" s="1" t="n">
        <f aca="false">IFERROR(VLOOKUP(A1637,Pedido!$A:$C,3,0),0)</f>
        <v>0</v>
      </c>
      <c r="E1637" s="5" t="n">
        <f aca="false">IFERROR(VLOOKUP(A1637,Pedido!$A:$E,5,0),0)</f>
        <v>0</v>
      </c>
      <c r="F1637" s="1" t="s">
        <v>9</v>
      </c>
      <c r="G1637" s="1" t="s">
        <v>2425</v>
      </c>
      <c r="H1637" s="1" t="s">
        <v>88</v>
      </c>
      <c r="I1637" s="1" t="s">
        <v>53</v>
      </c>
      <c r="J1637" s="1" t="s">
        <v>3531</v>
      </c>
      <c r="K1637" s="1" t="n">
        <v>7</v>
      </c>
      <c r="L1637" s="11" t="n">
        <v>0.99952646091935</v>
      </c>
      <c r="M1637" s="1" t="n">
        <f aca="false">SUMIF(Relatorio_AK!$A:$A,A1637,Relatorio_AK!$B:$B)</f>
        <v>7</v>
      </c>
      <c r="N1637" s="1" t="str">
        <f aca="false">IF(M1637=K1637,"OK","DIF")</f>
        <v>OK</v>
      </c>
      <c r="O1637" s="13" t="str">
        <f aca="false">IFERROR(VLOOKUP($A1637,Lista_Starke!$A:$E,3,0),"NÃO ESTÁ NA LISTA")</f>
        <v>FORD: F12000 SERIE 229 5.9 L 12V SOHV L6 78/80
FORD: F7000 SERIE 229 5.9 L 12V SOHV L6 80/82</v>
      </c>
      <c r="P1637" s="12" t="str">
        <f aca="false">IFERROR(VLOOKUP($A1637,Lista_Starke!$A:$E,2,0),"NÃO ESTÁ NA LISTA")</f>
        <v>CILINDRO DE RODA LE</v>
      </c>
    </row>
    <row r="1638" customFormat="false" ht="15" hidden="false" customHeight="true" outlineLevel="0" collapsed="false">
      <c r="A1638" s="10" t="s">
        <v>3532</v>
      </c>
      <c r="B1638" s="10" t="str">
        <f aca="false">IFERROR(VLOOKUP(A1638,Pedido!$A:$B,2,0),"")</f>
        <v/>
      </c>
      <c r="C1638" s="10" t="str">
        <f aca="false">IF(B1638="","NÃO COMPRA","COMPRA")</f>
        <v>NÃO COMPRA</v>
      </c>
      <c r="D1638" s="1" t="n">
        <f aca="false">IFERROR(VLOOKUP(A1638,Pedido!$A:$C,3,0),0)</f>
        <v>0</v>
      </c>
      <c r="E1638" s="5" t="n">
        <f aca="false">IFERROR(VLOOKUP(A1638,Pedido!$A:$E,5,0),0)</f>
        <v>0</v>
      </c>
      <c r="F1638" s="1" t="s">
        <v>9</v>
      </c>
      <c r="G1638" s="1" t="s">
        <v>3533</v>
      </c>
      <c r="H1638" s="1" t="s">
        <v>32</v>
      </c>
      <c r="I1638" s="1" t="s">
        <v>373</v>
      </c>
      <c r="J1638" s="1" t="s">
        <v>3534</v>
      </c>
      <c r="K1638" s="1" t="n">
        <v>7</v>
      </c>
      <c r="L1638" s="11" t="n">
        <v>0.999538427610919</v>
      </c>
      <c r="M1638" s="1" t="n">
        <f aca="false">SUMIF(Relatorio_AK!$A:$A,A1638,Relatorio_AK!$B:$B)</f>
        <v>7</v>
      </c>
      <c r="N1638" s="1" t="str">
        <f aca="false">IF(M1638=K1638,"OK","DIF")</f>
        <v>OK</v>
      </c>
      <c r="O1638" s="13" t="str">
        <f aca="false">IFERROR(VLOOKUP($A1638,Lista_Starke!$A:$E,3,0),"NÃO ESTÁ NA LISTA")</f>
        <v>MERCEDES-BENZ: 1614  89/...
MERCEDES-BENZ: 1618  89/...
MERCEDES-BENZ: O 371  87/...
MERCEDES-BENZ: OH 1419  80/...
MERCEDES-BENZ: OH 1420  80/...</v>
      </c>
      <c r="P1638" s="12" t="str">
        <f aca="false">IFERROR(VLOOKUP($A1638,Lista_Starke!$A:$E,2,0),"NÃO ESTÁ NA LISTA")</f>
        <v>CILINDRO MESTRE DE EMBREAGEM</v>
      </c>
    </row>
    <row r="1639" customFormat="false" ht="15" hidden="false" customHeight="true" outlineLevel="0" collapsed="false">
      <c r="A1639" s="10" t="s">
        <v>3535</v>
      </c>
      <c r="B1639" s="10" t="str">
        <f aca="false">IFERROR(VLOOKUP(A1639,Pedido!$A:$B,2,0),"")</f>
        <v/>
      </c>
      <c r="C1639" s="10" t="str">
        <f aca="false">IF(B1639="","NÃO COMPRA","COMPRA")</f>
        <v>NÃO COMPRA</v>
      </c>
      <c r="D1639" s="1" t="n">
        <f aca="false">IFERROR(VLOOKUP(A1639,Pedido!$A:$C,3,0),0)</f>
        <v>0</v>
      </c>
      <c r="E1639" s="5" t="n">
        <f aca="false">IFERROR(VLOOKUP(A1639,Pedido!$A:$E,5,0),0)</f>
        <v>0</v>
      </c>
      <c r="F1639" s="1" t="s">
        <v>9</v>
      </c>
      <c r="G1639" s="1" t="s">
        <v>2758</v>
      </c>
      <c r="H1639" s="1" t="s">
        <v>28</v>
      </c>
      <c r="I1639" s="1" t="s">
        <v>373</v>
      </c>
      <c r="J1639" s="1" t="s">
        <v>3536</v>
      </c>
      <c r="K1639" s="1" t="n">
        <v>7</v>
      </c>
      <c r="L1639" s="11" t="n">
        <v>0.999550394302487</v>
      </c>
      <c r="M1639" s="1" t="n">
        <f aca="false">SUMIF(Relatorio_AK!$A:$A,A1639,Relatorio_AK!$B:$B)</f>
        <v>7</v>
      </c>
      <c r="N1639" s="1" t="str">
        <f aca="false">IF(M1639=K1639,"OK","DIF")</f>
        <v>OK</v>
      </c>
      <c r="O1639" s="13" t="str">
        <f aca="false">IFERROR(VLOOKUP($A1639,Lista_Starke!$A:$E,3,0),"NÃO ESTÁ NA LISTA")</f>
        <v>MERCEDES-BENZ: 1214  89/...
MERCEDES-BENZ: 1316  70/89
MERCEDES-BENZ: 1317  70/89
MERCEDES-BENZ: 1318  87/...
MERCEDES-BENZ: 1419  80/...
MERCEDES-BENZ: 1420  80/...
MERCEDES-BENZ: 1614  89/..
MERCEDES-BENZ: 1618  89/...
MERCEDES-BENZ: 1625  91/...
MERCEDES-BENZ: 1714  91/...
MERCEDES-BENZ: O 370  84/...
MERCEDES-BENZ: O 371  84/...</v>
      </c>
      <c r="P1639" s="12" t="str">
        <f aca="false">IFERROR(VLOOKUP($A1639,Lista_Starke!$A:$E,2,0),"NÃO ESTÁ NA LISTA")</f>
        <v>CILINDRO AUXILIAR DE EMBREAGEM</v>
      </c>
    </row>
    <row r="1640" customFormat="false" ht="15" hidden="false" customHeight="true" outlineLevel="0" collapsed="false">
      <c r="A1640" s="10" t="s">
        <v>3537</v>
      </c>
      <c r="B1640" s="10" t="str">
        <f aca="false">IFERROR(VLOOKUP(A1640,Pedido!$A:$B,2,0),"")</f>
        <v/>
      </c>
      <c r="C1640" s="10" t="str">
        <f aca="false">IF(B1640="","NÃO COMPRA","COMPRA")</f>
        <v>NÃO COMPRA</v>
      </c>
      <c r="D1640" s="1" t="n">
        <f aca="false">IFERROR(VLOOKUP(A1640,Pedido!$A:$C,3,0),0)</f>
        <v>0</v>
      </c>
      <c r="E1640" s="5" t="n">
        <f aca="false">IFERROR(VLOOKUP(A1640,Pedido!$A:$E,5,0),0)</f>
        <v>0</v>
      </c>
      <c r="F1640" s="1" t="s">
        <v>9</v>
      </c>
      <c r="G1640" s="1" t="s">
        <v>105</v>
      </c>
      <c r="H1640" s="1" t="s">
        <v>88</v>
      </c>
      <c r="I1640" s="1" t="s">
        <v>46</v>
      </c>
      <c r="J1640" s="1" t="s">
        <v>3538</v>
      </c>
      <c r="K1640" s="1" t="n">
        <v>7</v>
      </c>
      <c r="L1640" s="11" t="n">
        <v>0.999562360994056</v>
      </c>
      <c r="M1640" s="1" t="n">
        <f aca="false">SUMIF(Relatorio_AK!$A:$A,A1640,Relatorio_AK!$B:$B)</f>
        <v>7</v>
      </c>
      <c r="N1640" s="1" t="str">
        <f aca="false">IF(M1640=K1640,"OK","DIF")</f>
        <v>OK</v>
      </c>
      <c r="O1640" s="13" t="str">
        <f aca="false">IFERROR(VLOOKUP($A1640,Lista_Starke!$A:$E,3,0),"NÃO ESTÁ NA LISTA")</f>
        <v>FIAT: Uno 1.5R 1.5 8V 87/96
FIAT: Uno 1.6R 1.6 8V 87/96</v>
      </c>
      <c r="P1640" s="12" t="str">
        <f aca="false">IFERROR(VLOOKUP($A1640,Lista_Starke!$A:$E,2,0),"NÃO ESTÁ NA LISTA")</f>
        <v>CILINDRO DE RODA LE/LD</v>
      </c>
    </row>
    <row r="1641" customFormat="false" ht="15" hidden="false" customHeight="true" outlineLevel="0" collapsed="false">
      <c r="A1641" s="10" t="s">
        <v>3539</v>
      </c>
      <c r="B1641" s="10" t="str">
        <f aca="false">IFERROR(VLOOKUP(A1641,Pedido!$A:$B,2,0),"")</f>
        <v/>
      </c>
      <c r="C1641" s="10" t="str">
        <f aca="false">IF(B1641="","NÃO COMPRA","COMPRA")</f>
        <v>NÃO COMPRA</v>
      </c>
      <c r="D1641" s="1" t="n">
        <f aca="false">IFERROR(VLOOKUP(A1641,Pedido!$A:$C,3,0),0)</f>
        <v>0</v>
      </c>
      <c r="E1641" s="5" t="n">
        <f aca="false">IFERROR(VLOOKUP(A1641,Pedido!$A:$E,5,0),0)</f>
        <v>0</v>
      </c>
      <c r="F1641" s="1" t="s">
        <v>9</v>
      </c>
      <c r="G1641" s="1" t="s">
        <v>2116</v>
      </c>
      <c r="H1641" s="1" t="s">
        <v>1131</v>
      </c>
      <c r="I1641" s="1" t="s">
        <v>1157</v>
      </c>
      <c r="J1641" s="1" t="s">
        <v>3540</v>
      </c>
      <c r="K1641" s="1" t="n">
        <v>7</v>
      </c>
      <c r="L1641" s="11" t="n">
        <v>0.999574327685625</v>
      </c>
      <c r="M1641" s="1" t="n">
        <f aca="false">SUMIF(Relatorio_AK!$A:$A,A1641,Relatorio_AK!$B:$B)</f>
        <v>7</v>
      </c>
      <c r="N1641" s="1" t="str">
        <f aca="false">IF(M1641=K1641,"OK","DIF")</f>
        <v>OK</v>
      </c>
      <c r="O1641" s="13" t="str">
        <f aca="false">IFERROR(VLOOKUP($A1641,Lista_Starke!$A:$E,3,0),"NÃO ESTÁ NA LISTA")</f>
        <v>BMW: 550i (F07) 4.4 8 cil. 09/12
BMW: 550i (F07) 4.4 V8 10/12
BMW: 550i (F07) 4.4 V8 12/17
BMW: 550i (F10) 4.4 8 cil. 09/13
BMW: 550i (F10) 4.4 V8 12/...
BMW: 550i (F11) 4.4 V8 10/13
BMW: 650i (F12/F13) 4.4 V8 10/...
BMW: 750i (F01/F02/F03/F04) 4.4 V8 08/15
BMW: X5 (E70) 4.4 V8 09/13
BMW: X6 (E71/E72) 4.4 V8 07/14</v>
      </c>
      <c r="P1641" s="12" t="str">
        <f aca="false">IFERROR(VLOOKUP($A1641,Lista_Starke!$A:$E,2,0),"NÃO ESTÁ NA LISTA")</f>
        <v>BOMBA DE ALTA PRESSÃO GDI</v>
      </c>
    </row>
    <row r="1642" customFormat="false" ht="15" hidden="false" customHeight="true" outlineLevel="0" collapsed="false">
      <c r="A1642" s="10" t="s">
        <v>3541</v>
      </c>
      <c r="B1642" s="10" t="str">
        <f aca="false">IFERROR(VLOOKUP(A1642,Pedido!$A:$B,2,0),"")</f>
        <v/>
      </c>
      <c r="C1642" s="10" t="str">
        <f aca="false">IF(B1642="","NÃO COMPRA","COMPRA")</f>
        <v>NÃO COMPRA</v>
      </c>
      <c r="D1642" s="1" t="n">
        <f aca="false">IFERROR(VLOOKUP(A1642,Pedido!$A:$C,3,0),0)</f>
        <v>0</v>
      </c>
      <c r="E1642" s="5" t="n">
        <f aca="false">IFERROR(VLOOKUP(A1642,Pedido!$A:$E,5,0),0)</f>
        <v>0</v>
      </c>
      <c r="F1642" s="1" t="s">
        <v>9</v>
      </c>
      <c r="G1642" s="1" t="s">
        <v>3478</v>
      </c>
      <c r="H1642" s="1" t="s">
        <v>2466</v>
      </c>
      <c r="I1642" s="1" t="s">
        <v>184</v>
      </c>
      <c r="J1642" s="1" t="s">
        <v>3542</v>
      </c>
      <c r="K1642" s="1" t="n">
        <v>7</v>
      </c>
      <c r="L1642" s="11" t="n">
        <v>0.999586294377194</v>
      </c>
      <c r="M1642" s="1" t="n">
        <f aca="false">SUMIF(Relatorio_AK!$A:$A,A1642,Relatorio_AK!$B:$B)</f>
        <v>7</v>
      </c>
      <c r="N1642" s="1" t="str">
        <f aca="false">IF(M1642=K1642,"OK","DIF")</f>
        <v>OK</v>
      </c>
      <c r="O1642" s="13" t="str">
        <f aca="false">IFERROR(VLOOKUP($A1642,Lista_Starke!$A:$E,3,0),"NÃO ESTÁ NA LISTA")</f>
        <v>FORD: Escort 1.6 8V AP Sist. Varga 94/96
FORD: Escort 1.8 8V AP Sist. Varga 94/96
FORD: Escort 2.0 8V AP Sist. ATE/Bosch 94/96
FORD: Escort XR/XR3 2.0 8V AP Sist. Varga 94/96
FORD: Verona 1.8 8V AP Sist. ATE/Bosch 94/96
FORD: Verona 2.0 8V AP Sist. ATE/Bosch 94/96
VOLKSWAGEN: Logus 1.6 8V AP Sist. ATE/Bosch 94/96
VOLKSWAGEN: Logus 1.8 8V AP Sist. ATE/Bosch 94/96
VOLKSWAGEN: Logus 2.0 8V AP Sist. ATE/Bosch 94/96
VOLKSWAGEN: Pointer 1.8 8V AP Sist. ATE/Bosch 94/96
VOLKSWAGEN: Pointer 2.0 8V AP Sist. ATE/Bosch 94/96
VOLKSWAGEN: Pointer GTI 2.0 8V AP Sist. ATE/Bosch 94/96</v>
      </c>
      <c r="P1642" s="12" t="str">
        <f aca="false">IFERROR(VLOOKUP($A1642,Lista_Starke!$A:$E,2,0),"NÃO ESTÁ NA LISTA")</f>
        <v>SERVO FREIO</v>
      </c>
    </row>
    <row r="1643" customFormat="false" ht="15" hidden="false" customHeight="true" outlineLevel="0" collapsed="false">
      <c r="A1643" s="10" t="s">
        <v>3543</v>
      </c>
      <c r="B1643" s="10" t="str">
        <f aca="false">IFERROR(VLOOKUP(A1643,Pedido!$A:$B,2,0),"")</f>
        <v/>
      </c>
      <c r="C1643" s="10" t="str">
        <f aca="false">IF(B1643="","NÃO COMPRA","COMPRA")</f>
        <v>NÃO COMPRA</v>
      </c>
      <c r="D1643" s="1" t="n">
        <f aca="false">IFERROR(VLOOKUP(A1643,Pedido!$A:$C,3,0),0)</f>
        <v>0</v>
      </c>
      <c r="E1643" s="5" t="n">
        <f aca="false">IFERROR(VLOOKUP(A1643,Pedido!$A:$E,5,0),0)</f>
        <v>0</v>
      </c>
      <c r="F1643" s="1" t="s">
        <v>9</v>
      </c>
      <c r="G1643" s="1" t="s">
        <v>3478</v>
      </c>
      <c r="H1643" s="1" t="s">
        <v>2466</v>
      </c>
      <c r="I1643" s="1" t="s">
        <v>184</v>
      </c>
      <c r="J1643" s="1" t="s">
        <v>3544</v>
      </c>
      <c r="K1643" s="1" t="n">
        <v>7</v>
      </c>
      <c r="L1643" s="11" t="n">
        <v>0.999598261068763</v>
      </c>
      <c r="M1643" s="1" t="n">
        <f aca="false">SUMIF(Relatorio_AK!$A:$A,A1643,Relatorio_AK!$B:$B)</f>
        <v>7</v>
      </c>
      <c r="N1643" s="1" t="str">
        <f aca="false">IF(M1643=K1643,"OK","DIF")</f>
        <v>OK</v>
      </c>
      <c r="O1643" s="13" t="str">
        <f aca="false">IFERROR(VLOOKUP($A1643,Lista_Starke!$A:$E,3,0),"NÃO ESTÁ NA LISTA")</f>
        <v>FORD: Escort 1.6 8V CHT Sist. ATE/Bosch 93/96
FORD: Escort 1.8 8V AP Sist. ATE/Bosch 94/95
FORD: Escort 2.0 8V AP Sist. ATE/Bosch 93/96
FORD: Escort Hobby 1.0 8V CHT Sist. ATE/Bosch 93/96
FORD: Escort XR/XR3 2.0 8V AP Sist. ATE/Bosch 94/96
FORD: Verona 1.8 8V AP Sist. ATE/Bosch 93/96
FORD: Verona 2.0 8V AP Sist. ATE/Bosch 94/96
VOLKSWAGEN: Logus 1.6 8V AP Sist. ATE/Bosch 93/94
VOLKSWAGEN: Logus 1.8 8V AP Sist. ATE/Bosch 92/94
VOLKSWAGEN: Logus 2.0 8V AP Sist. ATE/Bosch 94/96
VOLKSWAGEN: Pointer 1.8 8V AP Sist. ATE/Bosch 93/96
VOLKSWAGEN: Pointer 2.0 8V AP Sist. ATE/Bosch 94/96
VOLKSWAGEN: Pointer GTI 2.0 8V AP Sist. ATE/Bosch 94/96</v>
      </c>
      <c r="P1643" s="12" t="str">
        <f aca="false">IFERROR(VLOOKUP($A1643,Lista_Starke!$A:$E,2,0),"NÃO ESTÁ NA LISTA")</f>
        <v>SERVO FREIO</v>
      </c>
    </row>
    <row r="1644" customFormat="false" ht="15" hidden="false" customHeight="true" outlineLevel="0" collapsed="false">
      <c r="A1644" s="10" t="s">
        <v>3545</v>
      </c>
      <c r="B1644" s="10" t="str">
        <f aca="false">IFERROR(VLOOKUP(A1644,Pedido!$A:$B,2,0),"")</f>
        <v/>
      </c>
      <c r="C1644" s="10" t="str">
        <f aca="false">IF(B1644="","NÃO COMPRA","COMPRA")</f>
        <v>NÃO COMPRA</v>
      </c>
      <c r="D1644" s="1" t="n">
        <f aca="false">IFERROR(VLOOKUP(A1644,Pedido!$A:$C,3,0),0)</f>
        <v>0</v>
      </c>
      <c r="E1644" s="5" t="n">
        <f aca="false">IFERROR(VLOOKUP(A1644,Pedido!$A:$E,5,0),0)</f>
        <v>0</v>
      </c>
      <c r="F1644" s="1" t="s">
        <v>9</v>
      </c>
      <c r="G1644" s="1" t="s">
        <v>2469</v>
      </c>
      <c r="H1644" s="1" t="s">
        <v>2466</v>
      </c>
      <c r="I1644" s="1" t="s">
        <v>57</v>
      </c>
      <c r="J1644" s="1" t="s">
        <v>3546</v>
      </c>
      <c r="K1644" s="1" t="n">
        <v>7</v>
      </c>
      <c r="L1644" s="11" t="n">
        <v>0.999610227760331</v>
      </c>
      <c r="M1644" s="1" t="n">
        <f aca="false">SUMIF(Relatorio_AK!$A:$A,A1644,Relatorio_AK!$B:$B)</f>
        <v>7</v>
      </c>
      <c r="N1644" s="1" t="str">
        <f aca="false">IF(M1644=K1644,"OK","DIF")</f>
        <v>OK</v>
      </c>
      <c r="O1644" s="13" t="str">
        <f aca="false">IFERROR(VLOOKUP($A1644,Lista_Starke!$A:$E,3,0),"NÃO ESTÁ NA LISTA")</f>
        <v>GM: Celta 1.0 8V 01/02
GM: Celta 1.0 8V VHC 02/08
GM: Celta 1.4 8V 03/06</v>
      </c>
      <c r="P1644" s="12" t="str">
        <f aca="false">IFERROR(VLOOKUP($A1644,Lista_Starke!$A:$E,2,0),"NÃO ESTÁ NA LISTA")</f>
        <v>SERVO FREIO</v>
      </c>
    </row>
    <row r="1645" customFormat="false" ht="15" hidden="false" customHeight="true" outlineLevel="0" collapsed="false">
      <c r="A1645" s="10" t="s">
        <v>3547</v>
      </c>
      <c r="B1645" s="10" t="str">
        <f aca="false">IFERROR(VLOOKUP(A1645,Pedido!$A:$B,2,0),"")</f>
        <v/>
      </c>
      <c r="C1645" s="10" t="str">
        <f aca="false">IF(B1645="","NÃO COMPRA","COMPRA")</f>
        <v>NÃO COMPRA</v>
      </c>
      <c r="D1645" s="1" t="n">
        <f aca="false">IFERROR(VLOOKUP(A1645,Pedido!$A:$C,3,0),0)</f>
        <v>0</v>
      </c>
      <c r="E1645" s="5" t="n">
        <f aca="false">IFERROR(VLOOKUP(A1645,Pedido!$A:$E,5,0),0)</f>
        <v>0</v>
      </c>
      <c r="F1645" s="1" t="s">
        <v>9</v>
      </c>
      <c r="G1645" s="1" t="s">
        <v>2469</v>
      </c>
      <c r="H1645" s="1" t="s">
        <v>2466</v>
      </c>
      <c r="I1645" s="1" t="s">
        <v>57</v>
      </c>
      <c r="J1645" s="1" t="s">
        <v>3548</v>
      </c>
      <c r="K1645" s="1" t="n">
        <v>7</v>
      </c>
      <c r="L1645" s="11" t="n">
        <v>0.9996221944519</v>
      </c>
      <c r="M1645" s="1" t="n">
        <f aca="false">SUMIF(Relatorio_AK!$A:$A,A1645,Relatorio_AK!$B:$B)</f>
        <v>7</v>
      </c>
      <c r="N1645" s="1" t="str">
        <f aca="false">IF(M1645=K1645,"OK","DIF")</f>
        <v>OK</v>
      </c>
      <c r="O1645" s="12" t="str">
        <f aca="false">IFERROR(VLOOKUP($A1645,Lista_Starke!$A:$E,3,0),"NÃO ESTÁ NA LISTA")</f>
        <v>GM: Classic 1.0 8V VHCE 08/10</v>
      </c>
      <c r="P1645" s="12" t="str">
        <f aca="false">IFERROR(VLOOKUP($A1645,Lista_Starke!$A:$E,2,0),"NÃO ESTÁ NA LISTA")</f>
        <v>SERVO FREIO</v>
      </c>
    </row>
    <row r="1646" customFormat="false" ht="15" hidden="false" customHeight="true" outlineLevel="0" collapsed="false">
      <c r="A1646" s="10" t="s">
        <v>3549</v>
      </c>
      <c r="B1646" s="10" t="str">
        <f aca="false">IFERROR(VLOOKUP(A1646,Pedido!$A:$B,2,0),"")</f>
        <v/>
      </c>
      <c r="C1646" s="10" t="str">
        <f aca="false">IF(B1646="","NÃO COMPRA","COMPRA")</f>
        <v>NÃO COMPRA</v>
      </c>
      <c r="D1646" s="1" t="n">
        <f aca="false">IFERROR(VLOOKUP(A1646,Pedido!$A:$C,3,0),0)</f>
        <v>0</v>
      </c>
      <c r="E1646" s="5" t="n">
        <f aca="false">IFERROR(VLOOKUP(A1646,Pedido!$A:$E,5,0),0)</f>
        <v>0</v>
      </c>
      <c r="F1646" s="1" t="s">
        <v>9</v>
      </c>
      <c r="G1646" s="1" t="s">
        <v>2066</v>
      </c>
      <c r="H1646" s="1" t="s">
        <v>197</v>
      </c>
      <c r="I1646" s="1" t="s">
        <v>2304</v>
      </c>
      <c r="K1646" s="1" t="n">
        <v>6</v>
      </c>
      <c r="L1646" s="11" t="n">
        <v>0.999632451616102</v>
      </c>
      <c r="M1646" s="1" t="n">
        <f aca="false">SUMIF(Relatorio_AK!$A:$A,A1646,Relatorio_AK!$B:$B)</f>
        <v>6</v>
      </c>
      <c r="N1646" s="1" t="str">
        <f aca="false">IF(M1646=K1646,"OK","DIF")</f>
        <v>OK</v>
      </c>
      <c r="O1646" s="12" t="str">
        <f aca="false">IFERROR(VLOOKUP($A1646,Lista_Starke!$A:$E,3,0),"NÃO ESTÁ NA LISTA")</f>
        <v>NÃO ESTÁ NA LISTA</v>
      </c>
      <c r="P1646" s="12" t="str">
        <f aca="false">IFERROR(VLOOKUP($A1646,Lista_Starke!$A:$E,2,0),"NÃO ESTÁ NA LISTA")</f>
        <v>NÃO ESTÁ NA LISTA</v>
      </c>
    </row>
    <row r="1647" customFormat="false" ht="15" hidden="false" customHeight="true" outlineLevel="0" collapsed="false">
      <c r="A1647" s="10" t="s">
        <v>3550</v>
      </c>
      <c r="B1647" s="10" t="str">
        <f aca="false">IFERROR(VLOOKUP(A1647,Pedido!$A:$B,2,0),"")</f>
        <v/>
      </c>
      <c r="C1647" s="10" t="str">
        <f aca="false">IF(B1647="","NÃO COMPRA","COMPRA")</f>
        <v>NÃO COMPRA</v>
      </c>
      <c r="D1647" s="1" t="n">
        <f aca="false">IFERROR(VLOOKUP(A1647,Pedido!$A:$C,3,0),0)</f>
        <v>0</v>
      </c>
      <c r="E1647" s="5" t="n">
        <f aca="false">IFERROR(VLOOKUP(A1647,Pedido!$A:$E,5,0),0)</f>
        <v>0</v>
      </c>
      <c r="F1647" s="1" t="s">
        <v>9</v>
      </c>
      <c r="G1647" s="1" t="s">
        <v>1713</v>
      </c>
      <c r="H1647" s="1" t="s">
        <v>1714</v>
      </c>
      <c r="I1647" s="1" t="s">
        <v>215</v>
      </c>
      <c r="J1647" s="1" t="s">
        <v>3551</v>
      </c>
      <c r="K1647" s="1" t="n">
        <v>6</v>
      </c>
      <c r="L1647" s="11" t="n">
        <v>0.999642708780304</v>
      </c>
      <c r="M1647" s="1" t="n">
        <f aca="false">SUMIF(Relatorio_AK!$A:$A,A1647,Relatorio_AK!$B:$B)</f>
        <v>6</v>
      </c>
      <c r="N1647" s="1" t="str">
        <f aca="false">IF(M1647=K1647,"OK","DIF")</f>
        <v>OK</v>
      </c>
      <c r="O1647" s="12" t="str">
        <f aca="false">IFERROR(VLOOKUP($A1647,Lista_Starke!$A:$E,3,0),"NÃO ESTÁ NA LISTA")</f>
        <v>NISSAN: Frontier 2.3 16V Biturbo YS23 17/...</v>
      </c>
      <c r="P1647" s="12" t="str">
        <f aca="false">IFERROR(VLOOKUP($A1647,Lista_Starke!$A:$E,2,0),"NÃO ESTÁ NA LISTA")</f>
        <v>POLIA VISCOSA</v>
      </c>
    </row>
    <row r="1648" customFormat="false" ht="15" hidden="false" customHeight="true" outlineLevel="0" collapsed="false">
      <c r="A1648" s="10" t="s">
        <v>3552</v>
      </c>
      <c r="B1648" s="10" t="str">
        <f aca="false">IFERROR(VLOOKUP(A1648,Pedido!$A:$B,2,0),"")</f>
        <v/>
      </c>
      <c r="C1648" s="10" t="str">
        <f aca="false">IF(B1648="","NÃO COMPRA","COMPRA")</f>
        <v>NÃO COMPRA</v>
      </c>
      <c r="D1648" s="1" t="n">
        <f aca="false">IFERROR(VLOOKUP(A1648,Pedido!$A:$C,3,0),0)</f>
        <v>0</v>
      </c>
      <c r="E1648" s="5" t="n">
        <f aca="false">IFERROR(VLOOKUP(A1648,Pedido!$A:$E,5,0),0)</f>
        <v>0</v>
      </c>
      <c r="F1648" s="1" t="s">
        <v>9</v>
      </c>
      <c r="G1648" s="1" t="s">
        <v>3553</v>
      </c>
      <c r="H1648" s="1" t="s">
        <v>197</v>
      </c>
      <c r="I1648" s="1" t="s">
        <v>295</v>
      </c>
      <c r="K1648" s="1" t="n">
        <v>6</v>
      </c>
      <c r="L1648" s="11" t="n">
        <v>0.999652965944505</v>
      </c>
      <c r="M1648" s="1" t="n">
        <f aca="false">SUMIF(Relatorio_AK!$A:$A,A1648,Relatorio_AK!$B:$B)</f>
        <v>6</v>
      </c>
      <c r="N1648" s="1" t="str">
        <f aca="false">IF(M1648=K1648,"OK","DIF")</f>
        <v>OK</v>
      </c>
      <c r="O1648" s="12" t="str">
        <f aca="false">IFERROR(VLOOKUP($A1648,Lista_Starke!$A:$E,3,0),"NÃO ESTÁ NA LISTA")</f>
        <v>NÃO ESTÁ NA LISTA</v>
      </c>
      <c r="P1648" s="12" t="str">
        <f aca="false">IFERROR(VLOOKUP($A1648,Lista_Starke!$A:$E,2,0),"NÃO ESTÁ NA LISTA")</f>
        <v>NÃO ESTÁ NA LISTA</v>
      </c>
    </row>
    <row r="1649" customFormat="false" ht="15" hidden="false" customHeight="true" outlineLevel="0" collapsed="false">
      <c r="A1649" s="10" t="s">
        <v>3554</v>
      </c>
      <c r="B1649" s="10" t="str">
        <f aca="false">IFERROR(VLOOKUP(A1649,Pedido!$A:$B,2,0),"")</f>
        <v/>
      </c>
      <c r="C1649" s="10" t="str">
        <f aca="false">IF(B1649="","NÃO COMPRA","COMPRA")</f>
        <v>NÃO COMPRA</v>
      </c>
      <c r="D1649" s="1" t="n">
        <f aca="false">IFERROR(VLOOKUP(A1649,Pedido!$A:$C,3,0),0)</f>
        <v>0</v>
      </c>
      <c r="E1649" s="5" t="n">
        <f aca="false">IFERROR(VLOOKUP(A1649,Pedido!$A:$E,5,0),0)</f>
        <v>0</v>
      </c>
      <c r="F1649" s="1" t="s">
        <v>9</v>
      </c>
      <c r="G1649" s="1" t="s">
        <v>1914</v>
      </c>
      <c r="H1649" s="1" t="s">
        <v>197</v>
      </c>
      <c r="I1649" s="1" t="s">
        <v>2907</v>
      </c>
      <c r="K1649" s="1" t="n">
        <v>6</v>
      </c>
      <c r="L1649" s="11" t="n">
        <v>0.999663223108707</v>
      </c>
      <c r="M1649" s="1" t="n">
        <f aca="false">SUMIF(Relatorio_AK!$A:$A,A1649,Relatorio_AK!$B:$B)</f>
        <v>6</v>
      </c>
      <c r="N1649" s="1" t="str">
        <f aca="false">IF(M1649=K1649,"OK","DIF")</f>
        <v>OK</v>
      </c>
      <c r="O1649" s="12" t="str">
        <f aca="false">IFERROR(VLOOKUP($A1649,Lista_Starke!$A:$E,3,0),"NÃO ESTÁ NA LISTA")</f>
        <v>NÃO ESTÁ NA LISTA</v>
      </c>
      <c r="P1649" s="12" t="str">
        <f aca="false">IFERROR(VLOOKUP($A1649,Lista_Starke!$A:$E,2,0),"NÃO ESTÁ NA LISTA")</f>
        <v>NÃO ESTÁ NA LISTA</v>
      </c>
    </row>
    <row r="1650" customFormat="false" ht="15" hidden="false" customHeight="true" outlineLevel="0" collapsed="false">
      <c r="A1650" s="10" t="s">
        <v>3555</v>
      </c>
      <c r="B1650" s="10" t="str">
        <f aca="false">IFERROR(VLOOKUP(A1650,Pedido!$A:$B,2,0),"")</f>
        <v/>
      </c>
      <c r="C1650" s="10" t="str">
        <f aca="false">IF(B1650="","NÃO COMPRA","COMPRA")</f>
        <v>NÃO COMPRA</v>
      </c>
      <c r="D1650" s="1" t="n">
        <f aca="false">IFERROR(VLOOKUP(A1650,Pedido!$A:$C,3,0),0)</f>
        <v>0</v>
      </c>
      <c r="E1650" s="5" t="n">
        <f aca="false">IFERROR(VLOOKUP(A1650,Pedido!$A:$E,5,0),0)</f>
        <v>0</v>
      </c>
      <c r="F1650" s="1" t="s">
        <v>9</v>
      </c>
      <c r="G1650" s="1" t="s">
        <v>2384</v>
      </c>
      <c r="H1650" s="1" t="s">
        <v>88</v>
      </c>
      <c r="I1650" s="1" t="s">
        <v>53</v>
      </c>
      <c r="J1650" s="1" t="s">
        <v>3556</v>
      </c>
      <c r="K1650" s="1" t="n">
        <v>6</v>
      </c>
      <c r="L1650" s="11" t="n">
        <v>0.999673480272909</v>
      </c>
      <c r="M1650" s="1" t="n">
        <f aca="false">SUMIF(Relatorio_AK!$A:$A,A1650,Relatorio_AK!$B:$B)</f>
        <v>6</v>
      </c>
      <c r="N1650" s="1" t="str">
        <f aca="false">IF(M1650=K1650,"OK","DIF")</f>
        <v>OK</v>
      </c>
      <c r="O1650" s="12" t="str">
        <f aca="false">IFERROR(VLOOKUP($A1650,Lista_Starke!$A:$E,3,0),"NÃO ESTÁ NA LISTA")</f>
        <v>FORD: F4000 SÉRIE 229 3.6 8V 4 cil. 95/98</v>
      </c>
      <c r="P1650" s="12" t="str">
        <f aca="false">IFERROR(VLOOKUP($A1650,Lista_Starke!$A:$E,2,0),"NÃO ESTÁ NA LISTA")</f>
        <v>CILINDRO DE RODA LD</v>
      </c>
    </row>
    <row r="1651" customFormat="false" ht="15" hidden="false" customHeight="true" outlineLevel="0" collapsed="false">
      <c r="A1651" s="10" t="s">
        <v>3557</v>
      </c>
      <c r="B1651" s="10" t="str">
        <f aca="false">IFERROR(VLOOKUP(A1651,Pedido!$A:$B,2,0),"")</f>
        <v/>
      </c>
      <c r="C1651" s="10" t="str">
        <f aca="false">IF(B1651="","NÃO COMPRA","COMPRA")</f>
        <v>NÃO COMPRA</v>
      </c>
      <c r="D1651" s="1" t="n">
        <f aca="false">IFERROR(VLOOKUP(A1651,Pedido!$A:$C,3,0),0)</f>
        <v>0</v>
      </c>
      <c r="E1651" s="5" t="n">
        <f aca="false">IFERROR(VLOOKUP(A1651,Pedido!$A:$E,5,0),0)</f>
        <v>0</v>
      </c>
      <c r="F1651" s="1" t="s">
        <v>9</v>
      </c>
      <c r="G1651" s="1" t="s">
        <v>372</v>
      </c>
      <c r="H1651" s="1" t="s">
        <v>35</v>
      </c>
      <c r="I1651" s="1" t="s">
        <v>373</v>
      </c>
      <c r="J1651" s="1" t="s">
        <v>3558</v>
      </c>
      <c r="K1651" s="1" t="n">
        <v>6</v>
      </c>
      <c r="L1651" s="11" t="n">
        <v>0.999683737437111</v>
      </c>
      <c r="M1651" s="1" t="n">
        <f aca="false">SUMIF(Relatorio_AK!$A:$A,A1651,Relatorio_AK!$B:$B)</f>
        <v>6</v>
      </c>
      <c r="N1651" s="1" t="str">
        <f aca="false">IF(M1651=K1651,"OK","DIF")</f>
        <v>OK</v>
      </c>
      <c r="O1651" s="13" t="str">
        <f aca="false">IFERROR(VLOOKUP($A1651,Lista_Starke!$A:$E,3,0),"NÃO ESTÁ NA LISTA")</f>
        <v>MERCEDES-BENZ: L 608 D  72/75
MERCEDES-BENZ: LO 608  72/75</v>
      </c>
      <c r="P1651" s="12" t="str">
        <f aca="false">IFERROR(VLOOKUP($A1651,Lista_Starke!$A:$E,2,0),"NÃO ESTÁ NA LISTA")</f>
        <v>CILINDRO MESTRE DE FREIO</v>
      </c>
    </row>
    <row r="1652" customFormat="false" ht="15" hidden="false" customHeight="true" outlineLevel="0" collapsed="false">
      <c r="A1652" s="10" t="s">
        <v>3559</v>
      </c>
      <c r="B1652" s="10" t="str">
        <f aca="false">IFERROR(VLOOKUP(A1652,Pedido!$A:$B,2,0),"")</f>
        <v/>
      </c>
      <c r="C1652" s="10" t="str">
        <f aca="false">IF(B1652="","NÃO COMPRA","COMPRA")</f>
        <v>NÃO COMPRA</v>
      </c>
      <c r="D1652" s="1" t="n">
        <f aca="false">IFERROR(VLOOKUP(A1652,Pedido!$A:$C,3,0),0)</f>
        <v>0</v>
      </c>
      <c r="E1652" s="5" t="n">
        <f aca="false">IFERROR(VLOOKUP(A1652,Pedido!$A:$E,5,0),0)</f>
        <v>0</v>
      </c>
      <c r="F1652" s="1" t="s">
        <v>9</v>
      </c>
      <c r="G1652" s="1" t="s">
        <v>3446</v>
      </c>
      <c r="H1652" s="1" t="s">
        <v>28</v>
      </c>
      <c r="I1652" s="1" t="s">
        <v>2826</v>
      </c>
      <c r="J1652" s="1" t="s">
        <v>3560</v>
      </c>
      <c r="K1652" s="1" t="n">
        <v>6</v>
      </c>
      <c r="L1652" s="11" t="n">
        <v>0.999693994601313</v>
      </c>
      <c r="M1652" s="1" t="n">
        <f aca="false">SUMIF(Relatorio_AK!$A:$A,A1652,Relatorio_AK!$B:$B)</f>
        <v>6</v>
      </c>
      <c r="N1652" s="1" t="str">
        <f aca="false">IF(M1652=K1652,"OK","DIF")</f>
        <v>OK</v>
      </c>
      <c r="O1652" s="13" t="str">
        <f aca="false">IFERROR(VLOOKUP($A1652,Lista_Starke!$A:$E,3,0),"NÃO ESTÁ NA LISTA")</f>
        <v>AGRALE: A5 VOLARE  03/09
AGRALE: A6 VOLARE  03/09
AGRALE: A8 VOLARE  03/09
AGRALE: W8  03/09
FORD: Cargo C 1419  16/...</v>
      </c>
      <c r="P1652" s="12" t="str">
        <f aca="false">IFERROR(VLOOKUP($A1652,Lista_Starke!$A:$E,2,0),"NÃO ESTÁ NA LISTA")</f>
        <v>CILINDRO AUXILIAR DE EMBREAGEM</v>
      </c>
    </row>
    <row r="1653" customFormat="false" ht="15" hidden="false" customHeight="true" outlineLevel="0" collapsed="false">
      <c r="A1653" s="10" t="s">
        <v>3561</v>
      </c>
      <c r="B1653" s="10" t="str">
        <f aca="false">IFERROR(VLOOKUP(A1653,Pedido!$A:$B,2,0),"")</f>
        <v/>
      </c>
      <c r="C1653" s="10" t="str">
        <f aca="false">IF(B1653="","NÃO COMPRA","COMPRA")</f>
        <v>NÃO COMPRA</v>
      </c>
      <c r="D1653" s="1" t="n">
        <f aca="false">IFERROR(VLOOKUP(A1653,Pedido!$A:$C,3,0),0)</f>
        <v>0</v>
      </c>
      <c r="E1653" s="5" t="n">
        <f aca="false">IFERROR(VLOOKUP(A1653,Pedido!$A:$E,5,0),0)</f>
        <v>0</v>
      </c>
      <c r="F1653" s="1" t="s">
        <v>9</v>
      </c>
      <c r="G1653" s="1" t="s">
        <v>2034</v>
      </c>
      <c r="H1653" s="1" t="s">
        <v>1714</v>
      </c>
      <c r="I1653" s="1" t="s">
        <v>172</v>
      </c>
      <c r="J1653" s="1" t="s">
        <v>3562</v>
      </c>
      <c r="K1653" s="1" t="n">
        <v>6</v>
      </c>
      <c r="L1653" s="11" t="n">
        <v>0.999704251765514</v>
      </c>
      <c r="M1653" s="1" t="n">
        <f aca="false">SUMIF(Relatorio_AK!$A:$A,A1653,Relatorio_AK!$B:$B)</f>
        <v>6</v>
      </c>
      <c r="N1653" s="1" t="str">
        <f aca="false">IF(M1653=K1653,"OK","DIF")</f>
        <v>OK</v>
      </c>
      <c r="O1653" s="13" t="str">
        <f aca="false">IFERROR(VLOOKUP($A1653,Lista_Starke!$A:$E,3,0),"NÃO ESTÁ NA LISTA")</f>
        <v>HYUNDAI: HR 2.5 16V DC4B Euro V / Euro VI 18/...
KIA: Bongo K2500 2.5 16V DC4B Euro V / Euro VI 18/...</v>
      </c>
      <c r="P1653" s="12" t="str">
        <f aca="false">IFERROR(VLOOKUP($A1653,Lista_Starke!$A:$E,2,0),"NÃO ESTÁ NA LISTA")</f>
        <v>POLIA VISCOSA</v>
      </c>
    </row>
    <row r="1654" customFormat="false" ht="15" hidden="false" customHeight="true" outlineLevel="0" collapsed="false">
      <c r="A1654" s="10" t="s">
        <v>3563</v>
      </c>
      <c r="B1654" s="10" t="str">
        <f aca="false">IFERROR(VLOOKUP(A1654,Pedido!$A:$B,2,0),"")</f>
        <v/>
      </c>
      <c r="C1654" s="10" t="str">
        <f aca="false">IF(B1654="","NÃO COMPRA","COMPRA")</f>
        <v>NÃO COMPRA</v>
      </c>
      <c r="D1654" s="1" t="n">
        <f aca="false">IFERROR(VLOOKUP(A1654,Pedido!$A:$C,3,0),0)</f>
        <v>0</v>
      </c>
      <c r="E1654" s="5" t="n">
        <f aca="false">IFERROR(VLOOKUP(A1654,Pedido!$A:$E,5,0),0)</f>
        <v>0</v>
      </c>
      <c r="F1654" s="1" t="s">
        <v>9</v>
      </c>
      <c r="G1654" s="1" t="s">
        <v>2659</v>
      </c>
      <c r="H1654" s="1" t="s">
        <v>2466</v>
      </c>
      <c r="I1654" s="1" t="s">
        <v>3564</v>
      </c>
      <c r="J1654" s="1" t="s">
        <v>3565</v>
      </c>
      <c r="K1654" s="1" t="n">
        <v>6</v>
      </c>
      <c r="L1654" s="11" t="n">
        <v>0.999714508929716</v>
      </c>
      <c r="M1654" s="1" t="n">
        <f aca="false">SUMIF(Relatorio_AK!$A:$A,A1654,Relatorio_AK!$B:$B)</f>
        <v>6</v>
      </c>
      <c r="N1654" s="1" t="str">
        <f aca="false">IF(M1654=K1654,"OK","DIF")</f>
        <v>OK</v>
      </c>
      <c r="O1654" s="13" t="str">
        <f aca="false">IFERROR(VLOOKUP($A1654,Lista_Starke!$A:$E,3,0),"NÃO ESTÁ NA LISTA")</f>
        <v>SEAT: Cordoba 1.6 8V 99/00
SEAT: Cordoba 1.8 8V 94/02
SEAT: Ibiza 1.0 16V 99/02
SEAT: Ibiza 1.6 8V 99/02
SEAT: Ibiza 1.8 8V 94/99
SEAT: Inca 1.6 8V 99/02
VOLKSWAGEN: Polo Classic 1.8 8V 96/03
VOLKSWAGEN: Van 1.6 8V 98/03</v>
      </c>
      <c r="P1654" s="12" t="str">
        <f aca="false">IFERROR(VLOOKUP($A1654,Lista_Starke!$A:$E,2,0),"NÃO ESTÁ NA LISTA")</f>
        <v>SERVO FREIO</v>
      </c>
    </row>
    <row r="1655" customFormat="false" ht="15" hidden="false" customHeight="true" outlineLevel="0" collapsed="false">
      <c r="A1655" s="10" t="s">
        <v>3566</v>
      </c>
      <c r="B1655" s="10" t="str">
        <f aca="false">IFERROR(VLOOKUP(A1655,Pedido!$A:$B,2,0),"")</f>
        <v/>
      </c>
      <c r="C1655" s="10" t="str">
        <f aca="false">IF(B1655="","NÃO COMPRA","COMPRA")</f>
        <v>NÃO COMPRA</v>
      </c>
      <c r="D1655" s="1" t="n">
        <f aca="false">IFERROR(VLOOKUP(A1655,Pedido!$A:$C,3,0),0)</f>
        <v>0</v>
      </c>
      <c r="E1655" s="5" t="n">
        <f aca="false">IFERROR(VLOOKUP(A1655,Pedido!$A:$E,5,0),0)</f>
        <v>0</v>
      </c>
      <c r="F1655" s="1" t="s">
        <v>9</v>
      </c>
      <c r="G1655" s="1" t="s">
        <v>2469</v>
      </c>
      <c r="H1655" s="1" t="s">
        <v>2466</v>
      </c>
      <c r="I1655" s="1" t="s">
        <v>57</v>
      </c>
      <c r="J1655" s="1" t="s">
        <v>3567</v>
      </c>
      <c r="K1655" s="1" t="n">
        <v>6</v>
      </c>
      <c r="L1655" s="11" t="n">
        <v>0.999724766093918</v>
      </c>
      <c r="M1655" s="1" t="n">
        <f aca="false">SUMIF(Relatorio_AK!$A:$A,A1655,Relatorio_AK!$B:$B)</f>
        <v>6</v>
      </c>
      <c r="N1655" s="1" t="str">
        <f aca="false">IF(M1655=K1655,"OK","DIF")</f>
        <v>OK</v>
      </c>
      <c r="O1655" s="12" t="str">
        <f aca="false">IFERROR(VLOOKUP($A1655,Lista_Starke!$A:$E,3,0),"NÃO ESTÁ NA LISTA")</f>
        <v>GM: Corsa Sedan / Wagon 1.6 16V 97/98</v>
      </c>
      <c r="P1655" s="12" t="str">
        <f aca="false">IFERROR(VLOOKUP($A1655,Lista_Starke!$A:$E,2,0),"NÃO ESTÁ NA LISTA")</f>
        <v>SERVO FREIO</v>
      </c>
    </row>
    <row r="1656" customFormat="false" ht="15" hidden="false" customHeight="true" outlineLevel="0" collapsed="false">
      <c r="A1656" s="10" t="s">
        <v>3568</v>
      </c>
      <c r="B1656" s="10" t="str">
        <f aca="false">IFERROR(VLOOKUP(A1656,Pedido!$A:$B,2,0),"")</f>
        <v/>
      </c>
      <c r="C1656" s="10" t="str">
        <f aca="false">IF(B1656="","NÃO COMPRA","COMPRA")</f>
        <v>NÃO COMPRA</v>
      </c>
      <c r="D1656" s="1" t="n">
        <f aca="false">IFERROR(VLOOKUP(A1656,Pedido!$A:$C,3,0),0)</f>
        <v>0</v>
      </c>
      <c r="E1656" s="5" t="n">
        <f aca="false">IFERROR(VLOOKUP(A1656,Pedido!$A:$E,5,0),0)</f>
        <v>0</v>
      </c>
      <c r="F1656" s="1" t="s">
        <v>9</v>
      </c>
      <c r="G1656" s="1" t="s">
        <v>2659</v>
      </c>
      <c r="H1656" s="1" t="s">
        <v>2466</v>
      </c>
      <c r="I1656" s="1" t="s">
        <v>36</v>
      </c>
      <c r="J1656" s="1" t="s">
        <v>3569</v>
      </c>
      <c r="K1656" s="1" t="n">
        <v>6</v>
      </c>
      <c r="L1656" s="11" t="n">
        <v>0.99973502325812</v>
      </c>
      <c r="M1656" s="1" t="n">
        <f aca="false">SUMIF(Relatorio_AK!$A:$A,A1656,Relatorio_AK!$B:$B)</f>
        <v>6</v>
      </c>
      <c r="N1656" s="1" t="str">
        <f aca="false">IF(M1656=K1656,"OK","DIF")</f>
        <v>OK</v>
      </c>
      <c r="O1656" s="12" t="str">
        <f aca="false">IFERROR(VLOOKUP($A1656,Lista_Starke!$A:$E,3,0),"NÃO ESTÁ NA LISTA")</f>
        <v>VOLKSWAGEN: Santana 2.0 8V AP 94/06</v>
      </c>
      <c r="P1656" s="12" t="str">
        <f aca="false">IFERROR(VLOOKUP($A1656,Lista_Starke!$A:$E,2,0),"NÃO ESTÁ NA LISTA")</f>
        <v>SERVO FREIO</v>
      </c>
    </row>
    <row r="1657" customFormat="false" ht="15" hidden="false" customHeight="true" outlineLevel="0" collapsed="false">
      <c r="A1657" s="10" t="s">
        <v>3570</v>
      </c>
      <c r="B1657" s="10" t="str">
        <f aca="false">IFERROR(VLOOKUP(A1657,Pedido!$A:$B,2,0),"")</f>
        <v/>
      </c>
      <c r="C1657" s="10" t="str">
        <f aca="false">IF(B1657="","NÃO COMPRA","COMPRA")</f>
        <v>NÃO COMPRA</v>
      </c>
      <c r="D1657" s="1" t="n">
        <f aca="false">IFERROR(VLOOKUP(A1657,Pedido!$A:$C,3,0),0)</f>
        <v>0</v>
      </c>
      <c r="E1657" s="5" t="n">
        <f aca="false">IFERROR(VLOOKUP(A1657,Pedido!$A:$E,5,0),0)</f>
        <v>0</v>
      </c>
      <c r="F1657" s="1" t="s">
        <v>9</v>
      </c>
      <c r="G1657" s="1" t="s">
        <v>2469</v>
      </c>
      <c r="H1657" s="1" t="s">
        <v>2466</v>
      </c>
      <c r="I1657" s="1" t="s">
        <v>57</v>
      </c>
      <c r="J1657" s="1" t="s">
        <v>3571</v>
      </c>
      <c r="K1657" s="1" t="n">
        <v>6</v>
      </c>
      <c r="L1657" s="11" t="n">
        <v>0.999745280422321</v>
      </c>
      <c r="M1657" s="1" t="n">
        <f aca="false">SUMIF(Relatorio_AK!$A:$A,A1657,Relatorio_AK!$B:$B)</f>
        <v>6</v>
      </c>
      <c r="N1657" s="1" t="str">
        <f aca="false">IF(M1657=K1657,"OK","DIF")</f>
        <v>OK</v>
      </c>
      <c r="O1657" s="13" t="str">
        <f aca="false">IFERROR(VLOOKUP($A1657,Lista_Starke!$A:$E,3,0),"NÃO ESTÁ NA LISTA")</f>
        <v>GM: Astra 2.0 8V Sist. ATE/Bosch 95/96
GM: Calibra 2.0 16V Sist. ATE/Bosch 93/95
GM: Vectra 2.0 8V Sist. ATE/Bosch 93/96
GM: Vectra GSI 2.0 16V Sist. ATE/Bosch 93/96</v>
      </c>
      <c r="P1657" s="12" t="str">
        <f aca="false">IFERROR(VLOOKUP($A1657,Lista_Starke!$A:$E,2,0),"NÃO ESTÁ NA LISTA")</f>
        <v>SERVO FREIO</v>
      </c>
    </row>
    <row r="1658" customFormat="false" ht="15" hidden="false" customHeight="true" outlineLevel="0" collapsed="false">
      <c r="A1658" s="10" t="s">
        <v>3572</v>
      </c>
      <c r="B1658" s="10" t="str">
        <f aca="false">IFERROR(VLOOKUP(A1658,Pedido!$A:$B,2,0),"")</f>
        <v/>
      </c>
      <c r="C1658" s="10" t="str">
        <f aca="false">IF(B1658="","NÃO COMPRA","COMPRA")</f>
        <v>NÃO COMPRA</v>
      </c>
      <c r="D1658" s="1" t="n">
        <f aca="false">IFERROR(VLOOKUP(A1658,Pedido!$A:$C,3,0),0)</f>
        <v>0</v>
      </c>
      <c r="E1658" s="5" t="n">
        <f aca="false">IFERROR(VLOOKUP(A1658,Pedido!$A:$E,5,0),0)</f>
        <v>0</v>
      </c>
      <c r="F1658" s="1" t="s">
        <v>9</v>
      </c>
      <c r="G1658" s="1" t="s">
        <v>3066</v>
      </c>
      <c r="H1658" s="1" t="s">
        <v>2466</v>
      </c>
      <c r="I1658" s="1" t="s">
        <v>53</v>
      </c>
      <c r="J1658" s="1" t="s">
        <v>3573</v>
      </c>
      <c r="K1658" s="1" t="n">
        <v>6</v>
      </c>
      <c r="L1658" s="11" t="n">
        <v>0.999755537586523</v>
      </c>
      <c r="M1658" s="1" t="n">
        <f aca="false">SUMIF(Relatorio_AK!$A:$A,A1658,Relatorio_AK!$B:$B)</f>
        <v>6</v>
      </c>
      <c r="N1658" s="1" t="str">
        <f aca="false">IF(M1658=K1658,"OK","DIF")</f>
        <v>OK</v>
      </c>
      <c r="O1658" s="13" t="str">
        <f aca="false">IFERROR(VLOOKUP($A1658,Lista_Starke!$A:$E,3,0),"NÃO ESTÁ NA LISTA")</f>
        <v>FORD: Transit 2.2 16V Duratorq 08/14
FORD: Transit 2.4 16V Duratorq Puma 08/14</v>
      </c>
      <c r="P1658" s="12" t="str">
        <f aca="false">IFERROR(VLOOKUP($A1658,Lista_Starke!$A:$E,2,0),"NÃO ESTÁ NA LISTA")</f>
        <v>SERVO FREIO</v>
      </c>
    </row>
    <row r="1659" customFormat="false" ht="15" hidden="false" customHeight="true" outlineLevel="0" collapsed="false">
      <c r="A1659" s="10" t="s">
        <v>3574</v>
      </c>
      <c r="B1659" s="10" t="str">
        <f aca="false">IFERROR(VLOOKUP(A1659,Pedido!$A:$B,2,0),"")</f>
        <v/>
      </c>
      <c r="C1659" s="10" t="str">
        <f aca="false">IF(B1659="","NÃO COMPRA","COMPRA")</f>
        <v>NÃO COMPRA</v>
      </c>
      <c r="D1659" s="1" t="n">
        <f aca="false">IFERROR(VLOOKUP(A1659,Pedido!$A:$C,3,0),0)</f>
        <v>0</v>
      </c>
      <c r="E1659" s="5" t="n">
        <f aca="false">IFERROR(VLOOKUP(A1659,Pedido!$A:$E,5,0),0)</f>
        <v>0</v>
      </c>
      <c r="F1659" s="1" t="s">
        <v>9</v>
      </c>
      <c r="G1659" s="1" t="s">
        <v>509</v>
      </c>
      <c r="H1659" s="1" t="s">
        <v>197</v>
      </c>
      <c r="I1659" s="1" t="s">
        <v>281</v>
      </c>
      <c r="K1659" s="1" t="n">
        <v>5</v>
      </c>
      <c r="L1659" s="11" t="n">
        <v>0.999764085223358</v>
      </c>
      <c r="M1659" s="1" t="n">
        <f aca="false">SUMIF(Relatorio_AK!$A:$A,A1659,Relatorio_AK!$B:$B)</f>
        <v>5</v>
      </c>
      <c r="N1659" s="1" t="str">
        <f aca="false">IF(M1659=K1659,"OK","DIF")</f>
        <v>OK</v>
      </c>
      <c r="O1659" s="12" t="str">
        <f aca="false">IFERROR(VLOOKUP($A1659,Lista_Starke!$A:$E,3,0),"NÃO ESTÁ NA LISTA")</f>
        <v>NÃO ESTÁ NA LISTA</v>
      </c>
      <c r="P1659" s="12" t="str">
        <f aca="false">IFERROR(VLOOKUP($A1659,Lista_Starke!$A:$E,2,0),"NÃO ESTÁ NA LISTA")</f>
        <v>NÃO ESTÁ NA LISTA</v>
      </c>
    </row>
    <row r="1660" customFormat="false" ht="15" hidden="false" customHeight="true" outlineLevel="0" collapsed="false">
      <c r="A1660" s="10" t="s">
        <v>3575</v>
      </c>
      <c r="B1660" s="10" t="str">
        <f aca="false">IFERROR(VLOOKUP(A1660,Pedido!$A:$B,2,0),"")</f>
        <v/>
      </c>
      <c r="C1660" s="10" t="str">
        <f aca="false">IF(B1660="","NÃO COMPRA","COMPRA")</f>
        <v>NÃO COMPRA</v>
      </c>
      <c r="D1660" s="1" t="n">
        <f aca="false">IFERROR(VLOOKUP(A1660,Pedido!$A:$C,3,0),0)</f>
        <v>0</v>
      </c>
      <c r="E1660" s="5" t="n">
        <f aca="false">IFERROR(VLOOKUP(A1660,Pedido!$A:$E,5,0),0)</f>
        <v>0</v>
      </c>
      <c r="F1660" s="1" t="s">
        <v>9</v>
      </c>
      <c r="G1660" s="1" t="s">
        <v>841</v>
      </c>
      <c r="H1660" s="1" t="s">
        <v>197</v>
      </c>
      <c r="I1660" s="1" t="s">
        <v>50</v>
      </c>
      <c r="K1660" s="1" t="n">
        <v>5</v>
      </c>
      <c r="L1660" s="11" t="n">
        <v>0.999772632860193</v>
      </c>
      <c r="M1660" s="1" t="n">
        <f aca="false">SUMIF(Relatorio_AK!$A:$A,A1660,Relatorio_AK!$B:$B)</f>
        <v>5</v>
      </c>
      <c r="N1660" s="1" t="str">
        <f aca="false">IF(M1660=K1660,"OK","DIF")</f>
        <v>OK</v>
      </c>
      <c r="O1660" s="12" t="str">
        <f aca="false">IFERROR(VLOOKUP($A1660,Lista_Starke!$A:$E,3,0),"NÃO ESTÁ NA LISTA")</f>
        <v>NÃO ESTÁ NA LISTA</v>
      </c>
      <c r="P1660" s="12" t="str">
        <f aca="false">IFERROR(VLOOKUP($A1660,Lista_Starke!$A:$E,2,0),"NÃO ESTÁ NA LISTA")</f>
        <v>NÃO ESTÁ NA LISTA</v>
      </c>
    </row>
    <row r="1661" customFormat="false" ht="15" hidden="false" customHeight="true" outlineLevel="0" collapsed="false">
      <c r="A1661" s="10" t="s">
        <v>3576</v>
      </c>
      <c r="B1661" s="10" t="str">
        <f aca="false">IFERROR(VLOOKUP(A1661,Pedido!$A:$B,2,0),"")</f>
        <v/>
      </c>
      <c r="C1661" s="10" t="str">
        <f aca="false">IF(B1661="","NÃO COMPRA","COMPRA")</f>
        <v>NÃO COMPRA</v>
      </c>
      <c r="D1661" s="1" t="n">
        <f aca="false">IFERROR(VLOOKUP(A1661,Pedido!$A:$C,3,0),0)</f>
        <v>0</v>
      </c>
      <c r="E1661" s="5" t="n">
        <f aca="false">IFERROR(VLOOKUP(A1661,Pedido!$A:$E,5,0),0)</f>
        <v>0</v>
      </c>
      <c r="F1661" s="1" t="s">
        <v>9</v>
      </c>
      <c r="G1661" s="1" t="s">
        <v>349</v>
      </c>
      <c r="H1661" s="1" t="s">
        <v>197</v>
      </c>
      <c r="I1661" s="1" t="s">
        <v>57</v>
      </c>
      <c r="K1661" s="1" t="n">
        <v>5</v>
      </c>
      <c r="L1661" s="11" t="n">
        <v>0.999781180497028</v>
      </c>
      <c r="M1661" s="1" t="n">
        <f aca="false">SUMIF(Relatorio_AK!$A:$A,A1661,Relatorio_AK!$B:$B)</f>
        <v>5</v>
      </c>
      <c r="N1661" s="1" t="str">
        <f aca="false">IF(M1661=K1661,"OK","DIF")</f>
        <v>OK</v>
      </c>
      <c r="O1661" s="12" t="str">
        <f aca="false">IFERROR(VLOOKUP($A1661,Lista_Starke!$A:$E,3,0),"NÃO ESTÁ NA LISTA")</f>
        <v>NÃO ESTÁ NA LISTA</v>
      </c>
      <c r="P1661" s="12" t="str">
        <f aca="false">IFERROR(VLOOKUP($A1661,Lista_Starke!$A:$E,2,0),"NÃO ESTÁ NA LISTA")</f>
        <v>NÃO ESTÁ NA LISTA</v>
      </c>
    </row>
    <row r="1662" customFormat="false" ht="15" hidden="false" customHeight="true" outlineLevel="0" collapsed="false">
      <c r="A1662" s="10" t="s">
        <v>3577</v>
      </c>
      <c r="B1662" s="10" t="str">
        <f aca="false">IFERROR(VLOOKUP(A1662,Pedido!$A:$B,2,0),"")</f>
        <v/>
      </c>
      <c r="C1662" s="10" t="str">
        <f aca="false">IF(B1662="","NÃO COMPRA","COMPRA")</f>
        <v>NÃO COMPRA</v>
      </c>
      <c r="D1662" s="1" t="n">
        <f aca="false">IFERROR(VLOOKUP(A1662,Pedido!$A:$C,3,0),0)</f>
        <v>0</v>
      </c>
      <c r="E1662" s="5" t="n">
        <f aca="false">IFERROR(VLOOKUP(A1662,Pedido!$A:$E,5,0),0)</f>
        <v>0</v>
      </c>
      <c r="F1662" s="1" t="s">
        <v>9</v>
      </c>
      <c r="G1662" s="1" t="s">
        <v>1326</v>
      </c>
      <c r="H1662" s="1" t="s">
        <v>197</v>
      </c>
      <c r="I1662" s="1" t="s">
        <v>2347</v>
      </c>
      <c r="K1662" s="1" t="n">
        <v>5</v>
      </c>
      <c r="L1662" s="11" t="n">
        <v>0.999789728133863</v>
      </c>
      <c r="M1662" s="1" t="n">
        <f aca="false">SUMIF(Relatorio_AK!$A:$A,A1662,Relatorio_AK!$B:$B)</f>
        <v>5</v>
      </c>
      <c r="N1662" s="1" t="str">
        <f aca="false">IF(M1662=K1662,"OK","DIF")</f>
        <v>OK</v>
      </c>
      <c r="O1662" s="13" t="str">
        <f aca="false">IFERROR(VLOOKUP($A1662,Lista_Starke!$A:$E,3,0),"NÃO ESTÁ NA LISTA")</f>
        <v>LEXUS: ES300 3.0 V6   3VZ FE 91/03
TOYOTA: Camry 3.0 V6   3VZ FE 92/06</v>
      </c>
      <c r="P1662" s="12" t="str">
        <f aca="false">IFERROR(VLOOKUP($A1662,Lista_Starke!$A:$E,2,0),"NÃO ESTÁ NA LISTA")</f>
        <v>BOMBA D'ÁGUA</v>
      </c>
    </row>
    <row r="1663" customFormat="false" ht="15" hidden="false" customHeight="true" outlineLevel="0" collapsed="false">
      <c r="A1663" s="10" t="s">
        <v>3578</v>
      </c>
      <c r="B1663" s="10" t="str">
        <f aca="false">IFERROR(VLOOKUP(A1663,Pedido!$A:$B,2,0),"")</f>
        <v/>
      </c>
      <c r="C1663" s="10" t="str">
        <f aca="false">IF(B1663="","NÃO COMPRA","COMPRA")</f>
        <v>NÃO COMPRA</v>
      </c>
      <c r="D1663" s="1" t="n">
        <f aca="false">IFERROR(VLOOKUP(A1663,Pedido!$A:$C,3,0),0)</f>
        <v>0</v>
      </c>
      <c r="E1663" s="5" t="n">
        <f aca="false">IFERROR(VLOOKUP(A1663,Pedido!$A:$E,5,0),0)</f>
        <v>0</v>
      </c>
      <c r="F1663" s="1" t="s">
        <v>9</v>
      </c>
      <c r="G1663" s="1" t="s">
        <v>2758</v>
      </c>
      <c r="H1663" s="1" t="s">
        <v>28</v>
      </c>
      <c r="I1663" s="1" t="s">
        <v>373</v>
      </c>
      <c r="J1663" s="1" t="s">
        <v>3579</v>
      </c>
      <c r="K1663" s="1" t="n">
        <v>5</v>
      </c>
      <c r="L1663" s="11" t="n">
        <v>0.999798275770698</v>
      </c>
      <c r="M1663" s="1" t="n">
        <f aca="false">SUMIF(Relatorio_AK!$A:$A,A1663,Relatorio_AK!$B:$B)</f>
        <v>5</v>
      </c>
      <c r="N1663" s="1" t="str">
        <f aca="false">IF(M1663=K1663,"OK","DIF")</f>
        <v>OK</v>
      </c>
      <c r="O1663" s="13" t="str">
        <f aca="false">IFERROR(VLOOKUP($A1663,Lista_Starke!$A:$E,3,0),"NÃO ESTÁ NA LISTA")</f>
        <v>MERCEDES-BENZ: 1938 S OM457LA 12.0 L 24V SOHV L6 00/05
MERCEDES-BENZ: 912 OM364A 4.0 L 8V SOHV L4 88/03
MERCEDES-BENZ: L 709 OM 364 4.0 L 8V SOHV L4 89/93
MERCEDES-BENZ: L 709 37/42 OM364 4.0 L 8V SOHV L4 89/96
MERCEDES-BENZ: LO 812 OM 364 4.0 L 8V SOHV L4 88/98
MERCEDES-BENZ: LO 812 OM 364 LA 4.0 L 8V SOHV L4 03/05
MERCEDES-BENZ: LS 1630 OM449LA 10.0 L 10V SOHV L5 90/00
MERCEDES-BENZ: LS 1938 OM 457LA 12.0 L 24V SOHV L6_x0001_ 98/05
MERCEDES-BENZ: LS 1941 OM447LA 12.0 L 12V SOHV L6 91
MERCEDES-BENZ: OF 1620 OM366 6.0 L 12V SOHV L6 93/03
MERCEDES-BENZ: OF 809 OM364 4.0 L 8V SOHV L4 96</v>
      </c>
      <c r="P1663" s="12" t="str">
        <f aca="false">IFERROR(VLOOKUP($A1663,Lista_Starke!$A:$E,2,0),"NÃO ESTÁ NA LISTA")</f>
        <v>CILINDRO AUXILIAR DE EMBREAGEM</v>
      </c>
    </row>
    <row r="1664" customFormat="false" ht="15" hidden="false" customHeight="true" outlineLevel="0" collapsed="false">
      <c r="A1664" s="10" t="s">
        <v>3580</v>
      </c>
      <c r="B1664" s="10" t="str">
        <f aca="false">IFERROR(VLOOKUP(A1664,Pedido!$A:$B,2,0),"")</f>
        <v/>
      </c>
      <c r="C1664" s="10" t="str">
        <f aca="false">IF(B1664="","NÃO COMPRA","COMPRA")</f>
        <v>NÃO COMPRA</v>
      </c>
      <c r="D1664" s="1" t="n">
        <f aca="false">IFERROR(VLOOKUP(A1664,Pedido!$A:$C,3,0),0)</f>
        <v>0</v>
      </c>
      <c r="E1664" s="5" t="n">
        <f aca="false">IFERROR(VLOOKUP(A1664,Pedido!$A:$E,5,0),0)</f>
        <v>0</v>
      </c>
      <c r="F1664" s="1" t="s">
        <v>9</v>
      </c>
      <c r="G1664" s="1" t="s">
        <v>193</v>
      </c>
      <c r="H1664" s="1" t="s">
        <v>32</v>
      </c>
      <c r="I1664" s="1" t="s">
        <v>53</v>
      </c>
      <c r="J1664" s="1" t="s">
        <v>3581</v>
      </c>
      <c r="K1664" s="1" t="n">
        <v>5</v>
      </c>
      <c r="L1664" s="11" t="n">
        <v>0.999806823407533</v>
      </c>
      <c r="M1664" s="1" t="n">
        <f aca="false">SUMIF(Relatorio_AK!$A:$A,A1664,Relatorio_AK!$B:$B)</f>
        <v>5</v>
      </c>
      <c r="N1664" s="1" t="str">
        <f aca="false">IF(M1664=K1664,"OK","DIF")</f>
        <v>OK</v>
      </c>
      <c r="O1664" s="13" t="str">
        <f aca="false">IFERROR(VLOOKUP($A1664,Lista_Starke!$A:$E,3,0),"NÃO ESTÁ NA LISTA")</f>
        <v>FORD: Cargo C 1419 S Cummins ISB 4.5 L 16V SOHV L4 16/...
FORD: Cargo C 1519 S Cummins ISB 4.5 L 16V SOHV L4 16/...
FORD: Cargo C 1719 S Cummins ISB 4.5 L 16V SOHV L4 16/...
FORD: Cargo C 1723 B TORQSHIFT Cummins ISB 6.7 L 24V SOHV L6 16/...
FORD: Cargo C 1723 BL TORQSHIFT Cummins ISB 6.7 L 24V SOHV L6 16/...
FORD: Cargo C 1723 K TORQSHIFT Cummins ISB 6.7 L 24V SOHV L6 16/...
FORD: Cargo C 1729 B TORQSHIFT Cummins ISB 6.7 L 24V SOHV L6 16/...
FORD: Cargo C 1729 BL TORQSHIFT Cummins ISB 6.7 L 24V SOHV L6 16/...
FORD: Cargo C 1729 BTL TORQSHIFT Cummins ISB 6.7 L 24V SOHV L6 16/...
FORD: Cargo C 1731 R Cummins ISB 6.7 L 24V SOHV L6 18/...
FORD: Cargo C 1731 R TORQSHIFT Cummins ISB 6.7 L 24V SOHV L6 18/...
FORD: Cargo C 1933 BTL TORQSHIFT Cummins ISL 8.9 L 24V SOHV L6 16/...
FORD: Cargo C 2423 B TORQSHIFT Cummins ISB 6.7 L 24V SOHV L6 16/...
FORD: Cargo C 2423 BL TORQSHIFT Cummins ISB 6.7 L 24V SOHV L6 16/...
FORD: Cargo C 2429 B TORQSHIFT Cummins ISB 6.7 L 24V SOHV L6 16/18
FORD: Cargo C 2429 BL TORQSHIFT Cummins ISB 6.7 L 24V SOHV L6 16/18
FORD: Cargo C 2431 Cummins ISB 6.7 L 24V SOHV L6 18/...
FORD: Cargo C 2431 TORQSHIFT Cummins ISB 6.7 L 24V SOHV L6 18/...
FORD: Cargo C 2631 Cummins ISB 6.7 L 24V SOHV L6 18/...
FORD: Cargo C 3031 Cummins ISB 6.7 L 24V SOHV L6 18/...
FORD: Cargo C 3031 TORQSHIFT Cummins ISB 6.7 L 24V SOHV L6 18/...
FORD: Cargo C 3129 6X4 Cummins ISB 6.7 L 24V SOHV L6 16/...
FORD: Cargo C 3129 6X4 M Cummins ISB 6.7 L 24V SOHV L6 16/...
FORD: Cargo C 3131 Cummins ISB 6.7 L 24V SOHV L6 18/...</v>
      </c>
      <c r="P1664" s="12" t="str">
        <f aca="false">IFERROR(VLOOKUP($A1664,Lista_Starke!$A:$E,2,0),"NÃO ESTÁ NA LISTA")</f>
        <v>CILINDRO MESTRE DE EMBREAGEM</v>
      </c>
    </row>
    <row r="1665" customFormat="false" ht="15" hidden="false" customHeight="true" outlineLevel="0" collapsed="false">
      <c r="A1665" s="10" t="s">
        <v>3582</v>
      </c>
      <c r="B1665" s="10" t="str">
        <f aca="false">IFERROR(VLOOKUP(A1665,Pedido!$A:$B,2,0),"")</f>
        <v/>
      </c>
      <c r="C1665" s="10" t="str">
        <f aca="false">IF(B1665="","NÃO COMPRA","COMPRA")</f>
        <v>NÃO COMPRA</v>
      </c>
      <c r="D1665" s="1" t="n">
        <f aca="false">IFERROR(VLOOKUP(A1665,Pedido!$A:$C,3,0),0)</f>
        <v>0</v>
      </c>
      <c r="E1665" s="5" t="n">
        <f aca="false">IFERROR(VLOOKUP(A1665,Pedido!$A:$E,5,0),0)</f>
        <v>0</v>
      </c>
      <c r="F1665" s="1" t="s">
        <v>9</v>
      </c>
      <c r="G1665" s="1" t="s">
        <v>32</v>
      </c>
      <c r="H1665" s="1" t="s">
        <v>32</v>
      </c>
      <c r="I1665" s="1" t="s">
        <v>3583</v>
      </c>
      <c r="J1665" s="1" t="s">
        <v>3584</v>
      </c>
      <c r="K1665" s="1" t="n">
        <v>5</v>
      </c>
      <c r="L1665" s="11" t="n">
        <v>0.999815371044367</v>
      </c>
      <c r="M1665" s="1" t="n">
        <f aca="false">SUMIF(Relatorio_AK!$A:$A,A1665,Relatorio_AK!$B:$B)</f>
        <v>5</v>
      </c>
      <c r="N1665" s="1" t="str">
        <f aca="false">IF(M1665=K1665,"OK","DIF")</f>
        <v>OK</v>
      </c>
      <c r="O1665" s="13" t="str">
        <f aca="false">IFERROR(VLOOKUP($A1665,Lista_Starke!$A:$E,3,0),"NÃO ESTÁ NA LISTA")</f>
        <v>AGRALE: FURGOVAN 6000 SPRINT EURO 3 2.8 L 12V SOHC L4 05/11
AGRALE: MA 7.5E SERIE 12 / X12 4.8 L 8V SOHV L4 05
AGRALE: MA 8.0 4 BT 3.9 L 8V SOHV L4 05/11
AGRALE: MA 8.0T SERIE 10 / X10 4.3 L 8V SOHV L4 05/11
AGRALE: MA 8.5 SERIE 12 / X12 4.8 L 8V SOHV L4 05/11
AGRALE: MA 8.5E SERIE 12 / X12 4.8 L 8V SOHV L4 05/11
AGRALE: MA 9.2 Cummins ISF 3.8 L 16V SOHV L4 12/...
AGRALE: MA 9.2 SERIE 10 / X10 4.3 L 8V SOHV L4_x0001_ 04/07
AGRALE: MA 9.2 E Cummins ISF 3.8 L 16V SOHV L4 04/11
AGRALE: MA 9.2 E-TRONIC EV Cummins ISF 3.8 L 16V SOHV L4 12/...
AGRALE: MA 9.2 E-TRONIC EV MAXXFORCE 4.8H 4.8 L 16V SOHV L4 12/...
AGRALE: MA 9.2E SERIE 12 / X12 4.8 L 8V SOHV L4 04/11</v>
      </c>
      <c r="P1665" s="12" t="str">
        <f aca="false">IFERROR(VLOOKUP($A1665,Lista_Starke!$A:$E,2,0),"NÃO ESTÁ NA LISTA")</f>
        <v>CILINDRO MESTRE DE EMBREAGEM</v>
      </c>
    </row>
    <row r="1666" customFormat="false" ht="15" hidden="false" customHeight="true" outlineLevel="0" collapsed="false">
      <c r="A1666" s="10" t="s">
        <v>3585</v>
      </c>
      <c r="B1666" s="10" t="str">
        <f aca="false">IFERROR(VLOOKUP(A1666,Pedido!$A:$B,2,0),"")</f>
        <v/>
      </c>
      <c r="C1666" s="10" t="str">
        <f aca="false">IF(B1666="","NÃO COMPRA","COMPRA")</f>
        <v>NÃO COMPRA</v>
      </c>
      <c r="D1666" s="1" t="n">
        <f aca="false">IFERROR(VLOOKUP(A1666,Pedido!$A:$C,3,0),0)</f>
        <v>0</v>
      </c>
      <c r="E1666" s="5" t="n">
        <f aca="false">IFERROR(VLOOKUP(A1666,Pedido!$A:$E,5,0),0)</f>
        <v>0</v>
      </c>
      <c r="F1666" s="1" t="s">
        <v>9</v>
      </c>
      <c r="G1666" s="1" t="s">
        <v>3086</v>
      </c>
      <c r="H1666" s="1" t="s">
        <v>32</v>
      </c>
      <c r="I1666" s="1" t="s">
        <v>373</v>
      </c>
      <c r="J1666" s="1" t="s">
        <v>3586</v>
      </c>
      <c r="K1666" s="1" t="n">
        <v>5</v>
      </c>
      <c r="L1666" s="11" t="n">
        <v>0.999823918681202</v>
      </c>
      <c r="M1666" s="1" t="n">
        <f aca="false">SUMIF(Relatorio_AK!$A:$A,A1666,Relatorio_AK!$B:$B)</f>
        <v>5</v>
      </c>
      <c r="N1666" s="1" t="str">
        <f aca="false">IF(M1666=K1666,"OK","DIF")</f>
        <v>OK</v>
      </c>
      <c r="O1666" s="13" t="str">
        <f aca="false">IFERROR(VLOOKUP($A1666,Lista_Starke!$A:$E,3,0),"NÃO ESTÁ NA LISTA")</f>
        <v>MERCEDES-BENZ: O 370  84/...
MERCEDES-BENZ: O 371  84/...
MERCEDES-BENZ: OF 1318  87/...</v>
      </c>
      <c r="P1666" s="12" t="str">
        <f aca="false">IFERROR(VLOOKUP($A1666,Lista_Starke!$A:$E,2,0),"NÃO ESTÁ NA LISTA")</f>
        <v>CILINDRO MESTRE DE EMBREAGEM</v>
      </c>
    </row>
    <row r="1667" customFormat="false" ht="15" hidden="false" customHeight="true" outlineLevel="0" collapsed="false">
      <c r="A1667" s="10" t="s">
        <v>3587</v>
      </c>
      <c r="B1667" s="10" t="str">
        <f aca="false">IFERROR(VLOOKUP(A1667,Pedido!$A:$B,2,0),"")</f>
        <v/>
      </c>
      <c r="C1667" s="10" t="str">
        <f aca="false">IF(B1667="","NÃO COMPRA","COMPRA")</f>
        <v>NÃO COMPRA</v>
      </c>
      <c r="D1667" s="1" t="n">
        <f aca="false">IFERROR(VLOOKUP(A1667,Pedido!$A:$C,3,0),0)</f>
        <v>0</v>
      </c>
      <c r="E1667" s="5" t="n">
        <f aca="false">IFERROR(VLOOKUP(A1667,Pedido!$A:$E,5,0),0)</f>
        <v>0</v>
      </c>
      <c r="F1667" s="1" t="s">
        <v>9</v>
      </c>
      <c r="G1667" s="1" t="s">
        <v>2758</v>
      </c>
      <c r="H1667" s="1" t="s">
        <v>28</v>
      </c>
      <c r="I1667" s="1" t="s">
        <v>373</v>
      </c>
      <c r="J1667" s="1" t="s">
        <v>3588</v>
      </c>
      <c r="K1667" s="1" t="n">
        <v>5</v>
      </c>
      <c r="L1667" s="11" t="n">
        <v>0.999832466318037</v>
      </c>
      <c r="M1667" s="1" t="n">
        <f aca="false">SUMIF(Relatorio_AK!$A:$A,A1667,Relatorio_AK!$B:$B)</f>
        <v>5</v>
      </c>
      <c r="N1667" s="1" t="str">
        <f aca="false">IF(M1667=K1667,"OK","DIF")</f>
        <v>OK</v>
      </c>
      <c r="O1667" s="13" t="str">
        <f aca="false">IFERROR(VLOOKUP($A1667,Lista_Starke!$A:$E,3,0),"NÃO ESTÁ NA LISTA")</f>
        <v>MERCEDES-BENZ: 1720  84/05
MERCEDES-BENZ: 2423 K  99/09
MERCEDES-BENZ: L 1620  00/11
MERCEDES-BENZ: L 1621  89/99
MERCEDES-BENZ: LK 1621  89/99</v>
      </c>
      <c r="P1667" s="12" t="str">
        <f aca="false">IFERROR(VLOOKUP($A1667,Lista_Starke!$A:$E,2,0),"NÃO ESTÁ NA LISTA")</f>
        <v>CILINDRO AUXILIAR DE EMBREAGEM</v>
      </c>
    </row>
    <row r="1668" customFormat="false" ht="15" hidden="false" customHeight="true" outlineLevel="0" collapsed="false">
      <c r="A1668" s="10" t="s">
        <v>3589</v>
      </c>
      <c r="B1668" s="10" t="str">
        <f aca="false">IFERROR(VLOOKUP(A1668,Pedido!$A:$B,2,0),"")</f>
        <v/>
      </c>
      <c r="C1668" s="10" t="str">
        <f aca="false">IF(B1668="","NÃO COMPRA","COMPRA")</f>
        <v>NÃO COMPRA</v>
      </c>
      <c r="D1668" s="1" t="n">
        <f aca="false">IFERROR(VLOOKUP(A1668,Pedido!$A:$C,3,0),0)</f>
        <v>0</v>
      </c>
      <c r="E1668" s="5" t="n">
        <f aca="false">IFERROR(VLOOKUP(A1668,Pedido!$A:$E,5,0),0)</f>
        <v>0</v>
      </c>
      <c r="F1668" s="1" t="s">
        <v>9</v>
      </c>
      <c r="G1668" s="1" t="s">
        <v>3590</v>
      </c>
      <c r="H1668" s="1" t="s">
        <v>35</v>
      </c>
      <c r="I1668" s="1" t="s">
        <v>3591</v>
      </c>
      <c r="J1668" s="1" t="s">
        <v>3592</v>
      </c>
      <c r="K1668" s="1" t="n">
        <v>5</v>
      </c>
      <c r="L1668" s="11" t="n">
        <v>0.999841013954872</v>
      </c>
      <c r="M1668" s="1" t="n">
        <f aca="false">SUMIF(Relatorio_AK!$A:$A,A1668,Relatorio_AK!$B:$B)</f>
        <v>5</v>
      </c>
      <c r="N1668" s="1" t="str">
        <f aca="false">IF(M1668=K1668,"OK","DIF")</f>
        <v>OK</v>
      </c>
      <c r="O1668" s="12" t="str">
        <f aca="false">IFERROR(VLOOKUP($A1668,Lista_Starke!$A:$E,3,0),"NÃO ESTÁ NA LISTA")</f>
        <v>GMC: GMC 7110 4.3 8V 4HF1 96/03</v>
      </c>
      <c r="P1668" s="12" t="str">
        <f aca="false">IFERROR(VLOOKUP($A1668,Lista_Starke!$A:$E,2,0),"NÃO ESTÁ NA LISTA")</f>
        <v>CILINDRO MESTRE DE FREIO</v>
      </c>
    </row>
    <row r="1669" customFormat="false" ht="15" hidden="false" customHeight="true" outlineLevel="0" collapsed="false">
      <c r="A1669" s="10" t="s">
        <v>3593</v>
      </c>
      <c r="B1669" s="10" t="str">
        <f aca="false">IFERROR(VLOOKUP(A1669,Pedido!$A:$B,2,0),"")</f>
        <v/>
      </c>
      <c r="C1669" s="10" t="str">
        <f aca="false">IF(B1669="","NÃO COMPRA","COMPRA")</f>
        <v>NÃO COMPRA</v>
      </c>
      <c r="D1669" s="1" t="n">
        <f aca="false">IFERROR(VLOOKUP(A1669,Pedido!$A:$C,3,0),0)</f>
        <v>0</v>
      </c>
      <c r="E1669" s="5" t="n">
        <f aca="false">IFERROR(VLOOKUP(A1669,Pedido!$A:$E,5,0),0)</f>
        <v>0</v>
      </c>
      <c r="F1669" s="1" t="s">
        <v>9</v>
      </c>
      <c r="G1669" s="1" t="s">
        <v>2465</v>
      </c>
      <c r="H1669" s="1" t="s">
        <v>2466</v>
      </c>
      <c r="I1669" s="1" t="s">
        <v>177</v>
      </c>
      <c r="J1669" s="1" t="s">
        <v>3594</v>
      </c>
      <c r="K1669" s="1" t="n">
        <v>5</v>
      </c>
      <c r="L1669" s="11" t="n">
        <v>0.999849561591707</v>
      </c>
      <c r="M1669" s="1" t="n">
        <f aca="false">SUMIF(Relatorio_AK!$A:$A,A1669,Relatorio_AK!$B:$B)</f>
        <v>5</v>
      </c>
      <c r="N1669" s="1" t="str">
        <f aca="false">IF(M1669=K1669,"OK","DIF")</f>
        <v>OK</v>
      </c>
      <c r="O1669" s="13" t="str">
        <f aca="false">IFERROR(VLOOKUP($A1669,Lista_Starke!$A:$E,3,0),"NÃO ESTÁ NA LISTA")</f>
        <v>TOYOTA: Bandeirante OJ 50L 3.8 L 8V SOHV L4 OM314 Sist. ATE/Bosch 83/86
TOYOTA: Bandeirante OJ 50LVB 3.8 L 8V SOHV L4 OM314 Sist. ATE/Bosch 83/86
TOYOTA: Bandeirante OJ 55LPB 3.8 L 8V SOHV L4 OM314 Sist. ATE/Bosch 83/86</v>
      </c>
      <c r="P1669" s="12" t="str">
        <f aca="false">IFERROR(VLOOKUP($A1669,Lista_Starke!$A:$E,2,0),"NÃO ESTÁ NA LISTA")</f>
        <v>SERVO FREIO</v>
      </c>
    </row>
    <row r="1670" customFormat="false" ht="15" hidden="false" customHeight="true" outlineLevel="0" collapsed="false">
      <c r="A1670" s="10" t="s">
        <v>3595</v>
      </c>
      <c r="B1670" s="10" t="str">
        <f aca="false">IFERROR(VLOOKUP(A1670,Pedido!$A:$B,2,0),"")</f>
        <v/>
      </c>
      <c r="C1670" s="10" t="str">
        <f aca="false">IF(B1670="","NÃO COMPRA","COMPRA")</f>
        <v>NÃO COMPRA</v>
      </c>
      <c r="D1670" s="1" t="n">
        <f aca="false">IFERROR(VLOOKUP(A1670,Pedido!$A:$C,3,0),0)</f>
        <v>0</v>
      </c>
      <c r="E1670" s="5" t="n">
        <f aca="false">IFERROR(VLOOKUP(A1670,Pedido!$A:$E,5,0),0)</f>
        <v>0</v>
      </c>
      <c r="F1670" s="1" t="s">
        <v>9</v>
      </c>
      <c r="G1670" s="1" t="s">
        <v>3066</v>
      </c>
      <c r="H1670" s="1" t="s">
        <v>2466</v>
      </c>
      <c r="I1670" s="1" t="s">
        <v>53</v>
      </c>
      <c r="J1670" s="1" t="s">
        <v>3596</v>
      </c>
      <c r="K1670" s="1" t="n">
        <v>5</v>
      </c>
      <c r="L1670" s="11" t="n">
        <v>0.999858109228542</v>
      </c>
      <c r="M1670" s="1" t="n">
        <f aca="false">SUMIF(Relatorio_AK!$A:$A,A1670,Relatorio_AK!$B:$B)</f>
        <v>5</v>
      </c>
      <c r="N1670" s="1" t="str">
        <f aca="false">IF(M1670=K1670,"OK","DIF")</f>
        <v>OK</v>
      </c>
      <c r="O1670" s="12" t="str">
        <f aca="false">IFERROR(VLOOKUP($A1670,Lista_Starke!$A:$E,3,0),"NÃO ESTÁ NA LISTA")</f>
        <v>FORD: Fiesta 1.3 8V Endura 95</v>
      </c>
      <c r="P1670" s="12" t="str">
        <f aca="false">IFERROR(VLOOKUP($A1670,Lista_Starke!$A:$E,2,0),"NÃO ESTÁ NA LISTA")</f>
        <v>SERVO FREIO</v>
      </c>
    </row>
    <row r="1671" customFormat="false" ht="15" hidden="false" customHeight="true" outlineLevel="0" collapsed="false">
      <c r="A1671" s="10" t="s">
        <v>3597</v>
      </c>
      <c r="B1671" s="10" t="str">
        <f aca="false">IFERROR(VLOOKUP(A1671,Pedido!$A:$B,2,0),"")</f>
        <v/>
      </c>
      <c r="C1671" s="10" t="str">
        <f aca="false">IF(B1671="","NÃO COMPRA","COMPRA")</f>
        <v>NÃO COMPRA</v>
      </c>
      <c r="D1671" s="1" t="n">
        <f aca="false">IFERROR(VLOOKUP(A1671,Pedido!$A:$C,3,0),0)</f>
        <v>0</v>
      </c>
      <c r="E1671" s="5" t="n">
        <f aca="false">IFERROR(VLOOKUP(A1671,Pedido!$A:$E,5,0),0)</f>
        <v>0</v>
      </c>
      <c r="F1671" s="1" t="s">
        <v>9</v>
      </c>
      <c r="G1671" s="1" t="s">
        <v>1659</v>
      </c>
      <c r="H1671" s="1" t="s">
        <v>197</v>
      </c>
      <c r="I1671" s="1" t="s">
        <v>3598</v>
      </c>
      <c r="J1671" s="1" t="s">
        <v>3599</v>
      </c>
      <c r="K1671" s="1" t="n">
        <v>4</v>
      </c>
      <c r="L1671" s="11" t="n">
        <v>0.99986494733801</v>
      </c>
      <c r="M1671" s="1" t="n">
        <f aca="false">SUMIF(Relatorio_AK!$A:$A,A1671,Relatorio_AK!$B:$B)</f>
        <v>4</v>
      </c>
      <c r="N1671" s="1" t="str">
        <f aca="false">IF(M1671=K1671,"OK","DIF")</f>
        <v>OK</v>
      </c>
      <c r="O1671" s="13" t="str">
        <f aca="false">IFERROR(VLOOKUP($A1671,Lista_Starke!$A:$E,3,0),"NÃO ESTÁ NA LISTA")</f>
        <v>ALFA ROMEO: 145 1.8 16V 95/99
ALFA ROMEO: 145 QV 2.0 16V 95/99
ALFA ROMEO: 147 1.6 16V / 2.0 16V 01/…
ALFA ROMEO: 155 1.6 16V / 2.0 16V 97/…
ALFA ROMEO: 156 1.6 16V / 2.0 16V 97/…
FIAT: Marea / Marea Weekend 2.0 20V MPI 99/00
FIAT: Marea / Marea Weekend 2.4 20V Turbo 01/07
FIAT: Marea Turbo / Marea Weekend Turbo 2.0 20V Turbo MPI 99/07
FIAT: Stilo Abarth 2.4 20V MPI 03/09</v>
      </c>
      <c r="P1671" s="12" t="str">
        <f aca="false">IFERROR(VLOOKUP($A1671,Lista_Starke!$A:$E,2,0),"NÃO ESTÁ NA LISTA")</f>
        <v>BOMBA D'ÁGUA</v>
      </c>
    </row>
    <row r="1672" customFormat="false" ht="15" hidden="false" customHeight="true" outlineLevel="0" collapsed="false">
      <c r="A1672" s="10" t="s">
        <v>3600</v>
      </c>
      <c r="B1672" s="10" t="str">
        <f aca="false">IFERROR(VLOOKUP(A1672,Pedido!$A:$B,2,0),"")</f>
        <v/>
      </c>
      <c r="C1672" s="10" t="str">
        <f aca="false">IF(B1672="","NÃO COMPRA","COMPRA")</f>
        <v>NÃO COMPRA</v>
      </c>
      <c r="D1672" s="1" t="n">
        <f aca="false">IFERROR(VLOOKUP(A1672,Pedido!$A:$C,3,0),0)</f>
        <v>0</v>
      </c>
      <c r="E1672" s="5" t="n">
        <f aca="false">IFERROR(VLOOKUP(A1672,Pedido!$A:$E,5,0),0)</f>
        <v>0</v>
      </c>
      <c r="F1672" s="1" t="s">
        <v>9</v>
      </c>
      <c r="G1672" s="1" t="s">
        <v>483</v>
      </c>
      <c r="H1672" s="1" t="s">
        <v>197</v>
      </c>
      <c r="I1672" s="1" t="s">
        <v>36</v>
      </c>
      <c r="K1672" s="1" t="n">
        <v>4</v>
      </c>
      <c r="L1672" s="11" t="n">
        <v>0.999871785447478</v>
      </c>
      <c r="M1672" s="1" t="n">
        <f aca="false">SUMIF(Relatorio_AK!$A:$A,A1672,Relatorio_AK!$B:$B)</f>
        <v>4</v>
      </c>
      <c r="N1672" s="1" t="str">
        <f aca="false">IF(M1672=K1672,"OK","DIF")</f>
        <v>OK</v>
      </c>
      <c r="O1672" s="13" t="str">
        <f aca="false">IFERROR(VLOOKUP($A1672,Lista_Starke!$A:$E,3,0),"NÃO ESTÁ NA LISTA")</f>
        <v>VOLKSWAGEN: Crossfox 1.6 16V EA211 15/…
VOLKSWAGEN: Fox 1.0 12V 3 cil EA211 14/…
VOLKSWAGEN: Fox 1.6 16V EA211 15/…
VOLKSWAGEN: Fox Bluemotion 1.0 12V 3 cil EA211 14/…
VOLKSWAGEN: Gol 1.0 12V 3 cil EA211 14/…
VOLKSWAGEN: Gol 1.6 16V EA211 14/…
VOLKSWAGEN: Golf 1.6 16V EA211 16/…
VOLKSWAGEN: Saveiro 1.6 16V EA211 14/…
VOLKSWAGEN: Spacefox 1.6 16V EA211 14/…
VOLKSWAGEN: Up 1.0 12V 3 cil EA211 14/…
VOLKSWAGEN: Voyage 1.0 12V 3 cil EA211 16/…
VOLKSWAGEN: Voyage 1.6 16V EA211 14/…</v>
      </c>
      <c r="P1672" s="12" t="str">
        <f aca="false">IFERROR(VLOOKUP($A1672,Lista_Starke!$A:$E,2,0),"NÃO ESTÁ NA LISTA")</f>
        <v>BOMBA D'ÁGUA</v>
      </c>
    </row>
    <row r="1673" customFormat="false" ht="15" hidden="false" customHeight="true" outlineLevel="0" collapsed="false">
      <c r="A1673" s="10" t="s">
        <v>3601</v>
      </c>
      <c r="B1673" s="10" t="str">
        <f aca="false">IFERROR(VLOOKUP(A1673,Pedido!$A:$B,2,0),"")</f>
        <v/>
      </c>
      <c r="C1673" s="10" t="str">
        <f aca="false">IF(B1673="","NÃO COMPRA","COMPRA")</f>
        <v>NÃO COMPRA</v>
      </c>
      <c r="D1673" s="1" t="n">
        <f aca="false">IFERROR(VLOOKUP(A1673,Pedido!$A:$C,3,0),0)</f>
        <v>0</v>
      </c>
      <c r="E1673" s="5" t="n">
        <f aca="false">IFERROR(VLOOKUP(A1673,Pedido!$A:$E,5,0),0)</f>
        <v>0</v>
      </c>
      <c r="F1673" s="1" t="s">
        <v>9</v>
      </c>
      <c r="G1673" s="1" t="s">
        <v>1659</v>
      </c>
      <c r="H1673" s="1" t="s">
        <v>197</v>
      </c>
      <c r="I1673" s="1" t="s">
        <v>3598</v>
      </c>
      <c r="J1673" s="1" t="s">
        <v>3602</v>
      </c>
      <c r="K1673" s="1" t="n">
        <v>4</v>
      </c>
      <c r="L1673" s="11" t="n">
        <v>0.999878623556946</v>
      </c>
      <c r="M1673" s="1" t="n">
        <f aca="false">SUMIF(Relatorio_AK!$A:$A,A1673,Relatorio_AK!$B:$B)</f>
        <v>4</v>
      </c>
      <c r="N1673" s="1" t="str">
        <f aca="false">IF(M1673=K1673,"OK","DIF")</f>
        <v>OK</v>
      </c>
      <c r="O1673" s="13" t="str">
        <f aca="false">IFERROR(VLOOKUP($A1673,Lista_Starke!$A:$E,3,0),"NÃO ESTÁ NA LISTA")</f>
        <v>ALFA ROMEO: 145 1.8 16V Twin Spark 98/99
ALFA ROMEO: 145 2.0 16V MPI Twin Spark 96/97
ALFA ROMEO: 145 QV 2.0 16V MPI Twin Spark 96/99
ALFA ROMEO: 147 2.0 16V MPI Twin Spark 03/07
ALFA ROMEO: 155 2.0 16V MPI Twin Spark 95/98
ALFA ROMEO: 156 2.0 16V MPI Twin Spark 99/02
FIAT: Brava 1.8 16V MPI 00/03
FIAT: Marea / Marea Weekend 1.8 16V MPI 00/07</v>
      </c>
      <c r="P1673" s="12" t="str">
        <f aca="false">IFERROR(VLOOKUP($A1673,Lista_Starke!$A:$E,2,0),"NÃO ESTÁ NA LISTA")</f>
        <v>BOMBA D'ÁGUA</v>
      </c>
    </row>
    <row r="1674" customFormat="false" ht="15" hidden="false" customHeight="true" outlineLevel="0" collapsed="false">
      <c r="A1674" s="10" t="s">
        <v>3603</v>
      </c>
      <c r="B1674" s="10" t="str">
        <f aca="false">IFERROR(VLOOKUP(A1674,Pedido!$A:$B,2,0),"")</f>
        <v/>
      </c>
      <c r="C1674" s="10" t="str">
        <f aca="false">IF(B1674="","NÃO COMPRA","COMPRA")</f>
        <v>NÃO COMPRA</v>
      </c>
      <c r="D1674" s="1" t="n">
        <f aca="false">IFERROR(VLOOKUP(A1674,Pedido!$A:$C,3,0),0)</f>
        <v>0</v>
      </c>
      <c r="E1674" s="5" t="n">
        <f aca="false">IFERROR(VLOOKUP(A1674,Pedido!$A:$E,5,0),0)</f>
        <v>0</v>
      </c>
      <c r="F1674" s="1" t="s">
        <v>9</v>
      </c>
      <c r="G1674" s="1" t="s">
        <v>3604</v>
      </c>
      <c r="H1674" s="1" t="s">
        <v>197</v>
      </c>
      <c r="I1674" s="1" t="s">
        <v>1100</v>
      </c>
      <c r="J1674" s="1" t="s">
        <v>3605</v>
      </c>
      <c r="K1674" s="1" t="n">
        <v>4</v>
      </c>
      <c r="L1674" s="11" t="n">
        <v>0.999885461666413</v>
      </c>
      <c r="M1674" s="1" t="n">
        <f aca="false">SUMIF(Relatorio_AK!$A:$A,A1674,Relatorio_AK!$B:$B)</f>
        <v>4</v>
      </c>
      <c r="N1674" s="1" t="str">
        <f aca="false">IF(M1674=K1674,"OK","DIF")</f>
        <v>OK</v>
      </c>
      <c r="O1674" s="13" t="str">
        <f aca="false">IFERROR(VLOOKUP($A1674,Lista_Starke!$A:$E,3,0),"NÃO ESTÁ NA LISTA")</f>
        <v>SCANIA: F 94 9.0 6 cil. Série 94 98/03
SCANIA: K 94 9.0 6 cil. Série 94 98/09
SCANIA: L 94 9.0 6 cil. Série 94 98/05
SCANIA: P 94 9.0 6 cil. Série 94 98/09</v>
      </c>
      <c r="P1674" s="12" t="str">
        <f aca="false">IFERROR(VLOOKUP($A1674,Lista_Starke!$A:$E,2,0),"NÃO ESTÁ NA LISTA")</f>
        <v>BOMBA D'ÁGUA</v>
      </c>
    </row>
    <row r="1675" customFormat="false" ht="15" hidden="false" customHeight="true" outlineLevel="0" collapsed="false">
      <c r="A1675" s="10" t="s">
        <v>3606</v>
      </c>
      <c r="B1675" s="10" t="str">
        <f aca="false">IFERROR(VLOOKUP(A1675,Pedido!$A:$B,2,0),"")</f>
        <v/>
      </c>
      <c r="C1675" s="10" t="str">
        <f aca="false">IF(B1675="","NÃO COMPRA","COMPRA")</f>
        <v>NÃO COMPRA</v>
      </c>
      <c r="D1675" s="1" t="n">
        <f aca="false">IFERROR(VLOOKUP(A1675,Pedido!$A:$C,3,0),0)</f>
        <v>0</v>
      </c>
      <c r="E1675" s="5" t="n">
        <f aca="false">IFERROR(VLOOKUP(A1675,Pedido!$A:$E,5,0),0)</f>
        <v>0</v>
      </c>
      <c r="F1675" s="1" t="s">
        <v>9</v>
      </c>
      <c r="G1675" s="1" t="s">
        <v>1278</v>
      </c>
      <c r="H1675" s="1" t="s">
        <v>197</v>
      </c>
      <c r="I1675" s="1" t="s">
        <v>1431</v>
      </c>
      <c r="J1675" s="1" t="s">
        <v>3607</v>
      </c>
      <c r="K1675" s="1" t="n">
        <v>4</v>
      </c>
      <c r="L1675" s="11" t="n">
        <v>0.999892299775881</v>
      </c>
      <c r="M1675" s="1" t="n">
        <f aca="false">SUMIF(Relatorio_AK!$A:$A,A1675,Relatorio_AK!$B:$B)</f>
        <v>4</v>
      </c>
      <c r="N1675" s="1" t="str">
        <f aca="false">IF(M1675=K1675,"OK","DIF")</f>
        <v>OK</v>
      </c>
      <c r="O1675" s="13" t="str">
        <f aca="false">IFERROR(VLOOKUP($A1675,Lista_Starke!$A:$E,3,0),"NÃO ESTÁ NA LISTA")</f>
        <v>VOLVO: FH 13 12.8 D13A 6 cil. 06/14
VOLVO: FM 12.8 D11A 6 cil. 08/14
VOLVO: FM 13 12.8 D13A 6 cil. 06/14
VOLVO: FMX 12.8 D11A 6 cil. 08/14</v>
      </c>
      <c r="P1675" s="12" t="str">
        <f aca="false">IFERROR(VLOOKUP($A1675,Lista_Starke!$A:$E,2,0),"NÃO ESTÁ NA LISTA")</f>
        <v>BOMBA D'ÁGUA</v>
      </c>
    </row>
    <row r="1676" customFormat="false" ht="15" hidden="false" customHeight="true" outlineLevel="0" collapsed="false">
      <c r="A1676" s="10" t="s">
        <v>3608</v>
      </c>
      <c r="B1676" s="10" t="str">
        <f aca="false">IFERROR(VLOOKUP(A1676,Pedido!$A:$B,2,0),"")</f>
        <v/>
      </c>
      <c r="C1676" s="10" t="str">
        <f aca="false">IF(B1676="","NÃO COMPRA","COMPRA")</f>
        <v>NÃO COMPRA</v>
      </c>
      <c r="D1676" s="1" t="n">
        <f aca="false">IFERROR(VLOOKUP(A1676,Pedido!$A:$C,3,0),0)</f>
        <v>0</v>
      </c>
      <c r="E1676" s="5" t="n">
        <f aca="false">IFERROR(VLOOKUP(A1676,Pedido!$A:$E,5,0),0)</f>
        <v>0</v>
      </c>
      <c r="F1676" s="1" t="s">
        <v>9</v>
      </c>
      <c r="G1676" s="1" t="s">
        <v>3086</v>
      </c>
      <c r="H1676" s="1" t="s">
        <v>32</v>
      </c>
      <c r="I1676" s="1" t="s">
        <v>373</v>
      </c>
      <c r="J1676" s="1" t="s">
        <v>3609</v>
      </c>
      <c r="K1676" s="1" t="n">
        <v>4</v>
      </c>
      <c r="L1676" s="11" t="n">
        <v>0.999899137885349</v>
      </c>
      <c r="M1676" s="1" t="n">
        <f aca="false">SUMIF(Relatorio_AK!$A:$A,A1676,Relatorio_AK!$B:$B)</f>
        <v>4</v>
      </c>
      <c r="N1676" s="1" t="str">
        <f aca="false">IF(M1676=K1676,"OK","DIF")</f>
        <v>OK</v>
      </c>
      <c r="O1676" s="13" t="str">
        <f aca="false">IFERROR(VLOOKUP($A1676,Lista_Starke!$A:$E,3,0),"NÃO ESTÁ NA LISTA")</f>
        <v>MERCEDES-BENZ: Axor 1933 OM926LA 7.2 18V 05/11
MERCEDES-BENZ: Axor 1936 OM926LA 7.2 18V Bluetec 5 12/...
MERCEDES-BENZ: Axor 2533 OM926LA 7.2 18V 05/11
MERCEDES-BENZ: Axor 2548 OM926LA 7.2 18V 05/11
MERCEDES-BENZ: Axor 2640 S OM457LA 12.0 24V 05/11
MERCEDES-BENZ: Axor 3333 OM457LA 12.0 24V 05/11
MERCEDES-BENZ: Axor 3344 OM457LA 12.0 24V 05/11</v>
      </c>
      <c r="P1676" s="12" t="str">
        <f aca="false">IFERROR(VLOOKUP($A1676,Lista_Starke!$A:$E,2,0),"NÃO ESTÁ NA LISTA")</f>
        <v>CILINDRO MESTRE DE EMBREAGEM</v>
      </c>
    </row>
    <row r="1677" customFormat="false" ht="15" hidden="false" customHeight="true" outlineLevel="0" collapsed="false">
      <c r="A1677" s="10" t="s">
        <v>3610</v>
      </c>
      <c r="B1677" s="10" t="str">
        <f aca="false">IFERROR(VLOOKUP(A1677,Pedido!$A:$B,2,0),"")</f>
        <v/>
      </c>
      <c r="C1677" s="10" t="str">
        <f aca="false">IF(B1677="","NÃO COMPRA","COMPRA")</f>
        <v>NÃO COMPRA</v>
      </c>
      <c r="D1677" s="1" t="n">
        <f aca="false">IFERROR(VLOOKUP(A1677,Pedido!$A:$C,3,0),0)</f>
        <v>0</v>
      </c>
      <c r="E1677" s="5" t="n">
        <f aca="false">IFERROR(VLOOKUP(A1677,Pedido!$A:$E,5,0),0)</f>
        <v>0</v>
      </c>
      <c r="F1677" s="1" t="s">
        <v>9</v>
      </c>
      <c r="G1677" s="1" t="s">
        <v>3611</v>
      </c>
      <c r="H1677" s="1" t="s">
        <v>32</v>
      </c>
      <c r="I1677" s="1" t="s">
        <v>1431</v>
      </c>
      <c r="J1677" s="1" t="s">
        <v>3612</v>
      </c>
      <c r="K1677" s="1" t="n">
        <v>4</v>
      </c>
      <c r="L1677" s="11" t="n">
        <v>0.999905975994817</v>
      </c>
      <c r="M1677" s="1" t="n">
        <f aca="false">SUMIF(Relatorio_AK!$A:$A,A1677,Relatorio_AK!$B:$B)</f>
        <v>4</v>
      </c>
      <c r="N1677" s="1" t="str">
        <f aca="false">IF(M1677=K1677,"OK","DIF")</f>
        <v>OK</v>
      </c>
      <c r="O1677" s="13" t="str">
        <f aca="false">IFERROR(VLOOKUP($A1677,Lista_Starke!$A:$E,3,0),"NÃO ESTÁ NA LISTA")</f>
        <v>VOLVO: FH 12 380 D12A Câmbio ZT1816 94/99
VOLVO: FH 12 380 D12C Câmbio ZT1816 98/08
VOLVO: FH 12 380 D12D Câmbio SR1900 98/08
VOLVO: FH 12 420 D12D Câmbio VT2014 99/06
VOLVO: FH 13 400 D13A Câmbio I-Shift 06/17
VOLVO: FH 13 420 D13C420 Câmbio I-Shift AT2612D 12/...
VOLVO: FH 13 420 D13C420 Câmbio VT2214B 12/...
VOLVO: FH 13 420 D13C420 I-Shift AT2612F 12/...
VOLVO: FH 13 440 D13A Câmbio I-Shift 06/15
VOLVO: FH 13 460 D13C460 Câmbio I-Shift AT2612D 12/...
VOLVO: FH 13 460 D13C460 Câmbio I-Shift AT2612F 12/...
VOLVO: FH 13 460 D13C460 Câmbio VT2214B 12/...
VOLVO: FH 13 480 D13A Câmbio I-Shift 06/15
VOLVO: FH 13 500 D13C500 Câmbio I-Shift AT2612F 12/...
VOLVO: FH 13 500 D13C500 Câmbio I-Shit AT2612D 12/...
VOLVO: FH 13 500 D13C500 Câmbio VT2214B 12/...
VOLVO: FH 13 520 D13A Câmbio I-Shift AT2512 06/18
VOLVO: FH 13 540 D13C540 Câmbio VT2514B 08/...
VOLVO: FH 13 540 D13C540 Câmbio VT2814B 08/...
VOLVO: FM 11 370 D11A Câmbio I-Shift AT2612D 14/18
VOLVO: FM 11 370 D11C370 Câmbio VT2214B 14/18
VOLVO: FM 11 370 D11C370 Câmbo I-Shift 08/15
VOLVO: FM 12 340 D12C Câmbio ZT1816 01/06
VOLVO: FM 12 380 D12C Câmbio VT2014 00/06
VOLVO: FM 12 420 D11C370 Câmbio VT2014B 05/20
VOLVO: FM 12 420 D12D Câmbio VT2014 00/06
VOLVO: FM 12 FMX540 D12C Câmbio I-Shift AT2612D 16/...
VOLVO: FM 13 380 D13C380 Câmbio I-Shift AT2612F 15/...
VOLVO: FM 13 380 D13C380 Câmbio VT2214B 15/...
VOLVO: FM 13 FMX380 D13C380 Câmbio I-Shift AT2612D 17
VOLVO: FM 13 FMX380 D13C380 Câmbio VT2214B 17
VOLVO: FM 13 FMX380 D13C420 Câmbio AT2612F 17
VOLVO: FM 13 FMX420 D13A Câmbio I-Shift AT2612F 12/17
VOLVO: FM 13 FMX420 D13C420 Câmbio I-Shift AT2612D 12/17
VOLVO: FM 13 FMX420 D13C420 Câmbio VT2214B 12/17
VOLVO: FM 13 FMX440 D13C460 Câmbio I-Shift 11
VOLVO: FM 13 FMX460 D13A Câmbio I-Shift AT2612F 12/16
VOLVO: FM 13 FMX460 D13C460 Câmbio I-Shift AT2612D 12/17
VOLVO: FM 13 FMX460 D13C460 Câmbio VT2214B 12/17
VOLVO: FM 13 FMX480 D13C500 Câmbio I-Shift 11
VOLVO: FM 13 FMX500 D13C500 Câmbio I-Shift AT2612D 12/...
VOLVO: FM 13 FMX500 D13C500 Câmbio VT2214B 12/...
VOLVO: FM 13 FMX500 D13C500 Câmbio VT2514B 14/17
VOLVO: FM 13 FMX500 D13C540 Câmbio I-Shift AT2612F 12/17
VOLVO: FM 13 FMX540 D13C540 Câmbio I-Shift AT2612D 16/...
VOLVO: FM 13 FMX540 D13C540 Câmbio I-Shift AT2612F 16/...
VOLVO: FM 13 FMX540 D13C540 Câmbio VT2214B 16/...
VOLVO: FM 13 FMX540 D13C540 Câmbio VT2814B 16/17
VOLVO: NH 12 340 D12C Câmbio ZT1816 05/06
VOLVO: NH 12 380 D12C Câmbio ZT1816 99/06
VOLVO: NH 12 420 D12D Câmbio VT2014 99/06
VOLVO: NH 12 460 D12D Câmbio VT2014B 04/06
VOLVO: NH 12 FMX370 D12D Câmbio I-Shift 11/16</v>
      </c>
      <c r="P1677" s="12" t="str">
        <f aca="false">IFERROR(VLOOKUP($A1677,Lista_Starke!$A:$E,2,0),"NÃO ESTÁ NA LISTA")</f>
        <v>CILINDRO MESTRE DE EMBREAGEM</v>
      </c>
    </row>
    <row r="1678" customFormat="false" ht="15" hidden="false" customHeight="true" outlineLevel="0" collapsed="false">
      <c r="A1678" s="10" t="s">
        <v>3613</v>
      </c>
      <c r="B1678" s="10" t="str">
        <f aca="false">IFERROR(VLOOKUP(A1678,Pedido!$A:$B,2,0),"")</f>
        <v/>
      </c>
      <c r="C1678" s="10" t="str">
        <f aca="false">IF(B1678="","NÃO COMPRA","COMPRA")</f>
        <v>NÃO COMPRA</v>
      </c>
      <c r="D1678" s="1" t="n">
        <f aca="false">IFERROR(VLOOKUP(A1678,Pedido!$A:$C,3,0),0)</f>
        <v>0</v>
      </c>
      <c r="E1678" s="5" t="n">
        <f aca="false">IFERROR(VLOOKUP(A1678,Pedido!$A:$E,5,0),0)</f>
        <v>0</v>
      </c>
      <c r="F1678" s="1" t="s">
        <v>9</v>
      </c>
      <c r="G1678" s="1" t="s">
        <v>763</v>
      </c>
      <c r="H1678" s="1" t="s">
        <v>197</v>
      </c>
      <c r="I1678" s="1" t="s">
        <v>373</v>
      </c>
      <c r="J1678" s="1" t="s">
        <v>3614</v>
      </c>
      <c r="K1678" s="1" t="n">
        <v>3</v>
      </c>
      <c r="L1678" s="11" t="n">
        <v>0.999911104576918</v>
      </c>
      <c r="M1678" s="1" t="n">
        <f aca="false">SUMIF(Relatorio_AK!$A:$A,A1678,Relatorio_AK!$B:$B)</f>
        <v>3</v>
      </c>
      <c r="N1678" s="1" t="str">
        <f aca="false">IF(M1678=K1678,"OK","DIF")</f>
        <v>OK</v>
      </c>
      <c r="O1678" s="13" t="str">
        <f aca="false">IFERROR(VLOOKUP($A1678,Lista_Starke!$A:$E,3,0),"NÃO ESTÁ NA LISTA")</f>
        <v>MERCEDES-BENZ: Actros 2546 OM501LA 08/...
MERCEDES-BENZ: Actros 2646 OM501LA 10/...
MERCEDES-BENZ: Actros 4144 K OM501LA 08/...
MERCEDES-BENZ: Actros 4844 K OM501LA 08/...</v>
      </c>
      <c r="P1678" s="12" t="str">
        <f aca="false">IFERROR(VLOOKUP($A1678,Lista_Starke!$A:$E,2,0),"NÃO ESTÁ NA LISTA")</f>
        <v>BOMBA D'ÁGUA</v>
      </c>
    </row>
    <row r="1679" customFormat="false" ht="15" hidden="false" customHeight="true" outlineLevel="0" collapsed="false">
      <c r="A1679" s="10" t="s">
        <v>3615</v>
      </c>
      <c r="B1679" s="10" t="str">
        <f aca="false">IFERROR(VLOOKUP(A1679,Pedido!$A:$B,2,0),"")</f>
        <v/>
      </c>
      <c r="C1679" s="10" t="str">
        <f aca="false">IF(B1679="","NÃO COMPRA","COMPRA")</f>
        <v>NÃO COMPRA</v>
      </c>
      <c r="D1679" s="1" t="n">
        <f aca="false">IFERROR(VLOOKUP(A1679,Pedido!$A:$C,3,0),0)</f>
        <v>0</v>
      </c>
      <c r="E1679" s="5" t="n">
        <f aca="false">IFERROR(VLOOKUP(A1679,Pedido!$A:$E,5,0),0)</f>
        <v>0</v>
      </c>
      <c r="F1679" s="1" t="s">
        <v>9</v>
      </c>
      <c r="G1679" s="1" t="s">
        <v>3604</v>
      </c>
      <c r="H1679" s="1" t="s">
        <v>197</v>
      </c>
      <c r="I1679" s="1" t="s">
        <v>1100</v>
      </c>
      <c r="J1679" s="1" t="s">
        <v>3616</v>
      </c>
      <c r="K1679" s="1" t="n">
        <v>3</v>
      </c>
      <c r="L1679" s="11" t="n">
        <v>0.999916233159019</v>
      </c>
      <c r="M1679" s="1" t="n">
        <f aca="false">SUMIF(Relatorio_AK!$A:$A,A1679,Relatorio_AK!$B:$B)</f>
        <v>3</v>
      </c>
      <c r="N1679" s="1" t="str">
        <f aca="false">IF(M1679=K1679,"OK","DIF")</f>
        <v>OK</v>
      </c>
      <c r="O1679" s="13" t="str">
        <f aca="false">IFERROR(VLOOKUP($A1679,Lista_Starke!$A:$E,3,0),"NÃO ESTÁ NA LISTA")</f>
        <v>SCANIA: DSC 1202 11.0 DC11 / DC12 6 cil. 98/04
SCANIA: DSC 1205 11.0 DC11 / DC12 6 cil. 98/04
SCANIA: K 124 11.7 DC12 6 cil. 98/04
SCANIA: P 114 11.0 DC11 6 cil. 98/04
SCANIA: R 114 11.0 DC11 6 cil. 98/04
SCANIA: R 124 11.7 DC12 6 cil. 98/04
SCANIA: T 114 11.0 DC11 6 cil. 98/04
SCANIA: T 124 11.7 DC12 6 cil. 98/04</v>
      </c>
      <c r="P1679" s="12" t="str">
        <f aca="false">IFERROR(VLOOKUP($A1679,Lista_Starke!$A:$E,2,0),"NÃO ESTÁ NA LISTA")</f>
        <v>BOMBA D'ÁGUA</v>
      </c>
    </row>
    <row r="1680" customFormat="false" ht="15" hidden="false" customHeight="true" outlineLevel="0" collapsed="false">
      <c r="A1680" s="10" t="s">
        <v>3617</v>
      </c>
      <c r="B1680" s="10" t="str">
        <f aca="false">IFERROR(VLOOKUP(A1680,Pedido!$A:$B,2,0),"")</f>
        <v/>
      </c>
      <c r="C1680" s="10" t="str">
        <f aca="false">IF(B1680="","NÃO COMPRA","COMPRA")</f>
        <v>NÃO COMPRA</v>
      </c>
      <c r="D1680" s="1" t="n">
        <f aca="false">IFERROR(VLOOKUP(A1680,Pedido!$A:$C,3,0),0)</f>
        <v>0</v>
      </c>
      <c r="E1680" s="5" t="n">
        <f aca="false">IFERROR(VLOOKUP(A1680,Pedido!$A:$E,5,0),0)</f>
        <v>0</v>
      </c>
      <c r="F1680" s="1" t="s">
        <v>9</v>
      </c>
      <c r="G1680" s="1" t="s">
        <v>3604</v>
      </c>
      <c r="H1680" s="1" t="s">
        <v>197</v>
      </c>
      <c r="I1680" s="1" t="s">
        <v>1100</v>
      </c>
      <c r="J1680" s="1" t="s">
        <v>3618</v>
      </c>
      <c r="K1680" s="1" t="n">
        <v>3</v>
      </c>
      <c r="L1680" s="11" t="n">
        <v>0.99992136174112</v>
      </c>
      <c r="M1680" s="1" t="n">
        <f aca="false">SUMIF(Relatorio_AK!$A:$A,A1680,Relatorio_AK!$B:$B)</f>
        <v>3</v>
      </c>
      <c r="N1680" s="1" t="str">
        <f aca="false">IF(M1680=K1680,"OK","DIF")</f>
        <v>OK</v>
      </c>
      <c r="O1680" s="13" t="str">
        <f aca="false">IFERROR(VLOOKUP($A1680,Lista_Starke!$A:$E,3,0),"NÃO ESTÁ NA LISTA")</f>
        <v>SCANIA: DSC 1202 11.0 05/...
SCANIA: DSC 1205 11.0 05/...
SCANIA: F 230 11.7 DC9 5 cil. 17/21
SCANIA: K 124 11.7 DC12 6 cil. 05/08
SCANIA: K 230 11.7 DC9 5 cil. 08/10
SCANIA: K 270 11.7 09/...
SCANIA: K 310 11.7 08/...
SCANIA: P 114 11.0 05/...
SCANIA: P 230 11.7 08/...
SCANIA: P 250 11.7 12/...
SCANIA: P 270 11.7 08/...
SCANIA: P 310 11.7 04/...
SCANIA: R 114 11.0 DC11 6 cil. 05/07
SCANIA: R 124 11.7 DC12 6 cil. 05/10
SCANIA: T 114 11.0 DC11 6 cil. 2005
SCANIA: T 124 11.7 DC12 6 cil. 05/06</v>
      </c>
      <c r="P1680" s="12" t="str">
        <f aca="false">IFERROR(VLOOKUP($A1680,Lista_Starke!$A:$E,2,0),"NÃO ESTÁ NA LISTA")</f>
        <v>BOMBA D'ÁGUA</v>
      </c>
    </row>
    <row r="1681" customFormat="false" ht="15" hidden="false" customHeight="true" outlineLevel="0" collapsed="false">
      <c r="A1681" s="10" t="s">
        <v>3619</v>
      </c>
      <c r="B1681" s="10" t="str">
        <f aca="false">IFERROR(VLOOKUP(A1681,Pedido!$A:$B,2,0),"")</f>
        <v/>
      </c>
      <c r="C1681" s="10" t="str">
        <f aca="false">IF(B1681="","NÃO COMPRA","COMPRA")</f>
        <v>NÃO COMPRA</v>
      </c>
      <c r="D1681" s="1" t="n">
        <f aca="false">IFERROR(VLOOKUP(A1681,Pedido!$A:$C,3,0),0)</f>
        <v>0</v>
      </c>
      <c r="E1681" s="5" t="n">
        <f aca="false">IFERROR(VLOOKUP(A1681,Pedido!$A:$E,5,0),0)</f>
        <v>0</v>
      </c>
      <c r="F1681" s="1" t="s">
        <v>9</v>
      </c>
      <c r="G1681" s="1" t="s">
        <v>3086</v>
      </c>
      <c r="H1681" s="1" t="s">
        <v>32</v>
      </c>
      <c r="I1681" s="1" t="s">
        <v>373</v>
      </c>
      <c r="J1681" s="1" t="s">
        <v>3620</v>
      </c>
      <c r="K1681" s="1" t="n">
        <v>3</v>
      </c>
      <c r="L1681" s="11" t="n">
        <v>0.999926490323221</v>
      </c>
      <c r="M1681" s="1" t="n">
        <f aca="false">SUMIF(Relatorio_AK!$A:$A,A1681,Relatorio_AK!$B:$B)</f>
        <v>3</v>
      </c>
      <c r="N1681" s="1" t="str">
        <f aca="false">IF(M1681=K1681,"OK","DIF")</f>
        <v>OK</v>
      </c>
      <c r="O1681" s="13" t="str">
        <f aca="false">IFERROR(VLOOKUP($A1681,Lista_Starke!$A:$E,3,0),"NÃO ESTÁ NA LISTA")</f>
        <v>MERCEDES-BENZ: Actros  Todos
MERCEDES-BENZ: Atego  Todos
MERCEDES-BENZ: Axor  Todos</v>
      </c>
      <c r="P1681" s="12" t="str">
        <f aca="false">IFERROR(VLOOKUP($A1681,Lista_Starke!$A:$E,2,0),"NÃO ESTÁ NA LISTA")</f>
        <v>CILINDRO MESTRE DE EMBREAGEM</v>
      </c>
    </row>
    <row r="1682" customFormat="false" ht="15" hidden="false" customHeight="true" outlineLevel="0" collapsed="false">
      <c r="A1682" s="10" t="s">
        <v>3621</v>
      </c>
      <c r="B1682" s="10" t="str">
        <f aca="false">IFERROR(VLOOKUP(A1682,Pedido!$A:$B,2,0),"")</f>
        <v/>
      </c>
      <c r="C1682" s="10" t="str">
        <f aca="false">IF(B1682="","NÃO COMPRA","COMPRA")</f>
        <v>NÃO COMPRA</v>
      </c>
      <c r="D1682" s="1" t="n">
        <f aca="false">IFERROR(VLOOKUP(A1682,Pedido!$A:$C,3,0),0)</f>
        <v>0</v>
      </c>
      <c r="E1682" s="5" t="n">
        <f aca="false">IFERROR(VLOOKUP(A1682,Pedido!$A:$E,5,0),0)</f>
        <v>0</v>
      </c>
      <c r="F1682" s="1" t="s">
        <v>9</v>
      </c>
      <c r="G1682" s="1" t="s">
        <v>363</v>
      </c>
      <c r="H1682" s="1" t="s">
        <v>32</v>
      </c>
      <c r="I1682" s="1" t="s">
        <v>3622</v>
      </c>
      <c r="J1682" s="1" t="s">
        <v>3623</v>
      </c>
      <c r="K1682" s="1" t="n">
        <v>3</v>
      </c>
      <c r="L1682" s="11" t="n">
        <v>0.999931618905322</v>
      </c>
      <c r="M1682" s="1" t="n">
        <f aca="false">SUMIF(Relatorio_AK!$A:$A,A1682,Relatorio_AK!$B:$B)</f>
        <v>3</v>
      </c>
      <c r="N1682" s="1" t="str">
        <f aca="false">IF(M1682=K1682,"OK","DIF")</f>
        <v>OK</v>
      </c>
      <c r="O1682" s="13" t="str">
        <f aca="false">IFERROR(VLOOKUP($A1682,Lista_Starke!$A:$E,3,0),"NÃO ESTÁ NA LISTA")</f>
        <v>AGRALE: MA 12.0 MAXXFORCE 4.8H 4.8 L 16V SOHV L4 12/18
AGRALE: MA 12.0 E Interact 4 3.9 L 16V SOHV L4 05/09
MERCEDES-BENZ: LS 1929 OM355/6 LA 11.6 L 12V SOHV L6 83/98
MERCEDES-BENZ: LS 1935 OM477LA 12.0 L 12V SOHC L6 90/00
MERCEDES-BENZ: LS 1941 OM477LA 12.0 L 12V SOHV L6 90/00</v>
      </c>
      <c r="P1682" s="12" t="str">
        <f aca="false">IFERROR(VLOOKUP($A1682,Lista_Starke!$A:$E,2,0),"NÃO ESTÁ NA LISTA")</f>
        <v>CILINDRO MESTRE DE EMBREAGEM</v>
      </c>
    </row>
    <row r="1683" customFormat="false" ht="15" hidden="false" customHeight="true" outlineLevel="0" collapsed="false">
      <c r="A1683" s="10" t="s">
        <v>3624</v>
      </c>
      <c r="B1683" s="10" t="str">
        <f aca="false">IFERROR(VLOOKUP(A1683,Pedido!$A:$B,2,0),"")</f>
        <v/>
      </c>
      <c r="C1683" s="10" t="str">
        <f aca="false">IF(B1683="","NÃO COMPRA","COMPRA")</f>
        <v>NÃO COMPRA</v>
      </c>
      <c r="D1683" s="1" t="n">
        <f aca="false">IFERROR(VLOOKUP(A1683,Pedido!$A:$C,3,0),0)</f>
        <v>0</v>
      </c>
      <c r="E1683" s="5" t="n">
        <f aca="false">IFERROR(VLOOKUP(A1683,Pedido!$A:$E,5,0),0)</f>
        <v>0</v>
      </c>
      <c r="F1683" s="1" t="s">
        <v>9</v>
      </c>
      <c r="G1683" s="1" t="s">
        <v>145</v>
      </c>
      <c r="H1683" s="1" t="s">
        <v>28</v>
      </c>
      <c r="I1683" s="1" t="s">
        <v>3625</v>
      </c>
      <c r="J1683" s="1" t="s">
        <v>3626</v>
      </c>
      <c r="K1683" s="1" t="n">
        <v>3</v>
      </c>
      <c r="L1683" s="11" t="n">
        <v>0.999936747487422</v>
      </c>
      <c r="M1683" s="1" t="n">
        <f aca="false">SUMIF(Relatorio_AK!$A:$A,A1683,Relatorio_AK!$B:$B)</f>
        <v>3</v>
      </c>
      <c r="N1683" s="1" t="str">
        <f aca="false">IF(M1683=K1683,"OK","DIF")</f>
        <v>OK</v>
      </c>
      <c r="O1683" s="13" t="str">
        <f aca="false">IFERROR(VLOOKUP($A1683,Lista_Starke!$A:$E,3,0),"NÃO ESTÁ NA LISTA")</f>
        <v>AGRALE: 6000 SPRINT EURO 2.8 L 12V SOHC L4 00/05
AGRALE: 6000 E-MEC SERIE 10 / X10 4.3 L 8V SOHV L4 05/11
AGRALE: 7000 D MWM SERIE 229 3.9 L 8V SOHV L4 93/03
AGRALE: 7000 DX SERIE 10 / X10 4.3 L 8V SOHV L4 96/05
AGRALE: 7000 TDX SERIE 10 / X10 4.3 L 8V SOHV L4 96/05
AGRALE: 7500 TDX SERIE 10 / X10 4.3 L 8V SOHV L4 94/05
AGRALE: 8500 CE (4.08) SPRINT EURO 3.0 L 12V SOHC L4 05/11
AGRALE: 8500 CE (4.12) SERIE 12 / X12 4.8 L 8V SOHV L4 05/11
AGRALE: 8500 E-MEC SERIE 10 / X10 4.3 L 8V SOHV L4 05/11
AGRALE: 8500 E-MEC CD SERIE 10 / X10 4.3 L 8V SOHV L4 05/11
AGRALE: 8500 TDX SERIE 10 / X10 4.3 L 8V SOHV L4 97/05
AGRALE: 9200 SERIE 10 / X10 4.3 L 8V SOHV L4 03/05
AGRALE: 9200 CE (4.12) SERIE 12 / X12 4.8 L 8V SOHV L4 05/11
AGRALE: A8 VOLARE D SERIE 10 / X10 4.3 L 8V SOHV L4 00/06
AGRALE: FURGOVAN 6000 SPRINT EURO 2 2.8 L 12V SOHC L4 02/05
AGRALE: FURGOVAN 6000 SPRINT EURO 3 2.8 L 12V SOHC L4 05/11
AGRALE: MA 5.0 SPRINT EURO 2 2.8 L 12V SOHC L4 02/05
AGRALE: MA 6.0 SPRINT EURO 2 2.8 L 12V SOHC L4 98/06
AGRALE: MA 7.5E SERIE 12 / X12 4.8 L 8V SOHV L4 05
AGRALE: MA 7.5T SERIE 10 / X10 4.3 L 8V SOHV L4 96/05
AGRALE: MA 8.0 4 BT 3.9 L 8V SOHV L4 05/11
AGRALE: MA 8.0T SERIE 10 / X10 4.3 L 8V SOHV L4 05/11
AGRALE: MA 8.5 SERIE 12 / X12 4.8 L 8V SOHV L4 05/11
AGRALE: MA 8.5 SUPER 6 BT5.9 L 12V SOHV L6 96/05
AGRALE: MA 8.5E SERIE 12 / X12 4.8 L 8V SOHV L4 05/11
AGRALE: MA 8.5T SERIE 10 / X10 4.3 L 8V SOHV L4_x0001_ 96/05
AGRALE: MA 9.2 Cummins ISF 3.8 L 16V SOHV L4 12/...
AGRALE: MA 9.2 SERIE 10 / X10 4.3 L 8V SOHV L4_x0001_ 04/07
AGRALE: MA 9.2 E Cummins ISF 3.8 L 16V SOHV L4 04/11
AGRALE: MA 9.2 E-TRONIC EV Cummins ISF 3.8 L 16V SOHV L4 12/...
AGRALE: MA 9.2 E-TRONIC EV MAXXFORCE 4.8H 4.8 L 16V SOHV L4 12/...
AGRALE: MA 9.2E SERIE 12 / X12 4.8 L 8V SOHV L4 04/11
AGRALE: W8 SERIE 10 / X10 4.3 L 8V SOHV L4 03/04
FORD: 7.110 SERIE 10 / X10 4.3 L 8V SOHV L4 02/05
FORD: B 1618 SÉRIE 10 / X10 6.5 L 12V SOHV L6 93/98
FORD: B 1621 SÉRIE 10 / X10 6.5 L 12V SOHV L6 96/99
FORD: F-12000 SERIE 10 / X10 6.5 L 12V SOHV L6 95/98
FORD: F-14000 SERIE 10 / X10 6.5 L 12V SOHV L6 95/98
FORD: F1000 SERIE 10 / X10 4.3 L 8V SOHV L4 96/98
FORD: F4000 SERIE 10 / X10 4.3 L 8V SOHV L4 96/98
VOLKSWAGEN: 14.150 SERIE 10 / X10 6.5 L 12V SOHV L6 91/95
VOLKSWAGEN: 14.200 SERIE 10 / X10 6.5 L 12V SOHV L6 91/94
VOLKSWAGEN: 14.220 6 CTAA 8.3 L 12V SOHV L6 91/00
VOLKSWAGEN: 16.220 6 CT 8.3 L 12V SOHV L6 91/00
VOLKSWAGEN: 16.220 6 CTAA 8.3 L 12V SOHV L6 91/00
VOLKSWAGEN: 24.220 6 CT 8.3 L 12V SOHV L6 91/06
VOLKSWAGEN: 24.250 6 CTAA 8.3 L 12V SOHV L6 92/02
VOLKSWAGEN: 35.300 6 CTAA 8.3 L 12V SOHV L6 91/00
VOLKSWAGEN: 40.300 6 CTAA 8.3 L 12V SOHV L6 99/01
VOLKSWAGEN: 8.100 SERIE 10 / X10 4.3 L 8V SOHV L4 97/00
VOLKSWAGEN: 8.120 SERIE 10 / X10 4.3 L 8V SOHV L4 00/05
VOLKSWAGEN: 8.140 SERIE 10 / X10 4.3 L 8V SOHV L4_x0001_ 94/00
VOLKSWAGEN: 8.140 SERIE 10 / X10 4.3 L 8V SOHV L4 94/00
VOLKSWAGEN: 8.150 SERIE 10 / X10 4.3 L 8V SOHV L4 00/05
VOLKSWAGEN: 8.150 E INTERACT 4 3.9 L 16V SOHV L4 03/11
VOLKSWAGEN: 8.150 ODC INTERACT 4 3.9 L 16V SOHV L4 04/05
VOLKSWAGEN: 9.150 OD SERIE 10 / X10 4.3 L 8V SOHV L4_x0001_ 01/04</v>
      </c>
      <c r="P1683" s="12" t="str">
        <f aca="false">IFERROR(VLOOKUP($A1683,Lista_Starke!$A:$E,2,0),"NÃO ESTÁ NA LISTA")</f>
        <v>CILINDRO AUXILIAR DE EMBREAGEM</v>
      </c>
    </row>
    <row r="1684" customFormat="false" ht="15" hidden="false" customHeight="true" outlineLevel="0" collapsed="false">
      <c r="A1684" s="10" t="s">
        <v>3627</v>
      </c>
      <c r="B1684" s="10" t="str">
        <f aca="false">IFERROR(VLOOKUP(A1684,Pedido!$A:$B,2,0),"")</f>
        <v/>
      </c>
      <c r="C1684" s="10" t="str">
        <f aca="false">IF(B1684="","NÃO COMPRA","COMPRA")</f>
        <v>NÃO COMPRA</v>
      </c>
      <c r="D1684" s="1" t="n">
        <f aca="false">IFERROR(VLOOKUP(A1684,Pedido!$A:$C,3,0),0)</f>
        <v>0</v>
      </c>
      <c r="E1684" s="5" t="n">
        <f aca="false">IFERROR(VLOOKUP(A1684,Pedido!$A:$E,5,0),0)</f>
        <v>0</v>
      </c>
      <c r="F1684" s="1" t="s">
        <v>9</v>
      </c>
      <c r="G1684" s="1" t="s">
        <v>2292</v>
      </c>
      <c r="H1684" s="1" t="s">
        <v>1714</v>
      </c>
      <c r="I1684" s="1" t="s">
        <v>53</v>
      </c>
      <c r="J1684" s="1" t="s">
        <v>3628</v>
      </c>
      <c r="K1684" s="1" t="n">
        <v>3</v>
      </c>
      <c r="L1684" s="11" t="n">
        <v>0.999941876069523</v>
      </c>
      <c r="M1684" s="1" t="n">
        <f aca="false">SUMIF(Relatorio_AK!$A:$A,A1684,Relatorio_AK!$B:$B)</f>
        <v>3</v>
      </c>
      <c r="N1684" s="1" t="str">
        <f aca="false">IF(M1684=K1684,"OK","DIF")</f>
        <v>OK</v>
      </c>
      <c r="O1684" s="13" t="str">
        <f aca="false">IFERROR(VLOOKUP($A1684,Lista_Starke!$A:$E,3,0),"NÃO ESTÁ NA LISTA")</f>
        <v>FORD: F250 4.2 6 cil MWM Sprint 99/06
FORD: F350 4.2 6 cil MWM Sprint 99/06
FORD: F450 4.2 6 cil MWM Sprint 03/07</v>
      </c>
      <c r="P1684" s="12" t="str">
        <f aca="false">IFERROR(VLOOKUP($A1684,Lista_Starke!$A:$E,2,0),"NÃO ESTÁ NA LISTA")</f>
        <v>POLIA VISCOSA</v>
      </c>
    </row>
    <row r="1685" customFormat="false" ht="15" hidden="false" customHeight="true" outlineLevel="0" collapsed="false">
      <c r="A1685" s="10" t="s">
        <v>3629</v>
      </c>
      <c r="B1685" s="10" t="str">
        <f aca="false">IFERROR(VLOOKUP(A1685,Pedido!$A:$B,2,0),"")</f>
        <v/>
      </c>
      <c r="C1685" s="10" t="str">
        <f aca="false">IF(B1685="","NÃO COMPRA","COMPRA")</f>
        <v>NÃO COMPRA</v>
      </c>
      <c r="D1685" s="1" t="n">
        <f aca="false">IFERROR(VLOOKUP(A1685,Pedido!$A:$C,3,0),0)</f>
        <v>0</v>
      </c>
      <c r="E1685" s="5" t="n">
        <f aca="false">IFERROR(VLOOKUP(A1685,Pedido!$A:$E,5,0),0)</f>
        <v>0</v>
      </c>
      <c r="F1685" s="1" t="s">
        <v>9</v>
      </c>
      <c r="G1685" s="1" t="s">
        <v>2732</v>
      </c>
      <c r="H1685" s="1" t="s">
        <v>1714</v>
      </c>
      <c r="I1685" s="1" t="s">
        <v>255</v>
      </c>
      <c r="J1685" s="1" t="s">
        <v>3630</v>
      </c>
      <c r="K1685" s="1" t="n">
        <v>3</v>
      </c>
      <c r="L1685" s="11" t="n">
        <v>0.999947004651624</v>
      </c>
      <c r="M1685" s="1" t="n">
        <f aca="false">SUMIF(Relatorio_AK!$A:$A,A1685,Relatorio_AK!$B:$B)</f>
        <v>3</v>
      </c>
      <c r="N1685" s="1" t="str">
        <f aca="false">IF(M1685=K1685,"OK","DIF")</f>
        <v>OK</v>
      </c>
      <c r="O1685" s="13" t="str">
        <f aca="false">IFERROR(VLOOKUP($A1685,Lista_Starke!$A:$E,3,0),"NÃO ESTÁ NA LISTA")</f>
        <v>MITSUBISHI: L200 2.5 8V Turbo HPE 97/11
MITSUBISHI: Pajero Sport 2.5 8V Turbo HPE 06/12</v>
      </c>
      <c r="P1685" s="12" t="str">
        <f aca="false">IFERROR(VLOOKUP($A1685,Lista_Starke!$A:$E,2,0),"NÃO ESTÁ NA LISTA")</f>
        <v>POLIA VISCOSA</v>
      </c>
    </row>
    <row r="1686" customFormat="false" ht="15" hidden="false" customHeight="true" outlineLevel="0" collapsed="false">
      <c r="A1686" s="10" t="s">
        <v>3631</v>
      </c>
      <c r="B1686" s="10" t="str">
        <f aca="false">IFERROR(VLOOKUP(A1686,Pedido!$A:$B,2,0),"")</f>
        <v/>
      </c>
      <c r="C1686" s="10" t="str">
        <f aca="false">IF(B1686="","NÃO COMPRA","COMPRA")</f>
        <v>NÃO COMPRA</v>
      </c>
      <c r="D1686" s="1" t="n">
        <f aca="false">IFERROR(VLOOKUP(A1686,Pedido!$A:$C,3,0),0)</f>
        <v>0</v>
      </c>
      <c r="E1686" s="5" t="n">
        <f aca="false">IFERROR(VLOOKUP(A1686,Pedido!$A:$E,5,0),0)</f>
        <v>0</v>
      </c>
      <c r="F1686" s="1" t="s">
        <v>9</v>
      </c>
      <c r="G1686" s="1" t="s">
        <v>3632</v>
      </c>
      <c r="H1686" s="1" t="s">
        <v>1714</v>
      </c>
      <c r="I1686" s="1" t="s">
        <v>3633</v>
      </c>
      <c r="J1686" s="1" t="s">
        <v>3634</v>
      </c>
      <c r="K1686" s="1" t="n">
        <v>3</v>
      </c>
      <c r="L1686" s="11" t="n">
        <v>0.999952133233725</v>
      </c>
      <c r="M1686" s="1" t="n">
        <f aca="false">SUMIF(Relatorio_AK!$A:$A,A1686,Relatorio_AK!$B:$B)</f>
        <v>3</v>
      </c>
      <c r="N1686" s="1" t="str">
        <f aca="false">IF(M1686=K1686,"OK","DIF")</f>
        <v>OK</v>
      </c>
      <c r="O1686" s="13" t="str">
        <f aca="false">IFERROR(VLOOKUP($A1686,Lista_Starke!$A:$E,3,0),"NÃO ESTÁ NA LISTA")</f>
        <v>AGRALE: 14000 / 14000 S MWM EURO V 18/20
FORD: CARGO 1622 CUMMINS 91/03
FORD: CARGO 1630 CUMMINS 98/04
FORD: CARGO 1722 CUMMINS 02/06
FORD: CARGO 1731 CUMMINS 03/05
FORD: CARGO 2425 CUMMINS 95/03
FORD: CARGO 2626 CUMMINS 00/06
FORD: CARGO 2630 CUMMINS 98/02
FORD: CARGO 2631 CUMMINS 02/06
FORD: CARGO 4030 CUMMINS 94/04
FORD: F12000 CUMMINS 99/05
FORD: F14000 CUMMINS 99/05
FORD: F16000 CUMMINS 99/04
IVECO: Vertis 130V18 4x2 FPT EURO V 11/12
IVECO: Vertis 130V19 FPT EURO V 13/16
IVECO: Vertis 90V18 FPT EURO V 13/16
MAN / VW: 31.260 MWM 08/11
MAN / VW: 35.300 CUMMINS 91/99
MAN / VW: 40.300 CUMMINS 99/02
MAN / VW: Worker 16.300 CUMMINS 96/00
MAN / VW: Worker 17.210 MWM 04/07
MAN / VW: Worker 17.220 CUMMINS 06/11
MAN / VW: Worker 23.210 MWM 02/06
MAN / VW: Worker 24.220 CUMMINS 06/11
MAN / VW: Worker 24.250 CUMMINS 91/02
MAN / VW: Worker 26.220 CUMMINS 01/05
MAN / VW: Worker 26.260 MWM 08/11
MARCOPOLO: VOLARE ESCOLAR W9/DW9 MWM EURO V 19/21
MARCOPOLO: VOLARE EXECUTIVO W9/DW9 MWM EURO V 19/21</v>
      </c>
      <c r="P1686" s="12" t="str">
        <f aca="false">IFERROR(VLOOKUP($A1686,Lista_Starke!$A:$E,2,0),"NÃO ESTÁ NA LISTA")</f>
        <v>POLIA VISCOSA</v>
      </c>
    </row>
    <row r="1687" customFormat="false" ht="15" hidden="false" customHeight="true" outlineLevel="0" collapsed="false">
      <c r="A1687" s="10" t="s">
        <v>3635</v>
      </c>
      <c r="B1687" s="10" t="str">
        <f aca="false">IFERROR(VLOOKUP(A1687,Pedido!$A:$B,2,0),"")</f>
        <v>SFC 7034</v>
      </c>
      <c r="C1687" s="10" t="str">
        <f aca="false">IF(B1687="","NÃO COMPRA","COMPRA")</f>
        <v>COMPRA</v>
      </c>
      <c r="D1687" s="1" t="n">
        <f aca="false">IFERROR(VLOOKUP(A1687,Pedido!$A:$C,3,0),0)</f>
        <v>2</v>
      </c>
      <c r="E1687" s="5" t="n">
        <f aca="false">IFERROR(VLOOKUP(A1687,Pedido!$A:$E,5,0),0)</f>
        <v>755.44</v>
      </c>
      <c r="F1687" s="1" t="s">
        <v>9</v>
      </c>
      <c r="G1687" s="1" t="s">
        <v>3636</v>
      </c>
      <c r="H1687" s="1" t="s">
        <v>1714</v>
      </c>
      <c r="I1687" s="1" t="s">
        <v>3637</v>
      </c>
      <c r="J1687" s="1" t="s">
        <v>3638</v>
      </c>
      <c r="K1687" s="1" t="n">
        <v>3</v>
      </c>
      <c r="L1687" s="11" t="n">
        <v>0.999957261815826</v>
      </c>
      <c r="M1687" s="1" t="n">
        <f aca="false">SUMIF(Relatorio_AK!$A:$A,A1687,Relatorio_AK!$B:$B)</f>
        <v>3</v>
      </c>
      <c r="N1687" s="1" t="str">
        <f aca="false">IF(M1687=K1687,"OK","DIF")</f>
        <v>OK</v>
      </c>
      <c r="O1687" s="13" t="str">
        <f aca="false">IFERROR(VLOOKUP($A1687,Lista_Starke!$A:$E,3,0),"NÃO ESTÁ NA LISTA")</f>
        <v>CASE: Retroescavadeira 580M  
CASE: Retroescavadeira 580N  
NEW HOLLAND: Retroescavadeira B110B  
NEW HOLLAND: Retroescavadeira B90B  
NEW HOLLAND: Retroescavadeira B95B  </v>
      </c>
      <c r="P1687" s="12" t="str">
        <f aca="false">IFERROR(VLOOKUP($A1687,Lista_Starke!$A:$E,2,0),"NÃO ESTÁ NA LISTA")</f>
        <v>POLIA VISCOSA</v>
      </c>
    </row>
    <row r="1688" customFormat="false" ht="15" hidden="false" customHeight="true" outlineLevel="0" collapsed="false">
      <c r="A1688" s="10" t="s">
        <v>3639</v>
      </c>
      <c r="B1688" s="10" t="str">
        <f aca="false">IFERROR(VLOOKUP(A1688,Pedido!$A:$B,2,0),"")</f>
        <v/>
      </c>
      <c r="C1688" s="10" t="str">
        <f aca="false">IF(B1688="","NÃO COMPRA","COMPRA")</f>
        <v>NÃO COMPRA</v>
      </c>
      <c r="D1688" s="1" t="n">
        <f aca="false">IFERROR(VLOOKUP(A1688,Pedido!$A:$C,3,0),0)</f>
        <v>0</v>
      </c>
      <c r="E1688" s="5" t="n">
        <f aca="false">IFERROR(VLOOKUP(A1688,Pedido!$A:$E,5,0),0)</f>
        <v>0</v>
      </c>
      <c r="F1688" s="1" t="s">
        <v>9</v>
      </c>
      <c r="G1688" s="1" t="s">
        <v>349</v>
      </c>
      <c r="H1688" s="1" t="s">
        <v>197</v>
      </c>
      <c r="I1688" s="1" t="s">
        <v>57</v>
      </c>
      <c r="K1688" s="1" t="n">
        <v>2</v>
      </c>
      <c r="L1688" s="11" t="n">
        <v>0.99996068087056</v>
      </c>
      <c r="M1688" s="1" t="n">
        <f aca="false">SUMIF(Relatorio_AK!$A:$A,A1688,Relatorio_AK!$B:$B)</f>
        <v>2</v>
      </c>
      <c r="N1688" s="1" t="str">
        <f aca="false">IF(M1688=K1688,"OK","DIF")</f>
        <v>OK</v>
      </c>
      <c r="O1688" s="12" t="str">
        <f aca="false">IFERROR(VLOOKUP($A1688,Lista_Starke!$A:$E,3,0),"NÃO ESTÁ NA LISTA")</f>
        <v>NÃO ESTÁ NA LISTA</v>
      </c>
      <c r="P1688" s="12" t="str">
        <f aca="false">IFERROR(VLOOKUP($A1688,Lista_Starke!$A:$E,2,0),"NÃO ESTÁ NA LISTA")</f>
        <v>NÃO ESTÁ NA LISTA</v>
      </c>
    </row>
    <row r="1689" customFormat="false" ht="15" hidden="false" customHeight="true" outlineLevel="0" collapsed="false">
      <c r="A1689" s="10" t="s">
        <v>3640</v>
      </c>
      <c r="B1689" s="10" t="str">
        <f aca="false">IFERROR(VLOOKUP(A1689,Pedido!$A:$B,2,0),"")</f>
        <v/>
      </c>
      <c r="C1689" s="10" t="str">
        <f aca="false">IF(B1689="","NÃO COMPRA","COMPRA")</f>
        <v>NÃO COMPRA</v>
      </c>
      <c r="D1689" s="1" t="n">
        <f aca="false">IFERROR(VLOOKUP(A1689,Pedido!$A:$C,3,0),0)</f>
        <v>0</v>
      </c>
      <c r="E1689" s="5" t="n">
        <f aca="false">IFERROR(VLOOKUP(A1689,Pedido!$A:$E,5,0),0)</f>
        <v>0</v>
      </c>
      <c r="F1689" s="1" t="s">
        <v>9</v>
      </c>
      <c r="G1689" s="1" t="s">
        <v>3641</v>
      </c>
      <c r="H1689" s="1" t="s">
        <v>197</v>
      </c>
      <c r="I1689" s="1" t="s">
        <v>3642</v>
      </c>
      <c r="K1689" s="1" t="n">
        <v>2</v>
      </c>
      <c r="L1689" s="11" t="n">
        <v>0.999964099925294</v>
      </c>
      <c r="M1689" s="1" t="n">
        <f aca="false">SUMIF(Relatorio_AK!$A:$A,A1689,Relatorio_AK!$B:$B)</f>
        <v>2</v>
      </c>
      <c r="N1689" s="1" t="str">
        <f aca="false">IF(M1689=K1689,"OK","DIF")</f>
        <v>OK</v>
      </c>
      <c r="O1689" s="12" t="str">
        <f aca="false">IFERROR(VLOOKUP($A1689,Lista_Starke!$A:$E,3,0),"NÃO ESTÁ NA LISTA")</f>
        <v>ISUZU: GMC 7110 4.3 8V Diesel 4HF1 96/03</v>
      </c>
      <c r="P1689" s="12" t="str">
        <f aca="false">IFERROR(VLOOKUP($A1689,Lista_Starke!$A:$E,2,0),"NÃO ESTÁ NA LISTA")</f>
        <v>BOMBA D´ÁGUA</v>
      </c>
    </row>
    <row r="1690" customFormat="false" ht="15" hidden="false" customHeight="true" outlineLevel="0" collapsed="false">
      <c r="A1690" s="10" t="s">
        <v>3643</v>
      </c>
      <c r="B1690" s="10" t="str">
        <f aca="false">IFERROR(VLOOKUP(A1690,Pedido!$A:$B,2,0),"")</f>
        <v/>
      </c>
      <c r="C1690" s="10" t="str">
        <f aca="false">IF(B1690="","NÃO COMPRA","COMPRA")</f>
        <v>NÃO COMPRA</v>
      </c>
      <c r="D1690" s="1" t="n">
        <f aca="false">IFERROR(VLOOKUP(A1690,Pedido!$A:$C,3,0),0)</f>
        <v>0</v>
      </c>
      <c r="E1690" s="5" t="n">
        <f aca="false">IFERROR(VLOOKUP(A1690,Pedido!$A:$E,5,0),0)</f>
        <v>0</v>
      </c>
      <c r="F1690" s="1" t="s">
        <v>9</v>
      </c>
      <c r="G1690" s="1" t="s">
        <v>1564</v>
      </c>
      <c r="H1690" s="1" t="s">
        <v>197</v>
      </c>
      <c r="I1690" s="1" t="s">
        <v>3644</v>
      </c>
      <c r="J1690" s="1" t="s">
        <v>3645</v>
      </c>
      <c r="K1690" s="1" t="n">
        <v>2</v>
      </c>
      <c r="L1690" s="11" t="n">
        <v>0.999967518980028</v>
      </c>
      <c r="M1690" s="1" t="n">
        <f aca="false">SUMIF(Relatorio_AK!$A:$A,A1690,Relatorio_AK!$B:$B)</f>
        <v>2</v>
      </c>
      <c r="N1690" s="1" t="str">
        <f aca="false">IF(M1690=K1690,"OK","DIF")</f>
        <v>OK</v>
      </c>
      <c r="O1690" s="13" t="str">
        <f aca="false">IFERROR(VLOOKUP($A1690,Lista_Starke!$A:$E,3,0),"NÃO ESTÁ NA LISTA")</f>
        <v>FORD: F1000 3.9 8V MWM TD229 Todos
VALTRA: Valtra VT128 MWM TD229 Todos
VALTRA: Valtra VT1280 MWM TD229 Todos
VALTRA: Valtra VT138 MWM TD229 Todos
VALTRA: Valtra VT148 MWM TD229 Todos
VALTRA: Valtra VT1580 MWM TD229 Todos
VALTRA: Valtra VT1780 MWM TD229 Todos
VALTRA: Valtra VT980 MWM TD229 Todos
VALTRA: Valtra VT985 MWM TD229 Todos
VOLKSWAGEN: VW 7-110S 3.9 MWM TD229 90/93
VOLKSWAGEN: VW 7-90S 3.9 MWM TD229 87/93</v>
      </c>
      <c r="P1690" s="12" t="str">
        <f aca="false">IFERROR(VLOOKUP($A1690,Lista_Starke!$A:$E,2,0),"NÃO ESTÁ NA LISTA")</f>
        <v>BOMBA D'ÁGUA</v>
      </c>
    </row>
    <row r="1691" customFormat="false" ht="15" hidden="false" customHeight="true" outlineLevel="0" collapsed="false">
      <c r="A1691" s="10" t="s">
        <v>3646</v>
      </c>
      <c r="B1691" s="10" t="str">
        <f aca="false">IFERROR(VLOOKUP(A1691,Pedido!$A:$B,2,0),"")</f>
        <v/>
      </c>
      <c r="C1691" s="10" t="str">
        <f aca="false">IF(B1691="","NÃO COMPRA","COMPRA")</f>
        <v>NÃO COMPRA</v>
      </c>
      <c r="D1691" s="1" t="n">
        <f aca="false">IFERROR(VLOOKUP(A1691,Pedido!$A:$C,3,0),0)</f>
        <v>0</v>
      </c>
      <c r="E1691" s="5" t="n">
        <f aca="false">IFERROR(VLOOKUP(A1691,Pedido!$A:$E,5,0),0)</f>
        <v>0</v>
      </c>
      <c r="F1691" s="1" t="s">
        <v>9</v>
      </c>
      <c r="G1691" s="1" t="s">
        <v>3604</v>
      </c>
      <c r="H1691" s="1" t="s">
        <v>197</v>
      </c>
      <c r="I1691" s="1" t="s">
        <v>3647</v>
      </c>
      <c r="J1691" s="1" t="s">
        <v>3648</v>
      </c>
      <c r="K1691" s="1" t="n">
        <v>2</v>
      </c>
      <c r="L1691" s="11" t="n">
        <v>0.999970938034762</v>
      </c>
      <c r="M1691" s="1" t="n">
        <f aca="false">SUMIF(Relatorio_AK!$A:$A,A1691,Relatorio_AK!$B:$B)</f>
        <v>2</v>
      </c>
      <c r="N1691" s="1" t="str">
        <f aca="false">IF(M1691=K1691,"OK","DIF")</f>
        <v>OK</v>
      </c>
      <c r="O1691" s="13" t="str">
        <f aca="false">IFERROR(VLOOKUP($A1691,Lista_Starke!$A:$E,3,0),"NÃO ESTÁ NA LISTA")</f>
        <v>CASE: Colheitadeira Case 7700  Todos
SCANIA: K 112 11.0 DS11 6 cil. 83/97
SCANIA: K 113 11.0 DS11 6 cil. 83/97
SCANIA: S 112 11.0 DS11 6 cil. 83/97
SCANIA: T 112 11.0 DS11 6 cil. 83/97</v>
      </c>
      <c r="P1691" s="12" t="str">
        <f aca="false">IFERROR(VLOOKUP($A1691,Lista_Starke!$A:$E,2,0),"NÃO ESTÁ NA LISTA")</f>
        <v>BOMBA D'ÁGUA</v>
      </c>
    </row>
    <row r="1692" customFormat="false" ht="15" hidden="false" customHeight="true" outlineLevel="0" collapsed="false">
      <c r="A1692" s="10" t="s">
        <v>3649</v>
      </c>
      <c r="B1692" s="10" t="str">
        <f aca="false">IFERROR(VLOOKUP(A1692,Pedido!$A:$B,2,0),"")</f>
        <v/>
      </c>
      <c r="C1692" s="10" t="str">
        <f aca="false">IF(B1692="","NÃO COMPRA","COMPRA")</f>
        <v>NÃO COMPRA</v>
      </c>
      <c r="D1692" s="1" t="n">
        <f aca="false">IFERROR(VLOOKUP(A1692,Pedido!$A:$C,3,0),0)</f>
        <v>0</v>
      </c>
      <c r="E1692" s="5" t="n">
        <f aca="false">IFERROR(VLOOKUP(A1692,Pedido!$A:$E,5,0),0)</f>
        <v>0</v>
      </c>
      <c r="F1692" s="1" t="s">
        <v>9</v>
      </c>
      <c r="G1692" s="1" t="s">
        <v>2425</v>
      </c>
      <c r="H1692" s="1" t="s">
        <v>88</v>
      </c>
      <c r="I1692" s="1" t="s">
        <v>53</v>
      </c>
      <c r="J1692" s="1" t="s">
        <v>3650</v>
      </c>
      <c r="K1692" s="1" t="n">
        <v>2</v>
      </c>
      <c r="L1692" s="11" t="n">
        <v>0.999974357089495</v>
      </c>
      <c r="M1692" s="1" t="n">
        <f aca="false">SUMIF(Relatorio_AK!$A:$A,A1692,Relatorio_AK!$B:$B)</f>
        <v>2</v>
      </c>
      <c r="N1692" s="1" t="str">
        <f aca="false">IF(M1692=K1692,"OK","DIF")</f>
        <v>OK</v>
      </c>
      <c r="O1692" s="13" t="str">
        <f aca="false">IFERROR(VLOOKUP($A1692,Lista_Starke!$A:$E,3,0),"NÃO ESTÁ NA LISTA")</f>
        <v>FORD: F11000 SERIE 229 5.9 L 12V SOHV L6 80/92
FORD: F600 6.357 5.8 L 12V SOHV L6 74/80
FORD: F600 SERIE 229 5.9 L 12V SOHV L6 74/80
FORD: F7000 SERIE 229 5.9 L 12V SOHV L6 76/80</v>
      </c>
      <c r="P1692" s="12" t="str">
        <f aca="false">IFERROR(VLOOKUP($A1692,Lista_Starke!$A:$E,2,0),"NÃO ESTÁ NA LISTA")</f>
        <v>CILINDRO DE RODA LE</v>
      </c>
    </row>
    <row r="1693" customFormat="false" ht="15" hidden="false" customHeight="true" outlineLevel="0" collapsed="false">
      <c r="A1693" s="10" t="s">
        <v>3651</v>
      </c>
      <c r="B1693" s="10" t="str">
        <f aca="false">IFERROR(VLOOKUP(A1693,Pedido!$A:$B,2,0),"")</f>
        <v/>
      </c>
      <c r="C1693" s="10" t="str">
        <f aca="false">IF(B1693="","NÃO COMPRA","COMPRA")</f>
        <v>NÃO COMPRA</v>
      </c>
      <c r="D1693" s="1" t="n">
        <f aca="false">IFERROR(VLOOKUP(A1693,Pedido!$A:$C,3,0),0)</f>
        <v>0</v>
      </c>
      <c r="E1693" s="5" t="n">
        <f aca="false">IFERROR(VLOOKUP(A1693,Pedido!$A:$E,5,0),0)</f>
        <v>0</v>
      </c>
      <c r="F1693" s="1" t="s">
        <v>9</v>
      </c>
      <c r="G1693" s="1" t="s">
        <v>2384</v>
      </c>
      <c r="H1693" s="1" t="s">
        <v>88</v>
      </c>
      <c r="I1693" s="1" t="s">
        <v>53</v>
      </c>
      <c r="J1693" s="1" t="s">
        <v>3652</v>
      </c>
      <c r="K1693" s="1" t="n">
        <v>2</v>
      </c>
      <c r="L1693" s="11" t="n">
        <v>0.999977776144229</v>
      </c>
      <c r="M1693" s="1" t="n">
        <f aca="false">SUMIF(Relatorio_AK!$A:$A,A1693,Relatorio_AK!$B:$B)</f>
        <v>2</v>
      </c>
      <c r="N1693" s="1" t="str">
        <f aca="false">IF(M1693=K1693,"OK","DIF")</f>
        <v>OK</v>
      </c>
      <c r="O1693" s="13" t="str">
        <f aca="false">IFERROR(VLOOKUP($A1693,Lista_Starke!$A:$E,3,0),"NÃO ESTÁ NA LISTA")</f>
        <v>FORD: F11000 SERIE 229 5.9 L 12V SOHV L6 80/92
FORD: F600 6.357 5.8 L 12V SOHV L6 74/80
FORD: F600 SERIE 229 5.9 L 12V SOHV L6 74/80
FORD: F7000 SERIE 229 5.9 L 12V SOHV L6 76/80</v>
      </c>
      <c r="P1693" s="12" t="str">
        <f aca="false">IFERROR(VLOOKUP($A1693,Lista_Starke!$A:$E,2,0),"NÃO ESTÁ NA LISTA")</f>
        <v>CILINDRO DE RODA LD</v>
      </c>
    </row>
    <row r="1694" customFormat="false" ht="15" hidden="false" customHeight="true" outlineLevel="0" collapsed="false">
      <c r="A1694" s="10" t="s">
        <v>3653</v>
      </c>
      <c r="B1694" s="10" t="str">
        <f aca="false">IFERROR(VLOOKUP(A1694,Pedido!$A:$B,2,0),"")</f>
        <v/>
      </c>
      <c r="C1694" s="10" t="str">
        <f aca="false">IF(B1694="","NÃO COMPRA","COMPRA")</f>
        <v>NÃO COMPRA</v>
      </c>
      <c r="D1694" s="1" t="n">
        <f aca="false">IFERROR(VLOOKUP(A1694,Pedido!$A:$C,3,0),0)</f>
        <v>0</v>
      </c>
      <c r="E1694" s="5" t="n">
        <f aca="false">IFERROR(VLOOKUP(A1694,Pedido!$A:$E,5,0),0)</f>
        <v>0</v>
      </c>
      <c r="F1694" s="1" t="s">
        <v>9</v>
      </c>
      <c r="G1694" s="1" t="s">
        <v>687</v>
      </c>
      <c r="H1694" s="1" t="s">
        <v>32</v>
      </c>
      <c r="I1694" s="1" t="s">
        <v>373</v>
      </c>
      <c r="J1694" s="1" t="s">
        <v>3654</v>
      </c>
      <c r="K1694" s="1" t="n">
        <v>2</v>
      </c>
      <c r="L1694" s="11" t="n">
        <v>0.999981195198963</v>
      </c>
      <c r="M1694" s="1" t="n">
        <f aca="false">SUMIF(Relatorio_AK!$A:$A,A1694,Relatorio_AK!$B:$B)</f>
        <v>2</v>
      </c>
      <c r="N1694" s="1" t="str">
        <f aca="false">IF(M1694=K1694,"OK","DIF")</f>
        <v>OK</v>
      </c>
      <c r="O1694" s="13" t="str">
        <f aca="false">IFERROR(VLOOKUP($A1694,Lista_Starke!$A:$E,3,0),"NÃO ESTÁ NA LISTA")</f>
        <v>MERCEDES-BENZ: 1630  91/...
MERCEDES-BENZ: 1635  91/...
MERCEDES-BENZ: LO 812  89/...
MERCEDES-BENZ: LO 912  89/...
MERCEDES-BENZ: LS 1929  91/...
MERCEDES-BENZ: LS 1935  91/...
MERCEDES-BENZ: LS 1938  91/...</v>
      </c>
      <c r="P1694" s="12" t="str">
        <f aca="false">IFERROR(VLOOKUP($A1694,Lista_Starke!$A:$E,2,0),"NÃO ESTÁ NA LISTA")</f>
        <v>CILINDRO MESTRE DE EMBREAGEM</v>
      </c>
    </row>
    <row r="1695" customFormat="false" ht="15" hidden="false" customHeight="true" outlineLevel="0" collapsed="false">
      <c r="A1695" s="10" t="s">
        <v>3655</v>
      </c>
      <c r="B1695" s="10" t="str">
        <f aca="false">IFERROR(VLOOKUP(A1695,Pedido!$A:$B,2,0),"")</f>
        <v/>
      </c>
      <c r="C1695" s="10" t="str">
        <f aca="false">IF(B1695="","NÃO COMPRA","COMPRA")</f>
        <v>NÃO COMPRA</v>
      </c>
      <c r="D1695" s="1" t="n">
        <f aca="false">IFERROR(VLOOKUP(A1695,Pedido!$A:$C,3,0),0)</f>
        <v>0</v>
      </c>
      <c r="E1695" s="5" t="n">
        <f aca="false">IFERROR(VLOOKUP(A1695,Pedido!$A:$E,5,0),0)</f>
        <v>0</v>
      </c>
      <c r="F1695" s="1" t="s">
        <v>9</v>
      </c>
      <c r="G1695" s="1" t="s">
        <v>145</v>
      </c>
      <c r="H1695" s="1" t="s">
        <v>28</v>
      </c>
      <c r="I1695" s="1" t="s">
        <v>36</v>
      </c>
      <c r="J1695" s="1" t="s">
        <v>3323</v>
      </c>
      <c r="K1695" s="1" t="n">
        <v>2</v>
      </c>
      <c r="L1695" s="11" t="n">
        <v>0.999984614253697</v>
      </c>
      <c r="M1695" s="1" t="n">
        <f aca="false">SUMIF(Relatorio_AK!$A:$A,A1695,Relatorio_AK!$B:$B)</f>
        <v>2</v>
      </c>
      <c r="N1695" s="1" t="str">
        <f aca="false">IF(M1695=K1695,"OK","DIF")</f>
        <v>OK</v>
      </c>
      <c r="O1695" s="13" t="str">
        <f aca="false">IFERROR(VLOOKUP($A1695,Lista_Starke!$A:$E,3,0),"NÃO ESTÁ NA LISTA")</f>
        <v>VOLKSWAGEN: 11.130 SERIE 229 5.9 L 12V SOHV L6 81/86
VOLKSWAGEN: 13.130 SERIE 229 5.9 L 12V SOHV L6 81/86
VOLKSWAGEN: 22.160 318-3E 5.2 L 16V SOHC V8 85/88
VOLKSWAGEN: 7-110 S SERIE 229 3.9 L 8V SOHV L4 87/94</v>
      </c>
      <c r="P1695" s="12" t="str">
        <f aca="false">IFERROR(VLOOKUP($A1695,Lista_Starke!$A:$E,2,0),"NÃO ESTÁ NA LISTA")</f>
        <v>CILINDRO AUXILIAR DE EMBREAGEM</v>
      </c>
    </row>
    <row r="1696" customFormat="false" ht="15" hidden="false" customHeight="true" outlineLevel="0" collapsed="false">
      <c r="A1696" s="10" t="s">
        <v>3656</v>
      </c>
      <c r="B1696" s="10" t="str">
        <f aca="false">IFERROR(VLOOKUP(A1696,Pedido!$A:$B,2,0),"")</f>
        <v/>
      </c>
      <c r="C1696" s="10" t="str">
        <f aca="false">IF(B1696="","NÃO COMPRA","COMPRA")</f>
        <v>NÃO COMPRA</v>
      </c>
      <c r="D1696" s="1" t="n">
        <f aca="false">IFERROR(VLOOKUP(A1696,Pedido!$A:$C,3,0),0)</f>
        <v>0</v>
      </c>
      <c r="E1696" s="5" t="n">
        <f aca="false">IFERROR(VLOOKUP(A1696,Pedido!$A:$E,5,0),0)</f>
        <v>0</v>
      </c>
      <c r="F1696" s="1" t="s">
        <v>9</v>
      </c>
      <c r="G1696" s="1" t="s">
        <v>3657</v>
      </c>
      <c r="H1696" s="1" t="s">
        <v>1714</v>
      </c>
      <c r="I1696" s="1" t="s">
        <v>3311</v>
      </c>
      <c r="J1696" s="1" t="s">
        <v>3658</v>
      </c>
      <c r="K1696" s="1" t="n">
        <v>2</v>
      </c>
      <c r="L1696" s="11" t="n">
        <v>0.999988033308431</v>
      </c>
      <c r="M1696" s="1" t="n">
        <f aca="false">SUMIF(Relatorio_AK!$A:$A,A1696,Relatorio_AK!$B:$B)</f>
        <v>2</v>
      </c>
      <c r="N1696" s="1" t="str">
        <f aca="false">IF(M1696=K1696,"OK","DIF")</f>
        <v>OK</v>
      </c>
      <c r="O1696" s="13" t="str">
        <f aca="false">IFERROR(VLOOKUP($A1696,Lista_Starke!$A:$E,3,0),"NÃO ESTÁ NA LISTA")</f>
        <v>DAF: CF85 360 HP / 380 HP / 410 HP / 430 HP MX13 12.9 
DAF: XF105 410 HP / 460 HP / 510 HP MX13 12.9 </v>
      </c>
      <c r="P1696" s="12" t="str">
        <f aca="false">IFERROR(VLOOKUP($A1696,Lista_Starke!$A:$E,2,0),"NÃO ESTÁ NA LISTA")</f>
        <v>POLIA VISCOSA</v>
      </c>
    </row>
    <row r="1697" customFormat="false" ht="15" hidden="false" customHeight="true" outlineLevel="0" collapsed="false">
      <c r="A1697" s="10" t="s">
        <v>3659</v>
      </c>
      <c r="B1697" s="10" t="str">
        <f aca="false">IFERROR(VLOOKUP(A1697,Pedido!$A:$B,2,0),"")</f>
        <v/>
      </c>
      <c r="C1697" s="10" t="str">
        <f aca="false">IF(B1697="","NÃO COMPRA","COMPRA")</f>
        <v>NÃO COMPRA</v>
      </c>
      <c r="D1697" s="1" t="n">
        <f aca="false">IFERROR(VLOOKUP(A1697,Pedido!$A:$C,3,0),0)</f>
        <v>0</v>
      </c>
      <c r="E1697" s="5" t="n">
        <f aca="false">IFERROR(VLOOKUP(A1697,Pedido!$A:$E,5,0),0)</f>
        <v>0</v>
      </c>
      <c r="F1697" s="1" t="s">
        <v>9</v>
      </c>
      <c r="G1697" s="1" t="s">
        <v>3660</v>
      </c>
      <c r="H1697" s="1" t="s">
        <v>197</v>
      </c>
      <c r="K1697" s="1" t="n">
        <v>1</v>
      </c>
      <c r="L1697" s="11" t="n">
        <v>0.999989742835798</v>
      </c>
      <c r="M1697" s="1" t="n">
        <f aca="false">SUMIF(Relatorio_AK!$A:$A,A1697,Relatorio_AK!$B:$B)</f>
        <v>1</v>
      </c>
      <c r="N1697" s="1" t="str">
        <f aca="false">IF(M1697=K1697,"OK","DIF")</f>
        <v>OK</v>
      </c>
      <c r="O1697" s="12" t="str">
        <f aca="false">IFERROR(VLOOKUP($A1697,Lista_Starke!$A:$E,3,0),"NÃO ESTÁ NA LISTA")</f>
        <v>NÃO ESTÁ NA LISTA</v>
      </c>
      <c r="P1697" s="12" t="str">
        <f aca="false">IFERROR(VLOOKUP($A1697,Lista_Starke!$A:$E,2,0),"NÃO ESTÁ NA LISTA")</f>
        <v>NÃO ESTÁ NA LISTA</v>
      </c>
    </row>
    <row r="1698" customFormat="false" ht="15" hidden="false" customHeight="true" outlineLevel="0" collapsed="false">
      <c r="A1698" s="10" t="s">
        <v>3661</v>
      </c>
      <c r="B1698" s="10" t="str">
        <f aca="false">IFERROR(VLOOKUP(A1698,Pedido!$A:$B,2,0),"")</f>
        <v/>
      </c>
      <c r="C1698" s="10" t="str">
        <f aca="false">IF(B1698="","NÃO COMPRA","COMPRA")</f>
        <v>NÃO COMPRA</v>
      </c>
      <c r="D1698" s="1" t="n">
        <f aca="false">IFERROR(VLOOKUP(A1698,Pedido!$A:$C,3,0),0)</f>
        <v>0</v>
      </c>
      <c r="E1698" s="5" t="n">
        <f aca="false">IFERROR(VLOOKUP(A1698,Pedido!$A:$E,5,0),0)</f>
        <v>0</v>
      </c>
      <c r="F1698" s="1" t="s">
        <v>9</v>
      </c>
      <c r="G1698" s="1" t="s">
        <v>3662</v>
      </c>
      <c r="H1698" s="1" t="s">
        <v>28</v>
      </c>
      <c r="I1698" s="1" t="s">
        <v>1431</v>
      </c>
      <c r="J1698" s="1" t="s">
        <v>3663</v>
      </c>
      <c r="K1698" s="1" t="n">
        <v>1</v>
      </c>
      <c r="L1698" s="11" t="n">
        <v>0.999991452363165</v>
      </c>
      <c r="M1698" s="1" t="n">
        <f aca="false">SUMIF(Relatorio_AK!$A:$A,A1698,Relatorio_AK!$B:$B)</f>
        <v>1</v>
      </c>
      <c r="N1698" s="1" t="str">
        <f aca="false">IF(M1698=K1698,"OK","DIF")</f>
        <v>OK</v>
      </c>
      <c r="O1698" s="13" t="str">
        <f aca="false">IFERROR(VLOOKUP($A1698,Lista_Starke!$A:$E,3,0),"NÃO ESTÁ NA LISTA")</f>
        <v>VOLVO: B 10 M ARTICULADO THD 102 KF 9.6 L 24V DOHC L6 88/96
VOLVO: B 10 M ROD DH 10A 245 9.6 L 12V SOHV L6 97/01
VOLVO: B 10 M ROD THD 101KC 9.6 L 12V SOHV L6 89/99
VOLVO: B 12 R D 12 D 12 L 24V DOHC L6 00/08
VOLVO: B 12 R D 12 D 12 L 24V SOHV L6 00/08
VOLVO: B 58 THD 102 KU 9.6 L 12V SOHV L6 79/82
VOLVO: B 58 ARTICULADO THD 101 9.6 L 12V SOHV L6 79/82
VOLVO: B 58 BIARTICULADO THD 101_x0001_9.6 L 12V SOHV L6 83/98
VOLVO: B 58 RODOVIÁRIO THD 101_x0001_9.6 L 12V SOHV L6 79/82
VOLVO: B 58 TROLLEY THD 101_x0001_9.6 L 12V SOHV L6 83/98
VOLVO: N 10 INTERCOOLER II TD 101 F_x0001_9.6 L 12V SOHV L6 81/92
VOLVO: N 10 XH INTERCOOLER TD 101 F_x0001_9.6 L 12V SOHV L6 80/86
VOLVO: N 10 XHT INTERCOOLER TD 101 F_x0001_9.6 L 12V SOHV L6 84/88
VOLVO: N 12 TD 121 FD 12 L 12V SOHV L6 84/91
VOLVO: N 12 INTERCOOLER II TD 120 GA_x0001_12 L 12V SOHV L6 81/83
VOLVO: N 12 INTERCOOLER II TD 121 F_x0001_12 L 12V SOHV L6 85/88
VOLVO: N 12 XH INTERCOOLER TD 121 F_x0001_12 L 12V SOHV L6 85/88
VOLVO: NL 10 280 TD 101 G_x0001_9.6 L 12V SOHV L6 89/92
VOLVO: NL 10 310 TD 102 FT 9.6 L 12V SOHV L6 92/95
VOLVO: NL 10 320 EDC D 10 A 9.6 L 12V SOHV L6 96/99
VOLVO: NL 10 320 EDC TD 102 FL 9.6 L 12V SOHV L6 91/01
VOLVO: NL 10 320 EDC GOLD D 10 A 9.6 L 12V SOHV L6 96/99
VOLVO: NL 10 340 TD 102 FS 9.6 L 12V SOHV L6 89/94
VOLVO: NL 12 360 TD 122 FS 12 L 12V SOHV L6 92/94
VOLVO: NL 12 360 EDC TD 123 E_x0001_12 L 12V SOHV L6 95/99
VOLVO: NL 12 360 EDC GOLD TD 123 E_x0001_12 L 12V SOHV L6 95/99
VOLVO: NL 12 410 EDC TD 122 FS 12 L 12V SOHV L6 92/94
VOLVO: NL 12 410 EDC TD 123 ES 12 L 12V SOHV L6 95/99</v>
      </c>
      <c r="P1698" s="12" t="str">
        <f aca="false">IFERROR(VLOOKUP($A1698,Lista_Starke!$A:$E,2,0),"NÃO ESTÁ NA LISTA")</f>
        <v>CILINDRO AUXILIAR DE EMBREAGEM</v>
      </c>
    </row>
    <row r="1699" customFormat="false" ht="15" hidden="false" customHeight="true" outlineLevel="0" collapsed="false">
      <c r="A1699" s="10" t="s">
        <v>3664</v>
      </c>
      <c r="B1699" s="10" t="str">
        <f aca="false">IFERROR(VLOOKUP(A1699,Pedido!$A:$B,2,0),"")</f>
        <v/>
      </c>
      <c r="C1699" s="10" t="str">
        <f aca="false">IF(B1699="","NÃO COMPRA","COMPRA")</f>
        <v>NÃO COMPRA</v>
      </c>
      <c r="D1699" s="1" t="n">
        <f aca="false">IFERROR(VLOOKUP(A1699,Pedido!$A:$C,3,0),0)</f>
        <v>0</v>
      </c>
      <c r="E1699" s="5" t="n">
        <f aca="false">IFERROR(VLOOKUP(A1699,Pedido!$A:$E,5,0),0)</f>
        <v>0</v>
      </c>
      <c r="F1699" s="1" t="s">
        <v>9</v>
      </c>
      <c r="G1699" s="1" t="s">
        <v>379</v>
      </c>
      <c r="H1699" s="1" t="s">
        <v>32</v>
      </c>
      <c r="I1699" s="1" t="s">
        <v>3625</v>
      </c>
      <c r="J1699" s="1" t="s">
        <v>3665</v>
      </c>
      <c r="K1699" s="1" t="n">
        <v>1</v>
      </c>
      <c r="L1699" s="11" t="n">
        <v>0.999993161890532</v>
      </c>
      <c r="M1699" s="1" t="n">
        <f aca="false">SUMIF(Relatorio_AK!$A:$A,A1699,Relatorio_AK!$B:$B)</f>
        <v>1</v>
      </c>
      <c r="N1699" s="1" t="str">
        <f aca="false">IF(M1699=K1699,"OK","DIF")</f>
        <v>OK</v>
      </c>
      <c r="O1699" s="13" t="str">
        <f aca="false">IFERROR(VLOOKUP($A1699,Lista_Starke!$A:$E,3,0),"NÃO ESTÁ NA LISTA")</f>
        <v>AGRALE: 6000 SPRINT EURO 2.8 L 12V SOHC L4 00/05
AGRALE: 6000 E-MEC SERIE 10 / X10 4.3 L 8V SOHV L4 05/11
AGRALE: 7000 D MWM SERIE 229 3.9 L 8V SOHV L4 93/03
AGRALE: 7000 DX SERIE 10 / X10 4.3 L 8V SOHV L4 96/05
AGRALE: 7000 TDX SERIE 10 / X10 4.3 L 8V SOHV L4 96/05
AGRALE: 7500 TDX SERIE 10 / X10 4.3 L 8V SOHV L4 94/05
AGRALE: 8500 CE (4.08) SPRINT EURO 3.0 L 12V SOHC L4 05/11
AGRALE: 8500 CE (4.12) SERIE 12 / X12 4.8 L 8V SOHV L4 05/11
AGRALE: 8500 E-MEC SERIE 10 / X10 4.3 L 8V SOHV L4 05/11
AGRALE: 8500 E-MEC CD SERIE 10 / X10 4.3 L 8V SOHV L4 05/11
AGRALE: 8500 TDX SERIE 10 / X10 4.3 L 8V SOHV L4 97/05
AGRALE: 9200 SERIE 10 / X10 4.3 L 8V SOHV L4 03/05
AGRALE: 9200 CE (4.12) SERIE 12 / X12 4.8 L 8V SOHV L4 05/11
AGRALE: A8 VOLARE D SERIE 10 / X10 4.3 L 8V SOHV L4 00/06
AGRALE: FURGOVAN 6000 SPRINT EURO 2 2.8 L 12V SOHC L4 02/05
AGRALE: FURGOVAN 6000 SPRINT EURO 3 2.8 L 12V SOHC L4 05/11
AGRALE: MA 5.0 SPRINT EURO 2 2.8 L 12V SOHC L4 02/05
AGRALE: MA 6.0 SPRINT EURO 2 2.8 L 12V SOHC L4 98/06
AGRALE: MA 7.5E SERIE 12 / X12 4.8 L 8V SOHV L4 05
AGRALE: MA 7.5T SERIE 10 / X10 4.3 L 8V SOHV L4 96/05
AGRALE: MA 8.0 4 BT 3.9 L 8V SOHV L4 05/11
AGRALE: MA 8.0T SERIE 10 / X10 4.3 L 8V SOHV L4 05/11
AGRALE: MA 8.5 SERIE 12 / X12 4.8 L 8V SOHV L4 05/11
AGRALE: MA 8.5 SUPER 6 BT5.9 L 12V SOHV L6 96/05
AGRALE: MA 8.5E SERIE 12 / X12 4.8 L 8V SOHV L4 05/11
AGRALE: MA 8.5T SERIE 10 / X10 4.3 L 8V SOHV L4_x0001_ 96/05
AGRALE: MA 9.2 Cummins ISF 3.8 L 16V SOHV L4 12/...
AGRALE: MA 9.2 SERIE 10 / X10 4.3 L 8V SOHV L4_x0001_ 04/07
AGRALE: MA 9.2 E Cummins ISF 3.8 L 16V SOHV L4 04/11
AGRALE: MA 9.2 E-TRONIC EV Cummins ISF 3.8 L 16V SOHV L4 12/...
AGRALE: MA 9.2 E-TRONIC EV MAXXFORCE 4.8H 4.8 L 16V SOHV L4 12/...
AGRALE: MA 9.2E SERIE 12 / X12 4.8 L 8V SOHV L4 04/11
AGRALE: W8 SERIE 10 / X10 4.3 L 8V SOHV L4 03/04
FORD: B 1618 SÉRIE 10 / X10 6.5 L 12V SOHV L6 93/98
FORD: B 1621 SÉRIE 10 / X10 6.5 L 12V SOHV L6 96/99
FORD: F-12000 SERIE 10 / X10 6.5 L 12V SOHV L6 95/98
FORD: F-14000 SERIE 10 / X10 6.5 L 12V SOHV L6 95/98
VOLKSWAGEN: 14.200 SERIE 10 / X10 6.5 L 12V SOHV L6 91/94
VOLKSWAGEN: 14.220 6 CTAA 8.3 L 12V SOHV L6 91/00
VOLKSWAGEN: 16.220 6 CT 8.3 L 12V SOHV L6 91/00
VOLKSWAGEN: 16.220 6 CTAA 8.3 L 12V SOHV L6 91/00
VOLKSWAGEN: 24.250 6 CTAA 8.3 L 12V SOHV L6 92/02
VOLKSWAGEN: 35.300 6 CTAA 8.3 L 12V SOHV L6 91/00
VOLKSWAGEN: 8.100 SERIE 10 / X10 4.3 L 8V SOHV L4 97/00
VOLKSWAGEN: 8.140 SERIE 10 / X10 4.3 L 8V SOHV L4_x0001_ 94/00</v>
      </c>
      <c r="P1699" s="12" t="str">
        <f aca="false">IFERROR(VLOOKUP($A1699,Lista_Starke!$A:$E,2,0),"NÃO ESTÁ NA LISTA")</f>
        <v>CILINDRO MESTRE DE EMBREAGEM</v>
      </c>
    </row>
    <row r="1700" customFormat="false" ht="15" hidden="false" customHeight="true" outlineLevel="0" collapsed="false">
      <c r="A1700" s="10" t="s">
        <v>3666</v>
      </c>
      <c r="B1700" s="10" t="str">
        <f aca="false">IFERROR(VLOOKUP(A1700,Pedido!$A:$B,2,0),"")</f>
        <v/>
      </c>
      <c r="C1700" s="10" t="str">
        <f aca="false">IF(B1700="","NÃO COMPRA","COMPRA")</f>
        <v>NÃO COMPRA</v>
      </c>
      <c r="D1700" s="1" t="n">
        <f aca="false">IFERROR(VLOOKUP(A1700,Pedido!$A:$C,3,0),0)</f>
        <v>0</v>
      </c>
      <c r="E1700" s="5" t="n">
        <f aca="false">IFERROR(VLOOKUP(A1700,Pedido!$A:$E,5,0),0)</f>
        <v>0</v>
      </c>
      <c r="F1700" s="1" t="s">
        <v>9</v>
      </c>
      <c r="G1700" s="1" t="s">
        <v>2292</v>
      </c>
      <c r="H1700" s="1" t="s">
        <v>1714</v>
      </c>
      <c r="I1700" s="1" t="s">
        <v>53</v>
      </c>
      <c r="J1700" s="1" t="s">
        <v>3667</v>
      </c>
      <c r="K1700" s="1" t="n">
        <v>1</v>
      </c>
      <c r="L1700" s="11" t="n">
        <v>0.999994871417899</v>
      </c>
      <c r="M1700" s="1" t="n">
        <f aca="false">SUMIF(Relatorio_AK!$A:$A,A1700,Relatorio_AK!$B:$B)</f>
        <v>1</v>
      </c>
      <c r="N1700" s="1" t="str">
        <f aca="false">IF(M1700=K1700,"OK","DIF")</f>
        <v>OK</v>
      </c>
      <c r="O1700" s="13" t="str">
        <f aca="false">IFERROR(VLOOKUP($A1700,Lista_Starke!$A:$E,3,0),"NÃO ESTÁ NA LISTA")</f>
        <v>FORD: F250 3.9 Cummins  4CL 145HP 98/12
FORD: F350 3.9  Cummins 4CL 135HP 98/12
FORD: F4000 4X2 3.9L Cummins  4CL 135HP 98/12
FORD: F4000 4X4 3.9 Cummins 4CL 135HP 08/12</v>
      </c>
      <c r="P1700" s="12" t="str">
        <f aca="false">IFERROR(VLOOKUP($A1700,Lista_Starke!$A:$E,2,0),"NÃO ESTÁ NA LISTA")</f>
        <v>POLIA VISCOSA</v>
      </c>
    </row>
    <row r="1701" customFormat="false" ht="15" hidden="false" customHeight="true" outlineLevel="0" collapsed="false">
      <c r="A1701" s="10" t="s">
        <v>3668</v>
      </c>
      <c r="B1701" s="10" t="str">
        <f aca="false">IFERROR(VLOOKUP(A1701,Pedido!$A:$B,2,0),"")</f>
        <v/>
      </c>
      <c r="C1701" s="10" t="str">
        <f aca="false">IF(B1701="","NÃO COMPRA","COMPRA")</f>
        <v>NÃO COMPRA</v>
      </c>
      <c r="D1701" s="1" t="n">
        <f aca="false">IFERROR(VLOOKUP(A1701,Pedido!$A:$C,3,0),0)</f>
        <v>0</v>
      </c>
      <c r="E1701" s="5" t="n">
        <f aca="false">IFERROR(VLOOKUP(A1701,Pedido!$A:$E,5,0),0)</f>
        <v>0</v>
      </c>
      <c r="F1701" s="1" t="s">
        <v>9</v>
      </c>
      <c r="G1701" s="1" t="s">
        <v>3632</v>
      </c>
      <c r="H1701" s="1" t="s">
        <v>1714</v>
      </c>
      <c r="I1701" s="1" t="s">
        <v>3669</v>
      </c>
      <c r="J1701" s="1" t="s">
        <v>3670</v>
      </c>
      <c r="K1701" s="1" t="n">
        <v>1</v>
      </c>
      <c r="L1701" s="11" t="n">
        <v>0.999996580945266</v>
      </c>
      <c r="M1701" s="1" t="n">
        <f aca="false">SUMIF(Relatorio_AK!$A:$A,A1701,Relatorio_AK!$B:$B)</f>
        <v>1</v>
      </c>
      <c r="N1701" s="1" t="str">
        <f aca="false">IF(M1701=K1701,"OK","DIF")</f>
        <v>OK</v>
      </c>
      <c r="O1701" s="13" t="str">
        <f aca="false">IFERROR(VLOOKUP($A1701,Lista_Starke!$A:$E,3,0),"NÃO ESTÁ NA LISTA")</f>
        <v>FORD: CARGO 1215 CUMMINS 91/92
FORD: CARGO 1215 MWM 91/92
FORD: CARGO 1317 Cummins 02/06
FORD: CARGO 1317 MWM 02/06
FORD: CARGO 1415 Cummins 02/06
FORD: CARGO 1415 MWM 02/06
FORD: CARGO 1419 CUMMINS 91/92
FORD: CARGO 1419 MWM 91/92
FORD: CARGO 1521 Cummins 02/06
FORD: CARGO 1521 MWM 02/06
FORD: CARGO 1617 CUMMINS 91
FORD: CARGO 1617 MWM 91
FORD: CARGO 1622 Cummins 02/06
FORD: CARGO 1622 CUMMINS 91/02
FORD: CARGO 1622 MWM 02/06
FORD: CARGO 1622 MWM 91/02
FORD: CARGO 1722 CUMMINS 02/06
FORD: CARGO 1722 CUMMINS 91/02
FORD: CARGO 1722 MWM 02/06
FORD: CARGO 1722 MWM 91/02
FORD: CARGO 1731 Cummins 02/06
FORD: CARGO 1731 MWM 02/06
FORD: CARGO 2421 Cummins 02/06
FORD: CARGO 2421 MWM 02/06
FORD: CARGO 2422 CUMMINS 91/02
FORD: CARGO 2422 MWM 91/02
FORD: CARGO 2622 CUMMINS 91/02
FORD: CARGO 2622 MWM 91/02
FORD: CARGO 712E CUMMINS 93/98
FORD: CARGO 815E MWM 93/98
FORD: F12000 CUMMINS 93/98
FORD: F12000 MWM 93/98
FORD: F14000 CUMMINS 93/05
FORD: F14000 MWM 93/98
MAN / VW: Constellation 15.180E CUMMINS EURO IV 03/...
MAN / VW: Worker 13.170 Cummins 00/01
MAN / VW: Worker 13.170 MWM 00/01
MAN / VW: Worker 13.170 E Cummins 00/01
MAN / VW: Worker 13.170 E MWM 00/01
MAN / VW: Worker 13.190 CUMMINS 01/05
MAN / VW: Worker 13.190 MWM 01/05
MAN / VW: Worker 14.220 CUMMINS 91/00
MAN / VW: Worker 14.220 MWM 91/00
MAN / VW: Worker 15.170 CUMMINS 00/01
MAN / VW: Worker 15.170 CUMMINS EURO IV 03/...
MAN / VW: Worker 15.170 MWM 00/01
MAN / VW: Worker 15.170 E CUMMINS 00/01
MAN / VW: Worker 15.170 E CUMMINS EURO IV 03/...
MAN / VW: Worker 15.170 E MWM 00/01
MAN / VW: Worker 15.190 CUMMINS 01/05
MAN / VW: Worker 15.190 CUMMINS EURO IV 03/...
MAN / VW: Worker 15.190 MWM 01/05
MAN / VW: Worker 16.170 CUMMINS 91/94
MAN / VW: Worker 16.170 MWM 91/94
MAN / VW: Worker 16.220 CUMMINS 91/00
MAN / VW: Worker 16.220 MWM 91/00
MAN / VW: Worker 7.100 CUMMINS 94/00
MAN / VW: Worker 7.100 MWM 94/00
MAN / VW: Worker 8.100 CUMMINS 97/00
MAN / VW: Worker 8.100 MWM 97/00
MAN / VW: Worker 8.140 CUMMINS 94/00
MAN / VW: Worker 8.140 MWM 94/00
MAN / VW: Worker 8.150E Delivery CUMMINS EURO IV 03/...
MAN / VW: Worker 8.150E Delivery MWM 09/12
MAN / VW: Worker 9.150E Delivery CUMMINS 10/12
MAN / VW: Worker 9.150E Delivery MWM 10/12</v>
      </c>
      <c r="P1701" s="12" t="str">
        <f aca="false">IFERROR(VLOOKUP($A1701,Lista_Starke!$A:$E,2,0),"NÃO ESTÁ NA LISTA")</f>
        <v>POLIA VISCOSA</v>
      </c>
    </row>
    <row r="1702" customFormat="false" ht="15" hidden="false" customHeight="true" outlineLevel="0" collapsed="false">
      <c r="A1702" s="10" t="s">
        <v>3671</v>
      </c>
      <c r="B1702" s="10" t="str">
        <f aca="false">IFERROR(VLOOKUP(A1702,Pedido!$A:$B,2,0),"")</f>
        <v/>
      </c>
      <c r="C1702" s="10" t="str">
        <f aca="false">IF(B1702="","NÃO COMPRA","COMPRA")</f>
        <v>NÃO COMPRA</v>
      </c>
      <c r="D1702" s="1" t="n">
        <f aca="false">IFERROR(VLOOKUP(A1702,Pedido!$A:$C,3,0),0)</f>
        <v>0</v>
      </c>
      <c r="E1702" s="5" t="n">
        <f aca="false">IFERROR(VLOOKUP(A1702,Pedido!$A:$E,5,0),0)</f>
        <v>0</v>
      </c>
      <c r="F1702" s="1" t="s">
        <v>9</v>
      </c>
      <c r="G1702" s="1" t="s">
        <v>3672</v>
      </c>
      <c r="H1702" s="1" t="s">
        <v>1714</v>
      </c>
      <c r="I1702" s="1" t="s">
        <v>3498</v>
      </c>
      <c r="J1702" s="1" t="s">
        <v>3673</v>
      </c>
      <c r="K1702" s="1" t="n">
        <v>1</v>
      </c>
      <c r="L1702" s="11" t="n">
        <v>0.999998290472633</v>
      </c>
      <c r="M1702" s="1" t="n">
        <f aca="false">SUMIF(Relatorio_AK!$A:$A,A1702,Relatorio_AK!$B:$B)</f>
        <v>1</v>
      </c>
      <c r="N1702" s="1" t="str">
        <f aca="false">IF(M1702=K1702,"OK","DIF")</f>
        <v>OK</v>
      </c>
      <c r="O1702" s="13" t="str">
        <f aca="false">IFERROR(VLOOKUP($A1702,Lista_Starke!$A:$E,3,0),"NÃO ESTÁ NA LISTA")</f>
        <v>MAN / VW: Constellation 24.280 MAN D08 6.9 EURO V 12/...
MAN / VW: Constellation 26.280 MAN D08 6.9 EURO V 12/...
MAN / VW: Constellation 31.280 MAN D08 6.9 EURO V 12/...</v>
      </c>
      <c r="P1702" s="12" t="str">
        <f aca="false">IFERROR(VLOOKUP($A1702,Lista_Starke!$A:$E,2,0),"NÃO ESTÁ NA LISTA")</f>
        <v>POLIA VISCOSA</v>
      </c>
    </row>
    <row r="1703" customFormat="false" ht="15" hidden="false" customHeight="true" outlineLevel="0" collapsed="false">
      <c r="A1703" s="10" t="s">
        <v>3674</v>
      </c>
      <c r="B1703" s="10" t="str">
        <f aca="false">IFERROR(VLOOKUP(A1703,Pedido!$A:$B,2,0),"")</f>
        <v/>
      </c>
      <c r="C1703" s="10" t="str">
        <f aca="false">IF(B1703="","NÃO COMPRA","COMPRA")</f>
        <v>NÃO COMPRA</v>
      </c>
      <c r="D1703" s="1" t="n">
        <f aca="false">IFERROR(VLOOKUP(A1703,Pedido!$A:$C,3,0),0)</f>
        <v>0</v>
      </c>
      <c r="E1703" s="5" t="n">
        <f aca="false">IFERROR(VLOOKUP(A1703,Pedido!$A:$E,5,0),0)</f>
        <v>0</v>
      </c>
      <c r="F1703" s="1" t="s">
        <v>9</v>
      </c>
      <c r="G1703" s="1" t="s">
        <v>3675</v>
      </c>
      <c r="H1703" s="1" t="s">
        <v>1714</v>
      </c>
      <c r="I1703" s="1" t="s">
        <v>1431</v>
      </c>
      <c r="J1703" s="1" t="s">
        <v>3676</v>
      </c>
      <c r="K1703" s="1" t="n">
        <v>1</v>
      </c>
      <c r="L1703" s="11" t="n">
        <v>1</v>
      </c>
      <c r="M1703" s="1" t="n">
        <f aca="false">SUMIF(Relatorio_AK!$A:$A,A1703,Relatorio_AK!$B:$B)</f>
        <v>1</v>
      </c>
      <c r="N1703" s="1" t="str">
        <f aca="false">IF(M1703=K1703,"OK","DIF")</f>
        <v>OK</v>
      </c>
      <c r="O1703" s="13" t="str">
        <f aca="false">IFERROR(VLOOKUP($A1703,Lista_Starke!$A:$E,3,0),"NÃO ESTÁ NA LISTA")</f>
        <v>VOLVO: B270 EURO V 13/...
VOLVO: VM220 EURO V 13/...
VOLVO: VM270 EURO V 13/...</v>
      </c>
      <c r="P1703" s="12" t="str">
        <f aca="false">IFERROR(VLOOKUP($A1703,Lista_Starke!$A:$E,2,0),"NÃO ESTÁ NA LISTA")</f>
        <v>POLIA VISCOSA</v>
      </c>
    </row>
  </sheetData>
  <autoFilter ref="A1:P1703"/>
  <conditionalFormatting sqref="A2:C1703">
    <cfRule type="expression" priority="2" aboveAverage="0" equalAverage="0" bottom="0" percent="0" rank="0" text="" dxfId="6">
      <formula>$C2="NÃO COMPRA"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3677</v>
      </c>
      <c r="B1" s="1" t="s">
        <v>3678</v>
      </c>
      <c r="C1" s="1" t="s">
        <v>3679</v>
      </c>
      <c r="D1" s="1" t="s">
        <v>3680</v>
      </c>
      <c r="E1" s="1" t="s">
        <v>3681</v>
      </c>
    </row>
    <row r="2" customFormat="false" ht="15" hidden="false" customHeight="true" outlineLevel="0" collapsed="false">
      <c r="A2" s="1" t="s">
        <v>69</v>
      </c>
      <c r="B2" s="1" t="s">
        <v>3682</v>
      </c>
      <c r="C2" s="1" t="n">
        <v>4</v>
      </c>
      <c r="D2" s="1" t="n">
        <v>88</v>
      </c>
      <c r="E2" s="1" t="n">
        <f aca="false">C2*D2</f>
        <v>352</v>
      </c>
    </row>
    <row r="3" customFormat="false" ht="15" hidden="false" customHeight="true" outlineLevel="0" collapsed="false">
      <c r="A3" s="1" t="s">
        <v>133</v>
      </c>
      <c r="B3" s="1" t="s">
        <v>3683</v>
      </c>
      <c r="C3" s="1" t="n">
        <v>6</v>
      </c>
      <c r="D3" s="1" t="n">
        <v>113.19</v>
      </c>
      <c r="E3" s="1" t="n">
        <f aca="false">C3*D3</f>
        <v>679.14</v>
      </c>
    </row>
    <row r="4" customFormat="false" ht="15" hidden="false" customHeight="true" outlineLevel="0" collapsed="false">
      <c r="A4" s="1" t="s">
        <v>774</v>
      </c>
      <c r="B4" s="1" t="s">
        <v>3684</v>
      </c>
      <c r="C4" s="1" t="n">
        <v>6</v>
      </c>
      <c r="D4" s="1" t="n">
        <v>220</v>
      </c>
      <c r="E4" s="1" t="n">
        <f aca="false">C4*D4</f>
        <v>1320</v>
      </c>
    </row>
    <row r="5" customFormat="false" ht="15" hidden="false" customHeight="true" outlineLevel="0" collapsed="false">
      <c r="A5" s="1" t="s">
        <v>371</v>
      </c>
      <c r="B5" s="1" t="s">
        <v>3685</v>
      </c>
      <c r="C5" s="1" t="n">
        <v>4</v>
      </c>
      <c r="D5" s="1" t="n">
        <v>242</v>
      </c>
      <c r="E5" s="1" t="n">
        <f aca="false">C5*D5</f>
        <v>968</v>
      </c>
    </row>
    <row r="6" customFormat="false" ht="15" hidden="false" customHeight="true" outlineLevel="0" collapsed="false">
      <c r="A6" s="1" t="s">
        <v>675</v>
      </c>
      <c r="B6" s="1" t="s">
        <v>3686</v>
      </c>
      <c r="C6" s="1" t="n">
        <v>6</v>
      </c>
      <c r="D6" s="1" t="n">
        <v>195.63</v>
      </c>
      <c r="E6" s="1" t="n">
        <f aca="false">C6*D6</f>
        <v>1173.78</v>
      </c>
    </row>
    <row r="7" customFormat="false" ht="15" hidden="false" customHeight="true" outlineLevel="0" collapsed="false">
      <c r="A7" s="1" t="s">
        <v>564</v>
      </c>
      <c r="B7" s="1" t="s">
        <v>3687</v>
      </c>
      <c r="C7" s="1" t="n">
        <v>6</v>
      </c>
      <c r="D7" s="1" t="n">
        <v>143.99</v>
      </c>
      <c r="E7" s="1" t="n">
        <f aca="false">C7*D7</f>
        <v>863.94</v>
      </c>
    </row>
    <row r="8" customFormat="false" ht="15" hidden="false" customHeight="true" outlineLevel="0" collapsed="false">
      <c r="A8" s="1" t="s">
        <v>654</v>
      </c>
      <c r="B8" s="1" t="s">
        <v>3688</v>
      </c>
      <c r="C8" s="1" t="n">
        <v>8</v>
      </c>
      <c r="D8" s="1" t="n">
        <v>266.75</v>
      </c>
      <c r="E8" s="1" t="n">
        <f aca="false">C8*D8</f>
        <v>2134</v>
      </c>
    </row>
    <row r="9" customFormat="false" ht="15" hidden="false" customHeight="true" outlineLevel="0" collapsed="false">
      <c r="A9" s="1" t="s">
        <v>2722</v>
      </c>
      <c r="B9" s="1" t="s">
        <v>3689</v>
      </c>
      <c r="C9" s="1" t="n">
        <v>3</v>
      </c>
      <c r="D9" s="1" t="n">
        <v>150</v>
      </c>
      <c r="E9" s="1" t="n">
        <f aca="false">C9*D9</f>
        <v>450</v>
      </c>
    </row>
    <row r="10" customFormat="false" ht="15" hidden="false" customHeight="true" outlineLevel="0" collapsed="false">
      <c r="A10" s="1" t="s">
        <v>2763</v>
      </c>
      <c r="B10" s="1" t="s">
        <v>3690</v>
      </c>
      <c r="C10" s="1" t="n">
        <v>3</v>
      </c>
      <c r="D10" s="1" t="n">
        <v>150</v>
      </c>
      <c r="E10" s="1" t="n">
        <f aca="false">C10*D10</f>
        <v>450</v>
      </c>
    </row>
    <row r="11" customFormat="false" ht="15" hidden="false" customHeight="true" outlineLevel="0" collapsed="false">
      <c r="A11" s="1" t="s">
        <v>2474</v>
      </c>
      <c r="B11" s="1" t="s">
        <v>3691</v>
      </c>
      <c r="C11" s="1" t="n">
        <v>3</v>
      </c>
      <c r="D11" s="1" t="n">
        <v>198</v>
      </c>
      <c r="E11" s="1" t="n">
        <f aca="false">C11*D11</f>
        <v>594</v>
      </c>
    </row>
    <row r="12" customFormat="false" ht="15" hidden="false" customHeight="true" outlineLevel="0" collapsed="false">
      <c r="A12" s="1" t="s">
        <v>2432</v>
      </c>
      <c r="B12" s="1" t="s">
        <v>3692</v>
      </c>
      <c r="C12" s="1" t="n">
        <v>3</v>
      </c>
      <c r="D12" s="1" t="n">
        <v>198</v>
      </c>
      <c r="E12" s="1" t="n">
        <f aca="false">C12*D12</f>
        <v>594</v>
      </c>
    </row>
    <row r="13" customFormat="false" ht="15" hidden="false" customHeight="true" outlineLevel="0" collapsed="false">
      <c r="A13" s="1" t="s">
        <v>362</v>
      </c>
      <c r="B13" s="1" t="s">
        <v>3693</v>
      </c>
      <c r="C13" s="1" t="n">
        <v>8</v>
      </c>
      <c r="D13" s="1" t="n">
        <v>62</v>
      </c>
      <c r="E13" s="1" t="n">
        <f aca="false">C13*D13</f>
        <v>496</v>
      </c>
    </row>
    <row r="14" customFormat="false" ht="15" hidden="false" customHeight="true" outlineLevel="0" collapsed="false">
      <c r="A14" s="1" t="s">
        <v>48</v>
      </c>
      <c r="B14" s="1" t="s">
        <v>3694</v>
      </c>
      <c r="C14" s="1" t="n">
        <v>1</v>
      </c>
      <c r="D14" s="1" t="n">
        <v>95</v>
      </c>
      <c r="E14" s="1" t="n">
        <f aca="false">C14*D14</f>
        <v>95</v>
      </c>
    </row>
    <row r="15" customFormat="false" ht="15" hidden="false" customHeight="true" outlineLevel="0" collapsed="false">
      <c r="A15" s="1" t="s">
        <v>98</v>
      </c>
      <c r="B15" s="1" t="s">
        <v>3695</v>
      </c>
      <c r="C15" s="1" t="n">
        <v>4</v>
      </c>
      <c r="D15" s="1" t="n">
        <v>113.4</v>
      </c>
      <c r="E15" s="1" t="n">
        <f aca="false">C15*D15</f>
        <v>453.6</v>
      </c>
    </row>
    <row r="16" customFormat="false" ht="15" hidden="false" customHeight="true" outlineLevel="0" collapsed="false">
      <c r="A16" s="1" t="s">
        <v>522</v>
      </c>
      <c r="B16" s="1" t="s">
        <v>3696</v>
      </c>
      <c r="C16" s="1" t="n">
        <v>8</v>
      </c>
      <c r="D16" s="1" t="n">
        <v>82.53</v>
      </c>
      <c r="E16" s="1" t="n">
        <f aca="false">C16*D16</f>
        <v>660.24</v>
      </c>
    </row>
    <row r="17" customFormat="false" ht="15" hidden="false" customHeight="true" outlineLevel="0" collapsed="false">
      <c r="A17" s="1" t="s">
        <v>732</v>
      </c>
      <c r="B17" s="1" t="s">
        <v>3697</v>
      </c>
      <c r="C17" s="1" t="n">
        <v>4</v>
      </c>
      <c r="D17" s="1" t="n">
        <v>78.19</v>
      </c>
      <c r="E17" s="1" t="n">
        <f aca="false">C17*D17</f>
        <v>312.76</v>
      </c>
    </row>
    <row r="18" customFormat="false" ht="15" hidden="false" customHeight="true" outlineLevel="0" collapsed="false">
      <c r="A18" s="1" t="s">
        <v>837</v>
      </c>
      <c r="B18" s="1" t="s">
        <v>3698</v>
      </c>
      <c r="C18" s="1" t="n">
        <v>4</v>
      </c>
      <c r="D18" s="1" t="n">
        <v>95.8</v>
      </c>
      <c r="E18" s="1" t="n">
        <f aca="false">C18*D18</f>
        <v>383.2</v>
      </c>
    </row>
    <row r="19" customFormat="false" ht="15" hidden="false" customHeight="true" outlineLevel="0" collapsed="false">
      <c r="A19" s="1" t="s">
        <v>3635</v>
      </c>
      <c r="B19" s="1" t="s">
        <v>3699</v>
      </c>
      <c r="C19" s="1" t="n">
        <v>2</v>
      </c>
      <c r="D19" s="1" t="n">
        <v>377.72</v>
      </c>
      <c r="E19" s="1" t="n">
        <f aca="false">C19*D19</f>
        <v>755.44</v>
      </c>
    </row>
    <row r="20" customFormat="false" ht="15" hidden="false" customHeight="true" outlineLevel="0" collapsed="false">
      <c r="A20" s="1" t="s">
        <v>1029</v>
      </c>
      <c r="B20" s="1" t="s">
        <v>3700</v>
      </c>
      <c r="C20" s="1" t="n">
        <v>2</v>
      </c>
      <c r="D20" s="1" t="n">
        <v>355.44</v>
      </c>
      <c r="E20" s="1" t="n">
        <f aca="false">C20*D20</f>
        <v>710.88</v>
      </c>
    </row>
    <row r="21" customFormat="false" ht="15" hidden="false" customHeight="true" outlineLevel="0" collapsed="false">
      <c r="A21" s="1" t="s">
        <v>1299</v>
      </c>
      <c r="B21" s="1" t="s">
        <v>3701</v>
      </c>
      <c r="C21" s="1" t="n">
        <v>2</v>
      </c>
      <c r="D21" s="1" t="n">
        <v>358.64</v>
      </c>
      <c r="E21" s="1" t="n">
        <f aca="false">C21*D21</f>
        <v>717.28</v>
      </c>
    </row>
    <row r="22" customFormat="false" ht="15" hidden="false" customHeight="true" outlineLevel="0" collapsed="false">
      <c r="A22" s="1" t="s">
        <v>2109</v>
      </c>
      <c r="B22" s="1" t="s">
        <v>3702</v>
      </c>
      <c r="C22" s="1" t="n">
        <v>2</v>
      </c>
      <c r="D22" s="1" t="n">
        <v>574.99</v>
      </c>
      <c r="E22" s="1" t="n">
        <f aca="false">C22*D22</f>
        <v>1149.98</v>
      </c>
    </row>
    <row r="23" customFormat="false" ht="15" hidden="false" customHeight="true" outlineLevel="0" collapsed="false">
      <c r="A23" s="1" t="s">
        <v>559</v>
      </c>
      <c r="B23" s="1" t="s">
        <v>3703</v>
      </c>
      <c r="C23" s="1" t="n">
        <v>8</v>
      </c>
      <c r="D23" s="1" t="n">
        <v>59.99</v>
      </c>
      <c r="E23" s="1" t="n">
        <f aca="false">C23*D23</f>
        <v>479.92</v>
      </c>
    </row>
    <row r="24" customFormat="false" ht="15" hidden="false" customHeight="true" outlineLevel="0" collapsed="false">
      <c r="A24" s="1" t="s">
        <v>118</v>
      </c>
      <c r="B24" s="1" t="s">
        <v>3704</v>
      </c>
      <c r="C24" s="1" t="n">
        <v>20</v>
      </c>
      <c r="D24" s="1" t="n">
        <v>31.88</v>
      </c>
      <c r="E24" s="1" t="n">
        <f aca="false">C24*D24</f>
        <v>637.6</v>
      </c>
    </row>
    <row r="25" customFormat="false" ht="15" hidden="false" customHeight="true" outlineLevel="0" collapsed="false">
      <c r="A25" s="1" t="s">
        <v>285</v>
      </c>
      <c r="B25" s="1" t="s">
        <v>3705</v>
      </c>
      <c r="C25" s="1" t="n">
        <v>8</v>
      </c>
      <c r="D25" s="1" t="n">
        <v>26.99</v>
      </c>
      <c r="E25" s="1" t="n">
        <f aca="false">C25*D25</f>
        <v>215.92</v>
      </c>
    </row>
    <row r="26" customFormat="false" ht="15" hidden="false" customHeight="true" outlineLevel="0" collapsed="false">
      <c r="A26" s="1" t="s">
        <v>467</v>
      </c>
      <c r="B26" s="1" t="s">
        <v>3706</v>
      </c>
      <c r="C26" s="1" t="n">
        <v>10</v>
      </c>
      <c r="D26" s="1" t="n">
        <v>86.49</v>
      </c>
      <c r="E26" s="1" t="n">
        <f aca="false">C26*D26</f>
        <v>864.9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11</v>
      </c>
      <c r="B1" s="1" t="s">
        <v>3707</v>
      </c>
    </row>
    <row r="2" customFormat="false" ht="15" hidden="false" customHeight="true" outlineLevel="0" collapsed="false">
      <c r="A2" s="1" t="s">
        <v>26</v>
      </c>
      <c r="B2" s="1" t="n">
        <v>9169</v>
      </c>
    </row>
    <row r="3" customFormat="false" ht="15" hidden="false" customHeight="true" outlineLevel="0" collapsed="false">
      <c r="A3" s="1" t="s">
        <v>30</v>
      </c>
      <c r="B3" s="1" t="n">
        <v>8838</v>
      </c>
    </row>
    <row r="4" customFormat="false" ht="15" hidden="false" customHeight="true" outlineLevel="0" collapsed="false">
      <c r="A4" s="1" t="s">
        <v>40</v>
      </c>
      <c r="B4" s="1" t="n">
        <v>4924</v>
      </c>
    </row>
    <row r="5" customFormat="false" ht="15" hidden="false" customHeight="true" outlineLevel="0" collapsed="false">
      <c r="A5" s="1" t="s">
        <v>59</v>
      </c>
      <c r="B5" s="1" t="n">
        <v>3768</v>
      </c>
    </row>
    <row r="6" customFormat="false" ht="15" hidden="false" customHeight="true" outlineLevel="0" collapsed="false">
      <c r="A6" s="1" t="s">
        <v>51</v>
      </c>
      <c r="B6" s="1" t="n">
        <v>3485</v>
      </c>
    </row>
    <row r="7" customFormat="false" ht="15" hidden="false" customHeight="true" outlineLevel="0" collapsed="false">
      <c r="A7" s="1" t="s">
        <v>33</v>
      </c>
      <c r="B7" s="1" t="n">
        <v>3454</v>
      </c>
    </row>
    <row r="8" customFormat="false" ht="15" hidden="false" customHeight="true" outlineLevel="0" collapsed="false">
      <c r="A8" s="1" t="s">
        <v>75</v>
      </c>
      <c r="B8" s="1" t="n">
        <v>3315</v>
      </c>
    </row>
    <row r="9" customFormat="false" ht="15" hidden="false" customHeight="true" outlineLevel="0" collapsed="false">
      <c r="A9" s="1" t="s">
        <v>38</v>
      </c>
      <c r="B9" s="1" t="n">
        <v>2941</v>
      </c>
    </row>
    <row r="10" customFormat="false" ht="15" hidden="false" customHeight="true" outlineLevel="0" collapsed="false">
      <c r="A10" s="1" t="s">
        <v>67</v>
      </c>
      <c r="B10" s="1" t="n">
        <v>2731</v>
      </c>
    </row>
    <row r="11" customFormat="false" ht="15" hidden="false" customHeight="true" outlineLevel="0" collapsed="false">
      <c r="A11" s="1" t="s">
        <v>64</v>
      </c>
      <c r="B11" s="1" t="n">
        <v>2656</v>
      </c>
    </row>
    <row r="12" customFormat="false" ht="15" hidden="false" customHeight="true" outlineLevel="0" collapsed="false">
      <c r="A12" s="1" t="s">
        <v>69</v>
      </c>
      <c r="B12" s="1" t="n">
        <v>2620</v>
      </c>
    </row>
    <row r="13" customFormat="false" ht="15" hidden="false" customHeight="true" outlineLevel="0" collapsed="false">
      <c r="A13" s="1" t="s">
        <v>73</v>
      </c>
      <c r="B13" s="1" t="n">
        <v>2617</v>
      </c>
    </row>
    <row r="14" customFormat="false" ht="15" hidden="false" customHeight="true" outlineLevel="0" collapsed="false">
      <c r="A14" s="1" t="s">
        <v>84</v>
      </c>
      <c r="B14" s="1" t="n">
        <v>2466</v>
      </c>
    </row>
    <row r="15" customFormat="false" ht="15" hidden="false" customHeight="true" outlineLevel="0" collapsed="false">
      <c r="A15" s="1" t="s">
        <v>83</v>
      </c>
      <c r="B15" s="1" t="n">
        <v>2420</v>
      </c>
    </row>
    <row r="16" customFormat="false" ht="15" hidden="false" customHeight="true" outlineLevel="0" collapsed="false">
      <c r="A16" s="1" t="s">
        <v>61</v>
      </c>
      <c r="B16" s="1" t="n">
        <v>2392</v>
      </c>
    </row>
    <row r="17" customFormat="false" ht="15" hidden="false" customHeight="true" outlineLevel="0" collapsed="false">
      <c r="A17" s="1" t="s">
        <v>48</v>
      </c>
      <c r="B17" s="1" t="n">
        <v>2364</v>
      </c>
    </row>
    <row r="18" customFormat="false" ht="15" hidden="false" customHeight="true" outlineLevel="0" collapsed="false">
      <c r="A18" s="1" t="s">
        <v>55</v>
      </c>
      <c r="B18" s="1" t="n">
        <v>2273</v>
      </c>
    </row>
    <row r="19" customFormat="false" ht="15" hidden="false" customHeight="true" outlineLevel="0" collapsed="false">
      <c r="A19" s="1" t="s">
        <v>79</v>
      </c>
      <c r="B19" s="1" t="n">
        <v>2232</v>
      </c>
    </row>
    <row r="20" customFormat="false" ht="15" hidden="false" customHeight="true" outlineLevel="0" collapsed="false">
      <c r="A20" s="1" t="s">
        <v>102</v>
      </c>
      <c r="B20" s="1" t="n">
        <v>2083</v>
      </c>
    </row>
    <row r="21" customFormat="false" ht="15" hidden="false" customHeight="true" outlineLevel="0" collapsed="false">
      <c r="A21" s="1" t="s">
        <v>44</v>
      </c>
      <c r="B21" s="1" t="n">
        <v>1912</v>
      </c>
    </row>
    <row r="22" customFormat="false" ht="15" hidden="false" customHeight="true" outlineLevel="0" collapsed="false">
      <c r="A22" s="1" t="s">
        <v>108</v>
      </c>
      <c r="B22" s="1" t="n">
        <v>1906</v>
      </c>
    </row>
    <row r="23" customFormat="false" ht="15" hidden="false" customHeight="true" outlineLevel="0" collapsed="false">
      <c r="A23" s="1" t="s">
        <v>104</v>
      </c>
      <c r="B23" s="1" t="n">
        <v>1887</v>
      </c>
    </row>
    <row r="24" customFormat="false" ht="15" hidden="false" customHeight="true" outlineLevel="0" collapsed="false">
      <c r="A24" s="1" t="s">
        <v>141</v>
      </c>
      <c r="B24" s="1" t="n">
        <v>1858</v>
      </c>
    </row>
    <row r="25" customFormat="false" ht="15" hidden="false" customHeight="true" outlineLevel="0" collapsed="false">
      <c r="A25" s="1" t="s">
        <v>120</v>
      </c>
      <c r="B25" s="1" t="n">
        <v>1852</v>
      </c>
    </row>
    <row r="26" customFormat="false" ht="15" hidden="false" customHeight="true" outlineLevel="0" collapsed="false">
      <c r="A26" s="1" t="s">
        <v>86</v>
      </c>
      <c r="B26" s="1" t="n">
        <v>1824</v>
      </c>
    </row>
    <row r="27" customFormat="false" ht="15" hidden="false" customHeight="true" outlineLevel="0" collapsed="false">
      <c r="A27" s="1" t="s">
        <v>100</v>
      </c>
      <c r="B27" s="1" t="n">
        <v>1754</v>
      </c>
    </row>
    <row r="28" customFormat="false" ht="15" hidden="false" customHeight="true" outlineLevel="0" collapsed="false">
      <c r="A28" s="1" t="s">
        <v>135</v>
      </c>
      <c r="B28" s="1" t="n">
        <v>1715</v>
      </c>
    </row>
    <row r="29" customFormat="false" ht="15" hidden="false" customHeight="true" outlineLevel="0" collapsed="false">
      <c r="A29" s="1" t="s">
        <v>91</v>
      </c>
      <c r="B29" s="1" t="n">
        <v>1667</v>
      </c>
    </row>
    <row r="30" customFormat="false" ht="15" hidden="false" customHeight="true" outlineLevel="0" collapsed="false">
      <c r="A30" s="1" t="s">
        <v>110</v>
      </c>
      <c r="B30" s="1" t="n">
        <v>1619</v>
      </c>
    </row>
    <row r="31" customFormat="false" ht="15" hidden="false" customHeight="true" outlineLevel="0" collapsed="false">
      <c r="A31" s="1" t="s">
        <v>98</v>
      </c>
      <c r="B31" s="1" t="n">
        <v>1529</v>
      </c>
    </row>
    <row r="32" customFormat="false" ht="15" hidden="false" customHeight="true" outlineLevel="0" collapsed="false">
      <c r="A32" s="1" t="s">
        <v>81</v>
      </c>
      <c r="B32" s="1" t="n">
        <v>1529</v>
      </c>
    </row>
    <row r="33" customFormat="false" ht="15" hidden="false" customHeight="true" outlineLevel="0" collapsed="false">
      <c r="A33" s="1" t="s">
        <v>202</v>
      </c>
      <c r="B33" s="1" t="n">
        <v>1498</v>
      </c>
    </row>
    <row r="34" customFormat="false" ht="15" hidden="false" customHeight="true" outlineLevel="0" collapsed="false">
      <c r="A34" s="1" t="s">
        <v>133</v>
      </c>
      <c r="B34" s="1" t="n">
        <v>1465</v>
      </c>
    </row>
    <row r="35" customFormat="false" ht="15" hidden="false" customHeight="true" outlineLevel="0" collapsed="false">
      <c r="A35" s="1" t="s">
        <v>209</v>
      </c>
      <c r="B35" s="1" t="n">
        <v>1382</v>
      </c>
    </row>
    <row r="36" customFormat="false" ht="15" hidden="false" customHeight="true" outlineLevel="0" collapsed="false">
      <c r="A36" s="1" t="s">
        <v>111</v>
      </c>
      <c r="B36" s="1" t="n">
        <v>1360</v>
      </c>
    </row>
    <row r="37" customFormat="false" ht="15" hidden="false" customHeight="true" outlineLevel="0" collapsed="false">
      <c r="A37" s="1" t="s">
        <v>159</v>
      </c>
      <c r="B37" s="1" t="n">
        <v>1337</v>
      </c>
    </row>
    <row r="38" customFormat="false" ht="15" hidden="false" customHeight="true" outlineLevel="0" collapsed="false">
      <c r="A38" s="1" t="s">
        <v>107</v>
      </c>
      <c r="B38" s="1" t="n">
        <v>1295</v>
      </c>
    </row>
    <row r="39" customFormat="false" ht="15" hidden="false" customHeight="true" outlineLevel="0" collapsed="false">
      <c r="A39" s="1" t="s">
        <v>118</v>
      </c>
      <c r="B39" s="1" t="n">
        <v>1292</v>
      </c>
    </row>
    <row r="40" customFormat="false" ht="15" hidden="false" customHeight="true" outlineLevel="0" collapsed="false">
      <c r="A40" s="1" t="s">
        <v>155</v>
      </c>
      <c r="B40" s="1" t="n">
        <v>1286</v>
      </c>
    </row>
    <row r="41" customFormat="false" ht="15" hidden="false" customHeight="true" outlineLevel="0" collapsed="false">
      <c r="A41" s="1" t="s">
        <v>122</v>
      </c>
      <c r="B41" s="1" t="n">
        <v>1250</v>
      </c>
    </row>
    <row r="42" customFormat="false" ht="15" hidden="false" customHeight="true" outlineLevel="0" collapsed="false">
      <c r="A42" s="1" t="s">
        <v>261</v>
      </c>
      <c r="B42" s="1" t="n">
        <v>1249</v>
      </c>
    </row>
    <row r="43" customFormat="false" ht="15" hidden="false" customHeight="true" outlineLevel="0" collapsed="false">
      <c r="A43" s="1" t="s">
        <v>259</v>
      </c>
      <c r="B43" s="1" t="n">
        <v>1208</v>
      </c>
    </row>
    <row r="44" customFormat="false" ht="15" hidden="false" customHeight="true" outlineLevel="0" collapsed="false">
      <c r="A44" s="1" t="s">
        <v>113</v>
      </c>
      <c r="B44" s="1" t="n">
        <v>1189</v>
      </c>
    </row>
    <row r="45" customFormat="false" ht="15" hidden="false" customHeight="true" outlineLevel="0" collapsed="false">
      <c r="A45" s="1" t="s">
        <v>170</v>
      </c>
      <c r="B45" s="1" t="n">
        <v>1177</v>
      </c>
    </row>
    <row r="46" customFormat="false" ht="15" hidden="false" customHeight="true" outlineLevel="0" collapsed="false">
      <c r="A46" s="1" t="s">
        <v>192</v>
      </c>
      <c r="B46" s="1" t="n">
        <v>1169</v>
      </c>
    </row>
    <row r="47" customFormat="false" ht="15" hidden="false" customHeight="true" outlineLevel="0" collapsed="false">
      <c r="A47" s="1" t="s">
        <v>144</v>
      </c>
      <c r="B47" s="1" t="n">
        <v>1169</v>
      </c>
    </row>
    <row r="48" customFormat="false" ht="15" hidden="false" customHeight="true" outlineLevel="0" collapsed="false">
      <c r="A48" s="1" t="s">
        <v>204</v>
      </c>
      <c r="B48" s="1" t="n">
        <v>1160</v>
      </c>
    </row>
    <row r="49" customFormat="false" ht="15" hidden="false" customHeight="true" outlineLevel="0" collapsed="false">
      <c r="A49" s="1" t="s">
        <v>243</v>
      </c>
      <c r="B49" s="1" t="n">
        <v>1135</v>
      </c>
    </row>
    <row r="50" customFormat="false" ht="15" hidden="false" customHeight="true" outlineLevel="0" collapsed="false">
      <c r="A50" s="1" t="s">
        <v>224</v>
      </c>
      <c r="B50" s="1" t="n">
        <v>1114</v>
      </c>
    </row>
    <row r="51" customFormat="false" ht="15" hidden="false" customHeight="true" outlineLevel="0" collapsed="false">
      <c r="A51" s="1" t="s">
        <v>311</v>
      </c>
      <c r="B51" s="1" t="n">
        <v>1082</v>
      </c>
    </row>
    <row r="52" customFormat="false" ht="15" hidden="false" customHeight="true" outlineLevel="0" collapsed="false">
      <c r="A52" s="1" t="s">
        <v>150</v>
      </c>
      <c r="B52" s="1" t="n">
        <v>1081</v>
      </c>
    </row>
    <row r="53" customFormat="false" ht="15" hidden="false" customHeight="true" outlineLevel="0" collapsed="false">
      <c r="A53" s="1" t="s">
        <v>173</v>
      </c>
      <c r="B53" s="1" t="n">
        <v>1074</v>
      </c>
    </row>
    <row r="54" customFormat="false" ht="15" hidden="false" customHeight="true" outlineLevel="0" collapsed="false">
      <c r="A54" s="1" t="s">
        <v>182</v>
      </c>
      <c r="B54" s="1" t="n">
        <v>1072</v>
      </c>
    </row>
    <row r="55" customFormat="false" ht="15" hidden="false" customHeight="true" outlineLevel="0" collapsed="false">
      <c r="A55" s="1" t="s">
        <v>266</v>
      </c>
      <c r="B55" s="1" t="n">
        <v>1057</v>
      </c>
    </row>
    <row r="56" customFormat="false" ht="15" hidden="false" customHeight="true" outlineLevel="0" collapsed="false">
      <c r="A56" s="1" t="s">
        <v>270</v>
      </c>
      <c r="B56" s="1" t="n">
        <v>1040</v>
      </c>
    </row>
    <row r="57" customFormat="false" ht="15" hidden="false" customHeight="true" outlineLevel="0" collapsed="false">
      <c r="A57" s="1" t="s">
        <v>179</v>
      </c>
      <c r="B57" s="1" t="n">
        <v>1019</v>
      </c>
    </row>
    <row r="58" customFormat="false" ht="15" hidden="false" customHeight="true" outlineLevel="0" collapsed="false">
      <c r="A58" s="1" t="s">
        <v>148</v>
      </c>
      <c r="B58" s="1" t="n">
        <v>1017</v>
      </c>
    </row>
    <row r="59" customFormat="false" ht="15" hidden="false" customHeight="true" outlineLevel="0" collapsed="false">
      <c r="A59" s="1" t="s">
        <v>138</v>
      </c>
      <c r="B59" s="1" t="n">
        <v>1000</v>
      </c>
    </row>
    <row r="60" customFormat="false" ht="15" hidden="false" customHeight="true" outlineLevel="0" collapsed="false">
      <c r="A60" s="1" t="s">
        <v>316</v>
      </c>
      <c r="B60" s="1" t="n">
        <v>999</v>
      </c>
    </row>
    <row r="61" customFormat="false" ht="15" hidden="false" customHeight="true" outlineLevel="0" collapsed="false">
      <c r="A61" s="1" t="s">
        <v>298</v>
      </c>
      <c r="B61" s="1" t="n">
        <v>989</v>
      </c>
    </row>
    <row r="62" customFormat="false" ht="15" hidden="false" customHeight="true" outlineLevel="0" collapsed="false">
      <c r="A62" s="1" t="s">
        <v>237</v>
      </c>
      <c r="B62" s="1" t="n">
        <v>982</v>
      </c>
    </row>
    <row r="63" customFormat="false" ht="15" hidden="false" customHeight="true" outlineLevel="0" collapsed="false">
      <c r="A63" s="1" t="s">
        <v>216</v>
      </c>
      <c r="B63" s="1" t="n">
        <v>966</v>
      </c>
    </row>
    <row r="64" customFormat="false" ht="15" hidden="false" customHeight="true" outlineLevel="0" collapsed="false">
      <c r="A64" s="1" t="s">
        <v>263</v>
      </c>
      <c r="B64" s="1" t="n">
        <v>932</v>
      </c>
    </row>
    <row r="65" customFormat="false" ht="15" hidden="false" customHeight="true" outlineLevel="0" collapsed="false">
      <c r="A65" s="1" t="s">
        <v>268</v>
      </c>
      <c r="B65" s="1" t="n">
        <v>930</v>
      </c>
    </row>
    <row r="66" customFormat="false" ht="15" hidden="false" customHeight="true" outlineLevel="0" collapsed="false">
      <c r="A66" s="1" t="s">
        <v>175</v>
      </c>
      <c r="B66" s="1" t="n">
        <v>927</v>
      </c>
    </row>
    <row r="67" customFormat="false" ht="15" hidden="false" customHeight="true" outlineLevel="0" collapsed="false">
      <c r="A67" s="1" t="s">
        <v>381</v>
      </c>
      <c r="B67" s="1" t="n">
        <v>917</v>
      </c>
    </row>
    <row r="68" customFormat="false" ht="15" hidden="false" customHeight="true" outlineLevel="0" collapsed="false">
      <c r="A68" s="1" t="s">
        <v>302</v>
      </c>
      <c r="B68" s="1" t="n">
        <v>907</v>
      </c>
    </row>
    <row r="69" customFormat="false" ht="15" hidden="false" customHeight="true" outlineLevel="0" collapsed="false">
      <c r="A69" s="1" t="s">
        <v>245</v>
      </c>
      <c r="B69" s="1" t="n">
        <v>901</v>
      </c>
    </row>
    <row r="70" customFormat="false" ht="15" hidden="false" customHeight="true" outlineLevel="0" collapsed="false">
      <c r="A70" s="1" t="s">
        <v>228</v>
      </c>
      <c r="B70" s="1" t="n">
        <v>899</v>
      </c>
    </row>
    <row r="71" customFormat="false" ht="15" hidden="false" customHeight="true" outlineLevel="0" collapsed="false">
      <c r="A71" s="1" t="s">
        <v>221</v>
      </c>
      <c r="B71" s="1" t="n">
        <v>898</v>
      </c>
    </row>
    <row r="72" customFormat="false" ht="15" hidden="false" customHeight="true" outlineLevel="0" collapsed="false">
      <c r="A72" s="1" t="s">
        <v>241</v>
      </c>
      <c r="B72" s="1" t="n">
        <v>869</v>
      </c>
    </row>
    <row r="73" customFormat="false" ht="15" hidden="false" customHeight="true" outlineLevel="0" collapsed="false">
      <c r="A73" s="1" t="s">
        <v>162</v>
      </c>
      <c r="B73" s="1" t="n">
        <v>869</v>
      </c>
    </row>
    <row r="74" customFormat="false" ht="15" hidden="false" customHeight="true" outlineLevel="0" collapsed="false">
      <c r="A74" s="1" t="s">
        <v>230</v>
      </c>
      <c r="B74" s="1" t="n">
        <v>867</v>
      </c>
    </row>
    <row r="75" customFormat="false" ht="15" hidden="false" customHeight="true" outlineLevel="0" collapsed="false">
      <c r="A75" s="1" t="s">
        <v>351</v>
      </c>
      <c r="B75" s="1" t="n">
        <v>855</v>
      </c>
    </row>
    <row r="76" customFormat="false" ht="15" hidden="false" customHeight="true" outlineLevel="0" collapsed="false">
      <c r="A76" s="1" t="s">
        <v>190</v>
      </c>
      <c r="B76" s="1" t="n">
        <v>855</v>
      </c>
    </row>
    <row r="77" customFormat="false" ht="15" hidden="false" customHeight="true" outlineLevel="0" collapsed="false">
      <c r="A77" s="1" t="s">
        <v>253</v>
      </c>
      <c r="B77" s="1" t="n">
        <v>843</v>
      </c>
    </row>
    <row r="78" customFormat="false" ht="15" hidden="false" customHeight="true" outlineLevel="0" collapsed="false">
      <c r="A78" s="1" t="s">
        <v>116</v>
      </c>
      <c r="B78" s="1" t="n">
        <v>841</v>
      </c>
    </row>
    <row r="79" customFormat="false" ht="15" hidden="false" customHeight="true" outlineLevel="0" collapsed="false">
      <c r="A79" s="1" t="s">
        <v>380</v>
      </c>
      <c r="B79" s="1" t="n">
        <v>830</v>
      </c>
    </row>
    <row r="80" customFormat="false" ht="15" hidden="false" customHeight="true" outlineLevel="0" collapsed="false">
      <c r="A80" s="1" t="s">
        <v>399</v>
      </c>
      <c r="B80" s="1" t="n">
        <v>829</v>
      </c>
    </row>
    <row r="81" customFormat="false" ht="15" hidden="false" customHeight="true" outlineLevel="0" collapsed="false">
      <c r="A81" s="1" t="s">
        <v>389</v>
      </c>
      <c r="B81" s="1" t="n">
        <v>828</v>
      </c>
    </row>
    <row r="82" customFormat="false" ht="15" hidden="false" customHeight="true" outlineLevel="0" collapsed="false">
      <c r="A82" s="1" t="s">
        <v>293</v>
      </c>
      <c r="B82" s="1" t="n">
        <v>826</v>
      </c>
    </row>
    <row r="83" customFormat="false" ht="15" hidden="false" customHeight="true" outlineLevel="0" collapsed="false">
      <c r="A83" s="1" t="s">
        <v>318</v>
      </c>
      <c r="B83" s="1" t="n">
        <v>825</v>
      </c>
    </row>
    <row r="84" customFormat="false" ht="15" hidden="false" customHeight="true" outlineLevel="0" collapsed="false">
      <c r="A84" s="1" t="s">
        <v>362</v>
      </c>
      <c r="B84" s="1" t="n">
        <v>816</v>
      </c>
    </row>
    <row r="85" customFormat="false" ht="15" hidden="false" customHeight="true" outlineLevel="0" collapsed="false">
      <c r="A85" s="1" t="s">
        <v>272</v>
      </c>
      <c r="B85" s="1" t="n">
        <v>816</v>
      </c>
    </row>
    <row r="86" customFormat="false" ht="15" hidden="false" customHeight="true" outlineLevel="0" collapsed="false">
      <c r="A86" s="1" t="s">
        <v>308</v>
      </c>
      <c r="B86" s="1" t="n">
        <v>811</v>
      </c>
    </row>
    <row r="87" customFormat="false" ht="15" hidden="false" customHeight="true" outlineLevel="0" collapsed="false">
      <c r="A87" s="1" t="s">
        <v>317</v>
      </c>
      <c r="B87" s="1" t="n">
        <v>808</v>
      </c>
    </row>
    <row r="88" customFormat="false" ht="15" hidden="false" customHeight="true" outlineLevel="0" collapsed="false">
      <c r="A88" s="1" t="s">
        <v>328</v>
      </c>
      <c r="B88" s="1" t="n">
        <v>800</v>
      </c>
    </row>
    <row r="89" customFormat="false" ht="15" hidden="false" customHeight="true" outlineLevel="0" collapsed="false">
      <c r="A89" s="1" t="s">
        <v>491</v>
      </c>
      <c r="B89" s="1" t="n">
        <v>796</v>
      </c>
    </row>
    <row r="90" customFormat="false" ht="15" hidden="false" customHeight="true" outlineLevel="0" collapsed="false">
      <c r="A90" s="1" t="s">
        <v>384</v>
      </c>
      <c r="B90" s="1" t="n">
        <v>792</v>
      </c>
    </row>
    <row r="91" customFormat="false" ht="15" hidden="false" customHeight="true" outlineLevel="0" collapsed="false">
      <c r="A91" s="1" t="s">
        <v>285</v>
      </c>
      <c r="B91" s="1" t="n">
        <v>788</v>
      </c>
    </row>
    <row r="92" customFormat="false" ht="15" hidden="false" customHeight="true" outlineLevel="0" collapsed="false">
      <c r="A92" s="1" t="s">
        <v>163</v>
      </c>
      <c r="B92" s="1" t="n">
        <v>787</v>
      </c>
    </row>
    <row r="93" customFormat="false" ht="15" hidden="false" customHeight="true" outlineLevel="0" collapsed="false">
      <c r="A93" s="1" t="s">
        <v>186</v>
      </c>
      <c r="B93" s="1" t="n">
        <v>785</v>
      </c>
    </row>
    <row r="94" customFormat="false" ht="15" hidden="false" customHeight="true" outlineLevel="0" collapsed="false">
      <c r="A94" s="1" t="s">
        <v>335</v>
      </c>
      <c r="B94" s="1" t="n">
        <v>774</v>
      </c>
    </row>
    <row r="95" customFormat="false" ht="15" hidden="false" customHeight="true" outlineLevel="0" collapsed="false">
      <c r="A95" s="1" t="s">
        <v>456</v>
      </c>
      <c r="B95" s="1" t="n">
        <v>766</v>
      </c>
    </row>
    <row r="96" customFormat="false" ht="15" hidden="false" customHeight="true" outlineLevel="0" collapsed="false">
      <c r="A96" s="1" t="s">
        <v>288</v>
      </c>
      <c r="B96" s="1" t="n">
        <v>764</v>
      </c>
    </row>
    <row r="97" customFormat="false" ht="15" hidden="false" customHeight="true" outlineLevel="0" collapsed="false">
      <c r="A97" s="1" t="s">
        <v>484</v>
      </c>
      <c r="B97" s="1" t="n">
        <v>764</v>
      </c>
    </row>
    <row r="98" customFormat="false" ht="15" hidden="false" customHeight="true" outlineLevel="0" collapsed="false">
      <c r="A98" s="1" t="s">
        <v>512</v>
      </c>
      <c r="B98" s="1" t="n">
        <v>764</v>
      </c>
    </row>
    <row r="99" customFormat="false" ht="15" hidden="false" customHeight="true" outlineLevel="0" collapsed="false">
      <c r="A99" s="1" t="s">
        <v>442</v>
      </c>
      <c r="B99" s="1" t="n">
        <v>758</v>
      </c>
    </row>
    <row r="100" customFormat="false" ht="15" hidden="false" customHeight="true" outlineLevel="0" collapsed="false">
      <c r="A100" s="1" t="s">
        <v>411</v>
      </c>
      <c r="B100" s="1" t="n">
        <v>755</v>
      </c>
    </row>
    <row r="101" customFormat="false" ht="15" hidden="false" customHeight="true" outlineLevel="0" collapsed="false">
      <c r="A101" s="1" t="s">
        <v>360</v>
      </c>
      <c r="B101" s="1" t="n">
        <v>748</v>
      </c>
    </row>
    <row r="102" customFormat="false" ht="15" hidden="false" customHeight="true" outlineLevel="0" collapsed="false">
      <c r="A102" s="1" t="s">
        <v>275</v>
      </c>
      <c r="B102" s="1" t="n">
        <v>740</v>
      </c>
    </row>
    <row r="103" customFormat="false" ht="15" hidden="false" customHeight="true" outlineLevel="0" collapsed="false">
      <c r="A103" s="1" t="s">
        <v>247</v>
      </c>
      <c r="B103" s="1" t="n">
        <v>737</v>
      </c>
    </row>
    <row r="104" customFormat="false" ht="15" hidden="false" customHeight="true" outlineLevel="0" collapsed="false">
      <c r="A104" s="1" t="s">
        <v>520</v>
      </c>
      <c r="B104" s="1" t="n">
        <v>736</v>
      </c>
    </row>
    <row r="105" customFormat="false" ht="15" hidden="false" customHeight="true" outlineLevel="0" collapsed="false">
      <c r="A105" s="1" t="s">
        <v>279</v>
      </c>
      <c r="B105" s="1" t="n">
        <v>733</v>
      </c>
    </row>
    <row r="106" customFormat="false" ht="15" hidden="false" customHeight="true" outlineLevel="0" collapsed="false">
      <c r="A106" s="1" t="s">
        <v>250</v>
      </c>
      <c r="B106" s="1" t="n">
        <v>731</v>
      </c>
    </row>
    <row r="107" customFormat="false" ht="15" hidden="false" customHeight="true" outlineLevel="0" collapsed="false">
      <c r="A107" s="1" t="s">
        <v>291</v>
      </c>
      <c r="B107" s="1" t="n">
        <v>726</v>
      </c>
    </row>
    <row r="108" customFormat="false" ht="15" hidden="false" customHeight="true" outlineLevel="0" collapsed="false">
      <c r="A108" s="1" t="s">
        <v>283</v>
      </c>
      <c r="B108" s="1" t="n">
        <v>723</v>
      </c>
    </row>
    <row r="109" customFormat="false" ht="15" hidden="false" customHeight="true" outlineLevel="0" collapsed="false">
      <c r="A109" s="1" t="s">
        <v>260</v>
      </c>
      <c r="B109" s="1" t="n">
        <v>713</v>
      </c>
    </row>
    <row r="110" customFormat="false" ht="15" hidden="false" customHeight="true" outlineLevel="0" collapsed="false">
      <c r="A110" s="1" t="s">
        <v>304</v>
      </c>
      <c r="B110" s="1" t="n">
        <v>712</v>
      </c>
    </row>
    <row r="111" customFormat="false" ht="15" hidden="false" customHeight="true" outlineLevel="0" collapsed="false">
      <c r="A111" s="1" t="s">
        <v>426</v>
      </c>
      <c r="B111" s="1" t="n">
        <v>710</v>
      </c>
    </row>
    <row r="112" customFormat="false" ht="15" hidden="false" customHeight="true" outlineLevel="0" collapsed="false">
      <c r="A112" s="1" t="s">
        <v>368</v>
      </c>
      <c r="B112" s="1" t="n">
        <v>709</v>
      </c>
    </row>
    <row r="113" customFormat="false" ht="15" hidden="false" customHeight="true" outlineLevel="0" collapsed="false">
      <c r="A113" s="1" t="s">
        <v>524</v>
      </c>
      <c r="B113" s="1" t="n">
        <v>698</v>
      </c>
    </row>
    <row r="114" customFormat="false" ht="15" hidden="false" customHeight="true" outlineLevel="0" collapsed="false">
      <c r="A114" s="1" t="s">
        <v>481</v>
      </c>
      <c r="B114" s="1" t="n">
        <v>692</v>
      </c>
    </row>
    <row r="115" customFormat="false" ht="15" hidden="false" customHeight="true" outlineLevel="0" collapsed="false">
      <c r="A115" s="1" t="s">
        <v>560</v>
      </c>
      <c r="B115" s="1" t="n">
        <v>690</v>
      </c>
    </row>
    <row r="116" customFormat="false" ht="15" hidden="false" customHeight="true" outlineLevel="0" collapsed="false">
      <c r="A116" s="1" t="s">
        <v>533</v>
      </c>
      <c r="B116" s="1" t="n">
        <v>684</v>
      </c>
    </row>
    <row r="117" customFormat="false" ht="15" hidden="false" customHeight="true" outlineLevel="0" collapsed="false">
      <c r="A117" s="1" t="s">
        <v>211</v>
      </c>
      <c r="B117" s="1" t="n">
        <v>676</v>
      </c>
    </row>
    <row r="118" customFormat="false" ht="15" hidden="false" customHeight="true" outlineLevel="0" collapsed="false">
      <c r="A118" s="1" t="s">
        <v>461</v>
      </c>
      <c r="B118" s="1" t="n">
        <v>672</v>
      </c>
    </row>
    <row r="119" customFormat="false" ht="15" hidden="false" customHeight="true" outlineLevel="0" collapsed="false">
      <c r="A119" s="1" t="s">
        <v>495</v>
      </c>
      <c r="B119" s="1" t="n">
        <v>670</v>
      </c>
    </row>
    <row r="120" customFormat="false" ht="15" hidden="false" customHeight="true" outlineLevel="0" collapsed="false">
      <c r="A120" s="1" t="s">
        <v>545</v>
      </c>
      <c r="B120" s="1" t="n">
        <v>663</v>
      </c>
    </row>
    <row r="121" customFormat="false" ht="15" hidden="false" customHeight="true" outlineLevel="0" collapsed="false">
      <c r="A121" s="1" t="s">
        <v>544</v>
      </c>
      <c r="B121" s="1" t="n">
        <v>662</v>
      </c>
    </row>
    <row r="122" customFormat="false" ht="15" hidden="false" customHeight="true" outlineLevel="0" collapsed="false">
      <c r="A122" s="1" t="s">
        <v>417</v>
      </c>
      <c r="B122" s="1" t="n">
        <v>662</v>
      </c>
    </row>
    <row r="123" customFormat="false" ht="15" hidden="false" customHeight="true" outlineLevel="0" collapsed="false">
      <c r="A123" s="1" t="s">
        <v>256</v>
      </c>
      <c r="B123" s="1" t="n">
        <v>659</v>
      </c>
    </row>
    <row r="124" customFormat="false" ht="15" hidden="false" customHeight="true" outlineLevel="0" collapsed="false">
      <c r="A124" s="1" t="s">
        <v>152</v>
      </c>
      <c r="B124" s="1" t="n">
        <v>656</v>
      </c>
    </row>
    <row r="125" customFormat="false" ht="15" hidden="false" customHeight="true" outlineLevel="0" collapsed="false">
      <c r="A125" s="1" t="s">
        <v>465</v>
      </c>
      <c r="B125" s="1" t="n">
        <v>653</v>
      </c>
    </row>
    <row r="126" customFormat="false" ht="15" hidden="false" customHeight="true" outlineLevel="0" collapsed="false">
      <c r="A126" s="1" t="s">
        <v>378</v>
      </c>
      <c r="B126" s="1" t="n">
        <v>653</v>
      </c>
    </row>
    <row r="127" customFormat="false" ht="15" hidden="false" customHeight="true" outlineLevel="0" collapsed="false">
      <c r="A127" s="1" t="s">
        <v>371</v>
      </c>
      <c r="B127" s="1" t="n">
        <v>651</v>
      </c>
    </row>
    <row r="128" customFormat="false" ht="15" hidden="false" customHeight="true" outlineLevel="0" collapsed="false">
      <c r="A128" s="1" t="s">
        <v>188</v>
      </c>
      <c r="B128" s="1" t="n">
        <v>648</v>
      </c>
    </row>
    <row r="129" customFormat="false" ht="15" hidden="false" customHeight="true" outlineLevel="0" collapsed="false">
      <c r="A129" s="1" t="s">
        <v>563</v>
      </c>
      <c r="B129" s="1" t="n">
        <v>646</v>
      </c>
    </row>
    <row r="130" customFormat="false" ht="15" hidden="false" customHeight="true" outlineLevel="0" collapsed="false">
      <c r="A130" s="1" t="s">
        <v>420</v>
      </c>
      <c r="B130" s="1" t="n">
        <v>640</v>
      </c>
    </row>
    <row r="131" customFormat="false" ht="15" hidden="false" customHeight="true" outlineLevel="0" collapsed="false">
      <c r="A131" s="1" t="s">
        <v>383</v>
      </c>
      <c r="B131" s="1" t="n">
        <v>638</v>
      </c>
    </row>
    <row r="132" customFormat="false" ht="15" hidden="false" customHeight="true" outlineLevel="0" collapsed="false">
      <c r="A132" s="1" t="s">
        <v>595</v>
      </c>
      <c r="B132" s="1" t="n">
        <v>628</v>
      </c>
    </row>
    <row r="133" customFormat="false" ht="15" hidden="false" customHeight="true" outlineLevel="0" collapsed="false">
      <c r="A133" s="1" t="s">
        <v>374</v>
      </c>
      <c r="B133" s="1" t="n">
        <v>628</v>
      </c>
    </row>
    <row r="134" customFormat="false" ht="15" hidden="false" customHeight="true" outlineLevel="0" collapsed="false">
      <c r="A134" s="1" t="s">
        <v>424</v>
      </c>
      <c r="B134" s="1" t="n">
        <v>624</v>
      </c>
    </row>
    <row r="135" customFormat="false" ht="15" hidden="false" customHeight="true" outlineLevel="0" collapsed="false">
      <c r="A135" s="1" t="s">
        <v>497</v>
      </c>
      <c r="B135" s="1" t="n">
        <v>620</v>
      </c>
    </row>
    <row r="136" customFormat="false" ht="15" hidden="false" customHeight="true" outlineLevel="0" collapsed="false">
      <c r="A136" s="1" t="s">
        <v>421</v>
      </c>
      <c r="B136" s="1" t="n">
        <v>620</v>
      </c>
    </row>
    <row r="137" customFormat="false" ht="15" hidden="false" customHeight="true" outlineLevel="0" collapsed="false">
      <c r="A137" s="1" t="s">
        <v>276</v>
      </c>
      <c r="B137" s="1" t="n">
        <v>618</v>
      </c>
    </row>
    <row r="138" customFormat="false" ht="15" hidden="false" customHeight="true" outlineLevel="0" collapsed="false">
      <c r="A138" s="1" t="s">
        <v>569</v>
      </c>
      <c r="B138" s="1" t="n">
        <v>602</v>
      </c>
    </row>
    <row r="139" customFormat="false" ht="15" hidden="false" customHeight="true" outlineLevel="0" collapsed="false">
      <c r="A139" s="1" t="s">
        <v>331</v>
      </c>
      <c r="B139" s="1" t="n">
        <v>599</v>
      </c>
    </row>
    <row r="140" customFormat="false" ht="15" hidden="false" customHeight="true" outlineLevel="0" collapsed="false">
      <c r="A140" s="1" t="s">
        <v>365</v>
      </c>
      <c r="B140" s="1" t="n">
        <v>599</v>
      </c>
    </row>
    <row r="141" customFormat="false" ht="15" hidden="false" customHeight="true" outlineLevel="0" collapsed="false">
      <c r="A141" s="1" t="s">
        <v>124</v>
      </c>
      <c r="B141" s="1" t="n">
        <v>595</v>
      </c>
    </row>
    <row r="142" customFormat="false" ht="15" hidden="false" customHeight="true" outlineLevel="0" collapsed="false">
      <c r="A142" s="1" t="s">
        <v>463</v>
      </c>
      <c r="B142" s="1" t="n">
        <v>593</v>
      </c>
    </row>
    <row r="143" customFormat="false" ht="15" hidden="false" customHeight="true" outlineLevel="0" collapsed="false">
      <c r="A143" s="1" t="s">
        <v>624</v>
      </c>
      <c r="B143" s="1" t="n">
        <v>591</v>
      </c>
    </row>
    <row r="144" customFormat="false" ht="15" hidden="false" customHeight="true" outlineLevel="0" collapsed="false">
      <c r="A144" s="1" t="s">
        <v>415</v>
      </c>
      <c r="B144" s="1" t="n">
        <v>590</v>
      </c>
    </row>
    <row r="145" customFormat="false" ht="15" hidden="false" customHeight="true" outlineLevel="0" collapsed="false">
      <c r="A145" s="1" t="s">
        <v>449</v>
      </c>
      <c r="B145" s="1" t="n">
        <v>581</v>
      </c>
    </row>
    <row r="146" customFormat="false" ht="15" hidden="false" customHeight="true" outlineLevel="0" collapsed="false">
      <c r="A146" s="1" t="s">
        <v>218</v>
      </c>
      <c r="B146" s="1" t="n">
        <v>577</v>
      </c>
    </row>
    <row r="147" customFormat="false" ht="15" hidden="false" customHeight="true" outlineLevel="0" collapsed="false">
      <c r="A147" s="1" t="s">
        <v>621</v>
      </c>
      <c r="B147" s="1" t="n">
        <v>575</v>
      </c>
    </row>
    <row r="148" customFormat="false" ht="15" hidden="false" customHeight="true" outlineLevel="0" collapsed="false">
      <c r="A148" s="1" t="s">
        <v>386</v>
      </c>
      <c r="B148" s="1" t="n">
        <v>575</v>
      </c>
    </row>
    <row r="149" customFormat="false" ht="15" hidden="false" customHeight="true" outlineLevel="0" collapsed="false">
      <c r="A149" s="1" t="s">
        <v>646</v>
      </c>
      <c r="B149" s="1" t="n">
        <v>573</v>
      </c>
    </row>
    <row r="150" customFormat="false" ht="15" hidden="false" customHeight="true" outlineLevel="0" collapsed="false">
      <c r="A150" s="1" t="s">
        <v>392</v>
      </c>
      <c r="B150" s="1" t="n">
        <v>572</v>
      </c>
    </row>
    <row r="151" customFormat="false" ht="15" hidden="false" customHeight="true" outlineLevel="0" collapsed="false">
      <c r="A151" s="1" t="s">
        <v>467</v>
      </c>
      <c r="B151" s="1" t="n">
        <v>570</v>
      </c>
    </row>
    <row r="152" customFormat="false" ht="15" hidden="false" customHeight="true" outlineLevel="0" collapsed="false">
      <c r="A152" s="1" t="s">
        <v>239</v>
      </c>
      <c r="B152" s="1" t="n">
        <v>570</v>
      </c>
    </row>
    <row r="153" customFormat="false" ht="15" hidden="false" customHeight="true" outlineLevel="0" collapsed="false">
      <c r="A153" s="1" t="s">
        <v>594</v>
      </c>
      <c r="B153" s="1" t="n">
        <v>569</v>
      </c>
    </row>
    <row r="154" customFormat="false" ht="15" hidden="false" customHeight="true" outlineLevel="0" collapsed="false">
      <c r="A154" s="1" t="s">
        <v>568</v>
      </c>
      <c r="B154" s="1" t="n">
        <v>568</v>
      </c>
    </row>
    <row r="155" customFormat="false" ht="15" hidden="false" customHeight="true" outlineLevel="0" collapsed="false">
      <c r="A155" s="1" t="s">
        <v>352</v>
      </c>
      <c r="B155" s="1" t="n">
        <v>566</v>
      </c>
    </row>
    <row r="156" customFormat="false" ht="15" hidden="false" customHeight="true" outlineLevel="0" collapsed="false">
      <c r="A156" s="1" t="s">
        <v>437</v>
      </c>
      <c r="B156" s="1" t="n">
        <v>562</v>
      </c>
    </row>
    <row r="157" customFormat="false" ht="15" hidden="false" customHeight="true" outlineLevel="0" collapsed="false">
      <c r="A157" s="1" t="s">
        <v>322</v>
      </c>
      <c r="B157" s="1" t="n">
        <v>562</v>
      </c>
    </row>
    <row r="158" customFormat="false" ht="15" hidden="false" customHeight="true" outlineLevel="0" collapsed="false">
      <c r="A158" s="1" t="s">
        <v>529</v>
      </c>
      <c r="B158" s="1" t="n">
        <v>558</v>
      </c>
    </row>
    <row r="159" customFormat="false" ht="15" hidden="false" customHeight="true" outlineLevel="0" collapsed="false">
      <c r="A159" s="1" t="s">
        <v>213</v>
      </c>
      <c r="B159" s="1" t="n">
        <v>558</v>
      </c>
    </row>
    <row r="160" customFormat="false" ht="15" hidden="false" customHeight="true" outlineLevel="0" collapsed="false">
      <c r="A160" s="1" t="s">
        <v>576</v>
      </c>
      <c r="B160" s="1" t="n">
        <v>557</v>
      </c>
    </row>
    <row r="161" customFormat="false" ht="15" hidden="false" customHeight="true" outlineLevel="0" collapsed="false">
      <c r="A161" s="1" t="s">
        <v>305</v>
      </c>
      <c r="B161" s="1" t="n">
        <v>557</v>
      </c>
    </row>
    <row r="162" customFormat="false" ht="15" hidden="false" customHeight="true" outlineLevel="0" collapsed="false">
      <c r="A162" s="1" t="s">
        <v>597</v>
      </c>
      <c r="B162" s="1" t="n">
        <v>556</v>
      </c>
    </row>
    <row r="163" customFormat="false" ht="15" hidden="false" customHeight="true" outlineLevel="0" collapsed="false">
      <c r="A163" s="1" t="s">
        <v>567</v>
      </c>
      <c r="B163" s="1" t="n">
        <v>553</v>
      </c>
    </row>
    <row r="164" customFormat="false" ht="15" hidden="false" customHeight="true" outlineLevel="0" collapsed="false">
      <c r="A164" s="1" t="s">
        <v>506</v>
      </c>
      <c r="B164" s="1" t="n">
        <v>545</v>
      </c>
    </row>
    <row r="165" customFormat="false" ht="15" hidden="false" customHeight="true" outlineLevel="0" collapsed="false">
      <c r="A165" s="1" t="s">
        <v>340</v>
      </c>
      <c r="B165" s="1" t="n">
        <v>544</v>
      </c>
    </row>
    <row r="166" customFormat="false" ht="15" hidden="false" customHeight="true" outlineLevel="0" collapsed="false">
      <c r="A166" s="1" t="s">
        <v>556</v>
      </c>
      <c r="B166" s="1" t="n">
        <v>540</v>
      </c>
    </row>
    <row r="167" customFormat="false" ht="15" hidden="false" customHeight="true" outlineLevel="0" collapsed="false">
      <c r="A167" s="1" t="s">
        <v>447</v>
      </c>
      <c r="B167" s="1" t="n">
        <v>537</v>
      </c>
    </row>
    <row r="168" customFormat="false" ht="15" hidden="false" customHeight="true" outlineLevel="0" collapsed="false">
      <c r="A168" s="1" t="s">
        <v>631</v>
      </c>
      <c r="B168" s="1" t="n">
        <v>535</v>
      </c>
    </row>
    <row r="169" customFormat="false" ht="15" hidden="false" customHeight="true" outlineLevel="0" collapsed="false">
      <c r="A169" s="1" t="s">
        <v>573</v>
      </c>
      <c r="B169" s="1" t="n">
        <v>535</v>
      </c>
    </row>
    <row r="170" customFormat="false" ht="15" hidden="false" customHeight="true" outlineLevel="0" collapsed="false">
      <c r="A170" s="1" t="s">
        <v>541</v>
      </c>
      <c r="B170" s="1" t="n">
        <v>532</v>
      </c>
    </row>
    <row r="171" customFormat="false" ht="15" hidden="false" customHeight="true" outlineLevel="0" collapsed="false">
      <c r="A171" s="1" t="s">
        <v>333</v>
      </c>
      <c r="B171" s="1" t="n">
        <v>520</v>
      </c>
    </row>
    <row r="172" customFormat="false" ht="15" hidden="false" customHeight="true" outlineLevel="0" collapsed="false">
      <c r="A172" s="1" t="s">
        <v>665</v>
      </c>
      <c r="B172" s="1" t="n">
        <v>520</v>
      </c>
    </row>
    <row r="173" customFormat="false" ht="15" hidden="false" customHeight="true" outlineLevel="0" collapsed="false">
      <c r="A173" s="1" t="s">
        <v>504</v>
      </c>
      <c r="B173" s="1" t="n">
        <v>519</v>
      </c>
    </row>
    <row r="174" customFormat="false" ht="15" hidden="false" customHeight="true" outlineLevel="0" collapsed="false">
      <c r="A174" s="1" t="s">
        <v>458</v>
      </c>
      <c r="B174" s="1" t="n">
        <v>518</v>
      </c>
    </row>
    <row r="175" customFormat="false" ht="15" hidden="false" customHeight="true" outlineLevel="0" collapsed="false">
      <c r="A175" s="1" t="s">
        <v>167</v>
      </c>
      <c r="B175" s="1" t="n">
        <v>510</v>
      </c>
    </row>
    <row r="176" customFormat="false" ht="15" hidden="false" customHeight="true" outlineLevel="0" collapsed="false">
      <c r="A176" s="1" t="s">
        <v>405</v>
      </c>
      <c r="B176" s="1" t="n">
        <v>508</v>
      </c>
    </row>
    <row r="177" customFormat="false" ht="15" hidden="false" customHeight="true" outlineLevel="0" collapsed="false">
      <c r="A177" s="1" t="s">
        <v>717</v>
      </c>
      <c r="B177" s="1" t="n">
        <v>504</v>
      </c>
    </row>
    <row r="178" customFormat="false" ht="15" hidden="false" customHeight="true" outlineLevel="0" collapsed="false">
      <c r="A178" s="1" t="s">
        <v>702</v>
      </c>
      <c r="B178" s="1" t="n">
        <v>502</v>
      </c>
    </row>
    <row r="179" customFormat="false" ht="15" hidden="false" customHeight="true" outlineLevel="0" collapsed="false">
      <c r="A179" s="1" t="s">
        <v>338</v>
      </c>
      <c r="B179" s="1" t="n">
        <v>500</v>
      </c>
    </row>
    <row r="180" customFormat="false" ht="15" hidden="false" customHeight="true" outlineLevel="0" collapsed="false">
      <c r="A180" s="1" t="s">
        <v>313</v>
      </c>
      <c r="B180" s="1" t="n">
        <v>499</v>
      </c>
    </row>
    <row r="181" customFormat="false" ht="15" hidden="false" customHeight="true" outlineLevel="0" collapsed="false">
      <c r="A181" s="1" t="s">
        <v>452</v>
      </c>
      <c r="B181" s="1" t="n">
        <v>499</v>
      </c>
    </row>
    <row r="182" customFormat="false" ht="15" hidden="false" customHeight="true" outlineLevel="0" collapsed="false">
      <c r="A182" s="1" t="s">
        <v>423</v>
      </c>
      <c r="B182" s="1" t="n">
        <v>498</v>
      </c>
    </row>
    <row r="183" customFormat="false" ht="15" hidden="false" customHeight="true" outlineLevel="0" collapsed="false">
      <c r="A183" s="1" t="s">
        <v>409</v>
      </c>
      <c r="B183" s="1" t="n">
        <v>497</v>
      </c>
    </row>
    <row r="184" customFormat="false" ht="15" hidden="false" customHeight="true" outlineLevel="0" collapsed="false">
      <c r="A184" s="1" t="s">
        <v>397</v>
      </c>
      <c r="B184" s="1" t="n">
        <v>497</v>
      </c>
    </row>
    <row r="185" customFormat="false" ht="15" hidden="false" customHeight="true" outlineLevel="0" collapsed="false">
      <c r="A185" s="1" t="s">
        <v>473</v>
      </c>
      <c r="B185" s="1" t="n">
        <v>496</v>
      </c>
    </row>
    <row r="186" customFormat="false" ht="15" hidden="false" customHeight="true" outlineLevel="0" collapsed="false">
      <c r="A186" s="1" t="s">
        <v>538</v>
      </c>
      <c r="B186" s="1" t="n">
        <v>492</v>
      </c>
    </row>
    <row r="187" customFormat="false" ht="15" hidden="false" customHeight="true" outlineLevel="0" collapsed="false">
      <c r="A187" s="1" t="s">
        <v>478</v>
      </c>
      <c r="B187" s="1" t="n">
        <v>491</v>
      </c>
    </row>
    <row r="188" customFormat="false" ht="15" hidden="false" customHeight="true" outlineLevel="0" collapsed="false">
      <c r="A188" s="1" t="s">
        <v>489</v>
      </c>
      <c r="B188" s="1" t="n">
        <v>490</v>
      </c>
    </row>
    <row r="189" customFormat="false" ht="15" hidden="false" customHeight="true" outlineLevel="0" collapsed="false">
      <c r="A189" s="1" t="s">
        <v>564</v>
      </c>
      <c r="B189" s="1" t="n">
        <v>490</v>
      </c>
    </row>
    <row r="190" customFormat="false" ht="15" hidden="false" customHeight="true" outlineLevel="0" collapsed="false">
      <c r="A190" s="1" t="s">
        <v>704</v>
      </c>
      <c r="B190" s="1" t="n">
        <v>490</v>
      </c>
    </row>
    <row r="191" customFormat="false" ht="15" hidden="false" customHeight="true" outlineLevel="0" collapsed="false">
      <c r="A191" s="1" t="s">
        <v>675</v>
      </c>
      <c r="B191" s="1" t="n">
        <v>485</v>
      </c>
    </row>
    <row r="192" customFormat="false" ht="15" hidden="false" customHeight="true" outlineLevel="0" collapsed="false">
      <c r="A192" s="1" t="s">
        <v>476</v>
      </c>
      <c r="B192" s="1" t="n">
        <v>483</v>
      </c>
    </row>
    <row r="193" customFormat="false" ht="15" hidden="false" customHeight="true" outlineLevel="0" collapsed="false">
      <c r="A193" s="1" t="s">
        <v>300</v>
      </c>
      <c r="B193" s="1" t="n">
        <v>482</v>
      </c>
    </row>
    <row r="194" customFormat="false" ht="15" hidden="false" customHeight="true" outlineLevel="0" collapsed="false">
      <c r="A194" s="1" t="s">
        <v>431</v>
      </c>
      <c r="B194" s="1" t="n">
        <v>480</v>
      </c>
    </row>
    <row r="195" customFormat="false" ht="15" hidden="false" customHeight="true" outlineLevel="0" collapsed="false">
      <c r="A195" s="1" t="s">
        <v>772</v>
      </c>
      <c r="B195" s="1" t="n">
        <v>475</v>
      </c>
    </row>
    <row r="196" customFormat="false" ht="15" hidden="false" customHeight="true" outlineLevel="0" collapsed="false">
      <c r="A196" s="1" t="s">
        <v>737</v>
      </c>
      <c r="B196" s="1" t="n">
        <v>473</v>
      </c>
    </row>
    <row r="197" customFormat="false" ht="15" hidden="false" customHeight="true" outlineLevel="0" collapsed="false">
      <c r="A197" s="1" t="s">
        <v>522</v>
      </c>
      <c r="B197" s="1" t="n">
        <v>471</v>
      </c>
    </row>
    <row r="198" customFormat="false" ht="15" hidden="false" customHeight="true" outlineLevel="0" collapsed="false">
      <c r="A198" s="1" t="s">
        <v>200</v>
      </c>
      <c r="B198" s="1" t="n">
        <v>471</v>
      </c>
    </row>
    <row r="199" customFormat="false" ht="15" hidden="false" customHeight="true" outlineLevel="0" collapsed="false">
      <c r="A199" s="1" t="s">
        <v>439</v>
      </c>
      <c r="B199" s="1" t="n">
        <v>469</v>
      </c>
    </row>
    <row r="200" customFormat="false" ht="15" hidden="false" customHeight="true" outlineLevel="0" collapsed="false">
      <c r="A200" s="1" t="s">
        <v>129</v>
      </c>
      <c r="B200" s="1" t="n">
        <v>467</v>
      </c>
    </row>
    <row r="201" customFormat="false" ht="15" hidden="false" customHeight="true" outlineLevel="0" collapsed="false">
      <c r="A201" s="1" t="s">
        <v>601</v>
      </c>
      <c r="B201" s="1" t="n">
        <v>466</v>
      </c>
    </row>
    <row r="202" customFormat="false" ht="15" hidden="false" customHeight="true" outlineLevel="0" collapsed="false">
      <c r="A202" s="1" t="s">
        <v>554</v>
      </c>
      <c r="B202" s="1" t="n">
        <v>464</v>
      </c>
    </row>
    <row r="203" customFormat="false" ht="15" hidden="false" customHeight="true" outlineLevel="0" collapsed="false">
      <c r="A203" s="1" t="s">
        <v>750</v>
      </c>
      <c r="B203" s="1" t="n">
        <v>459</v>
      </c>
    </row>
    <row r="204" customFormat="false" ht="15" hidden="false" customHeight="true" outlineLevel="0" collapsed="false">
      <c r="A204" s="1" t="s">
        <v>358</v>
      </c>
      <c r="B204" s="1" t="n">
        <v>458</v>
      </c>
    </row>
    <row r="205" customFormat="false" ht="15" hidden="false" customHeight="true" outlineLevel="0" collapsed="false">
      <c r="A205" s="1" t="s">
        <v>610</v>
      </c>
      <c r="B205" s="1" t="n">
        <v>458</v>
      </c>
    </row>
    <row r="206" customFormat="false" ht="15" hidden="false" customHeight="true" outlineLevel="0" collapsed="false">
      <c r="A206" s="1" t="s">
        <v>686</v>
      </c>
      <c r="B206" s="1" t="n">
        <v>456</v>
      </c>
    </row>
    <row r="207" customFormat="false" ht="15" hidden="false" customHeight="true" outlineLevel="0" collapsed="false">
      <c r="A207" s="1" t="s">
        <v>493</v>
      </c>
      <c r="B207" s="1" t="n">
        <v>456</v>
      </c>
    </row>
    <row r="208" customFormat="false" ht="15" hidden="false" customHeight="true" outlineLevel="0" collapsed="false">
      <c r="A208" s="1" t="s">
        <v>629</v>
      </c>
      <c r="B208" s="1" t="n">
        <v>456</v>
      </c>
    </row>
    <row r="209" customFormat="false" ht="15" hidden="false" customHeight="true" outlineLevel="0" collapsed="false">
      <c r="A209" s="1" t="s">
        <v>739</v>
      </c>
      <c r="B209" s="1" t="n">
        <v>455</v>
      </c>
    </row>
    <row r="210" customFormat="false" ht="15" hidden="false" customHeight="true" outlineLevel="0" collapsed="false">
      <c r="A210" s="1" t="s">
        <v>617</v>
      </c>
      <c r="B210" s="1" t="n">
        <v>455</v>
      </c>
    </row>
    <row r="211" customFormat="false" ht="15" hidden="false" customHeight="true" outlineLevel="0" collapsed="false">
      <c r="A211" s="1" t="s">
        <v>418</v>
      </c>
      <c r="B211" s="1" t="n">
        <v>450</v>
      </c>
    </row>
    <row r="212" customFormat="false" ht="15" hidden="false" customHeight="true" outlineLevel="0" collapsed="false">
      <c r="A212" s="1" t="s">
        <v>648</v>
      </c>
      <c r="B212" s="1" t="n">
        <v>448</v>
      </c>
    </row>
    <row r="213" customFormat="false" ht="15" hidden="false" customHeight="true" outlineLevel="0" collapsed="false">
      <c r="A213" s="1" t="s">
        <v>355</v>
      </c>
      <c r="B213" s="1" t="n">
        <v>446</v>
      </c>
    </row>
    <row r="214" customFormat="false" ht="15" hidden="false" customHeight="true" outlineLevel="0" collapsed="false">
      <c r="A214" s="1" t="s">
        <v>696</v>
      </c>
      <c r="B214" s="1" t="n">
        <v>435</v>
      </c>
    </row>
    <row r="215" customFormat="false" ht="15" hidden="false" customHeight="true" outlineLevel="0" collapsed="false">
      <c r="A215" s="1" t="s">
        <v>612</v>
      </c>
      <c r="B215" s="1" t="n">
        <v>428</v>
      </c>
    </row>
    <row r="216" customFormat="false" ht="15" hidden="false" customHeight="true" outlineLevel="0" collapsed="false">
      <c r="A216" s="1" t="s">
        <v>320</v>
      </c>
      <c r="B216" s="1" t="n">
        <v>423</v>
      </c>
    </row>
    <row r="217" customFormat="false" ht="15" hidden="false" customHeight="true" outlineLevel="0" collapsed="false">
      <c r="A217" s="1" t="s">
        <v>653</v>
      </c>
      <c r="B217" s="1" t="n">
        <v>414</v>
      </c>
    </row>
    <row r="218" customFormat="false" ht="15" hidden="false" customHeight="true" outlineLevel="0" collapsed="false">
      <c r="A218" s="1" t="s">
        <v>815</v>
      </c>
      <c r="B218" s="1" t="n">
        <v>410</v>
      </c>
    </row>
    <row r="219" customFormat="false" ht="15" hidden="false" customHeight="true" outlineLevel="0" collapsed="false">
      <c r="A219" s="1" t="s">
        <v>669</v>
      </c>
      <c r="B219" s="1" t="n">
        <v>409</v>
      </c>
    </row>
    <row r="220" customFormat="false" ht="15" hidden="false" customHeight="true" outlineLevel="0" collapsed="false">
      <c r="A220" s="1" t="s">
        <v>549</v>
      </c>
      <c r="B220" s="1" t="n">
        <v>408</v>
      </c>
    </row>
    <row r="221" customFormat="false" ht="15" hidden="false" customHeight="true" outlineLevel="0" collapsed="false">
      <c r="A221" s="1" t="s">
        <v>854</v>
      </c>
      <c r="B221" s="1" t="n">
        <v>408</v>
      </c>
    </row>
    <row r="222" customFormat="false" ht="15" hidden="false" customHeight="true" outlineLevel="0" collapsed="false">
      <c r="A222" s="1" t="s">
        <v>807</v>
      </c>
      <c r="B222" s="1" t="n">
        <v>407</v>
      </c>
    </row>
    <row r="223" customFormat="false" ht="15" hidden="false" customHeight="true" outlineLevel="0" collapsed="false">
      <c r="A223" s="1" t="s">
        <v>623</v>
      </c>
      <c r="B223" s="1" t="n">
        <v>405</v>
      </c>
    </row>
    <row r="224" customFormat="false" ht="15" hidden="false" customHeight="true" outlineLevel="0" collapsed="false">
      <c r="A224" s="1" t="s">
        <v>296</v>
      </c>
      <c r="B224" s="1" t="n">
        <v>403</v>
      </c>
    </row>
    <row r="225" customFormat="false" ht="15" hidden="false" customHeight="true" outlineLevel="0" collapsed="false">
      <c r="A225" s="1" t="s">
        <v>574</v>
      </c>
      <c r="B225" s="1" t="n">
        <v>402</v>
      </c>
    </row>
    <row r="226" customFormat="false" ht="15" hidden="false" customHeight="true" outlineLevel="0" collapsed="false">
      <c r="A226" s="1" t="s">
        <v>643</v>
      </c>
      <c r="B226" s="1" t="n">
        <v>399</v>
      </c>
    </row>
    <row r="227" customFormat="false" ht="15" hidden="false" customHeight="true" outlineLevel="0" collapsed="false">
      <c r="A227" s="1" t="s">
        <v>306</v>
      </c>
      <c r="B227" s="1" t="n">
        <v>398</v>
      </c>
    </row>
    <row r="228" customFormat="false" ht="15" hidden="false" customHeight="true" outlineLevel="0" collapsed="false">
      <c r="A228" s="1" t="s">
        <v>729</v>
      </c>
      <c r="B228" s="1" t="n">
        <v>398</v>
      </c>
    </row>
    <row r="229" customFormat="false" ht="15" hidden="false" customHeight="true" outlineLevel="0" collapsed="false">
      <c r="A229" s="1" t="s">
        <v>619</v>
      </c>
      <c r="B229" s="1" t="n">
        <v>396</v>
      </c>
    </row>
    <row r="230" customFormat="false" ht="15" hidden="false" customHeight="true" outlineLevel="0" collapsed="false">
      <c r="A230" s="1" t="s">
        <v>346</v>
      </c>
      <c r="B230" s="1" t="n">
        <v>396</v>
      </c>
    </row>
    <row r="231" customFormat="false" ht="15" hidden="false" customHeight="true" outlineLevel="0" collapsed="false">
      <c r="A231" s="1" t="s">
        <v>585</v>
      </c>
      <c r="B231" s="1" t="n">
        <v>396</v>
      </c>
    </row>
    <row r="232" customFormat="false" ht="15" hidden="false" customHeight="true" outlineLevel="0" collapsed="false">
      <c r="A232" s="1" t="s">
        <v>689</v>
      </c>
      <c r="B232" s="1" t="n">
        <v>393</v>
      </c>
    </row>
    <row r="233" customFormat="false" ht="15" hidden="false" customHeight="true" outlineLevel="0" collapsed="false">
      <c r="A233" s="1" t="s">
        <v>469</v>
      </c>
      <c r="B233" s="1" t="n">
        <v>388</v>
      </c>
    </row>
    <row r="234" customFormat="false" ht="15" hidden="false" customHeight="true" outlineLevel="0" collapsed="false">
      <c r="A234" s="1" t="s">
        <v>884</v>
      </c>
      <c r="B234" s="1" t="n">
        <v>380</v>
      </c>
    </row>
    <row r="235" customFormat="false" ht="15" hidden="false" customHeight="true" outlineLevel="0" collapsed="false">
      <c r="A235" s="1" t="s">
        <v>713</v>
      </c>
      <c r="B235" s="1" t="n">
        <v>377</v>
      </c>
    </row>
    <row r="236" customFormat="false" ht="15" hidden="false" customHeight="true" outlineLevel="0" collapsed="false">
      <c r="A236" s="1" t="s">
        <v>823</v>
      </c>
      <c r="B236" s="1" t="n">
        <v>376</v>
      </c>
    </row>
    <row r="237" customFormat="false" ht="15" hidden="false" customHeight="true" outlineLevel="0" collapsed="false">
      <c r="A237" s="1" t="s">
        <v>459</v>
      </c>
      <c r="B237" s="1" t="n">
        <v>374</v>
      </c>
    </row>
    <row r="238" customFormat="false" ht="15" hidden="false" customHeight="true" outlineLevel="0" collapsed="false">
      <c r="A238" s="1" t="s">
        <v>517</v>
      </c>
      <c r="B238" s="1" t="n">
        <v>369</v>
      </c>
    </row>
    <row r="239" customFormat="false" ht="15" hidden="false" customHeight="true" outlineLevel="0" collapsed="false">
      <c r="A239" s="1" t="s">
        <v>847</v>
      </c>
      <c r="B239" s="1" t="n">
        <v>368</v>
      </c>
    </row>
    <row r="240" customFormat="false" ht="15" hidden="false" customHeight="true" outlineLevel="0" collapsed="false">
      <c r="A240" s="1" t="s">
        <v>802</v>
      </c>
      <c r="B240" s="1" t="n">
        <v>365</v>
      </c>
    </row>
    <row r="241" customFormat="false" ht="15" hidden="false" customHeight="true" outlineLevel="0" collapsed="false">
      <c r="A241" s="1" t="s">
        <v>514</v>
      </c>
      <c r="B241" s="1" t="n">
        <v>363</v>
      </c>
    </row>
    <row r="242" customFormat="false" ht="15" hidden="false" customHeight="true" outlineLevel="0" collapsed="false">
      <c r="A242" s="1" t="s">
        <v>850</v>
      </c>
      <c r="B242" s="1" t="n">
        <v>361</v>
      </c>
    </row>
    <row r="243" customFormat="false" ht="15" hidden="false" customHeight="true" outlineLevel="0" collapsed="false">
      <c r="A243" s="1" t="s">
        <v>454</v>
      </c>
      <c r="B243" s="1" t="n">
        <v>359</v>
      </c>
    </row>
    <row r="244" customFormat="false" ht="15" hidden="false" customHeight="true" outlineLevel="0" collapsed="false">
      <c r="A244" s="1" t="s">
        <v>853</v>
      </c>
      <c r="B244" s="1" t="n">
        <v>358</v>
      </c>
    </row>
    <row r="245" customFormat="false" ht="15" hidden="false" customHeight="true" outlineLevel="0" collapsed="false">
      <c r="A245" s="1" t="s">
        <v>833</v>
      </c>
      <c r="B245" s="1" t="n">
        <v>357</v>
      </c>
    </row>
    <row r="246" customFormat="false" ht="15" hidden="false" customHeight="true" outlineLevel="0" collapsed="false">
      <c r="A246" s="1" t="s">
        <v>809</v>
      </c>
      <c r="B246" s="1" t="n">
        <v>356</v>
      </c>
    </row>
    <row r="247" customFormat="false" ht="15" hidden="false" customHeight="true" outlineLevel="0" collapsed="false">
      <c r="A247" s="1" t="s">
        <v>882</v>
      </c>
      <c r="B247" s="1" t="n">
        <v>355</v>
      </c>
    </row>
    <row r="248" customFormat="false" ht="15" hidden="false" customHeight="true" outlineLevel="0" collapsed="false">
      <c r="A248" s="1" t="s">
        <v>571</v>
      </c>
      <c r="B248" s="1" t="n">
        <v>354</v>
      </c>
    </row>
    <row r="249" customFormat="false" ht="15" hidden="false" customHeight="true" outlineLevel="0" collapsed="false">
      <c r="A249" s="1" t="s">
        <v>401</v>
      </c>
      <c r="B249" s="1" t="n">
        <v>353</v>
      </c>
    </row>
    <row r="250" customFormat="false" ht="15" hidden="false" customHeight="true" outlineLevel="0" collapsed="false">
      <c r="A250" s="1" t="s">
        <v>195</v>
      </c>
      <c r="B250" s="1" t="n">
        <v>352</v>
      </c>
    </row>
    <row r="251" customFormat="false" ht="15" hidden="false" customHeight="true" outlineLevel="0" collapsed="false">
      <c r="A251" s="1" t="s">
        <v>663</v>
      </c>
      <c r="B251" s="1" t="n">
        <v>350</v>
      </c>
    </row>
    <row r="252" customFormat="false" ht="15" hidden="false" customHeight="true" outlineLevel="0" collapsed="false">
      <c r="A252" s="1" t="s">
        <v>856</v>
      </c>
      <c r="B252" s="1" t="n">
        <v>348</v>
      </c>
    </row>
    <row r="253" customFormat="false" ht="15" hidden="false" customHeight="true" outlineLevel="0" collapsed="false">
      <c r="A253" s="1" t="s">
        <v>998</v>
      </c>
      <c r="B253" s="1" t="n">
        <v>347</v>
      </c>
    </row>
    <row r="254" customFormat="false" ht="15" hidden="false" customHeight="true" outlineLevel="0" collapsed="false">
      <c r="A254" s="1" t="s">
        <v>951</v>
      </c>
      <c r="B254" s="1" t="n">
        <v>346</v>
      </c>
    </row>
    <row r="255" customFormat="false" ht="15" hidden="false" customHeight="true" outlineLevel="0" collapsed="false">
      <c r="A255" s="1" t="s">
        <v>766</v>
      </c>
      <c r="B255" s="1" t="n">
        <v>345</v>
      </c>
    </row>
    <row r="256" customFormat="false" ht="15" hidden="false" customHeight="true" outlineLevel="0" collapsed="false">
      <c r="A256" s="1" t="s">
        <v>811</v>
      </c>
      <c r="B256" s="1" t="n">
        <v>342</v>
      </c>
    </row>
    <row r="257" customFormat="false" ht="15" hidden="false" customHeight="true" outlineLevel="0" collapsed="false">
      <c r="A257" s="1" t="s">
        <v>967</v>
      </c>
      <c r="B257" s="1" t="n">
        <v>342</v>
      </c>
    </row>
    <row r="258" customFormat="false" ht="15" hidden="false" customHeight="true" outlineLevel="0" collapsed="false">
      <c r="A258" s="1" t="s">
        <v>732</v>
      </c>
      <c r="B258" s="1" t="n">
        <v>341</v>
      </c>
    </row>
    <row r="259" customFormat="false" ht="15" hidden="false" customHeight="true" outlineLevel="0" collapsed="false">
      <c r="A259" s="1" t="s">
        <v>535</v>
      </c>
      <c r="B259" s="1" t="n">
        <v>341</v>
      </c>
    </row>
    <row r="260" customFormat="false" ht="15" hidden="false" customHeight="true" outlineLevel="0" collapsed="false">
      <c r="A260" s="1" t="s">
        <v>970</v>
      </c>
      <c r="B260" s="1" t="n">
        <v>339</v>
      </c>
    </row>
    <row r="261" customFormat="false" ht="15" hidden="false" customHeight="true" outlineLevel="0" collapsed="false">
      <c r="A261" s="1" t="s">
        <v>681</v>
      </c>
      <c r="B261" s="1" t="n">
        <v>338</v>
      </c>
    </row>
    <row r="262" customFormat="false" ht="15" hidden="false" customHeight="true" outlineLevel="0" collapsed="false">
      <c r="A262" s="1" t="s">
        <v>650</v>
      </c>
      <c r="B262" s="1" t="n">
        <v>337</v>
      </c>
    </row>
    <row r="263" customFormat="false" ht="15" hidden="false" customHeight="true" outlineLevel="0" collapsed="false">
      <c r="A263" s="1" t="s">
        <v>348</v>
      </c>
      <c r="B263" s="1" t="n">
        <v>337</v>
      </c>
    </row>
    <row r="264" customFormat="false" ht="15" hidden="false" customHeight="true" outlineLevel="0" collapsed="false">
      <c r="A264" s="1" t="s">
        <v>741</v>
      </c>
      <c r="B264" s="1" t="n">
        <v>332</v>
      </c>
    </row>
    <row r="265" customFormat="false" ht="15" hidden="false" customHeight="true" outlineLevel="0" collapsed="false">
      <c r="A265" s="1" t="s">
        <v>915</v>
      </c>
      <c r="B265" s="1" t="n">
        <v>330</v>
      </c>
    </row>
    <row r="266" customFormat="false" ht="15" hidden="false" customHeight="true" outlineLevel="0" collapsed="false">
      <c r="A266" s="1" t="s">
        <v>931</v>
      </c>
      <c r="B266" s="1" t="n">
        <v>328</v>
      </c>
    </row>
    <row r="267" customFormat="false" ht="15" hidden="false" customHeight="true" outlineLevel="0" collapsed="false">
      <c r="A267" s="1" t="s">
        <v>891</v>
      </c>
      <c r="B267" s="1" t="n">
        <v>328</v>
      </c>
    </row>
    <row r="268" customFormat="false" ht="15" hidden="false" customHeight="true" outlineLevel="0" collapsed="false">
      <c r="A268" s="1" t="s">
        <v>903</v>
      </c>
      <c r="B268" s="1" t="n">
        <v>321</v>
      </c>
    </row>
    <row r="269" customFormat="false" ht="15" hidden="false" customHeight="true" outlineLevel="0" collapsed="false">
      <c r="A269" s="1" t="s">
        <v>963</v>
      </c>
      <c r="B269" s="1" t="n">
        <v>320</v>
      </c>
    </row>
    <row r="270" customFormat="false" ht="15" hidden="false" customHeight="true" outlineLevel="0" collapsed="false">
      <c r="A270" s="1" t="s">
        <v>539</v>
      </c>
      <c r="B270" s="1" t="n">
        <v>319</v>
      </c>
    </row>
    <row r="271" customFormat="false" ht="15" hidden="false" customHeight="true" outlineLevel="0" collapsed="false">
      <c r="A271" s="1" t="s">
        <v>633</v>
      </c>
      <c r="B271" s="1" t="n">
        <v>319</v>
      </c>
    </row>
    <row r="272" customFormat="false" ht="15" hidden="false" customHeight="true" outlineLevel="0" collapsed="false">
      <c r="A272" s="1" t="s">
        <v>659</v>
      </c>
      <c r="B272" s="1" t="n">
        <v>319</v>
      </c>
    </row>
    <row r="273" customFormat="false" ht="15" hidden="false" customHeight="true" outlineLevel="0" collapsed="false">
      <c r="A273" s="1" t="s">
        <v>376</v>
      </c>
      <c r="B273" s="1" t="n">
        <v>318</v>
      </c>
    </row>
    <row r="274" customFormat="false" ht="15" hidden="false" customHeight="true" outlineLevel="0" collapsed="false">
      <c r="A274" s="1" t="s">
        <v>770</v>
      </c>
      <c r="B274" s="1" t="n">
        <v>317</v>
      </c>
    </row>
    <row r="275" customFormat="false" ht="15" hidden="false" customHeight="true" outlineLevel="0" collapsed="false">
      <c r="A275" s="1" t="s">
        <v>976</v>
      </c>
      <c r="B275" s="1" t="n">
        <v>317</v>
      </c>
    </row>
    <row r="276" customFormat="false" ht="15" hidden="false" customHeight="true" outlineLevel="0" collapsed="false">
      <c r="A276" s="1" t="s">
        <v>991</v>
      </c>
      <c r="B276" s="1" t="n">
        <v>317</v>
      </c>
    </row>
    <row r="277" customFormat="false" ht="15" hidden="false" customHeight="true" outlineLevel="0" collapsed="false">
      <c r="A277" s="1" t="s">
        <v>873</v>
      </c>
      <c r="B277" s="1" t="n">
        <v>315</v>
      </c>
    </row>
    <row r="278" customFormat="false" ht="15" hidden="false" customHeight="true" outlineLevel="0" collapsed="false">
      <c r="A278" s="1" t="s">
        <v>1024</v>
      </c>
      <c r="B278" s="1" t="n">
        <v>313</v>
      </c>
    </row>
    <row r="279" customFormat="false" ht="15" hidden="false" customHeight="true" outlineLevel="0" collapsed="false">
      <c r="A279" s="1" t="s">
        <v>615</v>
      </c>
      <c r="B279" s="1" t="n">
        <v>312</v>
      </c>
    </row>
    <row r="280" customFormat="false" ht="15" hidden="false" customHeight="true" outlineLevel="0" collapsed="false">
      <c r="A280" s="1" t="s">
        <v>932</v>
      </c>
      <c r="B280" s="1" t="n">
        <v>312</v>
      </c>
    </row>
    <row r="281" customFormat="false" ht="15" hidden="false" customHeight="true" outlineLevel="0" collapsed="false">
      <c r="A281" s="1" t="s">
        <v>996</v>
      </c>
      <c r="B281" s="1" t="n">
        <v>311</v>
      </c>
    </row>
    <row r="282" customFormat="false" ht="15" hidden="false" customHeight="true" outlineLevel="0" collapsed="false">
      <c r="A282" s="1" t="s">
        <v>870</v>
      </c>
      <c r="B282" s="1" t="n">
        <v>311</v>
      </c>
    </row>
    <row r="283" customFormat="false" ht="15" hidden="false" customHeight="true" outlineLevel="0" collapsed="false">
      <c r="A283" s="1" t="s">
        <v>547</v>
      </c>
      <c r="B283" s="1" t="n">
        <v>310</v>
      </c>
    </row>
    <row r="284" customFormat="false" ht="15" hidden="false" customHeight="true" outlineLevel="0" collapsed="false">
      <c r="A284" s="1" t="s">
        <v>972</v>
      </c>
      <c r="B284" s="1" t="n">
        <v>310</v>
      </c>
    </row>
    <row r="285" customFormat="false" ht="15" hidden="false" customHeight="true" outlineLevel="0" collapsed="false">
      <c r="A285" s="1" t="s">
        <v>324</v>
      </c>
      <c r="B285" s="1" t="n">
        <v>307</v>
      </c>
    </row>
    <row r="286" customFormat="false" ht="15" hidden="false" customHeight="true" outlineLevel="0" collapsed="false">
      <c r="A286" s="1" t="s">
        <v>924</v>
      </c>
      <c r="B286" s="1" t="n">
        <v>306</v>
      </c>
    </row>
    <row r="287" customFormat="false" ht="15" hidden="false" customHeight="true" outlineLevel="0" collapsed="false">
      <c r="A287" s="1" t="s">
        <v>774</v>
      </c>
      <c r="B287" s="1" t="n">
        <v>306</v>
      </c>
    </row>
    <row r="288" customFormat="false" ht="15" hidden="false" customHeight="true" outlineLevel="0" collapsed="false">
      <c r="A288" s="1" t="s">
        <v>779</v>
      </c>
      <c r="B288" s="1" t="n">
        <v>306</v>
      </c>
    </row>
    <row r="289" customFormat="false" ht="15" hidden="false" customHeight="true" outlineLevel="0" collapsed="false">
      <c r="A289" s="1" t="s">
        <v>394</v>
      </c>
      <c r="B289" s="1" t="n">
        <v>305</v>
      </c>
    </row>
    <row r="290" customFormat="false" ht="15" hidden="false" customHeight="true" outlineLevel="0" collapsed="false">
      <c r="A290" s="1" t="s">
        <v>1002</v>
      </c>
      <c r="B290" s="1" t="n">
        <v>304</v>
      </c>
    </row>
    <row r="291" customFormat="false" ht="15" hidden="false" customHeight="true" outlineLevel="0" collapsed="false">
      <c r="A291" s="1" t="s">
        <v>1062</v>
      </c>
      <c r="B291" s="1" t="n">
        <v>303</v>
      </c>
    </row>
    <row r="292" customFormat="false" ht="15" hidden="false" customHeight="true" outlineLevel="0" collapsed="false">
      <c r="A292" s="1" t="s">
        <v>1007</v>
      </c>
      <c r="B292" s="1" t="n">
        <v>302</v>
      </c>
    </row>
    <row r="293" customFormat="false" ht="15" hidden="false" customHeight="true" outlineLevel="0" collapsed="false">
      <c r="A293" s="1" t="s">
        <v>636</v>
      </c>
      <c r="B293" s="1" t="n">
        <v>300</v>
      </c>
    </row>
    <row r="294" customFormat="false" ht="15" hidden="false" customHeight="true" outlineLevel="0" collapsed="false">
      <c r="A294" s="1" t="s">
        <v>722</v>
      </c>
      <c r="B294" s="1" t="n">
        <v>299</v>
      </c>
    </row>
    <row r="295" customFormat="false" ht="15" hidden="false" customHeight="true" outlineLevel="0" collapsed="false">
      <c r="A295" s="1" t="s">
        <v>892</v>
      </c>
      <c r="B295" s="1" t="n">
        <v>297</v>
      </c>
    </row>
    <row r="296" customFormat="false" ht="15" hidden="false" customHeight="true" outlineLevel="0" collapsed="false">
      <c r="A296" s="1" t="s">
        <v>934</v>
      </c>
      <c r="B296" s="1" t="n">
        <v>296</v>
      </c>
    </row>
    <row r="297" customFormat="false" ht="15" hidden="false" customHeight="true" outlineLevel="0" collapsed="false">
      <c r="A297" s="1" t="s">
        <v>591</v>
      </c>
      <c r="B297" s="1" t="n">
        <v>296</v>
      </c>
    </row>
    <row r="298" customFormat="false" ht="15" hidden="false" customHeight="true" outlineLevel="0" collapsed="false">
      <c r="A298" s="1" t="s">
        <v>682</v>
      </c>
      <c r="B298" s="1" t="n">
        <v>295</v>
      </c>
    </row>
    <row r="299" customFormat="false" ht="15" hidden="false" customHeight="true" outlineLevel="0" collapsed="false">
      <c r="A299" s="1" t="s">
        <v>716</v>
      </c>
      <c r="B299" s="1" t="n">
        <v>293</v>
      </c>
    </row>
    <row r="300" customFormat="false" ht="15" hidden="false" customHeight="true" outlineLevel="0" collapsed="false">
      <c r="A300" s="1" t="s">
        <v>832</v>
      </c>
      <c r="B300" s="1" t="n">
        <v>293</v>
      </c>
    </row>
    <row r="301" customFormat="false" ht="15" hidden="false" customHeight="true" outlineLevel="0" collapsed="false">
      <c r="A301" s="1" t="s">
        <v>1083</v>
      </c>
      <c r="B301" s="1" t="n">
        <v>292</v>
      </c>
    </row>
    <row r="302" customFormat="false" ht="15" hidden="false" customHeight="true" outlineLevel="0" collapsed="false">
      <c r="A302" s="1" t="s">
        <v>804</v>
      </c>
      <c r="B302" s="1" t="n">
        <v>291</v>
      </c>
    </row>
    <row r="303" customFormat="false" ht="15" hidden="false" customHeight="true" outlineLevel="0" collapsed="false">
      <c r="A303" s="1" t="s">
        <v>943</v>
      </c>
      <c r="B303" s="1" t="n">
        <v>290</v>
      </c>
    </row>
    <row r="304" customFormat="false" ht="15" hidden="false" customHeight="true" outlineLevel="0" collapsed="false">
      <c r="A304" s="1" t="s">
        <v>154</v>
      </c>
      <c r="B304" s="1" t="n">
        <v>290</v>
      </c>
    </row>
    <row r="305" customFormat="false" ht="15" hidden="false" customHeight="true" outlineLevel="0" collapsed="false">
      <c r="A305" s="1" t="s">
        <v>1012</v>
      </c>
      <c r="B305" s="1" t="n">
        <v>289</v>
      </c>
    </row>
    <row r="306" customFormat="false" ht="15" hidden="false" customHeight="true" outlineLevel="0" collapsed="false">
      <c r="A306" s="1" t="s">
        <v>146</v>
      </c>
      <c r="B306" s="1" t="n">
        <v>289</v>
      </c>
    </row>
    <row r="307" customFormat="false" ht="15" hidden="false" customHeight="true" outlineLevel="0" collapsed="false">
      <c r="A307" s="1" t="s">
        <v>1091</v>
      </c>
      <c r="B307" s="1" t="n">
        <v>288</v>
      </c>
    </row>
    <row r="308" customFormat="false" ht="15" hidden="false" customHeight="true" outlineLevel="0" collapsed="false">
      <c r="A308" s="1" t="s">
        <v>1006</v>
      </c>
      <c r="B308" s="1" t="n">
        <v>287</v>
      </c>
    </row>
    <row r="309" customFormat="false" ht="15" hidden="false" customHeight="true" outlineLevel="0" collapsed="false">
      <c r="A309" s="1" t="s">
        <v>592</v>
      </c>
      <c r="B309" s="1" t="n">
        <v>286</v>
      </c>
    </row>
    <row r="310" customFormat="false" ht="15" hidden="false" customHeight="true" outlineLevel="0" collapsed="false">
      <c r="A310" s="1" t="s">
        <v>819</v>
      </c>
      <c r="B310" s="1" t="n">
        <v>282</v>
      </c>
    </row>
    <row r="311" customFormat="false" ht="15" hidden="false" customHeight="true" outlineLevel="0" collapsed="false">
      <c r="A311" s="1" t="s">
        <v>878</v>
      </c>
      <c r="B311" s="1" t="n">
        <v>281</v>
      </c>
    </row>
    <row r="312" customFormat="false" ht="15" hidden="false" customHeight="true" outlineLevel="0" collapsed="false">
      <c r="A312" s="1" t="s">
        <v>778</v>
      </c>
      <c r="B312" s="1" t="n">
        <v>279</v>
      </c>
    </row>
    <row r="313" customFormat="false" ht="15" hidden="false" customHeight="true" outlineLevel="0" collapsed="false">
      <c r="A313" s="1" t="s">
        <v>1127</v>
      </c>
      <c r="B313" s="1" t="n">
        <v>279</v>
      </c>
    </row>
    <row r="314" customFormat="false" ht="15" hidden="false" customHeight="true" outlineLevel="0" collapsed="false">
      <c r="A314" s="1" t="s">
        <v>94</v>
      </c>
      <c r="B314" s="1" t="n">
        <v>279</v>
      </c>
    </row>
    <row r="315" customFormat="false" ht="15" hidden="false" customHeight="true" outlineLevel="0" collapsed="false">
      <c r="A315" s="1" t="s">
        <v>777</v>
      </c>
      <c r="B315" s="1" t="n">
        <v>278</v>
      </c>
    </row>
    <row r="316" customFormat="false" ht="15" hidden="false" customHeight="true" outlineLevel="0" collapsed="false">
      <c r="A316" s="1" t="s">
        <v>672</v>
      </c>
      <c r="B316" s="1" t="n">
        <v>277</v>
      </c>
    </row>
    <row r="317" customFormat="false" ht="15" hidden="false" customHeight="true" outlineLevel="0" collapsed="false">
      <c r="A317" s="1" t="s">
        <v>965</v>
      </c>
      <c r="B317" s="1" t="n">
        <v>276</v>
      </c>
    </row>
    <row r="318" customFormat="false" ht="15" hidden="false" customHeight="true" outlineLevel="0" collapsed="false">
      <c r="A318" s="1" t="s">
        <v>978</v>
      </c>
      <c r="B318" s="1" t="n">
        <v>275</v>
      </c>
    </row>
    <row r="319" customFormat="false" ht="15" hidden="false" customHeight="true" outlineLevel="0" collapsed="false">
      <c r="A319" s="1" t="s">
        <v>917</v>
      </c>
      <c r="B319" s="1" t="n">
        <v>272</v>
      </c>
    </row>
    <row r="320" customFormat="false" ht="15" hidden="false" customHeight="true" outlineLevel="0" collapsed="false">
      <c r="A320" s="1" t="s">
        <v>603</v>
      </c>
      <c r="B320" s="1" t="n">
        <v>272</v>
      </c>
    </row>
    <row r="321" customFormat="false" ht="15" hidden="false" customHeight="true" outlineLevel="0" collapsed="false">
      <c r="A321" s="1" t="s">
        <v>206</v>
      </c>
      <c r="B321" s="1" t="n">
        <v>271</v>
      </c>
    </row>
    <row r="322" customFormat="false" ht="15" hidden="false" customHeight="true" outlineLevel="0" collapsed="false">
      <c r="A322" s="1" t="s">
        <v>1009</v>
      </c>
      <c r="B322" s="1" t="n">
        <v>271</v>
      </c>
    </row>
    <row r="323" customFormat="false" ht="15" hidden="false" customHeight="true" outlineLevel="0" collapsed="false">
      <c r="A323" s="1" t="s">
        <v>755</v>
      </c>
      <c r="B323" s="1" t="n">
        <v>271</v>
      </c>
    </row>
    <row r="324" customFormat="false" ht="15" hidden="false" customHeight="true" outlineLevel="0" collapsed="false">
      <c r="A324" s="1" t="s">
        <v>1032</v>
      </c>
      <c r="B324" s="1" t="n">
        <v>271</v>
      </c>
    </row>
    <row r="325" customFormat="false" ht="15" hidden="false" customHeight="true" outlineLevel="0" collapsed="false">
      <c r="A325" s="1" t="s">
        <v>527</v>
      </c>
      <c r="B325" s="1" t="n">
        <v>265</v>
      </c>
    </row>
    <row r="326" customFormat="false" ht="15" hidden="false" customHeight="true" outlineLevel="0" collapsed="false">
      <c r="A326" s="1" t="s">
        <v>1111</v>
      </c>
      <c r="B326" s="1" t="n">
        <v>264</v>
      </c>
    </row>
    <row r="327" customFormat="false" ht="15" hidden="false" customHeight="true" outlineLevel="0" collapsed="false">
      <c r="A327" s="1" t="s">
        <v>559</v>
      </c>
      <c r="B327" s="1" t="n">
        <v>264</v>
      </c>
    </row>
    <row r="328" customFormat="false" ht="15" hidden="false" customHeight="true" outlineLevel="0" collapsed="false">
      <c r="A328" s="1" t="s">
        <v>793</v>
      </c>
      <c r="B328" s="1" t="n">
        <v>263</v>
      </c>
    </row>
    <row r="329" customFormat="false" ht="15" hidden="false" customHeight="true" outlineLevel="0" collapsed="false">
      <c r="A329" s="1" t="s">
        <v>430</v>
      </c>
      <c r="B329" s="1" t="n">
        <v>260</v>
      </c>
    </row>
    <row r="330" customFormat="false" ht="15" hidden="false" customHeight="true" outlineLevel="0" collapsed="false">
      <c r="A330" s="1" t="s">
        <v>655</v>
      </c>
      <c r="B330" s="1" t="n">
        <v>259</v>
      </c>
    </row>
    <row r="331" customFormat="false" ht="15" hidden="false" customHeight="true" outlineLevel="0" collapsed="false">
      <c r="A331" s="1" t="s">
        <v>838</v>
      </c>
      <c r="B331" s="1" t="n">
        <v>259</v>
      </c>
    </row>
    <row r="332" customFormat="false" ht="15" hidden="false" customHeight="true" outlineLevel="0" collapsed="false">
      <c r="A332" s="1" t="s">
        <v>565</v>
      </c>
      <c r="B332" s="1" t="n">
        <v>259</v>
      </c>
    </row>
    <row r="333" customFormat="false" ht="15" hidden="false" customHeight="true" outlineLevel="0" collapsed="false">
      <c r="A333" s="1" t="s">
        <v>1086</v>
      </c>
      <c r="B333" s="1" t="n">
        <v>256</v>
      </c>
    </row>
    <row r="334" customFormat="false" ht="15" hidden="false" customHeight="true" outlineLevel="0" collapsed="false">
      <c r="A334" s="1" t="s">
        <v>1039</v>
      </c>
      <c r="B334" s="1" t="n">
        <v>256</v>
      </c>
    </row>
    <row r="335" customFormat="false" ht="15" hidden="false" customHeight="true" outlineLevel="0" collapsed="false">
      <c r="A335" s="1" t="s">
        <v>1188</v>
      </c>
      <c r="B335" s="1" t="n">
        <v>255</v>
      </c>
    </row>
    <row r="336" customFormat="false" ht="15" hidden="false" customHeight="true" outlineLevel="0" collapsed="false">
      <c r="A336" s="1" t="s">
        <v>508</v>
      </c>
      <c r="B336" s="1" t="n">
        <v>254</v>
      </c>
    </row>
    <row r="337" customFormat="false" ht="15" hidden="false" customHeight="true" outlineLevel="0" collapsed="false">
      <c r="A337" s="1" t="s">
        <v>583</v>
      </c>
      <c r="B337" s="1" t="n">
        <v>254</v>
      </c>
    </row>
    <row r="338" customFormat="false" ht="15" hidden="false" customHeight="true" outlineLevel="0" collapsed="false">
      <c r="A338" s="1" t="s">
        <v>871</v>
      </c>
      <c r="B338" s="1" t="n">
        <v>254</v>
      </c>
    </row>
    <row r="339" customFormat="false" ht="15" hidden="false" customHeight="true" outlineLevel="0" collapsed="false">
      <c r="A339" s="1" t="s">
        <v>1102</v>
      </c>
      <c r="B339" s="1" t="n">
        <v>252</v>
      </c>
    </row>
    <row r="340" customFormat="false" ht="15" hidden="false" customHeight="true" outlineLevel="0" collapsed="false">
      <c r="A340" s="1" t="s">
        <v>1079</v>
      </c>
      <c r="B340" s="1" t="n">
        <v>251</v>
      </c>
    </row>
    <row r="341" customFormat="false" ht="15" hidden="false" customHeight="true" outlineLevel="0" collapsed="false">
      <c r="A341" s="1" t="s">
        <v>700</v>
      </c>
      <c r="B341" s="1" t="n">
        <v>250</v>
      </c>
    </row>
    <row r="342" customFormat="false" ht="15" hidden="false" customHeight="true" outlineLevel="0" collapsed="false">
      <c r="A342" s="1" t="s">
        <v>1202</v>
      </c>
      <c r="B342" s="1" t="n">
        <v>250</v>
      </c>
    </row>
    <row r="343" customFormat="false" ht="15" hidden="false" customHeight="true" outlineLevel="0" collapsed="false">
      <c r="A343" s="1" t="s">
        <v>758</v>
      </c>
      <c r="B343" s="1" t="n">
        <v>248</v>
      </c>
    </row>
    <row r="344" customFormat="false" ht="15" hidden="false" customHeight="true" outlineLevel="0" collapsed="false">
      <c r="A344" s="1" t="s">
        <v>837</v>
      </c>
      <c r="B344" s="1" t="n">
        <v>247</v>
      </c>
    </row>
    <row r="345" customFormat="false" ht="15" hidden="false" customHeight="true" outlineLevel="0" collapsed="false">
      <c r="A345" s="1" t="s">
        <v>1145</v>
      </c>
      <c r="B345" s="1" t="n">
        <v>247</v>
      </c>
    </row>
    <row r="346" customFormat="false" ht="15" hidden="false" customHeight="true" outlineLevel="0" collapsed="false">
      <c r="A346" s="1" t="s">
        <v>830</v>
      </c>
      <c r="B346" s="1" t="n">
        <v>246</v>
      </c>
    </row>
    <row r="347" customFormat="false" ht="15" hidden="false" customHeight="true" outlineLevel="0" collapsed="false">
      <c r="A347" s="1" t="s">
        <v>865</v>
      </c>
      <c r="B347" s="1" t="n">
        <v>246</v>
      </c>
    </row>
    <row r="348" customFormat="false" ht="15" hidden="false" customHeight="true" outlineLevel="0" collapsed="false">
      <c r="A348" s="1" t="s">
        <v>1014</v>
      </c>
      <c r="B348" s="1" t="n">
        <v>245</v>
      </c>
    </row>
    <row r="349" customFormat="false" ht="15" hidden="false" customHeight="true" outlineLevel="0" collapsed="false">
      <c r="A349" s="1" t="s">
        <v>698</v>
      </c>
      <c r="B349" s="1" t="n">
        <v>245</v>
      </c>
    </row>
    <row r="350" customFormat="false" ht="15" hidden="false" customHeight="true" outlineLevel="0" collapsed="false">
      <c r="A350" s="1" t="s">
        <v>744</v>
      </c>
      <c r="B350" s="1" t="n">
        <v>243</v>
      </c>
    </row>
    <row r="351" customFormat="false" ht="15" hidden="false" customHeight="true" outlineLevel="0" collapsed="false">
      <c r="A351" s="1" t="s">
        <v>858</v>
      </c>
      <c r="B351" s="1" t="n">
        <v>243</v>
      </c>
    </row>
    <row r="352" customFormat="false" ht="15" hidden="false" customHeight="true" outlineLevel="0" collapsed="false">
      <c r="A352" s="1" t="s">
        <v>803</v>
      </c>
      <c r="B352" s="1" t="n">
        <v>242</v>
      </c>
    </row>
    <row r="353" customFormat="false" ht="15" hidden="false" customHeight="true" outlineLevel="0" collapsed="false">
      <c r="A353" s="1" t="s">
        <v>1150</v>
      </c>
      <c r="B353" s="1" t="n">
        <v>242</v>
      </c>
    </row>
    <row r="354" customFormat="false" ht="15" hidden="false" customHeight="true" outlineLevel="0" collapsed="false">
      <c r="A354" s="1" t="s">
        <v>849</v>
      </c>
      <c r="B354" s="1" t="n">
        <v>240</v>
      </c>
    </row>
    <row r="355" customFormat="false" ht="15" hidden="false" customHeight="true" outlineLevel="0" collapsed="false">
      <c r="A355" s="1" t="s">
        <v>1135</v>
      </c>
      <c r="B355" s="1" t="n">
        <v>240</v>
      </c>
    </row>
    <row r="356" customFormat="false" ht="15" hidden="false" customHeight="true" outlineLevel="0" collapsed="false">
      <c r="A356" s="1" t="s">
        <v>666</v>
      </c>
      <c r="B356" s="1" t="n">
        <v>240</v>
      </c>
    </row>
    <row r="357" customFormat="false" ht="15" hidden="false" customHeight="true" outlineLevel="0" collapsed="false">
      <c r="A357" s="1" t="s">
        <v>888</v>
      </c>
      <c r="B357" s="1" t="n">
        <v>238</v>
      </c>
    </row>
    <row r="358" customFormat="false" ht="15" hidden="false" customHeight="true" outlineLevel="0" collapsed="false">
      <c r="A358" s="1" t="s">
        <v>1046</v>
      </c>
      <c r="B358" s="1" t="n">
        <v>237</v>
      </c>
    </row>
    <row r="359" customFormat="false" ht="15" hidden="false" customHeight="true" outlineLevel="0" collapsed="false">
      <c r="A359" s="1" t="s">
        <v>1105</v>
      </c>
      <c r="B359" s="1" t="n">
        <v>235</v>
      </c>
    </row>
    <row r="360" customFormat="false" ht="15" hidden="false" customHeight="true" outlineLevel="0" collapsed="false">
      <c r="A360" s="1" t="s">
        <v>835</v>
      </c>
      <c r="B360" s="1" t="n">
        <v>235</v>
      </c>
    </row>
    <row r="361" customFormat="false" ht="15" hidden="false" customHeight="true" outlineLevel="0" collapsed="false">
      <c r="A361" s="1" t="s">
        <v>1227</v>
      </c>
      <c r="B361" s="1" t="n">
        <v>235</v>
      </c>
    </row>
    <row r="362" customFormat="false" ht="15" hidden="false" customHeight="true" outlineLevel="0" collapsed="false">
      <c r="A362" s="1" t="s">
        <v>1163</v>
      </c>
      <c r="B362" s="1" t="n">
        <v>235</v>
      </c>
    </row>
    <row r="363" customFormat="false" ht="15" hidden="false" customHeight="true" outlineLevel="0" collapsed="false">
      <c r="A363" s="1" t="s">
        <v>1060</v>
      </c>
      <c r="B363" s="1" t="n">
        <v>235</v>
      </c>
    </row>
    <row r="364" customFormat="false" ht="15" hidden="false" customHeight="true" outlineLevel="0" collapsed="false">
      <c r="A364" s="1" t="s">
        <v>1010</v>
      </c>
      <c r="B364" s="1" t="n">
        <v>233</v>
      </c>
    </row>
    <row r="365" customFormat="false" ht="15" hidden="false" customHeight="true" outlineLevel="0" collapsed="false">
      <c r="A365" s="1" t="s">
        <v>1252</v>
      </c>
      <c r="B365" s="1" t="n">
        <v>233</v>
      </c>
    </row>
    <row r="366" customFormat="false" ht="15" hidden="false" customHeight="true" outlineLevel="0" collapsed="false">
      <c r="A366" s="1" t="s">
        <v>482</v>
      </c>
      <c r="B366" s="1" t="n">
        <v>232</v>
      </c>
    </row>
    <row r="367" customFormat="false" ht="15" hidden="false" customHeight="true" outlineLevel="0" collapsed="false">
      <c r="A367" s="1" t="s">
        <v>1020</v>
      </c>
      <c r="B367" s="1" t="n">
        <v>230</v>
      </c>
    </row>
    <row r="368" customFormat="false" ht="15" hidden="false" customHeight="true" outlineLevel="0" collapsed="false">
      <c r="A368" s="1" t="s">
        <v>1107</v>
      </c>
      <c r="B368" s="1" t="n">
        <v>230</v>
      </c>
    </row>
    <row r="369" customFormat="false" ht="15" hidden="false" customHeight="true" outlineLevel="0" collapsed="false">
      <c r="A369" s="1" t="s">
        <v>661</v>
      </c>
      <c r="B369" s="1" t="n">
        <v>228</v>
      </c>
    </row>
    <row r="370" customFormat="false" ht="15" hidden="false" customHeight="true" outlineLevel="0" collapsed="false">
      <c r="A370" s="1" t="s">
        <v>487</v>
      </c>
      <c r="B370" s="1" t="n">
        <v>227</v>
      </c>
    </row>
    <row r="371" customFormat="false" ht="15" hidden="false" customHeight="true" outlineLevel="0" collapsed="false">
      <c r="A371" s="1" t="s">
        <v>1165</v>
      </c>
      <c r="B371" s="1" t="n">
        <v>225</v>
      </c>
    </row>
    <row r="372" customFormat="false" ht="15" hidden="false" customHeight="true" outlineLevel="0" collapsed="false">
      <c r="A372" s="1" t="s">
        <v>651</v>
      </c>
      <c r="B372" s="1" t="n">
        <v>224</v>
      </c>
    </row>
    <row r="373" customFormat="false" ht="15" hidden="false" customHeight="true" outlineLevel="0" collapsed="false">
      <c r="A373" s="1" t="s">
        <v>639</v>
      </c>
      <c r="B373" s="1" t="n">
        <v>224</v>
      </c>
    </row>
    <row r="374" customFormat="false" ht="15" hidden="false" customHeight="true" outlineLevel="0" collapsed="false">
      <c r="A374" s="1" t="s">
        <v>828</v>
      </c>
      <c r="B374" s="1" t="n">
        <v>223</v>
      </c>
    </row>
    <row r="375" customFormat="false" ht="15" hidden="false" customHeight="true" outlineLevel="0" collapsed="false">
      <c r="A375" s="1" t="s">
        <v>1026</v>
      </c>
      <c r="B375" s="1" t="n">
        <v>223</v>
      </c>
    </row>
    <row r="376" customFormat="false" ht="15" hidden="false" customHeight="true" outlineLevel="0" collapsed="false">
      <c r="A376" s="1" t="s">
        <v>414</v>
      </c>
      <c r="B376" s="1" t="n">
        <v>220</v>
      </c>
    </row>
    <row r="377" customFormat="false" ht="15" hidden="false" customHeight="true" outlineLevel="0" collapsed="false">
      <c r="A377" s="1" t="s">
        <v>1176</v>
      </c>
      <c r="B377" s="1" t="n">
        <v>220</v>
      </c>
    </row>
    <row r="378" customFormat="false" ht="15" hidden="false" customHeight="true" outlineLevel="0" collapsed="false">
      <c r="A378" s="1" t="s">
        <v>1153</v>
      </c>
      <c r="B378" s="1" t="n">
        <v>219</v>
      </c>
    </row>
    <row r="379" customFormat="false" ht="15" hidden="false" customHeight="true" outlineLevel="0" collapsed="false">
      <c r="A379" s="1" t="s">
        <v>1057</v>
      </c>
      <c r="B379" s="1" t="n">
        <v>219</v>
      </c>
    </row>
    <row r="380" customFormat="false" ht="15" hidden="false" customHeight="true" outlineLevel="0" collapsed="false">
      <c r="A380" s="1" t="s">
        <v>795</v>
      </c>
      <c r="B380" s="1" t="n">
        <v>219</v>
      </c>
    </row>
    <row r="381" customFormat="false" ht="15" hidden="false" customHeight="true" outlineLevel="0" collapsed="false">
      <c r="A381" s="1" t="s">
        <v>1245</v>
      </c>
      <c r="B381" s="1" t="n">
        <v>218</v>
      </c>
    </row>
    <row r="382" customFormat="false" ht="15" hidden="false" customHeight="true" outlineLevel="0" collapsed="false">
      <c r="A382" s="1" t="s">
        <v>898</v>
      </c>
      <c r="B382" s="1" t="n">
        <v>218</v>
      </c>
    </row>
    <row r="383" customFormat="false" ht="15" hidden="false" customHeight="true" outlineLevel="0" collapsed="false">
      <c r="A383" s="1" t="s">
        <v>1041</v>
      </c>
      <c r="B383" s="1" t="n">
        <v>215</v>
      </c>
    </row>
    <row r="384" customFormat="false" ht="15" hidden="false" customHeight="true" outlineLevel="0" collapsed="false">
      <c r="A384" s="1" t="s">
        <v>925</v>
      </c>
      <c r="B384" s="1" t="n">
        <v>215</v>
      </c>
    </row>
    <row r="385" customFormat="false" ht="15" hidden="false" customHeight="true" outlineLevel="0" collapsed="false">
      <c r="A385" s="1" t="s">
        <v>1016</v>
      </c>
      <c r="B385" s="1" t="n">
        <v>215</v>
      </c>
    </row>
    <row r="386" customFormat="false" ht="15" hidden="false" customHeight="true" outlineLevel="0" collapsed="false">
      <c r="A386" s="1" t="s">
        <v>1109</v>
      </c>
      <c r="B386" s="1" t="n">
        <v>215</v>
      </c>
    </row>
    <row r="387" customFormat="false" ht="15" hidden="false" customHeight="true" outlineLevel="0" collapsed="false">
      <c r="A387" s="1" t="s">
        <v>692</v>
      </c>
      <c r="B387" s="1" t="n">
        <v>213</v>
      </c>
    </row>
    <row r="388" customFormat="false" ht="15" hidden="false" customHeight="true" outlineLevel="0" collapsed="false">
      <c r="A388" s="1" t="s">
        <v>1225</v>
      </c>
      <c r="B388" s="1" t="n">
        <v>213</v>
      </c>
    </row>
    <row r="389" customFormat="false" ht="15" hidden="false" customHeight="true" outlineLevel="0" collapsed="false">
      <c r="A389" s="1" t="s">
        <v>1094</v>
      </c>
      <c r="B389" s="1" t="n">
        <v>210</v>
      </c>
    </row>
    <row r="390" customFormat="false" ht="15" hidden="false" customHeight="true" outlineLevel="0" collapsed="false">
      <c r="A390" s="1" t="s">
        <v>727</v>
      </c>
      <c r="B390" s="1" t="n">
        <v>210</v>
      </c>
    </row>
    <row r="391" customFormat="false" ht="15" hidden="false" customHeight="true" outlineLevel="0" collapsed="false">
      <c r="A391" s="1" t="s">
        <v>752</v>
      </c>
      <c r="B391" s="1" t="n">
        <v>208</v>
      </c>
    </row>
    <row r="392" customFormat="false" ht="15" hidden="false" customHeight="true" outlineLevel="0" collapsed="false">
      <c r="A392" s="1" t="s">
        <v>1260</v>
      </c>
      <c r="B392" s="1" t="n">
        <v>206</v>
      </c>
    </row>
    <row r="393" customFormat="false" ht="15" hidden="false" customHeight="true" outlineLevel="0" collapsed="false">
      <c r="A393" s="1" t="s">
        <v>1356</v>
      </c>
      <c r="B393" s="1" t="n">
        <v>206</v>
      </c>
    </row>
    <row r="394" customFormat="false" ht="15" hidden="false" customHeight="true" outlineLevel="0" collapsed="false">
      <c r="A394" s="1" t="s">
        <v>1267</v>
      </c>
      <c r="B394" s="1" t="n">
        <v>205</v>
      </c>
    </row>
    <row r="395" customFormat="false" ht="15" hidden="false" customHeight="true" outlineLevel="0" collapsed="false">
      <c r="A395" s="1" t="s">
        <v>1033</v>
      </c>
      <c r="B395" s="1" t="n">
        <v>205</v>
      </c>
    </row>
    <row r="396" customFormat="false" ht="15" hidden="false" customHeight="true" outlineLevel="0" collapsed="false">
      <c r="A396" s="1" t="s">
        <v>861</v>
      </c>
      <c r="B396" s="1" t="n">
        <v>204</v>
      </c>
    </row>
    <row r="397" customFormat="false" ht="15" hidden="false" customHeight="true" outlineLevel="0" collapsed="false">
      <c r="A397" s="1" t="s">
        <v>1103</v>
      </c>
      <c r="B397" s="1" t="n">
        <v>201</v>
      </c>
    </row>
    <row r="398" customFormat="false" ht="15" hidden="false" customHeight="true" outlineLevel="0" collapsed="false">
      <c r="A398" s="1" t="s">
        <v>1148</v>
      </c>
      <c r="B398" s="1" t="n">
        <v>200</v>
      </c>
    </row>
    <row r="399" customFormat="false" ht="15" hidden="false" customHeight="true" outlineLevel="0" collapsed="false">
      <c r="A399" s="1" t="s">
        <v>1169</v>
      </c>
      <c r="B399" s="1" t="n">
        <v>200</v>
      </c>
    </row>
    <row r="400" customFormat="false" ht="15" hidden="false" customHeight="true" outlineLevel="0" collapsed="false">
      <c r="A400" s="1" t="s">
        <v>1239</v>
      </c>
      <c r="B400" s="1" t="n">
        <v>200</v>
      </c>
    </row>
    <row r="401" customFormat="false" ht="15" hidden="false" customHeight="true" outlineLevel="0" collapsed="false">
      <c r="A401" s="1" t="s">
        <v>1389</v>
      </c>
      <c r="B401" s="1" t="n">
        <v>199</v>
      </c>
    </row>
    <row r="402" customFormat="false" ht="15" hidden="false" customHeight="true" outlineLevel="0" collapsed="false">
      <c r="A402" s="1" t="s">
        <v>813</v>
      </c>
      <c r="B402" s="1" t="n">
        <v>198</v>
      </c>
    </row>
    <row r="403" customFormat="false" ht="15" hidden="false" customHeight="true" outlineLevel="0" collapsed="false">
      <c r="A403" s="1" t="s">
        <v>1207</v>
      </c>
      <c r="B403" s="1" t="n">
        <v>198</v>
      </c>
    </row>
    <row r="404" customFormat="false" ht="15" hidden="false" customHeight="true" outlineLevel="0" collapsed="false">
      <c r="A404" s="1" t="s">
        <v>993</v>
      </c>
      <c r="B404" s="1" t="n">
        <v>198</v>
      </c>
    </row>
    <row r="405" customFormat="false" ht="15" hidden="false" customHeight="true" outlineLevel="0" collapsed="false">
      <c r="A405" s="1" t="s">
        <v>707</v>
      </c>
      <c r="B405" s="1" t="n">
        <v>197</v>
      </c>
    </row>
    <row r="406" customFormat="false" ht="15" hidden="false" customHeight="true" outlineLevel="0" collapsed="false">
      <c r="A406" s="1" t="s">
        <v>900</v>
      </c>
      <c r="B406" s="1" t="n">
        <v>196</v>
      </c>
    </row>
    <row r="407" customFormat="false" ht="15" hidden="false" customHeight="true" outlineLevel="0" collapsed="false">
      <c r="A407" s="1" t="s">
        <v>1411</v>
      </c>
      <c r="B407" s="1" t="n">
        <v>196</v>
      </c>
    </row>
    <row r="408" customFormat="false" ht="15" hidden="false" customHeight="true" outlineLevel="0" collapsed="false">
      <c r="A408" s="1" t="s">
        <v>1059</v>
      </c>
      <c r="B408" s="1" t="n">
        <v>196</v>
      </c>
    </row>
    <row r="409" customFormat="false" ht="15" hidden="false" customHeight="true" outlineLevel="0" collapsed="false">
      <c r="A409" s="1" t="s">
        <v>1050</v>
      </c>
      <c r="B409" s="1" t="n">
        <v>196</v>
      </c>
    </row>
    <row r="410" customFormat="false" ht="15" hidden="false" customHeight="true" outlineLevel="0" collapsed="false">
      <c r="A410" s="1" t="s">
        <v>1416</v>
      </c>
      <c r="B410" s="1" t="n">
        <v>195</v>
      </c>
    </row>
    <row r="411" customFormat="false" ht="15" hidden="false" customHeight="true" outlineLevel="0" collapsed="false">
      <c r="A411" s="1" t="s">
        <v>434</v>
      </c>
      <c r="B411" s="1" t="n">
        <v>194</v>
      </c>
    </row>
    <row r="412" customFormat="false" ht="15" hidden="false" customHeight="true" outlineLevel="0" collapsed="false">
      <c r="A412" s="1" t="s">
        <v>1228</v>
      </c>
      <c r="B412" s="1" t="n">
        <v>194</v>
      </c>
    </row>
    <row r="413" customFormat="false" ht="15" hidden="false" customHeight="true" outlineLevel="0" collapsed="false">
      <c r="A413" s="1" t="s">
        <v>1275</v>
      </c>
      <c r="B413" s="1" t="n">
        <v>193</v>
      </c>
    </row>
    <row r="414" customFormat="false" ht="15" hidden="false" customHeight="true" outlineLevel="0" collapsed="false">
      <c r="A414" s="1" t="s">
        <v>1421</v>
      </c>
      <c r="B414" s="1" t="n">
        <v>193</v>
      </c>
    </row>
    <row r="415" customFormat="false" ht="15" hidden="false" customHeight="true" outlineLevel="0" collapsed="false">
      <c r="A415" s="1" t="s">
        <v>1423</v>
      </c>
      <c r="B415" s="1" t="n">
        <v>193</v>
      </c>
    </row>
    <row r="416" customFormat="false" ht="15" hidden="false" customHeight="true" outlineLevel="0" collapsed="false">
      <c r="A416" s="1" t="s">
        <v>1302</v>
      </c>
      <c r="B416" s="1" t="n">
        <v>192</v>
      </c>
    </row>
    <row r="417" customFormat="false" ht="15" hidden="false" customHeight="true" outlineLevel="0" collapsed="false">
      <c r="A417" s="1" t="s">
        <v>787</v>
      </c>
      <c r="B417" s="1" t="n">
        <v>191</v>
      </c>
    </row>
    <row r="418" customFormat="false" ht="15" hidden="false" customHeight="true" outlineLevel="0" collapsed="false">
      <c r="A418" s="1" t="s">
        <v>1350</v>
      </c>
      <c r="B418" s="1" t="n">
        <v>190</v>
      </c>
    </row>
    <row r="419" customFormat="false" ht="15" hidden="false" customHeight="true" outlineLevel="0" collapsed="false">
      <c r="A419" s="1" t="s">
        <v>762</v>
      </c>
      <c r="B419" s="1" t="n">
        <v>188</v>
      </c>
    </row>
    <row r="420" customFormat="false" ht="15" hidden="false" customHeight="true" outlineLevel="0" collapsed="false">
      <c r="A420" s="1" t="s">
        <v>1051</v>
      </c>
      <c r="B420" s="1" t="n">
        <v>187</v>
      </c>
    </row>
    <row r="421" customFormat="false" ht="15" hidden="false" customHeight="true" outlineLevel="0" collapsed="false">
      <c r="A421" s="1" t="s">
        <v>1254</v>
      </c>
      <c r="B421" s="1" t="n">
        <v>187</v>
      </c>
    </row>
    <row r="422" customFormat="false" ht="15" hidden="false" customHeight="true" outlineLevel="0" collapsed="false">
      <c r="A422" s="1" t="s">
        <v>1022</v>
      </c>
      <c r="B422" s="1" t="n">
        <v>187</v>
      </c>
    </row>
    <row r="423" customFormat="false" ht="15" hidden="false" customHeight="true" outlineLevel="0" collapsed="false">
      <c r="A423" s="1" t="s">
        <v>1233</v>
      </c>
      <c r="B423" s="1" t="n">
        <v>183</v>
      </c>
    </row>
    <row r="424" customFormat="false" ht="15" hidden="false" customHeight="true" outlineLevel="0" collapsed="false">
      <c r="A424" s="1" t="s">
        <v>1053</v>
      </c>
      <c r="B424" s="1" t="n">
        <v>182</v>
      </c>
    </row>
    <row r="425" customFormat="false" ht="15" hidden="false" customHeight="true" outlineLevel="0" collapsed="false">
      <c r="A425" s="1" t="s">
        <v>889</v>
      </c>
      <c r="B425" s="1" t="n">
        <v>182</v>
      </c>
    </row>
    <row r="426" customFormat="false" ht="15" hidden="false" customHeight="true" outlineLevel="0" collapsed="false">
      <c r="A426" s="1" t="s">
        <v>885</v>
      </c>
      <c r="B426" s="1" t="n">
        <v>181</v>
      </c>
    </row>
    <row r="427" customFormat="false" ht="15" hidden="false" customHeight="true" outlineLevel="0" collapsed="false">
      <c r="A427" s="1" t="s">
        <v>1118</v>
      </c>
      <c r="B427" s="1" t="n">
        <v>180</v>
      </c>
    </row>
    <row r="428" customFormat="false" ht="15" hidden="false" customHeight="true" outlineLevel="0" collapsed="false">
      <c r="A428" s="1" t="s">
        <v>1360</v>
      </c>
      <c r="B428" s="1" t="n">
        <v>180</v>
      </c>
    </row>
    <row r="429" customFormat="false" ht="15" hidden="false" customHeight="true" outlineLevel="0" collapsed="false">
      <c r="A429" s="1" t="s">
        <v>679</v>
      </c>
      <c r="B429" s="1" t="n">
        <v>179</v>
      </c>
    </row>
    <row r="430" customFormat="false" ht="15" hidden="false" customHeight="true" outlineLevel="0" collapsed="false">
      <c r="A430" s="1" t="s">
        <v>1035</v>
      </c>
      <c r="B430" s="1" t="n">
        <v>179</v>
      </c>
    </row>
    <row r="431" customFormat="false" ht="15" hidden="false" customHeight="true" outlineLevel="0" collapsed="false">
      <c r="A431" s="1" t="s">
        <v>788</v>
      </c>
      <c r="B431" s="1" t="n">
        <v>177</v>
      </c>
    </row>
    <row r="432" customFormat="false" ht="15" hidden="false" customHeight="true" outlineLevel="0" collapsed="false">
      <c r="A432" s="1" t="s">
        <v>671</v>
      </c>
      <c r="B432" s="1" t="n">
        <v>177</v>
      </c>
    </row>
    <row r="433" customFormat="false" ht="15" hidden="false" customHeight="true" outlineLevel="0" collapsed="false">
      <c r="A433" s="1" t="s">
        <v>1293</v>
      </c>
      <c r="B433" s="1" t="n">
        <v>175</v>
      </c>
    </row>
    <row r="434" customFormat="false" ht="15" hidden="false" customHeight="true" outlineLevel="0" collapsed="false">
      <c r="A434" s="1" t="s">
        <v>1047</v>
      </c>
      <c r="B434" s="1" t="n">
        <v>175</v>
      </c>
    </row>
    <row r="435" customFormat="false" ht="15" hidden="false" customHeight="true" outlineLevel="0" collapsed="false">
      <c r="A435" s="1" t="s">
        <v>605</v>
      </c>
      <c r="B435" s="1" t="n">
        <v>175</v>
      </c>
    </row>
    <row r="436" customFormat="false" ht="15" hidden="false" customHeight="true" outlineLevel="0" collapsed="false">
      <c r="A436" s="1" t="s">
        <v>1180</v>
      </c>
      <c r="B436" s="1" t="n">
        <v>173</v>
      </c>
    </row>
    <row r="437" customFormat="false" ht="15" hidden="false" customHeight="true" outlineLevel="0" collapsed="false">
      <c r="A437" s="1" t="s">
        <v>1461</v>
      </c>
      <c r="B437" s="1" t="n">
        <v>172</v>
      </c>
    </row>
    <row r="438" customFormat="false" ht="15" hidden="false" customHeight="true" outlineLevel="0" collapsed="false">
      <c r="A438" s="1" t="s">
        <v>1184</v>
      </c>
      <c r="B438" s="1" t="n">
        <v>172</v>
      </c>
    </row>
    <row r="439" customFormat="false" ht="15" hidden="false" customHeight="true" outlineLevel="0" collapsed="false">
      <c r="A439" s="1" t="s">
        <v>1178</v>
      </c>
      <c r="B439" s="1" t="n">
        <v>171</v>
      </c>
    </row>
    <row r="440" customFormat="false" ht="15" hidden="false" customHeight="true" outlineLevel="0" collapsed="false">
      <c r="A440" s="1" t="s">
        <v>1243</v>
      </c>
      <c r="B440" s="1" t="n">
        <v>169</v>
      </c>
    </row>
    <row r="441" customFormat="false" ht="15" hidden="false" customHeight="true" outlineLevel="0" collapsed="false">
      <c r="A441" s="1" t="s">
        <v>1487</v>
      </c>
      <c r="B441" s="1" t="n">
        <v>168</v>
      </c>
    </row>
    <row r="442" customFormat="false" ht="15" hidden="false" customHeight="true" outlineLevel="0" collapsed="false">
      <c r="A442" s="1" t="s">
        <v>1376</v>
      </c>
      <c r="B442" s="1" t="n">
        <v>168</v>
      </c>
    </row>
    <row r="443" customFormat="false" ht="15" hidden="false" customHeight="true" outlineLevel="0" collapsed="false">
      <c r="A443" s="1" t="s">
        <v>1269</v>
      </c>
      <c r="B443" s="1" t="n">
        <v>166</v>
      </c>
    </row>
    <row r="444" customFormat="false" ht="15" hidden="false" customHeight="true" outlineLevel="0" collapsed="false">
      <c r="A444" s="1" t="s">
        <v>1156</v>
      </c>
      <c r="B444" s="1" t="n">
        <v>166</v>
      </c>
    </row>
    <row r="445" customFormat="false" ht="15" hidden="false" customHeight="true" outlineLevel="0" collapsed="false">
      <c r="A445" s="1" t="s">
        <v>953</v>
      </c>
      <c r="B445" s="1" t="n">
        <v>166</v>
      </c>
    </row>
    <row r="446" customFormat="false" ht="15" hidden="false" customHeight="true" outlineLevel="0" collapsed="false">
      <c r="A446" s="1" t="s">
        <v>608</v>
      </c>
      <c r="B446" s="1" t="n">
        <v>165</v>
      </c>
    </row>
    <row r="447" customFormat="false" ht="15" hidden="false" customHeight="true" outlineLevel="0" collapsed="false">
      <c r="A447" s="1" t="s">
        <v>747</v>
      </c>
      <c r="B447" s="1" t="n">
        <v>165</v>
      </c>
    </row>
    <row r="448" customFormat="false" ht="15" hidden="false" customHeight="true" outlineLevel="0" collapsed="false">
      <c r="A448" s="1" t="s">
        <v>1381</v>
      </c>
      <c r="B448" s="1" t="n">
        <v>165</v>
      </c>
    </row>
    <row r="449" customFormat="false" ht="15" hidden="false" customHeight="true" outlineLevel="0" collapsed="false">
      <c r="A449" s="1" t="s">
        <v>719</v>
      </c>
      <c r="B449" s="1" t="n">
        <v>164</v>
      </c>
    </row>
    <row r="450" customFormat="false" ht="15" hidden="false" customHeight="true" outlineLevel="0" collapsed="false">
      <c r="A450" s="1" t="s">
        <v>1087</v>
      </c>
      <c r="B450" s="1" t="n">
        <v>164</v>
      </c>
    </row>
    <row r="451" customFormat="false" ht="15" hidden="false" customHeight="true" outlineLevel="0" collapsed="false">
      <c r="A451" s="1" t="s">
        <v>1438</v>
      </c>
      <c r="B451" s="1" t="n">
        <v>163</v>
      </c>
    </row>
    <row r="452" customFormat="false" ht="15" hidden="false" customHeight="true" outlineLevel="0" collapsed="false">
      <c r="A452" s="1" t="s">
        <v>1133</v>
      </c>
      <c r="B452" s="1" t="n">
        <v>162</v>
      </c>
    </row>
    <row r="453" customFormat="false" ht="15" hidden="false" customHeight="true" outlineLevel="0" collapsed="false">
      <c r="A453" s="1" t="s">
        <v>1352</v>
      </c>
      <c r="B453" s="1" t="n">
        <v>161</v>
      </c>
    </row>
    <row r="454" customFormat="false" ht="15" hidden="false" customHeight="true" outlineLevel="0" collapsed="false">
      <c r="A454" s="1" t="s">
        <v>694</v>
      </c>
      <c r="B454" s="1" t="n">
        <v>160</v>
      </c>
    </row>
    <row r="455" customFormat="false" ht="15" hidden="false" customHeight="true" outlineLevel="0" collapsed="false">
      <c r="A455" s="1" t="s">
        <v>1558</v>
      </c>
      <c r="B455" s="1" t="n">
        <v>160</v>
      </c>
    </row>
    <row r="456" customFormat="false" ht="15" hidden="false" customHeight="true" outlineLevel="0" collapsed="false">
      <c r="A456" s="1" t="s">
        <v>1113</v>
      </c>
      <c r="B456" s="1" t="n">
        <v>160</v>
      </c>
    </row>
    <row r="457" customFormat="false" ht="15" hidden="false" customHeight="true" outlineLevel="0" collapsed="false">
      <c r="A457" s="1" t="s">
        <v>922</v>
      </c>
      <c r="B457" s="1" t="n">
        <v>160</v>
      </c>
    </row>
    <row r="458" customFormat="false" ht="15" hidden="false" customHeight="true" outlineLevel="0" collapsed="false">
      <c r="A458" s="1" t="s">
        <v>471</v>
      </c>
      <c r="B458" s="1" t="n">
        <v>160</v>
      </c>
    </row>
    <row r="459" customFormat="false" ht="15" hidden="false" customHeight="true" outlineLevel="0" collapsed="false">
      <c r="A459" s="1" t="s">
        <v>1365</v>
      </c>
      <c r="B459" s="1" t="n">
        <v>159</v>
      </c>
    </row>
    <row r="460" customFormat="false" ht="15" hidden="false" customHeight="true" outlineLevel="0" collapsed="false">
      <c r="A460" s="1" t="s">
        <v>797</v>
      </c>
      <c r="B460" s="1" t="n">
        <v>159</v>
      </c>
    </row>
    <row r="461" customFormat="false" ht="15" hidden="false" customHeight="true" outlineLevel="0" collapsed="false">
      <c r="A461" s="1" t="s">
        <v>1295</v>
      </c>
      <c r="B461" s="1" t="n">
        <v>158</v>
      </c>
    </row>
    <row r="462" customFormat="false" ht="15" hidden="false" customHeight="true" outlineLevel="0" collapsed="false">
      <c r="A462" s="1" t="s">
        <v>1284</v>
      </c>
      <c r="B462" s="1" t="n">
        <v>157</v>
      </c>
    </row>
    <row r="463" customFormat="false" ht="15" hidden="false" customHeight="true" outlineLevel="0" collapsed="false">
      <c r="A463" s="1" t="s">
        <v>1581</v>
      </c>
      <c r="B463" s="1" t="n">
        <v>157</v>
      </c>
    </row>
    <row r="464" customFormat="false" ht="15" hidden="false" customHeight="true" outlineLevel="0" collapsed="false">
      <c r="A464" s="1" t="s">
        <v>499</v>
      </c>
      <c r="B464" s="1" t="n">
        <v>157</v>
      </c>
    </row>
    <row r="465" customFormat="false" ht="15" hidden="false" customHeight="true" outlineLevel="0" collapsed="false">
      <c r="A465" s="1" t="s">
        <v>551</v>
      </c>
      <c r="B465" s="1" t="n">
        <v>156</v>
      </c>
    </row>
    <row r="466" customFormat="false" ht="15" hidden="false" customHeight="true" outlineLevel="0" collapsed="false">
      <c r="A466" s="1" t="s">
        <v>1467</v>
      </c>
      <c r="B466" s="1" t="n">
        <v>155</v>
      </c>
    </row>
    <row r="467" customFormat="false" ht="15" hidden="false" customHeight="true" outlineLevel="0" collapsed="false">
      <c r="A467" s="1" t="s">
        <v>1043</v>
      </c>
      <c r="B467" s="1" t="n">
        <v>154</v>
      </c>
    </row>
    <row r="468" customFormat="false" ht="15" hidden="false" customHeight="true" outlineLevel="0" collapsed="false">
      <c r="A468" s="1" t="s">
        <v>1236</v>
      </c>
      <c r="B468" s="1" t="n">
        <v>153</v>
      </c>
    </row>
    <row r="469" customFormat="false" ht="15" hidden="false" customHeight="true" outlineLevel="0" collapsed="false">
      <c r="A469" s="1" t="s">
        <v>1361</v>
      </c>
      <c r="B469" s="1" t="n">
        <v>153</v>
      </c>
    </row>
    <row r="470" customFormat="false" ht="15" hidden="false" customHeight="true" outlineLevel="0" collapsed="false">
      <c r="A470" s="1" t="s">
        <v>1404</v>
      </c>
      <c r="B470" s="1" t="n">
        <v>152</v>
      </c>
    </row>
    <row r="471" customFormat="false" ht="15" hidden="false" customHeight="true" outlineLevel="0" collapsed="false">
      <c r="A471" s="1" t="s">
        <v>1575</v>
      </c>
      <c r="B471" s="1" t="n">
        <v>152</v>
      </c>
    </row>
    <row r="472" customFormat="false" ht="15" hidden="false" customHeight="true" outlineLevel="0" collapsed="false">
      <c r="A472" s="1" t="s">
        <v>1543</v>
      </c>
      <c r="B472" s="1" t="n">
        <v>151</v>
      </c>
    </row>
    <row r="473" customFormat="false" ht="15" hidden="false" customHeight="true" outlineLevel="0" collapsed="false">
      <c r="A473" s="1" t="s">
        <v>1348</v>
      </c>
      <c r="B473" s="1" t="n">
        <v>150</v>
      </c>
    </row>
    <row r="474" customFormat="false" ht="15" hidden="false" customHeight="true" outlineLevel="0" collapsed="false">
      <c r="A474" s="1" t="s">
        <v>1297</v>
      </c>
      <c r="B474" s="1" t="n">
        <v>149</v>
      </c>
    </row>
    <row r="475" customFormat="false" ht="15" hidden="false" customHeight="true" outlineLevel="0" collapsed="false">
      <c r="A475" s="1" t="s">
        <v>1489</v>
      </c>
      <c r="B475" s="1" t="n">
        <v>148</v>
      </c>
    </row>
    <row r="476" customFormat="false" ht="15" hidden="false" customHeight="true" outlineLevel="0" collapsed="false">
      <c r="A476" s="1" t="s">
        <v>1463</v>
      </c>
      <c r="B476" s="1" t="n">
        <v>147</v>
      </c>
    </row>
    <row r="477" customFormat="false" ht="15" hidden="false" customHeight="true" outlineLevel="0" collapsed="false">
      <c r="A477" s="1" t="s">
        <v>343</v>
      </c>
      <c r="B477" s="1" t="n">
        <v>147</v>
      </c>
    </row>
    <row r="478" customFormat="false" ht="15" hidden="false" customHeight="true" outlineLevel="0" collapsed="false">
      <c r="A478" s="1" t="s">
        <v>1186</v>
      </c>
      <c r="B478" s="1" t="n">
        <v>147</v>
      </c>
    </row>
    <row r="479" customFormat="false" ht="15" hidden="false" customHeight="true" outlineLevel="0" collapsed="false">
      <c r="A479" s="1" t="s">
        <v>1507</v>
      </c>
      <c r="B479" s="1" t="n">
        <v>147</v>
      </c>
    </row>
    <row r="480" customFormat="false" ht="15" hidden="false" customHeight="true" outlineLevel="0" collapsed="false">
      <c r="A480" s="1" t="s">
        <v>1237</v>
      </c>
      <c r="B480" s="1" t="n">
        <v>146</v>
      </c>
    </row>
    <row r="481" customFormat="false" ht="15" hidden="false" customHeight="true" outlineLevel="0" collapsed="false">
      <c r="A481" s="1" t="s">
        <v>1231</v>
      </c>
      <c r="B481" s="1" t="n">
        <v>145</v>
      </c>
    </row>
    <row r="482" customFormat="false" ht="15" hidden="false" customHeight="true" outlineLevel="0" collapsed="false">
      <c r="A482" s="1" t="s">
        <v>1256</v>
      </c>
      <c r="B482" s="1" t="n">
        <v>145</v>
      </c>
    </row>
    <row r="483" customFormat="false" ht="15" hidden="false" customHeight="true" outlineLevel="0" collapsed="false">
      <c r="A483" s="1" t="s">
        <v>1625</v>
      </c>
      <c r="B483" s="1" t="n">
        <v>144</v>
      </c>
    </row>
    <row r="484" customFormat="false" ht="15" hidden="false" customHeight="true" outlineLevel="0" collapsed="false">
      <c r="A484" s="1" t="s">
        <v>1630</v>
      </c>
      <c r="B484" s="1" t="n">
        <v>143</v>
      </c>
    </row>
    <row r="485" customFormat="false" ht="15" hidden="false" customHeight="true" outlineLevel="0" collapsed="false">
      <c r="A485" s="1" t="s">
        <v>1251</v>
      </c>
      <c r="B485" s="1" t="n">
        <v>142</v>
      </c>
    </row>
    <row r="486" customFormat="false" ht="15" hidden="false" customHeight="true" outlineLevel="0" collapsed="false">
      <c r="A486" s="1" t="s">
        <v>1372</v>
      </c>
      <c r="B486" s="1" t="n">
        <v>142</v>
      </c>
    </row>
    <row r="487" customFormat="false" ht="15" hidden="false" customHeight="true" outlineLevel="0" collapsed="false">
      <c r="A487" s="1" t="s">
        <v>1262</v>
      </c>
      <c r="B487" s="1" t="n">
        <v>141</v>
      </c>
    </row>
    <row r="488" customFormat="false" ht="15" hidden="false" customHeight="true" outlineLevel="0" collapsed="false">
      <c r="A488" s="1" t="s">
        <v>1640</v>
      </c>
      <c r="B488" s="1" t="n">
        <v>141</v>
      </c>
    </row>
    <row r="489" customFormat="false" ht="15" hidden="false" customHeight="true" outlineLevel="0" collapsed="false">
      <c r="A489" s="1" t="s">
        <v>1642</v>
      </c>
      <c r="B489" s="1" t="n">
        <v>141</v>
      </c>
    </row>
    <row r="490" customFormat="false" ht="15" hidden="false" customHeight="true" outlineLevel="0" collapsed="false">
      <c r="A490" s="1" t="s">
        <v>840</v>
      </c>
      <c r="B490" s="1" t="n">
        <v>140</v>
      </c>
    </row>
    <row r="491" customFormat="false" ht="15" hidden="false" customHeight="true" outlineLevel="0" collapsed="false">
      <c r="A491" s="1" t="s">
        <v>1029</v>
      </c>
      <c r="B491" s="1" t="n">
        <v>140</v>
      </c>
    </row>
    <row r="492" customFormat="false" ht="15" hidden="false" customHeight="true" outlineLevel="0" collapsed="false">
      <c r="A492" s="1" t="s">
        <v>532</v>
      </c>
      <c r="B492" s="1" t="n">
        <v>140</v>
      </c>
    </row>
    <row r="493" customFormat="false" ht="15" hidden="false" customHeight="true" outlineLevel="0" collapsed="false">
      <c r="A493" s="1" t="s">
        <v>1651</v>
      </c>
      <c r="B493" s="1" t="n">
        <v>140</v>
      </c>
    </row>
    <row r="494" customFormat="false" ht="15" hidden="false" customHeight="true" outlineLevel="0" collapsed="false">
      <c r="A494" s="1" t="s">
        <v>1191</v>
      </c>
      <c r="B494" s="1" t="n">
        <v>140</v>
      </c>
    </row>
    <row r="495" customFormat="false" ht="15" hidden="false" customHeight="true" outlineLevel="0" collapsed="false">
      <c r="A495" s="1" t="s">
        <v>1170</v>
      </c>
      <c r="B495" s="1" t="n">
        <v>140</v>
      </c>
    </row>
    <row r="496" customFormat="false" ht="15" hidden="false" customHeight="true" outlineLevel="0" collapsed="false">
      <c r="A496" s="1" t="s">
        <v>1446</v>
      </c>
      <c r="B496" s="1" t="n">
        <v>139</v>
      </c>
    </row>
    <row r="497" customFormat="false" ht="15" hidden="false" customHeight="true" outlineLevel="0" collapsed="false">
      <c r="A497" s="1" t="s">
        <v>1319</v>
      </c>
      <c r="B497" s="1" t="n">
        <v>139</v>
      </c>
    </row>
    <row r="498" customFormat="false" ht="15" hidden="false" customHeight="true" outlineLevel="0" collapsed="false">
      <c r="A498" s="1" t="s">
        <v>955</v>
      </c>
      <c r="B498" s="1" t="n">
        <v>138</v>
      </c>
    </row>
    <row r="499" customFormat="false" ht="15" hidden="false" customHeight="true" outlineLevel="0" collapsed="false">
      <c r="A499" s="1" t="s">
        <v>1116</v>
      </c>
      <c r="B499" s="1" t="n">
        <v>138</v>
      </c>
    </row>
    <row r="500" customFormat="false" ht="15" hidden="false" customHeight="true" outlineLevel="0" collapsed="false">
      <c r="A500" s="1" t="s">
        <v>1669</v>
      </c>
      <c r="B500" s="1" t="n">
        <v>136</v>
      </c>
    </row>
    <row r="501" customFormat="false" ht="15" hidden="false" customHeight="true" outlineLevel="0" collapsed="false">
      <c r="A501" s="1" t="s">
        <v>1271</v>
      </c>
      <c r="B501" s="1" t="n">
        <v>136</v>
      </c>
    </row>
    <row r="502" customFormat="false" ht="15" hidden="false" customHeight="true" outlineLevel="0" collapsed="false">
      <c r="A502" s="1" t="s">
        <v>724</v>
      </c>
      <c r="B502" s="1" t="n">
        <v>135</v>
      </c>
    </row>
    <row r="503" customFormat="false" ht="15" hidden="false" customHeight="true" outlineLevel="0" collapsed="false">
      <c r="A503" s="1" t="s">
        <v>1199</v>
      </c>
      <c r="B503" s="1" t="n">
        <v>135</v>
      </c>
    </row>
    <row r="504" customFormat="false" ht="15" hidden="false" customHeight="true" outlineLevel="0" collapsed="false">
      <c r="A504" s="1" t="s">
        <v>994</v>
      </c>
      <c r="B504" s="1" t="n">
        <v>135</v>
      </c>
    </row>
    <row r="505" customFormat="false" ht="15" hidden="false" customHeight="true" outlineLevel="0" collapsed="false">
      <c r="A505" s="1" t="s">
        <v>843</v>
      </c>
      <c r="B505" s="1" t="n">
        <v>135</v>
      </c>
    </row>
    <row r="506" customFormat="false" ht="15" hidden="false" customHeight="true" outlineLevel="0" collapsed="false">
      <c r="A506" s="1" t="s">
        <v>1654</v>
      </c>
      <c r="B506" s="1" t="n">
        <v>134</v>
      </c>
    </row>
    <row r="507" customFormat="false" ht="15" hidden="false" customHeight="true" outlineLevel="0" collapsed="false">
      <c r="A507" s="1" t="s">
        <v>1688</v>
      </c>
      <c r="B507" s="1" t="n">
        <v>134</v>
      </c>
    </row>
    <row r="508" customFormat="false" ht="15" hidden="false" customHeight="true" outlineLevel="0" collapsed="false">
      <c r="A508" s="1" t="s">
        <v>1545</v>
      </c>
      <c r="B508" s="1" t="n">
        <v>133</v>
      </c>
    </row>
    <row r="509" customFormat="false" ht="15" hidden="false" customHeight="true" outlineLevel="0" collapsed="false">
      <c r="A509" s="1" t="s">
        <v>1577</v>
      </c>
      <c r="B509" s="1" t="n">
        <v>133</v>
      </c>
    </row>
    <row r="510" customFormat="false" ht="15" hidden="false" customHeight="true" outlineLevel="0" collapsed="false">
      <c r="A510" s="1" t="s">
        <v>936</v>
      </c>
      <c r="B510" s="1" t="n">
        <v>133</v>
      </c>
    </row>
    <row r="511" customFormat="false" ht="15" hidden="false" customHeight="true" outlineLevel="0" collapsed="false">
      <c r="A511" s="1" t="s">
        <v>1200</v>
      </c>
      <c r="B511" s="1" t="n">
        <v>133</v>
      </c>
    </row>
    <row r="512" customFormat="false" ht="15" hidden="false" customHeight="true" outlineLevel="0" collapsed="false">
      <c r="A512" s="1" t="s">
        <v>1469</v>
      </c>
      <c r="B512" s="1" t="n">
        <v>133</v>
      </c>
    </row>
    <row r="513" customFormat="false" ht="15" hidden="false" customHeight="true" outlineLevel="0" collapsed="false">
      <c r="A513" s="1" t="s">
        <v>1697</v>
      </c>
      <c r="B513" s="1" t="n">
        <v>133</v>
      </c>
    </row>
    <row r="514" customFormat="false" ht="15" hidden="false" customHeight="true" outlineLevel="0" collapsed="false">
      <c r="A514" s="1" t="s">
        <v>1341</v>
      </c>
      <c r="B514" s="1" t="n">
        <v>132</v>
      </c>
    </row>
    <row r="515" customFormat="false" ht="15" hidden="false" customHeight="true" outlineLevel="0" collapsed="false">
      <c r="A515" s="1" t="s">
        <v>734</v>
      </c>
      <c r="B515" s="1" t="n">
        <v>132</v>
      </c>
    </row>
    <row r="516" customFormat="false" ht="15" hidden="false" customHeight="true" outlineLevel="0" collapsed="false">
      <c r="A516" s="1" t="s">
        <v>1702</v>
      </c>
      <c r="B516" s="1" t="n">
        <v>132</v>
      </c>
    </row>
    <row r="517" customFormat="false" ht="15" hidden="false" customHeight="true" outlineLevel="0" collapsed="false">
      <c r="A517" s="1" t="s">
        <v>1119</v>
      </c>
      <c r="B517" s="1" t="n">
        <v>131</v>
      </c>
    </row>
    <row r="518" customFormat="false" ht="15" hidden="false" customHeight="true" outlineLevel="0" collapsed="false">
      <c r="A518" s="1" t="s">
        <v>1065</v>
      </c>
      <c r="B518" s="1" t="n">
        <v>131</v>
      </c>
    </row>
    <row r="519" customFormat="false" ht="15" hidden="false" customHeight="true" outlineLevel="0" collapsed="false">
      <c r="A519" s="1" t="s">
        <v>746</v>
      </c>
      <c r="B519" s="1" t="n">
        <v>131</v>
      </c>
    </row>
    <row r="520" customFormat="false" ht="15" hidden="false" customHeight="true" outlineLevel="0" collapsed="false">
      <c r="A520" s="1" t="s">
        <v>1095</v>
      </c>
      <c r="B520" s="1" t="n">
        <v>128</v>
      </c>
    </row>
    <row r="521" customFormat="false" ht="15" hidden="false" customHeight="true" outlineLevel="0" collapsed="false">
      <c r="A521" s="1" t="s">
        <v>1560</v>
      </c>
      <c r="B521" s="1" t="n">
        <v>128</v>
      </c>
    </row>
    <row r="522" customFormat="false" ht="15" hidden="false" customHeight="true" outlineLevel="0" collapsed="false">
      <c r="A522" s="1" t="s">
        <v>668</v>
      </c>
      <c r="B522" s="1" t="n">
        <v>128</v>
      </c>
    </row>
    <row r="523" customFormat="false" ht="15" hidden="false" customHeight="true" outlineLevel="0" collapsed="false">
      <c r="A523" s="1" t="s">
        <v>1628</v>
      </c>
      <c r="B523" s="1" t="n">
        <v>128</v>
      </c>
    </row>
    <row r="524" customFormat="false" ht="15" hidden="false" customHeight="true" outlineLevel="0" collapsed="false">
      <c r="A524" s="1" t="s">
        <v>1325</v>
      </c>
      <c r="B524" s="1" t="n">
        <v>127</v>
      </c>
    </row>
    <row r="525" customFormat="false" ht="15" hidden="false" customHeight="true" outlineLevel="0" collapsed="false">
      <c r="A525" s="1" t="s">
        <v>1303</v>
      </c>
      <c r="B525" s="1" t="n">
        <v>126</v>
      </c>
    </row>
    <row r="526" customFormat="false" ht="15" hidden="false" customHeight="true" outlineLevel="0" collapsed="false">
      <c r="A526" s="1" t="s">
        <v>1754</v>
      </c>
      <c r="B526" s="1" t="n">
        <v>121</v>
      </c>
    </row>
    <row r="527" customFormat="false" ht="15" hidden="false" customHeight="true" outlineLevel="0" collapsed="false">
      <c r="A527" s="1" t="s">
        <v>1367</v>
      </c>
      <c r="B527" s="1" t="n">
        <v>119</v>
      </c>
    </row>
    <row r="528" customFormat="false" ht="15" hidden="false" customHeight="true" outlineLevel="0" collapsed="false">
      <c r="A528" s="1" t="s">
        <v>1273</v>
      </c>
      <c r="B528" s="1" t="n">
        <v>119</v>
      </c>
    </row>
    <row r="529" customFormat="false" ht="15" hidden="false" customHeight="true" outlineLevel="0" collapsed="false">
      <c r="A529" s="1" t="s">
        <v>1304</v>
      </c>
      <c r="B529" s="1" t="n">
        <v>119</v>
      </c>
    </row>
    <row r="530" customFormat="false" ht="15" hidden="false" customHeight="true" outlineLevel="0" collapsed="false">
      <c r="A530" s="1" t="s">
        <v>974</v>
      </c>
      <c r="B530" s="1" t="n">
        <v>119</v>
      </c>
    </row>
    <row r="531" customFormat="false" ht="15" hidden="false" customHeight="true" outlineLevel="0" collapsed="false">
      <c r="A531" s="1" t="s">
        <v>654</v>
      </c>
      <c r="B531" s="1" t="n">
        <v>119</v>
      </c>
    </row>
    <row r="532" customFormat="false" ht="15" hidden="false" customHeight="true" outlineLevel="0" collapsed="false">
      <c r="A532" s="1" t="s">
        <v>593</v>
      </c>
      <c r="B532" s="1" t="n">
        <v>118</v>
      </c>
    </row>
    <row r="533" customFormat="false" ht="15" hidden="false" customHeight="true" outlineLevel="0" collapsed="false">
      <c r="A533" s="1" t="s">
        <v>1708</v>
      </c>
      <c r="B533" s="1" t="n">
        <v>117</v>
      </c>
    </row>
    <row r="534" customFormat="false" ht="15" hidden="false" customHeight="true" outlineLevel="0" collapsed="false">
      <c r="A534" s="1" t="s">
        <v>1247</v>
      </c>
      <c r="B534" s="1" t="n">
        <v>117</v>
      </c>
    </row>
    <row r="535" customFormat="false" ht="15" hidden="false" customHeight="true" outlineLevel="0" collapsed="false">
      <c r="A535" s="1" t="s">
        <v>791</v>
      </c>
      <c r="B535" s="1" t="n">
        <v>117</v>
      </c>
    </row>
    <row r="536" customFormat="false" ht="15" hidden="false" customHeight="true" outlineLevel="0" collapsed="false">
      <c r="A536" s="1" t="s">
        <v>1477</v>
      </c>
      <c r="B536" s="1" t="n">
        <v>116</v>
      </c>
    </row>
    <row r="537" customFormat="false" ht="15" hidden="false" customHeight="true" outlineLevel="0" collapsed="false">
      <c r="A537" s="1" t="s">
        <v>868</v>
      </c>
      <c r="B537" s="1" t="n">
        <v>116</v>
      </c>
    </row>
    <row r="538" customFormat="false" ht="15" hidden="false" customHeight="true" outlineLevel="0" collapsed="false">
      <c r="A538" s="1" t="s">
        <v>1792</v>
      </c>
      <c r="B538" s="1" t="n">
        <v>116</v>
      </c>
    </row>
    <row r="539" customFormat="false" ht="15" hidden="false" customHeight="true" outlineLevel="0" collapsed="false">
      <c r="A539" s="1" t="s">
        <v>1794</v>
      </c>
      <c r="B539" s="1" t="n">
        <v>116</v>
      </c>
    </row>
    <row r="540" customFormat="false" ht="15" hidden="false" customHeight="true" outlineLevel="0" collapsed="false">
      <c r="A540" s="1" t="s">
        <v>1529</v>
      </c>
      <c r="B540" s="1" t="n">
        <v>115</v>
      </c>
    </row>
    <row r="541" customFormat="false" ht="15" hidden="false" customHeight="true" outlineLevel="0" collapsed="false">
      <c r="A541" s="1" t="s">
        <v>1671</v>
      </c>
      <c r="B541" s="1" t="n">
        <v>115</v>
      </c>
    </row>
    <row r="542" customFormat="false" ht="15" hidden="false" customHeight="true" outlineLevel="0" collapsed="false">
      <c r="A542" s="1" t="s">
        <v>1656</v>
      </c>
      <c r="B542" s="1" t="n">
        <v>115</v>
      </c>
    </row>
    <row r="543" customFormat="false" ht="15" hidden="false" customHeight="true" outlineLevel="0" collapsed="false">
      <c r="A543" s="1" t="s">
        <v>1809</v>
      </c>
      <c r="B543" s="1" t="n">
        <v>115</v>
      </c>
    </row>
    <row r="544" customFormat="false" ht="15" hidden="false" customHeight="true" outlineLevel="0" collapsed="false">
      <c r="A544" s="1" t="s">
        <v>1644</v>
      </c>
      <c r="B544" s="1" t="n">
        <v>114</v>
      </c>
    </row>
    <row r="545" customFormat="false" ht="15" hidden="false" customHeight="true" outlineLevel="0" collapsed="false">
      <c r="A545" s="1" t="s">
        <v>1629</v>
      </c>
      <c r="B545" s="1" t="n">
        <v>114</v>
      </c>
    </row>
    <row r="546" customFormat="false" ht="15" hidden="false" customHeight="true" outlineLevel="0" collapsed="false">
      <c r="A546" s="1" t="s">
        <v>957</v>
      </c>
      <c r="B546" s="1" t="n">
        <v>114</v>
      </c>
    </row>
    <row r="547" customFormat="false" ht="15" hidden="false" customHeight="true" outlineLevel="0" collapsed="false">
      <c r="A547" s="1" t="s">
        <v>1425</v>
      </c>
      <c r="B547" s="1" t="n">
        <v>113</v>
      </c>
    </row>
    <row r="548" customFormat="false" ht="15" hidden="false" customHeight="true" outlineLevel="0" collapsed="false">
      <c r="A548" s="1" t="s">
        <v>1756</v>
      </c>
      <c r="B548" s="1" t="n">
        <v>113</v>
      </c>
    </row>
    <row r="549" customFormat="false" ht="15" hidden="false" customHeight="true" outlineLevel="0" collapsed="false">
      <c r="A549" s="1" t="s">
        <v>1363</v>
      </c>
      <c r="B549" s="1" t="n">
        <v>112</v>
      </c>
    </row>
    <row r="550" customFormat="false" ht="15" hidden="false" customHeight="true" outlineLevel="0" collapsed="false">
      <c r="A550" s="1" t="s">
        <v>599</v>
      </c>
      <c r="B550" s="1" t="n">
        <v>112</v>
      </c>
    </row>
    <row r="551" customFormat="false" ht="15" hidden="false" customHeight="true" outlineLevel="0" collapsed="false">
      <c r="A551" s="1" t="s">
        <v>1732</v>
      </c>
      <c r="B551" s="1" t="n">
        <v>111</v>
      </c>
    </row>
    <row r="552" customFormat="false" ht="15" hidden="false" customHeight="true" outlineLevel="0" collapsed="false">
      <c r="A552" s="1" t="s">
        <v>1307</v>
      </c>
      <c r="B552" s="1" t="n">
        <v>110</v>
      </c>
    </row>
    <row r="553" customFormat="false" ht="15" hidden="false" customHeight="true" outlineLevel="0" collapsed="false">
      <c r="A553" s="1" t="s">
        <v>1525</v>
      </c>
      <c r="B553" s="1" t="n">
        <v>110</v>
      </c>
    </row>
    <row r="554" customFormat="false" ht="15" hidden="false" customHeight="true" outlineLevel="0" collapsed="false">
      <c r="A554" s="1" t="s">
        <v>981</v>
      </c>
      <c r="B554" s="1" t="n">
        <v>110</v>
      </c>
    </row>
    <row r="555" customFormat="false" ht="15" hidden="false" customHeight="true" outlineLevel="0" collapsed="false">
      <c r="A555" s="1" t="s">
        <v>1478</v>
      </c>
      <c r="B555" s="1" t="n">
        <v>109</v>
      </c>
    </row>
    <row r="556" customFormat="false" ht="15" hidden="false" customHeight="true" outlineLevel="0" collapsed="false">
      <c r="A556" s="1" t="s">
        <v>860</v>
      </c>
      <c r="B556" s="1" t="n">
        <v>109</v>
      </c>
    </row>
    <row r="557" customFormat="false" ht="15" hidden="false" customHeight="true" outlineLevel="0" collapsed="false">
      <c r="A557" s="1" t="s">
        <v>1203</v>
      </c>
      <c r="B557" s="1" t="n">
        <v>108</v>
      </c>
    </row>
    <row r="558" customFormat="false" ht="15" hidden="false" customHeight="true" outlineLevel="0" collapsed="false">
      <c r="A558" s="1" t="s">
        <v>1700</v>
      </c>
      <c r="B558" s="1" t="n">
        <v>107</v>
      </c>
    </row>
    <row r="559" customFormat="false" ht="15" hidden="false" customHeight="true" outlineLevel="0" collapsed="false">
      <c r="A559" s="1" t="s">
        <v>1205</v>
      </c>
      <c r="B559" s="1" t="n">
        <v>107</v>
      </c>
    </row>
    <row r="560" customFormat="false" ht="15" hidden="false" customHeight="true" outlineLevel="0" collapsed="false">
      <c r="A560" s="1" t="s">
        <v>1589</v>
      </c>
      <c r="B560" s="1" t="n">
        <v>107</v>
      </c>
    </row>
    <row r="561" customFormat="false" ht="15" hidden="false" customHeight="true" outlineLevel="0" collapsed="false">
      <c r="A561" s="1" t="s">
        <v>1861</v>
      </c>
      <c r="B561" s="1" t="n">
        <v>107</v>
      </c>
    </row>
    <row r="562" customFormat="false" ht="15" hidden="false" customHeight="true" outlineLevel="0" collapsed="false">
      <c r="A562" s="1" t="s">
        <v>911</v>
      </c>
      <c r="B562" s="1" t="n">
        <v>106</v>
      </c>
    </row>
    <row r="563" customFormat="false" ht="15" hidden="false" customHeight="true" outlineLevel="0" collapsed="false">
      <c r="A563" s="1" t="s">
        <v>875</v>
      </c>
      <c r="B563" s="1" t="n">
        <v>106</v>
      </c>
    </row>
    <row r="564" customFormat="false" ht="15" hidden="false" customHeight="true" outlineLevel="0" collapsed="false">
      <c r="A564" s="1" t="s">
        <v>1018</v>
      </c>
      <c r="B564" s="1" t="n">
        <v>106</v>
      </c>
    </row>
    <row r="565" customFormat="false" ht="15" hidden="false" customHeight="true" outlineLevel="0" collapsed="false">
      <c r="A565" s="1" t="s">
        <v>1588</v>
      </c>
      <c r="B565" s="1" t="n">
        <v>105</v>
      </c>
    </row>
    <row r="566" customFormat="false" ht="15" hidden="false" customHeight="true" outlineLevel="0" collapsed="false">
      <c r="A566" s="1" t="s">
        <v>1764</v>
      </c>
      <c r="B566" s="1" t="n">
        <v>105</v>
      </c>
    </row>
    <row r="567" customFormat="false" ht="15" hidden="false" customHeight="true" outlineLevel="0" collapsed="false">
      <c r="A567" s="1" t="s">
        <v>1776</v>
      </c>
      <c r="B567" s="1" t="n">
        <v>105</v>
      </c>
    </row>
    <row r="568" customFormat="false" ht="15" hidden="false" customHeight="true" outlineLevel="0" collapsed="false">
      <c r="A568" s="1" t="s">
        <v>1877</v>
      </c>
      <c r="B568" s="1" t="n">
        <v>105</v>
      </c>
    </row>
    <row r="569" customFormat="false" ht="15" hidden="false" customHeight="true" outlineLevel="0" collapsed="false">
      <c r="A569" s="1" t="s">
        <v>1880</v>
      </c>
      <c r="B569" s="1" t="n">
        <v>105</v>
      </c>
    </row>
    <row r="570" customFormat="false" ht="15" hidden="false" customHeight="true" outlineLevel="0" collapsed="false">
      <c r="A570" s="1" t="s">
        <v>1212</v>
      </c>
      <c r="B570" s="1" t="n">
        <v>103</v>
      </c>
    </row>
    <row r="571" customFormat="false" ht="15" hidden="false" customHeight="true" outlineLevel="0" collapsed="false">
      <c r="A571" s="1" t="s">
        <v>1155</v>
      </c>
      <c r="B571" s="1" t="n">
        <v>103</v>
      </c>
    </row>
    <row r="572" customFormat="false" ht="15" hidden="false" customHeight="true" outlineLevel="0" collapsed="false">
      <c r="A572" s="1" t="s">
        <v>1903</v>
      </c>
      <c r="B572" s="1" t="n">
        <v>103</v>
      </c>
    </row>
    <row r="573" customFormat="false" ht="15" hidden="false" customHeight="true" outlineLevel="0" collapsed="false">
      <c r="A573" s="1" t="s">
        <v>1905</v>
      </c>
      <c r="B573" s="1" t="n">
        <v>103</v>
      </c>
    </row>
    <row r="574" customFormat="false" ht="15" hidden="false" customHeight="true" outlineLevel="0" collapsed="false">
      <c r="A574" s="1" t="s">
        <v>1563</v>
      </c>
      <c r="B574" s="1" t="n">
        <v>102</v>
      </c>
    </row>
    <row r="575" customFormat="false" ht="15" hidden="false" customHeight="true" outlineLevel="0" collapsed="false">
      <c r="A575" s="1" t="s">
        <v>1758</v>
      </c>
      <c r="B575" s="1" t="n">
        <v>102</v>
      </c>
    </row>
    <row r="576" customFormat="false" ht="15" hidden="false" customHeight="true" outlineLevel="0" collapsed="false">
      <c r="A576" s="1" t="s">
        <v>1554</v>
      </c>
      <c r="B576" s="1" t="n">
        <v>102</v>
      </c>
    </row>
    <row r="577" customFormat="false" ht="15" hidden="false" customHeight="true" outlineLevel="0" collapsed="false">
      <c r="A577" s="1" t="s">
        <v>1748</v>
      </c>
      <c r="B577" s="1" t="n">
        <v>102</v>
      </c>
    </row>
    <row r="578" customFormat="false" ht="15" hidden="false" customHeight="true" outlineLevel="0" collapsed="false">
      <c r="A578" s="1" t="s">
        <v>1918</v>
      </c>
      <c r="B578" s="1" t="n">
        <v>102</v>
      </c>
    </row>
    <row r="579" customFormat="false" ht="15" hidden="false" customHeight="true" outlineLevel="0" collapsed="false">
      <c r="A579" s="1" t="s">
        <v>1605</v>
      </c>
      <c r="B579" s="1" t="n">
        <v>101</v>
      </c>
    </row>
    <row r="580" customFormat="false" ht="15" hidden="false" customHeight="true" outlineLevel="0" collapsed="false">
      <c r="A580" s="1" t="s">
        <v>1927</v>
      </c>
      <c r="B580" s="1" t="n">
        <v>101</v>
      </c>
    </row>
    <row r="581" customFormat="false" ht="15" hidden="false" customHeight="true" outlineLevel="0" collapsed="false">
      <c r="A581" s="1" t="s">
        <v>1930</v>
      </c>
      <c r="B581" s="1" t="n">
        <v>101</v>
      </c>
    </row>
    <row r="582" customFormat="false" ht="15" hidden="false" customHeight="true" outlineLevel="0" collapsed="false">
      <c r="A582" s="1" t="s">
        <v>1933</v>
      </c>
      <c r="B582" s="1" t="n">
        <v>101</v>
      </c>
    </row>
    <row r="583" customFormat="false" ht="15" hidden="false" customHeight="true" outlineLevel="0" collapsed="false">
      <c r="A583" s="1" t="s">
        <v>1535</v>
      </c>
      <c r="B583" s="1" t="n">
        <v>100</v>
      </c>
    </row>
    <row r="584" customFormat="false" ht="15" hidden="false" customHeight="true" outlineLevel="0" collapsed="false">
      <c r="A584" s="1" t="s">
        <v>233</v>
      </c>
      <c r="B584" s="1" t="n">
        <v>100</v>
      </c>
    </row>
    <row r="585" customFormat="false" ht="15" hidden="false" customHeight="true" outlineLevel="0" collapsed="false">
      <c r="A585" s="1" t="s">
        <v>1676</v>
      </c>
      <c r="B585" s="1" t="n">
        <v>100</v>
      </c>
    </row>
    <row r="586" customFormat="false" ht="15" hidden="false" customHeight="true" outlineLevel="0" collapsed="false">
      <c r="A586" s="1" t="s">
        <v>1055</v>
      </c>
      <c r="B586" s="1" t="n">
        <v>100</v>
      </c>
    </row>
    <row r="587" customFormat="false" ht="15" hidden="false" customHeight="true" outlineLevel="0" collapsed="false">
      <c r="A587" s="1" t="s">
        <v>941</v>
      </c>
      <c r="B587" s="1" t="n">
        <v>100</v>
      </c>
    </row>
    <row r="588" customFormat="false" ht="15" hidden="false" customHeight="true" outlineLevel="0" collapsed="false">
      <c r="A588" s="1" t="s">
        <v>1946</v>
      </c>
      <c r="B588" s="1" t="n">
        <v>100</v>
      </c>
    </row>
    <row r="589" customFormat="false" ht="15" hidden="false" customHeight="true" outlineLevel="0" collapsed="false">
      <c r="A589" s="1" t="s">
        <v>1949</v>
      </c>
      <c r="B589" s="1" t="n">
        <v>100</v>
      </c>
    </row>
    <row r="590" customFormat="false" ht="15" hidden="false" customHeight="true" outlineLevel="0" collapsed="false">
      <c r="A590" s="1" t="s">
        <v>1953</v>
      </c>
      <c r="B590" s="1" t="n">
        <v>100</v>
      </c>
    </row>
    <row r="591" customFormat="false" ht="15" hidden="false" customHeight="true" outlineLevel="0" collapsed="false">
      <c r="A591" s="1" t="s">
        <v>1956</v>
      </c>
      <c r="B591" s="1" t="n">
        <v>100</v>
      </c>
    </row>
    <row r="592" customFormat="false" ht="15" hidden="false" customHeight="true" outlineLevel="0" collapsed="false">
      <c r="A592" s="1" t="s">
        <v>1710</v>
      </c>
      <c r="B592" s="1" t="n">
        <v>99</v>
      </c>
    </row>
    <row r="593" customFormat="false" ht="15" hidden="false" customHeight="true" outlineLevel="0" collapsed="false">
      <c r="A593" s="1" t="s">
        <v>1049</v>
      </c>
      <c r="B593" s="1" t="n">
        <v>99</v>
      </c>
    </row>
    <row r="594" customFormat="false" ht="15" hidden="false" customHeight="true" outlineLevel="0" collapsed="false">
      <c r="A594" s="1" t="s">
        <v>1979</v>
      </c>
      <c r="B594" s="1" t="n">
        <v>99</v>
      </c>
    </row>
    <row r="595" customFormat="false" ht="15" hidden="false" customHeight="true" outlineLevel="0" collapsed="false">
      <c r="A595" s="1" t="s">
        <v>1664</v>
      </c>
      <c r="B595" s="1" t="n">
        <v>99</v>
      </c>
    </row>
    <row r="596" customFormat="false" ht="15" hidden="false" customHeight="true" outlineLevel="0" collapsed="false">
      <c r="A596" s="1" t="s">
        <v>1691</v>
      </c>
      <c r="B596" s="1" t="n">
        <v>99</v>
      </c>
    </row>
    <row r="597" customFormat="false" ht="15" hidden="false" customHeight="true" outlineLevel="0" collapsed="false">
      <c r="A597" s="1" t="s">
        <v>1503</v>
      </c>
      <c r="B597" s="1" t="n">
        <v>99</v>
      </c>
    </row>
    <row r="598" customFormat="false" ht="15" hidden="false" customHeight="true" outlineLevel="0" collapsed="false">
      <c r="A598" s="1" t="s">
        <v>1248</v>
      </c>
      <c r="B598" s="1" t="n">
        <v>98</v>
      </c>
    </row>
    <row r="599" customFormat="false" ht="15" hidden="false" customHeight="true" outlineLevel="0" collapsed="false">
      <c r="A599" s="1" t="s">
        <v>983</v>
      </c>
      <c r="B599" s="1" t="n">
        <v>98</v>
      </c>
    </row>
    <row r="600" customFormat="false" ht="15" hidden="false" customHeight="true" outlineLevel="0" collapsed="false">
      <c r="A600" s="1" t="s">
        <v>1214</v>
      </c>
      <c r="B600" s="1" t="n">
        <v>97</v>
      </c>
    </row>
    <row r="601" customFormat="false" ht="15" hidden="false" customHeight="true" outlineLevel="0" collapsed="false">
      <c r="A601" s="1" t="s">
        <v>927</v>
      </c>
      <c r="B601" s="1" t="n">
        <v>97</v>
      </c>
    </row>
    <row r="602" customFormat="false" ht="15" hidden="false" customHeight="true" outlineLevel="0" collapsed="false">
      <c r="A602" s="1" t="s">
        <v>940</v>
      </c>
      <c r="B602" s="1" t="n">
        <v>97</v>
      </c>
    </row>
    <row r="603" customFormat="false" ht="15" hidden="false" customHeight="true" outlineLevel="0" collapsed="false">
      <c r="A603" s="1" t="s">
        <v>2008</v>
      </c>
      <c r="B603" s="1" t="n">
        <v>97</v>
      </c>
    </row>
    <row r="604" customFormat="false" ht="15" hidden="false" customHeight="true" outlineLevel="0" collapsed="false">
      <c r="A604" s="1" t="s">
        <v>2011</v>
      </c>
      <c r="B604" s="1" t="n">
        <v>97</v>
      </c>
    </row>
    <row r="605" customFormat="false" ht="15" hidden="false" customHeight="true" outlineLevel="0" collapsed="false">
      <c r="A605" s="1" t="s">
        <v>781</v>
      </c>
      <c r="B605" s="1" t="n">
        <v>96</v>
      </c>
    </row>
    <row r="606" customFormat="false" ht="15" hidden="false" customHeight="true" outlineLevel="0" collapsed="false">
      <c r="A606" s="1" t="s">
        <v>2030</v>
      </c>
      <c r="B606" s="1" t="n">
        <v>96</v>
      </c>
    </row>
    <row r="607" customFormat="false" ht="15" hidden="false" customHeight="true" outlineLevel="0" collapsed="false">
      <c r="A607" s="1" t="s">
        <v>1308</v>
      </c>
      <c r="B607" s="1" t="n">
        <v>95</v>
      </c>
    </row>
    <row r="608" customFormat="false" ht="15" hidden="false" customHeight="true" outlineLevel="0" collapsed="false">
      <c r="A608" s="1" t="s">
        <v>1844</v>
      </c>
      <c r="B608" s="1" t="n">
        <v>95</v>
      </c>
    </row>
    <row r="609" customFormat="false" ht="15" hidden="false" customHeight="true" outlineLevel="0" collapsed="false">
      <c r="A609" s="1" t="s">
        <v>1921</v>
      </c>
      <c r="B609" s="1" t="n">
        <v>95</v>
      </c>
    </row>
    <row r="610" customFormat="false" ht="15" hidden="false" customHeight="true" outlineLevel="0" collapsed="false">
      <c r="A610" s="1" t="s">
        <v>2038</v>
      </c>
      <c r="B610" s="1" t="n">
        <v>95</v>
      </c>
    </row>
    <row r="611" customFormat="false" ht="15" hidden="false" customHeight="true" outlineLevel="0" collapsed="false">
      <c r="A611" s="1" t="s">
        <v>2040</v>
      </c>
      <c r="B611" s="1" t="n">
        <v>95</v>
      </c>
    </row>
    <row r="612" customFormat="false" ht="15" hidden="false" customHeight="true" outlineLevel="0" collapsed="false">
      <c r="A612" s="1" t="s">
        <v>1075</v>
      </c>
      <c r="B612" s="1" t="n">
        <v>94</v>
      </c>
    </row>
    <row r="613" customFormat="false" ht="15" hidden="false" customHeight="true" outlineLevel="0" collapsed="false">
      <c r="A613" s="1" t="s">
        <v>867</v>
      </c>
      <c r="B613" s="1" t="n">
        <v>94</v>
      </c>
    </row>
    <row r="614" customFormat="false" ht="15" hidden="false" customHeight="true" outlineLevel="0" collapsed="false">
      <c r="A614" s="1" t="s">
        <v>784</v>
      </c>
      <c r="B614" s="1" t="n">
        <v>94</v>
      </c>
    </row>
    <row r="615" customFormat="false" ht="15" hidden="false" customHeight="true" outlineLevel="0" collapsed="false">
      <c r="A615" s="1" t="s">
        <v>710</v>
      </c>
      <c r="B615" s="1" t="n">
        <v>94</v>
      </c>
    </row>
    <row r="616" customFormat="false" ht="15" hidden="false" customHeight="true" outlineLevel="0" collapsed="false">
      <c r="A616" s="1" t="s">
        <v>1591</v>
      </c>
      <c r="B616" s="1" t="n">
        <v>94</v>
      </c>
    </row>
    <row r="617" customFormat="false" ht="15" hidden="false" customHeight="true" outlineLevel="0" collapsed="false">
      <c r="A617" s="1" t="s">
        <v>1678</v>
      </c>
      <c r="B617" s="1" t="n">
        <v>93</v>
      </c>
    </row>
    <row r="618" customFormat="false" ht="15" hidden="false" customHeight="true" outlineLevel="0" collapsed="false">
      <c r="A618" s="1" t="s">
        <v>1547</v>
      </c>
      <c r="B618" s="1" t="n">
        <v>93</v>
      </c>
    </row>
    <row r="619" customFormat="false" ht="15" hidden="false" customHeight="true" outlineLevel="0" collapsed="false">
      <c r="A619" s="1" t="s">
        <v>1067</v>
      </c>
      <c r="B619" s="1" t="n">
        <v>93</v>
      </c>
    </row>
    <row r="620" customFormat="false" ht="15" hidden="false" customHeight="true" outlineLevel="0" collapsed="false">
      <c r="A620" s="1" t="s">
        <v>1615</v>
      </c>
      <c r="B620" s="1" t="n">
        <v>93</v>
      </c>
    </row>
    <row r="621" customFormat="false" ht="15" hidden="false" customHeight="true" outlineLevel="0" collapsed="false">
      <c r="A621" s="1" t="s">
        <v>2060</v>
      </c>
      <c r="B621" s="1" t="n">
        <v>93</v>
      </c>
    </row>
    <row r="622" customFormat="false" ht="15" hidden="false" customHeight="true" outlineLevel="0" collapsed="false">
      <c r="A622" s="1" t="s">
        <v>1705</v>
      </c>
      <c r="B622" s="1" t="n">
        <v>92</v>
      </c>
    </row>
    <row r="623" customFormat="false" ht="15" hidden="false" customHeight="true" outlineLevel="0" collapsed="false">
      <c r="A623" s="1" t="s">
        <v>1883</v>
      </c>
      <c r="B623" s="1" t="n">
        <v>91</v>
      </c>
    </row>
    <row r="624" customFormat="false" ht="15" hidden="false" customHeight="true" outlineLevel="0" collapsed="false">
      <c r="A624" s="1" t="s">
        <v>1716</v>
      </c>
      <c r="B624" s="1" t="n">
        <v>91</v>
      </c>
    </row>
    <row r="625" customFormat="false" ht="15" hidden="false" customHeight="true" outlineLevel="0" collapsed="false">
      <c r="A625" s="1" t="s">
        <v>1426</v>
      </c>
      <c r="B625" s="1" t="n">
        <v>91</v>
      </c>
    </row>
    <row r="626" customFormat="false" ht="15" hidden="false" customHeight="true" outlineLevel="0" collapsed="false">
      <c r="A626" s="1" t="s">
        <v>2098</v>
      </c>
      <c r="B626" s="1" t="n">
        <v>91</v>
      </c>
    </row>
    <row r="627" customFormat="false" ht="15" hidden="false" customHeight="true" outlineLevel="0" collapsed="false">
      <c r="A627" s="1" t="s">
        <v>1680</v>
      </c>
      <c r="B627" s="1" t="n">
        <v>90</v>
      </c>
    </row>
    <row r="628" customFormat="false" ht="15" hidden="false" customHeight="true" outlineLevel="0" collapsed="false">
      <c r="A628" s="1" t="s">
        <v>1514</v>
      </c>
      <c r="B628" s="1" t="n">
        <v>90</v>
      </c>
    </row>
    <row r="629" customFormat="false" ht="15" hidden="false" customHeight="true" outlineLevel="0" collapsed="false">
      <c r="A629" s="1" t="s">
        <v>1430</v>
      </c>
      <c r="B629" s="1" t="n">
        <v>90</v>
      </c>
    </row>
    <row r="630" customFormat="false" ht="15" hidden="false" customHeight="true" outlineLevel="0" collapsed="false">
      <c r="A630" s="1" t="s">
        <v>1229</v>
      </c>
      <c r="B630" s="1" t="n">
        <v>90</v>
      </c>
    </row>
    <row r="631" customFormat="false" ht="15" hidden="false" customHeight="true" outlineLevel="0" collapsed="false">
      <c r="A631" s="1" t="s">
        <v>844</v>
      </c>
      <c r="B631" s="1" t="n">
        <v>90</v>
      </c>
    </row>
    <row r="632" customFormat="false" ht="15" hidden="false" customHeight="true" outlineLevel="0" collapsed="false">
      <c r="A632" s="1" t="s">
        <v>1728</v>
      </c>
      <c r="B632" s="1" t="n">
        <v>89</v>
      </c>
    </row>
    <row r="633" customFormat="false" ht="15" hidden="false" customHeight="true" outlineLevel="0" collapsed="false">
      <c r="A633" s="1" t="s">
        <v>1492</v>
      </c>
      <c r="B633" s="1" t="n">
        <v>89</v>
      </c>
    </row>
    <row r="634" customFormat="false" ht="15" hidden="false" customHeight="true" outlineLevel="0" collapsed="false">
      <c r="A634" s="1" t="s">
        <v>1482</v>
      </c>
      <c r="B634" s="1" t="n">
        <v>89</v>
      </c>
    </row>
    <row r="635" customFormat="false" ht="15" hidden="false" customHeight="true" outlineLevel="0" collapsed="false">
      <c r="A635" s="1" t="s">
        <v>1407</v>
      </c>
      <c r="B635" s="1" t="n">
        <v>89</v>
      </c>
    </row>
    <row r="636" customFormat="false" ht="15" hidden="false" customHeight="true" outlineLevel="0" collapsed="false">
      <c r="A636" s="1" t="s">
        <v>1586</v>
      </c>
      <c r="B636" s="1" t="n">
        <v>89</v>
      </c>
    </row>
    <row r="637" customFormat="false" ht="15" hidden="false" customHeight="true" outlineLevel="0" collapsed="false">
      <c r="A637" s="1" t="s">
        <v>1484</v>
      </c>
      <c r="B637" s="1" t="n">
        <v>88</v>
      </c>
    </row>
    <row r="638" customFormat="false" ht="15" hidden="false" customHeight="true" outlineLevel="0" collapsed="false">
      <c r="A638" s="1" t="s">
        <v>1240</v>
      </c>
      <c r="B638" s="1" t="n">
        <v>87</v>
      </c>
    </row>
    <row r="639" customFormat="false" ht="15" hidden="false" customHeight="true" outlineLevel="0" collapsed="false">
      <c r="A639" s="1" t="s">
        <v>1765</v>
      </c>
      <c r="B639" s="1" t="n">
        <v>87</v>
      </c>
    </row>
    <row r="640" customFormat="false" ht="15" hidden="false" customHeight="true" outlineLevel="0" collapsed="false">
      <c r="A640" s="1" t="s">
        <v>1394</v>
      </c>
      <c r="B640" s="1" t="n">
        <v>86</v>
      </c>
    </row>
    <row r="641" customFormat="false" ht="15" hidden="false" customHeight="true" outlineLevel="0" collapsed="false">
      <c r="A641" s="1" t="s">
        <v>2141</v>
      </c>
      <c r="B641" s="1" t="n">
        <v>86</v>
      </c>
    </row>
    <row r="642" customFormat="false" ht="15" hidden="false" customHeight="true" outlineLevel="0" collapsed="false">
      <c r="A642" s="1" t="s">
        <v>1005</v>
      </c>
      <c r="B642" s="1" t="n">
        <v>85</v>
      </c>
    </row>
    <row r="643" customFormat="false" ht="15" hidden="false" customHeight="true" outlineLevel="0" collapsed="false">
      <c r="A643" s="1" t="s">
        <v>2148</v>
      </c>
      <c r="B643" s="1" t="n">
        <v>85</v>
      </c>
    </row>
    <row r="644" customFormat="false" ht="15" hidden="false" customHeight="true" outlineLevel="0" collapsed="false">
      <c r="A644" s="1" t="s">
        <v>1635</v>
      </c>
      <c r="B644" s="1" t="n">
        <v>84</v>
      </c>
    </row>
    <row r="645" customFormat="false" ht="15" hidden="false" customHeight="true" outlineLevel="0" collapsed="false">
      <c r="A645" s="1" t="s">
        <v>825</v>
      </c>
      <c r="B645" s="1" t="n">
        <v>84</v>
      </c>
    </row>
    <row r="646" customFormat="false" ht="15" hidden="false" customHeight="true" outlineLevel="0" collapsed="false">
      <c r="A646" s="1" t="s">
        <v>1392</v>
      </c>
      <c r="B646" s="1" t="n">
        <v>84</v>
      </c>
    </row>
    <row r="647" customFormat="false" ht="15" hidden="false" customHeight="true" outlineLevel="0" collapsed="false">
      <c r="A647" s="1" t="s">
        <v>2158</v>
      </c>
      <c r="B647" s="1" t="n">
        <v>84</v>
      </c>
    </row>
    <row r="648" customFormat="false" ht="15" hidden="false" customHeight="true" outlineLevel="0" collapsed="false">
      <c r="A648" s="1" t="s">
        <v>2013</v>
      </c>
      <c r="B648" s="1" t="n">
        <v>84</v>
      </c>
    </row>
    <row r="649" customFormat="false" ht="15" hidden="false" customHeight="true" outlineLevel="0" collapsed="false">
      <c r="A649" s="1" t="s">
        <v>1515</v>
      </c>
      <c r="B649" s="1" t="n">
        <v>83</v>
      </c>
    </row>
    <row r="650" customFormat="false" ht="15" hidden="false" customHeight="true" outlineLevel="0" collapsed="false">
      <c r="A650" s="1" t="s">
        <v>1314</v>
      </c>
      <c r="B650" s="1" t="n">
        <v>83</v>
      </c>
    </row>
    <row r="651" customFormat="false" ht="15" hidden="false" customHeight="true" outlineLevel="0" collapsed="false">
      <c r="A651" s="1" t="s">
        <v>1470</v>
      </c>
      <c r="B651" s="1" t="n">
        <v>83</v>
      </c>
    </row>
    <row r="652" customFormat="false" ht="15" hidden="false" customHeight="true" outlineLevel="0" collapsed="false">
      <c r="A652" s="1" t="s">
        <v>1908</v>
      </c>
      <c r="B652" s="1" t="n">
        <v>83</v>
      </c>
    </row>
    <row r="653" customFormat="false" ht="15" hidden="false" customHeight="true" outlineLevel="0" collapsed="false">
      <c r="A653" s="1" t="s">
        <v>1985</v>
      </c>
      <c r="B653" s="1" t="n">
        <v>83</v>
      </c>
    </row>
    <row r="654" customFormat="false" ht="15" hidden="false" customHeight="true" outlineLevel="0" collapsed="false">
      <c r="A654" s="1" t="s">
        <v>2014</v>
      </c>
      <c r="B654" s="1" t="n">
        <v>83</v>
      </c>
    </row>
    <row r="655" customFormat="false" ht="15" hidden="false" customHeight="true" outlineLevel="0" collapsed="false">
      <c r="A655" s="1" t="s">
        <v>2165</v>
      </c>
      <c r="B655" s="1" t="n">
        <v>83</v>
      </c>
    </row>
    <row r="656" customFormat="false" ht="15" hidden="false" customHeight="true" outlineLevel="0" collapsed="false">
      <c r="A656" s="1" t="s">
        <v>2074</v>
      </c>
      <c r="B656" s="1" t="n">
        <v>82</v>
      </c>
    </row>
    <row r="657" customFormat="false" ht="15" hidden="false" customHeight="true" outlineLevel="0" collapsed="false">
      <c r="A657" s="1" t="s">
        <v>2015</v>
      </c>
      <c r="B657" s="1" t="n">
        <v>82</v>
      </c>
    </row>
    <row r="658" customFormat="false" ht="15" hidden="false" customHeight="true" outlineLevel="0" collapsed="false">
      <c r="A658" s="1" t="s">
        <v>1517</v>
      </c>
      <c r="B658" s="1" t="n">
        <v>81</v>
      </c>
    </row>
    <row r="659" customFormat="false" ht="15" hidden="false" customHeight="true" outlineLevel="0" collapsed="false">
      <c r="A659" s="1" t="s">
        <v>1736</v>
      </c>
      <c r="B659" s="1" t="n">
        <v>81</v>
      </c>
    </row>
    <row r="660" customFormat="false" ht="15" hidden="false" customHeight="true" outlineLevel="0" collapsed="false">
      <c r="A660" s="1" t="s">
        <v>2208</v>
      </c>
      <c r="B660" s="1" t="n">
        <v>81</v>
      </c>
    </row>
    <row r="661" customFormat="false" ht="15" hidden="false" customHeight="true" outlineLevel="0" collapsed="false">
      <c r="A661" s="1" t="s">
        <v>2211</v>
      </c>
      <c r="B661" s="1" t="n">
        <v>81</v>
      </c>
    </row>
    <row r="662" customFormat="false" ht="15" hidden="false" customHeight="true" outlineLevel="0" collapsed="false">
      <c r="A662" s="1" t="s">
        <v>2214</v>
      </c>
      <c r="B662" s="1" t="n">
        <v>81</v>
      </c>
    </row>
    <row r="663" customFormat="false" ht="15" hidden="false" customHeight="true" outlineLevel="0" collapsed="false">
      <c r="A663" s="1" t="s">
        <v>2216</v>
      </c>
      <c r="B663" s="1" t="n">
        <v>81</v>
      </c>
    </row>
    <row r="664" customFormat="false" ht="15" hidden="false" customHeight="true" outlineLevel="0" collapsed="false">
      <c r="A664" s="1" t="s">
        <v>2218</v>
      </c>
      <c r="B664" s="1" t="n">
        <v>81</v>
      </c>
    </row>
    <row r="665" customFormat="false" ht="15" hidden="false" customHeight="true" outlineLevel="0" collapsed="false">
      <c r="A665" s="1" t="s">
        <v>1505</v>
      </c>
      <c r="B665" s="1" t="n">
        <v>80</v>
      </c>
    </row>
    <row r="666" customFormat="false" ht="15" hidden="false" customHeight="true" outlineLevel="0" collapsed="false">
      <c r="A666" s="1" t="s">
        <v>1958</v>
      </c>
      <c r="B666" s="1" t="n">
        <v>80</v>
      </c>
    </row>
    <row r="667" customFormat="false" ht="15" hidden="false" customHeight="true" outlineLevel="0" collapsed="false">
      <c r="A667" s="1" t="s">
        <v>2227</v>
      </c>
      <c r="B667" s="1" t="n">
        <v>80</v>
      </c>
    </row>
    <row r="668" customFormat="false" ht="15" hidden="false" customHeight="true" outlineLevel="0" collapsed="false">
      <c r="A668" s="1" t="s">
        <v>1258</v>
      </c>
      <c r="B668" s="1" t="n">
        <v>79</v>
      </c>
    </row>
    <row r="669" customFormat="false" ht="15" hidden="false" customHeight="true" outlineLevel="0" collapsed="false">
      <c r="A669" s="1" t="s">
        <v>2124</v>
      </c>
      <c r="B669" s="1" t="n">
        <v>79</v>
      </c>
    </row>
    <row r="670" customFormat="false" ht="15" hidden="false" customHeight="true" outlineLevel="0" collapsed="false">
      <c r="A670" s="1" t="s">
        <v>1885</v>
      </c>
      <c r="B670" s="1" t="n">
        <v>79</v>
      </c>
    </row>
    <row r="671" customFormat="false" ht="15" hidden="false" customHeight="true" outlineLevel="0" collapsed="false">
      <c r="A671" s="1" t="s">
        <v>1922</v>
      </c>
      <c r="B671" s="1" t="n">
        <v>79</v>
      </c>
    </row>
    <row r="672" customFormat="false" ht="15" hidden="false" customHeight="true" outlineLevel="0" collapsed="false">
      <c r="A672" s="1" t="s">
        <v>1486</v>
      </c>
      <c r="B672" s="1" t="n">
        <v>79</v>
      </c>
    </row>
    <row r="673" customFormat="false" ht="15" hidden="false" customHeight="true" outlineLevel="0" collapsed="false">
      <c r="A673" s="1" t="s">
        <v>1379</v>
      </c>
      <c r="B673" s="1" t="n">
        <v>79</v>
      </c>
    </row>
    <row r="674" customFormat="false" ht="15" hidden="false" customHeight="true" outlineLevel="0" collapsed="false">
      <c r="A674" s="1" t="s">
        <v>1472</v>
      </c>
      <c r="B674" s="1" t="n">
        <v>79</v>
      </c>
    </row>
    <row r="675" customFormat="false" ht="15" hidden="false" customHeight="true" outlineLevel="0" collapsed="false">
      <c r="A675" s="1" t="s">
        <v>1374</v>
      </c>
      <c r="B675" s="1" t="n">
        <v>79</v>
      </c>
    </row>
    <row r="676" customFormat="false" ht="15" hidden="false" customHeight="true" outlineLevel="0" collapsed="false">
      <c r="A676" s="1" t="s">
        <v>2076</v>
      </c>
      <c r="B676" s="1" t="n">
        <v>79</v>
      </c>
    </row>
    <row r="677" customFormat="false" ht="15" hidden="false" customHeight="true" outlineLevel="0" collapsed="false">
      <c r="A677" s="1" t="s">
        <v>1898</v>
      </c>
      <c r="B677" s="1" t="n">
        <v>79</v>
      </c>
    </row>
    <row r="678" customFormat="false" ht="15" hidden="false" customHeight="true" outlineLevel="0" collapsed="false">
      <c r="A678" s="1" t="s">
        <v>2239</v>
      </c>
      <c r="B678" s="1" t="n">
        <v>79</v>
      </c>
    </row>
    <row r="679" customFormat="false" ht="15" hidden="false" customHeight="true" outlineLevel="0" collapsed="false">
      <c r="A679" s="1" t="s">
        <v>1719</v>
      </c>
      <c r="B679" s="1" t="n">
        <v>78</v>
      </c>
    </row>
    <row r="680" customFormat="false" ht="15" hidden="false" customHeight="true" outlineLevel="0" collapsed="false">
      <c r="A680" s="1" t="s">
        <v>1608</v>
      </c>
      <c r="B680" s="1" t="n">
        <v>78</v>
      </c>
    </row>
    <row r="681" customFormat="false" ht="15" hidden="false" customHeight="true" outlineLevel="0" collapsed="false">
      <c r="A681" s="1" t="s">
        <v>1409</v>
      </c>
      <c r="B681" s="1" t="n">
        <v>77</v>
      </c>
    </row>
    <row r="682" customFormat="false" ht="15" hidden="false" customHeight="true" outlineLevel="0" collapsed="false">
      <c r="A682" s="1" t="s">
        <v>2126</v>
      </c>
      <c r="B682" s="1" t="n">
        <v>77</v>
      </c>
    </row>
    <row r="683" customFormat="false" ht="15" hidden="false" customHeight="true" outlineLevel="0" collapsed="false">
      <c r="A683" s="1" t="s">
        <v>1158</v>
      </c>
      <c r="B683" s="1" t="n">
        <v>77</v>
      </c>
    </row>
    <row r="684" customFormat="false" ht="15" hidden="false" customHeight="true" outlineLevel="0" collapsed="false">
      <c r="A684" s="1" t="s">
        <v>1988</v>
      </c>
      <c r="B684" s="1" t="n">
        <v>77</v>
      </c>
    </row>
    <row r="685" customFormat="false" ht="15" hidden="false" customHeight="true" outlineLevel="0" collapsed="false">
      <c r="A685" s="1" t="s">
        <v>895</v>
      </c>
      <c r="B685" s="1" t="n">
        <v>77</v>
      </c>
    </row>
    <row r="686" customFormat="false" ht="15" hidden="false" customHeight="true" outlineLevel="0" collapsed="false">
      <c r="A686" s="1" t="s">
        <v>1192</v>
      </c>
      <c r="B686" s="1" t="n">
        <v>76</v>
      </c>
    </row>
    <row r="687" customFormat="false" ht="15" hidden="false" customHeight="true" outlineLevel="0" collapsed="false">
      <c r="A687" s="1" t="s">
        <v>2167</v>
      </c>
      <c r="B687" s="1" t="n">
        <v>76</v>
      </c>
    </row>
    <row r="688" customFormat="false" ht="15" hidden="false" customHeight="true" outlineLevel="0" collapsed="false">
      <c r="A688" s="1" t="s">
        <v>1961</v>
      </c>
      <c r="B688" s="1" t="n">
        <v>76</v>
      </c>
    </row>
    <row r="689" customFormat="false" ht="15" hidden="false" customHeight="true" outlineLevel="0" collapsed="false">
      <c r="A689" s="1" t="s">
        <v>1636</v>
      </c>
      <c r="B689" s="1" t="n">
        <v>76</v>
      </c>
    </row>
    <row r="690" customFormat="false" ht="15" hidden="false" customHeight="true" outlineLevel="0" collapsed="false">
      <c r="A690" s="1" t="s">
        <v>883</v>
      </c>
      <c r="B690" s="1" t="n">
        <v>76</v>
      </c>
    </row>
    <row r="691" customFormat="false" ht="15" hidden="false" customHeight="true" outlineLevel="0" collapsed="false">
      <c r="A691" s="1" t="s">
        <v>1456</v>
      </c>
      <c r="B691" s="1" t="n">
        <v>76</v>
      </c>
    </row>
    <row r="692" customFormat="false" ht="15" hidden="false" customHeight="true" outlineLevel="0" collapsed="false">
      <c r="A692" s="1" t="s">
        <v>1749</v>
      </c>
      <c r="B692" s="1" t="n">
        <v>76</v>
      </c>
    </row>
    <row r="693" customFormat="false" ht="15" hidden="false" customHeight="true" outlineLevel="0" collapsed="false">
      <c r="A693" s="1" t="s">
        <v>1935</v>
      </c>
      <c r="B693" s="1" t="n">
        <v>76</v>
      </c>
    </row>
    <row r="694" customFormat="false" ht="15" hidden="false" customHeight="true" outlineLevel="0" collapsed="false">
      <c r="A694" s="1" t="s">
        <v>1937</v>
      </c>
      <c r="B694" s="1" t="n">
        <v>76</v>
      </c>
    </row>
    <row r="695" customFormat="false" ht="15" hidden="false" customHeight="true" outlineLevel="0" collapsed="false">
      <c r="A695" s="1" t="s">
        <v>2280</v>
      </c>
      <c r="B695" s="1" t="n">
        <v>76</v>
      </c>
    </row>
    <row r="696" customFormat="false" ht="15" hidden="false" customHeight="true" outlineLevel="0" collapsed="false">
      <c r="A696" s="1" t="s">
        <v>2283</v>
      </c>
      <c r="B696" s="1" t="n">
        <v>76</v>
      </c>
    </row>
    <row r="697" customFormat="false" ht="15" hidden="false" customHeight="true" outlineLevel="0" collapsed="false">
      <c r="A697" s="1" t="s">
        <v>1923</v>
      </c>
      <c r="B697" s="1" t="n">
        <v>75</v>
      </c>
    </row>
    <row r="698" customFormat="false" ht="15" hidden="false" customHeight="true" outlineLevel="0" collapsed="false">
      <c r="A698" s="1" t="s">
        <v>1369</v>
      </c>
      <c r="B698" s="1" t="n">
        <v>74</v>
      </c>
    </row>
    <row r="699" customFormat="false" ht="15" hidden="false" customHeight="true" outlineLevel="0" collapsed="false">
      <c r="A699" s="1" t="s">
        <v>1863</v>
      </c>
      <c r="B699" s="1" t="n">
        <v>74</v>
      </c>
    </row>
    <row r="700" customFormat="false" ht="15" hidden="false" customHeight="true" outlineLevel="0" collapsed="false">
      <c r="A700" s="1" t="s">
        <v>1981</v>
      </c>
      <c r="B700" s="1" t="n">
        <v>74</v>
      </c>
    </row>
    <row r="701" customFormat="false" ht="15" hidden="false" customHeight="true" outlineLevel="0" collapsed="false">
      <c r="A701" s="1" t="s">
        <v>1727</v>
      </c>
      <c r="B701" s="1" t="n">
        <v>73</v>
      </c>
    </row>
    <row r="702" customFormat="false" ht="15" hidden="false" customHeight="true" outlineLevel="0" collapsed="false">
      <c r="A702" s="1" t="s">
        <v>1003</v>
      </c>
      <c r="B702" s="1" t="n">
        <v>73</v>
      </c>
    </row>
    <row r="703" customFormat="false" ht="15" hidden="false" customHeight="true" outlineLevel="0" collapsed="false">
      <c r="A703" s="1" t="s">
        <v>1371</v>
      </c>
      <c r="B703" s="1" t="n">
        <v>73</v>
      </c>
    </row>
    <row r="704" customFormat="false" ht="15" hidden="false" customHeight="true" outlineLevel="0" collapsed="false">
      <c r="A704" s="1" t="s">
        <v>1785</v>
      </c>
      <c r="B704" s="1" t="n">
        <v>73</v>
      </c>
    </row>
    <row r="705" customFormat="false" ht="15" hidden="false" customHeight="true" outlineLevel="0" collapsed="false">
      <c r="A705" s="1" t="s">
        <v>2017</v>
      </c>
      <c r="B705" s="1" t="n">
        <v>72</v>
      </c>
    </row>
    <row r="706" customFormat="false" ht="15" hidden="false" customHeight="true" outlineLevel="0" collapsed="false">
      <c r="A706" s="1" t="s">
        <v>2186</v>
      </c>
      <c r="B706" s="1" t="n">
        <v>72</v>
      </c>
    </row>
    <row r="707" customFormat="false" ht="15" hidden="false" customHeight="true" outlineLevel="0" collapsed="false">
      <c r="A707" s="1" t="s">
        <v>1868</v>
      </c>
      <c r="B707" s="1" t="n">
        <v>72</v>
      </c>
    </row>
    <row r="708" customFormat="false" ht="15" hidden="false" customHeight="true" outlineLevel="0" collapsed="false">
      <c r="A708" s="1" t="s">
        <v>1174</v>
      </c>
      <c r="B708" s="1" t="n">
        <v>72</v>
      </c>
    </row>
    <row r="709" customFormat="false" ht="15" hidden="false" customHeight="true" outlineLevel="0" collapsed="false">
      <c r="A709" s="1" t="s">
        <v>2078</v>
      </c>
      <c r="B709" s="1" t="n">
        <v>72</v>
      </c>
    </row>
    <row r="710" customFormat="false" ht="15" hidden="false" customHeight="true" outlineLevel="0" collapsed="false">
      <c r="A710" s="1" t="s">
        <v>2327</v>
      </c>
      <c r="B710" s="1" t="n">
        <v>72</v>
      </c>
    </row>
    <row r="711" customFormat="false" ht="15" hidden="false" customHeight="true" outlineLevel="0" collapsed="false">
      <c r="A711" s="1" t="s">
        <v>2329</v>
      </c>
      <c r="B711" s="1" t="n">
        <v>72</v>
      </c>
    </row>
    <row r="712" customFormat="false" ht="15" hidden="false" customHeight="true" outlineLevel="0" collapsed="false">
      <c r="A712" s="1" t="s">
        <v>2080</v>
      </c>
      <c r="B712" s="1" t="n">
        <v>71</v>
      </c>
    </row>
    <row r="713" customFormat="false" ht="15" hidden="false" customHeight="true" outlineLevel="0" collapsed="false">
      <c r="A713" s="1" t="s">
        <v>1458</v>
      </c>
      <c r="B713" s="1" t="n">
        <v>71</v>
      </c>
    </row>
    <row r="714" customFormat="false" ht="15" hidden="false" customHeight="true" outlineLevel="0" collapsed="false">
      <c r="A714" s="1" t="s">
        <v>1250</v>
      </c>
      <c r="B714" s="1" t="n">
        <v>71</v>
      </c>
    </row>
    <row r="715" customFormat="false" ht="15" hidden="false" customHeight="true" outlineLevel="0" collapsed="false">
      <c r="A715" s="1" t="s">
        <v>1583</v>
      </c>
      <c r="B715" s="1" t="n">
        <v>71</v>
      </c>
    </row>
    <row r="716" customFormat="false" ht="15" hidden="false" customHeight="true" outlineLevel="0" collapsed="false">
      <c r="A716" s="1" t="s">
        <v>1474</v>
      </c>
      <c r="B716" s="1" t="n">
        <v>71</v>
      </c>
    </row>
    <row r="717" customFormat="false" ht="15" hidden="false" customHeight="true" outlineLevel="0" collapsed="false">
      <c r="A717" s="1" t="s">
        <v>2332</v>
      </c>
      <c r="B717" s="1" t="n">
        <v>71</v>
      </c>
    </row>
    <row r="718" customFormat="false" ht="15" hidden="false" customHeight="true" outlineLevel="0" collapsed="false">
      <c r="A718" s="1" t="s">
        <v>1612</v>
      </c>
      <c r="B718" s="1" t="n">
        <v>70</v>
      </c>
    </row>
    <row r="719" customFormat="false" ht="15" hidden="false" customHeight="true" outlineLevel="0" collapsed="false">
      <c r="A719" s="1" t="s">
        <v>2341</v>
      </c>
      <c r="B719" s="1" t="n">
        <v>70</v>
      </c>
    </row>
    <row r="720" customFormat="false" ht="15" hidden="false" customHeight="true" outlineLevel="0" collapsed="false">
      <c r="A720" s="1" t="s">
        <v>1911</v>
      </c>
      <c r="B720" s="1" t="n">
        <v>69</v>
      </c>
    </row>
    <row r="721" customFormat="false" ht="15" hidden="false" customHeight="true" outlineLevel="0" collapsed="false">
      <c r="A721" s="1" t="s">
        <v>2229</v>
      </c>
      <c r="B721" s="1" t="n">
        <v>68</v>
      </c>
    </row>
    <row r="722" customFormat="false" ht="15" hidden="false" customHeight="true" outlineLevel="0" collapsed="false">
      <c r="A722" s="1" t="s">
        <v>2255</v>
      </c>
      <c r="B722" s="1" t="n">
        <v>68</v>
      </c>
    </row>
    <row r="723" customFormat="false" ht="15" hidden="false" customHeight="true" outlineLevel="0" collapsed="false">
      <c r="A723" s="1" t="s">
        <v>1750</v>
      </c>
      <c r="B723" s="1" t="n">
        <v>68</v>
      </c>
    </row>
    <row r="724" customFormat="false" ht="15" hidden="false" customHeight="true" outlineLevel="0" collapsed="false">
      <c r="A724" s="1" t="s">
        <v>2269</v>
      </c>
      <c r="B724" s="1" t="n">
        <v>68</v>
      </c>
    </row>
    <row r="725" customFormat="false" ht="15" hidden="false" customHeight="true" outlineLevel="0" collapsed="false">
      <c r="A725" s="1" t="s">
        <v>2256</v>
      </c>
      <c r="B725" s="1" t="n">
        <v>68</v>
      </c>
    </row>
    <row r="726" customFormat="false" ht="15" hidden="false" customHeight="true" outlineLevel="0" collapsed="false">
      <c r="A726" s="1" t="s">
        <v>2387</v>
      </c>
      <c r="B726" s="1" t="n">
        <v>68</v>
      </c>
    </row>
    <row r="727" customFormat="false" ht="15" hidden="false" customHeight="true" outlineLevel="0" collapsed="false">
      <c r="A727" s="1" t="s">
        <v>2131</v>
      </c>
      <c r="B727" s="1" t="n">
        <v>67</v>
      </c>
    </row>
    <row r="728" customFormat="false" ht="15" hidden="false" customHeight="true" outlineLevel="0" collapsed="false">
      <c r="A728" s="1" t="s">
        <v>2050</v>
      </c>
      <c r="B728" s="1" t="n">
        <v>67</v>
      </c>
    </row>
    <row r="729" customFormat="false" ht="15" hidden="false" customHeight="true" outlineLevel="0" collapsed="false">
      <c r="A729" s="1" t="s">
        <v>2317</v>
      </c>
      <c r="B729" s="1" t="n">
        <v>67</v>
      </c>
    </row>
    <row r="730" customFormat="false" ht="15" hidden="false" customHeight="true" outlineLevel="0" collapsed="false">
      <c r="A730" s="1" t="s">
        <v>2082</v>
      </c>
      <c r="B730" s="1" t="n">
        <v>66</v>
      </c>
    </row>
    <row r="731" customFormat="false" ht="15" hidden="false" customHeight="true" outlineLevel="0" collapsed="false">
      <c r="A731" s="1" t="s">
        <v>1900</v>
      </c>
      <c r="B731" s="1" t="n">
        <v>66</v>
      </c>
    </row>
    <row r="732" customFormat="false" ht="15" hidden="false" customHeight="true" outlineLevel="0" collapsed="false">
      <c r="A732" s="1" t="s">
        <v>2404</v>
      </c>
      <c r="B732" s="1" t="n">
        <v>66</v>
      </c>
    </row>
    <row r="733" customFormat="false" ht="15" hidden="false" customHeight="true" outlineLevel="0" collapsed="false">
      <c r="A733" s="1" t="s">
        <v>2406</v>
      </c>
      <c r="B733" s="1" t="n">
        <v>66</v>
      </c>
    </row>
    <row r="734" customFormat="false" ht="15" hidden="false" customHeight="true" outlineLevel="0" collapsed="false">
      <c r="A734" s="1" t="s">
        <v>1329</v>
      </c>
      <c r="B734" s="1" t="n">
        <v>65</v>
      </c>
    </row>
    <row r="735" customFormat="false" ht="15" hidden="false" customHeight="true" outlineLevel="0" collapsed="false">
      <c r="A735" s="1" t="s">
        <v>1753</v>
      </c>
      <c r="B735" s="1" t="n">
        <v>65</v>
      </c>
    </row>
    <row r="736" customFormat="false" ht="15" hidden="false" customHeight="true" outlineLevel="0" collapsed="false">
      <c r="A736" s="1" t="s">
        <v>2112</v>
      </c>
      <c r="B736" s="1" t="n">
        <v>65</v>
      </c>
    </row>
    <row r="737" customFormat="false" ht="15" hidden="false" customHeight="true" outlineLevel="0" collapsed="false">
      <c r="A737" s="1" t="s">
        <v>2343</v>
      </c>
      <c r="B737" s="1" t="n">
        <v>65</v>
      </c>
    </row>
    <row r="738" customFormat="false" ht="15" hidden="false" customHeight="true" outlineLevel="0" collapsed="false">
      <c r="A738" s="1" t="s">
        <v>2230</v>
      </c>
      <c r="B738" s="1" t="n">
        <v>65</v>
      </c>
    </row>
    <row r="739" customFormat="false" ht="15" hidden="false" customHeight="true" outlineLevel="0" collapsed="false">
      <c r="A739" s="1" t="s">
        <v>2419</v>
      </c>
      <c r="B739" s="1" t="n">
        <v>65</v>
      </c>
    </row>
    <row r="740" customFormat="false" ht="15" hidden="false" customHeight="true" outlineLevel="0" collapsed="false">
      <c r="A740" s="1" t="s">
        <v>1833</v>
      </c>
      <c r="B740" s="1" t="n">
        <v>64</v>
      </c>
    </row>
    <row r="741" customFormat="false" ht="15" hidden="false" customHeight="true" outlineLevel="0" collapsed="false">
      <c r="A741" s="1" t="s">
        <v>1865</v>
      </c>
      <c r="B741" s="1" t="n">
        <v>64</v>
      </c>
    </row>
    <row r="742" customFormat="false" ht="15" hidden="false" customHeight="true" outlineLevel="0" collapsed="false">
      <c r="A742" s="1" t="s">
        <v>2427</v>
      </c>
      <c r="B742" s="1" t="n">
        <v>64</v>
      </c>
    </row>
    <row r="743" customFormat="false" ht="15" hidden="false" customHeight="true" outlineLevel="0" collapsed="false">
      <c r="A743" s="1" t="s">
        <v>1380</v>
      </c>
      <c r="B743" s="1" t="n">
        <v>63</v>
      </c>
    </row>
    <row r="744" customFormat="false" ht="15" hidden="false" customHeight="true" outlineLevel="0" collapsed="false">
      <c r="A744" s="1" t="s">
        <v>1887</v>
      </c>
      <c r="B744" s="1" t="n">
        <v>63</v>
      </c>
    </row>
    <row r="745" customFormat="false" ht="15" hidden="false" customHeight="true" outlineLevel="0" collapsed="false">
      <c r="A745" s="1" t="s">
        <v>2241</v>
      </c>
      <c r="B745" s="1" t="n">
        <v>63</v>
      </c>
    </row>
    <row r="746" customFormat="false" ht="15" hidden="false" customHeight="true" outlineLevel="0" collapsed="false">
      <c r="A746" s="1" t="s">
        <v>2432</v>
      </c>
      <c r="B746" s="1" t="n">
        <v>63</v>
      </c>
    </row>
    <row r="747" customFormat="false" ht="15" hidden="false" customHeight="true" outlineLevel="0" collapsed="false">
      <c r="A747" s="1" t="s">
        <v>1857</v>
      </c>
      <c r="B747" s="1" t="n">
        <v>62</v>
      </c>
    </row>
    <row r="748" customFormat="false" ht="15" hidden="false" customHeight="true" outlineLevel="0" collapsed="false">
      <c r="A748" s="1" t="s">
        <v>1448</v>
      </c>
      <c r="B748" s="1" t="n">
        <v>62</v>
      </c>
    </row>
    <row r="749" customFormat="false" ht="15" hidden="false" customHeight="true" outlineLevel="0" collapsed="false">
      <c r="A749" s="1" t="s">
        <v>1528</v>
      </c>
      <c r="B749" s="1" t="n">
        <v>62</v>
      </c>
    </row>
    <row r="750" customFormat="false" ht="15" hidden="false" customHeight="true" outlineLevel="0" collapsed="false">
      <c r="A750" s="1" t="s">
        <v>1815</v>
      </c>
      <c r="B750" s="1" t="n">
        <v>62</v>
      </c>
    </row>
    <row r="751" customFormat="false" ht="15" hidden="false" customHeight="true" outlineLevel="0" collapsed="false">
      <c r="A751" s="1" t="s">
        <v>1610</v>
      </c>
      <c r="B751" s="1" t="n">
        <v>61</v>
      </c>
    </row>
    <row r="752" customFormat="false" ht="15" hidden="false" customHeight="true" outlineLevel="0" collapsed="false">
      <c r="A752" s="1" t="s">
        <v>2144</v>
      </c>
      <c r="B752" s="1" t="n">
        <v>61</v>
      </c>
    </row>
    <row r="753" customFormat="false" ht="15" hidden="false" customHeight="true" outlineLevel="0" collapsed="false">
      <c r="A753" s="1" t="s">
        <v>1777</v>
      </c>
      <c r="B753" s="1" t="n">
        <v>61</v>
      </c>
    </row>
    <row r="754" customFormat="false" ht="15" hidden="false" customHeight="true" outlineLevel="0" collapsed="false">
      <c r="A754" s="1" t="s">
        <v>2168</v>
      </c>
      <c r="B754" s="1" t="n">
        <v>61</v>
      </c>
    </row>
    <row r="755" customFormat="false" ht="15" hidden="false" customHeight="true" outlineLevel="0" collapsed="false">
      <c r="A755" s="1" t="s">
        <v>1913</v>
      </c>
      <c r="B755" s="1" t="n">
        <v>60</v>
      </c>
    </row>
    <row r="756" customFormat="false" ht="15" hidden="false" customHeight="true" outlineLevel="0" collapsed="false">
      <c r="A756" s="1" t="s">
        <v>2429</v>
      </c>
      <c r="B756" s="1" t="n">
        <v>60</v>
      </c>
    </row>
    <row r="757" customFormat="false" ht="15" hidden="false" customHeight="true" outlineLevel="0" collapsed="false">
      <c r="A757" s="1" t="s">
        <v>2232</v>
      </c>
      <c r="B757" s="1" t="n">
        <v>60</v>
      </c>
    </row>
    <row r="758" customFormat="false" ht="15" hidden="false" customHeight="true" outlineLevel="0" collapsed="false">
      <c r="A758" s="1" t="s">
        <v>2449</v>
      </c>
      <c r="B758" s="1" t="n">
        <v>60</v>
      </c>
    </row>
    <row r="759" customFormat="false" ht="15" hidden="false" customHeight="true" outlineLevel="0" collapsed="false">
      <c r="A759" s="1" t="s">
        <v>2127</v>
      </c>
      <c r="B759" s="1" t="n">
        <v>59</v>
      </c>
    </row>
    <row r="760" customFormat="false" ht="15" hidden="false" customHeight="true" outlineLevel="0" collapsed="false">
      <c r="A760" s="1" t="s">
        <v>2471</v>
      </c>
      <c r="B760" s="1" t="n">
        <v>59</v>
      </c>
    </row>
    <row r="761" customFormat="false" ht="15" hidden="false" customHeight="true" outlineLevel="0" collapsed="false">
      <c r="A761" s="1" t="s">
        <v>2474</v>
      </c>
      <c r="B761" s="1" t="n">
        <v>59</v>
      </c>
    </row>
    <row r="762" customFormat="false" ht="15" hidden="false" customHeight="true" outlineLevel="0" collapsed="false">
      <c r="A762" s="1" t="s">
        <v>2257</v>
      </c>
      <c r="B762" s="1" t="n">
        <v>58</v>
      </c>
    </row>
    <row r="763" customFormat="false" ht="15" hidden="false" customHeight="true" outlineLevel="0" collapsed="false">
      <c r="A763" s="1" t="s">
        <v>2136</v>
      </c>
      <c r="B763" s="1" t="n">
        <v>58</v>
      </c>
    </row>
    <row r="764" customFormat="false" ht="15" hidden="false" customHeight="true" outlineLevel="0" collapsed="false">
      <c r="A764" s="1" t="s">
        <v>1440</v>
      </c>
      <c r="B764" s="1" t="n">
        <v>58</v>
      </c>
    </row>
    <row r="765" customFormat="false" ht="15" hidden="false" customHeight="true" outlineLevel="0" collapsed="false">
      <c r="A765" s="1" t="s">
        <v>1198</v>
      </c>
      <c r="B765" s="1" t="n">
        <v>58</v>
      </c>
    </row>
    <row r="766" customFormat="false" ht="15" hidden="false" customHeight="true" outlineLevel="0" collapsed="false">
      <c r="A766" s="1" t="s">
        <v>1098</v>
      </c>
      <c r="B766" s="1" t="n">
        <v>58</v>
      </c>
    </row>
    <row r="767" customFormat="false" ht="15" hidden="false" customHeight="true" outlineLevel="0" collapsed="false">
      <c r="A767" s="1" t="s">
        <v>760</v>
      </c>
      <c r="B767" s="1" t="n">
        <v>58</v>
      </c>
    </row>
    <row r="768" customFormat="false" ht="15" hidden="false" customHeight="true" outlineLevel="0" collapsed="false">
      <c r="A768" s="1" t="s">
        <v>2481</v>
      </c>
      <c r="B768" s="1" t="n">
        <v>58</v>
      </c>
    </row>
    <row r="769" customFormat="false" ht="15" hidden="false" customHeight="true" outlineLevel="0" collapsed="false">
      <c r="A769" s="1" t="s">
        <v>2483</v>
      </c>
      <c r="B769" s="1" t="n">
        <v>58</v>
      </c>
    </row>
    <row r="770" customFormat="false" ht="15" hidden="false" customHeight="true" outlineLevel="0" collapsed="false">
      <c r="A770" s="1" t="s">
        <v>2101</v>
      </c>
      <c r="B770" s="1" t="n">
        <v>57</v>
      </c>
    </row>
    <row r="771" customFormat="false" ht="15" hidden="false" customHeight="true" outlineLevel="0" collapsed="false">
      <c r="A771" s="1" t="s">
        <v>2271</v>
      </c>
      <c r="B771" s="1" t="n">
        <v>57</v>
      </c>
    </row>
    <row r="772" customFormat="false" ht="15" hidden="false" customHeight="true" outlineLevel="0" collapsed="false">
      <c r="A772" s="1" t="s">
        <v>1658</v>
      </c>
      <c r="B772" s="1" t="n">
        <v>57</v>
      </c>
    </row>
    <row r="773" customFormat="false" ht="15" hidden="false" customHeight="true" outlineLevel="0" collapsed="false">
      <c r="A773" s="1" t="s">
        <v>1331</v>
      </c>
      <c r="B773" s="1" t="n">
        <v>57</v>
      </c>
    </row>
    <row r="774" customFormat="false" ht="15" hidden="false" customHeight="true" outlineLevel="0" collapsed="false">
      <c r="A774" s="1" t="s">
        <v>1963</v>
      </c>
      <c r="B774" s="1" t="n">
        <v>57</v>
      </c>
    </row>
    <row r="775" customFormat="false" ht="15" hidden="false" customHeight="true" outlineLevel="0" collapsed="false">
      <c r="A775" s="1" t="s">
        <v>863</v>
      </c>
      <c r="B775" s="1" t="n">
        <v>57</v>
      </c>
    </row>
    <row r="776" customFormat="false" ht="15" hidden="false" customHeight="true" outlineLevel="0" collapsed="false">
      <c r="A776" s="1" t="s">
        <v>2502</v>
      </c>
      <c r="B776" s="1" t="n">
        <v>56</v>
      </c>
    </row>
    <row r="777" customFormat="false" ht="15" hidden="false" customHeight="true" outlineLevel="0" collapsed="false">
      <c r="A777" s="1" t="s">
        <v>1573</v>
      </c>
      <c r="B777" s="1" t="n">
        <v>55</v>
      </c>
    </row>
    <row r="778" customFormat="false" ht="15" hidden="false" customHeight="true" outlineLevel="0" collapsed="false">
      <c r="A778" s="1" t="s">
        <v>1818</v>
      </c>
      <c r="B778" s="1" t="n">
        <v>55</v>
      </c>
    </row>
    <row r="779" customFormat="false" ht="15" hidden="false" customHeight="true" outlineLevel="0" collapsed="false">
      <c r="A779" s="1" t="s">
        <v>1538</v>
      </c>
      <c r="B779" s="1" t="n">
        <v>55</v>
      </c>
    </row>
    <row r="780" customFormat="false" ht="15" hidden="false" customHeight="true" outlineLevel="0" collapsed="false">
      <c r="A780" s="1" t="s">
        <v>1195</v>
      </c>
      <c r="B780" s="1" t="n">
        <v>55</v>
      </c>
    </row>
    <row r="781" customFormat="false" ht="15" hidden="false" customHeight="true" outlineLevel="0" collapsed="false">
      <c r="A781" s="1" t="s">
        <v>2516</v>
      </c>
      <c r="B781" s="1" t="n">
        <v>55</v>
      </c>
    </row>
    <row r="782" customFormat="false" ht="15" hidden="false" customHeight="true" outlineLevel="0" collapsed="false">
      <c r="A782" s="1" t="s">
        <v>1460</v>
      </c>
      <c r="B782" s="1" t="n">
        <v>54</v>
      </c>
    </row>
    <row r="783" customFormat="false" ht="15" hidden="false" customHeight="true" outlineLevel="0" collapsed="false">
      <c r="A783" s="1" t="s">
        <v>2220</v>
      </c>
      <c r="B783" s="1" t="n">
        <v>54</v>
      </c>
    </row>
    <row r="784" customFormat="false" ht="15" hidden="false" customHeight="true" outlineLevel="0" collapsed="false">
      <c r="A784" s="1" t="s">
        <v>1730</v>
      </c>
      <c r="B784" s="1" t="n">
        <v>54</v>
      </c>
    </row>
    <row r="785" customFormat="false" ht="15" hidden="false" customHeight="true" outlineLevel="0" collapsed="false">
      <c r="A785" s="1" t="s">
        <v>1036</v>
      </c>
      <c r="B785" s="1" t="n">
        <v>54</v>
      </c>
    </row>
    <row r="786" customFormat="false" ht="15" hidden="false" customHeight="true" outlineLevel="0" collapsed="false">
      <c r="A786" s="1" t="s">
        <v>1089</v>
      </c>
      <c r="B786" s="1" t="n">
        <v>54</v>
      </c>
    </row>
    <row r="787" customFormat="false" ht="15" hidden="false" customHeight="true" outlineLevel="0" collapsed="false">
      <c r="A787" s="1" t="s">
        <v>2408</v>
      </c>
      <c r="B787" s="1" t="n">
        <v>53</v>
      </c>
    </row>
    <row r="788" customFormat="false" ht="15" hidden="false" customHeight="true" outlineLevel="0" collapsed="false">
      <c r="A788" s="1" t="s">
        <v>2319</v>
      </c>
      <c r="B788" s="1" t="n">
        <v>53</v>
      </c>
    </row>
    <row r="789" customFormat="false" ht="15" hidden="false" customHeight="true" outlineLevel="0" collapsed="false">
      <c r="A789" s="1" t="s">
        <v>2364</v>
      </c>
      <c r="B789" s="1" t="n">
        <v>53</v>
      </c>
    </row>
    <row r="790" customFormat="false" ht="15" hidden="false" customHeight="true" outlineLevel="0" collapsed="false">
      <c r="A790" s="1" t="s">
        <v>2538</v>
      </c>
      <c r="B790" s="1" t="n">
        <v>53</v>
      </c>
    </row>
    <row r="791" customFormat="false" ht="15" hidden="false" customHeight="true" outlineLevel="0" collapsed="false">
      <c r="A791" s="1" t="s">
        <v>2540</v>
      </c>
      <c r="B791" s="1" t="n">
        <v>53</v>
      </c>
    </row>
    <row r="792" customFormat="false" ht="15" hidden="false" customHeight="true" outlineLevel="0" collapsed="false">
      <c r="A792" s="1" t="s">
        <v>2542</v>
      </c>
      <c r="B792" s="1" t="n">
        <v>53</v>
      </c>
    </row>
    <row r="793" customFormat="false" ht="15" hidden="false" customHeight="true" outlineLevel="0" collapsed="false">
      <c r="A793" s="1" t="s">
        <v>1661</v>
      </c>
      <c r="B793" s="1" t="n">
        <v>52</v>
      </c>
    </row>
    <row r="794" customFormat="false" ht="15" hidden="false" customHeight="true" outlineLevel="0" collapsed="false">
      <c r="A794" s="1" t="s">
        <v>2160</v>
      </c>
      <c r="B794" s="1" t="n">
        <v>52</v>
      </c>
    </row>
    <row r="795" customFormat="false" ht="15" hidden="false" customHeight="true" outlineLevel="0" collapsed="false">
      <c r="A795" s="1" t="s">
        <v>1721</v>
      </c>
      <c r="B795" s="1" t="n">
        <v>52</v>
      </c>
    </row>
    <row r="796" customFormat="false" ht="15" hidden="false" customHeight="true" outlineLevel="0" collapsed="false">
      <c r="A796" s="1" t="s">
        <v>1494</v>
      </c>
      <c r="B796" s="1" t="n">
        <v>52</v>
      </c>
    </row>
    <row r="797" customFormat="false" ht="15" hidden="false" customHeight="true" outlineLevel="0" collapsed="false">
      <c r="A797" s="1" t="s">
        <v>501</v>
      </c>
      <c r="B797" s="1" t="n">
        <v>52</v>
      </c>
    </row>
    <row r="798" customFormat="false" ht="15" hidden="false" customHeight="true" outlineLevel="0" collapsed="false">
      <c r="A798" s="1" t="s">
        <v>1859</v>
      </c>
      <c r="B798" s="1" t="n">
        <v>52</v>
      </c>
    </row>
    <row r="799" customFormat="false" ht="15" hidden="false" customHeight="true" outlineLevel="0" collapsed="false">
      <c r="A799" s="1" t="s">
        <v>2551</v>
      </c>
      <c r="B799" s="1" t="n">
        <v>52</v>
      </c>
    </row>
    <row r="800" customFormat="false" ht="15" hidden="false" customHeight="true" outlineLevel="0" collapsed="false">
      <c r="A800" s="1" t="s">
        <v>1820</v>
      </c>
      <c r="B800" s="1" t="n">
        <v>51</v>
      </c>
    </row>
    <row r="801" customFormat="false" ht="15" hidden="false" customHeight="true" outlineLevel="0" collapsed="false">
      <c r="A801" s="1" t="s">
        <v>2476</v>
      </c>
      <c r="B801" s="1" t="n">
        <v>51</v>
      </c>
    </row>
    <row r="802" customFormat="false" ht="15" hidden="false" customHeight="true" outlineLevel="0" collapsed="false">
      <c r="A802" s="1" t="s">
        <v>2290</v>
      </c>
      <c r="B802" s="1" t="n">
        <v>51</v>
      </c>
    </row>
    <row r="803" customFormat="false" ht="15" hidden="false" customHeight="true" outlineLevel="0" collapsed="false">
      <c r="A803" s="1" t="s">
        <v>2188</v>
      </c>
      <c r="B803" s="1" t="n">
        <v>51</v>
      </c>
    </row>
    <row r="804" customFormat="false" ht="15" hidden="false" customHeight="true" outlineLevel="0" collapsed="false">
      <c r="A804" s="1" t="s">
        <v>1137</v>
      </c>
      <c r="B804" s="1" t="n">
        <v>51</v>
      </c>
    </row>
    <row r="805" customFormat="false" ht="15" hidden="false" customHeight="true" outlineLevel="0" collapsed="false">
      <c r="A805" s="1" t="s">
        <v>2557</v>
      </c>
      <c r="B805" s="1" t="n">
        <v>51</v>
      </c>
    </row>
    <row r="806" customFormat="false" ht="15" hidden="false" customHeight="true" outlineLevel="0" collapsed="false">
      <c r="A806" s="1" t="s">
        <v>2560</v>
      </c>
      <c r="B806" s="1" t="n">
        <v>51</v>
      </c>
    </row>
    <row r="807" customFormat="false" ht="15" hidden="false" customHeight="true" outlineLevel="0" collapsed="false">
      <c r="A807" s="1" t="s">
        <v>2562</v>
      </c>
      <c r="B807" s="1" t="n">
        <v>51</v>
      </c>
    </row>
    <row r="808" customFormat="false" ht="15" hidden="false" customHeight="true" outlineLevel="0" collapsed="false">
      <c r="A808" s="1" t="s">
        <v>2565</v>
      </c>
      <c r="B808" s="1" t="n">
        <v>51</v>
      </c>
    </row>
    <row r="809" customFormat="false" ht="15" hidden="false" customHeight="true" outlineLevel="0" collapsed="false">
      <c r="A809" s="1" t="s">
        <v>1495</v>
      </c>
      <c r="B809" s="1" t="n">
        <v>50</v>
      </c>
    </row>
    <row r="810" customFormat="false" ht="15" hidden="false" customHeight="true" outlineLevel="0" collapsed="false">
      <c r="A810" s="1" t="s">
        <v>1787</v>
      </c>
      <c r="B810" s="1" t="n">
        <v>50</v>
      </c>
    </row>
    <row r="811" customFormat="false" ht="15" hidden="false" customHeight="true" outlineLevel="0" collapsed="false">
      <c r="A811" s="1" t="s">
        <v>1834</v>
      </c>
      <c r="B811" s="1" t="n">
        <v>50</v>
      </c>
    </row>
    <row r="812" customFormat="false" ht="15" hidden="false" customHeight="true" outlineLevel="0" collapsed="false">
      <c r="A812" s="1" t="s">
        <v>587</v>
      </c>
      <c r="B812" s="1" t="n">
        <v>50</v>
      </c>
    </row>
    <row r="813" customFormat="false" ht="15" hidden="false" customHeight="true" outlineLevel="0" collapsed="false">
      <c r="A813" s="1" t="s">
        <v>444</v>
      </c>
      <c r="B813" s="1" t="n">
        <v>50</v>
      </c>
    </row>
    <row r="814" customFormat="false" ht="15" hidden="false" customHeight="true" outlineLevel="0" collapsed="false">
      <c r="A814" s="1" t="s">
        <v>2575</v>
      </c>
      <c r="B814" s="1" t="n">
        <v>50</v>
      </c>
    </row>
    <row r="815" customFormat="false" ht="15" hidden="false" customHeight="true" outlineLevel="0" collapsed="false">
      <c r="A815" s="1" t="s">
        <v>2577</v>
      </c>
      <c r="B815" s="1" t="n">
        <v>50</v>
      </c>
    </row>
    <row r="816" customFormat="false" ht="15" hidden="false" customHeight="true" outlineLevel="0" collapsed="false">
      <c r="A816" s="1" t="s">
        <v>2579</v>
      </c>
      <c r="B816" s="1" t="n">
        <v>50</v>
      </c>
    </row>
    <row r="817" customFormat="false" ht="15" hidden="false" customHeight="true" outlineLevel="0" collapsed="false">
      <c r="A817" s="1" t="s">
        <v>2581</v>
      </c>
      <c r="B817" s="1" t="n">
        <v>50</v>
      </c>
    </row>
    <row r="818" customFormat="false" ht="15" hidden="false" customHeight="true" outlineLevel="0" collapsed="false">
      <c r="A818" s="1" t="s">
        <v>2583</v>
      </c>
      <c r="B818" s="1" t="n">
        <v>50</v>
      </c>
    </row>
    <row r="819" customFormat="false" ht="15" hidden="false" customHeight="true" outlineLevel="0" collapsed="false">
      <c r="A819" s="1" t="s">
        <v>2585</v>
      </c>
      <c r="B819" s="1" t="n">
        <v>50</v>
      </c>
    </row>
    <row r="820" customFormat="false" ht="15" hidden="false" customHeight="true" outlineLevel="0" collapsed="false">
      <c r="A820" s="1" t="s">
        <v>2587</v>
      </c>
      <c r="B820" s="1" t="n">
        <v>50</v>
      </c>
    </row>
    <row r="821" customFormat="false" ht="15" hidden="false" customHeight="true" outlineLevel="0" collapsed="false">
      <c r="A821" s="1" t="s">
        <v>2301</v>
      </c>
      <c r="B821" s="1" t="n">
        <v>49</v>
      </c>
    </row>
    <row r="822" customFormat="false" ht="15" hidden="false" customHeight="true" outlineLevel="0" collapsed="false">
      <c r="A822" s="1" t="s">
        <v>1384</v>
      </c>
      <c r="B822" s="1" t="n">
        <v>49</v>
      </c>
    </row>
    <row r="823" customFormat="false" ht="15" hidden="false" customHeight="true" outlineLevel="0" collapsed="false">
      <c r="A823" s="1" t="s">
        <v>1663</v>
      </c>
      <c r="B823" s="1" t="n">
        <v>49</v>
      </c>
    </row>
    <row r="824" customFormat="false" ht="15" hidden="false" customHeight="true" outlineLevel="0" collapsed="false">
      <c r="A824" s="1" t="s">
        <v>2191</v>
      </c>
      <c r="B824" s="1" t="n">
        <v>49</v>
      </c>
    </row>
    <row r="825" customFormat="false" ht="15" hidden="false" customHeight="true" outlineLevel="0" collapsed="false">
      <c r="A825" s="1" t="s">
        <v>959</v>
      </c>
      <c r="B825" s="1" t="n">
        <v>49</v>
      </c>
    </row>
    <row r="826" customFormat="false" ht="15" hidden="false" customHeight="true" outlineLevel="0" collapsed="false">
      <c r="A826" s="1" t="s">
        <v>2600</v>
      </c>
      <c r="B826" s="1" t="n">
        <v>49</v>
      </c>
    </row>
    <row r="827" customFormat="false" ht="15" hidden="false" customHeight="true" outlineLevel="0" collapsed="false">
      <c r="A827" s="1" t="s">
        <v>2602</v>
      </c>
      <c r="B827" s="1" t="n">
        <v>49</v>
      </c>
    </row>
    <row r="828" customFormat="false" ht="15" hidden="false" customHeight="true" outlineLevel="0" collapsed="false">
      <c r="A828" s="1" t="s">
        <v>1646</v>
      </c>
      <c r="B828" s="1" t="n">
        <v>48</v>
      </c>
    </row>
    <row r="829" customFormat="false" ht="15" hidden="false" customHeight="true" outlineLevel="0" collapsed="false">
      <c r="A829" s="1" t="s">
        <v>1738</v>
      </c>
      <c r="B829" s="1" t="n">
        <v>48</v>
      </c>
    </row>
    <row r="830" customFormat="false" ht="15" hidden="false" customHeight="true" outlineLevel="0" collapsed="false">
      <c r="A830" s="1" t="s">
        <v>1789</v>
      </c>
      <c r="B830" s="1" t="n">
        <v>48</v>
      </c>
    </row>
    <row r="831" customFormat="false" ht="15" hidden="false" customHeight="true" outlineLevel="0" collapsed="false">
      <c r="A831" s="1" t="s">
        <v>2129</v>
      </c>
      <c r="B831" s="1" t="n">
        <v>48</v>
      </c>
    </row>
    <row r="832" customFormat="false" ht="15" hidden="false" customHeight="true" outlineLevel="0" collapsed="false">
      <c r="A832" s="1" t="s">
        <v>1333</v>
      </c>
      <c r="B832" s="1" t="n">
        <v>48</v>
      </c>
    </row>
    <row r="833" customFormat="false" ht="15" hidden="false" customHeight="true" outlineLevel="0" collapsed="false">
      <c r="A833" s="1" t="s">
        <v>2618</v>
      </c>
      <c r="B833" s="1" t="n">
        <v>48</v>
      </c>
    </row>
    <row r="834" customFormat="false" ht="15" hidden="false" customHeight="true" outlineLevel="0" collapsed="false">
      <c r="A834" s="1" t="s">
        <v>2621</v>
      </c>
      <c r="B834" s="1" t="n">
        <v>48</v>
      </c>
    </row>
    <row r="835" customFormat="false" ht="15" hidden="false" customHeight="true" outlineLevel="0" collapsed="false">
      <c r="A835" s="1" t="s">
        <v>1692</v>
      </c>
      <c r="B835" s="1" t="n">
        <v>47</v>
      </c>
    </row>
    <row r="836" customFormat="false" ht="15" hidden="false" customHeight="true" outlineLevel="0" collapsed="false">
      <c r="A836" s="1" t="s">
        <v>1964</v>
      </c>
      <c r="B836" s="1" t="n">
        <v>47</v>
      </c>
    </row>
    <row r="837" customFormat="false" ht="15" hidden="false" customHeight="true" outlineLevel="0" collapsed="false">
      <c r="A837" s="1" t="s">
        <v>2291</v>
      </c>
      <c r="B837" s="1" t="n">
        <v>47</v>
      </c>
    </row>
    <row r="838" customFormat="false" ht="15" hidden="false" customHeight="true" outlineLevel="0" collapsed="false">
      <c r="A838" s="1" t="s">
        <v>945</v>
      </c>
      <c r="B838" s="1" t="n">
        <v>47</v>
      </c>
    </row>
    <row r="839" customFormat="false" ht="15" hidden="false" customHeight="true" outlineLevel="0" collapsed="false">
      <c r="A839" s="1" t="s">
        <v>577</v>
      </c>
      <c r="B839" s="1" t="n">
        <v>47</v>
      </c>
    </row>
    <row r="840" customFormat="false" ht="15" hidden="false" customHeight="true" outlineLevel="0" collapsed="false">
      <c r="A840" s="1" t="s">
        <v>820</v>
      </c>
      <c r="B840" s="1" t="n">
        <v>47</v>
      </c>
    </row>
    <row r="841" customFormat="false" ht="15" hidden="false" customHeight="true" outlineLevel="0" collapsed="false">
      <c r="A841" s="1" t="s">
        <v>579</v>
      </c>
      <c r="B841" s="1" t="n">
        <v>47</v>
      </c>
    </row>
    <row r="842" customFormat="false" ht="15" hidden="false" customHeight="true" outlineLevel="0" collapsed="false">
      <c r="A842" s="1" t="s">
        <v>1939</v>
      </c>
      <c r="B842" s="1" t="n">
        <v>47</v>
      </c>
    </row>
    <row r="843" customFormat="false" ht="15" hidden="false" customHeight="true" outlineLevel="0" collapsed="false">
      <c r="A843" s="1" t="s">
        <v>2661</v>
      </c>
      <c r="B843" s="1" t="n">
        <v>46</v>
      </c>
    </row>
    <row r="844" customFormat="false" ht="15" hidden="false" customHeight="true" outlineLevel="0" collapsed="false">
      <c r="A844" s="1" t="s">
        <v>1989</v>
      </c>
      <c r="B844" s="1" t="n">
        <v>46</v>
      </c>
    </row>
    <row r="845" customFormat="false" ht="15" hidden="false" customHeight="true" outlineLevel="0" collapsed="false">
      <c r="A845" s="1" t="s">
        <v>1760</v>
      </c>
      <c r="B845" s="1" t="n">
        <v>45</v>
      </c>
    </row>
    <row r="846" customFormat="false" ht="15" hidden="false" customHeight="true" outlineLevel="0" collapsed="false">
      <c r="A846" s="1" t="s">
        <v>1593</v>
      </c>
      <c r="B846" s="1" t="n">
        <v>45</v>
      </c>
    </row>
    <row r="847" customFormat="false" ht="15" hidden="false" customHeight="true" outlineLevel="0" collapsed="false">
      <c r="A847" s="1" t="s">
        <v>2334</v>
      </c>
      <c r="B847" s="1" t="n">
        <v>45</v>
      </c>
    </row>
    <row r="848" customFormat="false" ht="15" hidden="false" customHeight="true" outlineLevel="0" collapsed="false">
      <c r="A848" s="1" t="s">
        <v>948</v>
      </c>
      <c r="B848" s="1" t="n">
        <v>45</v>
      </c>
    </row>
    <row r="849" customFormat="false" ht="15" hidden="false" customHeight="true" outlineLevel="0" collapsed="false">
      <c r="A849" s="1" t="s">
        <v>1121</v>
      </c>
      <c r="B849" s="1" t="n">
        <v>45</v>
      </c>
    </row>
    <row r="850" customFormat="false" ht="15" hidden="false" customHeight="true" outlineLevel="0" collapsed="false">
      <c r="A850" s="1" t="s">
        <v>676</v>
      </c>
      <c r="B850" s="1" t="n">
        <v>45</v>
      </c>
    </row>
    <row r="851" customFormat="false" ht="15" hidden="false" customHeight="true" outlineLevel="0" collapsed="false">
      <c r="A851" s="1" t="s">
        <v>1595</v>
      </c>
      <c r="B851" s="1" t="n">
        <v>45</v>
      </c>
    </row>
    <row r="852" customFormat="false" ht="15" hidden="false" customHeight="true" outlineLevel="0" collapsed="false">
      <c r="A852" s="1" t="s">
        <v>2675</v>
      </c>
      <c r="B852" s="1" t="n">
        <v>45</v>
      </c>
    </row>
    <row r="853" customFormat="false" ht="15" hidden="false" customHeight="true" outlineLevel="0" collapsed="false">
      <c r="A853" s="1" t="s">
        <v>2677</v>
      </c>
      <c r="B853" s="1" t="n">
        <v>45</v>
      </c>
    </row>
    <row r="854" customFormat="false" ht="15" hidden="false" customHeight="true" outlineLevel="0" collapsed="false">
      <c r="A854" s="1" t="s">
        <v>2680</v>
      </c>
      <c r="B854" s="1" t="n">
        <v>45</v>
      </c>
    </row>
    <row r="855" customFormat="false" ht="15" hidden="false" customHeight="true" outlineLevel="0" collapsed="false">
      <c r="A855" s="1" t="s">
        <v>2682</v>
      </c>
      <c r="B855" s="1" t="n">
        <v>45</v>
      </c>
    </row>
    <row r="856" customFormat="false" ht="15" hidden="false" customHeight="true" outlineLevel="0" collapsed="false">
      <c r="A856" s="1" t="s">
        <v>2527</v>
      </c>
      <c r="B856" s="1" t="n">
        <v>44</v>
      </c>
    </row>
    <row r="857" customFormat="false" ht="15" hidden="false" customHeight="true" outlineLevel="0" collapsed="false">
      <c r="A857" s="1" t="s">
        <v>1763</v>
      </c>
      <c r="B857" s="1" t="n">
        <v>44</v>
      </c>
    </row>
    <row r="858" customFormat="false" ht="15" hidden="false" customHeight="true" outlineLevel="0" collapsed="false">
      <c r="A858" s="1" t="s">
        <v>2554</v>
      </c>
      <c r="B858" s="1" t="n">
        <v>44</v>
      </c>
    </row>
    <row r="859" customFormat="false" ht="15" hidden="false" customHeight="true" outlineLevel="0" collapsed="false">
      <c r="A859" s="1" t="s">
        <v>1853</v>
      </c>
      <c r="B859" s="1" t="n">
        <v>44</v>
      </c>
    </row>
    <row r="860" customFormat="false" ht="15" hidden="false" customHeight="true" outlineLevel="0" collapsed="false">
      <c r="A860" s="1" t="s">
        <v>1433</v>
      </c>
      <c r="B860" s="1" t="n">
        <v>44</v>
      </c>
    </row>
    <row r="861" customFormat="false" ht="15" hidden="false" customHeight="true" outlineLevel="0" collapsed="false">
      <c r="A861" s="1" t="s">
        <v>989</v>
      </c>
      <c r="B861" s="1" t="n">
        <v>44</v>
      </c>
    </row>
    <row r="862" customFormat="false" ht="15" hidden="false" customHeight="true" outlineLevel="0" collapsed="false">
      <c r="A862" s="1" t="s">
        <v>2693</v>
      </c>
      <c r="B862" s="1" t="n">
        <v>44</v>
      </c>
    </row>
    <row r="863" customFormat="false" ht="15" hidden="false" customHeight="true" outlineLevel="0" collapsed="false">
      <c r="A863" s="1" t="s">
        <v>2697</v>
      </c>
      <c r="B863" s="1" t="n">
        <v>44</v>
      </c>
    </row>
    <row r="864" customFormat="false" ht="15" hidden="false" customHeight="true" outlineLevel="0" collapsed="false">
      <c r="A864" s="1" t="s">
        <v>2700</v>
      </c>
      <c r="B864" s="1" t="n">
        <v>44</v>
      </c>
    </row>
    <row r="865" customFormat="false" ht="15" hidden="false" customHeight="true" outlineLevel="0" collapsed="false">
      <c r="A865" s="1" t="s">
        <v>2702</v>
      </c>
      <c r="B865" s="1" t="n">
        <v>44</v>
      </c>
    </row>
    <row r="866" customFormat="false" ht="15" hidden="false" customHeight="true" outlineLevel="0" collapsed="false">
      <c r="A866" s="1" t="s">
        <v>2113</v>
      </c>
      <c r="B866" s="1" t="n">
        <v>43</v>
      </c>
    </row>
    <row r="867" customFormat="false" ht="15" hidden="false" customHeight="true" outlineLevel="0" collapsed="false">
      <c r="A867" s="1" t="s">
        <v>1277</v>
      </c>
      <c r="B867" s="1" t="n">
        <v>43</v>
      </c>
    </row>
    <row r="868" customFormat="false" ht="15" hidden="false" customHeight="true" outlineLevel="0" collapsed="false">
      <c r="A868" s="1" t="s">
        <v>1965</v>
      </c>
      <c r="B868" s="1" t="n">
        <v>43</v>
      </c>
    </row>
    <row r="869" customFormat="false" ht="15" hidden="false" customHeight="true" outlineLevel="0" collapsed="false">
      <c r="A869" s="1" t="s">
        <v>920</v>
      </c>
      <c r="B869" s="1" t="n">
        <v>43</v>
      </c>
    </row>
    <row r="870" customFormat="false" ht="15" hidden="false" customHeight="true" outlineLevel="0" collapsed="false">
      <c r="A870" s="1" t="s">
        <v>2720</v>
      </c>
      <c r="B870" s="1" t="n">
        <v>43</v>
      </c>
    </row>
    <row r="871" customFormat="false" ht="15" hidden="false" customHeight="true" outlineLevel="0" collapsed="false">
      <c r="A871" s="1" t="s">
        <v>2722</v>
      </c>
      <c r="B871" s="1" t="n">
        <v>43</v>
      </c>
    </row>
    <row r="872" customFormat="false" ht="15" hidden="false" customHeight="true" outlineLevel="0" collapsed="false">
      <c r="A872" s="1" t="s">
        <v>2724</v>
      </c>
      <c r="B872" s="1" t="n">
        <v>43</v>
      </c>
    </row>
    <row r="873" customFormat="false" ht="15" hidden="false" customHeight="true" outlineLevel="0" collapsed="false">
      <c r="A873" s="1" t="s">
        <v>2726</v>
      </c>
      <c r="B873" s="1" t="n">
        <v>43</v>
      </c>
    </row>
    <row r="874" customFormat="false" ht="15" hidden="false" customHeight="true" outlineLevel="0" collapsed="false">
      <c r="A874" s="1" t="s">
        <v>2504</v>
      </c>
      <c r="B874" s="1" t="n">
        <v>42</v>
      </c>
    </row>
    <row r="875" customFormat="false" ht="15" hidden="false" customHeight="true" outlineLevel="0" collapsed="false">
      <c r="A875" s="1" t="s">
        <v>2171</v>
      </c>
      <c r="B875" s="1" t="n">
        <v>42</v>
      </c>
    </row>
    <row r="876" customFormat="false" ht="15" hidden="false" customHeight="true" outlineLevel="0" collapsed="false">
      <c r="A876" s="1" t="s">
        <v>2744</v>
      </c>
      <c r="B876" s="1" t="n">
        <v>42</v>
      </c>
    </row>
    <row r="877" customFormat="false" ht="15" hidden="false" customHeight="true" outlineLevel="0" collapsed="false">
      <c r="A877" s="1" t="s">
        <v>2746</v>
      </c>
      <c r="B877" s="1" t="n">
        <v>42</v>
      </c>
    </row>
    <row r="878" customFormat="false" ht="15" hidden="false" customHeight="true" outlineLevel="0" collapsed="false">
      <c r="A878" s="1" t="s">
        <v>2748</v>
      </c>
      <c r="B878" s="1" t="n">
        <v>42</v>
      </c>
    </row>
    <row r="879" customFormat="false" ht="15" hidden="false" customHeight="true" outlineLevel="0" collapsed="false">
      <c r="A879" s="1" t="s">
        <v>1682</v>
      </c>
      <c r="B879" s="1" t="n">
        <v>41</v>
      </c>
    </row>
    <row r="880" customFormat="false" ht="15" hidden="false" customHeight="true" outlineLevel="0" collapsed="false">
      <c r="A880" s="1" t="s">
        <v>2162</v>
      </c>
      <c r="B880" s="1" t="n">
        <v>41</v>
      </c>
    </row>
    <row r="881" customFormat="false" ht="15" hidden="false" customHeight="true" outlineLevel="0" collapsed="false">
      <c r="A881" s="1" t="s">
        <v>2294</v>
      </c>
      <c r="B881" s="1" t="n">
        <v>41</v>
      </c>
    </row>
    <row r="882" customFormat="false" ht="15" hidden="false" customHeight="true" outlineLevel="0" collapsed="false">
      <c r="A882" s="1" t="s">
        <v>2529</v>
      </c>
      <c r="B882" s="1" t="n">
        <v>41</v>
      </c>
    </row>
    <row r="883" customFormat="false" ht="15" hidden="false" customHeight="true" outlineLevel="0" collapsed="false">
      <c r="A883" s="1" t="s">
        <v>2760</v>
      </c>
      <c r="B883" s="1" t="n">
        <v>41</v>
      </c>
    </row>
    <row r="884" customFormat="false" ht="15" hidden="false" customHeight="true" outlineLevel="0" collapsed="false">
      <c r="A884" s="1" t="s">
        <v>2763</v>
      </c>
      <c r="B884" s="1" t="n">
        <v>41</v>
      </c>
    </row>
    <row r="885" customFormat="false" ht="15" hidden="false" customHeight="true" outlineLevel="0" collapsed="false">
      <c r="A885" s="1" t="s">
        <v>1633</v>
      </c>
      <c r="B885" s="1" t="n">
        <v>40</v>
      </c>
    </row>
    <row r="886" customFormat="false" ht="15" hidden="false" customHeight="true" outlineLevel="0" collapsed="false">
      <c r="A886" s="1" t="s">
        <v>2259</v>
      </c>
      <c r="B886" s="1" t="n">
        <v>40</v>
      </c>
    </row>
    <row r="887" customFormat="false" ht="15" hidden="false" customHeight="true" outlineLevel="0" collapsed="false">
      <c r="A887" s="1" t="s">
        <v>2704</v>
      </c>
      <c r="B887" s="1" t="n">
        <v>40</v>
      </c>
    </row>
    <row r="888" customFormat="false" ht="15" hidden="false" customHeight="true" outlineLevel="0" collapsed="false">
      <c r="A888" s="1" t="s">
        <v>2051</v>
      </c>
      <c r="B888" s="1" t="n">
        <v>40</v>
      </c>
    </row>
    <row r="889" customFormat="false" ht="15" hidden="false" customHeight="true" outlineLevel="0" collapsed="false">
      <c r="A889" s="1" t="s">
        <v>2778</v>
      </c>
      <c r="B889" s="1" t="n">
        <v>40</v>
      </c>
    </row>
    <row r="890" customFormat="false" ht="15" hidden="false" customHeight="true" outlineLevel="0" collapsed="false">
      <c r="A890" s="1" t="s">
        <v>2780</v>
      </c>
      <c r="B890" s="1" t="n">
        <v>40</v>
      </c>
    </row>
    <row r="891" customFormat="false" ht="15" hidden="false" customHeight="true" outlineLevel="0" collapsed="false">
      <c r="A891" s="1" t="s">
        <v>2783</v>
      </c>
      <c r="B891" s="1" t="n">
        <v>40</v>
      </c>
    </row>
    <row r="892" customFormat="false" ht="15" hidden="false" customHeight="true" outlineLevel="0" collapsed="false">
      <c r="A892" s="1" t="s">
        <v>2785</v>
      </c>
      <c r="B892" s="1" t="n">
        <v>40</v>
      </c>
    </row>
    <row r="893" customFormat="false" ht="15" hidden="false" customHeight="true" outlineLevel="0" collapsed="false">
      <c r="A893" s="1" t="s">
        <v>1840</v>
      </c>
      <c r="B893" s="1" t="n">
        <v>39</v>
      </c>
    </row>
    <row r="894" customFormat="false" ht="15" hidden="false" customHeight="true" outlineLevel="0" collapsed="false">
      <c r="A894" s="1" t="s">
        <v>2235</v>
      </c>
      <c r="B894" s="1" t="n">
        <v>39</v>
      </c>
    </row>
    <row r="895" customFormat="false" ht="15" hidden="false" customHeight="true" outlineLevel="0" collapsed="false">
      <c r="A895" s="1" t="s">
        <v>2706</v>
      </c>
      <c r="B895" s="1" t="n">
        <v>39</v>
      </c>
    </row>
    <row r="896" customFormat="false" ht="15" hidden="false" customHeight="true" outlineLevel="0" collapsed="false">
      <c r="A896" s="1" t="s">
        <v>2605</v>
      </c>
      <c r="B896" s="1" t="n">
        <v>39</v>
      </c>
    </row>
    <row r="897" customFormat="false" ht="15" hidden="false" customHeight="true" outlineLevel="0" collapsed="false">
      <c r="A897" s="1" t="s">
        <v>2803</v>
      </c>
      <c r="B897" s="1" t="n">
        <v>39</v>
      </c>
    </row>
    <row r="898" customFormat="false" ht="15" hidden="false" customHeight="true" outlineLevel="0" collapsed="false">
      <c r="A898" s="1" t="s">
        <v>2805</v>
      </c>
      <c r="B898" s="1" t="n">
        <v>39</v>
      </c>
    </row>
    <row r="899" customFormat="false" ht="15" hidden="false" customHeight="true" outlineLevel="0" collapsed="false">
      <c r="A899" s="1" t="s">
        <v>2807</v>
      </c>
      <c r="B899" s="1" t="n">
        <v>39</v>
      </c>
    </row>
    <row r="900" customFormat="false" ht="15" hidden="false" customHeight="true" outlineLevel="0" collapsed="false">
      <c r="A900" s="1" t="s">
        <v>2809</v>
      </c>
      <c r="B900" s="1" t="n">
        <v>39</v>
      </c>
    </row>
    <row r="901" customFormat="false" ht="15" hidden="false" customHeight="true" outlineLevel="0" collapsed="false">
      <c r="A901" s="1" t="s">
        <v>2102</v>
      </c>
      <c r="B901" s="1" t="n">
        <v>38</v>
      </c>
    </row>
    <row r="902" customFormat="false" ht="15" hidden="false" customHeight="true" outlineLevel="0" collapsed="false">
      <c r="A902" s="1" t="s">
        <v>2828</v>
      </c>
      <c r="B902" s="1" t="n">
        <v>38</v>
      </c>
    </row>
    <row r="903" customFormat="false" ht="15" hidden="false" customHeight="true" outlineLevel="0" collapsed="false">
      <c r="A903" s="1" t="s">
        <v>2193</v>
      </c>
      <c r="B903" s="1" t="n">
        <v>38</v>
      </c>
    </row>
    <row r="904" customFormat="false" ht="15" hidden="false" customHeight="true" outlineLevel="0" collapsed="false">
      <c r="A904" s="1" t="s">
        <v>2477</v>
      </c>
      <c r="B904" s="1" t="n">
        <v>38</v>
      </c>
    </row>
    <row r="905" customFormat="false" ht="15" hidden="false" customHeight="true" outlineLevel="0" collapsed="false">
      <c r="A905" s="1" t="s">
        <v>1916</v>
      </c>
      <c r="B905" s="1" t="n">
        <v>38</v>
      </c>
    </row>
    <row r="906" customFormat="false" ht="15" hidden="false" customHeight="true" outlineLevel="0" collapsed="false">
      <c r="A906" s="1" t="s">
        <v>2331</v>
      </c>
      <c r="B906" s="1" t="n">
        <v>38</v>
      </c>
    </row>
    <row r="907" customFormat="false" ht="15" hidden="false" customHeight="true" outlineLevel="0" collapsed="false">
      <c r="A907" s="1" t="s">
        <v>2829</v>
      </c>
      <c r="B907" s="1" t="n">
        <v>38</v>
      </c>
    </row>
    <row r="908" customFormat="false" ht="15" hidden="false" customHeight="true" outlineLevel="0" collapsed="false">
      <c r="A908" s="1" t="s">
        <v>2831</v>
      </c>
      <c r="B908" s="1" t="n">
        <v>38</v>
      </c>
    </row>
    <row r="909" customFormat="false" ht="15" hidden="false" customHeight="true" outlineLevel="0" collapsed="false">
      <c r="A909" s="1" t="s">
        <v>2833</v>
      </c>
      <c r="B909" s="1" t="n">
        <v>38</v>
      </c>
    </row>
    <row r="910" customFormat="false" ht="15" hidden="false" customHeight="true" outlineLevel="0" collapsed="false">
      <c r="A910" s="1" t="s">
        <v>2835</v>
      </c>
      <c r="B910" s="1" t="n">
        <v>38</v>
      </c>
    </row>
    <row r="911" customFormat="false" ht="15" hidden="false" customHeight="true" outlineLevel="0" collapsed="false">
      <c r="A911" s="1" t="s">
        <v>2486</v>
      </c>
      <c r="B911" s="1" t="n">
        <v>37</v>
      </c>
    </row>
    <row r="912" customFormat="false" ht="15" hidden="false" customHeight="true" outlineLevel="0" collapsed="false">
      <c r="A912" s="1" t="s">
        <v>2624</v>
      </c>
      <c r="B912" s="1" t="n">
        <v>37</v>
      </c>
    </row>
    <row r="913" customFormat="false" ht="15" hidden="false" customHeight="true" outlineLevel="0" collapsed="false">
      <c r="A913" s="1" t="s">
        <v>1779</v>
      </c>
      <c r="B913" s="1" t="n">
        <v>37</v>
      </c>
    </row>
    <row r="914" customFormat="false" ht="15" hidden="false" customHeight="true" outlineLevel="0" collapsed="false">
      <c r="A914" s="1" t="s">
        <v>2788</v>
      </c>
      <c r="B914" s="1" t="n">
        <v>37</v>
      </c>
    </row>
    <row r="915" customFormat="false" ht="15" hidden="false" customHeight="true" outlineLevel="0" collapsed="false">
      <c r="A915" s="1" t="s">
        <v>2855</v>
      </c>
      <c r="B915" s="1" t="n">
        <v>37</v>
      </c>
    </row>
    <row r="916" customFormat="false" ht="15" hidden="false" customHeight="true" outlineLevel="0" collapsed="false">
      <c r="A916" s="1" t="s">
        <v>2857</v>
      </c>
      <c r="B916" s="1" t="n">
        <v>37</v>
      </c>
    </row>
    <row r="917" customFormat="false" ht="15" hidden="false" customHeight="true" outlineLevel="0" collapsed="false">
      <c r="A917" s="1" t="s">
        <v>2860</v>
      </c>
      <c r="B917" s="1" t="n">
        <v>37</v>
      </c>
    </row>
    <row r="918" customFormat="false" ht="15" hidden="false" customHeight="true" outlineLevel="0" collapsed="false">
      <c r="A918" s="1" t="s">
        <v>2862</v>
      </c>
      <c r="B918" s="1" t="n">
        <v>37</v>
      </c>
    </row>
    <row r="919" customFormat="false" ht="15" hidden="false" customHeight="true" outlineLevel="0" collapsed="false">
      <c r="A919" s="1" t="s">
        <v>2052</v>
      </c>
      <c r="B919" s="1" t="n">
        <v>36</v>
      </c>
    </row>
    <row r="920" customFormat="false" ht="15" hidden="false" customHeight="true" outlineLevel="0" collapsed="false">
      <c r="A920" s="1" t="s">
        <v>1450</v>
      </c>
      <c r="B920" s="1" t="n">
        <v>36</v>
      </c>
    </row>
    <row r="921" customFormat="false" ht="15" hidden="false" customHeight="true" outlineLevel="0" collapsed="false">
      <c r="A921" s="1" t="s">
        <v>2389</v>
      </c>
      <c r="B921" s="1" t="n">
        <v>36</v>
      </c>
    </row>
    <row r="922" customFormat="false" ht="15" hidden="false" customHeight="true" outlineLevel="0" collapsed="false">
      <c r="A922" s="1" t="s">
        <v>2765</v>
      </c>
      <c r="B922" s="1" t="n">
        <v>36</v>
      </c>
    </row>
    <row r="923" customFormat="false" ht="15" hidden="false" customHeight="true" outlineLevel="0" collapsed="false">
      <c r="A923" s="1" t="s">
        <v>2874</v>
      </c>
      <c r="B923" s="1" t="n">
        <v>36</v>
      </c>
    </row>
    <row r="924" customFormat="false" ht="15" hidden="false" customHeight="true" outlineLevel="0" collapsed="false">
      <c r="A924" s="1" t="s">
        <v>2877</v>
      </c>
      <c r="B924" s="1" t="n">
        <v>36</v>
      </c>
    </row>
    <row r="925" customFormat="false" ht="15" hidden="false" customHeight="true" outlineLevel="0" collapsed="false">
      <c r="A925" s="1" t="s">
        <v>2879</v>
      </c>
      <c r="B925" s="1" t="n">
        <v>36</v>
      </c>
    </row>
    <row r="926" customFormat="false" ht="15" hidden="false" customHeight="true" outlineLevel="0" collapsed="false">
      <c r="A926" s="1" t="s">
        <v>2750</v>
      </c>
      <c r="B926" s="1" t="n">
        <v>35</v>
      </c>
    </row>
    <row r="927" customFormat="false" ht="15" hidden="false" customHeight="true" outlineLevel="0" collapsed="false">
      <c r="A927" s="1" t="s">
        <v>2568</v>
      </c>
      <c r="B927" s="1" t="n">
        <v>35</v>
      </c>
    </row>
    <row r="928" customFormat="false" ht="15" hidden="false" customHeight="true" outlineLevel="0" collapsed="false">
      <c r="A928" s="1" t="s">
        <v>2767</v>
      </c>
      <c r="B928" s="1" t="n">
        <v>35</v>
      </c>
    </row>
    <row r="929" customFormat="false" ht="15" hidden="false" customHeight="true" outlineLevel="0" collapsed="false">
      <c r="A929" s="1" t="s">
        <v>2728</v>
      </c>
      <c r="B929" s="1" t="n">
        <v>35</v>
      </c>
    </row>
    <row r="930" customFormat="false" ht="15" hidden="false" customHeight="true" outlineLevel="0" collapsed="false">
      <c r="A930" s="1" t="s">
        <v>2889</v>
      </c>
      <c r="B930" s="1" t="n">
        <v>35</v>
      </c>
    </row>
    <row r="931" customFormat="false" ht="15" hidden="false" customHeight="true" outlineLevel="0" collapsed="false">
      <c r="A931" s="1" t="s">
        <v>2891</v>
      </c>
      <c r="B931" s="1" t="n">
        <v>35</v>
      </c>
    </row>
    <row r="932" customFormat="false" ht="15" hidden="false" customHeight="true" outlineLevel="0" collapsed="false">
      <c r="A932" s="1" t="s">
        <v>2893</v>
      </c>
      <c r="B932" s="1" t="n">
        <v>35</v>
      </c>
    </row>
    <row r="933" customFormat="false" ht="15" hidden="false" customHeight="true" outlineLevel="0" collapsed="false">
      <c r="A933" s="1" t="s">
        <v>2895</v>
      </c>
      <c r="B933" s="1" t="n">
        <v>35</v>
      </c>
    </row>
    <row r="934" customFormat="false" ht="15" hidden="false" customHeight="true" outlineLevel="0" collapsed="false">
      <c r="A934" s="1" t="s">
        <v>2607</v>
      </c>
      <c r="B934" s="1" t="n">
        <v>34</v>
      </c>
    </row>
    <row r="935" customFormat="false" ht="15" hidden="false" customHeight="true" outlineLevel="0" collapsed="false">
      <c r="A935" s="1" t="s">
        <v>2221</v>
      </c>
      <c r="B935" s="1" t="n">
        <v>34</v>
      </c>
    </row>
    <row r="936" customFormat="false" ht="15" hidden="false" customHeight="true" outlineLevel="0" collapsed="false">
      <c r="A936" s="1" t="s">
        <v>1870</v>
      </c>
      <c r="B936" s="1" t="n">
        <v>34</v>
      </c>
    </row>
    <row r="937" customFormat="false" ht="15" hidden="false" customHeight="true" outlineLevel="0" collapsed="false">
      <c r="A937" s="1" t="s">
        <v>2054</v>
      </c>
      <c r="B937" s="1" t="n">
        <v>34</v>
      </c>
    </row>
    <row r="938" customFormat="false" ht="15" hidden="false" customHeight="true" outlineLevel="0" collapsed="false">
      <c r="A938" s="1" t="s">
        <v>1729</v>
      </c>
      <c r="B938" s="1" t="n">
        <v>34</v>
      </c>
    </row>
    <row r="939" customFormat="false" ht="15" hidden="false" customHeight="true" outlineLevel="0" collapsed="false">
      <c r="A939" s="1" t="s">
        <v>2897</v>
      </c>
      <c r="B939" s="1" t="n">
        <v>34</v>
      </c>
    </row>
    <row r="940" customFormat="false" ht="15" hidden="false" customHeight="true" outlineLevel="0" collapsed="false">
      <c r="A940" s="1" t="s">
        <v>2915</v>
      </c>
      <c r="B940" s="1" t="n">
        <v>34</v>
      </c>
    </row>
    <row r="941" customFormat="false" ht="15" hidden="false" customHeight="true" outlineLevel="0" collapsed="false">
      <c r="A941" s="1" t="s">
        <v>2917</v>
      </c>
      <c r="B941" s="1" t="n">
        <v>34</v>
      </c>
    </row>
    <row r="942" customFormat="false" ht="15" hidden="false" customHeight="true" outlineLevel="0" collapsed="false">
      <c r="A942" s="1" t="s">
        <v>2919</v>
      </c>
      <c r="B942" s="1" t="n">
        <v>34</v>
      </c>
    </row>
    <row r="943" customFormat="false" ht="15" hidden="false" customHeight="true" outlineLevel="0" collapsed="false">
      <c r="A943" s="1" t="s">
        <v>2084</v>
      </c>
      <c r="B943" s="1" t="n">
        <v>33</v>
      </c>
    </row>
    <row r="944" customFormat="false" ht="15" hidden="false" customHeight="true" outlineLevel="0" collapsed="false">
      <c r="A944" s="1" t="s">
        <v>1940</v>
      </c>
      <c r="B944" s="1" t="n">
        <v>33</v>
      </c>
    </row>
    <row r="945" customFormat="false" ht="15" hidden="false" customHeight="true" outlineLevel="0" collapsed="false">
      <c r="A945" s="1" t="s">
        <v>2346</v>
      </c>
      <c r="B945" s="1" t="n">
        <v>33</v>
      </c>
    </row>
    <row r="946" customFormat="false" ht="15" hidden="false" customHeight="true" outlineLevel="0" collapsed="false">
      <c r="A946" s="1" t="s">
        <v>2645</v>
      </c>
      <c r="B946" s="1" t="n">
        <v>33</v>
      </c>
    </row>
    <row r="947" customFormat="false" ht="15" hidden="false" customHeight="true" outlineLevel="0" collapsed="false">
      <c r="A947" s="1" t="s">
        <v>2626</v>
      </c>
      <c r="B947" s="1" t="n">
        <v>33</v>
      </c>
    </row>
    <row r="948" customFormat="false" ht="15" hidden="false" customHeight="true" outlineLevel="0" collapsed="false">
      <c r="A948" s="1" t="s">
        <v>2936</v>
      </c>
      <c r="B948" s="1" t="n">
        <v>33</v>
      </c>
    </row>
    <row r="949" customFormat="false" ht="15" hidden="false" customHeight="true" outlineLevel="0" collapsed="false">
      <c r="A949" s="1" t="s">
        <v>2937</v>
      </c>
      <c r="B949" s="1" t="n">
        <v>33</v>
      </c>
    </row>
    <row r="950" customFormat="false" ht="15" hidden="false" customHeight="true" outlineLevel="0" collapsed="false">
      <c r="A950" s="1" t="s">
        <v>2939</v>
      </c>
      <c r="B950" s="1" t="n">
        <v>33</v>
      </c>
    </row>
    <row r="951" customFormat="false" ht="15" hidden="false" customHeight="true" outlineLevel="0" collapsed="false">
      <c r="A951" s="1" t="s">
        <v>2941</v>
      </c>
      <c r="B951" s="1" t="n">
        <v>33</v>
      </c>
    </row>
    <row r="952" customFormat="false" ht="15" hidden="false" customHeight="true" outlineLevel="0" collapsed="false">
      <c r="A952" s="1" t="s">
        <v>2943</v>
      </c>
      <c r="B952" s="1" t="n">
        <v>33</v>
      </c>
    </row>
    <row r="953" customFormat="false" ht="15" hidden="false" customHeight="true" outlineLevel="0" collapsed="false">
      <c r="A953" s="1" t="s">
        <v>2321</v>
      </c>
      <c r="B953" s="1" t="n">
        <v>32</v>
      </c>
    </row>
    <row r="954" customFormat="false" ht="15" hidden="false" customHeight="true" outlineLevel="0" collapsed="false">
      <c r="A954" s="1" t="s">
        <v>2685</v>
      </c>
      <c r="B954" s="1" t="n">
        <v>32</v>
      </c>
    </row>
    <row r="955" customFormat="false" ht="15" hidden="false" customHeight="true" outlineLevel="0" collapsed="false">
      <c r="A955" s="1" t="s">
        <v>2043</v>
      </c>
      <c r="B955" s="1" t="n">
        <v>32</v>
      </c>
    </row>
    <row r="956" customFormat="false" ht="15" hidden="false" customHeight="true" outlineLevel="0" collapsed="false">
      <c r="A956" s="1" t="s">
        <v>2044</v>
      </c>
      <c r="B956" s="1" t="n">
        <v>31</v>
      </c>
    </row>
    <row r="957" customFormat="false" ht="15" hidden="false" customHeight="true" outlineLevel="0" collapsed="false">
      <c r="A957" s="1" t="s">
        <v>1585</v>
      </c>
      <c r="B957" s="1" t="n">
        <v>31</v>
      </c>
    </row>
    <row r="958" customFormat="false" ht="15" hidden="false" customHeight="true" outlineLevel="0" collapsed="false">
      <c r="A958" s="1" t="s">
        <v>1766</v>
      </c>
      <c r="B958" s="1" t="n">
        <v>31</v>
      </c>
    </row>
    <row r="959" customFormat="false" ht="15" hidden="false" customHeight="true" outlineLevel="0" collapsed="false">
      <c r="A959" s="1" t="s">
        <v>2367</v>
      </c>
      <c r="B959" s="1" t="n">
        <v>31</v>
      </c>
    </row>
    <row r="960" customFormat="false" ht="15" hidden="false" customHeight="true" outlineLevel="0" collapsed="false">
      <c r="A960" s="1" t="s">
        <v>2790</v>
      </c>
      <c r="B960" s="1" t="n">
        <v>31</v>
      </c>
    </row>
    <row r="961" customFormat="false" ht="15" hidden="false" customHeight="true" outlineLevel="0" collapsed="false">
      <c r="A961" s="1" t="s">
        <v>2881</v>
      </c>
      <c r="B961" s="1" t="n">
        <v>31</v>
      </c>
    </row>
    <row r="962" customFormat="false" ht="15" hidden="false" customHeight="true" outlineLevel="0" collapsed="false">
      <c r="A962" s="1" t="s">
        <v>2793</v>
      </c>
      <c r="B962" s="1" t="n">
        <v>30</v>
      </c>
    </row>
    <row r="963" customFormat="false" ht="15" hidden="false" customHeight="true" outlineLevel="0" collapsed="false">
      <c r="A963" s="1" t="s">
        <v>2242</v>
      </c>
      <c r="B963" s="1" t="n">
        <v>30</v>
      </c>
    </row>
    <row r="964" customFormat="false" ht="15" hidden="false" customHeight="true" outlineLevel="0" collapsed="false">
      <c r="A964" s="1" t="s">
        <v>2662</v>
      </c>
      <c r="B964" s="1" t="n">
        <v>30</v>
      </c>
    </row>
    <row r="965" customFormat="false" ht="15" hidden="false" customHeight="true" outlineLevel="0" collapsed="false">
      <c r="A965" s="1" t="s">
        <v>2451</v>
      </c>
      <c r="B965" s="1" t="n">
        <v>30</v>
      </c>
    </row>
    <row r="966" customFormat="false" ht="15" hidden="false" customHeight="true" outlineLevel="0" collapsed="false">
      <c r="A966" s="1" t="s">
        <v>2348</v>
      </c>
      <c r="B966" s="1" t="n">
        <v>30</v>
      </c>
    </row>
    <row r="967" customFormat="false" ht="15" hidden="false" customHeight="true" outlineLevel="0" collapsed="false">
      <c r="A967" s="1" t="s">
        <v>2978</v>
      </c>
      <c r="B967" s="1" t="n">
        <v>30</v>
      </c>
    </row>
    <row r="968" customFormat="false" ht="15" hidden="false" customHeight="true" outlineLevel="0" collapsed="false">
      <c r="A968" s="1" t="s">
        <v>2769</v>
      </c>
      <c r="B968" s="1" t="n">
        <v>29</v>
      </c>
    </row>
    <row r="969" customFormat="false" ht="15" hidden="false" customHeight="true" outlineLevel="0" collapsed="false">
      <c r="A969" s="1" t="s">
        <v>2139</v>
      </c>
      <c r="B969" s="1" t="n">
        <v>29</v>
      </c>
    </row>
    <row r="970" customFormat="false" ht="15" hidden="false" customHeight="true" outlineLevel="0" collapsed="false">
      <c r="A970" s="1" t="s">
        <v>2663</v>
      </c>
      <c r="B970" s="1" t="n">
        <v>29</v>
      </c>
    </row>
    <row r="971" customFormat="false" ht="15" hidden="false" customHeight="true" outlineLevel="0" collapsed="false">
      <c r="A971" s="1" t="s">
        <v>2104</v>
      </c>
      <c r="B971" s="1" t="n">
        <v>29</v>
      </c>
    </row>
    <row r="972" customFormat="false" ht="15" hidden="false" customHeight="true" outlineLevel="0" collapsed="false">
      <c r="A972" s="1" t="s">
        <v>2837</v>
      </c>
      <c r="B972" s="1" t="n">
        <v>29</v>
      </c>
    </row>
    <row r="973" customFormat="false" ht="15" hidden="false" customHeight="true" outlineLevel="0" collapsed="false">
      <c r="A973" s="1" t="s">
        <v>2899</v>
      </c>
      <c r="B973" s="1" t="n">
        <v>29</v>
      </c>
    </row>
    <row r="974" customFormat="false" ht="15" hidden="false" customHeight="true" outlineLevel="0" collapsed="false">
      <c r="A974" s="1" t="s">
        <v>2811</v>
      </c>
      <c r="B974" s="1" t="n">
        <v>29</v>
      </c>
    </row>
    <row r="975" customFormat="false" ht="15" hidden="false" customHeight="true" outlineLevel="0" collapsed="false">
      <c r="A975" s="1" t="s">
        <v>3000</v>
      </c>
      <c r="B975" s="1" t="n">
        <v>29</v>
      </c>
    </row>
    <row r="976" customFormat="false" ht="15" hidden="false" customHeight="true" outlineLevel="0" collapsed="false">
      <c r="A976" s="1" t="s">
        <v>3002</v>
      </c>
      <c r="B976" s="1" t="n">
        <v>29</v>
      </c>
    </row>
    <row r="977" customFormat="false" ht="15" hidden="false" customHeight="true" outlineLevel="0" collapsed="false">
      <c r="A977" s="1" t="s">
        <v>3004</v>
      </c>
      <c r="B977" s="1" t="n">
        <v>29</v>
      </c>
    </row>
    <row r="978" customFormat="false" ht="15" hidden="false" customHeight="true" outlineLevel="0" collapsed="false">
      <c r="A978" s="1" t="s">
        <v>2647</v>
      </c>
      <c r="B978" s="1" t="n">
        <v>28</v>
      </c>
    </row>
    <row r="979" customFormat="false" ht="15" hidden="false" customHeight="true" outlineLevel="0" collapsed="false">
      <c r="A979" s="1" t="s">
        <v>2441</v>
      </c>
      <c r="B979" s="1" t="n">
        <v>28</v>
      </c>
    </row>
    <row r="980" customFormat="false" ht="15" hidden="false" customHeight="true" outlineLevel="0" collapsed="false">
      <c r="A980" s="1" t="s">
        <v>2063</v>
      </c>
      <c r="B980" s="1" t="n">
        <v>28</v>
      </c>
    </row>
    <row r="981" customFormat="false" ht="15" hidden="false" customHeight="true" outlineLevel="0" collapsed="false">
      <c r="A981" s="1" t="s">
        <v>2839</v>
      </c>
      <c r="B981" s="1" t="n">
        <v>28</v>
      </c>
    </row>
    <row r="982" customFormat="false" ht="15" hidden="false" customHeight="true" outlineLevel="0" collapsed="false">
      <c r="A982" s="1" t="s">
        <v>3025</v>
      </c>
      <c r="B982" s="1" t="n">
        <v>28</v>
      </c>
    </row>
    <row r="983" customFormat="false" ht="15" hidden="false" customHeight="true" outlineLevel="0" collapsed="false">
      <c r="A983" s="1" t="s">
        <v>2106</v>
      </c>
      <c r="B983" s="1" t="n">
        <v>27</v>
      </c>
    </row>
    <row r="984" customFormat="false" ht="15" hidden="false" customHeight="true" outlineLevel="0" collapsed="false">
      <c r="A984" s="1" t="s">
        <v>3006</v>
      </c>
      <c r="B984" s="1" t="n">
        <v>27</v>
      </c>
    </row>
    <row r="985" customFormat="false" ht="15" hidden="false" customHeight="true" outlineLevel="0" collapsed="false">
      <c r="A985" s="1" t="s">
        <v>3033</v>
      </c>
      <c r="B985" s="1" t="n">
        <v>27</v>
      </c>
    </row>
    <row r="986" customFormat="false" ht="15" hidden="false" customHeight="true" outlineLevel="0" collapsed="false">
      <c r="A986" s="1" t="s">
        <v>3035</v>
      </c>
      <c r="B986" s="1" t="n">
        <v>27</v>
      </c>
    </row>
    <row r="987" customFormat="false" ht="15" hidden="false" customHeight="true" outlineLevel="0" collapsed="false">
      <c r="A987" s="1" t="s">
        <v>2961</v>
      </c>
      <c r="B987" s="1" t="n">
        <v>26</v>
      </c>
    </row>
    <row r="988" customFormat="false" ht="15" hidden="false" customHeight="true" outlineLevel="0" collapsed="false">
      <c r="A988" s="1" t="s">
        <v>1991</v>
      </c>
      <c r="B988" s="1" t="n">
        <v>26</v>
      </c>
    </row>
    <row r="989" customFormat="false" ht="15" hidden="false" customHeight="true" outlineLevel="0" collapsed="false">
      <c r="A989" s="1" t="s">
        <v>3050</v>
      </c>
      <c r="B989" s="1" t="n">
        <v>26</v>
      </c>
    </row>
    <row r="990" customFormat="false" ht="15" hidden="false" customHeight="true" outlineLevel="0" collapsed="false">
      <c r="A990" s="1" t="s">
        <v>3053</v>
      </c>
      <c r="B990" s="1" t="n">
        <v>26</v>
      </c>
    </row>
    <row r="991" customFormat="false" ht="15" hidden="false" customHeight="true" outlineLevel="0" collapsed="false">
      <c r="A991" s="1" t="s">
        <v>3055</v>
      </c>
      <c r="B991" s="1" t="n">
        <v>26</v>
      </c>
    </row>
    <row r="992" customFormat="false" ht="15" hidden="false" customHeight="true" outlineLevel="0" collapsed="false">
      <c r="A992" s="1" t="s">
        <v>1888</v>
      </c>
      <c r="B992" s="1" t="n">
        <v>25</v>
      </c>
    </row>
    <row r="993" customFormat="false" ht="15" hidden="false" customHeight="true" outlineLevel="0" collapsed="false">
      <c r="A993" s="1" t="s">
        <v>2864</v>
      </c>
      <c r="B993" s="1" t="n">
        <v>25</v>
      </c>
    </row>
    <row r="994" customFormat="false" ht="15" hidden="false" customHeight="true" outlineLevel="0" collapsed="false">
      <c r="A994" s="1" t="s">
        <v>2686</v>
      </c>
      <c r="B994" s="1" t="n">
        <v>25</v>
      </c>
    </row>
    <row r="995" customFormat="false" ht="15" hidden="false" customHeight="true" outlineLevel="0" collapsed="false">
      <c r="A995" s="1" t="s">
        <v>2065</v>
      </c>
      <c r="B995" s="1" t="n">
        <v>25</v>
      </c>
    </row>
    <row r="996" customFormat="false" ht="15" hidden="false" customHeight="true" outlineLevel="0" collapsed="false">
      <c r="A996" s="1" t="s">
        <v>2260</v>
      </c>
      <c r="B996" s="1" t="n">
        <v>25</v>
      </c>
    </row>
    <row r="997" customFormat="false" ht="15" hidden="false" customHeight="true" outlineLevel="0" collapsed="false">
      <c r="A997" s="1" t="s">
        <v>2245</v>
      </c>
      <c r="B997" s="1" t="n">
        <v>25</v>
      </c>
    </row>
    <row r="998" customFormat="false" ht="15" hidden="false" customHeight="true" outlineLevel="0" collapsed="false">
      <c r="A998" s="1" t="s">
        <v>2729</v>
      </c>
      <c r="B998" s="1" t="n">
        <v>25</v>
      </c>
    </row>
    <row r="999" customFormat="false" ht="15" hidden="false" customHeight="true" outlineLevel="0" collapsed="false">
      <c r="A999" s="1" t="s">
        <v>3068</v>
      </c>
      <c r="B999" s="1" t="n">
        <v>25</v>
      </c>
    </row>
    <row r="1000" customFormat="false" ht="15" hidden="false" customHeight="true" outlineLevel="0" collapsed="false">
      <c r="A1000" s="1" t="s">
        <v>3070</v>
      </c>
      <c r="B1000" s="1" t="n">
        <v>25</v>
      </c>
    </row>
    <row r="1001" customFormat="false" ht="15" hidden="false" customHeight="true" outlineLevel="0" collapsed="false">
      <c r="A1001" s="1" t="s">
        <v>3072</v>
      </c>
      <c r="B1001" s="1" t="n">
        <v>24</v>
      </c>
    </row>
    <row r="1002" customFormat="false" ht="15" hidden="false" customHeight="true" outlineLevel="0" collapsed="false">
      <c r="A1002" s="1" t="s">
        <v>2945</v>
      </c>
      <c r="B1002" s="1" t="n">
        <v>24</v>
      </c>
    </row>
    <row r="1003" customFormat="false" ht="15" hidden="false" customHeight="true" outlineLevel="0" collapsed="false">
      <c r="A1003" s="1" t="s">
        <v>2056</v>
      </c>
      <c r="B1003" s="1" t="n">
        <v>24</v>
      </c>
    </row>
    <row r="1004" customFormat="false" ht="15" hidden="false" customHeight="true" outlineLevel="0" collapsed="false">
      <c r="A1004" s="1" t="s">
        <v>2303</v>
      </c>
      <c r="B1004" s="1" t="n">
        <v>23</v>
      </c>
    </row>
    <row r="1005" customFormat="false" ht="15" hidden="false" customHeight="true" outlineLevel="0" collapsed="false">
      <c r="A1005" s="1" t="s">
        <v>1966</v>
      </c>
      <c r="B1005" s="1" t="n">
        <v>23</v>
      </c>
    </row>
    <row r="1006" customFormat="false" ht="15" hidden="false" customHeight="true" outlineLevel="0" collapsed="false">
      <c r="A1006" s="1" t="s">
        <v>3115</v>
      </c>
      <c r="B1006" s="1" t="n">
        <v>23</v>
      </c>
    </row>
    <row r="1007" customFormat="false" ht="15" hidden="false" customHeight="true" outlineLevel="0" collapsed="false">
      <c r="A1007" s="1" t="s">
        <v>3117</v>
      </c>
      <c r="B1007" s="1" t="n">
        <v>23</v>
      </c>
    </row>
    <row r="1008" customFormat="false" ht="15" hidden="false" customHeight="true" outlineLevel="0" collapsed="false">
      <c r="A1008" s="1" t="s">
        <v>3119</v>
      </c>
      <c r="B1008" s="1" t="n">
        <v>23</v>
      </c>
    </row>
    <row r="1009" customFormat="false" ht="15" hidden="false" customHeight="true" outlineLevel="0" collapsed="false">
      <c r="A1009" s="1" t="s">
        <v>3121</v>
      </c>
      <c r="B1009" s="1" t="n">
        <v>23</v>
      </c>
    </row>
    <row r="1010" customFormat="false" ht="15" hidden="false" customHeight="true" outlineLevel="0" collapsed="false">
      <c r="A1010" s="1" t="s">
        <v>3123</v>
      </c>
      <c r="B1010" s="1" t="n">
        <v>23</v>
      </c>
    </row>
    <row r="1011" customFormat="false" ht="15" hidden="false" customHeight="true" outlineLevel="0" collapsed="false">
      <c r="A1011" s="1" t="s">
        <v>3124</v>
      </c>
      <c r="B1011" s="1" t="n">
        <v>23</v>
      </c>
    </row>
    <row r="1012" customFormat="false" ht="15" hidden="false" customHeight="true" outlineLevel="0" collapsed="false">
      <c r="A1012" s="1" t="s">
        <v>2453</v>
      </c>
      <c r="B1012" s="1" t="n">
        <v>22</v>
      </c>
    </row>
    <row r="1013" customFormat="false" ht="15" hidden="false" customHeight="true" outlineLevel="0" collapsed="false">
      <c r="A1013" s="1" t="s">
        <v>3091</v>
      </c>
      <c r="B1013" s="1" t="n">
        <v>22</v>
      </c>
    </row>
    <row r="1014" customFormat="false" ht="15" hidden="false" customHeight="true" outlineLevel="0" collapsed="false">
      <c r="A1014" s="1" t="s">
        <v>2921</v>
      </c>
      <c r="B1014" s="1" t="n">
        <v>22</v>
      </c>
    </row>
    <row r="1015" customFormat="false" ht="15" hidden="false" customHeight="true" outlineLevel="0" collapsed="false">
      <c r="A1015" s="1" t="s">
        <v>2650</v>
      </c>
      <c r="B1015" s="1" t="n">
        <v>22</v>
      </c>
    </row>
    <row r="1016" customFormat="false" ht="15" hidden="false" customHeight="true" outlineLevel="0" collapsed="false">
      <c r="A1016" s="1" t="s">
        <v>2409</v>
      </c>
      <c r="B1016" s="1" t="n">
        <v>22</v>
      </c>
    </row>
    <row r="1017" customFormat="false" ht="15" hidden="false" customHeight="true" outlineLevel="0" collapsed="false">
      <c r="A1017" s="1" t="s">
        <v>2923</v>
      </c>
      <c r="B1017" s="1" t="n">
        <v>22</v>
      </c>
    </row>
    <row r="1018" customFormat="false" ht="15" hidden="false" customHeight="true" outlineLevel="0" collapsed="false">
      <c r="A1018" s="1" t="s">
        <v>3057</v>
      </c>
      <c r="B1018" s="1" t="n">
        <v>21</v>
      </c>
    </row>
    <row r="1019" customFormat="false" ht="15" hidden="false" customHeight="true" outlineLevel="0" collapsed="false">
      <c r="A1019" s="1" t="s">
        <v>3165</v>
      </c>
      <c r="B1019" s="1" t="n">
        <v>21</v>
      </c>
    </row>
    <row r="1020" customFormat="false" ht="15" hidden="false" customHeight="true" outlineLevel="0" collapsed="false">
      <c r="A1020" s="1" t="s">
        <v>3167</v>
      </c>
      <c r="B1020" s="1" t="n">
        <v>21</v>
      </c>
    </row>
    <row r="1021" customFormat="false" ht="15" hidden="false" customHeight="true" outlineLevel="0" collapsed="false">
      <c r="A1021" s="1" t="s">
        <v>3037</v>
      </c>
      <c r="B1021" s="1" t="n">
        <v>20</v>
      </c>
    </row>
    <row r="1022" customFormat="false" ht="15" hidden="false" customHeight="true" outlineLevel="0" collapsed="false">
      <c r="A1022" s="1" t="s">
        <v>2980</v>
      </c>
      <c r="B1022" s="1" t="n">
        <v>20</v>
      </c>
    </row>
    <row r="1023" customFormat="false" ht="15" hidden="false" customHeight="true" outlineLevel="0" collapsed="false">
      <c r="A1023" s="1" t="s">
        <v>2982</v>
      </c>
      <c r="B1023" s="1" t="n">
        <v>20</v>
      </c>
    </row>
    <row r="1024" customFormat="false" ht="15" hidden="false" customHeight="true" outlineLevel="0" collapsed="false">
      <c r="A1024" s="1" t="s">
        <v>3126</v>
      </c>
      <c r="B1024" s="1" t="n">
        <v>20</v>
      </c>
    </row>
    <row r="1025" customFormat="false" ht="15" hidden="false" customHeight="true" outlineLevel="0" collapsed="false">
      <c r="A1025" s="1" t="s">
        <v>3141</v>
      </c>
      <c r="B1025" s="1" t="n">
        <v>20</v>
      </c>
    </row>
    <row r="1026" customFormat="false" ht="15" hidden="false" customHeight="true" outlineLevel="0" collapsed="false">
      <c r="A1026" s="1" t="s">
        <v>3179</v>
      </c>
      <c r="B1026" s="1" t="n">
        <v>20</v>
      </c>
    </row>
    <row r="1027" customFormat="false" ht="15" hidden="false" customHeight="true" outlineLevel="0" collapsed="false">
      <c r="A1027" s="1" t="s">
        <v>3182</v>
      </c>
      <c r="B1027" s="1" t="n">
        <v>20</v>
      </c>
    </row>
    <row r="1028" customFormat="false" ht="15" hidden="false" customHeight="true" outlineLevel="0" collapsed="false">
      <c r="A1028" s="1" t="s">
        <v>3184</v>
      </c>
      <c r="B1028" s="1" t="n">
        <v>20</v>
      </c>
    </row>
    <row r="1029" customFormat="false" ht="15" hidden="false" customHeight="true" outlineLevel="0" collapsed="false">
      <c r="A1029" s="1" t="s">
        <v>3195</v>
      </c>
      <c r="B1029" s="1" t="n">
        <v>19</v>
      </c>
    </row>
    <row r="1030" customFormat="false" ht="15" hidden="false" customHeight="true" outlineLevel="0" collapsed="false">
      <c r="A1030" s="1" t="s">
        <v>2107</v>
      </c>
      <c r="B1030" s="1" t="n">
        <v>19</v>
      </c>
    </row>
    <row r="1031" customFormat="false" ht="15" hidden="false" customHeight="true" outlineLevel="0" collapsed="false">
      <c r="A1031" s="1" t="s">
        <v>2984</v>
      </c>
      <c r="B1031" s="1" t="n">
        <v>19</v>
      </c>
    </row>
    <row r="1032" customFormat="false" ht="15" hidden="false" customHeight="true" outlineLevel="0" collapsed="false">
      <c r="A1032" s="1" t="s">
        <v>3093</v>
      </c>
      <c r="B1032" s="1" t="n">
        <v>19</v>
      </c>
    </row>
    <row r="1033" customFormat="false" ht="15" hidden="false" customHeight="true" outlineLevel="0" collapsed="false">
      <c r="A1033" s="1" t="s">
        <v>2086</v>
      </c>
      <c r="B1033" s="1" t="n">
        <v>19</v>
      </c>
    </row>
    <row r="1034" customFormat="false" ht="15" hidden="false" customHeight="true" outlineLevel="0" collapsed="false">
      <c r="A1034" s="1" t="s">
        <v>1845</v>
      </c>
      <c r="B1034" s="1" t="n">
        <v>19</v>
      </c>
    </row>
    <row r="1035" customFormat="false" ht="15" hidden="false" customHeight="true" outlineLevel="0" collapsed="false">
      <c r="A1035" s="1" t="s">
        <v>2434</v>
      </c>
      <c r="B1035" s="1" t="n">
        <v>19</v>
      </c>
    </row>
    <row r="1036" customFormat="false" ht="15" hidden="false" customHeight="true" outlineLevel="0" collapsed="false">
      <c r="A1036" s="1" t="s">
        <v>3196</v>
      </c>
      <c r="B1036" s="1" t="n">
        <v>19</v>
      </c>
    </row>
    <row r="1037" customFormat="false" ht="15" hidden="false" customHeight="true" outlineLevel="0" collapsed="false">
      <c r="A1037" s="1" t="s">
        <v>3198</v>
      </c>
      <c r="B1037" s="1" t="n">
        <v>19</v>
      </c>
    </row>
    <row r="1038" customFormat="false" ht="15" hidden="false" customHeight="true" outlineLevel="0" collapsed="false">
      <c r="A1038" s="1" t="s">
        <v>3200</v>
      </c>
      <c r="B1038" s="1" t="n">
        <v>19</v>
      </c>
    </row>
    <row r="1039" customFormat="false" ht="15" hidden="false" customHeight="true" outlineLevel="0" collapsed="false">
      <c r="A1039" s="1" t="s">
        <v>3202</v>
      </c>
      <c r="B1039" s="1" t="n">
        <v>19</v>
      </c>
    </row>
    <row r="1040" customFormat="false" ht="15" hidden="false" customHeight="true" outlineLevel="0" collapsed="false">
      <c r="A1040" s="1" t="s">
        <v>3219</v>
      </c>
      <c r="B1040" s="1" t="n">
        <v>18</v>
      </c>
    </row>
    <row r="1041" customFormat="false" ht="15" hidden="false" customHeight="true" outlineLevel="0" collapsed="false">
      <c r="A1041" s="1" t="s">
        <v>3058</v>
      </c>
      <c r="B1041" s="1" t="n">
        <v>18</v>
      </c>
    </row>
    <row r="1042" customFormat="false" ht="15" hidden="false" customHeight="true" outlineLevel="0" collapsed="false">
      <c r="A1042" s="1" t="s">
        <v>2812</v>
      </c>
      <c r="B1042" s="1" t="n">
        <v>18</v>
      </c>
    </row>
    <row r="1043" customFormat="false" ht="15" hidden="false" customHeight="true" outlineLevel="0" collapsed="false">
      <c r="A1043" s="1" t="s">
        <v>2985</v>
      </c>
      <c r="B1043" s="1" t="n">
        <v>18</v>
      </c>
    </row>
    <row r="1044" customFormat="false" ht="15" hidden="false" customHeight="true" outlineLevel="0" collapsed="false">
      <c r="A1044" s="1" t="s">
        <v>3008</v>
      </c>
      <c r="B1044" s="1" t="n">
        <v>18</v>
      </c>
    </row>
    <row r="1045" customFormat="false" ht="15" hidden="false" customHeight="true" outlineLevel="0" collapsed="false">
      <c r="A1045" s="1" t="s">
        <v>3095</v>
      </c>
      <c r="B1045" s="1" t="n">
        <v>18</v>
      </c>
    </row>
    <row r="1046" customFormat="false" ht="15" hidden="false" customHeight="true" outlineLevel="0" collapsed="false">
      <c r="A1046" s="1" t="s">
        <v>3222</v>
      </c>
      <c r="B1046" s="1" t="n">
        <v>18</v>
      </c>
    </row>
    <row r="1047" customFormat="false" ht="15" hidden="false" customHeight="true" outlineLevel="0" collapsed="false">
      <c r="A1047" s="1" t="s">
        <v>3224</v>
      </c>
      <c r="B1047" s="1" t="n">
        <v>18</v>
      </c>
    </row>
    <row r="1048" customFormat="false" ht="15" hidden="false" customHeight="true" outlineLevel="0" collapsed="false">
      <c r="A1048" s="1" t="s">
        <v>3226</v>
      </c>
      <c r="B1048" s="1" t="n">
        <v>18</v>
      </c>
    </row>
    <row r="1049" customFormat="false" ht="15" hidden="false" customHeight="true" outlineLevel="0" collapsed="false">
      <c r="A1049" s="1" t="s">
        <v>3228</v>
      </c>
      <c r="B1049" s="1" t="n">
        <v>18</v>
      </c>
    </row>
    <row r="1050" customFormat="false" ht="15" hidden="false" customHeight="true" outlineLevel="0" collapsed="false">
      <c r="A1050" s="1" t="s">
        <v>3229</v>
      </c>
      <c r="B1050" s="1" t="n">
        <v>18</v>
      </c>
    </row>
    <row r="1051" customFormat="false" ht="15" hidden="false" customHeight="true" outlineLevel="0" collapsed="false">
      <c r="A1051" s="1" t="s">
        <v>3073</v>
      </c>
      <c r="B1051" s="1" t="n">
        <v>17</v>
      </c>
    </row>
    <row r="1052" customFormat="false" ht="15" hidden="false" customHeight="true" outlineLevel="0" collapsed="false">
      <c r="A1052" s="1" t="s">
        <v>3186</v>
      </c>
      <c r="B1052" s="1" t="n">
        <v>17</v>
      </c>
    </row>
    <row r="1053" customFormat="false" ht="15" hidden="false" customHeight="true" outlineLevel="0" collapsed="false">
      <c r="A1053" s="1" t="s">
        <v>2814</v>
      </c>
      <c r="B1053" s="1" t="n">
        <v>17</v>
      </c>
    </row>
    <row r="1054" customFormat="false" ht="15" hidden="false" customHeight="true" outlineLevel="0" collapsed="false">
      <c r="A1054" s="1" t="s">
        <v>2900</v>
      </c>
      <c r="B1054" s="1" t="n">
        <v>17</v>
      </c>
    </row>
    <row r="1055" customFormat="false" ht="15" hidden="false" customHeight="true" outlineLevel="0" collapsed="false">
      <c r="A1055" s="1" t="s">
        <v>3254</v>
      </c>
      <c r="B1055" s="1" t="n">
        <v>17</v>
      </c>
    </row>
    <row r="1056" customFormat="false" ht="15" hidden="false" customHeight="true" outlineLevel="0" collapsed="false">
      <c r="A1056" s="1" t="s">
        <v>3256</v>
      </c>
      <c r="B1056" s="1" t="n">
        <v>17</v>
      </c>
    </row>
    <row r="1057" customFormat="false" ht="15" hidden="false" customHeight="true" outlineLevel="0" collapsed="false">
      <c r="A1057" s="1" t="s">
        <v>2609</v>
      </c>
      <c r="B1057" s="1" t="n">
        <v>16</v>
      </c>
    </row>
    <row r="1058" customFormat="false" ht="15" hidden="false" customHeight="true" outlineLevel="0" collapsed="false">
      <c r="A1058" s="1" t="s">
        <v>2947</v>
      </c>
      <c r="B1058" s="1" t="n">
        <v>16</v>
      </c>
    </row>
    <row r="1059" customFormat="false" ht="15" hidden="false" customHeight="true" outlineLevel="0" collapsed="false">
      <c r="A1059" s="1" t="s">
        <v>2731</v>
      </c>
      <c r="B1059" s="1" t="n">
        <v>16</v>
      </c>
    </row>
    <row r="1060" customFormat="false" ht="15" hidden="false" customHeight="true" outlineLevel="0" collapsed="false">
      <c r="A1060" s="1" t="s">
        <v>1712</v>
      </c>
      <c r="B1060" s="1" t="n">
        <v>16</v>
      </c>
    </row>
    <row r="1061" customFormat="false" ht="15" hidden="false" customHeight="true" outlineLevel="0" collapsed="false">
      <c r="A1061" s="1" t="s">
        <v>3277</v>
      </c>
      <c r="B1061" s="1" t="n">
        <v>16</v>
      </c>
    </row>
    <row r="1062" customFormat="false" ht="15" hidden="false" customHeight="true" outlineLevel="0" collapsed="false">
      <c r="A1062" s="1" t="s">
        <v>3279</v>
      </c>
      <c r="B1062" s="1" t="n">
        <v>16</v>
      </c>
    </row>
    <row r="1063" customFormat="false" ht="15" hidden="false" customHeight="true" outlineLevel="0" collapsed="false">
      <c r="A1063" s="1" t="s">
        <v>3282</v>
      </c>
      <c r="B1063" s="1" t="n">
        <v>16</v>
      </c>
    </row>
    <row r="1064" customFormat="false" ht="15" hidden="false" customHeight="true" outlineLevel="0" collapsed="false">
      <c r="A1064" s="1" t="s">
        <v>3009</v>
      </c>
      <c r="B1064" s="1" t="n">
        <v>15</v>
      </c>
    </row>
    <row r="1065" customFormat="false" ht="15" hidden="false" customHeight="true" outlineLevel="0" collapsed="false">
      <c r="A1065" s="1" t="s">
        <v>3296</v>
      </c>
      <c r="B1065" s="1" t="n">
        <v>15</v>
      </c>
    </row>
    <row r="1066" customFormat="false" ht="15" hidden="false" customHeight="true" outlineLevel="0" collapsed="false">
      <c r="A1066" s="1" t="s">
        <v>3298</v>
      </c>
      <c r="B1066" s="1" t="n">
        <v>15</v>
      </c>
    </row>
    <row r="1067" customFormat="false" ht="15" hidden="false" customHeight="true" outlineLevel="0" collapsed="false">
      <c r="A1067" s="1" t="s">
        <v>3128</v>
      </c>
      <c r="B1067" s="1" t="n">
        <v>15</v>
      </c>
    </row>
    <row r="1068" customFormat="false" ht="15" hidden="false" customHeight="true" outlineLevel="0" collapsed="false">
      <c r="A1068" s="1" t="s">
        <v>2497</v>
      </c>
      <c r="B1068" s="1" t="n">
        <v>15</v>
      </c>
    </row>
    <row r="1069" customFormat="false" ht="15" hidden="false" customHeight="true" outlineLevel="0" collapsed="false">
      <c r="A1069" s="1" t="s">
        <v>1475</v>
      </c>
      <c r="B1069" s="1" t="n">
        <v>15</v>
      </c>
    </row>
    <row r="1070" customFormat="false" ht="15" hidden="false" customHeight="true" outlineLevel="0" collapsed="false">
      <c r="A1070" s="1" t="s">
        <v>2628</v>
      </c>
      <c r="B1070" s="1" t="n">
        <v>15</v>
      </c>
    </row>
    <row r="1071" customFormat="false" ht="15" hidden="false" customHeight="true" outlineLevel="0" collapsed="false">
      <c r="A1071" s="1" t="s">
        <v>2970</v>
      </c>
      <c r="B1071" s="1" t="n">
        <v>15</v>
      </c>
    </row>
    <row r="1072" customFormat="false" ht="15" hidden="false" customHeight="true" outlineLevel="0" collapsed="false">
      <c r="A1072" s="1" t="s">
        <v>3300</v>
      </c>
      <c r="B1072" s="1" t="n">
        <v>15</v>
      </c>
    </row>
    <row r="1073" customFormat="false" ht="15" hidden="false" customHeight="true" outlineLevel="0" collapsed="false">
      <c r="A1073" s="1" t="s">
        <v>3302</v>
      </c>
      <c r="B1073" s="1" t="n">
        <v>15</v>
      </c>
    </row>
    <row r="1074" customFormat="false" ht="15" hidden="false" customHeight="true" outlineLevel="0" collapsed="false">
      <c r="A1074" s="1" t="s">
        <v>3305</v>
      </c>
      <c r="B1074" s="1" t="n">
        <v>15</v>
      </c>
    </row>
    <row r="1075" customFormat="false" ht="15" hidden="false" customHeight="true" outlineLevel="0" collapsed="false">
      <c r="A1075" s="1" t="s">
        <v>2987</v>
      </c>
      <c r="B1075" s="1" t="n">
        <v>14</v>
      </c>
    </row>
    <row r="1076" customFormat="false" ht="15" hidden="false" customHeight="true" outlineLevel="0" collapsed="false">
      <c r="A1076" s="1" t="s">
        <v>3143</v>
      </c>
      <c r="B1076" s="1" t="n">
        <v>14</v>
      </c>
    </row>
    <row r="1077" customFormat="false" ht="15" hidden="false" customHeight="true" outlineLevel="0" collapsed="false">
      <c r="A1077" s="1" t="s">
        <v>3075</v>
      </c>
      <c r="B1077" s="1" t="n">
        <v>14</v>
      </c>
    </row>
    <row r="1078" customFormat="false" ht="15" hidden="false" customHeight="true" outlineLevel="0" collapsed="false">
      <c r="A1078" s="1" t="s">
        <v>2196</v>
      </c>
      <c r="B1078" s="1" t="n">
        <v>14</v>
      </c>
    </row>
    <row r="1079" customFormat="false" ht="15" hidden="false" customHeight="true" outlineLevel="0" collapsed="false">
      <c r="A1079" s="1" t="s">
        <v>2708</v>
      </c>
      <c r="B1079" s="1" t="n">
        <v>14</v>
      </c>
    </row>
    <row r="1080" customFormat="false" ht="15" hidden="false" customHeight="true" outlineLevel="0" collapsed="false">
      <c r="A1080" s="1" t="s">
        <v>2963</v>
      </c>
      <c r="B1080" s="1" t="n">
        <v>14</v>
      </c>
    </row>
    <row r="1081" customFormat="false" ht="15" hidden="false" customHeight="true" outlineLevel="0" collapsed="false">
      <c r="A1081" s="1" t="s">
        <v>3284</v>
      </c>
      <c r="B1081" s="1" t="n">
        <v>14</v>
      </c>
    </row>
    <row r="1082" customFormat="false" ht="15" hidden="false" customHeight="true" outlineLevel="0" collapsed="false">
      <c r="A1082" s="1" t="s">
        <v>3338</v>
      </c>
      <c r="B1082" s="1" t="n">
        <v>14</v>
      </c>
    </row>
    <row r="1083" customFormat="false" ht="15" hidden="false" customHeight="true" outlineLevel="0" collapsed="false">
      <c r="A1083" s="1" t="s">
        <v>3342</v>
      </c>
      <c r="B1083" s="1" t="n">
        <v>14</v>
      </c>
    </row>
    <row r="1084" customFormat="false" ht="15" hidden="false" customHeight="true" outlineLevel="0" collapsed="false">
      <c r="A1084" s="1" t="s">
        <v>3060</v>
      </c>
      <c r="B1084" s="1" t="n">
        <v>13</v>
      </c>
    </row>
    <row r="1085" customFormat="false" ht="15" hidden="false" customHeight="true" outlineLevel="0" collapsed="false">
      <c r="A1085" s="1" t="s">
        <v>2629</v>
      </c>
      <c r="B1085" s="1" t="n">
        <v>13</v>
      </c>
    </row>
    <row r="1086" customFormat="false" ht="15" hidden="false" customHeight="true" outlineLevel="0" collapsed="false">
      <c r="A1086" s="1" t="s">
        <v>2771</v>
      </c>
      <c r="B1086" s="1" t="n">
        <v>13</v>
      </c>
    </row>
    <row r="1087" customFormat="false" ht="15" hidden="false" customHeight="true" outlineLevel="0" collapsed="false">
      <c r="A1087" s="1" t="s">
        <v>3258</v>
      </c>
      <c r="B1087" s="1" t="n">
        <v>13</v>
      </c>
    </row>
    <row r="1088" customFormat="false" ht="15" hidden="false" customHeight="true" outlineLevel="0" collapsed="false">
      <c r="A1088" s="1" t="s">
        <v>2966</v>
      </c>
      <c r="B1088" s="1" t="n">
        <v>13</v>
      </c>
    </row>
    <row r="1089" customFormat="false" ht="15" hidden="false" customHeight="true" outlineLevel="0" collapsed="false">
      <c r="A1089" s="1" t="s">
        <v>2925</v>
      </c>
      <c r="B1089" s="1" t="n">
        <v>13</v>
      </c>
    </row>
    <row r="1090" customFormat="false" ht="15" hidden="false" customHeight="true" outlineLevel="0" collapsed="false">
      <c r="A1090" s="1" t="s">
        <v>2046</v>
      </c>
      <c r="B1090" s="1" t="n">
        <v>13</v>
      </c>
    </row>
    <row r="1091" customFormat="false" ht="15" hidden="false" customHeight="true" outlineLevel="0" collapsed="false">
      <c r="A1091" s="1" t="s">
        <v>3369</v>
      </c>
      <c r="B1091" s="1" t="n">
        <v>13</v>
      </c>
    </row>
    <row r="1092" customFormat="false" ht="15" hidden="false" customHeight="true" outlineLevel="0" collapsed="false">
      <c r="A1092" s="1" t="s">
        <v>3371</v>
      </c>
      <c r="B1092" s="1" t="n">
        <v>13</v>
      </c>
    </row>
    <row r="1093" customFormat="false" ht="15" hidden="false" customHeight="true" outlineLevel="0" collapsed="false">
      <c r="A1093" s="1" t="s">
        <v>3373</v>
      </c>
      <c r="B1093" s="1" t="n">
        <v>13</v>
      </c>
    </row>
    <row r="1094" customFormat="false" ht="15" hidden="false" customHeight="true" outlineLevel="0" collapsed="false">
      <c r="A1094" s="1" t="s">
        <v>3231</v>
      </c>
      <c r="B1094" s="1" t="n">
        <v>12</v>
      </c>
    </row>
    <row r="1095" customFormat="false" ht="15" hidden="false" customHeight="true" outlineLevel="0" collapsed="false">
      <c r="A1095" s="1" t="s">
        <v>2506</v>
      </c>
      <c r="B1095" s="1" t="n">
        <v>12</v>
      </c>
    </row>
    <row r="1096" customFormat="false" ht="15" hidden="false" customHeight="true" outlineLevel="0" collapsed="false">
      <c r="A1096" s="1" t="s">
        <v>2665</v>
      </c>
      <c r="B1096" s="1" t="n">
        <v>12</v>
      </c>
    </row>
    <row r="1097" customFormat="false" ht="15" hidden="false" customHeight="true" outlineLevel="0" collapsed="false">
      <c r="A1097" s="1" t="s">
        <v>3039</v>
      </c>
      <c r="B1097" s="1" t="n">
        <v>12</v>
      </c>
    </row>
    <row r="1098" customFormat="false" ht="15" hidden="false" customHeight="true" outlineLevel="0" collapsed="false">
      <c r="A1098" s="1" t="s">
        <v>2773</v>
      </c>
      <c r="B1098" s="1" t="n">
        <v>12</v>
      </c>
    </row>
    <row r="1099" customFormat="false" ht="15" hidden="false" customHeight="true" outlineLevel="0" collapsed="false">
      <c r="A1099" s="1" t="s">
        <v>3041</v>
      </c>
      <c r="B1099" s="1" t="n">
        <v>12</v>
      </c>
    </row>
    <row r="1100" customFormat="false" ht="15" hidden="false" customHeight="true" outlineLevel="0" collapsed="false">
      <c r="A1100" s="1" t="s">
        <v>2631</v>
      </c>
      <c r="B1100" s="1" t="n">
        <v>12</v>
      </c>
    </row>
    <row r="1101" customFormat="false" ht="15" hidden="false" customHeight="true" outlineLevel="0" collapsed="false">
      <c r="A1101" s="1" t="s">
        <v>2498</v>
      </c>
      <c r="B1101" s="1" t="n">
        <v>12</v>
      </c>
    </row>
    <row r="1102" customFormat="false" ht="15" hidden="false" customHeight="true" outlineLevel="0" collapsed="false">
      <c r="A1102" s="1" t="s">
        <v>3396</v>
      </c>
      <c r="B1102" s="1" t="n">
        <v>12</v>
      </c>
    </row>
    <row r="1103" customFormat="false" ht="15" hidden="false" customHeight="true" outlineLevel="0" collapsed="false">
      <c r="A1103" s="1" t="s">
        <v>3097</v>
      </c>
      <c r="B1103" s="1" t="n">
        <v>11</v>
      </c>
    </row>
    <row r="1104" customFormat="false" ht="15" hidden="false" customHeight="true" outlineLevel="0" collapsed="false">
      <c r="A1104" s="1" t="s">
        <v>3233</v>
      </c>
      <c r="B1104" s="1" t="n">
        <v>11</v>
      </c>
    </row>
    <row r="1105" customFormat="false" ht="15" hidden="false" customHeight="true" outlineLevel="0" collapsed="false">
      <c r="A1105" s="1" t="s">
        <v>2795</v>
      </c>
      <c r="B1105" s="1" t="n">
        <v>11</v>
      </c>
    </row>
    <row r="1106" customFormat="false" ht="15" hidden="false" customHeight="true" outlineLevel="0" collapsed="false">
      <c r="A1106" s="1" t="s">
        <v>2667</v>
      </c>
      <c r="B1106" s="1" t="n">
        <v>11</v>
      </c>
    </row>
    <row r="1107" customFormat="false" ht="15" hidden="false" customHeight="true" outlineLevel="0" collapsed="false">
      <c r="A1107" s="1" t="s">
        <v>3146</v>
      </c>
      <c r="B1107" s="1" t="n">
        <v>11</v>
      </c>
    </row>
    <row r="1108" customFormat="false" ht="15" hidden="false" customHeight="true" outlineLevel="0" collapsed="false">
      <c r="A1108" s="1" t="s">
        <v>2296</v>
      </c>
      <c r="B1108" s="1" t="n">
        <v>11</v>
      </c>
    </row>
    <row r="1109" customFormat="false" ht="15" hidden="false" customHeight="true" outlineLevel="0" collapsed="false">
      <c r="A1109" s="1" t="s">
        <v>2902</v>
      </c>
      <c r="B1109" s="1" t="n">
        <v>11</v>
      </c>
    </row>
    <row r="1110" customFormat="false" ht="15" hidden="false" customHeight="true" outlineLevel="0" collapsed="false">
      <c r="A1110" s="1" t="s">
        <v>2349</v>
      </c>
      <c r="B1110" s="1" t="n">
        <v>11</v>
      </c>
    </row>
    <row r="1111" customFormat="false" ht="15" hidden="false" customHeight="true" outlineLevel="0" collapsed="false">
      <c r="A1111" s="1" t="s">
        <v>3415</v>
      </c>
      <c r="B1111" s="1" t="n">
        <v>11</v>
      </c>
    </row>
    <row r="1112" customFormat="false" ht="15" hidden="false" customHeight="true" outlineLevel="0" collapsed="false">
      <c r="A1112" s="1" t="s">
        <v>2972</v>
      </c>
      <c r="B1112" s="1" t="n">
        <v>10</v>
      </c>
    </row>
    <row r="1113" customFormat="false" ht="15" hidden="false" customHeight="true" outlineLevel="0" collapsed="false">
      <c r="A1113" s="1" t="s">
        <v>2989</v>
      </c>
      <c r="B1113" s="1" t="n">
        <v>10</v>
      </c>
    </row>
    <row r="1114" customFormat="false" ht="15" hidden="false" customHeight="true" outlineLevel="0" collapsed="false">
      <c r="A1114" s="1" t="s">
        <v>3259</v>
      </c>
      <c r="B1114" s="1" t="n">
        <v>10</v>
      </c>
    </row>
    <row r="1115" customFormat="false" ht="15" hidden="false" customHeight="true" outlineLevel="0" collapsed="false">
      <c r="A1115" s="1" t="s">
        <v>2545</v>
      </c>
      <c r="B1115" s="1" t="n">
        <v>10</v>
      </c>
    </row>
    <row r="1116" customFormat="false" ht="15" hidden="false" customHeight="true" outlineLevel="0" collapsed="false">
      <c r="A1116" s="1" t="s">
        <v>3375</v>
      </c>
      <c r="B1116" s="1" t="n">
        <v>10</v>
      </c>
    </row>
    <row r="1117" customFormat="false" ht="15" hidden="false" customHeight="true" outlineLevel="0" collapsed="false">
      <c r="A1117" s="1" t="s">
        <v>3433</v>
      </c>
      <c r="B1117" s="1" t="n">
        <v>10</v>
      </c>
    </row>
    <row r="1118" customFormat="false" ht="15" hidden="false" customHeight="true" outlineLevel="0" collapsed="false">
      <c r="A1118" s="1" t="s">
        <v>2883</v>
      </c>
      <c r="B1118" s="1" t="n">
        <v>9</v>
      </c>
    </row>
    <row r="1119" customFormat="false" ht="15" hidden="false" customHeight="true" outlineLevel="0" collapsed="false">
      <c r="A1119" s="1" t="s">
        <v>2399</v>
      </c>
      <c r="B1119" s="1" t="n">
        <v>9</v>
      </c>
    </row>
    <row r="1120" customFormat="false" ht="15" hidden="false" customHeight="true" outlineLevel="0" collapsed="false">
      <c r="A1120" s="1" t="s">
        <v>2775</v>
      </c>
      <c r="B1120" s="1" t="n">
        <v>9</v>
      </c>
    </row>
    <row r="1121" customFormat="false" ht="15" hidden="false" customHeight="true" outlineLevel="0" collapsed="false">
      <c r="A1121" s="1" t="s">
        <v>3235</v>
      </c>
      <c r="B1121" s="1" t="n">
        <v>9</v>
      </c>
    </row>
    <row r="1122" customFormat="false" ht="15" hidden="false" customHeight="true" outlineLevel="0" collapsed="false">
      <c r="A1122" s="1" t="s">
        <v>3486</v>
      </c>
      <c r="B1122" s="1" t="n">
        <v>8</v>
      </c>
    </row>
    <row r="1123" customFormat="false" ht="15" hidden="false" customHeight="true" outlineLevel="0" collapsed="false">
      <c r="A1123" s="1" t="s">
        <v>3398</v>
      </c>
      <c r="B1123" s="1" t="n">
        <v>8</v>
      </c>
    </row>
    <row r="1124" customFormat="false" ht="15" hidden="false" customHeight="true" outlineLevel="0" collapsed="false">
      <c r="A1124" s="1" t="s">
        <v>3464</v>
      </c>
      <c r="B1124" s="1" t="n">
        <v>8</v>
      </c>
    </row>
    <row r="1125" customFormat="false" ht="15" hidden="false" customHeight="true" outlineLevel="0" collapsed="false">
      <c r="A1125" s="1" t="s">
        <v>3099</v>
      </c>
      <c r="B1125" s="1" t="n">
        <v>8</v>
      </c>
    </row>
    <row r="1126" customFormat="false" ht="15" hidden="false" customHeight="true" outlineLevel="0" collapsed="false">
      <c r="A1126" s="1" t="s">
        <v>3187</v>
      </c>
      <c r="B1126" s="1" t="n">
        <v>8</v>
      </c>
    </row>
    <row r="1127" customFormat="false" ht="15" hidden="false" customHeight="true" outlineLevel="0" collapsed="false">
      <c r="A1127" s="1" t="s">
        <v>2991</v>
      </c>
      <c r="B1127" s="1" t="n">
        <v>8</v>
      </c>
    </row>
    <row r="1128" customFormat="false" ht="15" hidden="false" customHeight="true" outlineLevel="0" collapsed="false">
      <c r="A1128" s="1" t="s">
        <v>1860</v>
      </c>
      <c r="B1128" s="1" t="n">
        <v>8</v>
      </c>
    </row>
    <row r="1129" customFormat="false" ht="15" hidden="false" customHeight="true" outlineLevel="0" collapsed="false">
      <c r="A1129" s="1" t="s">
        <v>3513</v>
      </c>
      <c r="B1129" s="1" t="n">
        <v>7</v>
      </c>
    </row>
    <row r="1130" customFormat="false" ht="15" hidden="false" customHeight="true" outlineLevel="0" collapsed="false">
      <c r="A1130" s="1" t="s">
        <v>3435</v>
      </c>
      <c r="B1130" s="1" t="n">
        <v>7</v>
      </c>
    </row>
    <row r="1131" customFormat="false" ht="15" hidden="false" customHeight="true" outlineLevel="0" collapsed="false">
      <c r="A1131" s="1" t="s">
        <v>3514</v>
      </c>
      <c r="B1131" s="1" t="n">
        <v>7</v>
      </c>
    </row>
    <row r="1132" customFormat="false" ht="15" hidden="false" customHeight="true" outlineLevel="0" collapsed="false">
      <c r="A1132" s="1" t="s">
        <v>3488</v>
      </c>
      <c r="B1132" s="1" t="n">
        <v>7</v>
      </c>
    </row>
    <row r="1133" customFormat="false" ht="15" hidden="false" customHeight="true" outlineLevel="0" collapsed="false">
      <c r="A1133" s="1" t="s">
        <v>1045</v>
      </c>
      <c r="B1133" s="1" t="n">
        <v>7</v>
      </c>
    </row>
    <row r="1134" customFormat="false" ht="15" hidden="false" customHeight="true" outlineLevel="0" collapsed="false">
      <c r="A1134" s="1" t="s">
        <v>1579</v>
      </c>
      <c r="B1134" s="1" t="n">
        <v>7</v>
      </c>
    </row>
    <row r="1135" customFormat="false" ht="15" hidden="false" customHeight="true" outlineLevel="0" collapsed="false">
      <c r="A1135" s="1" t="s">
        <v>3516</v>
      </c>
      <c r="B1135" s="1" t="n">
        <v>7</v>
      </c>
    </row>
    <row r="1136" customFormat="false" ht="15" hidden="false" customHeight="true" outlineLevel="0" collapsed="false">
      <c r="A1136" s="1" t="s">
        <v>3518</v>
      </c>
      <c r="B1136" s="1" t="n">
        <v>7</v>
      </c>
    </row>
    <row r="1137" customFormat="false" ht="15" hidden="false" customHeight="true" outlineLevel="0" collapsed="false">
      <c r="A1137" s="1" t="s">
        <v>3520</v>
      </c>
      <c r="B1137" s="1" t="n">
        <v>7</v>
      </c>
    </row>
    <row r="1138" customFormat="false" ht="15" hidden="false" customHeight="true" outlineLevel="0" collapsed="false">
      <c r="A1138" s="1" t="s">
        <v>3522</v>
      </c>
      <c r="B1138" s="1" t="n">
        <v>7</v>
      </c>
    </row>
    <row r="1139" customFormat="false" ht="15" hidden="false" customHeight="true" outlineLevel="0" collapsed="false">
      <c r="A1139" s="1" t="s">
        <v>3524</v>
      </c>
      <c r="B1139" s="1" t="n">
        <v>7</v>
      </c>
    </row>
    <row r="1140" customFormat="false" ht="15" hidden="false" customHeight="true" outlineLevel="0" collapsed="false">
      <c r="A1140" s="1" t="s">
        <v>3549</v>
      </c>
      <c r="B1140" s="1" t="n">
        <v>6</v>
      </c>
    </row>
    <row r="1141" customFormat="false" ht="15" hidden="false" customHeight="true" outlineLevel="0" collapsed="false">
      <c r="A1141" s="1" t="s">
        <v>3204</v>
      </c>
      <c r="B1141" s="1" t="n">
        <v>6</v>
      </c>
    </row>
    <row r="1142" customFormat="false" ht="15" hidden="false" customHeight="true" outlineLevel="0" collapsed="false">
      <c r="A1142" s="1" t="s">
        <v>3169</v>
      </c>
      <c r="B1142" s="1" t="n">
        <v>6</v>
      </c>
    </row>
    <row r="1143" customFormat="false" ht="15" hidden="false" customHeight="true" outlineLevel="0" collapsed="false">
      <c r="A1143" s="1" t="s">
        <v>3550</v>
      </c>
      <c r="B1143" s="1" t="n">
        <v>6</v>
      </c>
    </row>
    <row r="1144" customFormat="false" ht="15" hidden="false" customHeight="true" outlineLevel="0" collapsed="false">
      <c r="A1144" s="1" t="s">
        <v>2688</v>
      </c>
      <c r="B1144" s="1" t="n">
        <v>5</v>
      </c>
    </row>
    <row r="1145" customFormat="false" ht="15" hidden="false" customHeight="true" outlineLevel="0" collapsed="false">
      <c r="A1145" s="1" t="s">
        <v>3574</v>
      </c>
      <c r="B1145" s="1" t="n">
        <v>5</v>
      </c>
    </row>
    <row r="1146" customFormat="false" ht="15" hidden="false" customHeight="true" outlineLevel="0" collapsed="false">
      <c r="A1146" s="1" t="s">
        <v>3526</v>
      </c>
      <c r="B1146" s="1" t="n">
        <v>5</v>
      </c>
    </row>
    <row r="1147" customFormat="false" ht="15" hidden="false" customHeight="true" outlineLevel="0" collapsed="false">
      <c r="A1147" s="1" t="s">
        <v>3575</v>
      </c>
      <c r="B1147" s="1" t="n">
        <v>5</v>
      </c>
    </row>
    <row r="1148" customFormat="false" ht="15" hidden="false" customHeight="true" outlineLevel="0" collapsed="false">
      <c r="A1148" s="1" t="s">
        <v>3147</v>
      </c>
      <c r="B1148" s="1" t="n">
        <v>5</v>
      </c>
    </row>
    <row r="1149" customFormat="false" ht="15" hidden="false" customHeight="true" outlineLevel="0" collapsed="false">
      <c r="A1149" s="1" t="s">
        <v>3527</v>
      </c>
      <c r="B1149" s="1" t="n">
        <v>5</v>
      </c>
    </row>
    <row r="1150" customFormat="false" ht="15" hidden="false" customHeight="true" outlineLevel="0" collapsed="false">
      <c r="A1150" s="1" t="s">
        <v>2518</v>
      </c>
      <c r="B1150" s="1" t="n">
        <v>5</v>
      </c>
    </row>
    <row r="1151" customFormat="false" ht="15" hidden="false" customHeight="true" outlineLevel="0" collapsed="false">
      <c r="A1151" s="1" t="s">
        <v>3552</v>
      </c>
      <c r="B1151" s="1" t="n">
        <v>5</v>
      </c>
    </row>
    <row r="1152" customFormat="false" ht="15" hidden="false" customHeight="true" outlineLevel="0" collapsed="false">
      <c r="A1152" s="1" t="s">
        <v>3576</v>
      </c>
      <c r="B1152" s="1" t="n">
        <v>5</v>
      </c>
    </row>
    <row r="1153" customFormat="false" ht="15" hidden="false" customHeight="true" outlineLevel="0" collapsed="false">
      <c r="A1153" s="1" t="s">
        <v>3597</v>
      </c>
      <c r="B1153" s="1" t="n">
        <v>4</v>
      </c>
    </row>
    <row r="1154" customFormat="false" ht="15" hidden="false" customHeight="true" outlineLevel="0" collapsed="false">
      <c r="A1154" s="1" t="s">
        <v>3344</v>
      </c>
      <c r="B1154" s="1" t="n">
        <v>4</v>
      </c>
    </row>
    <row r="1155" customFormat="false" ht="15" hidden="false" customHeight="true" outlineLevel="0" collapsed="false">
      <c r="A1155" s="1" t="s">
        <v>3261</v>
      </c>
      <c r="B1155" s="1" t="n">
        <v>4</v>
      </c>
    </row>
    <row r="1156" customFormat="false" ht="15" hidden="false" customHeight="true" outlineLevel="0" collapsed="false">
      <c r="A1156" s="1" t="s">
        <v>3600</v>
      </c>
      <c r="B1156" s="1" t="n">
        <v>4</v>
      </c>
    </row>
    <row r="1157" customFormat="false" ht="15" hidden="false" customHeight="true" outlineLevel="0" collapsed="false">
      <c r="A1157" s="1" t="s">
        <v>3170</v>
      </c>
      <c r="B1157" s="1" t="n">
        <v>4</v>
      </c>
    </row>
    <row r="1158" customFormat="false" ht="15" hidden="false" customHeight="true" outlineLevel="0" collapsed="false">
      <c r="A1158" s="1" t="s">
        <v>2815</v>
      </c>
      <c r="B1158" s="1" t="n">
        <v>4</v>
      </c>
    </row>
    <row r="1159" customFormat="false" ht="15" hidden="false" customHeight="true" outlineLevel="0" collapsed="false">
      <c r="A1159" s="1" t="s">
        <v>3489</v>
      </c>
      <c r="B1159" s="1" t="n">
        <v>3</v>
      </c>
    </row>
    <row r="1160" customFormat="false" ht="15" hidden="false" customHeight="true" outlineLevel="0" collapsed="false">
      <c r="A1160" s="1" t="s">
        <v>3493</v>
      </c>
      <c r="B1160" s="1" t="n">
        <v>3</v>
      </c>
    </row>
    <row r="1161" customFormat="false" ht="15" hidden="false" customHeight="true" outlineLevel="0" collapsed="false">
      <c r="A1161" s="1" t="s">
        <v>3601</v>
      </c>
      <c r="B1161" s="1" t="n">
        <v>3</v>
      </c>
    </row>
    <row r="1162" customFormat="false" ht="15" hidden="false" customHeight="true" outlineLevel="0" collapsed="false">
      <c r="A1162" s="1" t="s">
        <v>3307</v>
      </c>
      <c r="B1162" s="1" t="n">
        <v>3</v>
      </c>
    </row>
    <row r="1163" customFormat="false" ht="15" hidden="false" customHeight="true" outlineLevel="0" collapsed="false">
      <c r="A1163" s="1" t="s">
        <v>3577</v>
      </c>
      <c r="B1163" s="1" t="n">
        <v>3</v>
      </c>
    </row>
    <row r="1164" customFormat="false" ht="15" hidden="false" customHeight="true" outlineLevel="0" collapsed="false">
      <c r="A1164" s="1" t="s">
        <v>3554</v>
      </c>
      <c r="B1164" s="1" t="n">
        <v>3</v>
      </c>
    </row>
    <row r="1165" customFormat="false" ht="15" hidden="false" customHeight="true" outlineLevel="0" collapsed="false">
      <c r="A1165" s="1" t="s">
        <v>3189</v>
      </c>
      <c r="B1165" s="1" t="n">
        <v>3</v>
      </c>
    </row>
    <row r="1166" customFormat="false" ht="15" hidden="false" customHeight="true" outlineLevel="0" collapsed="false">
      <c r="A1166" s="1" t="s">
        <v>2734</v>
      </c>
      <c r="B1166" s="1" t="n">
        <v>3</v>
      </c>
    </row>
    <row r="1167" customFormat="false" ht="15" hidden="false" customHeight="true" outlineLevel="0" collapsed="false">
      <c r="A1167" s="1" t="s">
        <v>3639</v>
      </c>
      <c r="B1167" s="1" t="n">
        <v>2</v>
      </c>
    </row>
    <row r="1168" customFormat="false" ht="15" hidden="false" customHeight="true" outlineLevel="0" collapsed="false">
      <c r="A1168" s="1" t="s">
        <v>2369</v>
      </c>
      <c r="B1168" s="1" t="n">
        <v>2</v>
      </c>
    </row>
    <row r="1169" customFormat="false" ht="15" hidden="false" customHeight="true" outlineLevel="0" collapsed="false">
      <c r="A1169" s="1" t="s">
        <v>2993</v>
      </c>
      <c r="B1169" s="1" t="n">
        <v>2</v>
      </c>
    </row>
    <row r="1170" customFormat="false" ht="15" hidden="false" customHeight="true" outlineLevel="0" collapsed="false">
      <c r="A1170" s="1" t="s">
        <v>3377</v>
      </c>
      <c r="B1170" s="1" t="n">
        <v>2</v>
      </c>
    </row>
    <row r="1171" customFormat="false" ht="15" hidden="false" customHeight="true" outlineLevel="0" collapsed="false">
      <c r="A1171" s="1" t="s">
        <v>3010</v>
      </c>
      <c r="B1171" s="1" t="n">
        <v>2</v>
      </c>
    </row>
    <row r="1172" customFormat="false" ht="15" hidden="false" customHeight="true" outlineLevel="0" collapsed="false">
      <c r="A1172" s="1" t="s">
        <v>3640</v>
      </c>
      <c r="B1172" s="1" t="n">
        <v>2</v>
      </c>
    </row>
    <row r="1173" customFormat="false" ht="15" hidden="false" customHeight="true" outlineLevel="0" collapsed="false">
      <c r="A1173" s="1" t="s">
        <v>2109</v>
      </c>
      <c r="B1173" s="1" t="n">
        <v>2</v>
      </c>
    </row>
    <row r="1174" customFormat="false" ht="15" hidden="false" customHeight="true" outlineLevel="0" collapsed="false">
      <c r="A1174" s="1" t="s">
        <v>3659</v>
      </c>
      <c r="B1174" s="1" t="n">
        <v>1</v>
      </c>
    </row>
    <row r="1175" customFormat="false" ht="15" hidden="false" customHeight="true" outlineLevel="0" collapsed="false">
      <c r="A1175" s="1" t="s">
        <v>26</v>
      </c>
      <c r="B1175" s="1" t="n">
        <v>6488</v>
      </c>
    </row>
    <row r="1176" customFormat="false" ht="15" hidden="false" customHeight="true" outlineLevel="0" collapsed="false">
      <c r="A1176" s="1" t="s">
        <v>30</v>
      </c>
      <c r="B1176" s="1" t="n">
        <v>5473</v>
      </c>
    </row>
    <row r="1177" customFormat="false" ht="15" hidden="false" customHeight="true" outlineLevel="0" collapsed="false">
      <c r="A1177" s="1" t="s">
        <v>44</v>
      </c>
      <c r="B1177" s="1" t="n">
        <v>3675</v>
      </c>
    </row>
    <row r="1178" customFormat="false" ht="15" hidden="false" customHeight="true" outlineLevel="0" collapsed="false">
      <c r="A1178" s="1" t="s">
        <v>38</v>
      </c>
      <c r="B1178" s="1" t="n">
        <v>3252</v>
      </c>
    </row>
    <row r="1179" customFormat="false" ht="15" hidden="false" customHeight="true" outlineLevel="0" collapsed="false">
      <c r="A1179" s="1" t="s">
        <v>33</v>
      </c>
      <c r="B1179" s="1" t="n">
        <v>3134</v>
      </c>
    </row>
    <row r="1180" customFormat="false" ht="15" hidden="false" customHeight="true" outlineLevel="0" collapsed="false">
      <c r="A1180" s="1" t="s">
        <v>48</v>
      </c>
      <c r="B1180" s="1" t="n">
        <v>3064</v>
      </c>
    </row>
    <row r="1181" customFormat="false" ht="15" hidden="false" customHeight="true" outlineLevel="0" collapsed="false">
      <c r="A1181" s="1" t="s">
        <v>55</v>
      </c>
      <c r="B1181" s="1" t="n">
        <v>2712</v>
      </c>
    </row>
    <row r="1182" customFormat="false" ht="15" hidden="false" customHeight="true" outlineLevel="0" collapsed="false">
      <c r="A1182" s="1" t="s">
        <v>94</v>
      </c>
      <c r="B1182" s="1" t="n">
        <v>2638</v>
      </c>
    </row>
    <row r="1183" customFormat="false" ht="15" hidden="false" customHeight="true" outlineLevel="0" collapsed="false">
      <c r="A1183" s="1" t="s">
        <v>61</v>
      </c>
      <c r="B1183" s="1" t="n">
        <v>2327</v>
      </c>
    </row>
    <row r="1184" customFormat="false" ht="15" hidden="false" customHeight="true" outlineLevel="0" collapsed="false">
      <c r="A1184" s="1" t="s">
        <v>51</v>
      </c>
      <c r="B1184" s="1" t="n">
        <v>1887</v>
      </c>
    </row>
    <row r="1185" customFormat="false" ht="15" hidden="false" customHeight="true" outlineLevel="0" collapsed="false">
      <c r="A1185" s="1" t="s">
        <v>64</v>
      </c>
      <c r="B1185" s="1" t="n">
        <v>1734</v>
      </c>
    </row>
    <row r="1186" customFormat="false" ht="15" hidden="false" customHeight="true" outlineLevel="0" collapsed="false">
      <c r="A1186" s="1" t="s">
        <v>81</v>
      </c>
      <c r="B1186" s="1" t="n">
        <v>1728</v>
      </c>
    </row>
    <row r="1187" customFormat="false" ht="15" hidden="false" customHeight="true" outlineLevel="0" collapsed="false">
      <c r="A1187" s="1" t="s">
        <v>129</v>
      </c>
      <c r="B1187" s="1" t="n">
        <v>1598</v>
      </c>
    </row>
    <row r="1188" customFormat="false" ht="15" hidden="false" customHeight="true" outlineLevel="0" collapsed="false">
      <c r="A1188" s="1" t="s">
        <v>146</v>
      </c>
      <c r="B1188" s="1" t="n">
        <v>1546</v>
      </c>
    </row>
    <row r="1189" customFormat="false" ht="15" hidden="false" customHeight="true" outlineLevel="0" collapsed="false">
      <c r="A1189" s="1" t="s">
        <v>154</v>
      </c>
      <c r="B1189" s="1" t="n">
        <v>1506</v>
      </c>
    </row>
    <row r="1190" customFormat="false" ht="15" hidden="false" customHeight="true" outlineLevel="0" collapsed="false">
      <c r="A1190" s="1" t="s">
        <v>67</v>
      </c>
      <c r="B1190" s="1" t="n">
        <v>1504</v>
      </c>
    </row>
    <row r="1191" customFormat="false" ht="15" hidden="false" customHeight="true" outlineLevel="0" collapsed="false">
      <c r="A1191" s="1" t="s">
        <v>124</v>
      </c>
      <c r="B1191" s="1" t="n">
        <v>1499</v>
      </c>
    </row>
    <row r="1192" customFormat="false" ht="15" hidden="false" customHeight="true" outlineLevel="0" collapsed="false">
      <c r="A1192" s="1" t="s">
        <v>69</v>
      </c>
      <c r="B1192" s="1" t="n">
        <v>1474</v>
      </c>
    </row>
    <row r="1193" customFormat="false" ht="15" hidden="false" customHeight="true" outlineLevel="0" collapsed="false">
      <c r="A1193" s="1" t="s">
        <v>73</v>
      </c>
      <c r="B1193" s="1" t="n">
        <v>1399</v>
      </c>
    </row>
    <row r="1194" customFormat="false" ht="15" hidden="false" customHeight="true" outlineLevel="0" collapsed="false">
      <c r="A1194" s="1" t="s">
        <v>116</v>
      </c>
      <c r="B1194" s="1" t="n">
        <v>1363</v>
      </c>
    </row>
    <row r="1195" customFormat="false" ht="15" hidden="false" customHeight="true" outlineLevel="0" collapsed="false">
      <c r="A1195" s="1" t="s">
        <v>91</v>
      </c>
      <c r="B1195" s="1" t="n">
        <v>1337</v>
      </c>
    </row>
    <row r="1196" customFormat="false" ht="15" hidden="false" customHeight="true" outlineLevel="0" collapsed="false">
      <c r="A1196" s="1" t="s">
        <v>98</v>
      </c>
      <c r="B1196" s="1" t="n">
        <v>1314</v>
      </c>
    </row>
    <row r="1197" customFormat="false" ht="15" hidden="false" customHeight="true" outlineLevel="0" collapsed="false">
      <c r="A1197" s="1" t="s">
        <v>86</v>
      </c>
      <c r="B1197" s="1" t="n">
        <v>1284</v>
      </c>
    </row>
    <row r="1198" customFormat="false" ht="15" hidden="false" customHeight="true" outlineLevel="0" collapsed="false">
      <c r="A1198" s="1" t="s">
        <v>233</v>
      </c>
      <c r="B1198" s="1" t="n">
        <v>1234</v>
      </c>
    </row>
    <row r="1199" customFormat="false" ht="15" hidden="false" customHeight="true" outlineLevel="0" collapsed="false">
      <c r="A1199" s="1" t="s">
        <v>206</v>
      </c>
      <c r="B1199" s="1" t="n">
        <v>1215</v>
      </c>
    </row>
    <row r="1200" customFormat="false" ht="15" hidden="false" customHeight="true" outlineLevel="0" collapsed="false">
      <c r="A1200" s="1" t="s">
        <v>107</v>
      </c>
      <c r="B1200" s="1" t="n">
        <v>1208</v>
      </c>
    </row>
    <row r="1201" customFormat="false" ht="15" hidden="false" customHeight="true" outlineLevel="0" collapsed="false">
      <c r="A1201" s="1" t="s">
        <v>195</v>
      </c>
      <c r="B1201" s="1" t="n">
        <v>1203</v>
      </c>
    </row>
    <row r="1202" customFormat="false" ht="15" hidden="false" customHeight="true" outlineLevel="0" collapsed="false">
      <c r="A1202" s="1" t="s">
        <v>167</v>
      </c>
      <c r="B1202" s="1" t="n">
        <v>1191</v>
      </c>
    </row>
    <row r="1203" customFormat="false" ht="15" hidden="false" customHeight="true" outlineLevel="0" collapsed="false">
      <c r="A1203" s="1" t="s">
        <v>59</v>
      </c>
      <c r="B1203" s="1" t="n">
        <v>1154</v>
      </c>
    </row>
    <row r="1204" customFormat="false" ht="15" hidden="false" customHeight="true" outlineLevel="0" collapsed="false">
      <c r="A1204" s="1" t="s">
        <v>152</v>
      </c>
      <c r="B1204" s="1" t="n">
        <v>1145</v>
      </c>
    </row>
    <row r="1205" customFormat="false" ht="15" hidden="false" customHeight="true" outlineLevel="0" collapsed="false">
      <c r="A1205" s="1" t="s">
        <v>79</v>
      </c>
      <c r="B1205" s="1" t="n">
        <v>1071</v>
      </c>
    </row>
    <row r="1206" customFormat="false" ht="15" hidden="false" customHeight="true" outlineLevel="0" collapsed="false">
      <c r="A1206" s="1" t="s">
        <v>200</v>
      </c>
      <c r="B1206" s="1" t="n">
        <v>1067</v>
      </c>
    </row>
    <row r="1207" customFormat="false" ht="15" hidden="false" customHeight="true" outlineLevel="0" collapsed="false">
      <c r="A1207" s="1" t="s">
        <v>113</v>
      </c>
      <c r="B1207" s="1" t="n">
        <v>1066</v>
      </c>
    </row>
    <row r="1208" customFormat="false" ht="15" hidden="false" customHeight="true" outlineLevel="0" collapsed="false">
      <c r="A1208" s="1" t="s">
        <v>40</v>
      </c>
      <c r="B1208" s="1" t="n">
        <v>1006</v>
      </c>
    </row>
    <row r="1209" customFormat="false" ht="15" hidden="false" customHeight="true" outlineLevel="0" collapsed="false">
      <c r="A1209" s="1" t="s">
        <v>100</v>
      </c>
      <c r="B1209" s="1" t="n">
        <v>1003</v>
      </c>
    </row>
    <row r="1210" customFormat="false" ht="15" hidden="false" customHeight="true" outlineLevel="0" collapsed="false">
      <c r="A1210" s="1" t="s">
        <v>138</v>
      </c>
      <c r="B1210" s="1" t="n">
        <v>989</v>
      </c>
    </row>
    <row r="1211" customFormat="false" ht="15" hidden="false" customHeight="true" outlineLevel="0" collapsed="false">
      <c r="A1211" s="1" t="s">
        <v>163</v>
      </c>
      <c r="B1211" s="1" t="n">
        <v>931</v>
      </c>
    </row>
    <row r="1212" customFormat="false" ht="15" hidden="false" customHeight="true" outlineLevel="0" collapsed="false">
      <c r="A1212" s="1" t="s">
        <v>188</v>
      </c>
      <c r="B1212" s="1" t="n">
        <v>930</v>
      </c>
    </row>
    <row r="1213" customFormat="false" ht="15" hidden="false" customHeight="true" outlineLevel="0" collapsed="false">
      <c r="A1213" s="1" t="s">
        <v>111</v>
      </c>
      <c r="B1213" s="1" t="n">
        <v>922</v>
      </c>
    </row>
    <row r="1214" customFormat="false" ht="15" hidden="false" customHeight="true" outlineLevel="0" collapsed="false">
      <c r="A1214" s="1" t="s">
        <v>343</v>
      </c>
      <c r="B1214" s="1" t="n">
        <v>890</v>
      </c>
    </row>
    <row r="1215" customFormat="false" ht="15" hidden="false" customHeight="true" outlineLevel="0" collapsed="false">
      <c r="A1215" s="1" t="s">
        <v>118</v>
      </c>
      <c r="B1215" s="1" t="n">
        <v>870</v>
      </c>
    </row>
    <row r="1216" customFormat="false" ht="15" hidden="false" customHeight="true" outlineLevel="0" collapsed="false">
      <c r="A1216" s="1" t="s">
        <v>162</v>
      </c>
      <c r="B1216" s="1" t="n">
        <v>864</v>
      </c>
    </row>
    <row r="1217" customFormat="false" ht="15" hidden="false" customHeight="true" outlineLevel="0" collapsed="false">
      <c r="A1217" s="1" t="s">
        <v>122</v>
      </c>
      <c r="B1217" s="1" t="n">
        <v>863</v>
      </c>
    </row>
    <row r="1218" customFormat="false" ht="15" hidden="false" customHeight="true" outlineLevel="0" collapsed="false">
      <c r="A1218" s="1" t="s">
        <v>213</v>
      </c>
      <c r="B1218" s="1" t="n">
        <v>836</v>
      </c>
    </row>
    <row r="1219" customFormat="false" ht="15" hidden="false" customHeight="true" outlineLevel="0" collapsed="false">
      <c r="A1219" s="1" t="s">
        <v>444</v>
      </c>
      <c r="B1219" s="1" t="n">
        <v>817</v>
      </c>
    </row>
    <row r="1220" customFormat="false" ht="15" hidden="false" customHeight="true" outlineLevel="0" collapsed="false">
      <c r="A1220" s="1" t="s">
        <v>148</v>
      </c>
      <c r="B1220" s="1" t="n">
        <v>813</v>
      </c>
    </row>
    <row r="1221" customFormat="false" ht="15" hidden="false" customHeight="true" outlineLevel="0" collapsed="false">
      <c r="A1221" s="1" t="s">
        <v>186</v>
      </c>
      <c r="B1221" s="1" t="n">
        <v>811</v>
      </c>
    </row>
    <row r="1222" customFormat="false" ht="15" hidden="false" customHeight="true" outlineLevel="0" collapsed="false">
      <c r="A1222" s="1" t="s">
        <v>218</v>
      </c>
      <c r="B1222" s="1" t="n">
        <v>804</v>
      </c>
    </row>
    <row r="1223" customFormat="false" ht="15" hidden="false" customHeight="true" outlineLevel="0" collapsed="false">
      <c r="A1223" s="1" t="s">
        <v>324</v>
      </c>
      <c r="B1223" s="1" t="n">
        <v>779</v>
      </c>
    </row>
    <row r="1224" customFormat="false" ht="15" hidden="false" customHeight="true" outlineLevel="0" collapsed="false">
      <c r="A1224" s="1" t="s">
        <v>110</v>
      </c>
      <c r="B1224" s="1" t="n">
        <v>770</v>
      </c>
    </row>
    <row r="1225" customFormat="false" ht="15" hidden="false" customHeight="true" outlineLevel="0" collapsed="false">
      <c r="A1225" s="1" t="s">
        <v>239</v>
      </c>
      <c r="B1225" s="1" t="n">
        <v>760</v>
      </c>
    </row>
    <row r="1226" customFormat="false" ht="15" hidden="false" customHeight="true" outlineLevel="0" collapsed="false">
      <c r="A1226" s="1" t="s">
        <v>296</v>
      </c>
      <c r="B1226" s="1" t="n">
        <v>753</v>
      </c>
    </row>
    <row r="1227" customFormat="false" ht="15" hidden="false" customHeight="true" outlineLevel="0" collapsed="false">
      <c r="A1227" s="1" t="s">
        <v>211</v>
      </c>
      <c r="B1227" s="1" t="n">
        <v>744</v>
      </c>
    </row>
    <row r="1228" customFormat="false" ht="15" hidden="false" customHeight="true" outlineLevel="0" collapsed="false">
      <c r="A1228" s="1" t="s">
        <v>150</v>
      </c>
      <c r="B1228" s="1" t="n">
        <v>742</v>
      </c>
    </row>
    <row r="1229" customFormat="false" ht="15" hidden="false" customHeight="true" outlineLevel="0" collapsed="false">
      <c r="A1229" s="1" t="s">
        <v>83</v>
      </c>
      <c r="B1229" s="1" t="n">
        <v>740</v>
      </c>
    </row>
    <row r="1230" customFormat="false" ht="15" hidden="false" customHeight="true" outlineLevel="0" collapsed="false">
      <c r="A1230" s="1" t="s">
        <v>501</v>
      </c>
      <c r="B1230" s="1" t="n">
        <v>732</v>
      </c>
    </row>
    <row r="1231" customFormat="false" ht="15" hidden="false" customHeight="true" outlineLevel="0" collapsed="false">
      <c r="A1231" s="1" t="s">
        <v>306</v>
      </c>
      <c r="B1231" s="1" t="n">
        <v>724</v>
      </c>
    </row>
    <row r="1232" customFormat="false" ht="15" hidden="false" customHeight="true" outlineLevel="0" collapsed="false">
      <c r="A1232" s="1" t="s">
        <v>144</v>
      </c>
      <c r="B1232" s="1" t="n">
        <v>720</v>
      </c>
    </row>
    <row r="1233" customFormat="false" ht="15" hidden="false" customHeight="true" outlineLevel="0" collapsed="false">
      <c r="A1233" s="1" t="s">
        <v>190</v>
      </c>
      <c r="B1233" s="1" t="n">
        <v>717</v>
      </c>
    </row>
    <row r="1234" customFormat="false" ht="15" hidden="false" customHeight="true" outlineLevel="0" collapsed="false">
      <c r="A1234" s="1" t="s">
        <v>175</v>
      </c>
      <c r="B1234" s="1" t="n">
        <v>712</v>
      </c>
    </row>
    <row r="1235" customFormat="false" ht="15" hidden="false" customHeight="true" outlineLevel="0" collapsed="false">
      <c r="A1235" s="1" t="s">
        <v>414</v>
      </c>
      <c r="B1235" s="1" t="n">
        <v>697</v>
      </c>
    </row>
    <row r="1236" customFormat="false" ht="15" hidden="false" customHeight="true" outlineLevel="0" collapsed="false">
      <c r="A1236" s="1" t="s">
        <v>434</v>
      </c>
      <c r="B1236" s="1" t="n">
        <v>680</v>
      </c>
    </row>
    <row r="1237" customFormat="false" ht="15" hidden="false" customHeight="true" outlineLevel="0" collapsed="false">
      <c r="A1237" s="1" t="s">
        <v>348</v>
      </c>
      <c r="B1237" s="1" t="n">
        <v>675</v>
      </c>
    </row>
    <row r="1238" customFormat="false" ht="15" hidden="false" customHeight="true" outlineLevel="0" collapsed="false">
      <c r="A1238" s="1" t="s">
        <v>320</v>
      </c>
      <c r="B1238" s="1" t="n">
        <v>674</v>
      </c>
    </row>
    <row r="1239" customFormat="false" ht="15" hidden="false" customHeight="true" outlineLevel="0" collapsed="false">
      <c r="A1239" s="1" t="s">
        <v>300</v>
      </c>
      <c r="B1239" s="1" t="n">
        <v>672</v>
      </c>
    </row>
    <row r="1240" customFormat="false" ht="15" hidden="false" customHeight="true" outlineLevel="0" collapsed="false">
      <c r="A1240" s="1" t="s">
        <v>471</v>
      </c>
      <c r="B1240" s="1" t="n">
        <v>670</v>
      </c>
    </row>
    <row r="1241" customFormat="false" ht="15" hidden="false" customHeight="true" outlineLevel="0" collapsed="false">
      <c r="A1241" s="1" t="s">
        <v>104</v>
      </c>
      <c r="B1241" s="1" t="n">
        <v>662</v>
      </c>
    </row>
    <row r="1242" customFormat="false" ht="15" hidden="false" customHeight="true" outlineLevel="0" collapsed="false">
      <c r="A1242" s="1" t="s">
        <v>75</v>
      </c>
      <c r="B1242" s="1" t="n">
        <v>655</v>
      </c>
    </row>
    <row r="1243" customFormat="false" ht="15" hidden="false" customHeight="true" outlineLevel="0" collapsed="false">
      <c r="A1243" s="1" t="s">
        <v>84</v>
      </c>
      <c r="B1243" s="1" t="n">
        <v>652</v>
      </c>
    </row>
    <row r="1244" customFormat="false" ht="15" hidden="false" customHeight="true" outlineLevel="0" collapsed="false">
      <c r="A1244" s="1" t="s">
        <v>376</v>
      </c>
      <c r="B1244" s="1" t="n">
        <v>638</v>
      </c>
    </row>
    <row r="1245" customFormat="false" ht="15" hidden="false" customHeight="true" outlineLevel="0" collapsed="false">
      <c r="A1245" s="1" t="s">
        <v>394</v>
      </c>
      <c r="B1245" s="1" t="n">
        <v>636</v>
      </c>
    </row>
    <row r="1246" customFormat="false" ht="15" hidden="false" customHeight="true" outlineLevel="0" collapsed="false">
      <c r="A1246" s="1" t="s">
        <v>430</v>
      </c>
      <c r="B1246" s="1" t="n">
        <v>629</v>
      </c>
    </row>
    <row r="1247" customFormat="false" ht="15" hidden="false" customHeight="true" outlineLevel="0" collapsed="false">
      <c r="A1247" s="1" t="s">
        <v>499</v>
      </c>
      <c r="B1247" s="1" t="n">
        <v>627</v>
      </c>
    </row>
    <row r="1248" customFormat="false" ht="15" hidden="false" customHeight="true" outlineLevel="0" collapsed="false">
      <c r="A1248" s="1" t="s">
        <v>256</v>
      </c>
      <c r="B1248" s="1" t="n">
        <v>620</v>
      </c>
    </row>
    <row r="1249" customFormat="false" ht="15" hidden="false" customHeight="true" outlineLevel="0" collapsed="false">
      <c r="A1249" s="1" t="s">
        <v>346</v>
      </c>
      <c r="B1249" s="1" t="n">
        <v>620</v>
      </c>
    </row>
    <row r="1250" customFormat="false" ht="15" hidden="false" customHeight="true" outlineLevel="0" collapsed="false">
      <c r="A1250" s="1" t="s">
        <v>577</v>
      </c>
      <c r="B1250" s="1" t="n">
        <v>619</v>
      </c>
    </row>
    <row r="1251" customFormat="false" ht="15" hidden="false" customHeight="true" outlineLevel="0" collapsed="false">
      <c r="A1251" s="1" t="s">
        <v>579</v>
      </c>
      <c r="B1251" s="1" t="n">
        <v>619</v>
      </c>
    </row>
    <row r="1252" customFormat="false" ht="15" hidden="false" customHeight="true" outlineLevel="0" collapsed="false">
      <c r="A1252" s="1" t="s">
        <v>313</v>
      </c>
      <c r="B1252" s="1" t="n">
        <v>615</v>
      </c>
    </row>
    <row r="1253" customFormat="false" ht="15" hidden="false" customHeight="true" outlineLevel="0" collapsed="false">
      <c r="A1253" s="1" t="s">
        <v>626</v>
      </c>
      <c r="B1253" s="1" t="n">
        <v>614</v>
      </c>
    </row>
    <row r="1254" customFormat="false" ht="15" hidden="false" customHeight="true" outlineLevel="0" collapsed="false">
      <c r="A1254" s="1" t="s">
        <v>179</v>
      </c>
      <c r="B1254" s="1" t="n">
        <v>608</v>
      </c>
    </row>
    <row r="1255" customFormat="false" ht="15" hidden="false" customHeight="true" outlineLevel="0" collapsed="false">
      <c r="A1255" s="1" t="s">
        <v>587</v>
      </c>
      <c r="B1255" s="1" t="n">
        <v>607</v>
      </c>
    </row>
    <row r="1256" customFormat="false" ht="15" hidden="false" customHeight="true" outlineLevel="0" collapsed="false">
      <c r="A1256" s="1" t="s">
        <v>532</v>
      </c>
      <c r="B1256" s="1" t="n">
        <v>603</v>
      </c>
    </row>
    <row r="1257" customFormat="false" ht="15" hidden="false" customHeight="true" outlineLevel="0" collapsed="false">
      <c r="A1257" s="1" t="s">
        <v>102</v>
      </c>
      <c r="B1257" s="1" t="n">
        <v>600</v>
      </c>
    </row>
    <row r="1258" customFormat="false" ht="15" hidden="false" customHeight="true" outlineLevel="0" collapsed="false">
      <c r="A1258" s="1" t="s">
        <v>173</v>
      </c>
      <c r="B1258" s="1" t="n">
        <v>595</v>
      </c>
    </row>
    <row r="1259" customFormat="false" ht="15" hidden="false" customHeight="true" outlineLevel="0" collapsed="false">
      <c r="A1259" s="1" t="s">
        <v>276</v>
      </c>
      <c r="B1259" s="1" t="n">
        <v>594</v>
      </c>
    </row>
    <row r="1260" customFormat="false" ht="15" hidden="false" customHeight="true" outlineLevel="0" collapsed="false">
      <c r="A1260" s="1" t="s">
        <v>133</v>
      </c>
      <c r="B1260" s="1" t="n">
        <v>588</v>
      </c>
    </row>
    <row r="1261" customFormat="false" ht="15" hidden="false" customHeight="true" outlineLevel="0" collapsed="false">
      <c r="A1261" s="1" t="s">
        <v>401</v>
      </c>
      <c r="B1261" s="1" t="n">
        <v>581</v>
      </c>
    </row>
    <row r="1262" customFormat="false" ht="15" hidden="false" customHeight="true" outlineLevel="0" collapsed="false">
      <c r="A1262" s="1" t="s">
        <v>482</v>
      </c>
      <c r="B1262" s="1" t="n">
        <v>577</v>
      </c>
    </row>
    <row r="1263" customFormat="false" ht="15" hidden="false" customHeight="true" outlineLevel="0" collapsed="false">
      <c r="A1263" s="1" t="s">
        <v>487</v>
      </c>
      <c r="B1263" s="1" t="n">
        <v>571</v>
      </c>
    </row>
    <row r="1264" customFormat="false" ht="15" hidden="false" customHeight="true" outlineLevel="0" collapsed="false">
      <c r="A1264" s="1" t="s">
        <v>305</v>
      </c>
      <c r="B1264" s="1" t="n">
        <v>567</v>
      </c>
    </row>
    <row r="1265" customFormat="false" ht="15" hidden="false" customHeight="true" outlineLevel="0" collapsed="false">
      <c r="A1265" s="1" t="s">
        <v>355</v>
      </c>
      <c r="B1265" s="1" t="n">
        <v>557</v>
      </c>
    </row>
    <row r="1266" customFormat="false" ht="15" hidden="false" customHeight="true" outlineLevel="0" collapsed="false">
      <c r="A1266" s="1" t="s">
        <v>250</v>
      </c>
      <c r="B1266" s="1" t="n">
        <v>555</v>
      </c>
    </row>
    <row r="1267" customFormat="false" ht="15" hidden="false" customHeight="true" outlineLevel="0" collapsed="false">
      <c r="A1267" s="1" t="s">
        <v>551</v>
      </c>
      <c r="B1267" s="1" t="n">
        <v>551</v>
      </c>
    </row>
    <row r="1268" customFormat="false" ht="15" hidden="false" customHeight="true" outlineLevel="0" collapsed="false">
      <c r="A1268" s="1" t="s">
        <v>247</v>
      </c>
      <c r="B1268" s="1" t="n">
        <v>550</v>
      </c>
    </row>
    <row r="1269" customFormat="false" ht="15" hidden="false" customHeight="true" outlineLevel="0" collapsed="false">
      <c r="A1269" s="1" t="s">
        <v>333</v>
      </c>
      <c r="B1269" s="1" t="n">
        <v>550</v>
      </c>
    </row>
    <row r="1270" customFormat="false" ht="15" hidden="false" customHeight="true" outlineLevel="0" collapsed="false">
      <c r="A1270" s="1" t="s">
        <v>182</v>
      </c>
      <c r="B1270" s="1" t="n">
        <v>549</v>
      </c>
    </row>
    <row r="1271" customFormat="false" ht="15" hidden="false" customHeight="true" outlineLevel="0" collapsed="false">
      <c r="A1271" s="1" t="s">
        <v>338</v>
      </c>
      <c r="B1271" s="1" t="n">
        <v>549</v>
      </c>
    </row>
    <row r="1272" customFormat="false" ht="15" hidden="false" customHeight="true" outlineLevel="0" collapsed="false">
      <c r="A1272" s="1" t="s">
        <v>260</v>
      </c>
      <c r="B1272" s="1" t="n">
        <v>546</v>
      </c>
    </row>
    <row r="1273" customFormat="false" ht="15" hidden="false" customHeight="true" outlineLevel="0" collapsed="false">
      <c r="A1273" s="1" t="s">
        <v>358</v>
      </c>
      <c r="B1273" s="1" t="n">
        <v>543</v>
      </c>
    </row>
    <row r="1274" customFormat="false" ht="15" hidden="false" customHeight="true" outlineLevel="0" collapsed="false">
      <c r="A1274" s="1" t="s">
        <v>593</v>
      </c>
      <c r="B1274" s="1" t="n">
        <v>534</v>
      </c>
    </row>
    <row r="1275" customFormat="false" ht="15" hidden="false" customHeight="true" outlineLevel="0" collapsed="false">
      <c r="A1275" s="1" t="s">
        <v>322</v>
      </c>
      <c r="B1275" s="1" t="n">
        <v>528</v>
      </c>
    </row>
    <row r="1276" customFormat="false" ht="15" hidden="false" customHeight="true" outlineLevel="0" collapsed="false">
      <c r="A1276" s="1" t="s">
        <v>599</v>
      </c>
      <c r="B1276" s="1" t="n">
        <v>524</v>
      </c>
    </row>
    <row r="1277" customFormat="false" ht="15" hidden="false" customHeight="true" outlineLevel="0" collapsed="false">
      <c r="A1277" s="1" t="s">
        <v>508</v>
      </c>
      <c r="B1277" s="1" t="n">
        <v>520</v>
      </c>
    </row>
    <row r="1278" customFormat="false" ht="15" hidden="false" customHeight="true" outlineLevel="0" collapsed="false">
      <c r="A1278" s="1" t="s">
        <v>155</v>
      </c>
      <c r="B1278" s="1" t="n">
        <v>505</v>
      </c>
    </row>
    <row r="1279" customFormat="false" ht="15" hidden="false" customHeight="true" outlineLevel="0" collapsed="false">
      <c r="A1279" s="1" t="s">
        <v>676</v>
      </c>
      <c r="B1279" s="1" t="n">
        <v>505</v>
      </c>
    </row>
    <row r="1280" customFormat="false" ht="15" hidden="false" customHeight="true" outlineLevel="0" collapsed="false">
      <c r="A1280" s="1" t="s">
        <v>170</v>
      </c>
      <c r="B1280" s="1" t="n">
        <v>500</v>
      </c>
    </row>
    <row r="1281" customFormat="false" ht="15" hidden="false" customHeight="true" outlineLevel="0" collapsed="false">
      <c r="A1281" s="1" t="s">
        <v>340</v>
      </c>
      <c r="B1281" s="1" t="n">
        <v>498</v>
      </c>
    </row>
    <row r="1282" customFormat="false" ht="15" hidden="false" customHeight="true" outlineLevel="0" collapsed="false">
      <c r="A1282" s="1" t="s">
        <v>527</v>
      </c>
      <c r="B1282" s="1" t="n">
        <v>491</v>
      </c>
    </row>
    <row r="1283" customFormat="false" ht="15" hidden="false" customHeight="true" outlineLevel="0" collapsed="false">
      <c r="A1283" s="1" t="s">
        <v>454</v>
      </c>
      <c r="B1283" s="1" t="n">
        <v>490</v>
      </c>
    </row>
    <row r="1284" customFormat="false" ht="15" hidden="false" customHeight="true" outlineLevel="0" collapsed="false">
      <c r="A1284" s="1" t="s">
        <v>230</v>
      </c>
      <c r="B1284" s="1" t="n">
        <v>488</v>
      </c>
    </row>
    <row r="1285" customFormat="false" ht="15" hidden="false" customHeight="true" outlineLevel="0" collapsed="false">
      <c r="A1285" s="1" t="s">
        <v>331</v>
      </c>
      <c r="B1285" s="1" t="n">
        <v>486</v>
      </c>
    </row>
    <row r="1286" customFormat="false" ht="15" hidden="false" customHeight="true" outlineLevel="0" collapsed="false">
      <c r="A1286" s="1" t="s">
        <v>108</v>
      </c>
      <c r="B1286" s="1" t="n">
        <v>484</v>
      </c>
    </row>
    <row r="1287" customFormat="false" ht="15" hidden="false" customHeight="true" outlineLevel="0" collapsed="false">
      <c r="A1287" s="1" t="s">
        <v>764</v>
      </c>
      <c r="B1287" s="1" t="n">
        <v>484</v>
      </c>
    </row>
    <row r="1288" customFormat="false" ht="15" hidden="false" customHeight="true" outlineLevel="0" collapsed="false">
      <c r="A1288" s="1" t="s">
        <v>275</v>
      </c>
      <c r="B1288" s="1" t="n">
        <v>482</v>
      </c>
    </row>
    <row r="1289" customFormat="false" ht="15" hidden="false" customHeight="true" outlineLevel="0" collapsed="false">
      <c r="A1289" s="1" t="s">
        <v>768</v>
      </c>
      <c r="B1289" s="1" t="n">
        <v>481</v>
      </c>
    </row>
    <row r="1290" customFormat="false" ht="15" hidden="false" customHeight="true" outlineLevel="0" collapsed="false">
      <c r="A1290" s="1" t="s">
        <v>221</v>
      </c>
      <c r="B1290" s="1" t="n">
        <v>478</v>
      </c>
    </row>
    <row r="1291" customFormat="false" ht="15" hidden="false" customHeight="true" outlineLevel="0" collapsed="false">
      <c r="A1291" s="1" t="s">
        <v>283</v>
      </c>
      <c r="B1291" s="1" t="n">
        <v>475</v>
      </c>
    </row>
    <row r="1292" customFormat="false" ht="15" hidden="false" customHeight="true" outlineLevel="0" collapsed="false">
      <c r="A1292" s="1" t="s">
        <v>279</v>
      </c>
      <c r="B1292" s="1" t="n">
        <v>468</v>
      </c>
    </row>
    <row r="1293" customFormat="false" ht="15" hidden="false" customHeight="true" outlineLevel="0" collapsed="false">
      <c r="A1293" s="1" t="s">
        <v>459</v>
      </c>
      <c r="B1293" s="1" t="n">
        <v>466</v>
      </c>
    </row>
    <row r="1294" customFormat="false" ht="15" hidden="false" customHeight="true" outlineLevel="0" collapsed="false">
      <c r="A1294" s="1" t="s">
        <v>608</v>
      </c>
      <c r="B1294" s="1" t="n">
        <v>465</v>
      </c>
    </row>
    <row r="1295" customFormat="false" ht="15" hidden="false" customHeight="true" outlineLevel="0" collapsed="false">
      <c r="A1295" s="1" t="s">
        <v>418</v>
      </c>
      <c r="B1295" s="1" t="n">
        <v>465</v>
      </c>
    </row>
    <row r="1296" customFormat="false" ht="15" hidden="false" customHeight="true" outlineLevel="0" collapsed="false">
      <c r="A1296" s="1" t="s">
        <v>228</v>
      </c>
      <c r="B1296" s="1" t="n">
        <v>460</v>
      </c>
    </row>
    <row r="1297" customFormat="false" ht="15" hidden="false" customHeight="true" outlineLevel="0" collapsed="false">
      <c r="A1297" s="1" t="s">
        <v>241</v>
      </c>
      <c r="B1297" s="1" t="n">
        <v>458</v>
      </c>
    </row>
    <row r="1298" customFormat="false" ht="15" hidden="false" customHeight="true" outlineLevel="0" collapsed="false">
      <c r="A1298" s="1" t="s">
        <v>799</v>
      </c>
      <c r="B1298" s="1" t="n">
        <v>457</v>
      </c>
    </row>
    <row r="1299" customFormat="false" ht="15" hidden="false" customHeight="true" outlineLevel="0" collapsed="false">
      <c r="A1299" s="1" t="s">
        <v>605</v>
      </c>
      <c r="B1299" s="1" t="n">
        <v>455</v>
      </c>
    </row>
    <row r="1300" customFormat="false" ht="15" hidden="false" customHeight="true" outlineLevel="0" collapsed="false">
      <c r="A1300" s="1" t="s">
        <v>654</v>
      </c>
      <c r="B1300" s="1" t="n">
        <v>453</v>
      </c>
    </row>
    <row r="1301" customFormat="false" ht="15" hidden="false" customHeight="true" outlineLevel="0" collapsed="false">
      <c r="A1301" s="1" t="s">
        <v>805</v>
      </c>
      <c r="B1301" s="1" t="n">
        <v>453</v>
      </c>
    </row>
    <row r="1302" customFormat="false" ht="15" hidden="false" customHeight="true" outlineLevel="0" collapsed="false">
      <c r="A1302" s="1" t="s">
        <v>469</v>
      </c>
      <c r="B1302" s="1" t="n">
        <v>445</v>
      </c>
    </row>
    <row r="1303" customFormat="false" ht="15" hidden="false" customHeight="true" outlineLevel="0" collapsed="false">
      <c r="A1303" s="1" t="s">
        <v>710</v>
      </c>
      <c r="B1303" s="1" t="n">
        <v>443</v>
      </c>
    </row>
    <row r="1304" customFormat="false" ht="15" hidden="false" customHeight="true" outlineLevel="0" collapsed="false">
      <c r="A1304" s="1" t="s">
        <v>352</v>
      </c>
      <c r="B1304" s="1" t="n">
        <v>442</v>
      </c>
    </row>
    <row r="1305" customFormat="false" ht="15" hidden="false" customHeight="true" outlineLevel="0" collapsed="false">
      <c r="A1305" s="1" t="s">
        <v>397</v>
      </c>
      <c r="B1305" s="1" t="n">
        <v>442</v>
      </c>
    </row>
    <row r="1306" customFormat="false" ht="15" hidden="false" customHeight="true" outlineLevel="0" collapsed="false">
      <c r="A1306" s="1" t="s">
        <v>253</v>
      </c>
      <c r="B1306" s="1" t="n">
        <v>438</v>
      </c>
    </row>
    <row r="1307" customFormat="false" ht="15" hidden="false" customHeight="true" outlineLevel="0" collapsed="false">
      <c r="A1307" s="1" t="s">
        <v>817</v>
      </c>
      <c r="B1307" s="1" t="n">
        <v>437</v>
      </c>
    </row>
    <row r="1308" customFormat="false" ht="15" hidden="false" customHeight="true" outlineLevel="0" collapsed="false">
      <c r="A1308" s="1" t="s">
        <v>291</v>
      </c>
      <c r="B1308" s="1" t="n">
        <v>433</v>
      </c>
    </row>
    <row r="1309" customFormat="false" ht="15" hidden="false" customHeight="true" outlineLevel="0" collapsed="false">
      <c r="A1309" s="1" t="s">
        <v>668</v>
      </c>
      <c r="B1309" s="1" t="n">
        <v>430</v>
      </c>
    </row>
    <row r="1310" customFormat="false" ht="15" hidden="false" customHeight="true" outlineLevel="0" collapsed="false">
      <c r="A1310" s="1" t="s">
        <v>760</v>
      </c>
      <c r="B1310" s="1" t="n">
        <v>430</v>
      </c>
    </row>
    <row r="1311" customFormat="false" ht="15" hidden="false" customHeight="true" outlineLevel="0" collapsed="false">
      <c r="A1311" s="1" t="s">
        <v>559</v>
      </c>
      <c r="B1311" s="1" t="n">
        <v>428</v>
      </c>
    </row>
    <row r="1312" customFormat="false" ht="15" hidden="false" customHeight="true" outlineLevel="0" collapsed="false">
      <c r="A1312" s="1" t="s">
        <v>216</v>
      </c>
      <c r="B1312" s="1" t="n">
        <v>425</v>
      </c>
    </row>
    <row r="1313" customFormat="false" ht="15" hidden="false" customHeight="true" outlineLevel="0" collapsed="false">
      <c r="A1313" s="1" t="s">
        <v>304</v>
      </c>
      <c r="B1313" s="1" t="n">
        <v>425</v>
      </c>
    </row>
    <row r="1314" customFormat="false" ht="15" hidden="false" customHeight="true" outlineLevel="0" collapsed="false">
      <c r="A1314" s="1" t="s">
        <v>565</v>
      </c>
      <c r="B1314" s="1" t="n">
        <v>423</v>
      </c>
    </row>
    <row r="1315" customFormat="false" ht="15" hidden="false" customHeight="true" outlineLevel="0" collapsed="false">
      <c r="A1315" s="1" t="s">
        <v>409</v>
      </c>
      <c r="B1315" s="1" t="n">
        <v>422</v>
      </c>
    </row>
    <row r="1316" customFormat="false" ht="15" hidden="false" customHeight="true" outlineLevel="0" collapsed="false">
      <c r="A1316" s="1" t="s">
        <v>159</v>
      </c>
      <c r="B1316" s="1" t="n">
        <v>417</v>
      </c>
    </row>
    <row r="1317" customFormat="false" ht="15" hidden="false" customHeight="true" outlineLevel="0" collapsed="false">
      <c r="A1317" s="1" t="s">
        <v>423</v>
      </c>
      <c r="B1317" s="1" t="n">
        <v>415</v>
      </c>
    </row>
    <row r="1318" customFormat="false" ht="15" hidden="false" customHeight="true" outlineLevel="0" collapsed="false">
      <c r="A1318" s="1" t="s">
        <v>405</v>
      </c>
      <c r="B1318" s="1" t="n">
        <v>414</v>
      </c>
    </row>
    <row r="1319" customFormat="false" ht="15" hidden="false" customHeight="true" outlineLevel="0" collapsed="false">
      <c r="A1319" s="1" t="s">
        <v>583</v>
      </c>
      <c r="B1319" s="1" t="n">
        <v>411</v>
      </c>
    </row>
    <row r="1320" customFormat="false" ht="15" hidden="false" customHeight="true" outlineLevel="0" collapsed="false">
      <c r="A1320" s="1" t="s">
        <v>272</v>
      </c>
      <c r="B1320" s="1" t="n">
        <v>410</v>
      </c>
    </row>
    <row r="1321" customFormat="false" ht="15" hidden="false" customHeight="true" outlineLevel="0" collapsed="false">
      <c r="A1321" s="1" t="s">
        <v>514</v>
      </c>
      <c r="B1321" s="1" t="n">
        <v>410</v>
      </c>
    </row>
    <row r="1322" customFormat="false" ht="15" hidden="false" customHeight="true" outlineLevel="0" collapsed="false">
      <c r="A1322" s="1" t="s">
        <v>539</v>
      </c>
      <c r="B1322" s="1" t="n">
        <v>401</v>
      </c>
    </row>
    <row r="1323" customFormat="false" ht="15" hidden="false" customHeight="true" outlineLevel="0" collapsed="false">
      <c r="A1323" s="1" t="s">
        <v>547</v>
      </c>
      <c r="B1323" s="1" t="n">
        <v>401</v>
      </c>
    </row>
    <row r="1324" customFormat="false" ht="15" hidden="false" customHeight="true" outlineLevel="0" collapsed="false">
      <c r="A1324" s="1" t="s">
        <v>517</v>
      </c>
      <c r="B1324" s="1" t="n">
        <v>400</v>
      </c>
    </row>
    <row r="1325" customFormat="false" ht="15" hidden="false" customHeight="true" outlineLevel="0" collapsed="false">
      <c r="A1325" s="1" t="s">
        <v>431</v>
      </c>
      <c r="B1325" s="1" t="n">
        <v>400</v>
      </c>
    </row>
    <row r="1326" customFormat="false" ht="15" hidden="false" customHeight="true" outlineLevel="0" collapsed="false">
      <c r="A1326" s="1" t="s">
        <v>439</v>
      </c>
      <c r="B1326" s="1" t="n">
        <v>399</v>
      </c>
    </row>
    <row r="1327" customFormat="false" ht="15" hidden="false" customHeight="true" outlineLevel="0" collapsed="false">
      <c r="A1327" s="1" t="s">
        <v>880</v>
      </c>
      <c r="B1327" s="1" t="n">
        <v>396</v>
      </c>
    </row>
    <row r="1328" customFormat="false" ht="15" hidden="false" customHeight="true" outlineLevel="0" collapsed="false">
      <c r="A1328" s="1" t="s">
        <v>288</v>
      </c>
      <c r="B1328" s="1" t="n">
        <v>395</v>
      </c>
    </row>
    <row r="1329" customFormat="false" ht="15" hidden="false" customHeight="true" outlineLevel="0" collapsed="false">
      <c r="A1329" s="1" t="s">
        <v>724</v>
      </c>
      <c r="B1329" s="1" t="n">
        <v>393</v>
      </c>
    </row>
    <row r="1330" customFormat="false" ht="15" hidden="false" customHeight="true" outlineLevel="0" collapsed="false">
      <c r="A1330" s="1" t="s">
        <v>245</v>
      </c>
      <c r="B1330" s="1" t="n">
        <v>390</v>
      </c>
    </row>
    <row r="1331" customFormat="false" ht="15" hidden="false" customHeight="true" outlineLevel="0" collapsed="false">
      <c r="A1331" s="1" t="s">
        <v>192</v>
      </c>
      <c r="B1331" s="1" t="n">
        <v>386</v>
      </c>
    </row>
    <row r="1332" customFormat="false" ht="15" hidden="false" customHeight="true" outlineLevel="0" collapsed="false">
      <c r="A1332" s="1" t="s">
        <v>535</v>
      </c>
      <c r="B1332" s="1" t="n">
        <v>386</v>
      </c>
    </row>
    <row r="1333" customFormat="false" ht="15" hidden="false" customHeight="true" outlineLevel="0" collapsed="false">
      <c r="A1333" s="1" t="s">
        <v>694</v>
      </c>
      <c r="B1333" s="1" t="n">
        <v>385</v>
      </c>
    </row>
    <row r="1334" customFormat="false" ht="15" hidden="false" customHeight="true" outlineLevel="0" collapsed="false">
      <c r="A1334" s="1" t="s">
        <v>905</v>
      </c>
      <c r="B1334" s="1" t="n">
        <v>385</v>
      </c>
    </row>
    <row r="1335" customFormat="false" ht="15" hidden="false" customHeight="true" outlineLevel="0" collapsed="false">
      <c r="A1335" s="1" t="s">
        <v>908</v>
      </c>
      <c r="B1335" s="1" t="n">
        <v>385</v>
      </c>
    </row>
    <row r="1336" customFormat="false" ht="15" hidden="false" customHeight="true" outlineLevel="0" collapsed="false">
      <c r="A1336" s="1" t="s">
        <v>734</v>
      </c>
      <c r="B1336" s="1" t="n">
        <v>384</v>
      </c>
    </row>
    <row r="1337" customFormat="false" ht="15" hidden="false" customHeight="true" outlineLevel="0" collapsed="false">
      <c r="A1337" s="1" t="s">
        <v>820</v>
      </c>
      <c r="B1337" s="1" t="n">
        <v>384</v>
      </c>
    </row>
    <row r="1338" customFormat="false" ht="15" hidden="false" customHeight="true" outlineLevel="0" collapsed="false">
      <c r="A1338" s="1" t="s">
        <v>365</v>
      </c>
      <c r="B1338" s="1" t="n">
        <v>382</v>
      </c>
    </row>
    <row r="1339" customFormat="false" ht="15" hidden="false" customHeight="true" outlineLevel="0" collapsed="false">
      <c r="A1339" s="1" t="s">
        <v>746</v>
      </c>
      <c r="B1339" s="1" t="n">
        <v>377</v>
      </c>
    </row>
    <row r="1340" customFormat="false" ht="15" hidden="false" customHeight="true" outlineLevel="0" collapsed="false">
      <c r="A1340" s="1" t="s">
        <v>671</v>
      </c>
      <c r="B1340" s="1" t="n">
        <v>376</v>
      </c>
    </row>
    <row r="1341" customFormat="false" ht="15" hidden="false" customHeight="true" outlineLevel="0" collapsed="false">
      <c r="A1341" s="1" t="s">
        <v>285</v>
      </c>
      <c r="B1341" s="1" t="n">
        <v>375</v>
      </c>
    </row>
    <row r="1342" customFormat="false" ht="15" hidden="false" customHeight="true" outlineLevel="0" collapsed="false">
      <c r="A1342" s="1" t="s">
        <v>784</v>
      </c>
      <c r="B1342" s="1" t="n">
        <v>375</v>
      </c>
    </row>
    <row r="1343" customFormat="false" ht="15" hidden="false" customHeight="true" outlineLevel="0" collapsed="false">
      <c r="A1343" s="1" t="s">
        <v>781</v>
      </c>
      <c r="B1343" s="1" t="n">
        <v>374</v>
      </c>
    </row>
    <row r="1344" customFormat="false" ht="15" hidden="false" customHeight="true" outlineLevel="0" collapsed="false">
      <c r="A1344" s="1" t="s">
        <v>392</v>
      </c>
      <c r="B1344" s="1" t="n">
        <v>371</v>
      </c>
    </row>
    <row r="1345" customFormat="false" ht="15" hidden="false" customHeight="true" outlineLevel="0" collapsed="false">
      <c r="A1345" s="1" t="s">
        <v>386</v>
      </c>
      <c r="B1345" s="1" t="n">
        <v>370</v>
      </c>
    </row>
    <row r="1346" customFormat="false" ht="15" hidden="false" customHeight="true" outlineLevel="0" collapsed="false">
      <c r="A1346" s="1" t="s">
        <v>679</v>
      </c>
      <c r="B1346" s="1" t="n">
        <v>370</v>
      </c>
    </row>
    <row r="1347" customFormat="false" ht="15" hidden="false" customHeight="true" outlineLevel="0" collapsed="false">
      <c r="A1347" s="1" t="s">
        <v>639</v>
      </c>
      <c r="B1347" s="1" t="n">
        <v>369</v>
      </c>
    </row>
    <row r="1348" customFormat="false" ht="15" hidden="false" customHeight="true" outlineLevel="0" collapsed="false">
      <c r="A1348" s="1" t="s">
        <v>719</v>
      </c>
      <c r="B1348" s="1" t="n">
        <v>368</v>
      </c>
    </row>
    <row r="1349" customFormat="false" ht="15" hidden="false" customHeight="true" outlineLevel="0" collapsed="false">
      <c r="A1349" s="1" t="s">
        <v>592</v>
      </c>
      <c r="B1349" s="1" t="n">
        <v>368</v>
      </c>
    </row>
    <row r="1350" customFormat="false" ht="15" hidden="false" customHeight="true" outlineLevel="0" collapsed="false">
      <c r="A1350" s="1" t="s">
        <v>961</v>
      </c>
      <c r="B1350" s="1" t="n">
        <v>361</v>
      </c>
    </row>
    <row r="1351" customFormat="false" ht="15" hidden="false" customHeight="true" outlineLevel="0" collapsed="false">
      <c r="A1351" s="1" t="s">
        <v>603</v>
      </c>
      <c r="B1351" s="1" t="n">
        <v>360</v>
      </c>
    </row>
    <row r="1352" customFormat="false" ht="15" hidden="false" customHeight="true" outlineLevel="0" collapsed="false">
      <c r="A1352" s="1" t="s">
        <v>591</v>
      </c>
      <c r="B1352" s="1" t="n">
        <v>360</v>
      </c>
    </row>
    <row r="1353" customFormat="false" ht="15" hidden="false" customHeight="true" outlineLevel="0" collapsed="false">
      <c r="A1353" s="1" t="s">
        <v>986</v>
      </c>
      <c r="B1353" s="1" t="n">
        <v>354</v>
      </c>
    </row>
    <row r="1354" customFormat="false" ht="15" hidden="false" customHeight="true" outlineLevel="0" collapsed="false">
      <c r="A1354" s="1" t="s">
        <v>651</v>
      </c>
      <c r="B1354" s="1" t="n">
        <v>352</v>
      </c>
    </row>
    <row r="1355" customFormat="false" ht="15" hidden="false" customHeight="true" outlineLevel="0" collapsed="false">
      <c r="A1355" s="1" t="s">
        <v>452</v>
      </c>
      <c r="B1355" s="1" t="n">
        <v>351</v>
      </c>
    </row>
    <row r="1356" customFormat="false" ht="15" hidden="false" customHeight="true" outlineLevel="0" collapsed="false">
      <c r="A1356" s="1" t="s">
        <v>237</v>
      </c>
      <c r="B1356" s="1" t="n">
        <v>349</v>
      </c>
    </row>
    <row r="1357" customFormat="false" ht="15" hidden="false" customHeight="true" outlineLevel="0" collapsed="false">
      <c r="A1357" s="1" t="s">
        <v>791</v>
      </c>
      <c r="B1357" s="1" t="n">
        <v>347</v>
      </c>
    </row>
    <row r="1358" customFormat="false" ht="15" hidden="false" customHeight="true" outlineLevel="0" collapsed="false">
      <c r="A1358" s="1" t="s">
        <v>863</v>
      </c>
      <c r="B1358" s="1" t="n">
        <v>347</v>
      </c>
    </row>
    <row r="1359" customFormat="false" ht="15" hidden="false" customHeight="true" outlineLevel="0" collapsed="false">
      <c r="A1359" s="1" t="s">
        <v>999</v>
      </c>
      <c r="B1359" s="1" t="n">
        <v>346</v>
      </c>
    </row>
    <row r="1360" customFormat="false" ht="15" hidden="false" customHeight="true" outlineLevel="0" collapsed="false">
      <c r="A1360" s="1" t="s">
        <v>825</v>
      </c>
      <c r="B1360" s="1" t="n">
        <v>345</v>
      </c>
    </row>
    <row r="1361" customFormat="false" ht="15" hidden="false" customHeight="true" outlineLevel="0" collapsed="false">
      <c r="A1361" s="1" t="s">
        <v>707</v>
      </c>
      <c r="B1361" s="1" t="n">
        <v>341</v>
      </c>
    </row>
    <row r="1362" customFormat="false" ht="15" hidden="false" customHeight="true" outlineLevel="0" collapsed="false">
      <c r="A1362" s="1" t="s">
        <v>747</v>
      </c>
      <c r="B1362" s="1" t="n">
        <v>341</v>
      </c>
    </row>
    <row r="1363" customFormat="false" ht="15" hidden="false" customHeight="true" outlineLevel="0" collapsed="false">
      <c r="A1363" s="1" t="s">
        <v>661</v>
      </c>
      <c r="B1363" s="1" t="n">
        <v>341</v>
      </c>
    </row>
    <row r="1364" customFormat="false" ht="15" hidden="false" customHeight="true" outlineLevel="0" collapsed="false">
      <c r="A1364" s="1" t="s">
        <v>920</v>
      </c>
      <c r="B1364" s="1" t="n">
        <v>339</v>
      </c>
    </row>
    <row r="1365" customFormat="false" ht="15" hidden="false" customHeight="true" outlineLevel="0" collapsed="false">
      <c r="A1365" s="1" t="s">
        <v>476</v>
      </c>
      <c r="B1365" s="1" t="n">
        <v>338</v>
      </c>
    </row>
    <row r="1366" customFormat="false" ht="15" hidden="false" customHeight="true" outlineLevel="0" collapsed="false">
      <c r="A1366" s="1" t="s">
        <v>493</v>
      </c>
      <c r="B1366" s="1" t="n">
        <v>337</v>
      </c>
    </row>
    <row r="1367" customFormat="false" ht="15" hidden="false" customHeight="true" outlineLevel="0" collapsed="false">
      <c r="A1367" s="1" t="s">
        <v>374</v>
      </c>
      <c r="B1367" s="1" t="n">
        <v>333</v>
      </c>
    </row>
    <row r="1368" customFormat="false" ht="15" hidden="false" customHeight="true" outlineLevel="0" collapsed="false">
      <c r="A1368" s="1" t="s">
        <v>692</v>
      </c>
      <c r="B1368" s="1" t="n">
        <v>332</v>
      </c>
    </row>
    <row r="1369" customFormat="false" ht="15" hidden="false" customHeight="true" outlineLevel="0" collapsed="false">
      <c r="A1369" s="1" t="s">
        <v>293</v>
      </c>
      <c r="B1369" s="1" t="n">
        <v>331</v>
      </c>
    </row>
    <row r="1370" customFormat="false" ht="15" hidden="false" customHeight="true" outlineLevel="0" collapsed="false">
      <c r="A1370" s="1" t="s">
        <v>473</v>
      </c>
      <c r="B1370" s="1" t="n">
        <v>330</v>
      </c>
    </row>
    <row r="1371" customFormat="false" ht="15" hidden="false" customHeight="true" outlineLevel="0" collapsed="false">
      <c r="A1371" s="1" t="s">
        <v>204</v>
      </c>
      <c r="B1371" s="1" t="n">
        <v>330</v>
      </c>
    </row>
    <row r="1372" customFormat="false" ht="15" hidden="false" customHeight="true" outlineLevel="0" collapsed="false">
      <c r="A1372" s="1" t="s">
        <v>478</v>
      </c>
      <c r="B1372" s="1" t="n">
        <v>328</v>
      </c>
    </row>
    <row r="1373" customFormat="false" ht="15" hidden="false" customHeight="true" outlineLevel="0" collapsed="false">
      <c r="A1373" s="1" t="s">
        <v>844</v>
      </c>
      <c r="B1373" s="1" t="n">
        <v>327</v>
      </c>
    </row>
    <row r="1374" customFormat="false" ht="15" hidden="false" customHeight="true" outlineLevel="0" collapsed="false">
      <c r="A1374" s="1" t="s">
        <v>415</v>
      </c>
      <c r="B1374" s="1" t="n">
        <v>326</v>
      </c>
    </row>
    <row r="1375" customFormat="false" ht="15" hidden="false" customHeight="true" outlineLevel="0" collapsed="false">
      <c r="A1375" s="1" t="s">
        <v>945</v>
      </c>
      <c r="B1375" s="1" t="n">
        <v>326</v>
      </c>
    </row>
    <row r="1376" customFormat="false" ht="15" hidden="false" customHeight="true" outlineLevel="0" collapsed="false">
      <c r="A1376" s="1" t="s">
        <v>458</v>
      </c>
      <c r="B1376" s="1" t="n">
        <v>324</v>
      </c>
    </row>
    <row r="1377" customFormat="false" ht="15" hidden="false" customHeight="true" outlineLevel="0" collapsed="false">
      <c r="A1377" s="1" t="s">
        <v>948</v>
      </c>
      <c r="B1377" s="1" t="n">
        <v>324</v>
      </c>
    </row>
    <row r="1378" customFormat="false" ht="15" hidden="false" customHeight="true" outlineLevel="0" collapsed="false">
      <c r="A1378" s="1" t="s">
        <v>447</v>
      </c>
      <c r="B1378" s="1" t="n">
        <v>322</v>
      </c>
    </row>
    <row r="1379" customFormat="false" ht="15" hidden="false" customHeight="true" outlineLevel="0" collapsed="false">
      <c r="A1379" s="1" t="s">
        <v>571</v>
      </c>
      <c r="B1379" s="1" t="n">
        <v>322</v>
      </c>
    </row>
    <row r="1380" customFormat="false" ht="15" hidden="false" customHeight="true" outlineLevel="0" collapsed="false">
      <c r="A1380" s="1" t="s">
        <v>666</v>
      </c>
      <c r="B1380" s="1" t="n">
        <v>322</v>
      </c>
    </row>
    <row r="1381" customFormat="false" ht="15" hidden="false" customHeight="true" outlineLevel="0" collapsed="false">
      <c r="A1381" s="1" t="s">
        <v>135</v>
      </c>
      <c r="B1381" s="1" t="n">
        <v>318</v>
      </c>
    </row>
    <row r="1382" customFormat="false" ht="15" hidden="false" customHeight="true" outlineLevel="0" collapsed="false">
      <c r="A1382" s="1" t="s">
        <v>883</v>
      </c>
      <c r="B1382" s="1" t="n">
        <v>318</v>
      </c>
    </row>
    <row r="1383" customFormat="false" ht="15" hidden="false" customHeight="true" outlineLevel="0" collapsed="false">
      <c r="A1383" s="1" t="s">
        <v>727</v>
      </c>
      <c r="B1383" s="1" t="n">
        <v>317</v>
      </c>
    </row>
    <row r="1384" customFormat="false" ht="15" hidden="false" customHeight="true" outlineLevel="0" collapsed="false">
      <c r="A1384" s="1" t="s">
        <v>895</v>
      </c>
      <c r="B1384" s="1" t="n">
        <v>314</v>
      </c>
    </row>
    <row r="1385" customFormat="false" ht="15" hidden="false" customHeight="true" outlineLevel="0" collapsed="false">
      <c r="A1385" s="1" t="s">
        <v>371</v>
      </c>
      <c r="B1385" s="1" t="n">
        <v>313</v>
      </c>
    </row>
    <row r="1386" customFormat="false" ht="15" hidden="false" customHeight="true" outlineLevel="0" collapsed="false">
      <c r="A1386" s="1" t="s">
        <v>959</v>
      </c>
      <c r="B1386" s="1" t="n">
        <v>313</v>
      </c>
    </row>
    <row r="1387" customFormat="false" ht="15" hidden="false" customHeight="true" outlineLevel="0" collapsed="false">
      <c r="A1387" s="1" t="s">
        <v>615</v>
      </c>
      <c r="B1387" s="1" t="n">
        <v>312</v>
      </c>
    </row>
    <row r="1388" customFormat="false" ht="15" hidden="false" customHeight="true" outlineLevel="0" collapsed="false">
      <c r="A1388" s="1" t="s">
        <v>383</v>
      </c>
      <c r="B1388" s="1" t="n">
        <v>311</v>
      </c>
    </row>
    <row r="1389" customFormat="false" ht="15" hidden="false" customHeight="true" outlineLevel="0" collapsed="false">
      <c r="A1389" s="1" t="s">
        <v>655</v>
      </c>
      <c r="B1389" s="1" t="n">
        <v>311</v>
      </c>
    </row>
    <row r="1390" customFormat="false" ht="15" hidden="false" customHeight="true" outlineLevel="0" collapsed="false">
      <c r="A1390" s="1" t="s">
        <v>437</v>
      </c>
      <c r="B1390" s="1" t="n">
        <v>310</v>
      </c>
    </row>
    <row r="1391" customFormat="false" ht="15" hidden="false" customHeight="true" outlineLevel="0" collapsed="false">
      <c r="A1391" s="1" t="s">
        <v>867</v>
      </c>
      <c r="B1391" s="1" t="n">
        <v>309</v>
      </c>
    </row>
    <row r="1392" customFormat="false" ht="15" hidden="false" customHeight="true" outlineLevel="0" collapsed="false">
      <c r="A1392" s="1" t="s">
        <v>308</v>
      </c>
      <c r="B1392" s="1" t="n">
        <v>309</v>
      </c>
    </row>
    <row r="1393" customFormat="false" ht="15" hidden="false" customHeight="true" outlineLevel="0" collapsed="false">
      <c r="A1393" s="1" t="s">
        <v>1045</v>
      </c>
      <c r="B1393" s="1" t="n">
        <v>309</v>
      </c>
    </row>
    <row r="1394" customFormat="false" ht="15" hidden="false" customHeight="true" outlineLevel="0" collapsed="false">
      <c r="A1394" s="1" t="s">
        <v>989</v>
      </c>
      <c r="B1394" s="1" t="n">
        <v>309</v>
      </c>
    </row>
    <row r="1395" customFormat="false" ht="15" hidden="false" customHeight="true" outlineLevel="0" collapsed="false">
      <c r="A1395" s="1" t="s">
        <v>489</v>
      </c>
      <c r="B1395" s="1" t="n">
        <v>307</v>
      </c>
    </row>
    <row r="1396" customFormat="false" ht="15" hidden="false" customHeight="true" outlineLevel="0" collapsed="false">
      <c r="A1396" s="1" t="s">
        <v>268</v>
      </c>
      <c r="B1396" s="1" t="n">
        <v>306</v>
      </c>
    </row>
    <row r="1397" customFormat="false" ht="15" hidden="false" customHeight="true" outlineLevel="0" collapsed="false">
      <c r="A1397" s="1" t="s">
        <v>263</v>
      </c>
      <c r="B1397" s="1" t="n">
        <v>305</v>
      </c>
    </row>
    <row r="1398" customFormat="false" ht="15" hidden="false" customHeight="true" outlineLevel="0" collapsed="false">
      <c r="A1398" s="1" t="s">
        <v>549</v>
      </c>
      <c r="B1398" s="1" t="n">
        <v>302</v>
      </c>
    </row>
    <row r="1399" customFormat="false" ht="15" hidden="false" customHeight="true" outlineLevel="0" collapsed="false">
      <c r="A1399" s="1" t="s">
        <v>378</v>
      </c>
      <c r="B1399" s="1" t="n">
        <v>300</v>
      </c>
    </row>
    <row r="1400" customFormat="false" ht="15" hidden="false" customHeight="true" outlineLevel="0" collapsed="false">
      <c r="A1400" s="1" t="s">
        <v>1068</v>
      </c>
      <c r="B1400" s="1" t="n">
        <v>300</v>
      </c>
    </row>
    <row r="1401" customFormat="false" ht="15" hidden="false" customHeight="true" outlineLevel="0" collapsed="false">
      <c r="A1401" s="1" t="s">
        <v>797</v>
      </c>
      <c r="B1401" s="1" t="n">
        <v>299</v>
      </c>
    </row>
    <row r="1402" customFormat="false" ht="15" hidden="false" customHeight="true" outlineLevel="0" collapsed="false">
      <c r="A1402" s="1" t="s">
        <v>762</v>
      </c>
      <c r="B1402" s="1" t="n">
        <v>298</v>
      </c>
    </row>
    <row r="1403" customFormat="false" ht="15" hidden="false" customHeight="true" outlineLevel="0" collapsed="false">
      <c r="A1403" s="1" t="s">
        <v>698</v>
      </c>
      <c r="B1403" s="1" t="n">
        <v>298</v>
      </c>
    </row>
    <row r="1404" customFormat="false" ht="15" hidden="false" customHeight="true" outlineLevel="0" collapsed="false">
      <c r="A1404" s="1" t="s">
        <v>860</v>
      </c>
      <c r="B1404" s="1" t="n">
        <v>298</v>
      </c>
    </row>
    <row r="1405" customFormat="false" ht="15" hidden="false" customHeight="true" outlineLevel="0" collapsed="false">
      <c r="A1405" s="1" t="s">
        <v>1071</v>
      </c>
      <c r="B1405" s="1" t="n">
        <v>298</v>
      </c>
    </row>
    <row r="1406" customFormat="false" ht="15" hidden="false" customHeight="true" outlineLevel="0" collapsed="false">
      <c r="A1406" s="1" t="s">
        <v>317</v>
      </c>
      <c r="B1406" s="1" t="n">
        <v>296</v>
      </c>
    </row>
    <row r="1407" customFormat="false" ht="15" hidden="false" customHeight="true" outlineLevel="0" collapsed="false">
      <c r="A1407" s="1" t="s">
        <v>636</v>
      </c>
      <c r="B1407" s="1" t="n">
        <v>296</v>
      </c>
    </row>
    <row r="1408" customFormat="false" ht="15" hidden="false" customHeight="true" outlineLevel="0" collapsed="false">
      <c r="A1408" s="1" t="s">
        <v>1077</v>
      </c>
      <c r="B1408" s="1" t="n">
        <v>296</v>
      </c>
    </row>
    <row r="1409" customFormat="false" ht="15" hidden="false" customHeight="true" outlineLevel="0" collapsed="false">
      <c r="A1409" s="1" t="s">
        <v>421</v>
      </c>
      <c r="B1409" s="1" t="n">
        <v>294</v>
      </c>
    </row>
    <row r="1410" customFormat="false" ht="15" hidden="false" customHeight="true" outlineLevel="0" collapsed="false">
      <c r="A1410" s="1" t="s">
        <v>522</v>
      </c>
      <c r="B1410" s="1" t="n">
        <v>293</v>
      </c>
    </row>
    <row r="1411" customFormat="false" ht="15" hidden="false" customHeight="true" outlineLevel="0" collapsed="false">
      <c r="A1411" s="1" t="s">
        <v>875</v>
      </c>
      <c r="B1411" s="1" t="n">
        <v>293</v>
      </c>
    </row>
    <row r="1412" customFormat="false" ht="15" hidden="false" customHeight="true" outlineLevel="0" collapsed="false">
      <c r="A1412" s="1" t="s">
        <v>1080</v>
      </c>
      <c r="B1412" s="1" t="n">
        <v>293</v>
      </c>
    </row>
    <row r="1413" customFormat="false" ht="15" hidden="false" customHeight="true" outlineLevel="0" collapsed="false">
      <c r="A1413" s="1" t="s">
        <v>700</v>
      </c>
      <c r="B1413" s="1" t="n">
        <v>291</v>
      </c>
    </row>
    <row r="1414" customFormat="false" ht="15" hidden="false" customHeight="true" outlineLevel="0" collapsed="false">
      <c r="A1414" s="1" t="s">
        <v>752</v>
      </c>
      <c r="B1414" s="1" t="n">
        <v>291</v>
      </c>
    </row>
    <row r="1415" customFormat="false" ht="15" hidden="false" customHeight="true" outlineLevel="0" collapsed="false">
      <c r="A1415" s="1" t="s">
        <v>788</v>
      </c>
      <c r="B1415" s="1" t="n">
        <v>288</v>
      </c>
    </row>
    <row r="1416" customFormat="false" ht="15" hidden="false" customHeight="true" outlineLevel="0" collapsed="false">
      <c r="A1416" s="1" t="s">
        <v>633</v>
      </c>
      <c r="B1416" s="1" t="n">
        <v>287</v>
      </c>
    </row>
    <row r="1417" customFormat="false" ht="15" hidden="false" customHeight="true" outlineLevel="0" collapsed="false">
      <c r="A1417" s="1" t="s">
        <v>868</v>
      </c>
      <c r="B1417" s="1" t="n">
        <v>286</v>
      </c>
    </row>
    <row r="1418" customFormat="false" ht="15" hidden="false" customHeight="true" outlineLevel="0" collapsed="false">
      <c r="A1418" s="1" t="s">
        <v>328</v>
      </c>
      <c r="B1418" s="1" t="n">
        <v>285</v>
      </c>
    </row>
    <row r="1419" customFormat="false" ht="15" hidden="false" customHeight="true" outlineLevel="0" collapsed="false">
      <c r="A1419" s="1" t="s">
        <v>843</v>
      </c>
      <c r="B1419" s="1" t="n">
        <v>283</v>
      </c>
    </row>
    <row r="1420" customFormat="false" ht="15" hidden="false" customHeight="true" outlineLevel="0" collapsed="false">
      <c r="A1420" s="1" t="s">
        <v>335</v>
      </c>
      <c r="B1420" s="1" t="n">
        <v>282</v>
      </c>
    </row>
    <row r="1421" customFormat="false" ht="15" hidden="false" customHeight="true" outlineLevel="0" collapsed="false">
      <c r="A1421" s="1" t="s">
        <v>927</v>
      </c>
      <c r="B1421" s="1" t="n">
        <v>280</v>
      </c>
    </row>
    <row r="1422" customFormat="false" ht="15" hidden="false" customHeight="true" outlineLevel="0" collapsed="false">
      <c r="A1422" s="1" t="s">
        <v>1125</v>
      </c>
      <c r="B1422" s="1" t="n">
        <v>280</v>
      </c>
    </row>
    <row r="1423" customFormat="false" ht="15" hidden="false" customHeight="true" outlineLevel="0" collapsed="false">
      <c r="A1423" s="1" t="s">
        <v>1129</v>
      </c>
      <c r="B1423" s="1" t="n">
        <v>279</v>
      </c>
    </row>
    <row r="1424" customFormat="false" ht="15" hidden="false" customHeight="true" outlineLevel="0" collapsed="false">
      <c r="A1424" s="1" t="s">
        <v>840</v>
      </c>
      <c r="B1424" s="1" t="n">
        <v>278</v>
      </c>
    </row>
    <row r="1425" customFormat="false" ht="15" hidden="false" customHeight="true" outlineLevel="0" collapsed="false">
      <c r="A1425" s="1" t="s">
        <v>940</v>
      </c>
      <c r="B1425" s="1" t="n">
        <v>278</v>
      </c>
    </row>
    <row r="1426" customFormat="false" ht="15" hidden="false" customHeight="true" outlineLevel="0" collapsed="false">
      <c r="A1426" s="1" t="s">
        <v>911</v>
      </c>
      <c r="B1426" s="1" t="n">
        <v>277</v>
      </c>
    </row>
    <row r="1427" customFormat="false" ht="15" hidden="false" customHeight="true" outlineLevel="0" collapsed="false">
      <c r="A1427" s="1" t="s">
        <v>1139</v>
      </c>
      <c r="B1427" s="1" t="n">
        <v>277</v>
      </c>
    </row>
    <row r="1428" customFormat="false" ht="15" hidden="false" customHeight="true" outlineLevel="0" collapsed="false">
      <c r="A1428" s="1" t="s">
        <v>672</v>
      </c>
      <c r="B1428" s="1" t="n">
        <v>275</v>
      </c>
    </row>
    <row r="1429" customFormat="false" ht="15" hidden="false" customHeight="true" outlineLevel="0" collapsed="false">
      <c r="A1429" s="1" t="s">
        <v>1142</v>
      </c>
      <c r="B1429" s="1" t="n">
        <v>275</v>
      </c>
    </row>
    <row r="1430" customFormat="false" ht="15" hidden="false" customHeight="true" outlineLevel="0" collapsed="false">
      <c r="A1430" s="1" t="s">
        <v>420</v>
      </c>
      <c r="B1430" s="1" t="n">
        <v>274</v>
      </c>
    </row>
    <row r="1431" customFormat="false" ht="15" hidden="false" customHeight="true" outlineLevel="0" collapsed="false">
      <c r="A1431" s="1" t="s">
        <v>787</v>
      </c>
      <c r="B1431" s="1" t="n">
        <v>274</v>
      </c>
    </row>
    <row r="1432" customFormat="false" ht="15" hidden="false" customHeight="true" outlineLevel="0" collapsed="false">
      <c r="A1432" s="1" t="s">
        <v>941</v>
      </c>
      <c r="B1432" s="1" t="n">
        <v>274</v>
      </c>
    </row>
    <row r="1433" customFormat="false" ht="15" hidden="false" customHeight="true" outlineLevel="0" collapsed="false">
      <c r="A1433" s="1" t="s">
        <v>318</v>
      </c>
      <c r="B1433" s="1" t="n">
        <v>273</v>
      </c>
    </row>
    <row r="1434" customFormat="false" ht="15" hidden="false" customHeight="true" outlineLevel="0" collapsed="false">
      <c r="A1434" s="1" t="s">
        <v>449</v>
      </c>
      <c r="B1434" s="1" t="n">
        <v>273</v>
      </c>
    </row>
    <row r="1435" customFormat="false" ht="15" hidden="false" customHeight="true" outlineLevel="0" collapsed="false">
      <c r="A1435" s="1" t="s">
        <v>1003</v>
      </c>
      <c r="B1435" s="1" t="n">
        <v>271</v>
      </c>
    </row>
    <row r="1436" customFormat="false" ht="15" hidden="false" customHeight="true" outlineLevel="0" collapsed="false">
      <c r="A1436" s="1" t="s">
        <v>1036</v>
      </c>
      <c r="B1436" s="1" t="n">
        <v>270</v>
      </c>
    </row>
    <row r="1437" customFormat="false" ht="15" hidden="false" customHeight="true" outlineLevel="0" collapsed="false">
      <c r="A1437" s="1" t="s">
        <v>1160</v>
      </c>
      <c r="B1437" s="1" t="n">
        <v>269</v>
      </c>
    </row>
    <row r="1438" customFormat="false" ht="15" hidden="false" customHeight="true" outlineLevel="0" collapsed="false">
      <c r="A1438" s="1" t="s">
        <v>574</v>
      </c>
      <c r="B1438" s="1" t="n">
        <v>268</v>
      </c>
    </row>
    <row r="1439" customFormat="false" ht="15" hidden="false" customHeight="true" outlineLevel="0" collapsed="false">
      <c r="A1439" s="1" t="s">
        <v>424</v>
      </c>
      <c r="B1439" s="1" t="n">
        <v>267</v>
      </c>
    </row>
    <row r="1440" customFormat="false" ht="15" hidden="false" customHeight="true" outlineLevel="0" collapsed="false">
      <c r="A1440" s="1" t="s">
        <v>120</v>
      </c>
      <c r="B1440" s="1" t="n">
        <v>267</v>
      </c>
    </row>
    <row r="1441" customFormat="false" ht="15" hidden="false" customHeight="true" outlineLevel="0" collapsed="false">
      <c r="A1441" s="1" t="s">
        <v>368</v>
      </c>
      <c r="B1441" s="1" t="n">
        <v>266</v>
      </c>
    </row>
    <row r="1442" customFormat="false" ht="15" hidden="false" customHeight="true" outlineLevel="0" collapsed="false">
      <c r="A1442" s="1" t="s">
        <v>1167</v>
      </c>
      <c r="B1442" s="1" t="n">
        <v>266</v>
      </c>
    </row>
    <row r="1443" customFormat="false" ht="15" hidden="false" customHeight="true" outlineLevel="0" collapsed="false">
      <c r="A1443" s="1" t="s">
        <v>744</v>
      </c>
      <c r="B1443" s="1" t="n">
        <v>265</v>
      </c>
    </row>
    <row r="1444" customFormat="false" ht="15" hidden="false" customHeight="true" outlineLevel="0" collapsed="false">
      <c r="A1444" s="1" t="s">
        <v>467</v>
      </c>
      <c r="B1444" s="1" t="n">
        <v>263</v>
      </c>
    </row>
    <row r="1445" customFormat="false" ht="15" hidden="false" customHeight="true" outlineLevel="0" collapsed="false">
      <c r="A1445" s="1" t="s">
        <v>585</v>
      </c>
      <c r="B1445" s="1" t="n">
        <v>263</v>
      </c>
    </row>
    <row r="1446" customFormat="false" ht="15" hidden="false" customHeight="true" outlineLevel="0" collapsed="false">
      <c r="A1446" s="1" t="s">
        <v>1171</v>
      </c>
      <c r="B1446" s="1" t="n">
        <v>261</v>
      </c>
    </row>
    <row r="1447" customFormat="false" ht="15" hidden="false" customHeight="true" outlineLevel="0" collapsed="false">
      <c r="A1447" s="1" t="s">
        <v>504</v>
      </c>
      <c r="B1447" s="1" t="n">
        <v>258</v>
      </c>
    </row>
    <row r="1448" customFormat="false" ht="15" hidden="false" customHeight="true" outlineLevel="0" collapsed="false">
      <c r="A1448" s="1" t="s">
        <v>983</v>
      </c>
      <c r="B1448" s="1" t="n">
        <v>256</v>
      </c>
    </row>
    <row r="1449" customFormat="false" ht="15" hidden="false" customHeight="true" outlineLevel="0" collapsed="false">
      <c r="A1449" s="1" t="s">
        <v>1005</v>
      </c>
      <c r="B1449" s="1" t="n">
        <v>256</v>
      </c>
    </row>
    <row r="1450" customFormat="false" ht="15" hidden="false" customHeight="true" outlineLevel="0" collapsed="false">
      <c r="A1450" s="1" t="s">
        <v>417</v>
      </c>
      <c r="B1450" s="1" t="n">
        <v>253</v>
      </c>
    </row>
    <row r="1451" customFormat="false" ht="15" hidden="false" customHeight="true" outlineLevel="0" collapsed="false">
      <c r="A1451" s="1" t="s">
        <v>224</v>
      </c>
      <c r="B1451" s="1" t="n">
        <v>252</v>
      </c>
    </row>
    <row r="1452" customFormat="false" ht="15" hidden="false" customHeight="true" outlineLevel="0" collapsed="false">
      <c r="A1452" s="1" t="s">
        <v>360</v>
      </c>
      <c r="B1452" s="1" t="n">
        <v>252</v>
      </c>
    </row>
    <row r="1453" customFormat="false" ht="15" hidden="false" customHeight="true" outlineLevel="0" collapsed="false">
      <c r="A1453" s="1" t="s">
        <v>682</v>
      </c>
      <c r="B1453" s="1" t="n">
        <v>252</v>
      </c>
    </row>
    <row r="1454" customFormat="false" ht="15" hidden="false" customHeight="true" outlineLevel="0" collapsed="false">
      <c r="A1454" s="1" t="s">
        <v>659</v>
      </c>
      <c r="B1454" s="1" t="n">
        <v>250</v>
      </c>
    </row>
    <row r="1455" customFormat="false" ht="15" hidden="false" customHeight="true" outlineLevel="0" collapsed="false">
      <c r="A1455" s="1" t="s">
        <v>1209</v>
      </c>
      <c r="B1455" s="1" t="n">
        <v>249</v>
      </c>
    </row>
    <row r="1456" customFormat="false" ht="15" hidden="false" customHeight="true" outlineLevel="0" collapsed="false">
      <c r="A1456" s="1" t="s">
        <v>957</v>
      </c>
      <c r="B1456" s="1" t="n">
        <v>248</v>
      </c>
    </row>
    <row r="1457" customFormat="false" ht="15" hidden="false" customHeight="true" outlineLevel="0" collapsed="false">
      <c r="A1457" s="1" t="s">
        <v>463</v>
      </c>
      <c r="B1457" s="1" t="n">
        <v>245</v>
      </c>
    </row>
    <row r="1458" customFormat="false" ht="15" hidden="false" customHeight="true" outlineLevel="0" collapsed="false">
      <c r="A1458" s="1" t="s">
        <v>758</v>
      </c>
      <c r="B1458" s="1" t="n">
        <v>245</v>
      </c>
    </row>
    <row r="1459" customFormat="false" ht="15" hidden="false" customHeight="true" outlineLevel="0" collapsed="false">
      <c r="A1459" s="1" t="s">
        <v>1217</v>
      </c>
      <c r="B1459" s="1" t="n">
        <v>245</v>
      </c>
    </row>
    <row r="1460" customFormat="false" ht="15" hidden="false" customHeight="true" outlineLevel="0" collapsed="false">
      <c r="A1460" s="1" t="s">
        <v>1219</v>
      </c>
      <c r="B1460" s="1" t="n">
        <v>245</v>
      </c>
    </row>
    <row r="1461" customFormat="false" ht="15" hidden="false" customHeight="true" outlineLevel="0" collapsed="false">
      <c r="A1461" s="1" t="s">
        <v>1222</v>
      </c>
      <c r="B1461" s="1" t="n">
        <v>245</v>
      </c>
    </row>
    <row r="1462" customFormat="false" ht="15" hidden="false" customHeight="true" outlineLevel="0" collapsed="false">
      <c r="A1462" s="1" t="s">
        <v>981</v>
      </c>
      <c r="B1462" s="1" t="n">
        <v>244</v>
      </c>
    </row>
    <row r="1463" customFormat="false" ht="15" hidden="false" customHeight="true" outlineLevel="0" collapsed="false">
      <c r="A1463" s="1" t="s">
        <v>936</v>
      </c>
      <c r="B1463" s="1" t="n">
        <v>243</v>
      </c>
    </row>
    <row r="1464" customFormat="false" ht="15" hidden="false" customHeight="true" outlineLevel="0" collapsed="false">
      <c r="A1464" s="1" t="s">
        <v>813</v>
      </c>
      <c r="B1464" s="1" t="n">
        <v>242</v>
      </c>
    </row>
    <row r="1465" customFormat="false" ht="15" hidden="false" customHeight="true" outlineLevel="0" collapsed="false">
      <c r="A1465" s="1" t="s">
        <v>716</v>
      </c>
      <c r="B1465" s="1" t="n">
        <v>242</v>
      </c>
    </row>
    <row r="1466" customFormat="false" ht="15" hidden="false" customHeight="true" outlineLevel="0" collapsed="false">
      <c r="A1466" s="1" t="s">
        <v>650</v>
      </c>
      <c r="B1466" s="1" t="n">
        <v>242</v>
      </c>
    </row>
    <row r="1467" customFormat="false" ht="15" hidden="false" customHeight="true" outlineLevel="0" collapsed="false">
      <c r="A1467" s="1" t="s">
        <v>554</v>
      </c>
      <c r="B1467" s="1" t="n">
        <v>240</v>
      </c>
    </row>
    <row r="1468" customFormat="false" ht="15" hidden="false" customHeight="true" outlineLevel="0" collapsed="false">
      <c r="A1468" s="1" t="s">
        <v>795</v>
      </c>
      <c r="B1468" s="1" t="n">
        <v>239</v>
      </c>
    </row>
    <row r="1469" customFormat="false" ht="15" hidden="false" customHeight="true" outlineLevel="0" collapsed="false">
      <c r="A1469" s="1" t="s">
        <v>1241</v>
      </c>
      <c r="B1469" s="1" t="n">
        <v>238</v>
      </c>
    </row>
    <row r="1470" customFormat="false" ht="15" hidden="false" customHeight="true" outlineLevel="0" collapsed="false">
      <c r="A1470" s="1" t="s">
        <v>974</v>
      </c>
      <c r="B1470" s="1" t="n">
        <v>236</v>
      </c>
    </row>
    <row r="1471" customFormat="false" ht="15" hidden="false" customHeight="true" outlineLevel="0" collapsed="false">
      <c r="A1471" s="1" t="s">
        <v>1089</v>
      </c>
      <c r="B1471" s="1" t="n">
        <v>235</v>
      </c>
    </row>
    <row r="1472" customFormat="false" ht="15" hidden="false" customHeight="true" outlineLevel="0" collapsed="false">
      <c r="A1472" s="1" t="s">
        <v>1121</v>
      </c>
      <c r="B1472" s="1" t="n">
        <v>235</v>
      </c>
    </row>
    <row r="1473" customFormat="false" ht="15" hidden="false" customHeight="true" outlineLevel="0" collapsed="false">
      <c r="A1473" s="1" t="s">
        <v>302</v>
      </c>
      <c r="B1473" s="1" t="n">
        <v>231</v>
      </c>
    </row>
    <row r="1474" customFormat="false" ht="15" hidden="false" customHeight="true" outlineLevel="0" collapsed="false">
      <c r="A1474" s="1" t="s">
        <v>1264</v>
      </c>
      <c r="B1474" s="1" t="n">
        <v>231</v>
      </c>
    </row>
    <row r="1475" customFormat="false" ht="15" hidden="false" customHeight="true" outlineLevel="0" collapsed="false">
      <c r="A1475" s="1" t="s">
        <v>538</v>
      </c>
      <c r="B1475" s="1" t="n">
        <v>230</v>
      </c>
    </row>
    <row r="1476" customFormat="false" ht="15" hidden="false" customHeight="true" outlineLevel="0" collapsed="false">
      <c r="A1476" s="1" t="s">
        <v>506</v>
      </c>
      <c r="B1476" s="1" t="n">
        <v>230</v>
      </c>
    </row>
    <row r="1477" customFormat="false" ht="15" hidden="false" customHeight="true" outlineLevel="0" collapsed="false">
      <c r="A1477" s="1" t="s">
        <v>722</v>
      </c>
      <c r="B1477" s="1" t="n">
        <v>230</v>
      </c>
    </row>
    <row r="1478" customFormat="false" ht="15" hidden="false" customHeight="true" outlineLevel="0" collapsed="false">
      <c r="A1478" s="1" t="s">
        <v>1098</v>
      </c>
      <c r="B1478" s="1" t="n">
        <v>229</v>
      </c>
    </row>
    <row r="1479" customFormat="false" ht="15" hidden="false" customHeight="true" outlineLevel="0" collapsed="false">
      <c r="A1479" s="1" t="s">
        <v>1279</v>
      </c>
      <c r="B1479" s="1" t="n">
        <v>229</v>
      </c>
    </row>
    <row r="1480" customFormat="false" ht="15" hidden="false" customHeight="true" outlineLevel="0" collapsed="false">
      <c r="A1480" s="1" t="s">
        <v>1281</v>
      </c>
      <c r="B1480" s="1" t="n">
        <v>229</v>
      </c>
    </row>
    <row r="1481" customFormat="false" ht="15" hidden="false" customHeight="true" outlineLevel="0" collapsed="false">
      <c r="A1481" s="1" t="s">
        <v>755</v>
      </c>
      <c r="B1481" s="1" t="n">
        <v>227</v>
      </c>
    </row>
    <row r="1482" customFormat="false" ht="15" hidden="false" customHeight="true" outlineLevel="0" collapsed="false">
      <c r="A1482" s="1" t="s">
        <v>1018</v>
      </c>
      <c r="B1482" s="1" t="n">
        <v>226</v>
      </c>
    </row>
    <row r="1483" customFormat="false" ht="15" hidden="false" customHeight="true" outlineLevel="0" collapsed="false">
      <c r="A1483" s="1" t="s">
        <v>1137</v>
      </c>
      <c r="B1483" s="1" t="n">
        <v>226</v>
      </c>
    </row>
    <row r="1484" customFormat="false" ht="15" hidden="false" customHeight="true" outlineLevel="0" collapsed="false">
      <c r="A1484" s="1" t="s">
        <v>1287</v>
      </c>
      <c r="B1484" s="1" t="n">
        <v>226</v>
      </c>
    </row>
    <row r="1485" customFormat="false" ht="15" hidden="false" customHeight="true" outlineLevel="0" collapsed="false">
      <c r="A1485" s="1" t="s">
        <v>1289</v>
      </c>
      <c r="B1485" s="1" t="n">
        <v>226</v>
      </c>
    </row>
    <row r="1486" customFormat="false" ht="15" hidden="false" customHeight="true" outlineLevel="0" collapsed="false">
      <c r="A1486" s="1" t="s">
        <v>1291</v>
      </c>
      <c r="B1486" s="1" t="n">
        <v>225</v>
      </c>
    </row>
    <row r="1487" customFormat="false" ht="15" hidden="false" customHeight="true" outlineLevel="0" collapsed="false">
      <c r="A1487" s="1" t="s">
        <v>955</v>
      </c>
      <c r="B1487" s="1" t="n">
        <v>224</v>
      </c>
    </row>
    <row r="1488" customFormat="false" ht="15" hidden="false" customHeight="true" outlineLevel="0" collapsed="false">
      <c r="A1488" s="1" t="s">
        <v>1299</v>
      </c>
      <c r="B1488" s="1" t="n">
        <v>223</v>
      </c>
    </row>
    <row r="1489" customFormat="false" ht="15" hidden="false" customHeight="true" outlineLevel="0" collapsed="false">
      <c r="A1489" s="1" t="s">
        <v>619</v>
      </c>
      <c r="B1489" s="1" t="n">
        <v>222</v>
      </c>
    </row>
    <row r="1490" customFormat="false" ht="15" hidden="false" customHeight="true" outlineLevel="0" collapsed="false">
      <c r="A1490" s="1" t="s">
        <v>922</v>
      </c>
      <c r="B1490" s="1" t="n">
        <v>221</v>
      </c>
    </row>
    <row r="1491" customFormat="false" ht="15" hidden="false" customHeight="true" outlineLevel="0" collapsed="false">
      <c r="A1491" s="1" t="s">
        <v>1311</v>
      </c>
      <c r="B1491" s="1" t="n">
        <v>221</v>
      </c>
    </row>
    <row r="1492" customFormat="false" ht="15" hidden="false" customHeight="true" outlineLevel="0" collapsed="false">
      <c r="A1492" s="1" t="s">
        <v>1316</v>
      </c>
      <c r="B1492" s="1" t="n">
        <v>220</v>
      </c>
    </row>
    <row r="1493" customFormat="false" ht="15" hidden="false" customHeight="true" outlineLevel="0" collapsed="false">
      <c r="A1493" s="1" t="s">
        <v>663</v>
      </c>
      <c r="B1493" s="1" t="n">
        <v>218</v>
      </c>
    </row>
    <row r="1494" customFormat="false" ht="15" hidden="false" customHeight="true" outlineLevel="0" collapsed="false">
      <c r="A1494" s="1" t="s">
        <v>1320</v>
      </c>
      <c r="B1494" s="1" t="n">
        <v>216</v>
      </c>
    </row>
    <row r="1495" customFormat="false" ht="15" hidden="false" customHeight="true" outlineLevel="0" collapsed="false">
      <c r="A1495" s="1" t="s">
        <v>994</v>
      </c>
      <c r="B1495" s="1" t="n">
        <v>215</v>
      </c>
    </row>
    <row r="1496" customFormat="false" ht="15" hidden="false" customHeight="true" outlineLevel="0" collapsed="false">
      <c r="A1496" s="1" t="s">
        <v>1049</v>
      </c>
      <c r="B1496" s="1" t="n">
        <v>215</v>
      </c>
    </row>
    <row r="1497" customFormat="false" ht="15" hidden="false" customHeight="true" outlineLevel="0" collapsed="false">
      <c r="A1497" s="1" t="s">
        <v>1323</v>
      </c>
      <c r="B1497" s="1" t="n">
        <v>215</v>
      </c>
    </row>
    <row r="1498" customFormat="false" ht="15" hidden="false" customHeight="true" outlineLevel="0" collapsed="false">
      <c r="A1498" s="1" t="s">
        <v>1335</v>
      </c>
      <c r="B1498" s="1" t="n">
        <v>213</v>
      </c>
    </row>
    <row r="1499" customFormat="false" ht="15" hidden="false" customHeight="true" outlineLevel="0" collapsed="false">
      <c r="A1499" s="1" t="s">
        <v>1338</v>
      </c>
      <c r="B1499" s="1" t="n">
        <v>213</v>
      </c>
    </row>
    <row r="1500" customFormat="false" ht="15" hidden="false" customHeight="true" outlineLevel="0" collapsed="false">
      <c r="A1500" s="1" t="s">
        <v>1339</v>
      </c>
      <c r="B1500" s="1" t="n">
        <v>213</v>
      </c>
    </row>
    <row r="1501" customFormat="false" ht="15" hidden="false" customHeight="true" outlineLevel="0" collapsed="false">
      <c r="A1501" s="1" t="s">
        <v>885</v>
      </c>
      <c r="B1501" s="1" t="n">
        <v>212</v>
      </c>
    </row>
    <row r="1502" customFormat="false" ht="15" hidden="false" customHeight="true" outlineLevel="0" collapsed="false">
      <c r="A1502" s="1" t="s">
        <v>803</v>
      </c>
      <c r="B1502" s="1" t="n">
        <v>212</v>
      </c>
    </row>
    <row r="1503" customFormat="false" ht="15" hidden="false" customHeight="true" outlineLevel="0" collapsed="false">
      <c r="A1503" s="1" t="s">
        <v>1343</v>
      </c>
      <c r="B1503" s="1" t="n">
        <v>212</v>
      </c>
    </row>
    <row r="1504" customFormat="false" ht="15" hidden="false" customHeight="true" outlineLevel="0" collapsed="false">
      <c r="A1504" s="1" t="s">
        <v>1346</v>
      </c>
      <c r="B1504" s="1" t="n">
        <v>211</v>
      </c>
    </row>
    <row r="1505" customFormat="false" ht="15" hidden="false" customHeight="true" outlineLevel="0" collapsed="false">
      <c r="A1505" s="1" t="s">
        <v>681</v>
      </c>
      <c r="B1505" s="1" t="n">
        <v>210</v>
      </c>
    </row>
    <row r="1506" customFormat="false" ht="15" hidden="false" customHeight="true" outlineLevel="0" collapsed="false">
      <c r="A1506" s="1" t="s">
        <v>623</v>
      </c>
      <c r="B1506" s="1" t="n">
        <v>210</v>
      </c>
    </row>
    <row r="1507" customFormat="false" ht="15" hidden="false" customHeight="true" outlineLevel="0" collapsed="false">
      <c r="A1507" s="1" t="s">
        <v>889</v>
      </c>
      <c r="B1507" s="1" t="n">
        <v>210</v>
      </c>
    </row>
    <row r="1508" customFormat="false" ht="15" hidden="false" customHeight="true" outlineLevel="0" collapsed="false">
      <c r="A1508" s="1" t="s">
        <v>1055</v>
      </c>
      <c r="B1508" s="1" t="n">
        <v>208</v>
      </c>
    </row>
    <row r="1509" customFormat="false" ht="15" hidden="false" customHeight="true" outlineLevel="0" collapsed="false">
      <c r="A1509" s="1" t="s">
        <v>1067</v>
      </c>
      <c r="B1509" s="1" t="n">
        <v>208</v>
      </c>
    </row>
    <row r="1510" customFormat="false" ht="15" hidden="false" customHeight="true" outlineLevel="0" collapsed="false">
      <c r="A1510" s="1" t="s">
        <v>1354</v>
      </c>
      <c r="B1510" s="1" t="n">
        <v>207</v>
      </c>
    </row>
    <row r="1511" customFormat="false" ht="15" hidden="false" customHeight="true" outlineLevel="0" collapsed="false">
      <c r="A1511" s="1" t="s">
        <v>828</v>
      </c>
      <c r="B1511" s="1" t="n">
        <v>205</v>
      </c>
    </row>
    <row r="1512" customFormat="false" ht="15" hidden="false" customHeight="true" outlineLevel="0" collapsed="false">
      <c r="A1512" s="1" t="s">
        <v>1075</v>
      </c>
      <c r="B1512" s="1" t="n">
        <v>202</v>
      </c>
    </row>
    <row r="1513" customFormat="false" ht="15" hidden="false" customHeight="true" outlineLevel="0" collapsed="false">
      <c r="A1513" s="1" t="s">
        <v>861</v>
      </c>
      <c r="B1513" s="1" t="n">
        <v>201</v>
      </c>
    </row>
    <row r="1514" customFormat="false" ht="15" hidden="false" customHeight="true" outlineLevel="0" collapsed="false">
      <c r="A1514" s="1" t="s">
        <v>1386</v>
      </c>
      <c r="B1514" s="1" t="n">
        <v>200</v>
      </c>
    </row>
    <row r="1515" customFormat="false" ht="15" hidden="false" customHeight="true" outlineLevel="0" collapsed="false">
      <c r="A1515" s="1" t="s">
        <v>953</v>
      </c>
      <c r="B1515" s="1" t="n">
        <v>198</v>
      </c>
    </row>
    <row r="1516" customFormat="false" ht="15" hidden="false" customHeight="true" outlineLevel="0" collapsed="false">
      <c r="A1516" s="1" t="s">
        <v>1195</v>
      </c>
      <c r="B1516" s="1" t="n">
        <v>198</v>
      </c>
    </row>
    <row r="1517" customFormat="false" ht="15" hidden="false" customHeight="true" outlineLevel="0" collapsed="false">
      <c r="A1517" s="1" t="s">
        <v>1396</v>
      </c>
      <c r="B1517" s="1" t="n">
        <v>198</v>
      </c>
    </row>
    <row r="1518" customFormat="false" ht="15" hidden="false" customHeight="true" outlineLevel="0" collapsed="false">
      <c r="A1518" s="1" t="s">
        <v>1399</v>
      </c>
      <c r="B1518" s="1" t="n">
        <v>198</v>
      </c>
    </row>
    <row r="1519" customFormat="false" ht="15" hidden="false" customHeight="true" outlineLevel="0" collapsed="false">
      <c r="A1519" s="1" t="s">
        <v>1401</v>
      </c>
      <c r="B1519" s="1" t="n">
        <v>198</v>
      </c>
    </row>
    <row r="1520" customFormat="false" ht="15" hidden="false" customHeight="true" outlineLevel="0" collapsed="false">
      <c r="A1520" s="1" t="s">
        <v>612</v>
      </c>
      <c r="B1520" s="1" t="n">
        <v>197</v>
      </c>
    </row>
    <row r="1521" customFormat="false" ht="15" hidden="false" customHeight="true" outlineLevel="0" collapsed="false">
      <c r="A1521" s="1" t="s">
        <v>1412</v>
      </c>
      <c r="B1521" s="1" t="n">
        <v>196</v>
      </c>
    </row>
    <row r="1522" customFormat="false" ht="15" hidden="false" customHeight="true" outlineLevel="0" collapsed="false">
      <c r="A1522" s="1" t="s">
        <v>1414</v>
      </c>
      <c r="B1522" s="1" t="n">
        <v>196</v>
      </c>
    </row>
    <row r="1523" customFormat="false" ht="15" hidden="false" customHeight="true" outlineLevel="0" collapsed="false">
      <c r="A1523" s="1" t="s">
        <v>777</v>
      </c>
      <c r="B1523" s="1" t="n">
        <v>195</v>
      </c>
    </row>
    <row r="1524" customFormat="false" ht="15" hidden="false" customHeight="true" outlineLevel="0" collapsed="false">
      <c r="A1524" s="1" t="s">
        <v>793</v>
      </c>
      <c r="B1524" s="1" t="n">
        <v>195</v>
      </c>
    </row>
    <row r="1525" customFormat="false" ht="15" hidden="false" customHeight="true" outlineLevel="0" collapsed="false">
      <c r="A1525" s="1" t="s">
        <v>1198</v>
      </c>
      <c r="B1525" s="1" t="n">
        <v>194</v>
      </c>
    </row>
    <row r="1526" customFormat="false" ht="15" hidden="false" customHeight="true" outlineLevel="0" collapsed="false">
      <c r="A1526" s="1" t="s">
        <v>1418</v>
      </c>
      <c r="B1526" s="1" t="n">
        <v>194</v>
      </c>
    </row>
    <row r="1527" customFormat="false" ht="15" hidden="false" customHeight="true" outlineLevel="0" collapsed="false">
      <c r="A1527" s="1" t="s">
        <v>564</v>
      </c>
      <c r="B1527" s="1" t="n">
        <v>193</v>
      </c>
    </row>
    <row r="1528" customFormat="false" ht="15" hidden="false" customHeight="true" outlineLevel="0" collapsed="false">
      <c r="A1528" s="1" t="s">
        <v>643</v>
      </c>
      <c r="B1528" s="1" t="n">
        <v>193</v>
      </c>
    </row>
    <row r="1529" customFormat="false" ht="15" hidden="false" customHeight="true" outlineLevel="0" collapsed="false">
      <c r="A1529" s="1" t="s">
        <v>1428</v>
      </c>
      <c r="B1529" s="1" t="n">
        <v>193</v>
      </c>
    </row>
    <row r="1530" customFormat="false" ht="15" hidden="false" customHeight="true" outlineLevel="0" collapsed="false">
      <c r="A1530" s="1" t="s">
        <v>778</v>
      </c>
      <c r="B1530" s="1" t="n">
        <v>192</v>
      </c>
    </row>
    <row r="1531" customFormat="false" ht="15" hidden="false" customHeight="true" outlineLevel="0" collapsed="false">
      <c r="A1531" s="1" t="s">
        <v>270</v>
      </c>
      <c r="B1531" s="1" t="n">
        <v>192</v>
      </c>
    </row>
    <row r="1532" customFormat="false" ht="15" hidden="false" customHeight="true" outlineLevel="0" collapsed="false">
      <c r="A1532" s="1" t="s">
        <v>1158</v>
      </c>
      <c r="B1532" s="1" t="n">
        <v>192</v>
      </c>
    </row>
    <row r="1533" customFormat="false" ht="15" hidden="false" customHeight="true" outlineLevel="0" collapsed="false">
      <c r="A1533" s="1" t="s">
        <v>900</v>
      </c>
      <c r="B1533" s="1" t="n">
        <v>191</v>
      </c>
    </row>
    <row r="1534" customFormat="false" ht="15" hidden="false" customHeight="true" outlineLevel="0" collapsed="false">
      <c r="A1534" s="1" t="s">
        <v>1435</v>
      </c>
      <c r="B1534" s="1" t="n">
        <v>191</v>
      </c>
    </row>
    <row r="1535" customFormat="false" ht="15" hidden="false" customHeight="true" outlineLevel="0" collapsed="false">
      <c r="A1535" s="1" t="s">
        <v>529</v>
      </c>
      <c r="B1535" s="1" t="n">
        <v>188</v>
      </c>
    </row>
    <row r="1536" customFormat="false" ht="15" hidden="false" customHeight="true" outlineLevel="0" collapsed="false">
      <c r="A1536" s="1" t="s">
        <v>1174</v>
      </c>
      <c r="B1536" s="1" t="n">
        <v>188</v>
      </c>
    </row>
    <row r="1537" customFormat="false" ht="15" hidden="false" customHeight="true" outlineLevel="0" collapsed="false">
      <c r="A1537" s="1" t="s">
        <v>1441</v>
      </c>
      <c r="B1537" s="1" t="n">
        <v>188</v>
      </c>
    </row>
    <row r="1538" customFormat="false" ht="15" hidden="false" customHeight="true" outlineLevel="0" collapsed="false">
      <c r="A1538" s="1" t="s">
        <v>1444</v>
      </c>
      <c r="B1538" s="1" t="n">
        <v>188</v>
      </c>
    </row>
    <row r="1539" customFormat="false" ht="15" hidden="false" customHeight="true" outlineLevel="0" collapsed="false">
      <c r="A1539" s="1" t="s">
        <v>1029</v>
      </c>
      <c r="B1539" s="1" t="n">
        <v>187</v>
      </c>
    </row>
    <row r="1540" customFormat="false" ht="15" hidden="false" customHeight="true" outlineLevel="0" collapsed="false">
      <c r="A1540" s="1" t="s">
        <v>1452</v>
      </c>
      <c r="B1540" s="1" t="n">
        <v>187</v>
      </c>
    </row>
    <row r="1541" customFormat="false" ht="15" hidden="false" customHeight="true" outlineLevel="0" collapsed="false">
      <c r="A1541" s="1" t="s">
        <v>1277</v>
      </c>
      <c r="B1541" s="1" t="n">
        <v>186</v>
      </c>
    </row>
    <row r="1542" customFormat="false" ht="15" hidden="false" customHeight="true" outlineLevel="0" collapsed="false">
      <c r="A1542" s="1" t="s">
        <v>835</v>
      </c>
      <c r="B1542" s="1" t="n">
        <v>186</v>
      </c>
    </row>
    <row r="1543" customFormat="false" ht="15" hidden="false" customHeight="true" outlineLevel="0" collapsed="false">
      <c r="A1543" s="1" t="s">
        <v>541</v>
      </c>
      <c r="B1543" s="1" t="n">
        <v>185</v>
      </c>
    </row>
    <row r="1544" customFormat="false" ht="15" hidden="false" customHeight="true" outlineLevel="0" collapsed="false">
      <c r="A1544" s="1" t="s">
        <v>1455</v>
      </c>
      <c r="B1544" s="1" t="n">
        <v>185</v>
      </c>
    </row>
    <row r="1545" customFormat="false" ht="15" hidden="false" customHeight="true" outlineLevel="0" collapsed="false">
      <c r="A1545" s="1" t="s">
        <v>465</v>
      </c>
      <c r="B1545" s="1" t="n">
        <v>182</v>
      </c>
    </row>
    <row r="1546" customFormat="false" ht="15" hidden="false" customHeight="true" outlineLevel="0" collapsed="false">
      <c r="A1546" s="1" t="s">
        <v>1465</v>
      </c>
      <c r="B1546" s="1" t="n">
        <v>182</v>
      </c>
    </row>
    <row r="1547" customFormat="false" ht="15" hidden="false" customHeight="true" outlineLevel="0" collapsed="false">
      <c r="A1547" s="1" t="s">
        <v>830</v>
      </c>
      <c r="B1547" s="1" t="n">
        <v>181</v>
      </c>
    </row>
    <row r="1548" customFormat="false" ht="15" hidden="false" customHeight="true" outlineLevel="0" collapsed="false">
      <c r="A1548" s="1" t="s">
        <v>266</v>
      </c>
      <c r="B1548" s="1" t="n">
        <v>179</v>
      </c>
    </row>
    <row r="1549" customFormat="false" ht="15" hidden="false" customHeight="true" outlineLevel="0" collapsed="false">
      <c r="A1549" s="1" t="s">
        <v>426</v>
      </c>
      <c r="B1549" s="1" t="n">
        <v>179</v>
      </c>
    </row>
    <row r="1550" customFormat="false" ht="15" hidden="false" customHeight="true" outlineLevel="0" collapsed="false">
      <c r="A1550" s="1" t="s">
        <v>741</v>
      </c>
      <c r="B1550" s="1" t="n">
        <v>178</v>
      </c>
    </row>
    <row r="1551" customFormat="false" ht="15" hidden="false" customHeight="true" outlineLevel="0" collapsed="false">
      <c r="A1551" s="1" t="s">
        <v>1192</v>
      </c>
      <c r="B1551" s="1" t="n">
        <v>177</v>
      </c>
    </row>
    <row r="1552" customFormat="false" ht="15" hidden="false" customHeight="true" outlineLevel="0" collapsed="false">
      <c r="A1552" s="1" t="s">
        <v>732</v>
      </c>
      <c r="B1552" s="1" t="n">
        <v>177</v>
      </c>
    </row>
    <row r="1553" customFormat="false" ht="15" hidden="false" customHeight="true" outlineLevel="0" collapsed="false">
      <c r="A1553" s="1" t="s">
        <v>1498</v>
      </c>
      <c r="B1553" s="1" t="n">
        <v>177</v>
      </c>
    </row>
    <row r="1554" customFormat="false" ht="15" hidden="false" customHeight="true" outlineLevel="0" collapsed="false">
      <c r="A1554" s="1" t="s">
        <v>1501</v>
      </c>
      <c r="B1554" s="1" t="n">
        <v>176</v>
      </c>
    </row>
    <row r="1555" customFormat="false" ht="15" hidden="false" customHeight="true" outlineLevel="0" collapsed="false">
      <c r="A1555" s="1" t="s">
        <v>849</v>
      </c>
      <c r="B1555" s="1" t="n">
        <v>174</v>
      </c>
    </row>
    <row r="1556" customFormat="false" ht="15" hidden="false" customHeight="true" outlineLevel="0" collapsed="false">
      <c r="A1556" s="1" t="s">
        <v>1511</v>
      </c>
      <c r="B1556" s="1" t="n">
        <v>174</v>
      </c>
    </row>
    <row r="1557" customFormat="false" ht="15" hidden="false" customHeight="true" outlineLevel="0" collapsed="false">
      <c r="A1557" s="1" t="s">
        <v>837</v>
      </c>
      <c r="B1557" s="1" t="n">
        <v>173</v>
      </c>
    </row>
    <row r="1558" customFormat="false" ht="15" hidden="false" customHeight="true" outlineLevel="0" collapsed="false">
      <c r="A1558" s="1" t="s">
        <v>1519</v>
      </c>
      <c r="B1558" s="1" t="n">
        <v>173</v>
      </c>
    </row>
    <row r="1559" customFormat="false" ht="15" hidden="false" customHeight="true" outlineLevel="0" collapsed="false">
      <c r="A1559" s="1" t="s">
        <v>898</v>
      </c>
      <c r="B1559" s="1" t="n">
        <v>172</v>
      </c>
    </row>
    <row r="1560" customFormat="false" ht="15" hidden="false" customHeight="true" outlineLevel="0" collapsed="false">
      <c r="A1560" s="1" t="s">
        <v>1522</v>
      </c>
      <c r="B1560" s="1" t="n">
        <v>172</v>
      </c>
    </row>
    <row r="1561" customFormat="false" ht="15" hidden="false" customHeight="true" outlineLevel="0" collapsed="false">
      <c r="A1561" s="1" t="s">
        <v>1065</v>
      </c>
      <c r="B1561" s="1" t="n">
        <v>170</v>
      </c>
    </row>
    <row r="1562" customFormat="false" ht="15" hidden="false" customHeight="true" outlineLevel="0" collapsed="false">
      <c r="A1562" s="1" t="s">
        <v>1531</v>
      </c>
      <c r="B1562" s="1" t="n">
        <v>170</v>
      </c>
    </row>
    <row r="1563" customFormat="false" ht="15" hidden="false" customHeight="true" outlineLevel="0" collapsed="false">
      <c r="A1563" s="1" t="s">
        <v>1533</v>
      </c>
      <c r="B1563" s="1" t="n">
        <v>170</v>
      </c>
    </row>
    <row r="1564" customFormat="false" ht="15" hidden="false" customHeight="true" outlineLevel="0" collapsed="false">
      <c r="A1564" s="1" t="s">
        <v>601</v>
      </c>
      <c r="B1564" s="1" t="n">
        <v>168</v>
      </c>
    </row>
    <row r="1565" customFormat="false" ht="15" hidden="false" customHeight="true" outlineLevel="0" collapsed="false">
      <c r="A1565" s="1" t="s">
        <v>610</v>
      </c>
      <c r="B1565" s="1" t="n">
        <v>168</v>
      </c>
    </row>
    <row r="1566" customFormat="false" ht="15" hidden="false" customHeight="true" outlineLevel="0" collapsed="false">
      <c r="A1566" s="1" t="s">
        <v>1155</v>
      </c>
      <c r="B1566" s="1" t="n">
        <v>168</v>
      </c>
    </row>
    <row r="1567" customFormat="false" ht="15" hidden="false" customHeight="true" outlineLevel="0" collapsed="false">
      <c r="A1567" s="1" t="s">
        <v>461</v>
      </c>
      <c r="B1567" s="1" t="n">
        <v>167</v>
      </c>
    </row>
    <row r="1568" customFormat="false" ht="15" hidden="false" customHeight="true" outlineLevel="0" collapsed="false">
      <c r="A1568" s="1" t="s">
        <v>774</v>
      </c>
      <c r="B1568" s="1" t="n">
        <v>167</v>
      </c>
    </row>
    <row r="1569" customFormat="false" ht="15" hidden="false" customHeight="true" outlineLevel="0" collapsed="false">
      <c r="A1569" s="1" t="s">
        <v>1540</v>
      </c>
      <c r="B1569" s="1" t="n">
        <v>167</v>
      </c>
    </row>
    <row r="1570" customFormat="false" ht="15" hidden="false" customHeight="true" outlineLevel="0" collapsed="false">
      <c r="A1570" s="1" t="s">
        <v>1475</v>
      </c>
      <c r="B1570" s="1" t="n">
        <v>166</v>
      </c>
    </row>
    <row r="1571" customFormat="false" ht="15" hidden="false" customHeight="true" outlineLevel="0" collapsed="false">
      <c r="A1571" s="1" t="s">
        <v>362</v>
      </c>
      <c r="B1571" s="1" t="n">
        <v>166</v>
      </c>
    </row>
    <row r="1572" customFormat="false" ht="15" hidden="false" customHeight="true" outlineLevel="0" collapsed="false">
      <c r="A1572" s="1" t="s">
        <v>1550</v>
      </c>
      <c r="B1572" s="1" t="n">
        <v>166</v>
      </c>
    </row>
    <row r="1573" customFormat="false" ht="15" hidden="false" customHeight="true" outlineLevel="0" collapsed="false">
      <c r="A1573" s="1" t="s">
        <v>1552</v>
      </c>
      <c r="B1573" s="1" t="n">
        <v>166</v>
      </c>
    </row>
    <row r="1574" customFormat="false" ht="15" hidden="false" customHeight="true" outlineLevel="0" collapsed="false">
      <c r="A1574" s="1" t="s">
        <v>298</v>
      </c>
      <c r="B1574" s="1" t="n">
        <v>165</v>
      </c>
    </row>
    <row r="1575" customFormat="false" ht="15" hidden="false" customHeight="true" outlineLevel="0" collapsed="false">
      <c r="A1575" s="1" t="s">
        <v>617</v>
      </c>
      <c r="B1575" s="1" t="n">
        <v>165</v>
      </c>
    </row>
    <row r="1576" customFormat="false" ht="15" hidden="false" customHeight="true" outlineLevel="0" collapsed="false">
      <c r="A1576" s="1" t="s">
        <v>1333</v>
      </c>
      <c r="B1576" s="1" t="n">
        <v>165</v>
      </c>
    </row>
    <row r="1577" customFormat="false" ht="15" hidden="false" customHeight="true" outlineLevel="0" collapsed="false">
      <c r="A1577" s="1" t="s">
        <v>1043</v>
      </c>
      <c r="B1577" s="1" t="n">
        <v>165</v>
      </c>
    </row>
    <row r="1578" customFormat="false" ht="15" hidden="false" customHeight="true" outlineLevel="0" collapsed="false">
      <c r="A1578" s="1" t="s">
        <v>1555</v>
      </c>
      <c r="B1578" s="1" t="n">
        <v>165</v>
      </c>
    </row>
    <row r="1579" customFormat="false" ht="15" hidden="false" customHeight="true" outlineLevel="0" collapsed="false">
      <c r="A1579" s="1" t="s">
        <v>1250</v>
      </c>
      <c r="B1579" s="1" t="n">
        <v>164</v>
      </c>
    </row>
    <row r="1580" customFormat="false" ht="15" hidden="false" customHeight="true" outlineLevel="0" collapsed="false">
      <c r="A1580" s="1" t="s">
        <v>497</v>
      </c>
      <c r="B1580" s="1" t="n">
        <v>164</v>
      </c>
    </row>
    <row r="1581" customFormat="false" ht="15" hidden="false" customHeight="true" outlineLevel="0" collapsed="false">
      <c r="A1581" s="1" t="s">
        <v>858</v>
      </c>
      <c r="B1581" s="1" t="n">
        <v>164</v>
      </c>
    </row>
    <row r="1582" customFormat="false" ht="15" hidden="false" customHeight="true" outlineLevel="0" collapsed="false">
      <c r="A1582" s="1" t="s">
        <v>779</v>
      </c>
      <c r="B1582" s="1" t="n">
        <v>164</v>
      </c>
    </row>
    <row r="1583" customFormat="false" ht="15" hidden="false" customHeight="true" outlineLevel="0" collapsed="false">
      <c r="A1583" s="1" t="s">
        <v>1566</v>
      </c>
      <c r="B1583" s="1" t="n">
        <v>164</v>
      </c>
    </row>
    <row r="1584" customFormat="false" ht="15" hidden="false" customHeight="true" outlineLevel="0" collapsed="false">
      <c r="A1584" s="1" t="s">
        <v>1570</v>
      </c>
      <c r="B1584" s="1" t="n">
        <v>164</v>
      </c>
    </row>
    <row r="1585" customFormat="false" ht="15" hidden="false" customHeight="true" outlineLevel="0" collapsed="false">
      <c r="A1585" s="1" t="s">
        <v>925</v>
      </c>
      <c r="B1585" s="1" t="n">
        <v>163</v>
      </c>
    </row>
    <row r="1586" customFormat="false" ht="15" hidden="false" customHeight="true" outlineLevel="0" collapsed="false">
      <c r="A1586" s="1" t="s">
        <v>411</v>
      </c>
      <c r="B1586" s="1" t="n">
        <v>162</v>
      </c>
    </row>
    <row r="1587" customFormat="false" ht="15" hidden="false" customHeight="true" outlineLevel="0" collapsed="false">
      <c r="A1587" s="1" t="s">
        <v>804</v>
      </c>
      <c r="B1587" s="1" t="n">
        <v>162</v>
      </c>
    </row>
    <row r="1588" customFormat="false" ht="15" hidden="false" customHeight="true" outlineLevel="0" collapsed="false">
      <c r="A1588" s="1" t="s">
        <v>1095</v>
      </c>
      <c r="B1588" s="1" t="n">
        <v>160</v>
      </c>
    </row>
    <row r="1589" customFormat="false" ht="15" hidden="false" customHeight="true" outlineLevel="0" collapsed="false">
      <c r="A1589" s="1" t="s">
        <v>770</v>
      </c>
      <c r="B1589" s="1" t="n">
        <v>160</v>
      </c>
    </row>
    <row r="1590" customFormat="false" ht="15" hidden="false" customHeight="true" outlineLevel="0" collapsed="false">
      <c r="A1590" s="1" t="s">
        <v>653</v>
      </c>
      <c r="B1590" s="1" t="n">
        <v>160</v>
      </c>
    </row>
    <row r="1591" customFormat="false" ht="15" hidden="false" customHeight="true" outlineLevel="0" collapsed="false">
      <c r="A1591" s="1" t="s">
        <v>838</v>
      </c>
      <c r="B1591" s="1" t="n">
        <v>160</v>
      </c>
    </row>
    <row r="1592" customFormat="false" ht="15" hidden="false" customHeight="true" outlineLevel="0" collapsed="false">
      <c r="A1592" s="1" t="s">
        <v>713</v>
      </c>
      <c r="B1592" s="1" t="n">
        <v>158</v>
      </c>
    </row>
    <row r="1593" customFormat="false" ht="15" hidden="false" customHeight="true" outlineLevel="0" collapsed="false">
      <c r="A1593" s="1" t="s">
        <v>556</v>
      </c>
      <c r="B1593" s="1" t="n">
        <v>158</v>
      </c>
    </row>
    <row r="1594" customFormat="false" ht="15" hidden="false" customHeight="true" outlineLevel="0" collapsed="false">
      <c r="A1594" s="1" t="s">
        <v>243</v>
      </c>
      <c r="B1594" s="1" t="n">
        <v>157</v>
      </c>
    </row>
    <row r="1595" customFormat="false" ht="15" hidden="false" customHeight="true" outlineLevel="0" collapsed="false">
      <c r="A1595" s="1" t="s">
        <v>865</v>
      </c>
      <c r="B1595" s="1" t="n">
        <v>157</v>
      </c>
    </row>
    <row r="1596" customFormat="false" ht="15" hidden="false" customHeight="true" outlineLevel="0" collapsed="false">
      <c r="A1596" s="1" t="s">
        <v>1331</v>
      </c>
      <c r="B1596" s="1" t="n">
        <v>156</v>
      </c>
    </row>
    <row r="1597" customFormat="false" ht="15" hidden="false" customHeight="true" outlineLevel="0" collapsed="false">
      <c r="A1597" s="1" t="s">
        <v>384</v>
      </c>
      <c r="B1597" s="1" t="n">
        <v>155</v>
      </c>
    </row>
    <row r="1598" customFormat="false" ht="15" hidden="false" customHeight="true" outlineLevel="0" collapsed="false">
      <c r="A1598" s="1" t="s">
        <v>1579</v>
      </c>
      <c r="B1598" s="1" t="n">
        <v>155</v>
      </c>
    </row>
    <row r="1599" customFormat="false" ht="15" hidden="false" customHeight="true" outlineLevel="0" collapsed="false">
      <c r="A1599" s="1" t="s">
        <v>1597</v>
      </c>
      <c r="B1599" s="1" t="n">
        <v>155</v>
      </c>
    </row>
    <row r="1600" customFormat="false" ht="15" hidden="false" customHeight="true" outlineLevel="0" collapsed="false">
      <c r="A1600" s="1" t="s">
        <v>1258</v>
      </c>
      <c r="B1600" s="1" t="n">
        <v>154</v>
      </c>
    </row>
    <row r="1601" customFormat="false" ht="15" hidden="false" customHeight="true" outlineLevel="0" collapsed="false">
      <c r="A1601" s="1" t="s">
        <v>351</v>
      </c>
      <c r="B1601" s="1" t="n">
        <v>154</v>
      </c>
    </row>
    <row r="1602" customFormat="false" ht="15" hidden="false" customHeight="true" outlineLevel="0" collapsed="false">
      <c r="A1602" s="1" t="s">
        <v>888</v>
      </c>
      <c r="B1602" s="1" t="n">
        <v>154</v>
      </c>
    </row>
    <row r="1603" customFormat="false" ht="15" hidden="false" customHeight="true" outlineLevel="0" collapsed="false">
      <c r="A1603" s="1" t="s">
        <v>629</v>
      </c>
      <c r="B1603" s="1" t="n">
        <v>154</v>
      </c>
    </row>
    <row r="1604" customFormat="false" ht="15" hidden="false" customHeight="true" outlineLevel="0" collapsed="false">
      <c r="A1604" s="1" t="s">
        <v>1229</v>
      </c>
      <c r="B1604" s="1" t="n">
        <v>153</v>
      </c>
    </row>
    <row r="1605" customFormat="false" ht="15" hidden="false" customHeight="true" outlineLevel="0" collapsed="false">
      <c r="A1605" s="1" t="s">
        <v>1599</v>
      </c>
      <c r="B1605" s="1" t="n">
        <v>153</v>
      </c>
    </row>
    <row r="1606" customFormat="false" ht="15" hidden="false" customHeight="true" outlineLevel="0" collapsed="false">
      <c r="A1606" s="1" t="s">
        <v>1602</v>
      </c>
      <c r="B1606" s="1" t="n">
        <v>153</v>
      </c>
    </row>
    <row r="1607" customFormat="false" ht="15" hidden="false" customHeight="true" outlineLevel="0" collapsed="false">
      <c r="A1607" s="1" t="s">
        <v>689</v>
      </c>
      <c r="B1607" s="1" t="n">
        <v>152</v>
      </c>
    </row>
    <row r="1608" customFormat="false" ht="15" hidden="false" customHeight="true" outlineLevel="0" collapsed="false">
      <c r="A1608" s="1" t="s">
        <v>993</v>
      </c>
      <c r="B1608" s="1" t="n">
        <v>152</v>
      </c>
    </row>
    <row r="1609" customFormat="false" ht="15" hidden="false" customHeight="true" outlineLevel="0" collapsed="false">
      <c r="A1609" s="1" t="s">
        <v>1240</v>
      </c>
      <c r="B1609" s="1" t="n">
        <v>151</v>
      </c>
    </row>
    <row r="1610" customFormat="false" ht="15" hidden="false" customHeight="true" outlineLevel="0" collapsed="false">
      <c r="A1610" s="1" t="s">
        <v>819</v>
      </c>
      <c r="B1610" s="1" t="n">
        <v>151</v>
      </c>
    </row>
    <row r="1611" customFormat="false" ht="15" hidden="false" customHeight="true" outlineLevel="0" collapsed="false">
      <c r="A1611" s="1" t="s">
        <v>1450</v>
      </c>
      <c r="B1611" s="1" t="n">
        <v>151</v>
      </c>
    </row>
    <row r="1612" customFormat="false" ht="15" hidden="false" customHeight="true" outlineLevel="0" collapsed="false">
      <c r="A1612" s="1" t="s">
        <v>1384</v>
      </c>
      <c r="B1612" s="1" t="n">
        <v>151</v>
      </c>
    </row>
    <row r="1613" customFormat="false" ht="15" hidden="false" customHeight="true" outlineLevel="0" collapsed="false">
      <c r="A1613" s="1" t="s">
        <v>1606</v>
      </c>
      <c r="B1613" s="1" t="n">
        <v>151</v>
      </c>
    </row>
    <row r="1614" customFormat="false" ht="15" hidden="false" customHeight="true" outlineLevel="0" collapsed="false">
      <c r="A1614" s="1" t="s">
        <v>1119</v>
      </c>
      <c r="B1614" s="1" t="n">
        <v>150</v>
      </c>
    </row>
    <row r="1615" customFormat="false" ht="15" hidden="false" customHeight="true" outlineLevel="0" collapsed="false">
      <c r="A1615" s="1" t="s">
        <v>1214</v>
      </c>
      <c r="B1615" s="1" t="n">
        <v>150</v>
      </c>
    </row>
    <row r="1616" customFormat="false" ht="15" hidden="false" customHeight="true" outlineLevel="0" collapsed="false">
      <c r="A1616" s="1" t="s">
        <v>1329</v>
      </c>
      <c r="B1616" s="1" t="n">
        <v>148</v>
      </c>
    </row>
    <row r="1617" customFormat="false" ht="15" hidden="false" customHeight="true" outlineLevel="0" collapsed="false">
      <c r="A1617" s="1" t="s">
        <v>669</v>
      </c>
      <c r="B1617" s="1" t="n">
        <v>147</v>
      </c>
    </row>
    <row r="1618" customFormat="false" ht="15" hidden="false" customHeight="true" outlineLevel="0" collapsed="false">
      <c r="A1618" s="1" t="s">
        <v>1433</v>
      </c>
      <c r="B1618" s="1" t="n">
        <v>147</v>
      </c>
    </row>
    <row r="1619" customFormat="false" ht="15" hidden="false" customHeight="true" outlineLevel="0" collapsed="false">
      <c r="A1619" s="1" t="s">
        <v>1613</v>
      </c>
      <c r="B1619" s="1" t="n">
        <v>147</v>
      </c>
    </row>
    <row r="1620" customFormat="false" ht="15" hidden="false" customHeight="true" outlineLevel="0" collapsed="false">
      <c r="A1620" s="1" t="s">
        <v>871</v>
      </c>
      <c r="B1620" s="1" t="n">
        <v>146</v>
      </c>
    </row>
    <row r="1621" customFormat="false" ht="15" hidden="false" customHeight="true" outlineLevel="0" collapsed="false">
      <c r="A1621" s="1" t="s">
        <v>1617</v>
      </c>
      <c r="B1621" s="1" t="n">
        <v>146</v>
      </c>
    </row>
    <row r="1622" customFormat="false" ht="15" hidden="false" customHeight="true" outlineLevel="0" collapsed="false">
      <c r="A1622" s="1" t="s">
        <v>1620</v>
      </c>
      <c r="B1622" s="1" t="n">
        <v>146</v>
      </c>
    </row>
    <row r="1623" customFormat="false" ht="15" hidden="false" customHeight="true" outlineLevel="0" collapsed="false">
      <c r="A1623" s="1" t="s">
        <v>1035</v>
      </c>
      <c r="B1623" s="1" t="n">
        <v>145</v>
      </c>
    </row>
    <row r="1624" customFormat="false" ht="15" hidden="false" customHeight="true" outlineLevel="0" collapsed="false">
      <c r="A1624" s="1" t="s">
        <v>1622</v>
      </c>
      <c r="B1624" s="1" t="n">
        <v>145</v>
      </c>
    </row>
    <row r="1625" customFormat="false" ht="15" hidden="false" customHeight="true" outlineLevel="0" collapsed="false">
      <c r="A1625" s="1" t="s">
        <v>1116</v>
      </c>
      <c r="B1625" s="1" t="n">
        <v>144</v>
      </c>
    </row>
    <row r="1626" customFormat="false" ht="15" hidden="false" customHeight="true" outlineLevel="0" collapsed="false">
      <c r="A1626" s="1" t="s">
        <v>1212</v>
      </c>
      <c r="B1626" s="1" t="n">
        <v>144</v>
      </c>
    </row>
    <row r="1627" customFormat="false" ht="15" hidden="false" customHeight="true" outlineLevel="0" collapsed="false">
      <c r="A1627" s="1" t="s">
        <v>1205</v>
      </c>
      <c r="B1627" s="1" t="n">
        <v>143</v>
      </c>
    </row>
    <row r="1628" customFormat="false" ht="15" hidden="false" customHeight="true" outlineLevel="0" collapsed="false">
      <c r="A1628" s="1" t="s">
        <v>1022</v>
      </c>
      <c r="B1628" s="1" t="n">
        <v>143</v>
      </c>
    </row>
    <row r="1629" customFormat="false" ht="15" hidden="false" customHeight="true" outlineLevel="0" collapsed="false">
      <c r="A1629" s="1" t="s">
        <v>1203</v>
      </c>
      <c r="B1629" s="1" t="n">
        <v>142</v>
      </c>
    </row>
    <row r="1630" customFormat="false" ht="15" hidden="false" customHeight="true" outlineLevel="0" collapsed="false">
      <c r="A1630" s="1" t="s">
        <v>1638</v>
      </c>
      <c r="B1630" s="1" t="n">
        <v>142</v>
      </c>
    </row>
    <row r="1631" customFormat="false" ht="15" hidden="false" customHeight="true" outlineLevel="0" collapsed="false">
      <c r="A1631" s="1" t="s">
        <v>1648</v>
      </c>
      <c r="B1631" s="1" t="n">
        <v>141</v>
      </c>
    </row>
    <row r="1632" customFormat="false" ht="15" hidden="false" customHeight="true" outlineLevel="0" collapsed="false">
      <c r="A1632" s="1" t="s">
        <v>1047</v>
      </c>
      <c r="B1632" s="1" t="n">
        <v>140</v>
      </c>
    </row>
    <row r="1633" customFormat="false" ht="15" hidden="false" customHeight="true" outlineLevel="0" collapsed="false">
      <c r="A1633" s="1" t="s">
        <v>573</v>
      </c>
      <c r="B1633" s="1" t="n">
        <v>139</v>
      </c>
    </row>
    <row r="1634" customFormat="false" ht="15" hidden="false" customHeight="true" outlineLevel="0" collapsed="false">
      <c r="A1634" s="1" t="s">
        <v>1380</v>
      </c>
      <c r="B1634" s="1" t="n">
        <v>139</v>
      </c>
    </row>
    <row r="1635" customFormat="false" ht="15" hidden="false" customHeight="true" outlineLevel="0" collapsed="false">
      <c r="A1635" s="1" t="s">
        <v>1248</v>
      </c>
      <c r="B1635" s="1" t="n">
        <v>138</v>
      </c>
    </row>
    <row r="1636" customFormat="false" ht="15" hidden="false" customHeight="true" outlineLevel="0" collapsed="false">
      <c r="A1636" s="1" t="s">
        <v>1314</v>
      </c>
      <c r="B1636" s="1" t="n">
        <v>137</v>
      </c>
    </row>
    <row r="1637" customFormat="false" ht="15" hidden="false" customHeight="true" outlineLevel="0" collapsed="false">
      <c r="A1637" s="1" t="s">
        <v>766</v>
      </c>
      <c r="B1637" s="1" t="n">
        <v>137</v>
      </c>
    </row>
    <row r="1638" customFormat="false" ht="15" hidden="false" customHeight="true" outlineLevel="0" collapsed="false">
      <c r="A1638" s="1" t="s">
        <v>1665</v>
      </c>
      <c r="B1638" s="1" t="n">
        <v>137</v>
      </c>
    </row>
    <row r="1639" customFormat="false" ht="15" hidden="false" customHeight="true" outlineLevel="0" collapsed="false">
      <c r="A1639" s="1" t="s">
        <v>1667</v>
      </c>
      <c r="B1639" s="1" t="n">
        <v>137</v>
      </c>
    </row>
    <row r="1640" customFormat="false" ht="15" hidden="false" customHeight="true" outlineLevel="0" collapsed="false">
      <c r="A1640" s="1" t="s">
        <v>1673</v>
      </c>
      <c r="B1640" s="1" t="n">
        <v>136</v>
      </c>
    </row>
    <row r="1641" customFormat="false" ht="15" hidden="false" customHeight="true" outlineLevel="0" collapsed="false">
      <c r="A1641" s="1" t="s">
        <v>1675</v>
      </c>
      <c r="B1641" s="1" t="n">
        <v>136</v>
      </c>
    </row>
    <row r="1642" customFormat="false" ht="15" hidden="false" customHeight="true" outlineLevel="0" collapsed="false">
      <c r="A1642" s="1" t="s">
        <v>1684</v>
      </c>
      <c r="B1642" s="1" t="n">
        <v>135</v>
      </c>
    </row>
    <row r="1643" customFormat="false" ht="15" hidden="false" customHeight="true" outlineLevel="0" collapsed="false">
      <c r="A1643" s="1" t="s">
        <v>1686</v>
      </c>
      <c r="B1643" s="1" t="n">
        <v>135</v>
      </c>
    </row>
    <row r="1644" customFormat="false" ht="15" hidden="false" customHeight="true" outlineLevel="0" collapsed="false">
      <c r="A1644" s="1" t="s">
        <v>1694</v>
      </c>
      <c r="B1644" s="1" t="n">
        <v>134</v>
      </c>
    </row>
    <row r="1645" customFormat="false" ht="15" hidden="false" customHeight="true" outlineLevel="0" collapsed="false">
      <c r="A1645" s="1" t="s">
        <v>832</v>
      </c>
      <c r="B1645" s="1" t="n">
        <v>133</v>
      </c>
    </row>
    <row r="1646" customFormat="false" ht="15" hidden="false" customHeight="true" outlineLevel="0" collapsed="false">
      <c r="A1646" s="1" t="s">
        <v>1440</v>
      </c>
      <c r="B1646" s="1" t="n">
        <v>131</v>
      </c>
    </row>
    <row r="1647" customFormat="false" ht="15" hidden="false" customHeight="true" outlineLevel="0" collapsed="false">
      <c r="A1647" s="1" t="s">
        <v>648</v>
      </c>
      <c r="B1647" s="1" t="n">
        <v>131</v>
      </c>
    </row>
    <row r="1648" customFormat="false" ht="15" hidden="false" customHeight="true" outlineLevel="0" collapsed="false">
      <c r="A1648" s="1" t="s">
        <v>1371</v>
      </c>
      <c r="B1648" s="1" t="n">
        <v>131</v>
      </c>
    </row>
    <row r="1649" customFormat="false" ht="15" hidden="false" customHeight="true" outlineLevel="0" collapsed="false">
      <c r="A1649" s="1" t="s">
        <v>1369</v>
      </c>
      <c r="B1649" s="1" t="n">
        <v>130</v>
      </c>
    </row>
    <row r="1650" customFormat="false" ht="15" hidden="false" customHeight="true" outlineLevel="0" collapsed="false">
      <c r="A1650" s="1" t="s">
        <v>1460</v>
      </c>
      <c r="B1650" s="1" t="n">
        <v>130</v>
      </c>
    </row>
    <row r="1651" customFormat="false" ht="15" hidden="false" customHeight="true" outlineLevel="0" collapsed="false">
      <c r="A1651" s="1" t="s">
        <v>1725</v>
      </c>
      <c r="B1651" s="1" t="n">
        <v>130</v>
      </c>
    </row>
    <row r="1652" customFormat="false" ht="15" hidden="false" customHeight="true" outlineLevel="0" collapsed="false">
      <c r="A1652" s="1" t="s">
        <v>1585</v>
      </c>
      <c r="B1652" s="1" t="n">
        <v>129</v>
      </c>
    </row>
    <row r="1653" customFormat="false" ht="15" hidden="false" customHeight="true" outlineLevel="0" collapsed="false">
      <c r="A1653" s="1" t="s">
        <v>1495</v>
      </c>
      <c r="B1653" s="1" t="n">
        <v>128</v>
      </c>
    </row>
    <row r="1654" customFormat="false" ht="15" hidden="false" customHeight="true" outlineLevel="0" collapsed="false">
      <c r="A1654" s="1" t="s">
        <v>1087</v>
      </c>
      <c r="B1654" s="1" t="n">
        <v>128</v>
      </c>
    </row>
    <row r="1655" customFormat="false" ht="15" hidden="false" customHeight="true" outlineLevel="0" collapsed="false">
      <c r="A1655" s="1" t="s">
        <v>567</v>
      </c>
      <c r="B1655" s="1" t="n">
        <v>128</v>
      </c>
    </row>
    <row r="1656" customFormat="false" ht="15" hidden="false" customHeight="true" outlineLevel="0" collapsed="false">
      <c r="A1656" s="1" t="s">
        <v>1053</v>
      </c>
      <c r="B1656" s="1" t="n">
        <v>127</v>
      </c>
    </row>
    <row r="1657" customFormat="false" ht="15" hidden="false" customHeight="true" outlineLevel="0" collapsed="false">
      <c r="A1657" s="1" t="s">
        <v>1308</v>
      </c>
      <c r="B1657" s="1" t="n">
        <v>127</v>
      </c>
    </row>
    <row r="1658" customFormat="false" ht="15" hidden="false" customHeight="true" outlineLevel="0" collapsed="false">
      <c r="A1658" s="1" t="s">
        <v>1494</v>
      </c>
      <c r="B1658" s="1" t="n">
        <v>126</v>
      </c>
    </row>
    <row r="1659" customFormat="false" ht="15" hidden="false" customHeight="true" outlineLevel="0" collapsed="false">
      <c r="A1659" s="1" t="s">
        <v>729</v>
      </c>
      <c r="B1659" s="1" t="n">
        <v>126</v>
      </c>
    </row>
    <row r="1660" customFormat="false" ht="15" hidden="false" customHeight="true" outlineLevel="0" collapsed="false">
      <c r="A1660" s="1" t="s">
        <v>1734</v>
      </c>
      <c r="B1660" s="1" t="n">
        <v>126</v>
      </c>
    </row>
    <row r="1661" customFormat="false" ht="15" hidden="false" customHeight="true" outlineLevel="0" collapsed="false">
      <c r="A1661" s="1" t="s">
        <v>1448</v>
      </c>
      <c r="B1661" s="1" t="n">
        <v>125</v>
      </c>
    </row>
    <row r="1662" customFormat="false" ht="15" hidden="false" customHeight="true" outlineLevel="0" collapsed="false">
      <c r="A1662" s="1" t="s">
        <v>481</v>
      </c>
      <c r="B1662" s="1" t="n">
        <v>125</v>
      </c>
    </row>
    <row r="1663" customFormat="false" ht="15" hidden="false" customHeight="true" outlineLevel="0" collapsed="false">
      <c r="A1663" s="1" t="s">
        <v>1739</v>
      </c>
      <c r="B1663" s="1" t="n">
        <v>125</v>
      </c>
    </row>
    <row r="1664" customFormat="false" ht="15" hidden="false" customHeight="true" outlineLevel="0" collapsed="false">
      <c r="A1664" s="1" t="s">
        <v>1742</v>
      </c>
      <c r="B1664" s="1" t="n">
        <v>125</v>
      </c>
    </row>
    <row r="1665" customFormat="false" ht="15" hidden="false" customHeight="true" outlineLevel="0" collapsed="false">
      <c r="A1665" s="1" t="s">
        <v>1374</v>
      </c>
      <c r="B1665" s="1" t="n">
        <v>124</v>
      </c>
    </row>
    <row r="1666" customFormat="false" ht="15" hidden="false" customHeight="true" outlineLevel="0" collapsed="false">
      <c r="A1666" s="1" t="s">
        <v>1744</v>
      </c>
      <c r="B1666" s="1" t="n">
        <v>124</v>
      </c>
    </row>
    <row r="1667" customFormat="false" ht="15" hidden="false" customHeight="true" outlineLevel="0" collapsed="false">
      <c r="A1667" s="1" t="s">
        <v>1746</v>
      </c>
      <c r="B1667" s="1" t="n">
        <v>124</v>
      </c>
    </row>
    <row r="1668" customFormat="false" ht="15" hidden="false" customHeight="true" outlineLevel="0" collapsed="false">
      <c r="A1668" s="1" t="s">
        <v>1051</v>
      </c>
      <c r="B1668" s="1" t="n">
        <v>123</v>
      </c>
    </row>
    <row r="1669" customFormat="false" ht="15" hidden="false" customHeight="true" outlineLevel="0" collapsed="false">
      <c r="A1669" s="1" t="s">
        <v>1379</v>
      </c>
      <c r="B1669" s="1" t="n">
        <v>123</v>
      </c>
    </row>
    <row r="1670" customFormat="false" ht="15" hidden="false" customHeight="true" outlineLevel="0" collapsed="false">
      <c r="A1670" s="1" t="s">
        <v>380</v>
      </c>
      <c r="B1670" s="1" t="n">
        <v>122</v>
      </c>
    </row>
    <row r="1671" customFormat="false" ht="15" hidden="false" customHeight="true" outlineLevel="0" collapsed="false">
      <c r="A1671" s="1" t="s">
        <v>1113</v>
      </c>
      <c r="B1671" s="1" t="n">
        <v>122</v>
      </c>
    </row>
    <row r="1672" customFormat="false" ht="15" hidden="false" customHeight="true" outlineLevel="0" collapsed="false">
      <c r="A1672" s="1" t="s">
        <v>1170</v>
      </c>
      <c r="B1672" s="1" t="n">
        <v>121</v>
      </c>
    </row>
    <row r="1673" customFormat="false" ht="15" hidden="false" customHeight="true" outlineLevel="0" collapsed="false">
      <c r="A1673" s="1" t="s">
        <v>1409</v>
      </c>
      <c r="B1673" s="1" t="n">
        <v>120</v>
      </c>
    </row>
    <row r="1674" customFormat="false" ht="15" hidden="false" customHeight="true" outlineLevel="0" collapsed="false">
      <c r="A1674" s="1" t="s">
        <v>1033</v>
      </c>
      <c r="B1674" s="1" t="n">
        <v>120</v>
      </c>
    </row>
    <row r="1675" customFormat="false" ht="15" hidden="false" customHeight="true" outlineLevel="0" collapsed="false">
      <c r="A1675" s="1" t="s">
        <v>1767</v>
      </c>
      <c r="B1675" s="1" t="n">
        <v>120</v>
      </c>
    </row>
    <row r="1676" customFormat="false" ht="15" hidden="false" customHeight="true" outlineLevel="0" collapsed="false">
      <c r="A1676" s="1" t="s">
        <v>1770</v>
      </c>
      <c r="B1676" s="1" t="n">
        <v>120</v>
      </c>
    </row>
    <row r="1677" customFormat="false" ht="15" hidden="false" customHeight="true" outlineLevel="0" collapsed="false">
      <c r="A1677" s="1" t="s">
        <v>1774</v>
      </c>
      <c r="B1677" s="1" t="n">
        <v>120</v>
      </c>
    </row>
    <row r="1678" customFormat="false" ht="15" hidden="false" customHeight="true" outlineLevel="0" collapsed="false">
      <c r="A1678" s="1" t="s">
        <v>1247</v>
      </c>
      <c r="B1678" s="1" t="n">
        <v>119</v>
      </c>
    </row>
    <row r="1679" customFormat="false" ht="15" hidden="false" customHeight="true" outlineLevel="0" collapsed="false">
      <c r="A1679" s="1" t="s">
        <v>1781</v>
      </c>
      <c r="B1679" s="1" t="n">
        <v>119</v>
      </c>
    </row>
    <row r="1680" customFormat="false" ht="15" hidden="false" customHeight="true" outlineLevel="0" collapsed="false">
      <c r="A1680" s="1" t="s">
        <v>1782</v>
      </c>
      <c r="B1680" s="1" t="n">
        <v>119</v>
      </c>
    </row>
    <row r="1681" customFormat="false" ht="15" hidden="false" customHeight="true" outlineLevel="0" collapsed="false">
      <c r="A1681" s="1" t="s">
        <v>1016</v>
      </c>
      <c r="B1681" s="1" t="n">
        <v>118</v>
      </c>
    </row>
    <row r="1682" customFormat="false" ht="15" hidden="false" customHeight="true" outlineLevel="0" collapsed="false">
      <c r="A1682" s="1" t="s">
        <v>1200</v>
      </c>
      <c r="B1682" s="1" t="n">
        <v>118</v>
      </c>
    </row>
    <row r="1683" customFormat="false" ht="15" hidden="false" customHeight="true" outlineLevel="0" collapsed="false">
      <c r="A1683" s="1" t="s">
        <v>495</v>
      </c>
      <c r="B1683" s="1" t="n">
        <v>117</v>
      </c>
    </row>
    <row r="1684" customFormat="false" ht="15" hidden="false" customHeight="true" outlineLevel="0" collapsed="false">
      <c r="A1684" s="1" t="s">
        <v>878</v>
      </c>
      <c r="B1684" s="1" t="n">
        <v>117</v>
      </c>
    </row>
    <row r="1685" customFormat="false" ht="15" hidden="false" customHeight="true" outlineLevel="0" collapsed="false">
      <c r="A1685" s="1" t="s">
        <v>1050</v>
      </c>
      <c r="B1685" s="1" t="n">
        <v>117</v>
      </c>
    </row>
    <row r="1686" customFormat="false" ht="15" hidden="false" customHeight="true" outlineLevel="0" collapsed="false">
      <c r="A1686" s="1" t="s">
        <v>1790</v>
      </c>
      <c r="B1686" s="1" t="n">
        <v>117</v>
      </c>
    </row>
    <row r="1687" customFormat="false" ht="15" hidden="false" customHeight="true" outlineLevel="0" collapsed="false">
      <c r="A1687" s="1" t="s">
        <v>1133</v>
      </c>
      <c r="B1687" s="1" t="n">
        <v>116</v>
      </c>
    </row>
    <row r="1688" customFormat="false" ht="15" hidden="false" customHeight="true" outlineLevel="0" collapsed="false">
      <c r="A1688" s="1" t="s">
        <v>1199</v>
      </c>
      <c r="B1688" s="1" t="n">
        <v>116</v>
      </c>
    </row>
    <row r="1689" customFormat="false" ht="15" hidden="false" customHeight="true" outlineLevel="0" collapsed="false">
      <c r="A1689" s="1" t="s">
        <v>1797</v>
      </c>
      <c r="B1689" s="1" t="n">
        <v>116</v>
      </c>
    </row>
    <row r="1690" customFormat="false" ht="15" hidden="false" customHeight="true" outlineLevel="0" collapsed="false">
      <c r="A1690" s="1" t="s">
        <v>1799</v>
      </c>
      <c r="B1690" s="1" t="n">
        <v>116</v>
      </c>
    </row>
    <row r="1691" customFormat="false" ht="15" hidden="false" customHeight="true" outlineLevel="0" collapsed="false">
      <c r="A1691" s="1" t="s">
        <v>1801</v>
      </c>
      <c r="B1691" s="1" t="n">
        <v>116</v>
      </c>
    </row>
    <row r="1692" customFormat="false" ht="15" hidden="false" customHeight="true" outlineLevel="0" collapsed="false">
      <c r="A1692" s="1" t="s">
        <v>1803</v>
      </c>
      <c r="B1692" s="1" t="n">
        <v>116</v>
      </c>
    </row>
    <row r="1693" customFormat="false" ht="15" hidden="false" customHeight="true" outlineLevel="0" collapsed="false">
      <c r="A1693" s="1" t="s">
        <v>1805</v>
      </c>
      <c r="B1693" s="1" t="n">
        <v>116</v>
      </c>
    </row>
    <row r="1694" customFormat="false" ht="15" hidden="false" customHeight="true" outlineLevel="0" collapsed="false">
      <c r="A1694" s="1" t="s">
        <v>1807</v>
      </c>
      <c r="B1694" s="1" t="n">
        <v>116</v>
      </c>
    </row>
    <row r="1695" customFormat="false" ht="15" hidden="false" customHeight="true" outlineLevel="0" collapsed="false">
      <c r="A1695" s="1" t="s">
        <v>389</v>
      </c>
      <c r="B1695" s="1" t="n">
        <v>115</v>
      </c>
    </row>
    <row r="1696" customFormat="false" ht="15" hidden="false" customHeight="true" outlineLevel="0" collapsed="false">
      <c r="A1696" s="1" t="s">
        <v>1712</v>
      </c>
      <c r="B1696" s="1" t="n">
        <v>115</v>
      </c>
    </row>
    <row r="1697" customFormat="false" ht="15" hidden="false" customHeight="true" outlineLevel="0" collapsed="false">
      <c r="A1697" s="1" t="s">
        <v>1392</v>
      </c>
      <c r="B1697" s="1" t="n">
        <v>115</v>
      </c>
    </row>
    <row r="1698" customFormat="false" ht="15" hidden="false" customHeight="true" outlineLevel="0" collapsed="false">
      <c r="A1698" s="1" t="s">
        <v>1812</v>
      </c>
      <c r="B1698" s="1" t="n">
        <v>115</v>
      </c>
    </row>
    <row r="1699" customFormat="false" ht="15" hidden="false" customHeight="true" outlineLevel="0" collapsed="false">
      <c r="A1699" s="1" t="s">
        <v>1821</v>
      </c>
      <c r="B1699" s="1" t="n">
        <v>114</v>
      </c>
    </row>
    <row r="1700" customFormat="false" ht="15" hidden="false" customHeight="true" outlineLevel="0" collapsed="false">
      <c r="A1700" s="1" t="s">
        <v>1825</v>
      </c>
      <c r="B1700" s="1" t="n">
        <v>114</v>
      </c>
    </row>
    <row r="1701" customFormat="false" ht="15" hidden="false" customHeight="true" outlineLevel="0" collapsed="false">
      <c r="A1701" s="1" t="s">
        <v>1827</v>
      </c>
      <c r="B1701" s="1" t="n">
        <v>114</v>
      </c>
    </row>
    <row r="1702" customFormat="false" ht="15" hidden="false" customHeight="true" outlineLevel="0" collapsed="false">
      <c r="A1702" s="1" t="s">
        <v>1829</v>
      </c>
      <c r="B1702" s="1" t="n">
        <v>114</v>
      </c>
    </row>
    <row r="1703" customFormat="false" ht="15" hidden="false" customHeight="true" outlineLevel="0" collapsed="false">
      <c r="A1703" s="1" t="s">
        <v>1831</v>
      </c>
      <c r="B1703" s="1" t="n">
        <v>114</v>
      </c>
    </row>
    <row r="1704" customFormat="false" ht="15" hidden="false" customHeight="true" outlineLevel="0" collapsed="false">
      <c r="A1704" s="1" t="s">
        <v>1458</v>
      </c>
      <c r="B1704" s="1" t="n">
        <v>113</v>
      </c>
    </row>
    <row r="1705" customFormat="false" ht="15" hidden="false" customHeight="true" outlineLevel="0" collapsed="false">
      <c r="A1705" s="1" t="s">
        <v>1836</v>
      </c>
      <c r="B1705" s="1" t="n">
        <v>113</v>
      </c>
    </row>
    <row r="1706" customFormat="false" ht="15" hidden="false" customHeight="true" outlineLevel="0" collapsed="false">
      <c r="A1706" s="1" t="s">
        <v>1191</v>
      </c>
      <c r="B1706" s="1" t="n">
        <v>113</v>
      </c>
    </row>
    <row r="1707" customFormat="false" ht="15" hidden="false" customHeight="true" outlineLevel="0" collapsed="false">
      <c r="A1707" s="1" t="s">
        <v>1838</v>
      </c>
      <c r="B1707" s="1" t="n">
        <v>113</v>
      </c>
    </row>
    <row r="1708" customFormat="false" ht="15" hidden="false" customHeight="true" outlineLevel="0" collapsed="false">
      <c r="A1708" s="1" t="s">
        <v>1394</v>
      </c>
      <c r="B1708" s="1" t="n">
        <v>112</v>
      </c>
    </row>
    <row r="1709" customFormat="false" ht="15" hidden="false" customHeight="true" outlineLevel="0" collapsed="false">
      <c r="A1709" s="1" t="s">
        <v>1307</v>
      </c>
      <c r="B1709" s="1" t="n">
        <v>112</v>
      </c>
    </row>
    <row r="1710" customFormat="false" ht="15" hidden="false" customHeight="true" outlineLevel="0" collapsed="false">
      <c r="A1710" s="1" t="s">
        <v>1538</v>
      </c>
      <c r="B1710" s="1" t="n">
        <v>112</v>
      </c>
    </row>
    <row r="1711" customFormat="false" ht="15" hidden="false" customHeight="true" outlineLevel="0" collapsed="false">
      <c r="A1711" s="1" t="s">
        <v>568</v>
      </c>
      <c r="B1711" s="1" t="n">
        <v>112</v>
      </c>
    </row>
    <row r="1712" customFormat="false" ht="15" hidden="false" customHeight="true" outlineLevel="0" collapsed="false">
      <c r="A1712" s="1" t="s">
        <v>1842</v>
      </c>
      <c r="B1712" s="1" t="n">
        <v>112</v>
      </c>
    </row>
    <row r="1713" customFormat="false" ht="15" hidden="false" customHeight="true" outlineLevel="0" collapsed="false">
      <c r="A1713" s="1" t="s">
        <v>1593</v>
      </c>
      <c r="B1713" s="1" t="n">
        <v>111</v>
      </c>
    </row>
    <row r="1714" customFormat="false" ht="15" hidden="false" customHeight="true" outlineLevel="0" collapsed="false">
      <c r="A1714" s="1" t="s">
        <v>1273</v>
      </c>
      <c r="B1714" s="1" t="n">
        <v>111</v>
      </c>
    </row>
    <row r="1715" customFormat="false" ht="15" hidden="false" customHeight="true" outlineLevel="0" collapsed="false">
      <c r="A1715" s="1" t="s">
        <v>1595</v>
      </c>
      <c r="B1715" s="1" t="n">
        <v>111</v>
      </c>
    </row>
    <row r="1716" customFormat="false" ht="15" hidden="false" customHeight="true" outlineLevel="0" collapsed="false">
      <c r="A1716" s="1" t="s">
        <v>1847</v>
      </c>
      <c r="B1716" s="1" t="n">
        <v>111</v>
      </c>
    </row>
    <row r="1717" customFormat="false" ht="15" hidden="false" customHeight="true" outlineLevel="0" collapsed="false">
      <c r="A1717" s="1" t="s">
        <v>1849</v>
      </c>
      <c r="B1717" s="1" t="n">
        <v>111</v>
      </c>
    </row>
    <row r="1718" customFormat="false" ht="15" hidden="false" customHeight="true" outlineLevel="0" collapsed="false">
      <c r="A1718" s="1" t="s">
        <v>1851</v>
      </c>
      <c r="B1718" s="1" t="n">
        <v>111</v>
      </c>
    </row>
    <row r="1719" customFormat="false" ht="15" hidden="false" customHeight="true" outlineLevel="0" collapsed="false">
      <c r="A1719" s="1" t="s">
        <v>917</v>
      </c>
      <c r="B1719" s="1" t="n">
        <v>110</v>
      </c>
    </row>
    <row r="1720" customFormat="false" ht="15" hidden="false" customHeight="true" outlineLevel="0" collapsed="false">
      <c r="A1720" s="1" t="s">
        <v>316</v>
      </c>
      <c r="B1720" s="1" t="n">
        <v>110</v>
      </c>
    </row>
    <row r="1721" customFormat="false" ht="15" hidden="false" customHeight="true" outlineLevel="0" collapsed="false">
      <c r="A1721" s="1" t="s">
        <v>1474</v>
      </c>
      <c r="B1721" s="1" t="n">
        <v>110</v>
      </c>
    </row>
    <row r="1722" customFormat="false" ht="15" hidden="false" customHeight="true" outlineLevel="0" collapsed="false">
      <c r="A1722" s="1" t="s">
        <v>1854</v>
      </c>
      <c r="B1722" s="1" t="n">
        <v>110</v>
      </c>
    </row>
    <row r="1723" customFormat="false" ht="15" hidden="false" customHeight="true" outlineLevel="0" collapsed="false">
      <c r="A1723" s="1" t="s">
        <v>442</v>
      </c>
      <c r="B1723" s="1" t="n">
        <v>109</v>
      </c>
    </row>
    <row r="1724" customFormat="false" ht="15" hidden="false" customHeight="true" outlineLevel="0" collapsed="false">
      <c r="A1724" s="1" t="s">
        <v>576</v>
      </c>
      <c r="B1724" s="1" t="n">
        <v>109</v>
      </c>
    </row>
    <row r="1725" customFormat="false" ht="15" hidden="false" customHeight="true" outlineLevel="0" collapsed="false">
      <c r="A1725" s="1" t="s">
        <v>1528</v>
      </c>
      <c r="B1725" s="1" t="n">
        <v>109</v>
      </c>
    </row>
    <row r="1726" customFormat="false" ht="15" hidden="false" customHeight="true" outlineLevel="0" collapsed="false">
      <c r="A1726" s="1" t="s">
        <v>1186</v>
      </c>
      <c r="B1726" s="1" t="n">
        <v>109</v>
      </c>
    </row>
    <row r="1727" customFormat="false" ht="15" hidden="false" customHeight="true" outlineLevel="0" collapsed="false">
      <c r="A1727" s="1" t="s">
        <v>1059</v>
      </c>
      <c r="B1727" s="1" t="n">
        <v>109</v>
      </c>
    </row>
    <row r="1728" customFormat="false" ht="15" hidden="false" customHeight="true" outlineLevel="0" collapsed="false">
      <c r="A1728" s="1" t="s">
        <v>1573</v>
      </c>
      <c r="B1728" s="1" t="n">
        <v>108</v>
      </c>
    </row>
    <row r="1729" customFormat="false" ht="15" hidden="false" customHeight="true" outlineLevel="0" collapsed="false">
      <c r="A1729" s="1" t="s">
        <v>811</v>
      </c>
      <c r="B1729" s="1" t="n">
        <v>108</v>
      </c>
    </row>
    <row r="1730" customFormat="false" ht="15" hidden="false" customHeight="true" outlineLevel="0" collapsed="false">
      <c r="A1730" s="1" t="s">
        <v>696</v>
      </c>
      <c r="B1730" s="1" t="n">
        <v>108</v>
      </c>
    </row>
    <row r="1731" customFormat="false" ht="15" hidden="false" customHeight="true" outlineLevel="0" collapsed="false">
      <c r="A1731" s="1" t="s">
        <v>1407</v>
      </c>
      <c r="B1731" s="1" t="n">
        <v>108</v>
      </c>
    </row>
    <row r="1732" customFormat="false" ht="15" hidden="false" customHeight="true" outlineLevel="0" collapsed="false">
      <c r="A1732" s="1" t="s">
        <v>1456</v>
      </c>
      <c r="B1732" s="1" t="n">
        <v>108</v>
      </c>
    </row>
    <row r="1733" customFormat="false" ht="15" hidden="false" customHeight="true" outlineLevel="0" collapsed="false">
      <c r="A1733" s="1" t="s">
        <v>399</v>
      </c>
      <c r="B1733" s="1" t="n">
        <v>106</v>
      </c>
    </row>
    <row r="1734" customFormat="false" ht="15" hidden="false" customHeight="true" outlineLevel="0" collapsed="false">
      <c r="A1734" s="1" t="s">
        <v>1872</v>
      </c>
      <c r="B1734" s="1" t="n">
        <v>106</v>
      </c>
    </row>
    <row r="1735" customFormat="false" ht="15" hidden="false" customHeight="true" outlineLevel="0" collapsed="false">
      <c r="A1735" s="1" t="s">
        <v>1875</v>
      </c>
      <c r="B1735" s="1" t="n">
        <v>106</v>
      </c>
    </row>
    <row r="1736" customFormat="false" ht="15" hidden="false" customHeight="true" outlineLevel="0" collapsed="false">
      <c r="A1736" s="1" t="s">
        <v>1026</v>
      </c>
      <c r="B1736" s="1" t="n">
        <v>105</v>
      </c>
    </row>
    <row r="1737" customFormat="false" ht="15" hidden="false" customHeight="true" outlineLevel="0" collapsed="false">
      <c r="A1737" s="1" t="s">
        <v>1890</v>
      </c>
      <c r="B1737" s="1" t="n">
        <v>105</v>
      </c>
    </row>
    <row r="1738" customFormat="false" ht="15" hidden="false" customHeight="true" outlineLevel="0" collapsed="false">
      <c r="A1738" s="1" t="s">
        <v>1892</v>
      </c>
      <c r="B1738" s="1" t="n">
        <v>105</v>
      </c>
    </row>
    <row r="1739" customFormat="false" ht="15" hidden="false" customHeight="true" outlineLevel="0" collapsed="false">
      <c r="A1739" s="1" t="s">
        <v>1894</v>
      </c>
      <c r="B1739" s="1" t="n">
        <v>105</v>
      </c>
    </row>
    <row r="1740" customFormat="false" ht="15" hidden="false" customHeight="true" outlineLevel="0" collapsed="false">
      <c r="A1740" s="1" t="s">
        <v>1041</v>
      </c>
      <c r="B1740" s="1" t="n">
        <v>104</v>
      </c>
    </row>
    <row r="1741" customFormat="false" ht="15" hidden="false" customHeight="true" outlineLevel="0" collapsed="false">
      <c r="A1741" s="1" t="s">
        <v>1156</v>
      </c>
      <c r="B1741" s="1" t="n">
        <v>104</v>
      </c>
    </row>
    <row r="1742" customFormat="false" ht="15" hidden="false" customHeight="true" outlineLevel="0" collapsed="false">
      <c r="A1742" s="1" t="s">
        <v>1901</v>
      </c>
      <c r="B1742" s="1" t="n">
        <v>104</v>
      </c>
    </row>
    <row r="1743" customFormat="false" ht="15" hidden="false" customHeight="true" outlineLevel="0" collapsed="false">
      <c r="A1743" s="1" t="s">
        <v>1633</v>
      </c>
      <c r="B1743" s="1" t="n">
        <v>103</v>
      </c>
    </row>
    <row r="1744" customFormat="false" ht="15" hidden="false" customHeight="true" outlineLevel="0" collapsed="false">
      <c r="A1744" s="1" t="s">
        <v>1304</v>
      </c>
      <c r="B1744" s="1" t="n">
        <v>103</v>
      </c>
    </row>
    <row r="1745" customFormat="false" ht="15" hidden="false" customHeight="true" outlineLevel="0" collapsed="false">
      <c r="A1745" s="1" t="s">
        <v>1010</v>
      </c>
      <c r="B1745" s="1" t="n">
        <v>102</v>
      </c>
    </row>
    <row r="1746" customFormat="false" ht="15" hidden="false" customHeight="true" outlineLevel="0" collapsed="false">
      <c r="A1746" s="1" t="s">
        <v>1426</v>
      </c>
      <c r="B1746" s="1" t="n">
        <v>102</v>
      </c>
    </row>
    <row r="1747" customFormat="false" ht="15" hidden="false" customHeight="true" outlineLevel="0" collapsed="false">
      <c r="A1747" s="1" t="s">
        <v>1430</v>
      </c>
      <c r="B1747" s="1" t="n">
        <v>102</v>
      </c>
    </row>
    <row r="1748" customFormat="false" ht="15" hidden="false" customHeight="true" outlineLevel="0" collapsed="false">
      <c r="A1748" s="1" t="s">
        <v>1472</v>
      </c>
      <c r="B1748" s="1" t="n">
        <v>102</v>
      </c>
    </row>
    <row r="1749" customFormat="false" ht="15" hidden="false" customHeight="true" outlineLevel="0" collapsed="false">
      <c r="A1749" s="1" t="s">
        <v>1924</v>
      </c>
      <c r="B1749" s="1" t="n">
        <v>102</v>
      </c>
    </row>
    <row r="1750" customFormat="false" ht="15" hidden="false" customHeight="true" outlineLevel="0" collapsed="false">
      <c r="A1750" s="1" t="s">
        <v>1118</v>
      </c>
      <c r="B1750" s="1" t="n">
        <v>101</v>
      </c>
    </row>
    <row r="1751" customFormat="false" ht="15" hidden="false" customHeight="true" outlineLevel="0" collapsed="false">
      <c r="A1751" s="1" t="s">
        <v>1942</v>
      </c>
      <c r="B1751" s="1" t="n">
        <v>101</v>
      </c>
    </row>
    <row r="1752" customFormat="false" ht="15" hidden="false" customHeight="true" outlineLevel="0" collapsed="false">
      <c r="A1752" s="1" t="s">
        <v>1944</v>
      </c>
      <c r="B1752" s="1" t="n">
        <v>101</v>
      </c>
    </row>
    <row r="1753" customFormat="false" ht="15" hidden="false" customHeight="true" outlineLevel="0" collapsed="false">
      <c r="A1753" s="1" t="s">
        <v>1860</v>
      </c>
      <c r="B1753" s="1" t="n">
        <v>100</v>
      </c>
    </row>
    <row r="1754" customFormat="false" ht="15" hidden="false" customHeight="true" outlineLevel="0" collapsed="false">
      <c r="A1754" s="1" t="s">
        <v>1020</v>
      </c>
      <c r="B1754" s="1" t="n">
        <v>100</v>
      </c>
    </row>
    <row r="1755" customFormat="false" ht="15" hidden="false" customHeight="true" outlineLevel="0" collapsed="false">
      <c r="A1755" s="1" t="s">
        <v>1486</v>
      </c>
      <c r="B1755" s="1" t="n">
        <v>100</v>
      </c>
    </row>
    <row r="1756" customFormat="false" ht="15" hidden="false" customHeight="true" outlineLevel="0" collapsed="false">
      <c r="A1756" s="1" t="s">
        <v>1967</v>
      </c>
      <c r="B1756" s="1" t="n">
        <v>100</v>
      </c>
    </row>
    <row r="1757" customFormat="false" ht="15" hidden="false" customHeight="true" outlineLevel="0" collapsed="false">
      <c r="A1757" s="1" t="s">
        <v>1969</v>
      </c>
      <c r="B1757" s="1" t="n">
        <v>100</v>
      </c>
    </row>
    <row r="1758" customFormat="false" ht="15" hidden="false" customHeight="true" outlineLevel="0" collapsed="false">
      <c r="A1758" s="1" t="s">
        <v>1972</v>
      </c>
      <c r="B1758" s="1" t="n">
        <v>100</v>
      </c>
    </row>
    <row r="1759" customFormat="false" ht="15" hidden="false" customHeight="true" outlineLevel="0" collapsed="false">
      <c r="A1759" s="1" t="s">
        <v>1975</v>
      </c>
      <c r="B1759" s="1" t="n">
        <v>100</v>
      </c>
    </row>
    <row r="1760" customFormat="false" ht="15" hidden="false" customHeight="true" outlineLevel="0" collapsed="false">
      <c r="A1760" s="1" t="s">
        <v>1977</v>
      </c>
      <c r="B1760" s="1" t="n">
        <v>100</v>
      </c>
    </row>
    <row r="1761" customFormat="false" ht="15" hidden="false" customHeight="true" outlineLevel="0" collapsed="false">
      <c r="A1761" s="1" t="s">
        <v>1983</v>
      </c>
      <c r="B1761" s="1" t="n">
        <v>99</v>
      </c>
    </row>
    <row r="1762" customFormat="false" ht="15" hidden="false" customHeight="true" outlineLevel="0" collapsed="false">
      <c r="A1762" s="1" t="s">
        <v>1470</v>
      </c>
      <c r="B1762" s="1" t="n">
        <v>98</v>
      </c>
    </row>
    <row r="1763" customFormat="false" ht="15" hidden="false" customHeight="true" outlineLevel="0" collapsed="false">
      <c r="A1763" s="1" t="s">
        <v>1993</v>
      </c>
      <c r="B1763" s="1" t="n">
        <v>98</v>
      </c>
    </row>
    <row r="1764" customFormat="false" ht="15" hidden="false" customHeight="true" outlineLevel="0" collapsed="false">
      <c r="A1764" s="1" t="s">
        <v>1995</v>
      </c>
      <c r="B1764" s="1" t="n">
        <v>98</v>
      </c>
    </row>
    <row r="1765" customFormat="false" ht="15" hidden="false" customHeight="true" outlineLevel="0" collapsed="false">
      <c r="A1765" s="1" t="s">
        <v>1997</v>
      </c>
      <c r="B1765" s="1" t="n">
        <v>98</v>
      </c>
    </row>
    <row r="1766" customFormat="false" ht="15" hidden="false" customHeight="true" outlineLevel="0" collapsed="false">
      <c r="A1766" s="1" t="s">
        <v>1999</v>
      </c>
      <c r="B1766" s="1" t="n">
        <v>98</v>
      </c>
    </row>
    <row r="1767" customFormat="false" ht="15" hidden="false" customHeight="true" outlineLevel="0" collapsed="false">
      <c r="A1767" s="1" t="s">
        <v>2001</v>
      </c>
      <c r="B1767" s="1" t="n">
        <v>98</v>
      </c>
    </row>
    <row r="1768" customFormat="false" ht="15" hidden="false" customHeight="true" outlineLevel="0" collapsed="false">
      <c r="A1768" s="1" t="s">
        <v>2003</v>
      </c>
      <c r="B1768" s="1" t="n">
        <v>98</v>
      </c>
    </row>
    <row r="1769" customFormat="false" ht="15" hidden="false" customHeight="true" outlineLevel="0" collapsed="false">
      <c r="A1769" s="1" t="s">
        <v>2006</v>
      </c>
      <c r="B1769" s="1" t="n">
        <v>98</v>
      </c>
    </row>
    <row r="1770" customFormat="false" ht="15" hidden="false" customHeight="true" outlineLevel="0" collapsed="false">
      <c r="A1770" s="1" t="s">
        <v>1231</v>
      </c>
      <c r="B1770" s="1" t="n">
        <v>97</v>
      </c>
    </row>
    <row r="1771" customFormat="false" ht="15" hidden="false" customHeight="true" outlineLevel="0" collapsed="false">
      <c r="A1771" s="1" t="s">
        <v>2019</v>
      </c>
      <c r="B1771" s="1" t="n">
        <v>97</v>
      </c>
    </row>
    <row r="1772" customFormat="false" ht="15" hidden="false" customHeight="true" outlineLevel="0" collapsed="false">
      <c r="A1772" s="1" t="s">
        <v>2023</v>
      </c>
      <c r="B1772" s="1" t="n">
        <v>97</v>
      </c>
    </row>
    <row r="1773" customFormat="false" ht="15" hidden="false" customHeight="true" outlineLevel="0" collapsed="false">
      <c r="A1773" s="1" t="s">
        <v>2025</v>
      </c>
      <c r="B1773" s="1" t="n">
        <v>97</v>
      </c>
    </row>
    <row r="1774" customFormat="false" ht="15" hidden="false" customHeight="true" outlineLevel="0" collapsed="false">
      <c r="A1774" s="1" t="s">
        <v>2028</v>
      </c>
      <c r="B1774" s="1" t="n">
        <v>97</v>
      </c>
    </row>
    <row r="1775" customFormat="false" ht="15" hidden="false" customHeight="true" outlineLevel="0" collapsed="false">
      <c r="A1775" s="1" t="s">
        <v>1303</v>
      </c>
      <c r="B1775" s="1" t="n">
        <v>96</v>
      </c>
    </row>
    <row r="1776" customFormat="false" ht="15" hidden="false" customHeight="true" outlineLevel="0" collapsed="false">
      <c r="A1776" s="1" t="s">
        <v>2033</v>
      </c>
      <c r="B1776" s="1" t="n">
        <v>96</v>
      </c>
    </row>
    <row r="1777" customFormat="false" ht="15" hidden="false" customHeight="true" outlineLevel="0" collapsed="false">
      <c r="A1777" s="1" t="s">
        <v>2036</v>
      </c>
      <c r="B1777" s="1" t="n">
        <v>96</v>
      </c>
    </row>
    <row r="1778" customFormat="false" ht="15" hidden="false" customHeight="true" outlineLevel="0" collapsed="false">
      <c r="A1778" s="1" t="s">
        <v>1505</v>
      </c>
      <c r="B1778" s="1" t="n">
        <v>95</v>
      </c>
    </row>
    <row r="1779" customFormat="false" ht="15" hidden="false" customHeight="true" outlineLevel="0" collapsed="false">
      <c r="A1779" s="1" t="s">
        <v>2048</v>
      </c>
      <c r="B1779" s="1" t="n">
        <v>95</v>
      </c>
    </row>
    <row r="1780" customFormat="false" ht="15" hidden="false" customHeight="true" outlineLevel="0" collapsed="false">
      <c r="A1780" s="1" t="s">
        <v>1363</v>
      </c>
      <c r="B1780" s="1" t="n">
        <v>94</v>
      </c>
    </row>
    <row r="1781" customFormat="false" ht="15" hidden="false" customHeight="true" outlineLevel="0" collapsed="false">
      <c r="A1781" s="1" t="s">
        <v>1682</v>
      </c>
      <c r="B1781" s="1" t="n">
        <v>94</v>
      </c>
    </row>
    <row r="1782" customFormat="false" ht="15" hidden="false" customHeight="true" outlineLevel="0" collapsed="false">
      <c r="A1782" s="1" t="s">
        <v>892</v>
      </c>
      <c r="B1782" s="1" t="n">
        <v>94</v>
      </c>
    </row>
    <row r="1783" customFormat="false" ht="15" hidden="false" customHeight="true" outlineLevel="0" collapsed="false">
      <c r="A1783" s="1" t="s">
        <v>1729</v>
      </c>
      <c r="B1783" s="1" t="n">
        <v>94</v>
      </c>
    </row>
    <row r="1784" customFormat="false" ht="15" hidden="false" customHeight="true" outlineLevel="0" collapsed="false">
      <c r="A1784" s="1" t="s">
        <v>809</v>
      </c>
      <c r="B1784" s="1" t="n">
        <v>94</v>
      </c>
    </row>
    <row r="1785" customFormat="false" ht="15" hidden="false" customHeight="true" outlineLevel="0" collapsed="false">
      <c r="A1785" s="1" t="s">
        <v>1271</v>
      </c>
      <c r="B1785" s="1" t="n">
        <v>94</v>
      </c>
    </row>
    <row r="1786" customFormat="false" ht="15" hidden="false" customHeight="true" outlineLevel="0" collapsed="false">
      <c r="A1786" s="1" t="s">
        <v>2058</v>
      </c>
      <c r="B1786" s="1" t="n">
        <v>94</v>
      </c>
    </row>
    <row r="1787" customFormat="false" ht="15" hidden="false" customHeight="true" outlineLevel="0" collapsed="false">
      <c r="A1787" s="1" t="s">
        <v>1646</v>
      </c>
      <c r="B1787" s="1" t="n">
        <v>93</v>
      </c>
    </row>
    <row r="1788" customFormat="false" ht="15" hidden="false" customHeight="true" outlineLevel="0" collapsed="false">
      <c r="A1788" s="1" t="s">
        <v>1237</v>
      </c>
      <c r="B1788" s="1" t="n">
        <v>93</v>
      </c>
    </row>
    <row r="1789" customFormat="false" ht="15" hidden="false" customHeight="true" outlineLevel="0" collapsed="false">
      <c r="A1789" s="1" t="s">
        <v>2068</v>
      </c>
      <c r="B1789" s="1" t="n">
        <v>93</v>
      </c>
    </row>
    <row r="1790" customFormat="false" ht="15" hidden="false" customHeight="true" outlineLevel="0" collapsed="false">
      <c r="A1790" s="1" t="s">
        <v>2071</v>
      </c>
      <c r="B1790" s="1" t="n">
        <v>93</v>
      </c>
    </row>
    <row r="1791" customFormat="false" ht="15" hidden="false" customHeight="true" outlineLevel="0" collapsed="false">
      <c r="A1791" s="1" t="s">
        <v>1845</v>
      </c>
      <c r="B1791" s="1" t="n">
        <v>92</v>
      </c>
    </row>
    <row r="1792" customFormat="false" ht="15" hidden="false" customHeight="true" outlineLevel="0" collapsed="false">
      <c r="A1792" s="1" t="s">
        <v>1517</v>
      </c>
      <c r="B1792" s="1" t="n">
        <v>92</v>
      </c>
    </row>
    <row r="1793" customFormat="false" ht="15" hidden="false" customHeight="true" outlineLevel="0" collapsed="false">
      <c r="A1793" s="1" t="s">
        <v>1251</v>
      </c>
      <c r="B1793" s="1" t="n">
        <v>92</v>
      </c>
    </row>
    <row r="1794" customFormat="false" ht="15" hidden="false" customHeight="true" outlineLevel="0" collapsed="false">
      <c r="A1794" s="1" t="s">
        <v>1484</v>
      </c>
      <c r="B1794" s="1" t="n">
        <v>92</v>
      </c>
    </row>
    <row r="1795" customFormat="false" ht="15" hidden="false" customHeight="true" outlineLevel="0" collapsed="false">
      <c r="A1795" s="1" t="s">
        <v>2090</v>
      </c>
      <c r="B1795" s="1" t="n">
        <v>92</v>
      </c>
    </row>
    <row r="1796" customFormat="false" ht="15" hidden="false" customHeight="true" outlineLevel="0" collapsed="false">
      <c r="A1796" s="1" t="s">
        <v>2092</v>
      </c>
      <c r="B1796" s="1" t="n">
        <v>92</v>
      </c>
    </row>
    <row r="1797" customFormat="false" ht="15" hidden="false" customHeight="true" outlineLevel="0" collapsed="false">
      <c r="A1797" s="1" t="s">
        <v>2094</v>
      </c>
      <c r="B1797" s="1" t="n">
        <v>92</v>
      </c>
    </row>
    <row r="1798" customFormat="false" ht="15" hidden="false" customHeight="true" outlineLevel="0" collapsed="false">
      <c r="A1798" s="1" t="s">
        <v>2096</v>
      </c>
      <c r="B1798" s="1" t="n">
        <v>92</v>
      </c>
    </row>
    <row r="1799" customFormat="false" ht="15" hidden="false" customHeight="true" outlineLevel="0" collapsed="false">
      <c r="A1799" s="1" t="s">
        <v>1262</v>
      </c>
      <c r="B1799" s="1" t="n">
        <v>91</v>
      </c>
    </row>
    <row r="1800" customFormat="false" ht="15" hidden="false" customHeight="true" outlineLevel="0" collapsed="false">
      <c r="A1800" s="1" t="s">
        <v>802</v>
      </c>
      <c r="B1800" s="1" t="n">
        <v>91</v>
      </c>
    </row>
    <row r="1801" customFormat="false" ht="15" hidden="false" customHeight="true" outlineLevel="0" collapsed="false">
      <c r="A1801" s="1" t="s">
        <v>1482</v>
      </c>
      <c r="B1801" s="1" t="n">
        <v>91</v>
      </c>
    </row>
    <row r="1802" customFormat="false" ht="15" hidden="false" customHeight="true" outlineLevel="0" collapsed="false">
      <c r="A1802" s="1" t="s">
        <v>1515</v>
      </c>
      <c r="B1802" s="1" t="n">
        <v>90</v>
      </c>
    </row>
    <row r="1803" customFormat="false" ht="15" hidden="false" customHeight="true" outlineLevel="0" collapsed="false">
      <c r="A1803" s="1" t="s">
        <v>686</v>
      </c>
      <c r="B1803" s="1" t="n">
        <v>90</v>
      </c>
    </row>
    <row r="1804" customFormat="false" ht="15" hidden="false" customHeight="true" outlineLevel="0" collapsed="false">
      <c r="A1804" s="1" t="s">
        <v>1663</v>
      </c>
      <c r="B1804" s="1" t="n">
        <v>90</v>
      </c>
    </row>
    <row r="1805" customFormat="false" ht="15" hidden="false" customHeight="true" outlineLevel="0" collapsed="false">
      <c r="A1805" s="1" t="s">
        <v>870</v>
      </c>
      <c r="B1805" s="1" t="n">
        <v>90</v>
      </c>
    </row>
    <row r="1806" customFormat="false" ht="15" hidden="false" customHeight="true" outlineLevel="0" collapsed="false">
      <c r="A1806" s="1" t="s">
        <v>2115</v>
      </c>
      <c r="B1806" s="1" t="n">
        <v>90</v>
      </c>
    </row>
    <row r="1807" customFormat="false" ht="15" hidden="false" customHeight="true" outlineLevel="0" collapsed="false">
      <c r="A1807" s="1" t="s">
        <v>2118</v>
      </c>
      <c r="B1807" s="1" t="n">
        <v>90</v>
      </c>
    </row>
    <row r="1808" customFormat="false" ht="15" hidden="false" customHeight="true" outlineLevel="0" collapsed="false">
      <c r="A1808" s="1" t="s">
        <v>2120</v>
      </c>
      <c r="B1808" s="1" t="n">
        <v>90</v>
      </c>
    </row>
    <row r="1809" customFormat="false" ht="15" hidden="false" customHeight="true" outlineLevel="0" collapsed="false">
      <c r="A1809" s="1" t="s">
        <v>2122</v>
      </c>
      <c r="B1809" s="1" t="n">
        <v>90</v>
      </c>
    </row>
    <row r="1810" customFormat="false" ht="15" hidden="false" customHeight="true" outlineLevel="0" collapsed="false">
      <c r="A1810" s="1" t="s">
        <v>1766</v>
      </c>
      <c r="B1810" s="1" t="n">
        <v>89</v>
      </c>
    </row>
    <row r="1811" customFormat="false" ht="15" hidden="false" customHeight="true" outlineLevel="0" collapsed="false">
      <c r="A1811" s="1" t="s">
        <v>1583</v>
      </c>
      <c r="B1811" s="1" t="n">
        <v>89</v>
      </c>
    </row>
    <row r="1812" customFormat="false" ht="15" hidden="false" customHeight="true" outlineLevel="0" collapsed="false">
      <c r="A1812" s="1" t="s">
        <v>1492</v>
      </c>
      <c r="B1812" s="1" t="n">
        <v>89</v>
      </c>
    </row>
    <row r="1813" customFormat="false" ht="15" hidden="false" customHeight="true" outlineLevel="0" collapsed="false">
      <c r="A1813" s="1" t="s">
        <v>2109</v>
      </c>
      <c r="B1813" s="1" t="n">
        <v>89</v>
      </c>
    </row>
    <row r="1814" customFormat="false" ht="15" hidden="false" customHeight="true" outlineLevel="0" collapsed="false">
      <c r="A1814" s="1" t="s">
        <v>1014</v>
      </c>
      <c r="B1814" s="1" t="n">
        <v>88</v>
      </c>
    </row>
    <row r="1815" customFormat="false" ht="15" hidden="false" customHeight="true" outlineLevel="0" collapsed="false">
      <c r="A1815" s="1" t="s">
        <v>1256</v>
      </c>
      <c r="B1815" s="1" t="n">
        <v>88</v>
      </c>
    </row>
    <row r="1816" customFormat="false" ht="15" hidden="false" customHeight="true" outlineLevel="0" collapsed="false">
      <c r="A1816" s="1" t="s">
        <v>2134</v>
      </c>
      <c r="B1816" s="1" t="n">
        <v>88</v>
      </c>
    </row>
    <row r="1817" customFormat="false" ht="15" hidden="false" customHeight="true" outlineLevel="0" collapsed="false">
      <c r="A1817" s="1" t="s">
        <v>1692</v>
      </c>
      <c r="B1817" s="1" t="n">
        <v>87</v>
      </c>
    </row>
    <row r="1818" customFormat="false" ht="15" hidden="false" customHeight="true" outlineLevel="0" collapsed="false">
      <c r="A1818" s="1" t="s">
        <v>1661</v>
      </c>
      <c r="B1818" s="1" t="n">
        <v>87</v>
      </c>
    </row>
    <row r="1819" customFormat="false" ht="15" hidden="false" customHeight="true" outlineLevel="0" collapsed="false">
      <c r="A1819" s="1" t="s">
        <v>1325</v>
      </c>
      <c r="B1819" s="1" t="n">
        <v>87</v>
      </c>
    </row>
    <row r="1820" customFormat="false" ht="15" hidden="false" customHeight="true" outlineLevel="0" collapsed="false">
      <c r="A1820" s="1" t="s">
        <v>1610</v>
      </c>
      <c r="B1820" s="1" t="n">
        <v>87</v>
      </c>
    </row>
    <row r="1821" customFormat="false" ht="15" hidden="false" customHeight="true" outlineLevel="0" collapsed="false">
      <c r="A1821" s="1" t="s">
        <v>1178</v>
      </c>
      <c r="B1821" s="1" t="n">
        <v>87</v>
      </c>
    </row>
    <row r="1822" customFormat="false" ht="15" hidden="false" customHeight="true" outlineLevel="0" collapsed="false">
      <c r="A1822" s="1" t="s">
        <v>1236</v>
      </c>
      <c r="B1822" s="1" t="n">
        <v>86</v>
      </c>
    </row>
    <row r="1823" customFormat="false" ht="15" hidden="false" customHeight="true" outlineLevel="0" collapsed="false">
      <c r="A1823" s="1" t="s">
        <v>1057</v>
      </c>
      <c r="B1823" s="1" t="n">
        <v>86</v>
      </c>
    </row>
    <row r="1824" customFormat="false" ht="15" hidden="false" customHeight="true" outlineLevel="0" collapsed="false">
      <c r="A1824" s="1" t="s">
        <v>2145</v>
      </c>
      <c r="B1824" s="1" t="n">
        <v>86</v>
      </c>
    </row>
    <row r="1825" customFormat="false" ht="15" hidden="false" customHeight="true" outlineLevel="0" collapsed="false">
      <c r="A1825" s="1" t="s">
        <v>2147</v>
      </c>
      <c r="B1825" s="1" t="n">
        <v>86</v>
      </c>
    </row>
    <row r="1826" customFormat="false" ht="15" hidden="false" customHeight="true" outlineLevel="0" collapsed="false">
      <c r="A1826" s="1" t="s">
        <v>1367</v>
      </c>
      <c r="B1826" s="1" t="n">
        <v>85</v>
      </c>
    </row>
    <row r="1827" customFormat="false" ht="15" hidden="false" customHeight="true" outlineLevel="0" collapsed="false">
      <c r="A1827" s="1" t="s">
        <v>1184</v>
      </c>
      <c r="B1827" s="1" t="n">
        <v>85</v>
      </c>
    </row>
    <row r="1828" customFormat="false" ht="15" hidden="false" customHeight="true" outlineLevel="0" collapsed="false">
      <c r="A1828" s="1" t="s">
        <v>1103</v>
      </c>
      <c r="B1828" s="1" t="n">
        <v>85</v>
      </c>
    </row>
    <row r="1829" customFormat="false" ht="15" hidden="false" customHeight="true" outlineLevel="0" collapsed="false">
      <c r="A1829" s="1" t="s">
        <v>2150</v>
      </c>
      <c r="B1829" s="1" t="n">
        <v>85</v>
      </c>
    </row>
    <row r="1830" customFormat="false" ht="15" hidden="false" customHeight="true" outlineLevel="0" collapsed="false">
      <c r="A1830" s="1" t="s">
        <v>2154</v>
      </c>
      <c r="B1830" s="1" t="n">
        <v>85</v>
      </c>
    </row>
    <row r="1831" customFormat="false" ht="15" hidden="false" customHeight="true" outlineLevel="0" collapsed="false">
      <c r="A1831" s="1" t="s">
        <v>2156</v>
      </c>
      <c r="B1831" s="1" t="n">
        <v>85</v>
      </c>
    </row>
    <row r="1832" customFormat="false" ht="15" hidden="false" customHeight="true" outlineLevel="0" collapsed="false">
      <c r="A1832" s="1" t="s">
        <v>873</v>
      </c>
      <c r="B1832" s="1" t="n">
        <v>84</v>
      </c>
    </row>
    <row r="1833" customFormat="false" ht="15" hidden="false" customHeight="true" outlineLevel="0" collapsed="false">
      <c r="A1833" s="1" t="s">
        <v>1180</v>
      </c>
      <c r="B1833" s="1" t="n">
        <v>84</v>
      </c>
    </row>
    <row r="1834" customFormat="false" ht="15" hidden="false" customHeight="true" outlineLevel="0" collapsed="false">
      <c r="A1834" s="1" t="s">
        <v>965</v>
      </c>
      <c r="B1834" s="1" t="n">
        <v>84</v>
      </c>
    </row>
    <row r="1835" customFormat="false" ht="15" hidden="false" customHeight="true" outlineLevel="0" collapsed="false">
      <c r="A1835" s="1" t="s">
        <v>2163</v>
      </c>
      <c r="B1835" s="1" t="n">
        <v>84</v>
      </c>
    </row>
    <row r="1836" customFormat="false" ht="15" hidden="false" customHeight="true" outlineLevel="0" collapsed="false">
      <c r="A1836" s="1" t="s">
        <v>1514</v>
      </c>
      <c r="B1836" s="1" t="n">
        <v>83</v>
      </c>
    </row>
    <row r="1837" customFormat="false" ht="15" hidden="false" customHeight="true" outlineLevel="0" collapsed="false">
      <c r="A1837" s="1" t="s">
        <v>597</v>
      </c>
      <c r="B1837" s="1" t="n">
        <v>83</v>
      </c>
    </row>
    <row r="1838" customFormat="false" ht="15" hidden="false" customHeight="true" outlineLevel="0" collapsed="false">
      <c r="A1838" s="1" t="s">
        <v>943</v>
      </c>
      <c r="B1838" s="1" t="n">
        <v>83</v>
      </c>
    </row>
    <row r="1839" customFormat="false" ht="15" hidden="false" customHeight="true" outlineLevel="0" collapsed="false">
      <c r="A1839" s="1" t="s">
        <v>2174</v>
      </c>
      <c r="B1839" s="1" t="n">
        <v>83</v>
      </c>
    </row>
    <row r="1840" customFormat="false" ht="15" hidden="false" customHeight="true" outlineLevel="0" collapsed="false">
      <c r="A1840" s="1" t="s">
        <v>2177</v>
      </c>
      <c r="B1840" s="1" t="n">
        <v>83</v>
      </c>
    </row>
    <row r="1841" customFormat="false" ht="15" hidden="false" customHeight="true" outlineLevel="0" collapsed="false">
      <c r="A1841" s="1" t="s">
        <v>2179</v>
      </c>
      <c r="B1841" s="1" t="n">
        <v>83</v>
      </c>
    </row>
    <row r="1842" customFormat="false" ht="15" hidden="false" customHeight="true" outlineLevel="0" collapsed="false">
      <c r="A1842" s="1" t="s">
        <v>2181</v>
      </c>
      <c r="B1842" s="1" t="n">
        <v>83</v>
      </c>
    </row>
    <row r="1843" customFormat="false" ht="15" hidden="false" customHeight="true" outlineLevel="0" collapsed="false">
      <c r="A1843" s="1" t="s">
        <v>2184</v>
      </c>
      <c r="B1843" s="1" t="n">
        <v>83</v>
      </c>
    </row>
    <row r="1844" customFormat="false" ht="15" hidden="false" customHeight="true" outlineLevel="0" collapsed="false">
      <c r="A1844" s="1" t="s">
        <v>1658</v>
      </c>
      <c r="B1844" s="1" t="n">
        <v>82</v>
      </c>
    </row>
    <row r="1845" customFormat="false" ht="15" hidden="false" customHeight="true" outlineLevel="0" collapsed="false">
      <c r="A1845" s="1" t="s">
        <v>594</v>
      </c>
      <c r="B1845" s="1" t="n">
        <v>82</v>
      </c>
    </row>
    <row r="1846" customFormat="false" ht="15" hidden="false" customHeight="true" outlineLevel="0" collapsed="false">
      <c r="A1846" s="1" t="s">
        <v>1779</v>
      </c>
      <c r="B1846" s="1" t="n">
        <v>82</v>
      </c>
    </row>
    <row r="1847" customFormat="false" ht="15" hidden="false" customHeight="true" outlineLevel="0" collapsed="false">
      <c r="A1847" s="1" t="s">
        <v>2046</v>
      </c>
      <c r="B1847" s="1" t="n">
        <v>82</v>
      </c>
    </row>
    <row r="1848" customFormat="false" ht="15" hidden="false" customHeight="true" outlineLevel="0" collapsed="false">
      <c r="A1848" s="1" t="s">
        <v>2197</v>
      </c>
      <c r="B1848" s="1" t="n">
        <v>82</v>
      </c>
    </row>
    <row r="1849" customFormat="false" ht="15" hidden="false" customHeight="true" outlineLevel="0" collapsed="false">
      <c r="A1849" s="1" t="s">
        <v>2200</v>
      </c>
      <c r="B1849" s="1" t="n">
        <v>82</v>
      </c>
    </row>
    <row r="1850" customFormat="false" ht="15" hidden="false" customHeight="true" outlineLevel="0" collapsed="false">
      <c r="A1850" s="1" t="s">
        <v>2203</v>
      </c>
      <c r="B1850" s="1" t="n">
        <v>82</v>
      </c>
    </row>
    <row r="1851" customFormat="false" ht="15" hidden="false" customHeight="true" outlineLevel="0" collapsed="false">
      <c r="A1851" s="1" t="s">
        <v>2205</v>
      </c>
      <c r="B1851" s="1" t="n">
        <v>82</v>
      </c>
    </row>
    <row r="1852" customFormat="false" ht="15" hidden="false" customHeight="true" outlineLevel="0" collapsed="false">
      <c r="A1852" s="1" t="s">
        <v>209</v>
      </c>
      <c r="B1852" s="1" t="n">
        <v>81</v>
      </c>
    </row>
    <row r="1853" customFormat="false" ht="15" hidden="false" customHeight="true" outlineLevel="0" collapsed="false">
      <c r="A1853" s="1" t="s">
        <v>2223</v>
      </c>
      <c r="B1853" s="1" t="n">
        <v>81</v>
      </c>
    </row>
    <row r="1854" customFormat="false" ht="15" hidden="false" customHeight="true" outlineLevel="0" collapsed="false">
      <c r="A1854" s="1" t="s">
        <v>2225</v>
      </c>
      <c r="B1854" s="1" t="n">
        <v>81</v>
      </c>
    </row>
    <row r="1855" customFormat="false" ht="15" hidden="false" customHeight="true" outlineLevel="0" collapsed="false">
      <c r="A1855" s="1" t="s">
        <v>1888</v>
      </c>
      <c r="B1855" s="1" t="n">
        <v>80</v>
      </c>
    </row>
    <row r="1856" customFormat="false" ht="15" hidden="false" customHeight="true" outlineLevel="0" collapsed="false">
      <c r="A1856" s="1" t="s">
        <v>1341</v>
      </c>
      <c r="B1856" s="1" t="n">
        <v>80</v>
      </c>
    </row>
    <row r="1857" customFormat="false" ht="15" hidden="false" customHeight="true" outlineLevel="0" collapsed="false">
      <c r="A1857" s="1" t="s">
        <v>1425</v>
      </c>
      <c r="B1857" s="1" t="n">
        <v>80</v>
      </c>
    </row>
    <row r="1858" customFormat="false" ht="15" hidden="false" customHeight="true" outlineLevel="0" collapsed="false">
      <c r="A1858" s="1" t="s">
        <v>934</v>
      </c>
      <c r="B1858" s="1" t="n">
        <v>80</v>
      </c>
    </row>
    <row r="1859" customFormat="false" ht="15" hidden="false" customHeight="true" outlineLevel="0" collapsed="false">
      <c r="A1859" s="1" t="s">
        <v>1319</v>
      </c>
      <c r="B1859" s="1" t="n">
        <v>80</v>
      </c>
    </row>
    <row r="1860" customFormat="false" ht="15" hidden="false" customHeight="true" outlineLevel="0" collapsed="false">
      <c r="A1860" s="1" t="s">
        <v>2236</v>
      </c>
      <c r="B1860" s="1" t="n">
        <v>80</v>
      </c>
    </row>
    <row r="1861" customFormat="false" ht="15" hidden="false" customHeight="true" outlineLevel="0" collapsed="false">
      <c r="A1861" s="1" t="s">
        <v>978</v>
      </c>
      <c r="B1861" s="1" t="n">
        <v>79</v>
      </c>
    </row>
    <row r="1862" customFormat="false" ht="15" hidden="false" customHeight="true" outlineLevel="0" collapsed="false">
      <c r="A1862" s="1" t="s">
        <v>2246</v>
      </c>
      <c r="B1862" s="1" t="n">
        <v>79</v>
      </c>
    </row>
    <row r="1863" customFormat="false" ht="15" hidden="false" customHeight="true" outlineLevel="0" collapsed="false">
      <c r="A1863" s="1" t="s">
        <v>2248</v>
      </c>
      <c r="B1863" s="1" t="n">
        <v>79</v>
      </c>
    </row>
    <row r="1864" customFormat="false" ht="15" hidden="false" customHeight="true" outlineLevel="0" collapsed="false">
      <c r="A1864" s="1" t="s">
        <v>2250</v>
      </c>
      <c r="B1864" s="1" t="n">
        <v>79</v>
      </c>
    </row>
    <row r="1865" customFormat="false" ht="15" hidden="false" customHeight="true" outlineLevel="0" collapsed="false">
      <c r="A1865" s="1" t="s">
        <v>2253</v>
      </c>
      <c r="B1865" s="1" t="n">
        <v>79</v>
      </c>
    </row>
    <row r="1866" customFormat="false" ht="15" hidden="false" customHeight="true" outlineLevel="0" collapsed="false">
      <c r="A1866" s="1" t="s">
        <v>1721</v>
      </c>
      <c r="B1866" s="1" t="n">
        <v>78</v>
      </c>
    </row>
    <row r="1867" customFormat="false" ht="15" hidden="false" customHeight="true" outlineLevel="0" collapsed="false">
      <c r="A1867" s="1" t="s">
        <v>1094</v>
      </c>
      <c r="B1867" s="1" t="n">
        <v>78</v>
      </c>
    </row>
    <row r="1868" customFormat="false" ht="15" hidden="false" customHeight="true" outlineLevel="0" collapsed="false">
      <c r="A1868" s="1" t="s">
        <v>1046</v>
      </c>
      <c r="B1868" s="1" t="n">
        <v>78</v>
      </c>
    </row>
    <row r="1869" customFormat="false" ht="15" hidden="false" customHeight="true" outlineLevel="0" collapsed="false">
      <c r="A1869" s="1" t="s">
        <v>2262</v>
      </c>
      <c r="B1869" s="1" t="n">
        <v>78</v>
      </c>
    </row>
    <row r="1870" customFormat="false" ht="15" hidden="false" customHeight="true" outlineLevel="0" collapsed="false">
      <c r="A1870" s="1" t="s">
        <v>2264</v>
      </c>
      <c r="B1870" s="1" t="n">
        <v>78</v>
      </c>
    </row>
    <row r="1871" customFormat="false" ht="15" hidden="false" customHeight="true" outlineLevel="0" collapsed="false">
      <c r="A1871" s="1" t="s">
        <v>2267</v>
      </c>
      <c r="B1871" s="1" t="n">
        <v>78</v>
      </c>
    </row>
    <row r="1872" customFormat="false" ht="15" hidden="false" customHeight="true" outlineLevel="0" collapsed="false">
      <c r="A1872" s="1" t="s">
        <v>1763</v>
      </c>
      <c r="B1872" s="1" t="n">
        <v>77</v>
      </c>
    </row>
    <row r="1873" customFormat="false" ht="15" hidden="false" customHeight="true" outlineLevel="0" collapsed="false">
      <c r="A1873" s="1" t="s">
        <v>1738</v>
      </c>
      <c r="B1873" s="1" t="n">
        <v>77</v>
      </c>
    </row>
    <row r="1874" customFormat="false" ht="15" hidden="false" customHeight="true" outlineLevel="0" collapsed="false">
      <c r="A1874" s="1" t="s">
        <v>1966</v>
      </c>
      <c r="B1874" s="1" t="n">
        <v>77</v>
      </c>
    </row>
    <row r="1875" customFormat="false" ht="15" hidden="false" customHeight="true" outlineLevel="0" collapsed="false">
      <c r="A1875" s="1" t="s">
        <v>1612</v>
      </c>
      <c r="B1875" s="1" t="n">
        <v>77</v>
      </c>
    </row>
    <row r="1876" customFormat="false" ht="15" hidden="false" customHeight="true" outlineLevel="0" collapsed="false">
      <c r="A1876" s="1" t="s">
        <v>2273</v>
      </c>
      <c r="B1876" s="1" t="n">
        <v>77</v>
      </c>
    </row>
    <row r="1877" customFormat="false" ht="15" hidden="false" customHeight="true" outlineLevel="0" collapsed="false">
      <c r="A1877" s="1" t="s">
        <v>2275</v>
      </c>
      <c r="B1877" s="1" t="n">
        <v>77</v>
      </c>
    </row>
    <row r="1878" customFormat="false" ht="15" hidden="false" customHeight="true" outlineLevel="0" collapsed="false">
      <c r="A1878" s="1" t="s">
        <v>2277</v>
      </c>
      <c r="B1878" s="1" t="n">
        <v>77</v>
      </c>
    </row>
    <row r="1879" customFormat="false" ht="15" hidden="false" customHeight="true" outlineLevel="0" collapsed="false">
      <c r="A1879" s="1" t="s">
        <v>1760</v>
      </c>
      <c r="B1879" s="1" t="n">
        <v>76</v>
      </c>
    </row>
    <row r="1880" customFormat="false" ht="15" hidden="false" customHeight="true" outlineLevel="0" collapsed="false">
      <c r="A1880" s="1" t="s">
        <v>569</v>
      </c>
      <c r="B1880" s="1" t="n">
        <v>76</v>
      </c>
    </row>
    <row r="1881" customFormat="false" ht="15" hidden="false" customHeight="true" outlineLevel="0" collapsed="false">
      <c r="A1881" s="1" t="s">
        <v>456</v>
      </c>
      <c r="B1881" s="1" t="n">
        <v>76</v>
      </c>
    </row>
    <row r="1882" customFormat="false" ht="15" hidden="false" customHeight="true" outlineLevel="0" collapsed="false">
      <c r="A1882" s="1" t="s">
        <v>1503</v>
      </c>
      <c r="B1882" s="1" t="n">
        <v>76</v>
      </c>
    </row>
    <row r="1883" customFormat="false" ht="15" hidden="false" customHeight="true" outlineLevel="0" collapsed="false">
      <c r="A1883" s="1" t="s">
        <v>2286</v>
      </c>
      <c r="B1883" s="1" t="n">
        <v>76</v>
      </c>
    </row>
    <row r="1884" customFormat="false" ht="15" hidden="false" customHeight="true" outlineLevel="0" collapsed="false">
      <c r="A1884" s="1" t="s">
        <v>2288</v>
      </c>
      <c r="B1884" s="1" t="n">
        <v>76</v>
      </c>
    </row>
    <row r="1885" customFormat="false" ht="15" hidden="false" customHeight="true" outlineLevel="0" collapsed="false">
      <c r="A1885" s="1" t="s">
        <v>2297</v>
      </c>
      <c r="B1885" s="1" t="n">
        <v>75</v>
      </c>
    </row>
    <row r="1886" customFormat="false" ht="15" hidden="false" customHeight="true" outlineLevel="0" collapsed="false">
      <c r="A1886" s="1" t="s">
        <v>2299</v>
      </c>
      <c r="B1886" s="1" t="n">
        <v>75</v>
      </c>
    </row>
    <row r="1887" customFormat="false" ht="15" hidden="false" customHeight="true" outlineLevel="0" collapsed="false">
      <c r="A1887" s="1" t="s">
        <v>631</v>
      </c>
      <c r="B1887" s="1" t="n">
        <v>74</v>
      </c>
    </row>
    <row r="1888" customFormat="false" ht="15" hidden="false" customHeight="true" outlineLevel="0" collapsed="false">
      <c r="A1888" s="1" t="s">
        <v>1148</v>
      </c>
      <c r="B1888" s="1" t="n">
        <v>74</v>
      </c>
    </row>
    <row r="1889" customFormat="false" ht="15" hidden="false" customHeight="true" outlineLevel="0" collapsed="false">
      <c r="A1889" s="1" t="s">
        <v>924</v>
      </c>
      <c r="B1889" s="1" t="n">
        <v>74</v>
      </c>
    </row>
    <row r="1890" customFormat="false" ht="15" hidden="false" customHeight="true" outlineLevel="0" collapsed="false">
      <c r="A1890" s="1" t="s">
        <v>1297</v>
      </c>
      <c r="B1890" s="1" t="n">
        <v>74</v>
      </c>
    </row>
    <row r="1891" customFormat="false" ht="15" hidden="false" customHeight="true" outlineLevel="0" collapsed="false">
      <c r="A1891" s="1" t="s">
        <v>2306</v>
      </c>
      <c r="B1891" s="1" t="n">
        <v>74</v>
      </c>
    </row>
    <row r="1892" customFormat="false" ht="15" hidden="false" customHeight="true" outlineLevel="0" collapsed="false">
      <c r="A1892" s="1" t="s">
        <v>2308</v>
      </c>
      <c r="B1892" s="1" t="n">
        <v>74</v>
      </c>
    </row>
    <row r="1893" customFormat="false" ht="15" hidden="false" customHeight="true" outlineLevel="0" collapsed="false">
      <c r="A1893" s="1" t="s">
        <v>2310</v>
      </c>
      <c r="B1893" s="1" t="n">
        <v>74</v>
      </c>
    </row>
    <row r="1894" customFormat="false" ht="15" hidden="false" customHeight="true" outlineLevel="0" collapsed="false">
      <c r="A1894" s="1" t="s">
        <v>2313</v>
      </c>
      <c r="B1894" s="1" t="n">
        <v>74</v>
      </c>
    </row>
    <row r="1895" customFormat="false" ht="15" hidden="false" customHeight="true" outlineLevel="0" collapsed="false">
      <c r="A1895" s="1" t="s">
        <v>2315</v>
      </c>
      <c r="B1895" s="1" t="n">
        <v>74</v>
      </c>
    </row>
    <row r="1896" customFormat="false" ht="15" hidden="false" customHeight="true" outlineLevel="0" collapsed="false">
      <c r="A1896" s="1" t="s">
        <v>2086</v>
      </c>
      <c r="B1896" s="1" t="n">
        <v>73</v>
      </c>
    </row>
    <row r="1897" customFormat="false" ht="15" hidden="false" customHeight="true" outlineLevel="0" collapsed="false">
      <c r="A1897" s="1" t="s">
        <v>1840</v>
      </c>
      <c r="B1897" s="1" t="n">
        <v>73</v>
      </c>
    </row>
    <row r="1898" customFormat="false" ht="15" hidden="false" customHeight="true" outlineLevel="0" collapsed="false">
      <c r="A1898" s="1" t="s">
        <v>1730</v>
      </c>
      <c r="B1898" s="1" t="n">
        <v>73</v>
      </c>
    </row>
    <row r="1899" customFormat="false" ht="15" hidden="false" customHeight="true" outlineLevel="0" collapsed="false">
      <c r="A1899" s="1" t="s">
        <v>1547</v>
      </c>
      <c r="B1899" s="1" t="n">
        <v>73</v>
      </c>
    </row>
    <row r="1900" customFormat="false" ht="15" hidden="false" customHeight="true" outlineLevel="0" collapsed="false">
      <c r="A1900" s="1" t="s">
        <v>2323</v>
      </c>
      <c r="B1900" s="1" t="n">
        <v>73</v>
      </c>
    </row>
    <row r="1901" customFormat="false" ht="15" hidden="false" customHeight="true" outlineLevel="0" collapsed="false">
      <c r="A1901" s="1" t="s">
        <v>2325</v>
      </c>
      <c r="B1901" s="1" t="n">
        <v>73</v>
      </c>
    </row>
    <row r="1902" customFormat="false" ht="15" hidden="false" customHeight="true" outlineLevel="0" collapsed="false">
      <c r="A1902" s="1" t="s">
        <v>2107</v>
      </c>
      <c r="B1902" s="1" t="n">
        <v>72</v>
      </c>
    </row>
    <row r="1903" customFormat="false" ht="15" hidden="false" customHeight="true" outlineLevel="0" collapsed="false">
      <c r="A1903" s="1" t="s">
        <v>1991</v>
      </c>
      <c r="B1903" s="1" t="n">
        <v>72</v>
      </c>
    </row>
    <row r="1904" customFormat="false" ht="15" hidden="false" customHeight="true" outlineLevel="0" collapsed="false">
      <c r="A1904" s="1" t="s">
        <v>1870</v>
      </c>
      <c r="B1904" s="1" t="n">
        <v>72</v>
      </c>
    </row>
    <row r="1905" customFormat="false" ht="15" hidden="false" customHeight="true" outlineLevel="0" collapsed="false">
      <c r="A1905" s="1" t="s">
        <v>1478</v>
      </c>
      <c r="B1905" s="1" t="n">
        <v>71</v>
      </c>
    </row>
    <row r="1906" customFormat="false" ht="15" hidden="false" customHeight="true" outlineLevel="0" collapsed="false">
      <c r="A1906" s="1" t="s">
        <v>2336</v>
      </c>
      <c r="B1906" s="1" t="n">
        <v>71</v>
      </c>
    </row>
    <row r="1907" customFormat="false" ht="15" hidden="false" customHeight="true" outlineLevel="0" collapsed="false">
      <c r="A1907" s="1" t="s">
        <v>2338</v>
      </c>
      <c r="B1907" s="1" t="n">
        <v>71</v>
      </c>
    </row>
    <row r="1908" customFormat="false" ht="15" hidden="false" customHeight="true" outlineLevel="0" collapsed="false">
      <c r="A1908" s="1" t="s">
        <v>2056</v>
      </c>
      <c r="B1908" s="1" t="n">
        <v>70</v>
      </c>
    </row>
    <row r="1909" customFormat="false" ht="15" hidden="false" customHeight="true" outlineLevel="0" collapsed="false">
      <c r="A1909" s="1" t="s">
        <v>1789</v>
      </c>
      <c r="B1909" s="1" t="n">
        <v>70</v>
      </c>
    </row>
    <row r="1910" customFormat="false" ht="15" hidden="false" customHeight="true" outlineLevel="0" collapsed="false">
      <c r="A1910" s="1" t="s">
        <v>1608</v>
      </c>
      <c r="B1910" s="1" t="n">
        <v>70</v>
      </c>
    </row>
    <row r="1911" customFormat="false" ht="15" hidden="false" customHeight="true" outlineLevel="0" collapsed="false">
      <c r="A1911" s="1" t="s">
        <v>1586</v>
      </c>
      <c r="B1911" s="1" t="n">
        <v>70</v>
      </c>
    </row>
    <row r="1912" customFormat="false" ht="15" hidden="false" customHeight="true" outlineLevel="0" collapsed="false">
      <c r="A1912" s="1" t="s">
        <v>2350</v>
      </c>
      <c r="B1912" s="1" t="n">
        <v>70</v>
      </c>
    </row>
    <row r="1913" customFormat="false" ht="15" hidden="false" customHeight="true" outlineLevel="0" collapsed="false">
      <c r="A1913" s="1" t="s">
        <v>2352</v>
      </c>
      <c r="B1913" s="1" t="n">
        <v>70</v>
      </c>
    </row>
    <row r="1914" customFormat="false" ht="15" hidden="false" customHeight="true" outlineLevel="0" collapsed="false">
      <c r="A1914" s="1" t="s">
        <v>2354</v>
      </c>
      <c r="B1914" s="1" t="n">
        <v>70</v>
      </c>
    </row>
    <row r="1915" customFormat="false" ht="15" hidden="false" customHeight="true" outlineLevel="0" collapsed="false">
      <c r="A1915" s="1" t="s">
        <v>2357</v>
      </c>
      <c r="B1915" s="1" t="n">
        <v>70</v>
      </c>
    </row>
    <row r="1916" customFormat="false" ht="15" hidden="false" customHeight="true" outlineLevel="0" collapsed="false">
      <c r="A1916" s="1" t="s">
        <v>2360</v>
      </c>
      <c r="B1916" s="1" t="n">
        <v>70</v>
      </c>
    </row>
    <row r="1917" customFormat="false" ht="15" hidden="false" customHeight="true" outlineLevel="0" collapsed="false">
      <c r="A1917" s="1" t="s">
        <v>2362</v>
      </c>
      <c r="B1917" s="1" t="n">
        <v>70</v>
      </c>
    </row>
    <row r="1918" customFormat="false" ht="15" hidden="false" customHeight="true" outlineLevel="0" collapsed="false">
      <c r="A1918" s="1" t="s">
        <v>1060</v>
      </c>
      <c r="B1918" s="1" t="n">
        <v>69</v>
      </c>
    </row>
    <row r="1919" customFormat="false" ht="15" hidden="false" customHeight="true" outlineLevel="0" collapsed="false">
      <c r="A1919" s="1" t="s">
        <v>2371</v>
      </c>
      <c r="B1919" s="1" t="n">
        <v>69</v>
      </c>
    </row>
    <row r="1920" customFormat="false" ht="15" hidden="false" customHeight="true" outlineLevel="0" collapsed="false">
      <c r="A1920" s="1" t="s">
        <v>2373</v>
      </c>
      <c r="B1920" s="1" t="n">
        <v>69</v>
      </c>
    </row>
    <row r="1921" customFormat="false" ht="15" hidden="false" customHeight="true" outlineLevel="0" collapsed="false">
      <c r="A1921" s="1" t="s">
        <v>2375</v>
      </c>
      <c r="B1921" s="1" t="n">
        <v>69</v>
      </c>
    </row>
    <row r="1922" customFormat="false" ht="15" hidden="false" customHeight="true" outlineLevel="0" collapsed="false">
      <c r="A1922" s="1" t="s">
        <v>2377</v>
      </c>
      <c r="B1922" s="1" t="n">
        <v>69</v>
      </c>
    </row>
    <row r="1923" customFormat="false" ht="15" hidden="false" customHeight="true" outlineLevel="0" collapsed="false">
      <c r="A1923" s="1" t="s">
        <v>2380</v>
      </c>
      <c r="B1923" s="1" t="n">
        <v>69</v>
      </c>
    </row>
    <row r="1924" customFormat="false" ht="15" hidden="false" customHeight="true" outlineLevel="0" collapsed="false">
      <c r="A1924" s="1" t="s">
        <v>1284</v>
      </c>
      <c r="B1924" s="1" t="n">
        <v>69</v>
      </c>
    </row>
    <row r="1925" customFormat="false" ht="15" hidden="false" customHeight="true" outlineLevel="0" collapsed="false">
      <c r="A1925" s="1" t="s">
        <v>2383</v>
      </c>
      <c r="B1925" s="1" t="n">
        <v>69</v>
      </c>
    </row>
    <row r="1926" customFormat="false" ht="15" hidden="false" customHeight="true" outlineLevel="0" collapsed="false">
      <c r="A1926" s="1" t="s">
        <v>1940</v>
      </c>
      <c r="B1926" s="1" t="n">
        <v>68</v>
      </c>
    </row>
    <row r="1927" customFormat="false" ht="15" hidden="false" customHeight="true" outlineLevel="0" collapsed="false">
      <c r="A1927" s="1" t="s">
        <v>1787</v>
      </c>
      <c r="B1927" s="1" t="n">
        <v>68</v>
      </c>
    </row>
    <row r="1928" customFormat="false" ht="15" hidden="false" customHeight="true" outlineLevel="0" collapsed="false">
      <c r="A1928" s="1" t="s">
        <v>2196</v>
      </c>
      <c r="B1928" s="1" t="n">
        <v>68</v>
      </c>
    </row>
    <row r="1929" customFormat="false" ht="15" hidden="false" customHeight="true" outlineLevel="0" collapsed="false">
      <c r="A1929" s="1" t="s">
        <v>2065</v>
      </c>
      <c r="B1929" s="1" t="n">
        <v>68</v>
      </c>
    </row>
    <row r="1930" customFormat="false" ht="15" hidden="false" customHeight="true" outlineLevel="0" collapsed="false">
      <c r="A1930" s="1" t="s">
        <v>1243</v>
      </c>
      <c r="B1930" s="1" t="n">
        <v>68</v>
      </c>
    </row>
    <row r="1931" customFormat="false" ht="15" hidden="false" customHeight="true" outlineLevel="0" collapsed="false">
      <c r="A1931" s="1" t="s">
        <v>1109</v>
      </c>
      <c r="B1931" s="1" t="n">
        <v>68</v>
      </c>
    </row>
    <row r="1932" customFormat="false" ht="15" hidden="false" customHeight="true" outlineLevel="0" collapsed="false">
      <c r="A1932" s="1" t="s">
        <v>2390</v>
      </c>
      <c r="B1932" s="1" t="n">
        <v>68</v>
      </c>
    </row>
    <row r="1933" customFormat="false" ht="15" hidden="false" customHeight="true" outlineLevel="0" collapsed="false">
      <c r="A1933" s="1" t="s">
        <v>2392</v>
      </c>
      <c r="B1933" s="1" t="n">
        <v>68</v>
      </c>
    </row>
    <row r="1934" customFormat="false" ht="15" hidden="false" customHeight="true" outlineLevel="0" collapsed="false">
      <c r="A1934" s="1" t="s">
        <v>2394</v>
      </c>
      <c r="B1934" s="1" t="n">
        <v>68</v>
      </c>
    </row>
    <row r="1935" customFormat="false" ht="15" hidden="false" customHeight="true" outlineLevel="0" collapsed="false">
      <c r="A1935" s="1" t="s">
        <v>2398</v>
      </c>
      <c r="B1935" s="1" t="n">
        <v>68</v>
      </c>
    </row>
    <row r="1936" customFormat="false" ht="15" hidden="false" customHeight="true" outlineLevel="0" collapsed="false">
      <c r="A1936" s="1" t="s">
        <v>2369</v>
      </c>
      <c r="B1936" s="1" t="n">
        <v>67</v>
      </c>
    </row>
    <row r="1937" customFormat="false" ht="15" hidden="false" customHeight="true" outlineLevel="0" collapsed="false">
      <c r="A1937" s="1" t="s">
        <v>1535</v>
      </c>
      <c r="B1937" s="1" t="n">
        <v>67</v>
      </c>
    </row>
    <row r="1938" customFormat="false" ht="15" hidden="false" customHeight="true" outlineLevel="0" collapsed="false">
      <c r="A1938" s="1" t="s">
        <v>259</v>
      </c>
      <c r="B1938" s="1" t="n">
        <v>67</v>
      </c>
    </row>
    <row r="1939" customFormat="false" ht="15" hidden="false" customHeight="true" outlineLevel="0" collapsed="false">
      <c r="A1939" s="1" t="s">
        <v>1039</v>
      </c>
      <c r="B1939" s="1" t="n">
        <v>67</v>
      </c>
    </row>
    <row r="1940" customFormat="false" ht="15" hidden="false" customHeight="true" outlineLevel="0" collapsed="false">
      <c r="A1940" s="1" t="s">
        <v>2402</v>
      </c>
      <c r="B1940" s="1" t="n">
        <v>67</v>
      </c>
    </row>
    <row r="1941" customFormat="false" ht="15" hidden="false" customHeight="true" outlineLevel="0" collapsed="false">
      <c r="A1941" s="1" t="s">
        <v>2411</v>
      </c>
      <c r="B1941" s="1" t="n">
        <v>66</v>
      </c>
    </row>
    <row r="1942" customFormat="false" ht="15" hidden="false" customHeight="true" outlineLevel="0" collapsed="false">
      <c r="A1942" s="1" t="s">
        <v>1636</v>
      </c>
      <c r="B1942" s="1" t="n">
        <v>66</v>
      </c>
    </row>
    <row r="1943" customFormat="false" ht="15" hidden="false" customHeight="true" outlineLevel="0" collapsed="false">
      <c r="A1943" s="1" t="s">
        <v>1853</v>
      </c>
      <c r="B1943" s="1" t="n">
        <v>66</v>
      </c>
    </row>
    <row r="1944" customFormat="false" ht="15" hidden="false" customHeight="true" outlineLevel="0" collapsed="false">
      <c r="A1944" s="1" t="s">
        <v>675</v>
      </c>
      <c r="B1944" s="1" t="n">
        <v>66</v>
      </c>
    </row>
    <row r="1945" customFormat="false" ht="15" hidden="false" customHeight="true" outlineLevel="0" collapsed="false">
      <c r="A1945" s="1" t="s">
        <v>2412</v>
      </c>
      <c r="B1945" s="1" t="n">
        <v>66</v>
      </c>
    </row>
    <row r="1946" customFormat="false" ht="15" hidden="false" customHeight="true" outlineLevel="0" collapsed="false">
      <c r="A1946" s="1" t="s">
        <v>2414</v>
      </c>
      <c r="B1946" s="1" t="n">
        <v>66</v>
      </c>
    </row>
    <row r="1947" customFormat="false" ht="15" hidden="false" customHeight="true" outlineLevel="0" collapsed="false">
      <c r="A1947" s="1" t="s">
        <v>2416</v>
      </c>
      <c r="B1947" s="1" t="n">
        <v>66</v>
      </c>
    </row>
    <row r="1948" customFormat="false" ht="15" hidden="false" customHeight="true" outlineLevel="0" collapsed="false">
      <c r="A1948" s="1" t="s">
        <v>1916</v>
      </c>
      <c r="B1948" s="1" t="n">
        <v>65</v>
      </c>
    </row>
    <row r="1949" customFormat="false" ht="15" hidden="false" customHeight="true" outlineLevel="0" collapsed="false">
      <c r="A1949" s="1" t="s">
        <v>2063</v>
      </c>
      <c r="B1949" s="1" t="n">
        <v>65</v>
      </c>
    </row>
    <row r="1950" customFormat="false" ht="15" hidden="false" customHeight="true" outlineLevel="0" collapsed="false">
      <c r="A1950" s="1" t="s">
        <v>1169</v>
      </c>
      <c r="B1950" s="1" t="n">
        <v>65</v>
      </c>
    </row>
    <row r="1951" customFormat="false" ht="15" hidden="false" customHeight="true" outlineLevel="0" collapsed="false">
      <c r="A1951" s="1" t="s">
        <v>903</v>
      </c>
      <c r="B1951" s="1" t="n">
        <v>65</v>
      </c>
    </row>
    <row r="1952" customFormat="false" ht="15" hidden="false" customHeight="true" outlineLevel="0" collapsed="false">
      <c r="A1952" s="1" t="s">
        <v>1295</v>
      </c>
      <c r="B1952" s="1" t="n">
        <v>65</v>
      </c>
    </row>
    <row r="1953" customFormat="false" ht="15" hidden="false" customHeight="true" outlineLevel="0" collapsed="false">
      <c r="A1953" s="1" t="s">
        <v>1009</v>
      </c>
      <c r="B1953" s="1" t="n">
        <v>65</v>
      </c>
    </row>
    <row r="1954" customFormat="false" ht="15" hidden="false" customHeight="true" outlineLevel="0" collapsed="false">
      <c r="A1954" s="1" t="s">
        <v>2422</v>
      </c>
      <c r="B1954" s="1" t="n">
        <v>65</v>
      </c>
    </row>
    <row r="1955" customFormat="false" ht="15" hidden="false" customHeight="true" outlineLevel="0" collapsed="false">
      <c r="A1955" s="1" t="s">
        <v>2424</v>
      </c>
      <c r="B1955" s="1" t="n">
        <v>65</v>
      </c>
    </row>
    <row r="1956" customFormat="false" ht="15" hidden="false" customHeight="true" outlineLevel="0" collapsed="false">
      <c r="A1956" s="1" t="s">
        <v>1477</v>
      </c>
      <c r="B1956" s="1" t="n">
        <v>64</v>
      </c>
    </row>
    <row r="1957" customFormat="false" ht="15" hidden="false" customHeight="true" outlineLevel="0" collapsed="false">
      <c r="A1957" s="1" t="s">
        <v>2044</v>
      </c>
      <c r="B1957" s="1" t="n">
        <v>64</v>
      </c>
    </row>
    <row r="1958" customFormat="false" ht="15" hidden="false" customHeight="true" outlineLevel="0" collapsed="false">
      <c r="A1958" s="1" t="s">
        <v>2106</v>
      </c>
      <c r="B1958" s="1" t="n">
        <v>64</v>
      </c>
    </row>
    <row r="1959" customFormat="false" ht="15" hidden="false" customHeight="true" outlineLevel="0" collapsed="false">
      <c r="A1959" s="1" t="s">
        <v>1269</v>
      </c>
      <c r="B1959" s="1" t="n">
        <v>64</v>
      </c>
    </row>
    <row r="1960" customFormat="false" ht="15" hidden="false" customHeight="true" outlineLevel="0" collapsed="false">
      <c r="A1960" s="1" t="s">
        <v>932</v>
      </c>
      <c r="B1960" s="1" t="n">
        <v>64</v>
      </c>
    </row>
    <row r="1961" customFormat="false" ht="15" hidden="false" customHeight="true" outlineLevel="0" collapsed="false">
      <c r="A1961" s="1" t="s">
        <v>2296</v>
      </c>
      <c r="B1961" s="1" t="n">
        <v>64</v>
      </c>
    </row>
    <row r="1962" customFormat="false" ht="15" hidden="false" customHeight="true" outlineLevel="0" collapsed="false">
      <c r="A1962" s="1" t="s">
        <v>833</v>
      </c>
      <c r="B1962" s="1" t="n">
        <v>64</v>
      </c>
    </row>
    <row r="1963" customFormat="false" ht="15" hidden="false" customHeight="true" outlineLevel="0" collapsed="false">
      <c r="A1963" s="1" t="s">
        <v>2430</v>
      </c>
      <c r="B1963" s="1" t="n">
        <v>64</v>
      </c>
    </row>
    <row r="1964" customFormat="false" ht="15" hidden="false" customHeight="true" outlineLevel="0" collapsed="false">
      <c r="A1964" s="1" t="s">
        <v>1820</v>
      </c>
      <c r="B1964" s="1" t="n">
        <v>63</v>
      </c>
    </row>
    <row r="1965" customFormat="false" ht="15" hidden="false" customHeight="true" outlineLevel="0" collapsed="false">
      <c r="A1965" s="1" t="s">
        <v>1554</v>
      </c>
      <c r="B1965" s="1" t="n">
        <v>63</v>
      </c>
    </row>
    <row r="1966" customFormat="false" ht="15" hidden="false" customHeight="true" outlineLevel="0" collapsed="false">
      <c r="A1966" s="1" t="s">
        <v>1834</v>
      </c>
      <c r="B1966" s="1" t="n">
        <v>63</v>
      </c>
    </row>
    <row r="1967" customFormat="false" ht="15" hidden="false" customHeight="true" outlineLevel="0" collapsed="false">
      <c r="A1967" s="1" t="s">
        <v>2043</v>
      </c>
      <c r="B1967" s="1" t="n">
        <v>63</v>
      </c>
    </row>
    <row r="1968" customFormat="false" ht="15" hidden="false" customHeight="true" outlineLevel="0" collapsed="false">
      <c r="A1968" s="1" t="s">
        <v>891</v>
      </c>
      <c r="B1968" s="1" t="n">
        <v>63</v>
      </c>
    </row>
    <row r="1969" customFormat="false" ht="15" hidden="false" customHeight="true" outlineLevel="0" collapsed="false">
      <c r="A1969" s="1" t="s">
        <v>2436</v>
      </c>
      <c r="B1969" s="1" t="n">
        <v>63</v>
      </c>
    </row>
    <row r="1970" customFormat="false" ht="15" hidden="false" customHeight="true" outlineLevel="0" collapsed="false">
      <c r="A1970" s="1" t="s">
        <v>2438</v>
      </c>
      <c r="B1970" s="1" t="n">
        <v>63</v>
      </c>
    </row>
    <row r="1971" customFormat="false" ht="15" hidden="false" customHeight="true" outlineLevel="0" collapsed="false">
      <c r="A1971" s="1" t="s">
        <v>1563</v>
      </c>
      <c r="B1971" s="1" t="n">
        <v>62</v>
      </c>
    </row>
    <row r="1972" customFormat="false" ht="15" hidden="false" customHeight="true" outlineLevel="0" collapsed="false">
      <c r="A1972" s="1" t="s">
        <v>2104</v>
      </c>
      <c r="B1972" s="1" t="n">
        <v>62</v>
      </c>
    </row>
    <row r="1973" customFormat="false" ht="15" hidden="false" customHeight="true" outlineLevel="0" collapsed="false">
      <c r="A1973" s="1" t="s">
        <v>1591</v>
      </c>
      <c r="B1973" s="1" t="n">
        <v>62</v>
      </c>
    </row>
    <row r="1974" customFormat="false" ht="15" hidden="false" customHeight="true" outlineLevel="0" collapsed="false">
      <c r="A1974" s="1" t="s">
        <v>1525</v>
      </c>
      <c r="B1974" s="1" t="n">
        <v>61</v>
      </c>
    </row>
    <row r="1975" customFormat="false" ht="15" hidden="false" customHeight="true" outlineLevel="0" collapsed="false">
      <c r="A1975" s="1" t="s">
        <v>1372</v>
      </c>
      <c r="B1975" s="1" t="n">
        <v>61</v>
      </c>
    </row>
    <row r="1976" customFormat="false" ht="15" hidden="false" customHeight="true" outlineLevel="0" collapsed="false">
      <c r="A1976" s="1" t="s">
        <v>2443</v>
      </c>
      <c r="B1976" s="1" t="n">
        <v>61</v>
      </c>
    </row>
    <row r="1977" customFormat="false" ht="15" hidden="false" customHeight="true" outlineLevel="0" collapsed="false">
      <c r="A1977" s="1" t="s">
        <v>2445</v>
      </c>
      <c r="B1977" s="1" t="n">
        <v>61</v>
      </c>
    </row>
    <row r="1978" customFormat="false" ht="15" hidden="false" customHeight="true" outlineLevel="0" collapsed="false">
      <c r="A1978" s="1" t="s">
        <v>2447</v>
      </c>
      <c r="B1978" s="1" t="n">
        <v>61</v>
      </c>
    </row>
    <row r="1979" customFormat="false" ht="15" hidden="false" customHeight="true" outlineLevel="0" collapsed="false">
      <c r="A1979" s="1" t="s">
        <v>2054</v>
      </c>
      <c r="B1979" s="1" t="n">
        <v>60</v>
      </c>
    </row>
    <row r="1980" customFormat="false" ht="15" hidden="false" customHeight="true" outlineLevel="0" collapsed="false">
      <c r="A1980" s="1" t="s">
        <v>524</v>
      </c>
      <c r="B1980" s="1" t="n">
        <v>60</v>
      </c>
    </row>
    <row r="1981" customFormat="false" ht="15" hidden="false" customHeight="true" outlineLevel="0" collapsed="false">
      <c r="A1981" s="1" t="s">
        <v>1348</v>
      </c>
      <c r="B1981" s="1" t="n">
        <v>60</v>
      </c>
    </row>
    <row r="1982" customFormat="false" ht="15" hidden="false" customHeight="true" outlineLevel="0" collapsed="false">
      <c r="A1982" s="1" t="s">
        <v>2455</v>
      </c>
      <c r="B1982" s="1" t="n">
        <v>60</v>
      </c>
    </row>
    <row r="1983" customFormat="false" ht="15" hidden="false" customHeight="true" outlineLevel="0" collapsed="false">
      <c r="A1983" s="1" t="s">
        <v>2457</v>
      </c>
      <c r="B1983" s="1" t="n">
        <v>60</v>
      </c>
    </row>
    <row r="1984" customFormat="false" ht="15" hidden="false" customHeight="true" outlineLevel="0" collapsed="false">
      <c r="A1984" s="1" t="s">
        <v>2460</v>
      </c>
      <c r="B1984" s="1" t="n">
        <v>60</v>
      </c>
    </row>
    <row r="1985" customFormat="false" ht="15" hidden="false" customHeight="true" outlineLevel="0" collapsed="false">
      <c r="A1985" s="1" t="s">
        <v>2462</v>
      </c>
      <c r="B1985" s="1" t="n">
        <v>60</v>
      </c>
    </row>
    <row r="1986" customFormat="false" ht="15" hidden="false" customHeight="true" outlineLevel="0" collapsed="false">
      <c r="A1986" s="1" t="s">
        <v>2464</v>
      </c>
      <c r="B1986" s="1" t="n">
        <v>60</v>
      </c>
    </row>
    <row r="1987" customFormat="false" ht="15" hidden="false" customHeight="true" outlineLevel="0" collapsed="false">
      <c r="A1987" s="1" t="s">
        <v>2468</v>
      </c>
      <c r="B1987" s="1" t="n">
        <v>60</v>
      </c>
    </row>
    <row r="1988" customFormat="false" ht="15" hidden="false" customHeight="true" outlineLevel="0" collapsed="false">
      <c r="A1988" s="1" t="s">
        <v>2084</v>
      </c>
      <c r="B1988" s="1" t="n">
        <v>59</v>
      </c>
    </row>
    <row r="1989" customFormat="false" ht="15" hidden="false" customHeight="true" outlineLevel="0" collapsed="false">
      <c r="A1989" s="1" t="s">
        <v>1818</v>
      </c>
      <c r="B1989" s="1" t="n">
        <v>59</v>
      </c>
    </row>
    <row r="1990" customFormat="false" ht="15" hidden="false" customHeight="true" outlineLevel="0" collapsed="false">
      <c r="A1990" s="1" t="s">
        <v>2349</v>
      </c>
      <c r="B1990" s="1" t="n">
        <v>59</v>
      </c>
    </row>
    <row r="1991" customFormat="false" ht="15" hidden="false" customHeight="true" outlineLevel="0" collapsed="false">
      <c r="A1991" s="1" t="s">
        <v>856</v>
      </c>
      <c r="B1991" s="1" t="n">
        <v>59</v>
      </c>
    </row>
    <row r="1992" customFormat="false" ht="15" hidden="false" customHeight="true" outlineLevel="0" collapsed="false">
      <c r="A1992" s="1" t="s">
        <v>2479</v>
      </c>
      <c r="B1992" s="1" t="n">
        <v>59</v>
      </c>
    </row>
    <row r="1993" customFormat="false" ht="15" hidden="false" customHeight="true" outlineLevel="0" collapsed="false">
      <c r="A1993" s="1" t="s">
        <v>2139</v>
      </c>
      <c r="B1993" s="1" t="n">
        <v>58</v>
      </c>
    </row>
    <row r="1994" customFormat="false" ht="15" hidden="false" customHeight="true" outlineLevel="0" collapsed="false">
      <c r="A1994" s="1" t="s">
        <v>2052</v>
      </c>
      <c r="B1994" s="1" t="n">
        <v>58</v>
      </c>
    </row>
    <row r="1995" customFormat="false" ht="15" hidden="false" customHeight="true" outlineLevel="0" collapsed="false">
      <c r="A1995" s="1" t="s">
        <v>2399</v>
      </c>
      <c r="B1995" s="1" t="n">
        <v>58</v>
      </c>
    </row>
    <row r="1996" customFormat="false" ht="15" hidden="false" customHeight="true" outlineLevel="0" collapsed="false">
      <c r="A1996" s="1" t="s">
        <v>1635</v>
      </c>
      <c r="B1996" s="1" t="n">
        <v>58</v>
      </c>
    </row>
    <row r="1997" customFormat="false" ht="15" hidden="false" customHeight="true" outlineLevel="0" collapsed="false">
      <c r="A1997" s="1" t="s">
        <v>1777</v>
      </c>
      <c r="B1997" s="1" t="n">
        <v>58</v>
      </c>
    </row>
    <row r="1998" customFormat="false" ht="15" hidden="false" customHeight="true" outlineLevel="0" collapsed="false">
      <c r="A1998" s="1" t="s">
        <v>2487</v>
      </c>
      <c r="B1998" s="1" t="n">
        <v>58</v>
      </c>
    </row>
    <row r="1999" customFormat="false" ht="15" hidden="false" customHeight="true" outlineLevel="0" collapsed="false">
      <c r="A1999" s="1" t="s">
        <v>2490</v>
      </c>
      <c r="B1999" s="1" t="n">
        <v>58</v>
      </c>
    </row>
    <row r="2000" customFormat="false" ht="15" hidden="false" customHeight="true" outlineLevel="0" collapsed="false">
      <c r="A2000" s="1" t="s">
        <v>2492</v>
      </c>
      <c r="B2000" s="1" t="n">
        <v>58</v>
      </c>
    </row>
    <row r="2001" customFormat="false" ht="15" hidden="false" customHeight="true" outlineLevel="0" collapsed="false">
      <c r="A2001" s="1" t="s">
        <v>2494</v>
      </c>
      <c r="B2001" s="1" t="n">
        <v>58</v>
      </c>
    </row>
    <row r="2002" customFormat="false" ht="15" hidden="false" customHeight="true" outlineLevel="0" collapsed="false">
      <c r="A2002" s="1" t="s">
        <v>1965</v>
      </c>
      <c r="B2002" s="1" t="n">
        <v>57</v>
      </c>
    </row>
    <row r="2003" customFormat="false" ht="15" hidden="false" customHeight="true" outlineLevel="0" collapsed="false">
      <c r="A2003" s="1" t="s">
        <v>1753</v>
      </c>
      <c r="B2003" s="1" t="n">
        <v>57</v>
      </c>
    </row>
    <row r="2004" customFormat="false" ht="15" hidden="false" customHeight="true" outlineLevel="0" collapsed="false">
      <c r="A2004" s="1" t="s">
        <v>1233</v>
      </c>
      <c r="B2004" s="1" t="n">
        <v>57</v>
      </c>
    </row>
    <row r="2005" customFormat="false" ht="15" hidden="false" customHeight="true" outlineLevel="0" collapsed="false">
      <c r="A2005" s="1" t="s">
        <v>2500</v>
      </c>
      <c r="B2005" s="1" t="n">
        <v>57</v>
      </c>
    </row>
    <row r="2006" customFormat="false" ht="15" hidden="false" customHeight="true" outlineLevel="0" collapsed="false">
      <c r="A2006" s="1" t="s">
        <v>1727</v>
      </c>
      <c r="B2006" s="1" t="n">
        <v>56</v>
      </c>
    </row>
    <row r="2007" customFormat="false" ht="15" hidden="false" customHeight="true" outlineLevel="0" collapsed="false">
      <c r="A2007" s="1" t="s">
        <v>739</v>
      </c>
      <c r="B2007" s="1" t="n">
        <v>56</v>
      </c>
    </row>
    <row r="2008" customFormat="false" ht="15" hidden="false" customHeight="true" outlineLevel="0" collapsed="false">
      <c r="A2008" s="1" t="s">
        <v>1859</v>
      </c>
      <c r="B2008" s="1" t="n">
        <v>56</v>
      </c>
    </row>
    <row r="2009" customFormat="false" ht="15" hidden="false" customHeight="true" outlineLevel="0" collapsed="false">
      <c r="A2009" s="1" t="s">
        <v>2508</v>
      </c>
      <c r="B2009" s="1" t="n">
        <v>56</v>
      </c>
    </row>
    <row r="2010" customFormat="false" ht="15" hidden="false" customHeight="true" outlineLevel="0" collapsed="false">
      <c r="A2010" s="1" t="s">
        <v>2509</v>
      </c>
      <c r="B2010" s="1" t="n">
        <v>56</v>
      </c>
    </row>
    <row r="2011" customFormat="false" ht="15" hidden="false" customHeight="true" outlineLevel="0" collapsed="false">
      <c r="A2011" s="1" t="s">
        <v>2512</v>
      </c>
      <c r="B2011" s="1" t="n">
        <v>56</v>
      </c>
    </row>
    <row r="2012" customFormat="false" ht="15" hidden="false" customHeight="true" outlineLevel="0" collapsed="false">
      <c r="A2012" s="1" t="s">
        <v>2514</v>
      </c>
      <c r="B2012" s="1" t="n">
        <v>56</v>
      </c>
    </row>
    <row r="2013" customFormat="false" ht="15" hidden="false" customHeight="true" outlineLevel="0" collapsed="false">
      <c r="A2013" s="1" t="s">
        <v>1529</v>
      </c>
      <c r="B2013" s="1" t="n">
        <v>55</v>
      </c>
    </row>
    <row r="2014" customFormat="false" ht="15" hidden="false" customHeight="true" outlineLevel="0" collapsed="false">
      <c r="A2014" s="1" t="s">
        <v>2521</v>
      </c>
      <c r="B2014" s="1" t="n">
        <v>55</v>
      </c>
    </row>
    <row r="2015" customFormat="false" ht="15" hidden="false" customHeight="true" outlineLevel="0" collapsed="false">
      <c r="A2015" s="1" t="s">
        <v>2524</v>
      </c>
      <c r="B2015" s="1" t="n">
        <v>55</v>
      </c>
    </row>
    <row r="2016" customFormat="false" ht="15" hidden="false" customHeight="true" outlineLevel="0" collapsed="false">
      <c r="A2016" s="1" t="s">
        <v>2525</v>
      </c>
      <c r="B2016" s="1" t="n">
        <v>55</v>
      </c>
    </row>
    <row r="2017" customFormat="false" ht="15" hidden="false" customHeight="true" outlineLevel="0" collapsed="false">
      <c r="A2017" s="1" t="s">
        <v>2245</v>
      </c>
      <c r="B2017" s="1" t="n">
        <v>54</v>
      </c>
    </row>
    <row r="2018" customFormat="false" ht="15" hidden="false" customHeight="true" outlineLevel="0" collapsed="false">
      <c r="A2018" s="1" t="s">
        <v>823</v>
      </c>
      <c r="B2018" s="1" t="n">
        <v>54</v>
      </c>
    </row>
    <row r="2019" customFormat="false" ht="15" hidden="false" customHeight="true" outlineLevel="0" collapsed="false">
      <c r="A2019" s="1" t="s">
        <v>544</v>
      </c>
      <c r="B2019" s="1" t="n">
        <v>54</v>
      </c>
    </row>
    <row r="2020" customFormat="false" ht="15" hidden="false" customHeight="true" outlineLevel="0" collapsed="false">
      <c r="A2020" s="1" t="s">
        <v>2051</v>
      </c>
      <c r="B2020" s="1" t="n">
        <v>54</v>
      </c>
    </row>
    <row r="2021" customFormat="false" ht="15" hidden="false" customHeight="true" outlineLevel="0" collapsed="false">
      <c r="A2021" s="1" t="s">
        <v>1032</v>
      </c>
      <c r="B2021" s="1" t="n">
        <v>54</v>
      </c>
    </row>
    <row r="2022" customFormat="false" ht="15" hidden="false" customHeight="true" outlineLevel="0" collapsed="false">
      <c r="A2022" s="1" t="s">
        <v>1939</v>
      </c>
      <c r="B2022" s="1" t="n">
        <v>54</v>
      </c>
    </row>
    <row r="2023" customFormat="false" ht="15" hidden="false" customHeight="true" outlineLevel="0" collapsed="false">
      <c r="A2023" s="1" t="s">
        <v>1750</v>
      </c>
      <c r="B2023" s="1" t="n">
        <v>54</v>
      </c>
    </row>
    <row r="2024" customFormat="false" ht="15" hidden="false" customHeight="true" outlineLevel="0" collapsed="false">
      <c r="A2024" s="1" t="s">
        <v>2530</v>
      </c>
      <c r="B2024" s="1" t="n">
        <v>54</v>
      </c>
    </row>
    <row r="2025" customFormat="false" ht="15" hidden="false" customHeight="true" outlineLevel="0" collapsed="false">
      <c r="A2025" s="1" t="s">
        <v>2532</v>
      </c>
      <c r="B2025" s="1" t="n">
        <v>54</v>
      </c>
    </row>
    <row r="2026" customFormat="false" ht="15" hidden="false" customHeight="true" outlineLevel="0" collapsed="false">
      <c r="A2026" s="1" t="s">
        <v>2534</v>
      </c>
      <c r="B2026" s="1" t="n">
        <v>54</v>
      </c>
    </row>
    <row r="2027" customFormat="false" ht="15" hidden="false" customHeight="true" outlineLevel="0" collapsed="false">
      <c r="A2027" s="1" t="s">
        <v>2536</v>
      </c>
      <c r="B2027" s="1" t="n">
        <v>54</v>
      </c>
    </row>
    <row r="2028" customFormat="false" ht="15" hidden="false" customHeight="true" outlineLevel="0" collapsed="false">
      <c r="A2028" s="1" t="s">
        <v>2102</v>
      </c>
      <c r="B2028" s="1" t="n">
        <v>53</v>
      </c>
    </row>
    <row r="2029" customFormat="false" ht="15" hidden="false" customHeight="true" outlineLevel="0" collapsed="false">
      <c r="A2029" s="1" t="s">
        <v>1964</v>
      </c>
      <c r="B2029" s="1" t="n">
        <v>53</v>
      </c>
    </row>
    <row r="2030" customFormat="false" ht="15" hidden="false" customHeight="true" outlineLevel="0" collapsed="false">
      <c r="A2030" s="1" t="s">
        <v>2260</v>
      </c>
      <c r="B2030" s="1" t="n">
        <v>53</v>
      </c>
    </row>
    <row r="2031" customFormat="false" ht="15" hidden="false" customHeight="true" outlineLevel="0" collapsed="false">
      <c r="A2031" s="1" t="s">
        <v>1361</v>
      </c>
      <c r="B2031" s="1" t="n">
        <v>53</v>
      </c>
    </row>
    <row r="2032" customFormat="false" ht="15" hidden="false" customHeight="true" outlineLevel="0" collapsed="false">
      <c r="A2032" s="1" t="s">
        <v>1107</v>
      </c>
      <c r="B2032" s="1" t="n">
        <v>53</v>
      </c>
    </row>
    <row r="2033" customFormat="false" ht="15" hidden="false" customHeight="true" outlineLevel="0" collapsed="false">
      <c r="A2033" s="1" t="s">
        <v>1153</v>
      </c>
      <c r="B2033" s="1" t="n">
        <v>53</v>
      </c>
    </row>
    <row r="2034" customFormat="false" ht="15" hidden="false" customHeight="true" outlineLevel="0" collapsed="false">
      <c r="A2034" s="1" t="s">
        <v>1615</v>
      </c>
      <c r="B2034" s="1" t="n">
        <v>53</v>
      </c>
    </row>
    <row r="2035" customFormat="false" ht="15" hidden="false" customHeight="true" outlineLevel="0" collapsed="false">
      <c r="A2035" s="1" t="s">
        <v>1588</v>
      </c>
      <c r="B2035" s="1" t="n">
        <v>53</v>
      </c>
    </row>
    <row r="2036" customFormat="false" ht="15" hidden="false" customHeight="true" outlineLevel="0" collapsed="false">
      <c r="A2036" s="1" t="s">
        <v>2547</v>
      </c>
      <c r="B2036" s="1" t="n">
        <v>53</v>
      </c>
    </row>
    <row r="2037" customFormat="false" ht="15" hidden="false" customHeight="true" outlineLevel="0" collapsed="false">
      <c r="A2037" s="1" t="s">
        <v>2549</v>
      </c>
      <c r="B2037" s="1" t="n">
        <v>53</v>
      </c>
    </row>
    <row r="2038" customFormat="false" ht="15" hidden="false" customHeight="true" outlineLevel="0" collapsed="false">
      <c r="A2038" s="1" t="s">
        <v>1719</v>
      </c>
      <c r="B2038" s="1" t="n">
        <v>52</v>
      </c>
    </row>
    <row r="2039" customFormat="false" ht="15" hidden="false" customHeight="true" outlineLevel="0" collapsed="false">
      <c r="A2039" s="1" t="s">
        <v>1989</v>
      </c>
      <c r="B2039" s="1" t="n">
        <v>52</v>
      </c>
    </row>
    <row r="2040" customFormat="false" ht="15" hidden="false" customHeight="true" outlineLevel="0" collapsed="false">
      <c r="A2040" s="1" t="s">
        <v>915</v>
      </c>
      <c r="B2040" s="1" t="n">
        <v>52</v>
      </c>
    </row>
    <row r="2041" customFormat="false" ht="15" hidden="false" customHeight="true" outlineLevel="0" collapsed="false">
      <c r="A2041" s="1" t="s">
        <v>853</v>
      </c>
      <c r="B2041" s="1" t="n">
        <v>52</v>
      </c>
    </row>
    <row r="2042" customFormat="false" ht="15" hidden="false" customHeight="true" outlineLevel="0" collapsed="false">
      <c r="A2042" s="1" t="s">
        <v>1006</v>
      </c>
      <c r="B2042" s="1" t="n">
        <v>52</v>
      </c>
    </row>
    <row r="2043" customFormat="false" ht="15" hidden="false" customHeight="true" outlineLevel="0" collapsed="false">
      <c r="A2043" s="1" t="s">
        <v>1815</v>
      </c>
      <c r="B2043" s="1" t="n">
        <v>52</v>
      </c>
    </row>
    <row r="2044" customFormat="false" ht="15" hidden="false" customHeight="true" outlineLevel="0" collapsed="false">
      <c r="A2044" s="1" t="s">
        <v>2303</v>
      </c>
      <c r="B2044" s="1" t="n">
        <v>51</v>
      </c>
    </row>
    <row r="2045" customFormat="false" ht="15" hidden="false" customHeight="true" outlineLevel="0" collapsed="false">
      <c r="A2045" s="1" t="s">
        <v>1207</v>
      </c>
      <c r="B2045" s="1" t="n">
        <v>51</v>
      </c>
    </row>
    <row r="2046" customFormat="false" ht="15" hidden="false" customHeight="true" outlineLevel="0" collapsed="false">
      <c r="A2046" s="1" t="s">
        <v>2569</v>
      </c>
      <c r="B2046" s="1" t="n">
        <v>51</v>
      </c>
    </row>
    <row r="2047" customFormat="false" ht="15" hidden="false" customHeight="true" outlineLevel="0" collapsed="false">
      <c r="A2047" s="1" t="s">
        <v>2571</v>
      </c>
      <c r="B2047" s="1" t="n">
        <v>51</v>
      </c>
    </row>
    <row r="2048" customFormat="false" ht="15" hidden="false" customHeight="true" outlineLevel="0" collapsed="false">
      <c r="A2048" s="1" t="s">
        <v>2573</v>
      </c>
      <c r="B2048" s="1" t="n">
        <v>51</v>
      </c>
    </row>
    <row r="2049" customFormat="false" ht="15" hidden="false" customHeight="true" outlineLevel="0" collapsed="false">
      <c r="A2049" s="1" t="s">
        <v>850</v>
      </c>
      <c r="B2049" s="1" t="n">
        <v>50</v>
      </c>
    </row>
    <row r="2050" customFormat="false" ht="15" hidden="false" customHeight="true" outlineLevel="0" collapsed="false">
      <c r="A2050" s="1" t="s">
        <v>2518</v>
      </c>
      <c r="B2050" s="1" t="n">
        <v>50</v>
      </c>
    </row>
    <row r="2051" customFormat="false" ht="15" hidden="false" customHeight="true" outlineLevel="0" collapsed="false">
      <c r="A2051" s="1" t="s">
        <v>2589</v>
      </c>
      <c r="B2051" s="1" t="n">
        <v>50</v>
      </c>
    </row>
    <row r="2052" customFormat="false" ht="15" hidden="false" customHeight="true" outlineLevel="0" collapsed="false">
      <c r="A2052" s="1" t="s">
        <v>704</v>
      </c>
      <c r="B2052" s="1" t="n">
        <v>50</v>
      </c>
    </row>
    <row r="2053" customFormat="false" ht="15" hidden="false" customHeight="true" outlineLevel="0" collapsed="false">
      <c r="A2053" s="1" t="s">
        <v>1605</v>
      </c>
      <c r="B2053" s="1" t="n">
        <v>50</v>
      </c>
    </row>
    <row r="2054" customFormat="false" ht="15" hidden="false" customHeight="true" outlineLevel="0" collapsed="false">
      <c r="A2054" s="1" t="s">
        <v>2592</v>
      </c>
      <c r="B2054" s="1" t="n">
        <v>50</v>
      </c>
    </row>
    <row r="2055" customFormat="false" ht="15" hidden="false" customHeight="true" outlineLevel="0" collapsed="false">
      <c r="A2055" s="1" t="s">
        <v>2594</v>
      </c>
      <c r="B2055" s="1" t="n">
        <v>50</v>
      </c>
    </row>
    <row r="2056" customFormat="false" ht="15" hidden="false" customHeight="true" outlineLevel="0" collapsed="false">
      <c r="A2056" s="1" t="s">
        <v>2596</v>
      </c>
      <c r="B2056" s="1" t="n">
        <v>50</v>
      </c>
    </row>
    <row r="2057" customFormat="false" ht="15" hidden="false" customHeight="true" outlineLevel="0" collapsed="false">
      <c r="A2057" s="1" t="s">
        <v>2242</v>
      </c>
      <c r="B2057" s="1" t="n">
        <v>49</v>
      </c>
    </row>
    <row r="2058" customFormat="false" ht="15" hidden="false" customHeight="true" outlineLevel="0" collapsed="false">
      <c r="A2058" s="1" t="s">
        <v>1293</v>
      </c>
      <c r="B2058" s="1" t="n">
        <v>49</v>
      </c>
    </row>
    <row r="2059" customFormat="false" ht="15" hidden="false" customHeight="true" outlineLevel="0" collapsed="false">
      <c r="A2059" s="1" t="s">
        <v>545</v>
      </c>
      <c r="B2059" s="1" t="n">
        <v>49</v>
      </c>
    </row>
    <row r="2060" customFormat="false" ht="15" hidden="false" customHeight="true" outlineLevel="0" collapsed="false">
      <c r="A2060" s="1" t="s">
        <v>1105</v>
      </c>
      <c r="B2060" s="1" t="n">
        <v>49</v>
      </c>
    </row>
    <row r="2061" customFormat="false" ht="15" hidden="false" customHeight="true" outlineLevel="0" collapsed="false">
      <c r="A2061" s="1" t="s">
        <v>533</v>
      </c>
      <c r="B2061" s="1" t="n">
        <v>49</v>
      </c>
    </row>
    <row r="2062" customFormat="false" ht="15" hidden="false" customHeight="true" outlineLevel="0" collapsed="false">
      <c r="A2062" s="1" t="s">
        <v>1833</v>
      </c>
      <c r="B2062" s="1" t="n">
        <v>49</v>
      </c>
    </row>
    <row r="2063" customFormat="false" ht="15" hidden="false" customHeight="true" outlineLevel="0" collapsed="false">
      <c r="A2063" s="1" t="s">
        <v>1589</v>
      </c>
      <c r="B2063" s="1" t="n">
        <v>49</v>
      </c>
    </row>
    <row r="2064" customFormat="false" ht="15" hidden="false" customHeight="true" outlineLevel="0" collapsed="false">
      <c r="A2064" s="1" t="s">
        <v>1228</v>
      </c>
      <c r="B2064" s="1" t="n">
        <v>49</v>
      </c>
    </row>
    <row r="2065" customFormat="false" ht="15" hidden="false" customHeight="true" outlineLevel="0" collapsed="false">
      <c r="A2065" s="1" t="s">
        <v>2612</v>
      </c>
      <c r="B2065" s="1" t="n">
        <v>49</v>
      </c>
    </row>
    <row r="2066" customFormat="false" ht="15" hidden="false" customHeight="true" outlineLevel="0" collapsed="false">
      <c r="A2066" s="1" t="s">
        <v>2614</v>
      </c>
      <c r="B2066" s="1" t="n">
        <v>49</v>
      </c>
    </row>
    <row r="2067" customFormat="false" ht="15" hidden="false" customHeight="true" outlineLevel="0" collapsed="false">
      <c r="A2067" s="1" t="s">
        <v>2616</v>
      </c>
      <c r="B2067" s="1" t="n">
        <v>49</v>
      </c>
    </row>
    <row r="2068" customFormat="false" ht="15" hidden="false" customHeight="true" outlineLevel="0" collapsed="false">
      <c r="A2068" s="1" t="s">
        <v>1352</v>
      </c>
      <c r="B2068" s="1" t="n">
        <v>48</v>
      </c>
    </row>
    <row r="2069" customFormat="false" ht="15" hidden="false" customHeight="true" outlineLevel="0" collapsed="false">
      <c r="A2069" s="1" t="s">
        <v>931</v>
      </c>
      <c r="B2069" s="1" t="n">
        <v>48</v>
      </c>
    </row>
    <row r="2070" customFormat="false" ht="15" hidden="false" customHeight="true" outlineLevel="0" collapsed="false">
      <c r="A2070" s="1" t="s">
        <v>1446</v>
      </c>
      <c r="B2070" s="1" t="n">
        <v>48</v>
      </c>
    </row>
    <row r="2071" customFormat="false" ht="15" hidden="false" customHeight="true" outlineLevel="0" collapsed="false">
      <c r="A2071" s="1" t="s">
        <v>1469</v>
      </c>
      <c r="B2071" s="1" t="n">
        <v>48</v>
      </c>
    </row>
    <row r="2072" customFormat="false" ht="15" hidden="false" customHeight="true" outlineLevel="0" collapsed="false">
      <c r="A2072" s="1" t="s">
        <v>2633</v>
      </c>
      <c r="B2072" s="1" t="n">
        <v>48</v>
      </c>
    </row>
    <row r="2073" customFormat="false" ht="15" hidden="false" customHeight="true" outlineLevel="0" collapsed="false">
      <c r="A2073" s="1" t="s">
        <v>2635</v>
      </c>
      <c r="B2073" s="1" t="n">
        <v>48</v>
      </c>
    </row>
    <row r="2074" customFormat="false" ht="15" hidden="false" customHeight="true" outlineLevel="0" collapsed="false">
      <c r="A2074" s="1" t="s">
        <v>2637</v>
      </c>
      <c r="B2074" s="1" t="n">
        <v>48</v>
      </c>
    </row>
    <row r="2075" customFormat="false" ht="15" hidden="false" customHeight="true" outlineLevel="0" collapsed="false">
      <c r="A2075" s="1" t="s">
        <v>2639</v>
      </c>
      <c r="B2075" s="1" t="n">
        <v>48</v>
      </c>
    </row>
    <row r="2076" customFormat="false" ht="15" hidden="false" customHeight="true" outlineLevel="0" collapsed="false">
      <c r="A2076" s="1" t="s">
        <v>2641</v>
      </c>
      <c r="B2076" s="1" t="n">
        <v>48</v>
      </c>
    </row>
    <row r="2077" customFormat="false" ht="15" hidden="false" customHeight="true" outlineLevel="0" collapsed="false">
      <c r="A2077" s="1" t="s">
        <v>2643</v>
      </c>
      <c r="B2077" s="1" t="n">
        <v>48</v>
      </c>
    </row>
    <row r="2078" customFormat="false" ht="15" hidden="false" customHeight="true" outlineLevel="0" collapsed="false">
      <c r="A2078" s="1" t="s">
        <v>2113</v>
      </c>
      <c r="B2078" s="1" t="n">
        <v>47</v>
      </c>
    </row>
    <row r="2079" customFormat="false" ht="15" hidden="false" customHeight="true" outlineLevel="0" collapsed="false">
      <c r="A2079" s="1" t="s">
        <v>2221</v>
      </c>
      <c r="B2079" s="1" t="n">
        <v>47</v>
      </c>
    </row>
    <row r="2080" customFormat="false" ht="15" hidden="false" customHeight="true" outlineLevel="0" collapsed="false">
      <c r="A2080" s="1" t="s">
        <v>847</v>
      </c>
      <c r="B2080" s="1" t="n">
        <v>47</v>
      </c>
    </row>
    <row r="2081" customFormat="false" ht="15" hidden="false" customHeight="true" outlineLevel="0" collapsed="false">
      <c r="A2081" s="1" t="s">
        <v>2651</v>
      </c>
      <c r="B2081" s="1" t="n">
        <v>47</v>
      </c>
    </row>
    <row r="2082" customFormat="false" ht="15" hidden="false" customHeight="true" outlineLevel="0" collapsed="false">
      <c r="A2082" s="1" t="s">
        <v>2654</v>
      </c>
      <c r="B2082" s="1" t="n">
        <v>47</v>
      </c>
    </row>
    <row r="2083" customFormat="false" ht="15" hidden="false" customHeight="true" outlineLevel="0" collapsed="false">
      <c r="A2083" s="1" t="s">
        <v>2656</v>
      </c>
      <c r="B2083" s="1" t="n">
        <v>47</v>
      </c>
    </row>
    <row r="2084" customFormat="false" ht="15" hidden="false" customHeight="true" outlineLevel="0" collapsed="false">
      <c r="A2084" s="1" t="s">
        <v>2658</v>
      </c>
      <c r="B2084" s="1" t="n">
        <v>47</v>
      </c>
    </row>
    <row r="2085" customFormat="false" ht="15" hidden="false" customHeight="true" outlineLevel="0" collapsed="false">
      <c r="A2085" s="1" t="s">
        <v>1857</v>
      </c>
      <c r="B2085" s="1" t="n">
        <v>46</v>
      </c>
    </row>
    <row r="2086" customFormat="false" ht="15" hidden="false" customHeight="true" outlineLevel="0" collapsed="false">
      <c r="A2086" s="1" t="s">
        <v>2669</v>
      </c>
      <c r="B2086" s="1" t="n">
        <v>46</v>
      </c>
    </row>
    <row r="2087" customFormat="false" ht="15" hidden="false" customHeight="true" outlineLevel="0" collapsed="false">
      <c r="A2087" s="1" t="s">
        <v>1254</v>
      </c>
      <c r="B2087" s="1" t="n">
        <v>46</v>
      </c>
    </row>
    <row r="2088" customFormat="false" ht="15" hidden="false" customHeight="true" outlineLevel="0" collapsed="false">
      <c r="A2088" s="1" t="s">
        <v>1365</v>
      </c>
      <c r="B2088" s="1" t="n">
        <v>46</v>
      </c>
    </row>
    <row r="2089" customFormat="false" ht="15" hidden="false" customHeight="true" outlineLevel="0" collapsed="false">
      <c r="A2089" s="1" t="s">
        <v>1749</v>
      </c>
      <c r="B2089" s="1" t="n">
        <v>46</v>
      </c>
    </row>
    <row r="2090" customFormat="false" ht="15" hidden="false" customHeight="true" outlineLevel="0" collapsed="false">
      <c r="A2090" s="1" t="s">
        <v>2670</v>
      </c>
      <c r="B2090" s="1" t="n">
        <v>46</v>
      </c>
    </row>
    <row r="2091" customFormat="false" ht="15" hidden="false" customHeight="true" outlineLevel="0" collapsed="false">
      <c r="A2091" s="1" t="s">
        <v>2672</v>
      </c>
      <c r="B2091" s="1" t="n">
        <v>46</v>
      </c>
    </row>
    <row r="2092" customFormat="false" ht="15" hidden="false" customHeight="true" outlineLevel="0" collapsed="false">
      <c r="A2092" s="1" t="s">
        <v>1680</v>
      </c>
      <c r="B2092" s="1" t="n">
        <v>45</v>
      </c>
    </row>
    <row r="2093" customFormat="false" ht="15" hidden="false" customHeight="true" outlineLevel="0" collapsed="false">
      <c r="A2093" s="1" t="s">
        <v>1404</v>
      </c>
      <c r="B2093" s="1" t="n">
        <v>45</v>
      </c>
    </row>
    <row r="2094" customFormat="false" ht="15" hidden="false" customHeight="true" outlineLevel="0" collapsed="false">
      <c r="A2094" s="1" t="s">
        <v>750</v>
      </c>
      <c r="B2094" s="1" t="n">
        <v>45</v>
      </c>
    </row>
    <row r="2095" customFormat="false" ht="15" hidden="false" customHeight="true" outlineLevel="0" collapsed="false">
      <c r="A2095" s="1" t="s">
        <v>2498</v>
      </c>
      <c r="B2095" s="1" t="n">
        <v>45</v>
      </c>
    </row>
    <row r="2096" customFormat="false" ht="15" hidden="false" customHeight="true" outlineLevel="0" collapsed="false">
      <c r="A2096" s="1" t="s">
        <v>1785</v>
      </c>
      <c r="B2096" s="1" t="n">
        <v>45</v>
      </c>
    </row>
    <row r="2097" customFormat="false" ht="15" hidden="false" customHeight="true" outlineLevel="0" collapsed="false">
      <c r="A2097" s="1" t="s">
        <v>972</v>
      </c>
      <c r="B2097" s="1" t="n">
        <v>45</v>
      </c>
    </row>
    <row r="2098" customFormat="false" ht="15" hidden="false" customHeight="true" outlineLevel="0" collapsed="false">
      <c r="A2098" s="1" t="s">
        <v>2690</v>
      </c>
      <c r="B2098" s="1" t="n">
        <v>45</v>
      </c>
    </row>
    <row r="2099" customFormat="false" ht="15" hidden="false" customHeight="true" outlineLevel="0" collapsed="false">
      <c r="A2099" s="1" t="s">
        <v>2506</v>
      </c>
      <c r="B2099" s="1" t="n">
        <v>44</v>
      </c>
    </row>
    <row r="2100" customFormat="false" ht="15" hidden="false" customHeight="true" outlineLevel="0" collapsed="false">
      <c r="A2100" s="1" t="s">
        <v>2193</v>
      </c>
      <c r="B2100" s="1" t="n">
        <v>44</v>
      </c>
    </row>
    <row r="2101" customFormat="false" ht="15" hidden="false" customHeight="true" outlineLevel="0" collapsed="false">
      <c r="A2101" s="1" t="s">
        <v>2409</v>
      </c>
      <c r="B2101" s="1" t="n">
        <v>44</v>
      </c>
    </row>
    <row r="2102" customFormat="false" ht="15" hidden="false" customHeight="true" outlineLevel="0" collapsed="false">
      <c r="A2102" s="1" t="s">
        <v>2434</v>
      </c>
      <c r="B2102" s="1" t="n">
        <v>44</v>
      </c>
    </row>
    <row r="2103" customFormat="false" ht="15" hidden="false" customHeight="true" outlineLevel="0" collapsed="false">
      <c r="A2103" s="1" t="s">
        <v>1012</v>
      </c>
      <c r="B2103" s="1" t="n">
        <v>44</v>
      </c>
    </row>
    <row r="2104" customFormat="false" ht="15" hidden="false" customHeight="true" outlineLevel="0" collapsed="false">
      <c r="A2104" s="1" t="s">
        <v>1736</v>
      </c>
      <c r="B2104" s="1" t="n">
        <v>44</v>
      </c>
    </row>
    <row r="2105" customFormat="false" ht="15" hidden="false" customHeight="true" outlineLevel="0" collapsed="false">
      <c r="A2105" s="1" t="s">
        <v>2710</v>
      </c>
      <c r="B2105" s="1" t="n">
        <v>44</v>
      </c>
    </row>
    <row r="2106" customFormat="false" ht="15" hidden="false" customHeight="true" outlineLevel="0" collapsed="false">
      <c r="A2106" s="1" t="s">
        <v>807</v>
      </c>
      <c r="B2106" s="1" t="n">
        <v>44</v>
      </c>
    </row>
    <row r="2107" customFormat="false" ht="15" hidden="false" customHeight="true" outlineLevel="0" collapsed="false">
      <c r="A2107" s="1" t="s">
        <v>665</v>
      </c>
      <c r="B2107" s="1" t="n">
        <v>44</v>
      </c>
    </row>
    <row r="2108" customFormat="false" ht="15" hidden="false" customHeight="true" outlineLevel="0" collapsed="false">
      <c r="A2108" s="1" t="s">
        <v>2713</v>
      </c>
      <c r="B2108" s="1" t="n">
        <v>44</v>
      </c>
    </row>
    <row r="2109" customFormat="false" ht="15" hidden="false" customHeight="true" outlineLevel="0" collapsed="false">
      <c r="A2109" s="1" t="s">
        <v>2716</v>
      </c>
      <c r="B2109" s="1" t="n">
        <v>44</v>
      </c>
    </row>
    <row r="2110" customFormat="false" ht="15" hidden="false" customHeight="true" outlineLevel="0" collapsed="false">
      <c r="A2110" s="1" t="s">
        <v>2718</v>
      </c>
      <c r="B2110" s="1" t="n">
        <v>44</v>
      </c>
    </row>
    <row r="2111" customFormat="false" ht="15" hidden="false" customHeight="true" outlineLevel="0" collapsed="false">
      <c r="A2111" s="1" t="s">
        <v>1913</v>
      </c>
      <c r="B2111" s="1" t="n">
        <v>43</v>
      </c>
    </row>
    <row r="2112" customFormat="false" ht="15" hidden="false" customHeight="true" outlineLevel="0" collapsed="false">
      <c r="A2112" s="1" t="s">
        <v>2545</v>
      </c>
      <c r="B2112" s="1" t="n">
        <v>43</v>
      </c>
    </row>
    <row r="2113" customFormat="false" ht="15" hidden="false" customHeight="true" outlineLevel="0" collapsed="false">
      <c r="A2113" s="1" t="s">
        <v>2162</v>
      </c>
      <c r="B2113" s="1" t="n">
        <v>43</v>
      </c>
    </row>
    <row r="2114" customFormat="false" ht="15" hidden="false" customHeight="true" outlineLevel="0" collapsed="false">
      <c r="A2114" s="1" t="s">
        <v>1963</v>
      </c>
      <c r="B2114" s="1" t="n">
        <v>43</v>
      </c>
    </row>
    <row r="2115" customFormat="false" ht="15" hidden="false" customHeight="true" outlineLevel="0" collapsed="false">
      <c r="A2115" s="1" t="s">
        <v>1865</v>
      </c>
      <c r="B2115" s="1" t="n">
        <v>43</v>
      </c>
    </row>
    <row r="2116" customFormat="false" ht="15" hidden="false" customHeight="true" outlineLevel="0" collapsed="false">
      <c r="A2116" s="1" t="s">
        <v>2735</v>
      </c>
      <c r="B2116" s="1" t="n">
        <v>43</v>
      </c>
    </row>
    <row r="2117" customFormat="false" ht="15" hidden="false" customHeight="true" outlineLevel="0" collapsed="false">
      <c r="A2117" s="1" t="s">
        <v>2737</v>
      </c>
      <c r="B2117" s="1" t="n">
        <v>43</v>
      </c>
    </row>
    <row r="2118" customFormat="false" ht="15" hidden="false" customHeight="true" outlineLevel="0" collapsed="false">
      <c r="A2118" s="1" t="s">
        <v>2740</v>
      </c>
      <c r="B2118" s="1" t="n">
        <v>43</v>
      </c>
    </row>
    <row r="2119" customFormat="false" ht="15" hidden="false" customHeight="true" outlineLevel="0" collapsed="false">
      <c r="A2119" s="1" t="s">
        <v>2742</v>
      </c>
      <c r="B2119" s="1" t="n">
        <v>43</v>
      </c>
    </row>
    <row r="2120" customFormat="false" ht="15" hidden="false" customHeight="true" outlineLevel="0" collapsed="false">
      <c r="A2120" s="1" t="s">
        <v>2497</v>
      </c>
      <c r="B2120" s="1" t="n">
        <v>42</v>
      </c>
    </row>
    <row r="2121" customFormat="false" ht="15" hidden="false" customHeight="true" outlineLevel="0" collapsed="false">
      <c r="A2121" s="1" t="s">
        <v>1678</v>
      </c>
      <c r="B2121" s="1" t="n">
        <v>42</v>
      </c>
    </row>
    <row r="2122" customFormat="false" ht="15" hidden="false" customHeight="true" outlineLevel="0" collapsed="false">
      <c r="A2122" s="1" t="s">
        <v>1079</v>
      </c>
      <c r="B2122" s="1" t="n">
        <v>42</v>
      </c>
    </row>
    <row r="2123" customFormat="false" ht="15" hidden="false" customHeight="true" outlineLevel="0" collapsed="false">
      <c r="A2123" s="1" t="s">
        <v>1887</v>
      </c>
      <c r="B2123" s="1" t="n">
        <v>42</v>
      </c>
    </row>
    <row r="2124" customFormat="false" ht="15" hidden="false" customHeight="true" outlineLevel="0" collapsed="false">
      <c r="A2124" s="1" t="s">
        <v>2752</v>
      </c>
      <c r="B2124" s="1" t="n">
        <v>42</v>
      </c>
    </row>
    <row r="2125" customFormat="false" ht="15" hidden="false" customHeight="true" outlineLevel="0" collapsed="false">
      <c r="A2125" s="1" t="s">
        <v>2754</v>
      </c>
      <c r="B2125" s="1" t="n">
        <v>42</v>
      </c>
    </row>
    <row r="2126" customFormat="false" ht="15" hidden="false" customHeight="true" outlineLevel="0" collapsed="false">
      <c r="A2126" s="1" t="s">
        <v>2757</v>
      </c>
      <c r="B2126" s="1" t="n">
        <v>42</v>
      </c>
    </row>
    <row r="2127" customFormat="false" ht="15" hidden="false" customHeight="true" outlineLevel="0" collapsed="false">
      <c r="A2127" s="1" t="s">
        <v>2321</v>
      </c>
      <c r="B2127" s="1" t="n">
        <v>41</v>
      </c>
    </row>
    <row r="2128" customFormat="false" ht="15" hidden="false" customHeight="true" outlineLevel="0" collapsed="false">
      <c r="A2128" s="1" t="s">
        <v>1002</v>
      </c>
      <c r="B2128" s="1" t="n">
        <v>41</v>
      </c>
    </row>
    <row r="2129" customFormat="false" ht="15" hidden="false" customHeight="true" outlineLevel="0" collapsed="false">
      <c r="A2129" s="1" t="s">
        <v>1165</v>
      </c>
      <c r="B2129" s="1" t="n">
        <v>41</v>
      </c>
    </row>
    <row r="2130" customFormat="false" ht="15" hidden="false" customHeight="true" outlineLevel="0" collapsed="false">
      <c r="A2130" s="1" t="s">
        <v>2129</v>
      </c>
      <c r="B2130" s="1" t="n">
        <v>41</v>
      </c>
    </row>
    <row r="2131" customFormat="false" ht="15" hidden="false" customHeight="true" outlineLevel="0" collapsed="false">
      <c r="A2131" s="1" t="s">
        <v>2171</v>
      </c>
      <c r="B2131" s="1" t="n">
        <v>41</v>
      </c>
    </row>
    <row r="2132" customFormat="false" ht="15" hidden="false" customHeight="true" outlineLevel="0" collapsed="false">
      <c r="A2132" s="1" t="s">
        <v>2235</v>
      </c>
      <c r="B2132" s="1" t="n">
        <v>41</v>
      </c>
    </row>
    <row r="2133" customFormat="false" ht="15" hidden="false" customHeight="true" outlineLevel="0" collapsed="false">
      <c r="A2133" s="1" t="s">
        <v>2776</v>
      </c>
      <c r="B2133" s="1" t="n">
        <v>41</v>
      </c>
    </row>
    <row r="2134" customFormat="false" ht="15" hidden="false" customHeight="true" outlineLevel="0" collapsed="false">
      <c r="A2134" s="1" t="s">
        <v>2688</v>
      </c>
      <c r="B2134" s="1" t="n">
        <v>40</v>
      </c>
    </row>
    <row r="2135" customFormat="false" ht="15" hidden="false" customHeight="true" outlineLevel="0" collapsed="false">
      <c r="A2135" s="1" t="s">
        <v>1705</v>
      </c>
      <c r="B2135" s="1" t="n">
        <v>40</v>
      </c>
    </row>
    <row r="2136" customFormat="false" ht="15" hidden="false" customHeight="true" outlineLevel="0" collapsed="false">
      <c r="A2136" s="1" t="s">
        <v>621</v>
      </c>
      <c r="B2136" s="1" t="n">
        <v>40</v>
      </c>
    </row>
    <row r="2137" customFormat="false" ht="15" hidden="false" customHeight="true" outlineLevel="0" collapsed="false">
      <c r="A2137" s="1" t="s">
        <v>963</v>
      </c>
      <c r="B2137" s="1" t="n">
        <v>40</v>
      </c>
    </row>
    <row r="2138" customFormat="false" ht="15" hidden="false" customHeight="true" outlineLevel="0" collapsed="false">
      <c r="A2138" s="1" t="s">
        <v>2797</v>
      </c>
      <c r="B2138" s="1" t="n">
        <v>40</v>
      </c>
    </row>
    <row r="2139" customFormat="false" ht="15" hidden="false" customHeight="true" outlineLevel="0" collapsed="false">
      <c r="A2139" s="1" t="s">
        <v>2734</v>
      </c>
      <c r="B2139" s="1" t="n">
        <v>40</v>
      </c>
    </row>
    <row r="2140" customFormat="false" ht="15" hidden="false" customHeight="true" outlineLevel="0" collapsed="false">
      <c r="A2140" s="1" t="s">
        <v>737</v>
      </c>
      <c r="B2140" s="1" t="n">
        <v>40</v>
      </c>
    </row>
    <row r="2141" customFormat="false" ht="15" hidden="false" customHeight="true" outlineLevel="0" collapsed="false">
      <c r="A2141" s="1" t="s">
        <v>882</v>
      </c>
      <c r="B2141" s="1" t="n">
        <v>40</v>
      </c>
    </row>
    <row r="2142" customFormat="false" ht="15" hidden="false" customHeight="true" outlineLevel="0" collapsed="false">
      <c r="A2142" s="1" t="s">
        <v>563</v>
      </c>
      <c r="B2142" s="1" t="n">
        <v>40</v>
      </c>
    </row>
    <row r="2143" customFormat="false" ht="15" hidden="false" customHeight="true" outlineLevel="0" collapsed="false">
      <c r="A2143" s="1" t="s">
        <v>2348</v>
      </c>
      <c r="B2143" s="1" t="n">
        <v>40</v>
      </c>
    </row>
    <row r="2144" customFormat="false" ht="15" hidden="false" customHeight="true" outlineLevel="0" collapsed="false">
      <c r="A2144" s="1" t="s">
        <v>2799</v>
      </c>
      <c r="B2144" s="1" t="n">
        <v>40</v>
      </c>
    </row>
    <row r="2145" customFormat="false" ht="15" hidden="false" customHeight="true" outlineLevel="0" collapsed="false">
      <c r="A2145" s="1" t="s">
        <v>2801</v>
      </c>
      <c r="B2145" s="1" t="n">
        <v>40</v>
      </c>
    </row>
    <row r="2146" customFormat="false" ht="15" hidden="false" customHeight="true" outlineLevel="0" collapsed="false">
      <c r="A2146" s="1" t="s">
        <v>1728</v>
      </c>
      <c r="B2146" s="1" t="n">
        <v>39</v>
      </c>
    </row>
    <row r="2147" customFormat="false" ht="15" hidden="false" customHeight="true" outlineLevel="0" collapsed="false">
      <c r="A2147" s="1" t="s">
        <v>2819</v>
      </c>
      <c r="B2147" s="1" t="n">
        <v>39</v>
      </c>
    </row>
    <row r="2148" customFormat="false" ht="15" hidden="false" customHeight="true" outlineLevel="0" collapsed="false">
      <c r="A2148" s="1" t="s">
        <v>1716</v>
      </c>
      <c r="B2148" s="1" t="n">
        <v>39</v>
      </c>
    </row>
    <row r="2149" customFormat="false" ht="15" hidden="false" customHeight="true" outlineLevel="0" collapsed="false">
      <c r="A2149" s="1" t="s">
        <v>1664</v>
      </c>
      <c r="B2149" s="1" t="n">
        <v>39</v>
      </c>
    </row>
    <row r="2150" customFormat="false" ht="15" hidden="false" customHeight="true" outlineLevel="0" collapsed="false">
      <c r="A2150" s="1" t="s">
        <v>2821</v>
      </c>
      <c r="B2150" s="1" t="n">
        <v>39</v>
      </c>
    </row>
    <row r="2151" customFormat="false" ht="15" hidden="false" customHeight="true" outlineLevel="0" collapsed="false">
      <c r="A2151" s="1" t="s">
        <v>2823</v>
      </c>
      <c r="B2151" s="1" t="n">
        <v>39</v>
      </c>
    </row>
    <row r="2152" customFormat="false" ht="15" hidden="false" customHeight="true" outlineLevel="0" collapsed="false">
      <c r="A2152" s="1" t="s">
        <v>2825</v>
      </c>
      <c r="B2152" s="1" t="n">
        <v>39</v>
      </c>
    </row>
    <row r="2153" customFormat="false" ht="15" hidden="false" customHeight="true" outlineLevel="0" collapsed="false">
      <c r="A2153" s="1" t="s">
        <v>2453</v>
      </c>
      <c r="B2153" s="1" t="n">
        <v>38</v>
      </c>
    </row>
    <row r="2154" customFormat="false" ht="15" hidden="false" customHeight="true" outlineLevel="0" collapsed="false">
      <c r="A2154" s="1" t="s">
        <v>2367</v>
      </c>
      <c r="B2154" s="1" t="n">
        <v>38</v>
      </c>
    </row>
    <row r="2155" customFormat="false" ht="15" hidden="false" customHeight="true" outlineLevel="0" collapsed="false">
      <c r="A2155" s="1" t="s">
        <v>2259</v>
      </c>
      <c r="B2155" s="1" t="n">
        <v>38</v>
      </c>
    </row>
    <row r="2156" customFormat="false" ht="15" hidden="false" customHeight="true" outlineLevel="0" collapsed="false">
      <c r="A2156" s="1" t="s">
        <v>484</v>
      </c>
      <c r="B2156" s="1" t="n">
        <v>38</v>
      </c>
    </row>
    <row r="2157" customFormat="false" ht="15" hidden="false" customHeight="true" outlineLevel="0" collapsed="false">
      <c r="A2157" s="1" t="s">
        <v>2841</v>
      </c>
      <c r="B2157" s="1" t="n">
        <v>38</v>
      </c>
    </row>
    <row r="2158" customFormat="false" ht="15" hidden="false" customHeight="true" outlineLevel="0" collapsed="false">
      <c r="A2158" s="1" t="s">
        <v>702</v>
      </c>
      <c r="B2158" s="1" t="n">
        <v>38</v>
      </c>
    </row>
    <row r="2159" customFormat="false" ht="15" hidden="false" customHeight="true" outlineLevel="0" collapsed="false">
      <c r="A2159" s="1" t="s">
        <v>1176</v>
      </c>
      <c r="B2159" s="1" t="n">
        <v>38</v>
      </c>
    </row>
    <row r="2160" customFormat="false" ht="15" hidden="false" customHeight="true" outlineLevel="0" collapsed="false">
      <c r="A2160" s="1" t="s">
        <v>1900</v>
      </c>
      <c r="B2160" s="1" t="n">
        <v>38</v>
      </c>
    </row>
    <row r="2161" customFormat="false" ht="15" hidden="false" customHeight="true" outlineLevel="0" collapsed="false">
      <c r="A2161" s="1" t="s">
        <v>1239</v>
      </c>
      <c r="B2161" s="1" t="n">
        <v>38</v>
      </c>
    </row>
    <row r="2162" customFormat="false" ht="15" hidden="false" customHeight="true" outlineLevel="0" collapsed="false">
      <c r="A2162" s="1" t="s">
        <v>2842</v>
      </c>
      <c r="B2162" s="1" t="n">
        <v>38</v>
      </c>
    </row>
    <row r="2163" customFormat="false" ht="15" hidden="false" customHeight="true" outlineLevel="0" collapsed="false">
      <c r="A2163" s="1" t="s">
        <v>2843</v>
      </c>
      <c r="B2163" s="1" t="n">
        <v>38</v>
      </c>
    </row>
    <row r="2164" customFormat="false" ht="15" hidden="false" customHeight="true" outlineLevel="0" collapsed="false">
      <c r="A2164" s="1" t="s">
        <v>2846</v>
      </c>
      <c r="B2164" s="1" t="n">
        <v>38</v>
      </c>
    </row>
    <row r="2165" customFormat="false" ht="15" hidden="false" customHeight="true" outlineLevel="0" collapsed="false">
      <c r="A2165" s="1" t="s">
        <v>2849</v>
      </c>
      <c r="B2165" s="1" t="n">
        <v>38</v>
      </c>
    </row>
    <row r="2166" customFormat="false" ht="15" hidden="false" customHeight="true" outlineLevel="0" collapsed="false">
      <c r="A2166" s="1" t="s">
        <v>2851</v>
      </c>
      <c r="B2166" s="1" t="n">
        <v>38</v>
      </c>
    </row>
    <row r="2167" customFormat="false" ht="15" hidden="false" customHeight="true" outlineLevel="0" collapsed="false">
      <c r="A2167" s="1" t="s">
        <v>2853</v>
      </c>
      <c r="B2167" s="1" t="n">
        <v>38</v>
      </c>
    </row>
    <row r="2168" customFormat="false" ht="15" hidden="false" customHeight="true" outlineLevel="0" collapsed="false">
      <c r="A2168" s="1" t="s">
        <v>2346</v>
      </c>
      <c r="B2168" s="1" t="n">
        <v>37</v>
      </c>
    </row>
    <row r="2169" customFormat="false" ht="15" hidden="false" customHeight="true" outlineLevel="0" collapsed="false">
      <c r="A2169" s="1" t="s">
        <v>976</v>
      </c>
      <c r="B2169" s="1" t="n">
        <v>37</v>
      </c>
    </row>
    <row r="2170" customFormat="false" ht="15" hidden="false" customHeight="true" outlineLevel="0" collapsed="false">
      <c r="A2170" s="1" t="s">
        <v>996</v>
      </c>
      <c r="B2170" s="1" t="n">
        <v>37</v>
      </c>
    </row>
    <row r="2171" customFormat="false" ht="15" hidden="false" customHeight="true" outlineLevel="0" collapsed="false">
      <c r="A2171" s="1" t="s">
        <v>1135</v>
      </c>
      <c r="B2171" s="1" t="n">
        <v>37</v>
      </c>
    </row>
    <row r="2172" customFormat="false" ht="15" hidden="false" customHeight="true" outlineLevel="0" collapsed="false">
      <c r="A2172" s="1" t="s">
        <v>2866</v>
      </c>
      <c r="B2172" s="1" t="n">
        <v>37</v>
      </c>
    </row>
    <row r="2173" customFormat="false" ht="15" hidden="false" customHeight="true" outlineLevel="0" collapsed="false">
      <c r="A2173" s="1" t="s">
        <v>2868</v>
      </c>
      <c r="B2173" s="1" t="n">
        <v>37</v>
      </c>
    </row>
    <row r="2174" customFormat="false" ht="15" hidden="false" customHeight="true" outlineLevel="0" collapsed="false">
      <c r="A2174" s="1" t="s">
        <v>2870</v>
      </c>
      <c r="B2174" s="1" t="n">
        <v>37</v>
      </c>
    </row>
    <row r="2175" customFormat="false" ht="15" hidden="false" customHeight="true" outlineLevel="0" collapsed="false">
      <c r="A2175" s="1" t="s">
        <v>2872</v>
      </c>
      <c r="B2175" s="1" t="n">
        <v>37</v>
      </c>
    </row>
    <row r="2176" customFormat="false" ht="15" hidden="false" customHeight="true" outlineLevel="0" collapsed="false">
      <c r="A2176" s="1" t="s">
        <v>1086</v>
      </c>
      <c r="B2176" s="1" t="n">
        <v>36</v>
      </c>
    </row>
    <row r="2177" customFormat="false" ht="15" hidden="false" customHeight="true" outlineLevel="0" collapsed="false">
      <c r="A2177" s="1" t="s">
        <v>1560</v>
      </c>
      <c r="B2177" s="1" t="n">
        <v>36</v>
      </c>
    </row>
    <row r="2178" customFormat="false" ht="15" hidden="false" customHeight="true" outlineLevel="0" collapsed="false">
      <c r="A2178" s="1" t="s">
        <v>2631</v>
      </c>
      <c r="B2178" s="1" t="n">
        <v>36</v>
      </c>
    </row>
    <row r="2179" customFormat="false" ht="15" hidden="false" customHeight="true" outlineLevel="0" collapsed="false">
      <c r="A2179" s="1" t="s">
        <v>1381</v>
      </c>
      <c r="B2179" s="1" t="n">
        <v>36</v>
      </c>
    </row>
    <row r="2180" customFormat="false" ht="15" hidden="false" customHeight="true" outlineLevel="0" collapsed="false">
      <c r="A2180" s="1" t="s">
        <v>1275</v>
      </c>
      <c r="B2180" s="1" t="n">
        <v>36</v>
      </c>
    </row>
    <row r="2181" customFormat="false" ht="15" hidden="false" customHeight="true" outlineLevel="0" collapsed="false">
      <c r="A2181" s="1" t="s">
        <v>2885</v>
      </c>
      <c r="B2181" s="1" t="n">
        <v>36</v>
      </c>
    </row>
    <row r="2182" customFormat="false" ht="15" hidden="false" customHeight="true" outlineLevel="0" collapsed="false">
      <c r="A2182" s="1" t="s">
        <v>2887</v>
      </c>
      <c r="B2182" s="1" t="n">
        <v>36</v>
      </c>
    </row>
    <row r="2183" customFormat="false" ht="15" hidden="false" customHeight="true" outlineLevel="0" collapsed="false">
      <c r="A2183" s="1" t="s">
        <v>2629</v>
      </c>
      <c r="B2183" s="1" t="n">
        <v>35</v>
      </c>
    </row>
    <row r="2184" customFormat="false" ht="15" hidden="false" customHeight="true" outlineLevel="0" collapsed="false">
      <c r="A2184" s="1" t="s">
        <v>2667</v>
      </c>
      <c r="B2184" s="1" t="n">
        <v>35</v>
      </c>
    </row>
    <row r="2185" customFormat="false" ht="15" hidden="false" customHeight="true" outlineLevel="0" collapsed="false">
      <c r="A2185" s="1" t="s">
        <v>311</v>
      </c>
      <c r="B2185" s="1" t="n">
        <v>35</v>
      </c>
    </row>
    <row r="2186" customFormat="false" ht="15" hidden="false" customHeight="true" outlineLevel="0" collapsed="false">
      <c r="A2186" s="1" t="s">
        <v>2815</v>
      </c>
      <c r="B2186" s="1" t="n">
        <v>35</v>
      </c>
    </row>
    <row r="2187" customFormat="false" ht="15" hidden="false" customHeight="true" outlineLevel="0" collapsed="false">
      <c r="A2187" s="1" t="s">
        <v>1463</v>
      </c>
      <c r="B2187" s="1" t="n">
        <v>35</v>
      </c>
    </row>
    <row r="2188" customFormat="false" ht="15" hidden="false" customHeight="true" outlineLevel="0" collapsed="false">
      <c r="A2188" s="1" t="s">
        <v>1676</v>
      </c>
      <c r="B2188" s="1" t="n">
        <v>35</v>
      </c>
    </row>
    <row r="2189" customFormat="false" ht="15" hidden="false" customHeight="true" outlineLevel="0" collapsed="false">
      <c r="A2189" s="1" t="s">
        <v>2903</v>
      </c>
      <c r="B2189" s="1" t="n">
        <v>35</v>
      </c>
    </row>
    <row r="2190" customFormat="false" ht="15" hidden="false" customHeight="true" outlineLevel="0" collapsed="false">
      <c r="A2190" s="1" t="s">
        <v>1691</v>
      </c>
      <c r="B2190" s="1" t="n">
        <v>35</v>
      </c>
    </row>
    <row r="2191" customFormat="false" ht="15" hidden="false" customHeight="true" outlineLevel="0" collapsed="false">
      <c r="A2191" s="1" t="s">
        <v>2906</v>
      </c>
      <c r="B2191" s="1" t="n">
        <v>35</v>
      </c>
    </row>
    <row r="2192" customFormat="false" ht="15" hidden="false" customHeight="true" outlineLevel="0" collapsed="false">
      <c r="A2192" s="1" t="s">
        <v>2909</v>
      </c>
      <c r="B2192" s="1" t="n">
        <v>35</v>
      </c>
    </row>
    <row r="2193" customFormat="false" ht="15" hidden="false" customHeight="true" outlineLevel="0" collapsed="false">
      <c r="A2193" s="1" t="s">
        <v>2911</v>
      </c>
      <c r="B2193" s="1" t="n">
        <v>35</v>
      </c>
    </row>
    <row r="2194" customFormat="false" ht="15" hidden="false" customHeight="true" outlineLevel="0" collapsed="false">
      <c r="A2194" s="1" t="s">
        <v>2913</v>
      </c>
      <c r="B2194" s="1" t="n">
        <v>35</v>
      </c>
    </row>
    <row r="2195" customFormat="false" ht="15" hidden="false" customHeight="true" outlineLevel="0" collapsed="false">
      <c r="A2195" s="1" t="s">
        <v>2101</v>
      </c>
      <c r="B2195" s="1" t="n">
        <v>34</v>
      </c>
    </row>
    <row r="2196" customFormat="false" ht="15" hidden="false" customHeight="true" outlineLevel="0" collapsed="false">
      <c r="A2196" s="1" t="s">
        <v>2665</v>
      </c>
      <c r="B2196" s="1" t="n">
        <v>34</v>
      </c>
    </row>
    <row r="2197" customFormat="false" ht="15" hidden="false" customHeight="true" outlineLevel="0" collapsed="false">
      <c r="A2197" s="1" t="s">
        <v>1911</v>
      </c>
      <c r="B2197" s="1" t="n">
        <v>34</v>
      </c>
    </row>
    <row r="2198" customFormat="false" ht="15" hidden="false" customHeight="true" outlineLevel="0" collapsed="false">
      <c r="A2198" s="1" t="s">
        <v>1007</v>
      </c>
      <c r="B2198" s="1" t="n">
        <v>34</v>
      </c>
    </row>
    <row r="2199" customFormat="false" ht="15" hidden="false" customHeight="true" outlineLevel="0" collapsed="false">
      <c r="A2199" s="1" t="s">
        <v>381</v>
      </c>
      <c r="B2199" s="1" t="n">
        <v>34</v>
      </c>
    </row>
    <row r="2200" customFormat="false" ht="15" hidden="false" customHeight="true" outlineLevel="0" collapsed="false">
      <c r="A2200" s="1" t="s">
        <v>1868</v>
      </c>
      <c r="B2200" s="1" t="n">
        <v>34</v>
      </c>
    </row>
    <row r="2201" customFormat="false" ht="15" hidden="false" customHeight="true" outlineLevel="0" collapsed="false">
      <c r="A2201" s="1" t="s">
        <v>1376</v>
      </c>
      <c r="B2201" s="1" t="n">
        <v>34</v>
      </c>
    </row>
    <row r="2202" customFormat="false" ht="15" hidden="false" customHeight="true" outlineLevel="0" collapsed="false">
      <c r="A2202" s="1" t="s">
        <v>141</v>
      </c>
      <c r="B2202" s="1" t="n">
        <v>34</v>
      </c>
    </row>
    <row r="2203" customFormat="false" ht="15" hidden="false" customHeight="true" outlineLevel="0" collapsed="false">
      <c r="A2203" s="1" t="s">
        <v>2331</v>
      </c>
      <c r="B2203" s="1" t="n">
        <v>34</v>
      </c>
    </row>
    <row r="2204" customFormat="false" ht="15" hidden="false" customHeight="true" outlineLevel="0" collapsed="false">
      <c r="A2204" s="1" t="s">
        <v>2294</v>
      </c>
      <c r="B2204" s="1" t="n">
        <v>34</v>
      </c>
    </row>
    <row r="2205" customFormat="false" ht="15" hidden="false" customHeight="true" outlineLevel="0" collapsed="false">
      <c r="A2205" s="1" t="s">
        <v>1102</v>
      </c>
      <c r="B2205" s="1" t="n">
        <v>34</v>
      </c>
    </row>
    <row r="2206" customFormat="false" ht="15" hidden="false" customHeight="true" outlineLevel="0" collapsed="false">
      <c r="A2206" s="1" t="s">
        <v>2928</v>
      </c>
      <c r="B2206" s="1" t="n">
        <v>34</v>
      </c>
    </row>
    <row r="2207" customFormat="false" ht="15" hidden="false" customHeight="true" outlineLevel="0" collapsed="false">
      <c r="A2207" s="1" t="s">
        <v>2930</v>
      </c>
      <c r="B2207" s="1" t="n">
        <v>34</v>
      </c>
    </row>
    <row r="2208" customFormat="false" ht="15" hidden="false" customHeight="true" outlineLevel="0" collapsed="false">
      <c r="A2208" s="1" t="s">
        <v>2932</v>
      </c>
      <c r="B2208" s="1" t="n">
        <v>34</v>
      </c>
    </row>
    <row r="2209" customFormat="false" ht="15" hidden="false" customHeight="true" outlineLevel="0" collapsed="false">
      <c r="A2209" s="1" t="s">
        <v>2934</v>
      </c>
      <c r="B2209" s="1" t="n">
        <v>34</v>
      </c>
    </row>
    <row r="2210" customFormat="false" ht="15" hidden="false" customHeight="true" outlineLevel="0" collapsed="false">
      <c r="A2210" s="1" t="s">
        <v>1863</v>
      </c>
      <c r="B2210" s="1" t="n">
        <v>33</v>
      </c>
    </row>
    <row r="2211" customFormat="false" ht="15" hidden="false" customHeight="true" outlineLevel="0" collapsed="false">
      <c r="A2211" s="1" t="s">
        <v>1545</v>
      </c>
      <c r="B2211" s="1" t="n">
        <v>33</v>
      </c>
    </row>
    <row r="2212" customFormat="false" ht="15" hidden="false" customHeight="true" outlineLevel="0" collapsed="false">
      <c r="A2212" s="1" t="s">
        <v>2609</v>
      </c>
      <c r="B2212" s="1" t="n">
        <v>33</v>
      </c>
    </row>
    <row r="2213" customFormat="false" ht="15" hidden="false" customHeight="true" outlineLevel="0" collapsed="false">
      <c r="A2213" s="1" t="s">
        <v>2441</v>
      </c>
      <c r="B2213" s="1" t="n">
        <v>33</v>
      </c>
    </row>
    <row r="2214" customFormat="false" ht="15" hidden="false" customHeight="true" outlineLevel="0" collapsed="false">
      <c r="A2214" s="1" t="s">
        <v>1765</v>
      </c>
      <c r="B2214" s="1" t="n">
        <v>33</v>
      </c>
    </row>
    <row r="2215" customFormat="false" ht="15" hidden="false" customHeight="true" outlineLevel="0" collapsed="false">
      <c r="A2215" s="1" t="s">
        <v>991</v>
      </c>
      <c r="B2215" s="1" t="n">
        <v>33</v>
      </c>
    </row>
    <row r="2216" customFormat="false" ht="15" hidden="false" customHeight="true" outlineLevel="0" collapsed="false">
      <c r="A2216" s="1" t="s">
        <v>2628</v>
      </c>
      <c r="B2216" s="1" t="n">
        <v>33</v>
      </c>
    </row>
    <row r="2217" customFormat="false" ht="15" hidden="false" customHeight="true" outlineLevel="0" collapsed="false">
      <c r="A2217" s="1" t="s">
        <v>2948</v>
      </c>
      <c r="B2217" s="1" t="n">
        <v>33</v>
      </c>
    </row>
    <row r="2218" customFormat="false" ht="15" hidden="false" customHeight="true" outlineLevel="0" collapsed="false">
      <c r="A2218" s="1" t="s">
        <v>2951</v>
      </c>
      <c r="B2218" s="1" t="n">
        <v>33</v>
      </c>
    </row>
    <row r="2219" customFormat="false" ht="15" hidden="false" customHeight="true" outlineLevel="0" collapsed="false">
      <c r="A2219" s="1" t="s">
        <v>2191</v>
      </c>
      <c r="B2219" s="1" t="n">
        <v>33</v>
      </c>
    </row>
    <row r="2220" customFormat="false" ht="15" hidden="false" customHeight="true" outlineLevel="0" collapsed="false">
      <c r="A2220" s="1" t="s">
        <v>2953</v>
      </c>
      <c r="B2220" s="1" t="n">
        <v>33</v>
      </c>
    </row>
    <row r="2221" customFormat="false" ht="15" hidden="false" customHeight="true" outlineLevel="0" collapsed="false">
      <c r="A2221" s="1" t="s">
        <v>2956</v>
      </c>
      <c r="B2221" s="1" t="n">
        <v>33</v>
      </c>
    </row>
    <row r="2222" customFormat="false" ht="15" hidden="false" customHeight="true" outlineLevel="0" collapsed="false">
      <c r="A2222" s="1" t="s">
        <v>2959</v>
      </c>
      <c r="B2222" s="1" t="n">
        <v>33</v>
      </c>
    </row>
    <row r="2223" customFormat="false" ht="15" hidden="false" customHeight="true" outlineLevel="0" collapsed="false">
      <c r="A2223" s="1" t="s">
        <v>2775</v>
      </c>
      <c r="B2223" s="1" t="n">
        <v>32</v>
      </c>
    </row>
    <row r="2224" customFormat="false" ht="15" hidden="false" customHeight="true" outlineLevel="0" collapsed="false">
      <c r="A2224" s="1" t="s">
        <v>2160</v>
      </c>
      <c r="B2224" s="1" t="n">
        <v>32</v>
      </c>
    </row>
    <row r="2225" customFormat="false" ht="15" hidden="false" customHeight="true" outlineLevel="0" collapsed="false">
      <c r="A2225" s="1" t="s">
        <v>2389</v>
      </c>
      <c r="B2225" s="1" t="n">
        <v>32</v>
      </c>
    </row>
    <row r="2226" customFormat="false" ht="15" hidden="false" customHeight="true" outlineLevel="0" collapsed="false">
      <c r="A2226" s="1" t="s">
        <v>1710</v>
      </c>
      <c r="B2226" s="1" t="n">
        <v>32</v>
      </c>
    </row>
    <row r="2227" customFormat="false" ht="15" hidden="false" customHeight="true" outlineLevel="0" collapsed="false">
      <c r="A2227" s="1" t="s">
        <v>2968</v>
      </c>
      <c r="B2227" s="1" t="n">
        <v>32</v>
      </c>
    </row>
    <row r="2228" customFormat="false" ht="15" hidden="false" customHeight="true" outlineLevel="0" collapsed="false">
      <c r="A2228" s="1" t="s">
        <v>1225</v>
      </c>
      <c r="B2228" s="1" t="n">
        <v>31</v>
      </c>
    </row>
    <row r="2229" customFormat="false" ht="15" hidden="false" customHeight="true" outlineLevel="0" collapsed="false">
      <c r="A2229" s="1" t="s">
        <v>2188</v>
      </c>
      <c r="B2229" s="1" t="n">
        <v>31</v>
      </c>
    </row>
    <row r="2230" customFormat="false" ht="15" hidden="false" customHeight="true" outlineLevel="0" collapsed="false">
      <c r="A2230" s="1" t="s">
        <v>1163</v>
      </c>
      <c r="B2230" s="1" t="n">
        <v>31</v>
      </c>
    </row>
    <row r="2231" customFormat="false" ht="15" hidden="false" customHeight="true" outlineLevel="0" collapsed="false">
      <c r="A2231" s="1" t="s">
        <v>2974</v>
      </c>
      <c r="B2231" s="1" t="n">
        <v>31</v>
      </c>
    </row>
    <row r="2232" customFormat="false" ht="15" hidden="false" customHeight="true" outlineLevel="0" collapsed="false">
      <c r="A2232" s="1" t="s">
        <v>2976</v>
      </c>
      <c r="B2232" s="1" t="n">
        <v>31</v>
      </c>
    </row>
    <row r="2233" customFormat="false" ht="15" hidden="false" customHeight="true" outlineLevel="0" collapsed="false">
      <c r="A2233" s="1" t="s">
        <v>2708</v>
      </c>
      <c r="B2233" s="1" t="n">
        <v>30</v>
      </c>
    </row>
    <row r="2234" customFormat="false" ht="15" hidden="false" customHeight="true" outlineLevel="0" collapsed="false">
      <c r="A2234" s="1" t="s">
        <v>2127</v>
      </c>
      <c r="B2234" s="1" t="n">
        <v>30</v>
      </c>
    </row>
    <row r="2235" customFormat="false" ht="15" hidden="false" customHeight="true" outlineLevel="0" collapsed="false">
      <c r="A2235" s="1" t="s">
        <v>1150</v>
      </c>
      <c r="B2235" s="1" t="n">
        <v>30</v>
      </c>
    </row>
    <row r="2236" customFormat="false" ht="15" hidden="false" customHeight="true" outlineLevel="0" collapsed="false">
      <c r="A2236" s="1" t="s">
        <v>520</v>
      </c>
      <c r="B2236" s="1" t="n">
        <v>30</v>
      </c>
    </row>
    <row r="2237" customFormat="false" ht="15" hidden="false" customHeight="true" outlineLevel="0" collapsed="false">
      <c r="A2237" s="1" t="s">
        <v>1302</v>
      </c>
      <c r="B2237" s="1" t="n">
        <v>30</v>
      </c>
    </row>
    <row r="2238" customFormat="false" ht="15" hidden="false" customHeight="true" outlineLevel="0" collapsed="false">
      <c r="A2238" s="1" t="s">
        <v>1489</v>
      </c>
      <c r="B2238" s="1" t="n">
        <v>30</v>
      </c>
    </row>
    <row r="2239" customFormat="false" ht="15" hidden="false" customHeight="true" outlineLevel="0" collapsed="false">
      <c r="A2239" s="1" t="s">
        <v>2451</v>
      </c>
      <c r="B2239" s="1" t="n">
        <v>30</v>
      </c>
    </row>
    <row r="2240" customFormat="false" ht="15" hidden="false" customHeight="true" outlineLevel="0" collapsed="false">
      <c r="A2240" s="1" t="s">
        <v>1629</v>
      </c>
      <c r="B2240" s="1" t="n">
        <v>30</v>
      </c>
    </row>
    <row r="2241" customFormat="false" ht="15" hidden="false" customHeight="true" outlineLevel="0" collapsed="false">
      <c r="A2241" s="1" t="s">
        <v>717</v>
      </c>
      <c r="B2241" s="1" t="n">
        <v>30</v>
      </c>
    </row>
    <row r="2242" customFormat="false" ht="15" hidden="false" customHeight="true" outlineLevel="0" collapsed="false">
      <c r="A2242" s="1" t="s">
        <v>2995</v>
      </c>
      <c r="B2242" s="1" t="n">
        <v>30</v>
      </c>
    </row>
    <row r="2243" customFormat="false" ht="15" hidden="false" customHeight="true" outlineLevel="0" collapsed="false">
      <c r="A2243" s="1" t="s">
        <v>2998</v>
      </c>
      <c r="B2243" s="1" t="n">
        <v>30</v>
      </c>
    </row>
    <row r="2244" customFormat="false" ht="15" hidden="false" customHeight="true" outlineLevel="0" collapsed="false">
      <c r="A2244" s="1" t="s">
        <v>2136</v>
      </c>
      <c r="B2244" s="1" t="n">
        <v>29</v>
      </c>
    </row>
    <row r="2245" customFormat="false" ht="15" hidden="false" customHeight="true" outlineLevel="0" collapsed="false">
      <c r="A2245" s="1" t="s">
        <v>2795</v>
      </c>
      <c r="B2245" s="1" t="n">
        <v>29</v>
      </c>
    </row>
    <row r="2246" customFormat="false" ht="15" hidden="false" customHeight="true" outlineLevel="0" collapsed="false">
      <c r="A2246" s="1" t="s">
        <v>2773</v>
      </c>
      <c r="B2246" s="1" t="n">
        <v>29</v>
      </c>
    </row>
    <row r="2247" customFormat="false" ht="15" hidden="false" customHeight="true" outlineLevel="0" collapsed="false">
      <c r="A2247" s="1" t="s">
        <v>1577</v>
      </c>
      <c r="B2247" s="1" t="n">
        <v>29</v>
      </c>
    </row>
    <row r="2248" customFormat="false" ht="15" hidden="false" customHeight="true" outlineLevel="0" collapsed="false">
      <c r="A2248" s="1" t="s">
        <v>3012</v>
      </c>
      <c r="B2248" s="1" t="n">
        <v>29</v>
      </c>
    </row>
    <row r="2249" customFormat="false" ht="15" hidden="false" customHeight="true" outlineLevel="0" collapsed="false">
      <c r="A2249" s="1" t="s">
        <v>3014</v>
      </c>
      <c r="B2249" s="1" t="n">
        <v>29</v>
      </c>
    </row>
    <row r="2250" customFormat="false" ht="15" hidden="false" customHeight="true" outlineLevel="0" collapsed="false">
      <c r="A2250" s="1" t="s">
        <v>3016</v>
      </c>
      <c r="B2250" s="1" t="n">
        <v>29</v>
      </c>
    </row>
    <row r="2251" customFormat="false" ht="15" hidden="false" customHeight="true" outlineLevel="0" collapsed="false">
      <c r="A2251" s="1" t="s">
        <v>3018</v>
      </c>
      <c r="B2251" s="1" t="n">
        <v>29</v>
      </c>
    </row>
    <row r="2252" customFormat="false" ht="15" hidden="false" customHeight="true" outlineLevel="0" collapsed="false">
      <c r="A2252" s="1" t="s">
        <v>3020</v>
      </c>
      <c r="B2252" s="1" t="n">
        <v>29</v>
      </c>
    </row>
    <row r="2253" customFormat="false" ht="15" hidden="false" customHeight="true" outlineLevel="0" collapsed="false">
      <c r="A2253" s="1" t="s">
        <v>3023</v>
      </c>
      <c r="B2253" s="1" t="n">
        <v>29</v>
      </c>
    </row>
    <row r="2254" customFormat="false" ht="15" hidden="false" customHeight="true" outlineLevel="0" collapsed="false">
      <c r="A2254" s="1" t="s">
        <v>2771</v>
      </c>
      <c r="B2254" s="1" t="n">
        <v>28</v>
      </c>
    </row>
    <row r="2255" customFormat="false" ht="15" hidden="false" customHeight="true" outlineLevel="0" collapsed="false">
      <c r="A2255" s="1" t="s">
        <v>2993</v>
      </c>
      <c r="B2255" s="1" t="n">
        <v>28</v>
      </c>
    </row>
    <row r="2256" customFormat="false" ht="15" hidden="false" customHeight="true" outlineLevel="0" collapsed="false">
      <c r="A2256" s="1" t="s">
        <v>2291</v>
      </c>
      <c r="B2256" s="1" t="n">
        <v>28</v>
      </c>
    </row>
    <row r="2257" customFormat="false" ht="15" hidden="false" customHeight="true" outlineLevel="0" collapsed="false">
      <c r="A2257" s="1" t="s">
        <v>3027</v>
      </c>
      <c r="B2257" s="1" t="n">
        <v>28</v>
      </c>
    </row>
    <row r="2258" customFormat="false" ht="15" hidden="false" customHeight="true" outlineLevel="0" collapsed="false">
      <c r="A2258" s="1" t="s">
        <v>3029</v>
      </c>
      <c r="B2258" s="1" t="n">
        <v>28</v>
      </c>
    </row>
    <row r="2259" customFormat="false" ht="15" hidden="false" customHeight="true" outlineLevel="0" collapsed="false">
      <c r="A2259" s="1" t="s">
        <v>3031</v>
      </c>
      <c r="B2259" s="1" t="n">
        <v>28</v>
      </c>
    </row>
    <row r="2260" customFormat="false" ht="15" hidden="false" customHeight="true" outlineLevel="0" collapsed="false">
      <c r="A2260" s="1" t="s">
        <v>2883</v>
      </c>
      <c r="B2260" s="1" t="n">
        <v>27</v>
      </c>
    </row>
    <row r="2261" customFormat="false" ht="15" hidden="false" customHeight="true" outlineLevel="0" collapsed="false">
      <c r="A2261" s="1" t="s">
        <v>2220</v>
      </c>
      <c r="B2261" s="1" t="n">
        <v>27</v>
      </c>
    </row>
    <row r="2262" customFormat="false" ht="15" hidden="false" customHeight="true" outlineLevel="0" collapsed="false">
      <c r="A2262" s="1" t="s">
        <v>3010</v>
      </c>
      <c r="B2262" s="1" t="n">
        <v>27</v>
      </c>
    </row>
    <row r="2263" customFormat="false" ht="15" hidden="false" customHeight="true" outlineLevel="0" collapsed="false">
      <c r="A2263" s="1" t="s">
        <v>1644</v>
      </c>
      <c r="B2263" s="1" t="n">
        <v>27</v>
      </c>
    </row>
    <row r="2264" customFormat="false" ht="15" hidden="false" customHeight="true" outlineLevel="0" collapsed="false">
      <c r="A2264" s="1" t="s">
        <v>2731</v>
      </c>
      <c r="B2264" s="1" t="n">
        <v>27</v>
      </c>
    </row>
    <row r="2265" customFormat="false" ht="15" hidden="false" customHeight="true" outlineLevel="0" collapsed="false">
      <c r="A2265" s="1" t="s">
        <v>1145</v>
      </c>
      <c r="B2265" s="1" t="n">
        <v>27</v>
      </c>
    </row>
    <row r="2266" customFormat="false" ht="15" hidden="false" customHeight="true" outlineLevel="0" collapsed="false">
      <c r="A2266" s="1" t="s">
        <v>815</v>
      </c>
      <c r="B2266" s="1" t="n">
        <v>27</v>
      </c>
    </row>
    <row r="2267" customFormat="false" ht="15" hidden="false" customHeight="true" outlineLevel="0" collapsed="false">
      <c r="A2267" s="1" t="s">
        <v>1438</v>
      </c>
      <c r="B2267" s="1" t="n">
        <v>27</v>
      </c>
    </row>
    <row r="2268" customFormat="false" ht="15" hidden="false" customHeight="true" outlineLevel="0" collapsed="false">
      <c r="A2268" s="1" t="s">
        <v>2050</v>
      </c>
      <c r="B2268" s="1" t="n">
        <v>27</v>
      </c>
    </row>
    <row r="2269" customFormat="false" ht="15" hidden="false" customHeight="true" outlineLevel="0" collapsed="false">
      <c r="A2269" s="1" t="s">
        <v>1923</v>
      </c>
      <c r="B2269" s="1" t="n">
        <v>27</v>
      </c>
    </row>
    <row r="2270" customFormat="false" ht="15" hidden="false" customHeight="true" outlineLevel="0" collapsed="false">
      <c r="A2270" s="1" t="s">
        <v>1507</v>
      </c>
      <c r="B2270" s="1" t="n">
        <v>27</v>
      </c>
    </row>
    <row r="2271" customFormat="false" ht="15" hidden="false" customHeight="true" outlineLevel="0" collapsed="false">
      <c r="A2271" s="1" t="s">
        <v>3042</v>
      </c>
      <c r="B2271" s="1" t="n">
        <v>27</v>
      </c>
    </row>
    <row r="2272" customFormat="false" ht="15" hidden="false" customHeight="true" outlineLevel="0" collapsed="false">
      <c r="A2272" s="1" t="s">
        <v>3045</v>
      </c>
      <c r="B2272" s="1" t="n">
        <v>27</v>
      </c>
    </row>
    <row r="2273" customFormat="false" ht="15" hidden="false" customHeight="true" outlineLevel="0" collapsed="false">
      <c r="A2273" s="1" t="s">
        <v>3047</v>
      </c>
      <c r="B2273" s="1" t="n">
        <v>27</v>
      </c>
    </row>
    <row r="2274" customFormat="false" ht="15" hidden="false" customHeight="true" outlineLevel="0" collapsed="false">
      <c r="A2274" s="1" t="s">
        <v>1700</v>
      </c>
      <c r="B2274" s="1" t="n">
        <v>26</v>
      </c>
    </row>
    <row r="2275" customFormat="false" ht="15" hidden="false" customHeight="true" outlineLevel="0" collapsed="false">
      <c r="A2275" s="1" t="s">
        <v>2082</v>
      </c>
      <c r="B2275" s="1" t="n">
        <v>26</v>
      </c>
    </row>
    <row r="2276" customFormat="false" ht="15" hidden="false" customHeight="true" outlineLevel="0" collapsed="false">
      <c r="A2276" s="1" t="s">
        <v>2334</v>
      </c>
      <c r="B2276" s="1" t="n">
        <v>26</v>
      </c>
    </row>
    <row r="2277" customFormat="false" ht="15" hidden="false" customHeight="true" outlineLevel="0" collapsed="false">
      <c r="A2277" s="1" t="s">
        <v>1260</v>
      </c>
      <c r="B2277" s="1" t="n">
        <v>26</v>
      </c>
    </row>
    <row r="2278" customFormat="false" ht="15" hidden="false" customHeight="true" outlineLevel="0" collapsed="false">
      <c r="A2278" s="1" t="s">
        <v>1467</v>
      </c>
      <c r="B2278" s="1" t="n">
        <v>26</v>
      </c>
    </row>
    <row r="2279" customFormat="false" ht="15" hidden="false" customHeight="true" outlineLevel="0" collapsed="false">
      <c r="A2279" s="1" t="s">
        <v>1360</v>
      </c>
      <c r="B2279" s="1" t="n">
        <v>26</v>
      </c>
    </row>
    <row r="2280" customFormat="false" ht="15" hidden="false" customHeight="true" outlineLevel="0" collapsed="false">
      <c r="A2280" s="1" t="s">
        <v>1885</v>
      </c>
      <c r="B2280" s="1" t="n">
        <v>26</v>
      </c>
    </row>
    <row r="2281" customFormat="false" ht="15" hidden="false" customHeight="true" outlineLevel="0" collapsed="false">
      <c r="A2281" s="1" t="s">
        <v>3063</v>
      </c>
      <c r="B2281" s="1" t="n">
        <v>26</v>
      </c>
    </row>
    <row r="2282" customFormat="false" ht="15" hidden="false" customHeight="true" outlineLevel="0" collapsed="false">
      <c r="A2282" s="1" t="s">
        <v>3065</v>
      </c>
      <c r="B2282" s="1" t="n">
        <v>26</v>
      </c>
    </row>
    <row r="2283" customFormat="false" ht="15" hidden="false" customHeight="true" outlineLevel="0" collapsed="false">
      <c r="A2283" s="1" t="s">
        <v>2017</v>
      </c>
      <c r="B2283" s="1" t="n">
        <v>25</v>
      </c>
    </row>
    <row r="2284" customFormat="false" ht="15" hidden="false" customHeight="true" outlineLevel="0" collapsed="false">
      <c r="A2284" s="1" t="s">
        <v>2650</v>
      </c>
      <c r="B2284" s="1" t="n">
        <v>25</v>
      </c>
    </row>
    <row r="2285" customFormat="false" ht="15" hidden="false" customHeight="true" outlineLevel="0" collapsed="false">
      <c r="A2285" s="1" t="s">
        <v>2144</v>
      </c>
      <c r="B2285" s="1" t="n">
        <v>25</v>
      </c>
    </row>
    <row r="2286" customFormat="false" ht="15" hidden="false" customHeight="true" outlineLevel="0" collapsed="false">
      <c r="A2286" s="1" t="s">
        <v>1267</v>
      </c>
      <c r="B2286" s="1" t="n">
        <v>25</v>
      </c>
    </row>
    <row r="2287" customFormat="false" ht="15" hidden="false" customHeight="true" outlineLevel="0" collapsed="false">
      <c r="A2287" s="1" t="s">
        <v>2301</v>
      </c>
      <c r="B2287" s="1" t="n">
        <v>25</v>
      </c>
    </row>
    <row r="2288" customFormat="false" ht="15" hidden="false" customHeight="true" outlineLevel="0" collapsed="false">
      <c r="A2288" s="1" t="s">
        <v>2112</v>
      </c>
      <c r="B2288" s="1" t="n">
        <v>25</v>
      </c>
    </row>
    <row r="2289" customFormat="false" ht="15" hidden="false" customHeight="true" outlineLevel="0" collapsed="false">
      <c r="A2289" s="1" t="s">
        <v>1935</v>
      </c>
      <c r="B2289" s="1" t="n">
        <v>25</v>
      </c>
    </row>
    <row r="2290" customFormat="false" ht="15" hidden="false" customHeight="true" outlineLevel="0" collapsed="false">
      <c r="A2290" s="1" t="s">
        <v>1937</v>
      </c>
      <c r="B2290" s="1" t="n">
        <v>25</v>
      </c>
    </row>
    <row r="2291" customFormat="false" ht="15" hidden="false" customHeight="true" outlineLevel="0" collapsed="false">
      <c r="A2291" s="1" t="s">
        <v>1898</v>
      </c>
      <c r="B2291" s="1" t="n">
        <v>25</v>
      </c>
    </row>
    <row r="2292" customFormat="false" ht="15" hidden="false" customHeight="true" outlineLevel="0" collapsed="false">
      <c r="A2292" s="1" t="s">
        <v>1981</v>
      </c>
      <c r="B2292" s="1" t="n">
        <v>25</v>
      </c>
    </row>
    <row r="2293" customFormat="false" ht="15" hidden="false" customHeight="true" outlineLevel="0" collapsed="false">
      <c r="A2293" s="1" t="s">
        <v>3077</v>
      </c>
      <c r="B2293" s="1" t="n">
        <v>25</v>
      </c>
    </row>
    <row r="2294" customFormat="false" ht="15" hidden="false" customHeight="true" outlineLevel="0" collapsed="false">
      <c r="A2294" s="1" t="s">
        <v>3079</v>
      </c>
      <c r="B2294" s="1" t="n">
        <v>25</v>
      </c>
    </row>
    <row r="2295" customFormat="false" ht="15" hidden="false" customHeight="true" outlineLevel="0" collapsed="false">
      <c r="A2295" s="1" t="s">
        <v>3081</v>
      </c>
      <c r="B2295" s="1" t="n">
        <v>25</v>
      </c>
    </row>
    <row r="2296" customFormat="false" ht="15" hidden="false" customHeight="true" outlineLevel="0" collapsed="false">
      <c r="A2296" s="1" t="s">
        <v>3083</v>
      </c>
      <c r="B2296" s="1" t="n">
        <v>25</v>
      </c>
    </row>
    <row r="2297" customFormat="false" ht="15" hidden="false" customHeight="true" outlineLevel="0" collapsed="false">
      <c r="A2297" s="1" t="s">
        <v>3085</v>
      </c>
      <c r="B2297" s="1" t="n">
        <v>25</v>
      </c>
    </row>
    <row r="2298" customFormat="false" ht="15" hidden="false" customHeight="true" outlineLevel="0" collapsed="false">
      <c r="A2298" s="1" t="s">
        <v>3088</v>
      </c>
      <c r="B2298" s="1" t="n">
        <v>25</v>
      </c>
    </row>
    <row r="2299" customFormat="false" ht="15" hidden="false" customHeight="true" outlineLevel="0" collapsed="false">
      <c r="A2299" s="1" t="s">
        <v>1961</v>
      </c>
      <c r="B2299" s="1" t="n">
        <v>24</v>
      </c>
    </row>
    <row r="2300" customFormat="false" ht="15" hidden="false" customHeight="true" outlineLevel="0" collapsed="false">
      <c r="A2300" s="1" t="s">
        <v>2290</v>
      </c>
      <c r="B2300" s="1" t="n">
        <v>24</v>
      </c>
    </row>
    <row r="2301" customFormat="false" ht="15" hidden="false" customHeight="true" outlineLevel="0" collapsed="false">
      <c r="A2301" s="1" t="s">
        <v>2902</v>
      </c>
      <c r="B2301" s="1" t="n">
        <v>24</v>
      </c>
    </row>
    <row r="2302" customFormat="false" ht="15" hidden="false" customHeight="true" outlineLevel="0" collapsed="false">
      <c r="A2302" s="1" t="s">
        <v>1656</v>
      </c>
      <c r="B2302" s="1" t="n">
        <v>24</v>
      </c>
    </row>
    <row r="2303" customFormat="false" ht="15" hidden="false" customHeight="true" outlineLevel="0" collapsed="false">
      <c r="A2303" s="1" t="s">
        <v>3101</v>
      </c>
      <c r="B2303" s="1" t="n">
        <v>24</v>
      </c>
    </row>
    <row r="2304" customFormat="false" ht="15" hidden="false" customHeight="true" outlineLevel="0" collapsed="false">
      <c r="A2304" s="1" t="s">
        <v>3104</v>
      </c>
      <c r="B2304" s="1" t="n">
        <v>24</v>
      </c>
    </row>
    <row r="2305" customFormat="false" ht="15" hidden="false" customHeight="true" outlineLevel="0" collapsed="false">
      <c r="A2305" s="1" t="s">
        <v>3106</v>
      </c>
      <c r="B2305" s="1" t="n">
        <v>24</v>
      </c>
    </row>
    <row r="2306" customFormat="false" ht="15" hidden="false" customHeight="true" outlineLevel="0" collapsed="false">
      <c r="A2306" s="1" t="s">
        <v>3109</v>
      </c>
      <c r="B2306" s="1" t="n">
        <v>24</v>
      </c>
    </row>
    <row r="2307" customFormat="false" ht="15" hidden="false" customHeight="true" outlineLevel="0" collapsed="false">
      <c r="A2307" s="1" t="s">
        <v>3111</v>
      </c>
      <c r="B2307" s="1" t="n">
        <v>24</v>
      </c>
    </row>
    <row r="2308" customFormat="false" ht="15" hidden="false" customHeight="true" outlineLevel="0" collapsed="false">
      <c r="A2308" s="1" t="s">
        <v>3113</v>
      </c>
      <c r="B2308" s="1" t="n">
        <v>24</v>
      </c>
    </row>
    <row r="2309" customFormat="false" ht="15" hidden="false" customHeight="true" outlineLevel="0" collapsed="false">
      <c r="A2309" s="1" t="s">
        <v>624</v>
      </c>
      <c r="B2309" s="1" t="n">
        <v>23</v>
      </c>
    </row>
    <row r="2310" customFormat="false" ht="15" hidden="false" customHeight="true" outlineLevel="0" collapsed="false">
      <c r="A2310" s="1" t="s">
        <v>1922</v>
      </c>
      <c r="B2310" s="1" t="n">
        <v>23</v>
      </c>
    </row>
    <row r="2311" customFormat="false" ht="15" hidden="false" customHeight="true" outlineLevel="0" collapsed="false">
      <c r="A2311" s="1" t="s">
        <v>3130</v>
      </c>
      <c r="B2311" s="1" t="n">
        <v>23</v>
      </c>
    </row>
    <row r="2312" customFormat="false" ht="15" hidden="false" customHeight="true" outlineLevel="0" collapsed="false">
      <c r="A2312" s="1" t="s">
        <v>3133</v>
      </c>
      <c r="B2312" s="1" t="n">
        <v>23</v>
      </c>
    </row>
    <row r="2313" customFormat="false" ht="15" hidden="false" customHeight="true" outlineLevel="0" collapsed="false">
      <c r="A2313" s="1" t="s">
        <v>3135</v>
      </c>
      <c r="B2313" s="1" t="n">
        <v>23</v>
      </c>
    </row>
    <row r="2314" customFormat="false" ht="15" hidden="false" customHeight="true" outlineLevel="0" collapsed="false">
      <c r="A2314" s="1" t="s">
        <v>3137</v>
      </c>
      <c r="B2314" s="1" t="n">
        <v>23</v>
      </c>
    </row>
    <row r="2315" customFormat="false" ht="15" hidden="false" customHeight="true" outlineLevel="0" collapsed="false">
      <c r="A2315" s="1" t="s">
        <v>3139</v>
      </c>
      <c r="B2315" s="1" t="n">
        <v>23</v>
      </c>
    </row>
    <row r="2316" customFormat="false" ht="15" hidden="false" customHeight="true" outlineLevel="0" collapsed="false">
      <c r="A2316" s="1" t="s">
        <v>2814</v>
      </c>
      <c r="B2316" s="1" t="n">
        <v>22</v>
      </c>
    </row>
    <row r="2317" customFormat="false" ht="15" hidden="false" customHeight="true" outlineLevel="0" collapsed="false">
      <c r="A2317" s="1" t="s">
        <v>3148</v>
      </c>
      <c r="B2317" s="1" t="n">
        <v>22</v>
      </c>
    </row>
    <row r="2318" customFormat="false" ht="15" hidden="false" customHeight="true" outlineLevel="0" collapsed="false">
      <c r="A2318" s="1" t="s">
        <v>595</v>
      </c>
      <c r="B2318" s="1" t="n">
        <v>22</v>
      </c>
    </row>
    <row r="2319" customFormat="false" ht="15" hidden="false" customHeight="true" outlineLevel="0" collapsed="false">
      <c r="A2319" s="1" t="s">
        <v>3150</v>
      </c>
      <c r="B2319" s="1" t="n">
        <v>22</v>
      </c>
    </row>
    <row r="2320" customFormat="false" ht="15" hidden="false" customHeight="true" outlineLevel="0" collapsed="false">
      <c r="A2320" s="1" t="s">
        <v>2991</v>
      </c>
      <c r="B2320" s="1" t="n">
        <v>22</v>
      </c>
    </row>
    <row r="2321" customFormat="false" ht="15" hidden="false" customHeight="true" outlineLevel="0" collapsed="false">
      <c r="A2321" s="1" t="s">
        <v>2168</v>
      </c>
      <c r="B2321" s="1" t="n">
        <v>22</v>
      </c>
    </row>
    <row r="2322" customFormat="false" ht="15" hidden="false" customHeight="true" outlineLevel="0" collapsed="false">
      <c r="A2322" s="1" t="s">
        <v>3153</v>
      </c>
      <c r="B2322" s="1" t="n">
        <v>22</v>
      </c>
    </row>
    <row r="2323" customFormat="false" ht="15" hidden="false" customHeight="true" outlineLevel="0" collapsed="false">
      <c r="A2323" s="1" t="s">
        <v>3155</v>
      </c>
      <c r="B2323" s="1" t="n">
        <v>22</v>
      </c>
    </row>
    <row r="2324" customFormat="false" ht="15" hidden="false" customHeight="true" outlineLevel="0" collapsed="false">
      <c r="A2324" s="1" t="s">
        <v>3157</v>
      </c>
      <c r="B2324" s="1" t="n">
        <v>22</v>
      </c>
    </row>
    <row r="2325" customFormat="false" ht="15" hidden="false" customHeight="true" outlineLevel="0" collapsed="false">
      <c r="A2325" s="1" t="s">
        <v>3159</v>
      </c>
      <c r="B2325" s="1" t="n">
        <v>22</v>
      </c>
    </row>
    <row r="2326" customFormat="false" ht="15" hidden="false" customHeight="true" outlineLevel="0" collapsed="false">
      <c r="A2326" s="1" t="s">
        <v>3161</v>
      </c>
      <c r="B2326" s="1" t="n">
        <v>22</v>
      </c>
    </row>
    <row r="2327" customFormat="false" ht="15" hidden="false" customHeight="true" outlineLevel="0" collapsed="false">
      <c r="A2327" s="1" t="s">
        <v>3163</v>
      </c>
      <c r="B2327" s="1" t="n">
        <v>22</v>
      </c>
    </row>
    <row r="2328" customFormat="false" ht="15" hidden="false" customHeight="true" outlineLevel="0" collapsed="false">
      <c r="A2328" s="1" t="s">
        <v>2972</v>
      </c>
      <c r="B2328" s="1" t="n">
        <v>21</v>
      </c>
    </row>
    <row r="2329" customFormat="false" ht="15" hidden="false" customHeight="true" outlineLevel="0" collapsed="false">
      <c r="A2329" s="1" t="s">
        <v>2080</v>
      </c>
      <c r="B2329" s="1" t="n">
        <v>21</v>
      </c>
    </row>
    <row r="2330" customFormat="false" ht="15" hidden="false" customHeight="true" outlineLevel="0" collapsed="false">
      <c r="A2330" s="1" t="s">
        <v>2812</v>
      </c>
      <c r="B2330" s="1" t="n">
        <v>21</v>
      </c>
    </row>
    <row r="2331" customFormat="false" ht="15" hidden="false" customHeight="true" outlineLevel="0" collapsed="false">
      <c r="A2331" s="1" t="s">
        <v>2486</v>
      </c>
      <c r="B2331" s="1" t="n">
        <v>21</v>
      </c>
    </row>
    <row r="2332" customFormat="false" ht="15" hidden="false" customHeight="true" outlineLevel="0" collapsed="false">
      <c r="A2332" s="1" t="s">
        <v>2477</v>
      </c>
      <c r="B2332" s="1" t="n">
        <v>21</v>
      </c>
    </row>
    <row r="2333" customFormat="false" ht="15" hidden="false" customHeight="true" outlineLevel="0" collapsed="false">
      <c r="A2333" s="1" t="s">
        <v>2925</v>
      </c>
      <c r="B2333" s="1" t="n">
        <v>21</v>
      </c>
    </row>
    <row r="2334" customFormat="false" ht="15" hidden="false" customHeight="true" outlineLevel="0" collapsed="false">
      <c r="A2334" s="1" t="s">
        <v>1671</v>
      </c>
      <c r="B2334" s="1" t="n">
        <v>21</v>
      </c>
    </row>
    <row r="2335" customFormat="false" ht="15" hidden="false" customHeight="true" outlineLevel="0" collapsed="false">
      <c r="A2335" s="1" t="s">
        <v>2131</v>
      </c>
      <c r="B2335" s="1" t="n">
        <v>21</v>
      </c>
    </row>
    <row r="2336" customFormat="false" ht="15" hidden="false" customHeight="true" outlineLevel="0" collapsed="false">
      <c r="A2336" s="1" t="s">
        <v>1988</v>
      </c>
      <c r="B2336" s="1" t="n">
        <v>21</v>
      </c>
    </row>
    <row r="2337" customFormat="false" ht="15" hidden="false" customHeight="true" outlineLevel="0" collapsed="false">
      <c r="A2337" s="1" t="s">
        <v>1748</v>
      </c>
      <c r="B2337" s="1" t="n">
        <v>21</v>
      </c>
    </row>
    <row r="2338" customFormat="false" ht="15" hidden="false" customHeight="true" outlineLevel="0" collapsed="false">
      <c r="A2338" s="1" t="s">
        <v>3172</v>
      </c>
      <c r="B2338" s="1" t="n">
        <v>21</v>
      </c>
    </row>
    <row r="2339" customFormat="false" ht="15" hidden="false" customHeight="true" outlineLevel="0" collapsed="false">
      <c r="A2339" s="1" t="s">
        <v>3174</v>
      </c>
      <c r="B2339" s="1" t="n">
        <v>21</v>
      </c>
    </row>
    <row r="2340" customFormat="false" ht="15" hidden="false" customHeight="true" outlineLevel="0" collapsed="false">
      <c r="A2340" s="1" t="s">
        <v>3177</v>
      </c>
      <c r="B2340" s="1" t="n">
        <v>21</v>
      </c>
    </row>
    <row r="2341" customFormat="false" ht="15" hidden="false" customHeight="true" outlineLevel="0" collapsed="false">
      <c r="A2341" s="1" t="s">
        <v>2257</v>
      </c>
      <c r="B2341" s="1" t="n">
        <v>20</v>
      </c>
    </row>
    <row r="2342" customFormat="false" ht="15" hidden="false" customHeight="true" outlineLevel="0" collapsed="false">
      <c r="A2342" s="1" t="s">
        <v>2989</v>
      </c>
      <c r="B2342" s="1" t="n">
        <v>20</v>
      </c>
    </row>
    <row r="2343" customFormat="false" ht="15" hidden="false" customHeight="true" outlineLevel="0" collapsed="false">
      <c r="A2343" s="1" t="s">
        <v>2319</v>
      </c>
      <c r="B2343" s="1" t="n">
        <v>20</v>
      </c>
    </row>
    <row r="2344" customFormat="false" ht="15" hidden="false" customHeight="true" outlineLevel="0" collapsed="false">
      <c r="A2344" s="1" t="s">
        <v>2686</v>
      </c>
      <c r="B2344" s="1" t="n">
        <v>20</v>
      </c>
    </row>
    <row r="2345" customFormat="false" ht="15" hidden="false" customHeight="true" outlineLevel="0" collapsed="false">
      <c r="A2345" s="1" t="s">
        <v>2271</v>
      </c>
      <c r="B2345" s="1" t="n">
        <v>20</v>
      </c>
    </row>
    <row r="2346" customFormat="false" ht="15" hidden="false" customHeight="true" outlineLevel="0" collapsed="false">
      <c r="A2346" s="1" t="s">
        <v>951</v>
      </c>
      <c r="B2346" s="1" t="n">
        <v>20</v>
      </c>
    </row>
    <row r="2347" customFormat="false" ht="15" hidden="false" customHeight="true" outlineLevel="0" collapsed="false">
      <c r="A2347" s="1" t="s">
        <v>1908</v>
      </c>
      <c r="B2347" s="1" t="n">
        <v>20</v>
      </c>
    </row>
    <row r="2348" customFormat="false" ht="15" hidden="false" customHeight="true" outlineLevel="0" collapsed="false">
      <c r="A2348" s="1" t="s">
        <v>1958</v>
      </c>
      <c r="B2348" s="1" t="n">
        <v>20</v>
      </c>
    </row>
    <row r="2349" customFormat="false" ht="15" hidden="false" customHeight="true" outlineLevel="0" collapsed="false">
      <c r="A2349" s="1" t="s">
        <v>2232</v>
      </c>
      <c r="B2349" s="1" t="n">
        <v>20</v>
      </c>
    </row>
    <row r="2350" customFormat="false" ht="15" hidden="false" customHeight="true" outlineLevel="0" collapsed="false">
      <c r="A2350" s="1" t="s">
        <v>2078</v>
      </c>
      <c r="B2350" s="1" t="n">
        <v>20</v>
      </c>
    </row>
    <row r="2351" customFormat="false" ht="15" hidden="false" customHeight="true" outlineLevel="0" collapsed="false">
      <c r="A2351" s="1" t="s">
        <v>3190</v>
      </c>
      <c r="B2351" s="1" t="n">
        <v>20</v>
      </c>
    </row>
    <row r="2352" customFormat="false" ht="15" hidden="false" customHeight="true" outlineLevel="0" collapsed="false">
      <c r="A2352" s="1" t="s">
        <v>3193</v>
      </c>
      <c r="B2352" s="1" t="n">
        <v>20</v>
      </c>
    </row>
    <row r="2353" customFormat="false" ht="15" hidden="false" customHeight="true" outlineLevel="0" collapsed="false">
      <c r="A2353" s="1" t="s">
        <v>2647</v>
      </c>
      <c r="B2353" s="1" t="n">
        <v>19</v>
      </c>
    </row>
    <row r="2354" customFormat="false" ht="15" hidden="false" customHeight="true" outlineLevel="0" collapsed="false">
      <c r="A2354" s="1" t="s">
        <v>1758</v>
      </c>
      <c r="B2354" s="1" t="n">
        <v>19</v>
      </c>
    </row>
    <row r="2355" customFormat="false" ht="15" hidden="false" customHeight="true" outlineLevel="0" collapsed="false">
      <c r="A2355" s="1" t="s">
        <v>2966</v>
      </c>
      <c r="B2355" s="1" t="n">
        <v>19</v>
      </c>
    </row>
    <row r="2356" customFormat="false" ht="15" hidden="false" customHeight="true" outlineLevel="0" collapsed="false">
      <c r="A2356" s="1" t="s">
        <v>3206</v>
      </c>
      <c r="B2356" s="1" t="n">
        <v>19</v>
      </c>
    </row>
    <row r="2357" customFormat="false" ht="15" hidden="false" customHeight="true" outlineLevel="0" collapsed="false">
      <c r="A2357" s="1" t="s">
        <v>970</v>
      </c>
      <c r="B2357" s="1" t="n">
        <v>19</v>
      </c>
    </row>
    <row r="2358" customFormat="false" ht="15" hidden="false" customHeight="true" outlineLevel="0" collapsed="false">
      <c r="A2358" s="1" t="s">
        <v>1350</v>
      </c>
      <c r="B2358" s="1" t="n">
        <v>19</v>
      </c>
    </row>
    <row r="2359" customFormat="false" ht="15" hidden="false" customHeight="true" outlineLevel="0" collapsed="false">
      <c r="A2359" s="1" t="s">
        <v>3207</v>
      </c>
      <c r="B2359" s="1" t="n">
        <v>19</v>
      </c>
    </row>
    <row r="2360" customFormat="false" ht="15" hidden="false" customHeight="true" outlineLevel="0" collapsed="false">
      <c r="A2360" s="1" t="s">
        <v>3209</v>
      </c>
      <c r="B2360" s="1" t="n">
        <v>19</v>
      </c>
    </row>
    <row r="2361" customFormat="false" ht="15" hidden="false" customHeight="true" outlineLevel="0" collapsed="false">
      <c r="A2361" s="1" t="s">
        <v>3211</v>
      </c>
      <c r="B2361" s="1" t="n">
        <v>19</v>
      </c>
    </row>
    <row r="2362" customFormat="false" ht="15" hidden="false" customHeight="true" outlineLevel="0" collapsed="false">
      <c r="A2362" s="1" t="s">
        <v>3213</v>
      </c>
      <c r="B2362" s="1" t="n">
        <v>19</v>
      </c>
    </row>
    <row r="2363" customFormat="false" ht="15" hidden="false" customHeight="true" outlineLevel="0" collapsed="false">
      <c r="A2363" s="1" t="s">
        <v>3215</v>
      </c>
      <c r="B2363" s="1" t="n">
        <v>19</v>
      </c>
    </row>
    <row r="2364" customFormat="false" ht="15" hidden="false" customHeight="true" outlineLevel="0" collapsed="false">
      <c r="A2364" s="1" t="s">
        <v>3217</v>
      </c>
      <c r="B2364" s="1" t="n">
        <v>19</v>
      </c>
    </row>
    <row r="2365" customFormat="false" ht="15" hidden="false" customHeight="true" outlineLevel="0" collapsed="false">
      <c r="A2365" s="1" t="s">
        <v>2963</v>
      </c>
      <c r="B2365" s="1" t="n">
        <v>18</v>
      </c>
    </row>
    <row r="2366" customFormat="false" ht="15" hidden="false" customHeight="true" outlineLevel="0" collapsed="false">
      <c r="A2366" s="1" t="s">
        <v>1111</v>
      </c>
      <c r="B2366" s="1" t="n">
        <v>18</v>
      </c>
    </row>
    <row r="2367" customFormat="false" ht="15" hidden="false" customHeight="true" outlineLevel="0" collapsed="false">
      <c r="A2367" s="1" t="s">
        <v>2729</v>
      </c>
      <c r="B2367" s="1" t="n">
        <v>18</v>
      </c>
    </row>
    <row r="2368" customFormat="false" ht="15" hidden="false" customHeight="true" outlineLevel="0" collapsed="false">
      <c r="A2368" s="1" t="s">
        <v>1245</v>
      </c>
      <c r="B2368" s="1" t="n">
        <v>18</v>
      </c>
    </row>
    <row r="2369" customFormat="false" ht="15" hidden="false" customHeight="true" outlineLevel="0" collapsed="false">
      <c r="A2369" s="1" t="s">
        <v>2900</v>
      </c>
      <c r="B2369" s="1" t="n">
        <v>18</v>
      </c>
    </row>
    <row r="2370" customFormat="false" ht="15" hidden="false" customHeight="true" outlineLevel="0" collapsed="false">
      <c r="A2370" s="1" t="s">
        <v>3237</v>
      </c>
      <c r="B2370" s="1" t="n">
        <v>18</v>
      </c>
    </row>
    <row r="2371" customFormat="false" ht="15" hidden="false" customHeight="true" outlineLevel="0" collapsed="false">
      <c r="A2371" s="1" t="s">
        <v>3239</v>
      </c>
      <c r="B2371" s="1" t="n">
        <v>18</v>
      </c>
    </row>
    <row r="2372" customFormat="false" ht="15" hidden="false" customHeight="true" outlineLevel="0" collapsed="false">
      <c r="A2372" s="1" t="s">
        <v>3241</v>
      </c>
      <c r="B2372" s="1" t="n">
        <v>18</v>
      </c>
    </row>
    <row r="2373" customFormat="false" ht="15" hidden="false" customHeight="true" outlineLevel="0" collapsed="false">
      <c r="A2373" s="1" t="s">
        <v>3243</v>
      </c>
      <c r="B2373" s="1" t="n">
        <v>18</v>
      </c>
    </row>
    <row r="2374" customFormat="false" ht="15" hidden="false" customHeight="true" outlineLevel="0" collapsed="false">
      <c r="A2374" s="1" t="s">
        <v>3246</v>
      </c>
      <c r="B2374" s="1" t="n">
        <v>18</v>
      </c>
    </row>
    <row r="2375" customFormat="false" ht="15" hidden="false" customHeight="true" outlineLevel="0" collapsed="false">
      <c r="A2375" s="1" t="s">
        <v>3248</v>
      </c>
      <c r="B2375" s="1" t="n">
        <v>18</v>
      </c>
    </row>
    <row r="2376" customFormat="false" ht="15" hidden="false" customHeight="true" outlineLevel="0" collapsed="false">
      <c r="A2376" s="1" t="s">
        <v>3250</v>
      </c>
      <c r="B2376" s="1" t="n">
        <v>18</v>
      </c>
    </row>
    <row r="2377" customFormat="false" ht="15" hidden="false" customHeight="true" outlineLevel="0" collapsed="false">
      <c r="A2377" s="1" t="s">
        <v>3252</v>
      </c>
      <c r="B2377" s="1" t="n">
        <v>18</v>
      </c>
    </row>
    <row r="2378" customFormat="false" ht="15" hidden="false" customHeight="true" outlineLevel="0" collapsed="false">
      <c r="A2378" s="1" t="s">
        <v>2663</v>
      </c>
      <c r="B2378" s="1" t="n">
        <v>17</v>
      </c>
    </row>
    <row r="2379" customFormat="false" ht="15" hidden="false" customHeight="true" outlineLevel="0" collapsed="false">
      <c r="A2379" s="1" t="s">
        <v>3147</v>
      </c>
      <c r="B2379" s="1" t="n">
        <v>17</v>
      </c>
    </row>
    <row r="2380" customFormat="false" ht="15" hidden="false" customHeight="true" outlineLevel="0" collapsed="false">
      <c r="A2380" s="1" t="s">
        <v>2947</v>
      </c>
      <c r="B2380" s="1" t="n">
        <v>17</v>
      </c>
    </row>
    <row r="2381" customFormat="false" ht="15" hidden="false" customHeight="true" outlineLevel="0" collapsed="false">
      <c r="A2381" s="1" t="s">
        <v>3263</v>
      </c>
      <c r="B2381" s="1" t="n">
        <v>17</v>
      </c>
    </row>
    <row r="2382" customFormat="false" ht="15" hidden="false" customHeight="true" outlineLevel="0" collapsed="false">
      <c r="A2382" s="1" t="s">
        <v>3170</v>
      </c>
      <c r="B2382" s="1" t="n">
        <v>17</v>
      </c>
    </row>
    <row r="2383" customFormat="false" ht="15" hidden="false" customHeight="true" outlineLevel="0" collapsed="false">
      <c r="A2383" s="1" t="s">
        <v>3189</v>
      </c>
      <c r="B2383" s="1" t="n">
        <v>17</v>
      </c>
    </row>
    <row r="2384" customFormat="false" ht="15" hidden="false" customHeight="true" outlineLevel="0" collapsed="false">
      <c r="A2384" s="1" t="s">
        <v>967</v>
      </c>
      <c r="B2384" s="1" t="n">
        <v>17</v>
      </c>
    </row>
    <row r="2385" customFormat="false" ht="15" hidden="false" customHeight="true" outlineLevel="0" collapsed="false">
      <c r="A2385" s="1" t="s">
        <v>3264</v>
      </c>
      <c r="B2385" s="1" t="n">
        <v>17</v>
      </c>
    </row>
    <row r="2386" customFormat="false" ht="15" hidden="false" customHeight="true" outlineLevel="0" collapsed="false">
      <c r="A2386" s="1" t="s">
        <v>3266</v>
      </c>
      <c r="B2386" s="1" t="n">
        <v>17</v>
      </c>
    </row>
    <row r="2387" customFormat="false" ht="15" hidden="false" customHeight="true" outlineLevel="0" collapsed="false">
      <c r="A2387" s="1" t="s">
        <v>3268</v>
      </c>
      <c r="B2387" s="1" t="n">
        <v>17</v>
      </c>
    </row>
    <row r="2388" customFormat="false" ht="15" hidden="false" customHeight="true" outlineLevel="0" collapsed="false">
      <c r="A2388" s="1" t="s">
        <v>3270</v>
      </c>
      <c r="B2388" s="1" t="n">
        <v>17</v>
      </c>
    </row>
    <row r="2389" customFormat="false" ht="15" hidden="false" customHeight="true" outlineLevel="0" collapsed="false">
      <c r="A2389" s="1" t="s">
        <v>3273</v>
      </c>
      <c r="B2389" s="1" t="n">
        <v>17</v>
      </c>
    </row>
    <row r="2390" customFormat="false" ht="15" hidden="false" customHeight="true" outlineLevel="0" collapsed="false">
      <c r="A2390" s="1" t="s">
        <v>3275</v>
      </c>
      <c r="B2390" s="1" t="n">
        <v>17</v>
      </c>
    </row>
    <row r="2391" customFormat="false" ht="15" hidden="false" customHeight="true" outlineLevel="0" collapsed="false">
      <c r="A2391" s="1" t="s">
        <v>2987</v>
      </c>
      <c r="B2391" s="1" t="n">
        <v>16</v>
      </c>
    </row>
    <row r="2392" customFormat="false" ht="15" hidden="false" customHeight="true" outlineLevel="0" collapsed="false">
      <c r="A2392" s="1" t="s">
        <v>2662</v>
      </c>
      <c r="B2392" s="1" t="n">
        <v>16</v>
      </c>
    </row>
    <row r="2393" customFormat="false" ht="15" hidden="false" customHeight="true" outlineLevel="0" collapsed="false">
      <c r="A2393" s="1" t="s">
        <v>2364</v>
      </c>
      <c r="B2393" s="1" t="n">
        <v>16</v>
      </c>
    </row>
    <row r="2394" customFormat="false" ht="15" hidden="false" customHeight="true" outlineLevel="0" collapsed="false">
      <c r="A2394" s="1" t="s">
        <v>1844</v>
      </c>
      <c r="B2394" s="1" t="n">
        <v>16</v>
      </c>
    </row>
    <row r="2395" customFormat="false" ht="15" hidden="false" customHeight="true" outlineLevel="0" collapsed="false">
      <c r="A2395" s="1" t="s">
        <v>3099</v>
      </c>
      <c r="B2395" s="1" t="n">
        <v>16</v>
      </c>
    </row>
    <row r="2396" customFormat="false" ht="15" hidden="false" customHeight="true" outlineLevel="0" collapsed="false">
      <c r="A2396" s="1" t="s">
        <v>2568</v>
      </c>
      <c r="B2396" s="1" t="n">
        <v>16</v>
      </c>
    </row>
    <row r="2397" customFormat="false" ht="15" hidden="false" customHeight="true" outlineLevel="0" collapsed="false">
      <c r="A2397" s="1" t="s">
        <v>2970</v>
      </c>
      <c r="B2397" s="1" t="n">
        <v>16</v>
      </c>
    </row>
    <row r="2398" customFormat="false" ht="15" hidden="false" customHeight="true" outlineLevel="0" collapsed="false">
      <c r="A2398" s="1" t="s">
        <v>1628</v>
      </c>
      <c r="B2398" s="1" t="n">
        <v>16</v>
      </c>
    </row>
    <row r="2399" customFormat="false" ht="15" hidden="false" customHeight="true" outlineLevel="0" collapsed="false">
      <c r="A2399" s="1" t="s">
        <v>2241</v>
      </c>
      <c r="B2399" s="1" t="n">
        <v>16</v>
      </c>
    </row>
    <row r="2400" customFormat="false" ht="15" hidden="false" customHeight="true" outlineLevel="0" collapsed="false">
      <c r="A2400" s="1" t="s">
        <v>3285</v>
      </c>
      <c r="B2400" s="1" t="n">
        <v>16</v>
      </c>
    </row>
    <row r="2401" customFormat="false" ht="15" hidden="false" customHeight="true" outlineLevel="0" collapsed="false">
      <c r="A2401" s="1" t="s">
        <v>3287</v>
      </c>
      <c r="B2401" s="1" t="n">
        <v>16</v>
      </c>
    </row>
    <row r="2402" customFormat="false" ht="15" hidden="false" customHeight="true" outlineLevel="0" collapsed="false">
      <c r="A2402" s="1" t="s">
        <v>3289</v>
      </c>
      <c r="B2402" s="1" t="n">
        <v>16</v>
      </c>
    </row>
    <row r="2403" customFormat="false" ht="15" hidden="false" customHeight="true" outlineLevel="0" collapsed="false">
      <c r="A2403" s="1" t="s">
        <v>3291</v>
      </c>
      <c r="B2403" s="1" t="n">
        <v>16</v>
      </c>
    </row>
    <row r="2404" customFormat="false" ht="15" hidden="false" customHeight="true" outlineLevel="0" collapsed="false">
      <c r="A2404" s="1" t="s">
        <v>3294</v>
      </c>
      <c r="B2404" s="1" t="n">
        <v>16</v>
      </c>
    </row>
    <row r="2405" customFormat="false" ht="15" hidden="false" customHeight="true" outlineLevel="0" collapsed="false">
      <c r="A2405" s="1" t="s">
        <v>2607</v>
      </c>
      <c r="B2405" s="1" t="n">
        <v>15</v>
      </c>
    </row>
    <row r="2406" customFormat="false" ht="15" hidden="false" customHeight="true" outlineLevel="0" collapsed="false">
      <c r="A2406" s="1" t="s">
        <v>3039</v>
      </c>
      <c r="B2406" s="1" t="n">
        <v>15</v>
      </c>
    </row>
    <row r="2407" customFormat="false" ht="15" hidden="false" customHeight="true" outlineLevel="0" collapsed="false">
      <c r="A2407" s="1" t="s">
        <v>3041</v>
      </c>
      <c r="B2407" s="1" t="n">
        <v>15</v>
      </c>
    </row>
    <row r="2408" customFormat="false" ht="15" hidden="false" customHeight="true" outlineLevel="0" collapsed="false">
      <c r="A2408" s="1" t="s">
        <v>646</v>
      </c>
      <c r="B2408" s="1" t="n">
        <v>15</v>
      </c>
    </row>
    <row r="2409" customFormat="false" ht="15" hidden="false" customHeight="true" outlineLevel="0" collapsed="false">
      <c r="A2409" s="1" t="s">
        <v>1543</v>
      </c>
      <c r="B2409" s="1" t="n">
        <v>15</v>
      </c>
    </row>
    <row r="2410" customFormat="false" ht="15" hidden="false" customHeight="true" outlineLevel="0" collapsed="false">
      <c r="A2410" s="1" t="s">
        <v>1732</v>
      </c>
      <c r="B2410" s="1" t="n">
        <v>15</v>
      </c>
    </row>
    <row r="2411" customFormat="false" ht="15" hidden="false" customHeight="true" outlineLevel="0" collapsed="false">
      <c r="A2411" s="1" t="s">
        <v>3169</v>
      </c>
      <c r="B2411" s="1" t="n">
        <v>15</v>
      </c>
    </row>
    <row r="2412" customFormat="false" ht="15" hidden="false" customHeight="true" outlineLevel="0" collapsed="false">
      <c r="A2412" s="1" t="s">
        <v>2626</v>
      </c>
      <c r="B2412" s="1" t="n">
        <v>15</v>
      </c>
    </row>
    <row r="2413" customFormat="false" ht="15" hidden="false" customHeight="true" outlineLevel="0" collapsed="false">
      <c r="A2413" s="1" t="s">
        <v>1024</v>
      </c>
      <c r="B2413" s="1" t="n">
        <v>15</v>
      </c>
    </row>
    <row r="2414" customFormat="false" ht="15" hidden="false" customHeight="true" outlineLevel="0" collapsed="false">
      <c r="A2414" s="1" t="s">
        <v>2015</v>
      </c>
      <c r="B2414" s="1" t="n">
        <v>15</v>
      </c>
    </row>
    <row r="2415" customFormat="false" ht="15" hidden="false" customHeight="true" outlineLevel="0" collapsed="false">
      <c r="A2415" s="1" t="s">
        <v>1985</v>
      </c>
      <c r="B2415" s="1" t="n">
        <v>15</v>
      </c>
    </row>
    <row r="2416" customFormat="false" ht="15" hidden="false" customHeight="true" outlineLevel="0" collapsed="false">
      <c r="A2416" s="1" t="s">
        <v>2230</v>
      </c>
      <c r="B2416" s="1" t="n">
        <v>15</v>
      </c>
    </row>
    <row r="2417" customFormat="false" ht="15" hidden="false" customHeight="true" outlineLevel="0" collapsed="false">
      <c r="A2417" s="1" t="s">
        <v>1764</v>
      </c>
      <c r="B2417" s="1" t="n">
        <v>15</v>
      </c>
    </row>
    <row r="2418" customFormat="false" ht="15" hidden="false" customHeight="true" outlineLevel="0" collapsed="false">
      <c r="A2418" s="1" t="s">
        <v>3309</v>
      </c>
      <c r="B2418" s="1" t="n">
        <v>15</v>
      </c>
    </row>
    <row r="2419" customFormat="false" ht="15" hidden="false" customHeight="true" outlineLevel="0" collapsed="false">
      <c r="A2419" s="1" t="s">
        <v>3313</v>
      </c>
      <c r="B2419" s="1" t="n">
        <v>15</v>
      </c>
    </row>
    <row r="2420" customFormat="false" ht="15" hidden="false" customHeight="true" outlineLevel="0" collapsed="false">
      <c r="A2420" s="1" t="s">
        <v>3315</v>
      </c>
      <c r="B2420" s="1" t="n">
        <v>15</v>
      </c>
    </row>
    <row r="2421" customFormat="false" ht="15" hidden="false" customHeight="true" outlineLevel="0" collapsed="false">
      <c r="A2421" s="1" t="s">
        <v>3317</v>
      </c>
      <c r="B2421" s="1" t="n">
        <v>15</v>
      </c>
    </row>
    <row r="2422" customFormat="false" ht="15" hidden="false" customHeight="true" outlineLevel="0" collapsed="false">
      <c r="A2422" s="1" t="s">
        <v>3320</v>
      </c>
      <c r="B2422" s="1" t="n">
        <v>15</v>
      </c>
    </row>
    <row r="2423" customFormat="false" ht="15" hidden="false" customHeight="true" outlineLevel="0" collapsed="false">
      <c r="A2423" s="1" t="s">
        <v>3322</v>
      </c>
      <c r="B2423" s="1" t="n">
        <v>15</v>
      </c>
    </row>
    <row r="2424" customFormat="false" ht="15" hidden="false" customHeight="true" outlineLevel="0" collapsed="false">
      <c r="A2424" s="1" t="s">
        <v>3324</v>
      </c>
      <c r="B2424" s="1" t="n">
        <v>15</v>
      </c>
    </row>
    <row r="2425" customFormat="false" ht="15" hidden="false" customHeight="true" outlineLevel="0" collapsed="false">
      <c r="A2425" s="1" t="s">
        <v>3326</v>
      </c>
      <c r="B2425" s="1" t="n">
        <v>15</v>
      </c>
    </row>
    <row r="2426" customFormat="false" ht="15" hidden="false" customHeight="true" outlineLevel="0" collapsed="false">
      <c r="A2426" s="1" t="s">
        <v>3328</v>
      </c>
      <c r="B2426" s="1" t="n">
        <v>15</v>
      </c>
    </row>
    <row r="2427" customFormat="false" ht="15" hidden="false" customHeight="true" outlineLevel="0" collapsed="false">
      <c r="A2427" s="1" t="s">
        <v>3330</v>
      </c>
      <c r="B2427" s="1" t="n">
        <v>15</v>
      </c>
    </row>
    <row r="2428" customFormat="false" ht="15" hidden="false" customHeight="true" outlineLevel="0" collapsed="false">
      <c r="A2428" s="1" t="s">
        <v>3332</v>
      </c>
      <c r="B2428" s="1" t="n">
        <v>15</v>
      </c>
    </row>
    <row r="2429" customFormat="false" ht="15" hidden="false" customHeight="true" outlineLevel="0" collapsed="false">
      <c r="A2429" s="1" t="s">
        <v>3335</v>
      </c>
      <c r="B2429" s="1" t="n">
        <v>15</v>
      </c>
    </row>
    <row r="2430" customFormat="false" ht="15" hidden="false" customHeight="true" outlineLevel="0" collapsed="false">
      <c r="A2430" s="1" t="s">
        <v>3009</v>
      </c>
      <c r="B2430" s="1" t="n">
        <v>14</v>
      </c>
    </row>
    <row r="2431" customFormat="false" ht="15" hidden="false" customHeight="true" outlineLevel="0" collapsed="false">
      <c r="A2431" s="1" t="s">
        <v>2645</v>
      </c>
      <c r="B2431" s="1" t="n">
        <v>14</v>
      </c>
    </row>
    <row r="2432" customFormat="false" ht="15" hidden="false" customHeight="true" outlineLevel="0" collapsed="false">
      <c r="A2432" s="1" t="s">
        <v>2504</v>
      </c>
      <c r="B2432" s="1" t="n">
        <v>14</v>
      </c>
    </row>
    <row r="2433" customFormat="false" ht="15" hidden="false" customHeight="true" outlineLevel="0" collapsed="false">
      <c r="A2433" s="1" t="s">
        <v>1708</v>
      </c>
      <c r="B2433" s="1" t="n">
        <v>14</v>
      </c>
    </row>
    <row r="2434" customFormat="false" ht="15" hidden="false" customHeight="true" outlineLevel="0" collapsed="false">
      <c r="A2434" s="1" t="s">
        <v>1883</v>
      </c>
      <c r="B2434" s="1" t="n">
        <v>14</v>
      </c>
    </row>
    <row r="2435" customFormat="false" ht="15" hidden="false" customHeight="true" outlineLevel="0" collapsed="false">
      <c r="A2435" s="1" t="s">
        <v>1776</v>
      </c>
      <c r="B2435" s="1" t="n">
        <v>14</v>
      </c>
    </row>
    <row r="2436" customFormat="false" ht="15" hidden="false" customHeight="true" outlineLevel="0" collapsed="false">
      <c r="A2436" s="1" t="s">
        <v>2014</v>
      </c>
      <c r="B2436" s="1" t="n">
        <v>14</v>
      </c>
    </row>
    <row r="2437" customFormat="false" ht="15" hidden="false" customHeight="true" outlineLevel="0" collapsed="false">
      <c r="A2437" s="1" t="s">
        <v>3347</v>
      </c>
      <c r="B2437" s="1" t="n">
        <v>14</v>
      </c>
    </row>
    <row r="2438" customFormat="false" ht="15" hidden="false" customHeight="true" outlineLevel="0" collapsed="false">
      <c r="A2438" s="1" t="s">
        <v>3349</v>
      </c>
      <c r="B2438" s="1" t="n">
        <v>14</v>
      </c>
    </row>
    <row r="2439" customFormat="false" ht="15" hidden="false" customHeight="true" outlineLevel="0" collapsed="false">
      <c r="A2439" s="1" t="s">
        <v>3352</v>
      </c>
      <c r="B2439" s="1" t="n">
        <v>14</v>
      </c>
    </row>
    <row r="2440" customFormat="false" ht="15" hidden="false" customHeight="true" outlineLevel="0" collapsed="false">
      <c r="A2440" s="1" t="s">
        <v>3354</v>
      </c>
      <c r="B2440" s="1" t="n">
        <v>14</v>
      </c>
    </row>
    <row r="2441" customFormat="false" ht="15" hidden="false" customHeight="true" outlineLevel="0" collapsed="false">
      <c r="A2441" s="1" t="s">
        <v>3356</v>
      </c>
      <c r="B2441" s="1" t="n">
        <v>14</v>
      </c>
    </row>
    <row r="2442" customFormat="false" ht="15" hidden="false" customHeight="true" outlineLevel="0" collapsed="false">
      <c r="A2442" s="1" t="s">
        <v>3359</v>
      </c>
      <c r="B2442" s="1" t="n">
        <v>14</v>
      </c>
    </row>
    <row r="2443" customFormat="false" ht="15" hidden="false" customHeight="true" outlineLevel="0" collapsed="false">
      <c r="A2443" s="1" t="s">
        <v>3361</v>
      </c>
      <c r="B2443" s="1" t="n">
        <v>14</v>
      </c>
    </row>
    <row r="2444" customFormat="false" ht="15" hidden="false" customHeight="true" outlineLevel="0" collapsed="false">
      <c r="A2444" s="1" t="s">
        <v>3363</v>
      </c>
      <c r="B2444" s="1" t="n">
        <v>14</v>
      </c>
    </row>
    <row r="2445" customFormat="false" ht="15" hidden="false" customHeight="true" outlineLevel="0" collapsed="false">
      <c r="A2445" s="1" t="s">
        <v>3365</v>
      </c>
      <c r="B2445" s="1" t="n">
        <v>14</v>
      </c>
    </row>
    <row r="2446" customFormat="false" ht="15" hidden="false" customHeight="true" outlineLevel="0" collapsed="false">
      <c r="A2446" s="1" t="s">
        <v>3367</v>
      </c>
      <c r="B2446" s="1" t="n">
        <v>14</v>
      </c>
    </row>
    <row r="2447" customFormat="false" ht="15" hidden="false" customHeight="true" outlineLevel="0" collapsed="false">
      <c r="A2447" s="1" t="s">
        <v>2408</v>
      </c>
      <c r="B2447" s="1" t="n">
        <v>13</v>
      </c>
    </row>
    <row r="2448" customFormat="false" ht="15" hidden="false" customHeight="true" outlineLevel="0" collapsed="false">
      <c r="A2448" s="1" t="s">
        <v>3060</v>
      </c>
      <c r="B2448" s="1" t="n">
        <v>13</v>
      </c>
    </row>
    <row r="2449" customFormat="false" ht="15" hidden="false" customHeight="true" outlineLevel="0" collapsed="false">
      <c r="A2449" s="1" t="s">
        <v>3204</v>
      </c>
      <c r="B2449" s="1" t="n">
        <v>13</v>
      </c>
    </row>
    <row r="2450" customFormat="false" ht="15" hidden="false" customHeight="true" outlineLevel="0" collapsed="false">
      <c r="A2450" s="1" t="s">
        <v>3097</v>
      </c>
      <c r="B2450" s="1" t="n">
        <v>13</v>
      </c>
    </row>
    <row r="2451" customFormat="false" ht="15" hidden="false" customHeight="true" outlineLevel="0" collapsed="false">
      <c r="A2451" s="1" t="s">
        <v>3261</v>
      </c>
      <c r="B2451" s="1" t="n">
        <v>13</v>
      </c>
    </row>
    <row r="2452" customFormat="false" ht="15" hidden="false" customHeight="true" outlineLevel="0" collapsed="false">
      <c r="A2452" s="1" t="s">
        <v>2685</v>
      </c>
      <c r="B2452" s="1" t="n">
        <v>13</v>
      </c>
    </row>
    <row r="2453" customFormat="false" ht="15" hidden="false" customHeight="true" outlineLevel="0" collapsed="false">
      <c r="A2453" s="1" t="s">
        <v>884</v>
      </c>
      <c r="B2453" s="1" t="n">
        <v>13</v>
      </c>
    </row>
    <row r="2454" customFormat="false" ht="15" hidden="false" customHeight="true" outlineLevel="0" collapsed="false">
      <c r="A2454" s="1" t="s">
        <v>2529</v>
      </c>
      <c r="B2454" s="1" t="n">
        <v>13</v>
      </c>
    </row>
    <row r="2455" customFormat="false" ht="15" hidden="false" customHeight="true" outlineLevel="0" collapsed="false">
      <c r="A2455" s="1" t="s">
        <v>2076</v>
      </c>
      <c r="B2455" s="1" t="n">
        <v>13</v>
      </c>
    </row>
    <row r="2456" customFormat="false" ht="15" hidden="false" customHeight="true" outlineLevel="0" collapsed="false">
      <c r="A2456" s="1" t="s">
        <v>2013</v>
      </c>
      <c r="B2456" s="1" t="n">
        <v>13</v>
      </c>
    </row>
    <row r="2457" customFormat="false" ht="15" hidden="false" customHeight="true" outlineLevel="0" collapsed="false">
      <c r="A2457" s="1" t="s">
        <v>3379</v>
      </c>
      <c r="B2457" s="1" t="n">
        <v>13</v>
      </c>
    </row>
    <row r="2458" customFormat="false" ht="15" hidden="false" customHeight="true" outlineLevel="0" collapsed="false">
      <c r="A2458" s="1" t="s">
        <v>3381</v>
      </c>
      <c r="B2458" s="1" t="n">
        <v>13</v>
      </c>
    </row>
    <row r="2459" customFormat="false" ht="15" hidden="false" customHeight="true" outlineLevel="0" collapsed="false">
      <c r="A2459" s="1" t="s">
        <v>3382</v>
      </c>
      <c r="B2459" s="1" t="n">
        <v>13</v>
      </c>
    </row>
    <row r="2460" customFormat="false" ht="15" hidden="false" customHeight="true" outlineLevel="0" collapsed="false">
      <c r="A2460" s="1" t="s">
        <v>3384</v>
      </c>
      <c r="B2460" s="1" t="n">
        <v>13</v>
      </c>
    </row>
    <row r="2461" customFormat="false" ht="15" hidden="false" customHeight="true" outlineLevel="0" collapsed="false">
      <c r="A2461" s="1" t="s">
        <v>3387</v>
      </c>
      <c r="B2461" s="1" t="n">
        <v>13</v>
      </c>
    </row>
    <row r="2462" customFormat="false" ht="15" hidden="false" customHeight="true" outlineLevel="0" collapsed="false">
      <c r="A2462" s="1" t="s">
        <v>3389</v>
      </c>
      <c r="B2462" s="1" t="n">
        <v>13</v>
      </c>
    </row>
    <row r="2463" customFormat="false" ht="15" hidden="false" customHeight="true" outlineLevel="0" collapsed="false">
      <c r="A2463" s="1" t="s">
        <v>3391</v>
      </c>
      <c r="B2463" s="1" t="n">
        <v>13</v>
      </c>
    </row>
    <row r="2464" customFormat="false" ht="15" hidden="false" customHeight="true" outlineLevel="0" collapsed="false">
      <c r="A2464" s="1" t="s">
        <v>3393</v>
      </c>
      <c r="B2464" s="1" t="n">
        <v>13</v>
      </c>
    </row>
    <row r="2465" customFormat="false" ht="15" hidden="false" customHeight="true" outlineLevel="0" collapsed="false">
      <c r="A2465" s="1" t="s">
        <v>2769</v>
      </c>
      <c r="B2465" s="1" t="n">
        <v>12</v>
      </c>
    </row>
    <row r="2466" customFormat="false" ht="15" hidden="false" customHeight="true" outlineLevel="0" collapsed="false">
      <c r="A2466" s="1" t="s">
        <v>2864</v>
      </c>
      <c r="B2466" s="1" t="n">
        <v>12</v>
      </c>
    </row>
    <row r="2467" customFormat="false" ht="15" hidden="false" customHeight="true" outlineLevel="0" collapsed="false">
      <c r="A2467" s="1" t="s">
        <v>3307</v>
      </c>
      <c r="B2467" s="1" t="n">
        <v>12</v>
      </c>
    </row>
    <row r="2468" customFormat="false" ht="15" hidden="false" customHeight="true" outlineLevel="0" collapsed="false">
      <c r="A2468" s="1" t="s">
        <v>2921</v>
      </c>
      <c r="B2468" s="1" t="n">
        <v>12</v>
      </c>
    </row>
    <row r="2469" customFormat="false" ht="15" hidden="false" customHeight="true" outlineLevel="0" collapsed="false">
      <c r="A2469" s="1" t="s">
        <v>2126</v>
      </c>
      <c r="B2469" s="1" t="n">
        <v>12</v>
      </c>
    </row>
    <row r="2470" customFormat="false" ht="15" hidden="false" customHeight="true" outlineLevel="0" collapsed="false">
      <c r="A2470" s="1" t="s">
        <v>2985</v>
      </c>
      <c r="B2470" s="1" t="n">
        <v>12</v>
      </c>
    </row>
    <row r="2471" customFormat="false" ht="15" hidden="false" customHeight="true" outlineLevel="0" collapsed="false">
      <c r="A2471" s="1" t="s">
        <v>2229</v>
      </c>
      <c r="B2471" s="1" t="n">
        <v>12</v>
      </c>
    </row>
    <row r="2472" customFormat="false" ht="15" hidden="false" customHeight="true" outlineLevel="0" collapsed="false">
      <c r="A2472" s="1" t="s">
        <v>3187</v>
      </c>
      <c r="B2472" s="1" t="n">
        <v>12</v>
      </c>
    </row>
    <row r="2473" customFormat="false" ht="15" hidden="false" customHeight="true" outlineLevel="0" collapsed="false">
      <c r="A2473" s="1" t="s">
        <v>2923</v>
      </c>
      <c r="B2473" s="1" t="n">
        <v>12</v>
      </c>
    </row>
    <row r="2474" customFormat="false" ht="15" hidden="false" customHeight="true" outlineLevel="0" collapsed="false">
      <c r="A2474" s="1" t="s">
        <v>3399</v>
      </c>
      <c r="B2474" s="1" t="n">
        <v>12</v>
      </c>
    </row>
    <row r="2475" customFormat="false" ht="15" hidden="false" customHeight="true" outlineLevel="0" collapsed="false">
      <c r="A2475" s="1" t="s">
        <v>3401</v>
      </c>
      <c r="B2475" s="1" t="n">
        <v>12</v>
      </c>
    </row>
    <row r="2476" customFormat="false" ht="15" hidden="false" customHeight="true" outlineLevel="0" collapsed="false">
      <c r="A2476" s="1" t="s">
        <v>3403</v>
      </c>
      <c r="B2476" s="1" t="n">
        <v>12</v>
      </c>
    </row>
    <row r="2477" customFormat="false" ht="15" hidden="false" customHeight="true" outlineLevel="0" collapsed="false">
      <c r="A2477" s="1" t="s">
        <v>3405</v>
      </c>
      <c r="B2477" s="1" t="n">
        <v>12</v>
      </c>
    </row>
    <row r="2478" customFormat="false" ht="15" hidden="false" customHeight="true" outlineLevel="0" collapsed="false">
      <c r="A2478" s="1" t="s">
        <v>3407</v>
      </c>
      <c r="B2478" s="1" t="n">
        <v>12</v>
      </c>
    </row>
    <row r="2479" customFormat="false" ht="15" hidden="false" customHeight="true" outlineLevel="0" collapsed="false">
      <c r="A2479" s="1" t="s">
        <v>3409</v>
      </c>
      <c r="B2479" s="1" t="n">
        <v>12</v>
      </c>
    </row>
    <row r="2480" customFormat="false" ht="15" hidden="false" customHeight="true" outlineLevel="0" collapsed="false">
      <c r="A2480" s="1" t="s">
        <v>3411</v>
      </c>
      <c r="B2480" s="1" t="n">
        <v>12</v>
      </c>
    </row>
    <row r="2481" customFormat="false" ht="15" hidden="false" customHeight="true" outlineLevel="0" collapsed="false">
      <c r="A2481" s="1" t="s">
        <v>3413</v>
      </c>
      <c r="B2481" s="1" t="n">
        <v>12</v>
      </c>
    </row>
    <row r="2482" customFormat="false" ht="15" hidden="false" customHeight="true" outlineLevel="0" collapsed="false">
      <c r="A2482" s="1" t="s">
        <v>2984</v>
      </c>
      <c r="B2482" s="1" t="n">
        <v>11</v>
      </c>
    </row>
    <row r="2483" customFormat="false" ht="15" hidden="false" customHeight="true" outlineLevel="0" collapsed="false">
      <c r="A2483" s="1" t="s">
        <v>3075</v>
      </c>
      <c r="B2483" s="1" t="n">
        <v>11</v>
      </c>
    </row>
    <row r="2484" customFormat="false" ht="15" hidden="false" customHeight="true" outlineLevel="0" collapsed="false">
      <c r="A2484" s="1" t="s">
        <v>3377</v>
      </c>
      <c r="B2484" s="1" t="n">
        <v>11</v>
      </c>
    </row>
    <row r="2485" customFormat="false" ht="15" hidden="false" customHeight="true" outlineLevel="0" collapsed="false">
      <c r="A2485" s="1" t="s">
        <v>3008</v>
      </c>
      <c r="B2485" s="1" t="n">
        <v>11</v>
      </c>
    </row>
    <row r="2486" customFormat="false" ht="15" hidden="false" customHeight="true" outlineLevel="0" collapsed="false">
      <c r="A2486" s="1" t="s">
        <v>2624</v>
      </c>
      <c r="B2486" s="1" t="n">
        <v>11</v>
      </c>
    </row>
    <row r="2487" customFormat="false" ht="15" hidden="false" customHeight="true" outlineLevel="0" collapsed="false">
      <c r="A2487" s="1" t="s">
        <v>3146</v>
      </c>
      <c r="B2487" s="1" t="n">
        <v>11</v>
      </c>
    </row>
    <row r="2488" customFormat="false" ht="15" hidden="false" customHeight="true" outlineLevel="0" collapsed="false">
      <c r="A2488" s="1" t="s">
        <v>3417</v>
      </c>
      <c r="B2488" s="1" t="n">
        <v>11</v>
      </c>
    </row>
    <row r="2489" customFormat="false" ht="15" hidden="false" customHeight="true" outlineLevel="0" collapsed="false">
      <c r="A2489" s="1" t="s">
        <v>3419</v>
      </c>
      <c r="B2489" s="1" t="n">
        <v>11</v>
      </c>
    </row>
    <row r="2490" customFormat="false" ht="15" hidden="false" customHeight="true" outlineLevel="0" collapsed="false">
      <c r="A2490" s="1" t="s">
        <v>3421</v>
      </c>
      <c r="B2490" s="1" t="n">
        <v>11</v>
      </c>
    </row>
    <row r="2491" customFormat="false" ht="15" hidden="false" customHeight="true" outlineLevel="0" collapsed="false">
      <c r="A2491" s="1" t="s">
        <v>3423</v>
      </c>
      <c r="B2491" s="1" t="n">
        <v>11</v>
      </c>
    </row>
    <row r="2492" customFormat="false" ht="15" hidden="false" customHeight="true" outlineLevel="0" collapsed="false">
      <c r="A2492" s="1" t="s">
        <v>3425</v>
      </c>
      <c r="B2492" s="1" t="n">
        <v>11</v>
      </c>
    </row>
    <row r="2493" customFormat="false" ht="15" hidden="false" customHeight="true" outlineLevel="0" collapsed="false">
      <c r="A2493" s="1" t="s">
        <v>3427</v>
      </c>
      <c r="B2493" s="1" t="n">
        <v>11</v>
      </c>
    </row>
    <row r="2494" customFormat="false" ht="15" hidden="false" customHeight="true" outlineLevel="0" collapsed="false">
      <c r="A2494" s="1" t="s">
        <v>3429</v>
      </c>
      <c r="B2494" s="1" t="n">
        <v>11</v>
      </c>
    </row>
    <row r="2495" customFormat="false" ht="15" hidden="false" customHeight="true" outlineLevel="0" collapsed="false">
      <c r="A2495" s="1" t="s">
        <v>3431</v>
      </c>
      <c r="B2495" s="1" t="n">
        <v>11</v>
      </c>
    </row>
    <row r="2496" customFormat="false" ht="15" hidden="false" customHeight="true" outlineLevel="0" collapsed="false">
      <c r="A2496" s="1" t="s">
        <v>2793</v>
      </c>
      <c r="B2496" s="1" t="n">
        <v>10</v>
      </c>
    </row>
    <row r="2497" customFormat="false" ht="15" hidden="false" customHeight="true" outlineLevel="0" collapsed="false">
      <c r="A2497" s="1" t="s">
        <v>2527</v>
      </c>
      <c r="B2497" s="1" t="n">
        <v>10</v>
      </c>
    </row>
    <row r="2498" customFormat="false" ht="15" hidden="false" customHeight="true" outlineLevel="0" collapsed="false">
      <c r="A2498" s="1" t="s">
        <v>2074</v>
      </c>
      <c r="B2498" s="1" t="n">
        <v>10</v>
      </c>
    </row>
    <row r="2499" customFormat="false" ht="15" hidden="false" customHeight="true" outlineLevel="0" collapsed="false">
      <c r="A2499" s="1" t="s">
        <v>3344</v>
      </c>
      <c r="B2499" s="1" t="n">
        <v>10</v>
      </c>
    </row>
    <row r="2500" customFormat="false" ht="15" hidden="false" customHeight="true" outlineLevel="0" collapsed="false">
      <c r="A2500" s="1" t="s">
        <v>1487</v>
      </c>
      <c r="B2500" s="1" t="n">
        <v>10</v>
      </c>
    </row>
    <row r="2501" customFormat="false" ht="15" hidden="false" customHeight="true" outlineLevel="0" collapsed="false">
      <c r="A2501" s="1" t="s">
        <v>2186</v>
      </c>
      <c r="B2501" s="1" t="n">
        <v>10</v>
      </c>
    </row>
    <row r="2502" customFormat="false" ht="15" hidden="false" customHeight="true" outlineLevel="0" collapsed="false">
      <c r="A2502" s="1" t="s">
        <v>1461</v>
      </c>
      <c r="B2502" s="1" t="n">
        <v>10</v>
      </c>
    </row>
    <row r="2503" customFormat="false" ht="15" hidden="false" customHeight="true" outlineLevel="0" collapsed="false">
      <c r="A2503" s="1" t="s">
        <v>3436</v>
      </c>
      <c r="B2503" s="1" t="n">
        <v>10</v>
      </c>
    </row>
    <row r="2504" customFormat="false" ht="15" hidden="false" customHeight="true" outlineLevel="0" collapsed="false">
      <c r="A2504" s="1" t="s">
        <v>2255</v>
      </c>
      <c r="B2504" s="1" t="n">
        <v>10</v>
      </c>
    </row>
    <row r="2505" customFormat="false" ht="15" hidden="false" customHeight="true" outlineLevel="0" collapsed="false">
      <c r="A2505" s="1" t="s">
        <v>2124</v>
      </c>
      <c r="B2505" s="1" t="n">
        <v>10</v>
      </c>
    </row>
    <row r="2506" customFormat="false" ht="15" hidden="false" customHeight="true" outlineLevel="0" collapsed="false">
      <c r="A2506" s="1" t="s">
        <v>2980</v>
      </c>
      <c r="B2506" s="1" t="n">
        <v>10</v>
      </c>
    </row>
    <row r="2507" customFormat="false" ht="15" hidden="false" customHeight="true" outlineLevel="0" collapsed="false">
      <c r="A2507" s="1" t="s">
        <v>2982</v>
      </c>
      <c r="B2507" s="1" t="n">
        <v>10</v>
      </c>
    </row>
    <row r="2508" customFormat="false" ht="15" hidden="false" customHeight="true" outlineLevel="0" collapsed="false">
      <c r="A2508" s="1" t="s">
        <v>1575</v>
      </c>
      <c r="B2508" s="1" t="n">
        <v>10</v>
      </c>
    </row>
    <row r="2509" customFormat="false" ht="15" hidden="false" customHeight="true" outlineLevel="0" collapsed="false">
      <c r="A2509" s="1" t="s">
        <v>2256</v>
      </c>
      <c r="B2509" s="1" t="n">
        <v>10</v>
      </c>
    </row>
    <row r="2510" customFormat="false" ht="15" hidden="false" customHeight="true" outlineLevel="0" collapsed="false">
      <c r="A2510" s="1" t="s">
        <v>2605</v>
      </c>
      <c r="B2510" s="1" t="n">
        <v>10</v>
      </c>
    </row>
    <row r="2511" customFormat="false" ht="15" hidden="false" customHeight="true" outlineLevel="0" collapsed="false">
      <c r="A2511" s="1" t="s">
        <v>2839</v>
      </c>
      <c r="B2511" s="1" t="n">
        <v>10</v>
      </c>
    </row>
    <row r="2512" customFormat="false" ht="15" hidden="false" customHeight="true" outlineLevel="0" collapsed="false">
      <c r="A2512" s="1" t="s">
        <v>2811</v>
      </c>
      <c r="B2512" s="1" t="n">
        <v>10</v>
      </c>
    </row>
    <row r="2513" customFormat="false" ht="15" hidden="false" customHeight="true" outlineLevel="0" collapsed="false">
      <c r="A2513" s="1" t="s">
        <v>3438</v>
      </c>
      <c r="B2513" s="1" t="n">
        <v>10</v>
      </c>
    </row>
    <row r="2514" customFormat="false" ht="15" hidden="false" customHeight="true" outlineLevel="0" collapsed="false">
      <c r="A2514" s="1" t="s">
        <v>3441</v>
      </c>
      <c r="B2514" s="1" t="n">
        <v>10</v>
      </c>
    </row>
    <row r="2515" customFormat="false" ht="15" hidden="false" customHeight="true" outlineLevel="0" collapsed="false">
      <c r="A2515" s="1" t="s">
        <v>3443</v>
      </c>
      <c r="B2515" s="1" t="n">
        <v>10</v>
      </c>
    </row>
    <row r="2516" customFormat="false" ht="15" hidden="false" customHeight="true" outlineLevel="0" collapsed="false">
      <c r="A2516" s="1" t="s">
        <v>3445</v>
      </c>
      <c r="B2516" s="1" t="n">
        <v>10</v>
      </c>
    </row>
    <row r="2517" customFormat="false" ht="15" hidden="false" customHeight="true" outlineLevel="0" collapsed="false">
      <c r="A2517" s="1" t="s">
        <v>3448</v>
      </c>
      <c r="B2517" s="1" t="n">
        <v>10</v>
      </c>
    </row>
    <row r="2518" customFormat="false" ht="15" hidden="false" customHeight="true" outlineLevel="0" collapsed="false">
      <c r="A2518" s="1" t="s">
        <v>3451</v>
      </c>
      <c r="B2518" s="1" t="n">
        <v>10</v>
      </c>
    </row>
    <row r="2519" customFormat="false" ht="15" hidden="false" customHeight="true" outlineLevel="0" collapsed="false">
      <c r="A2519" s="1" t="s">
        <v>3453</v>
      </c>
      <c r="B2519" s="1" t="n">
        <v>10</v>
      </c>
    </row>
    <row r="2520" customFormat="false" ht="15" hidden="false" customHeight="true" outlineLevel="0" collapsed="false">
      <c r="A2520" s="1" t="s">
        <v>3455</v>
      </c>
      <c r="B2520" s="1" t="n">
        <v>10</v>
      </c>
    </row>
    <row r="2521" customFormat="false" ht="15" hidden="false" customHeight="true" outlineLevel="0" collapsed="false">
      <c r="A2521" s="1" t="s">
        <v>3457</v>
      </c>
      <c r="B2521" s="1" t="n">
        <v>10</v>
      </c>
    </row>
    <row r="2522" customFormat="false" ht="15" hidden="false" customHeight="true" outlineLevel="0" collapsed="false">
      <c r="A2522" s="1" t="s">
        <v>3459</v>
      </c>
      <c r="B2522" s="1" t="n">
        <v>10</v>
      </c>
    </row>
    <row r="2523" customFormat="false" ht="15" hidden="false" customHeight="true" outlineLevel="0" collapsed="false">
      <c r="A2523" s="1" t="s">
        <v>3462</v>
      </c>
      <c r="B2523" s="1" t="n">
        <v>10</v>
      </c>
    </row>
    <row r="2524" customFormat="false" ht="15" hidden="false" customHeight="true" outlineLevel="0" collapsed="false">
      <c r="A2524" s="1" t="s">
        <v>2945</v>
      </c>
      <c r="B2524" s="1" t="n">
        <v>9</v>
      </c>
    </row>
    <row r="2525" customFormat="false" ht="15" hidden="false" customHeight="true" outlineLevel="0" collapsed="false">
      <c r="A2525" s="1" t="s">
        <v>2837</v>
      </c>
      <c r="B2525" s="1" t="n">
        <v>9</v>
      </c>
    </row>
    <row r="2526" customFormat="false" ht="15" hidden="false" customHeight="true" outlineLevel="0" collapsed="false">
      <c r="A2526" s="1" t="s">
        <v>2790</v>
      </c>
      <c r="B2526" s="1" t="n">
        <v>9</v>
      </c>
    </row>
    <row r="2527" customFormat="false" ht="15" hidden="false" customHeight="true" outlineLevel="0" collapsed="false">
      <c r="A2527" s="1" t="s">
        <v>512</v>
      </c>
      <c r="B2527" s="1" t="n">
        <v>9</v>
      </c>
    </row>
    <row r="2528" customFormat="false" ht="15" hidden="false" customHeight="true" outlineLevel="0" collapsed="false">
      <c r="A2528" s="1" t="s">
        <v>3465</v>
      </c>
      <c r="B2528" s="1" t="n">
        <v>9</v>
      </c>
    </row>
    <row r="2529" customFormat="false" ht="15" hidden="false" customHeight="true" outlineLevel="0" collapsed="false">
      <c r="A2529" s="1" t="s">
        <v>3235</v>
      </c>
      <c r="B2529" s="1" t="n">
        <v>9</v>
      </c>
    </row>
    <row r="2530" customFormat="false" ht="15" hidden="false" customHeight="true" outlineLevel="0" collapsed="false">
      <c r="A2530" s="1" t="s">
        <v>2269</v>
      </c>
      <c r="B2530" s="1" t="n">
        <v>9</v>
      </c>
    </row>
    <row r="2531" customFormat="false" ht="15" hidden="false" customHeight="true" outlineLevel="0" collapsed="false">
      <c r="A2531" s="1" t="s">
        <v>3467</v>
      </c>
      <c r="B2531" s="1" t="n">
        <v>9</v>
      </c>
    </row>
    <row r="2532" customFormat="false" ht="15" hidden="false" customHeight="true" outlineLevel="0" collapsed="false">
      <c r="A2532" s="1" t="s">
        <v>3471</v>
      </c>
      <c r="B2532" s="1" t="n">
        <v>9</v>
      </c>
    </row>
    <row r="2533" customFormat="false" ht="15" hidden="false" customHeight="true" outlineLevel="0" collapsed="false">
      <c r="A2533" s="1" t="s">
        <v>3473</v>
      </c>
      <c r="B2533" s="1" t="n">
        <v>9</v>
      </c>
    </row>
    <row r="2534" customFormat="false" ht="15" hidden="false" customHeight="true" outlineLevel="0" collapsed="false">
      <c r="A2534" s="1" t="s">
        <v>3475</v>
      </c>
      <c r="B2534" s="1" t="n">
        <v>9</v>
      </c>
    </row>
    <row r="2535" customFormat="false" ht="15" hidden="false" customHeight="true" outlineLevel="0" collapsed="false">
      <c r="A2535" s="1" t="s">
        <v>3477</v>
      </c>
      <c r="B2535" s="1" t="n">
        <v>9</v>
      </c>
    </row>
    <row r="2536" customFormat="false" ht="15" hidden="false" customHeight="true" outlineLevel="0" collapsed="false">
      <c r="A2536" s="1" t="s">
        <v>3480</v>
      </c>
      <c r="B2536" s="1" t="n">
        <v>9</v>
      </c>
    </row>
    <row r="2537" customFormat="false" ht="15" hidden="false" customHeight="true" outlineLevel="0" collapsed="false">
      <c r="A2537" s="1" t="s">
        <v>3482</v>
      </c>
      <c r="B2537" s="1" t="n">
        <v>9</v>
      </c>
    </row>
    <row r="2538" customFormat="false" ht="15" hidden="false" customHeight="true" outlineLevel="0" collapsed="false">
      <c r="A2538" s="1" t="s">
        <v>3484</v>
      </c>
      <c r="B2538" s="1" t="n">
        <v>9</v>
      </c>
    </row>
    <row r="2539" customFormat="false" ht="15" hidden="false" customHeight="true" outlineLevel="0" collapsed="false">
      <c r="A2539" s="1" t="s">
        <v>3073</v>
      </c>
      <c r="B2539" s="1" t="n">
        <v>8</v>
      </c>
    </row>
    <row r="2540" customFormat="false" ht="15" hidden="false" customHeight="true" outlineLevel="0" collapsed="false">
      <c r="A2540" s="1" t="s">
        <v>3058</v>
      </c>
      <c r="B2540" s="1" t="n">
        <v>8</v>
      </c>
    </row>
    <row r="2541" customFormat="false" ht="15" hidden="false" customHeight="true" outlineLevel="0" collapsed="false">
      <c r="A2541" s="1" t="s">
        <v>3143</v>
      </c>
      <c r="B2541" s="1" t="n">
        <v>8</v>
      </c>
    </row>
    <row r="2542" customFormat="false" ht="15" hidden="false" customHeight="true" outlineLevel="0" collapsed="false">
      <c r="A2542" s="1" t="s">
        <v>3128</v>
      </c>
      <c r="B2542" s="1" t="n">
        <v>8</v>
      </c>
    </row>
    <row r="2543" customFormat="false" ht="15" hidden="false" customHeight="true" outlineLevel="0" collapsed="false">
      <c r="A2543" s="1" t="s">
        <v>2554</v>
      </c>
      <c r="B2543" s="1" t="n">
        <v>8</v>
      </c>
    </row>
    <row r="2544" customFormat="false" ht="15" hidden="false" customHeight="true" outlineLevel="0" collapsed="false">
      <c r="A2544" s="1" t="s">
        <v>2476</v>
      </c>
      <c r="B2544" s="1" t="n">
        <v>8</v>
      </c>
    </row>
    <row r="2545" customFormat="false" ht="15" hidden="false" customHeight="true" outlineLevel="0" collapsed="false">
      <c r="A2545" s="1" t="s">
        <v>1227</v>
      </c>
      <c r="B2545" s="1" t="n">
        <v>8</v>
      </c>
    </row>
    <row r="2546" customFormat="false" ht="15" hidden="false" customHeight="true" outlineLevel="0" collapsed="false">
      <c r="A2546" s="1" t="s">
        <v>1756</v>
      </c>
      <c r="B2546" s="1" t="n">
        <v>8</v>
      </c>
    </row>
    <row r="2547" customFormat="false" ht="15" hidden="false" customHeight="true" outlineLevel="0" collapsed="false">
      <c r="A2547" s="1" t="s">
        <v>2728</v>
      </c>
      <c r="B2547" s="1" t="n">
        <v>8</v>
      </c>
    </row>
    <row r="2548" customFormat="false" ht="15" hidden="false" customHeight="true" outlineLevel="0" collapsed="false">
      <c r="A2548" s="1" t="s">
        <v>3496</v>
      </c>
      <c r="B2548" s="1" t="n">
        <v>8</v>
      </c>
    </row>
    <row r="2549" customFormat="false" ht="15" hidden="false" customHeight="true" outlineLevel="0" collapsed="false">
      <c r="A2549" s="1" t="s">
        <v>3500</v>
      </c>
      <c r="B2549" s="1" t="n">
        <v>8</v>
      </c>
    </row>
    <row r="2550" customFormat="false" ht="15" hidden="false" customHeight="true" outlineLevel="0" collapsed="false">
      <c r="A2550" s="1" t="s">
        <v>3503</v>
      </c>
      <c r="B2550" s="1" t="n">
        <v>8</v>
      </c>
    </row>
    <row r="2551" customFormat="false" ht="15" hidden="false" customHeight="true" outlineLevel="0" collapsed="false">
      <c r="A2551" s="1" t="s">
        <v>3506</v>
      </c>
      <c r="B2551" s="1" t="n">
        <v>8</v>
      </c>
    </row>
    <row r="2552" customFormat="false" ht="15" hidden="false" customHeight="true" outlineLevel="0" collapsed="false">
      <c r="A2552" s="1" t="s">
        <v>3509</v>
      </c>
      <c r="B2552" s="1" t="n">
        <v>8</v>
      </c>
    </row>
    <row r="2553" customFormat="false" ht="15" hidden="false" customHeight="true" outlineLevel="0" collapsed="false">
      <c r="A2553" s="1" t="s">
        <v>3511</v>
      </c>
      <c r="B2553" s="1" t="n">
        <v>8</v>
      </c>
    </row>
    <row r="2554" customFormat="false" ht="15" hidden="false" customHeight="true" outlineLevel="0" collapsed="false">
      <c r="A2554" s="1" t="s">
        <v>3233</v>
      </c>
      <c r="B2554" s="1" t="n">
        <v>7</v>
      </c>
    </row>
    <row r="2555" customFormat="false" ht="15" hidden="false" customHeight="true" outlineLevel="0" collapsed="false">
      <c r="A2555" s="1" t="s">
        <v>3037</v>
      </c>
      <c r="B2555" s="1" t="n">
        <v>7</v>
      </c>
    </row>
    <row r="2556" customFormat="false" ht="15" hidden="false" customHeight="true" outlineLevel="0" collapsed="false">
      <c r="A2556" s="1" t="s">
        <v>2750</v>
      </c>
      <c r="B2556" s="1" t="n">
        <v>7</v>
      </c>
    </row>
    <row r="2557" customFormat="false" ht="15" hidden="false" customHeight="true" outlineLevel="0" collapsed="false">
      <c r="A2557" s="1" t="s">
        <v>2167</v>
      </c>
      <c r="B2557" s="1" t="n">
        <v>7</v>
      </c>
    </row>
    <row r="2558" customFormat="false" ht="15" hidden="false" customHeight="true" outlineLevel="0" collapsed="false">
      <c r="A2558" s="1" t="s">
        <v>3259</v>
      </c>
      <c r="B2558" s="1" t="n">
        <v>7</v>
      </c>
    </row>
    <row r="2559" customFormat="false" ht="15" hidden="false" customHeight="true" outlineLevel="0" collapsed="false">
      <c r="A2559" s="1" t="s">
        <v>1921</v>
      </c>
      <c r="B2559" s="1" t="n">
        <v>7</v>
      </c>
    </row>
    <row r="2560" customFormat="false" ht="15" hidden="false" customHeight="true" outlineLevel="0" collapsed="false">
      <c r="A2560" s="1" t="s">
        <v>3528</v>
      </c>
      <c r="B2560" s="1" t="n">
        <v>7</v>
      </c>
    </row>
    <row r="2561" customFormat="false" ht="15" hidden="false" customHeight="true" outlineLevel="0" collapsed="false">
      <c r="A2561" s="1" t="s">
        <v>3530</v>
      </c>
      <c r="B2561" s="1" t="n">
        <v>7</v>
      </c>
    </row>
    <row r="2562" customFormat="false" ht="15" hidden="false" customHeight="true" outlineLevel="0" collapsed="false">
      <c r="A2562" s="1" t="s">
        <v>3532</v>
      </c>
      <c r="B2562" s="1" t="n">
        <v>7</v>
      </c>
    </row>
    <row r="2563" customFormat="false" ht="15" hidden="false" customHeight="true" outlineLevel="0" collapsed="false">
      <c r="A2563" s="1" t="s">
        <v>3535</v>
      </c>
      <c r="B2563" s="1" t="n">
        <v>7</v>
      </c>
    </row>
    <row r="2564" customFormat="false" ht="15" hidden="false" customHeight="true" outlineLevel="0" collapsed="false">
      <c r="A2564" s="1" t="s">
        <v>3537</v>
      </c>
      <c r="B2564" s="1" t="n">
        <v>7</v>
      </c>
    </row>
    <row r="2565" customFormat="false" ht="15" hidden="false" customHeight="true" outlineLevel="0" collapsed="false">
      <c r="A2565" s="1" t="s">
        <v>3539</v>
      </c>
      <c r="B2565" s="1" t="n">
        <v>7</v>
      </c>
    </row>
    <row r="2566" customFormat="false" ht="15" hidden="false" customHeight="true" outlineLevel="0" collapsed="false">
      <c r="A2566" s="1" t="s">
        <v>3541</v>
      </c>
      <c r="B2566" s="1" t="n">
        <v>7</v>
      </c>
    </row>
    <row r="2567" customFormat="false" ht="15" hidden="false" customHeight="true" outlineLevel="0" collapsed="false">
      <c r="A2567" s="1" t="s">
        <v>3543</v>
      </c>
      <c r="B2567" s="1" t="n">
        <v>7</v>
      </c>
    </row>
    <row r="2568" customFormat="false" ht="15" hidden="false" customHeight="true" outlineLevel="0" collapsed="false">
      <c r="A2568" s="1" t="s">
        <v>3545</v>
      </c>
      <c r="B2568" s="1" t="n">
        <v>7</v>
      </c>
    </row>
    <row r="2569" customFormat="false" ht="15" hidden="false" customHeight="true" outlineLevel="0" collapsed="false">
      <c r="A2569" s="1" t="s">
        <v>3547</v>
      </c>
      <c r="B2569" s="1" t="n">
        <v>7</v>
      </c>
    </row>
    <row r="2570" customFormat="false" ht="15" hidden="false" customHeight="true" outlineLevel="0" collapsed="false">
      <c r="A2570" s="1" t="s">
        <v>3231</v>
      </c>
      <c r="B2570" s="1" t="n">
        <v>6</v>
      </c>
    </row>
    <row r="2571" customFormat="false" ht="15" hidden="false" customHeight="true" outlineLevel="0" collapsed="false">
      <c r="A2571" s="1" t="s">
        <v>2961</v>
      </c>
      <c r="B2571" s="1" t="n">
        <v>6</v>
      </c>
    </row>
    <row r="2572" customFormat="false" ht="15" hidden="false" customHeight="true" outlineLevel="0" collapsed="false">
      <c r="A2572" s="1" t="s">
        <v>3095</v>
      </c>
      <c r="B2572" s="1" t="n">
        <v>6</v>
      </c>
    </row>
    <row r="2573" customFormat="false" ht="15" hidden="false" customHeight="true" outlineLevel="0" collapsed="false">
      <c r="A2573" s="1" t="s">
        <v>2767</v>
      </c>
      <c r="B2573" s="1" t="n">
        <v>6</v>
      </c>
    </row>
    <row r="2574" customFormat="false" ht="15" hidden="false" customHeight="true" outlineLevel="0" collapsed="false">
      <c r="A2574" s="1" t="s">
        <v>1654</v>
      </c>
      <c r="B2574" s="1" t="n">
        <v>6</v>
      </c>
    </row>
    <row r="2575" customFormat="false" ht="15" hidden="false" customHeight="true" outlineLevel="0" collapsed="false">
      <c r="A2575" s="1" t="s">
        <v>2317</v>
      </c>
      <c r="B2575" s="1" t="n">
        <v>6</v>
      </c>
    </row>
    <row r="2576" customFormat="false" ht="15" hidden="false" customHeight="true" outlineLevel="0" collapsed="false">
      <c r="A2576" s="1" t="s">
        <v>2899</v>
      </c>
      <c r="B2576" s="1" t="n">
        <v>6</v>
      </c>
    </row>
    <row r="2577" customFormat="false" ht="15" hidden="false" customHeight="true" outlineLevel="0" collapsed="false">
      <c r="A2577" s="1" t="s">
        <v>3555</v>
      </c>
      <c r="B2577" s="1" t="n">
        <v>6</v>
      </c>
    </row>
    <row r="2578" customFormat="false" ht="15" hidden="false" customHeight="true" outlineLevel="0" collapsed="false">
      <c r="A2578" s="1" t="s">
        <v>3557</v>
      </c>
      <c r="B2578" s="1" t="n">
        <v>6</v>
      </c>
    </row>
    <row r="2579" customFormat="false" ht="15" hidden="false" customHeight="true" outlineLevel="0" collapsed="false">
      <c r="A2579" s="1" t="s">
        <v>3559</v>
      </c>
      <c r="B2579" s="1" t="n">
        <v>6</v>
      </c>
    </row>
    <row r="2580" customFormat="false" ht="15" hidden="false" customHeight="true" outlineLevel="0" collapsed="false">
      <c r="A2580" s="1" t="s">
        <v>3561</v>
      </c>
      <c r="B2580" s="1" t="n">
        <v>6</v>
      </c>
    </row>
    <row r="2581" customFormat="false" ht="15" hidden="false" customHeight="true" outlineLevel="0" collapsed="false">
      <c r="A2581" s="1" t="s">
        <v>3563</v>
      </c>
      <c r="B2581" s="1" t="n">
        <v>6</v>
      </c>
    </row>
    <row r="2582" customFormat="false" ht="15" hidden="false" customHeight="true" outlineLevel="0" collapsed="false">
      <c r="A2582" s="1" t="s">
        <v>3566</v>
      </c>
      <c r="B2582" s="1" t="n">
        <v>6</v>
      </c>
    </row>
    <row r="2583" customFormat="false" ht="15" hidden="false" customHeight="true" outlineLevel="0" collapsed="false">
      <c r="A2583" s="1" t="s">
        <v>3568</v>
      </c>
      <c r="B2583" s="1" t="n">
        <v>6</v>
      </c>
    </row>
    <row r="2584" customFormat="false" ht="15" hidden="false" customHeight="true" outlineLevel="0" collapsed="false">
      <c r="A2584" s="1" t="s">
        <v>3570</v>
      </c>
      <c r="B2584" s="1" t="n">
        <v>6</v>
      </c>
    </row>
    <row r="2585" customFormat="false" ht="15" hidden="false" customHeight="true" outlineLevel="0" collapsed="false">
      <c r="A2585" s="1" t="s">
        <v>3572</v>
      </c>
      <c r="B2585" s="1" t="n">
        <v>6</v>
      </c>
    </row>
    <row r="2586" customFormat="false" ht="15" hidden="false" customHeight="true" outlineLevel="0" collapsed="false">
      <c r="A2586" s="1" t="s">
        <v>3489</v>
      </c>
      <c r="B2586" s="1" t="n">
        <v>5</v>
      </c>
    </row>
    <row r="2587" customFormat="false" ht="15" hidden="false" customHeight="true" outlineLevel="0" collapsed="false">
      <c r="A2587" s="1" t="s">
        <v>3493</v>
      </c>
      <c r="B2587" s="1" t="n">
        <v>5</v>
      </c>
    </row>
    <row r="2588" customFormat="false" ht="15" hidden="false" customHeight="true" outlineLevel="0" collapsed="false">
      <c r="A2588" s="1" t="s">
        <v>3093</v>
      </c>
      <c r="B2588" s="1" t="n">
        <v>5</v>
      </c>
    </row>
    <row r="2589" customFormat="false" ht="15" hidden="false" customHeight="true" outlineLevel="0" collapsed="false">
      <c r="A2589" s="1" t="s">
        <v>3057</v>
      </c>
      <c r="B2589" s="1" t="n">
        <v>5</v>
      </c>
    </row>
    <row r="2590" customFormat="false" ht="15" hidden="false" customHeight="true" outlineLevel="0" collapsed="false">
      <c r="A2590" s="1" t="s">
        <v>2343</v>
      </c>
      <c r="B2590" s="1" t="n">
        <v>5</v>
      </c>
    </row>
    <row r="2591" customFormat="false" ht="15" hidden="false" customHeight="true" outlineLevel="0" collapsed="false">
      <c r="A2591" s="1" t="s">
        <v>2881</v>
      </c>
      <c r="B2591" s="1" t="n">
        <v>5</v>
      </c>
    </row>
    <row r="2592" customFormat="false" ht="15" hidden="false" customHeight="true" outlineLevel="0" collapsed="false">
      <c r="A2592" s="1" t="s">
        <v>2706</v>
      </c>
      <c r="B2592" s="1" t="n">
        <v>5</v>
      </c>
    </row>
    <row r="2593" customFormat="false" ht="15" hidden="false" customHeight="true" outlineLevel="0" collapsed="false">
      <c r="A2593" s="1" t="s">
        <v>2765</v>
      </c>
      <c r="B2593" s="1" t="n">
        <v>5</v>
      </c>
    </row>
    <row r="2594" customFormat="false" ht="15" hidden="false" customHeight="true" outlineLevel="0" collapsed="false">
      <c r="A2594" s="1" t="s">
        <v>3578</v>
      </c>
      <c r="B2594" s="1" t="n">
        <v>5</v>
      </c>
    </row>
    <row r="2595" customFormat="false" ht="15" hidden="false" customHeight="true" outlineLevel="0" collapsed="false">
      <c r="A2595" s="1" t="s">
        <v>3580</v>
      </c>
      <c r="B2595" s="1" t="n">
        <v>5</v>
      </c>
    </row>
    <row r="2596" customFormat="false" ht="15" hidden="false" customHeight="true" outlineLevel="0" collapsed="false">
      <c r="A2596" s="1" t="s">
        <v>3582</v>
      </c>
      <c r="B2596" s="1" t="n">
        <v>5</v>
      </c>
    </row>
    <row r="2597" customFormat="false" ht="15" hidden="false" customHeight="true" outlineLevel="0" collapsed="false">
      <c r="A2597" s="1" t="s">
        <v>3585</v>
      </c>
      <c r="B2597" s="1" t="n">
        <v>5</v>
      </c>
    </row>
    <row r="2598" customFormat="false" ht="15" hidden="false" customHeight="true" outlineLevel="0" collapsed="false">
      <c r="A2598" s="1" t="s">
        <v>3587</v>
      </c>
      <c r="B2598" s="1" t="n">
        <v>5</v>
      </c>
    </row>
    <row r="2599" customFormat="false" ht="15" hidden="false" customHeight="true" outlineLevel="0" collapsed="false">
      <c r="A2599" s="1" t="s">
        <v>3589</v>
      </c>
      <c r="B2599" s="1" t="n">
        <v>5</v>
      </c>
    </row>
    <row r="2600" customFormat="false" ht="15" hidden="false" customHeight="true" outlineLevel="0" collapsed="false">
      <c r="A2600" s="1" t="s">
        <v>3593</v>
      </c>
      <c r="B2600" s="1" t="n">
        <v>5</v>
      </c>
    </row>
    <row r="2601" customFormat="false" ht="15" hidden="false" customHeight="true" outlineLevel="0" collapsed="false">
      <c r="A2601" s="1" t="s">
        <v>3595</v>
      </c>
      <c r="B2601" s="1" t="n">
        <v>5</v>
      </c>
    </row>
    <row r="2602" customFormat="false" ht="15" hidden="false" customHeight="true" outlineLevel="0" collapsed="false">
      <c r="A2602" s="1" t="s">
        <v>3258</v>
      </c>
      <c r="B2602" s="1" t="n">
        <v>4</v>
      </c>
    </row>
    <row r="2603" customFormat="false" ht="15" hidden="false" customHeight="true" outlineLevel="0" collapsed="false">
      <c r="A2603" s="1" t="s">
        <v>3398</v>
      </c>
      <c r="B2603" s="1" t="n">
        <v>4</v>
      </c>
    </row>
    <row r="2604" customFormat="false" ht="15" hidden="false" customHeight="true" outlineLevel="0" collapsed="false">
      <c r="A2604" s="1" t="s">
        <v>1558</v>
      </c>
      <c r="B2604" s="1" t="n">
        <v>4</v>
      </c>
    </row>
    <row r="2605" customFormat="false" ht="15" hidden="false" customHeight="true" outlineLevel="0" collapsed="false">
      <c r="A2605" s="1" t="s">
        <v>2704</v>
      </c>
      <c r="B2605" s="1" t="n">
        <v>4</v>
      </c>
    </row>
    <row r="2606" customFormat="false" ht="15" hidden="false" customHeight="true" outlineLevel="0" collapsed="false">
      <c r="A2606" s="1" t="s">
        <v>1581</v>
      </c>
      <c r="B2606" s="1" t="n">
        <v>4</v>
      </c>
    </row>
    <row r="2607" customFormat="false" ht="15" hidden="false" customHeight="true" outlineLevel="0" collapsed="false">
      <c r="A2607" s="1" t="s">
        <v>2429</v>
      </c>
      <c r="B2607" s="1" t="n">
        <v>4</v>
      </c>
    </row>
    <row r="2608" customFormat="false" ht="15" hidden="false" customHeight="true" outlineLevel="0" collapsed="false">
      <c r="A2608" s="1" t="s">
        <v>3603</v>
      </c>
      <c r="B2608" s="1" t="n">
        <v>4</v>
      </c>
    </row>
    <row r="2609" customFormat="false" ht="15" hidden="false" customHeight="true" outlineLevel="0" collapsed="false">
      <c r="A2609" s="1" t="s">
        <v>3606</v>
      </c>
      <c r="B2609" s="1" t="n">
        <v>4</v>
      </c>
    </row>
    <row r="2610" customFormat="false" ht="15" hidden="false" customHeight="true" outlineLevel="0" collapsed="false">
      <c r="A2610" s="1" t="s">
        <v>3608</v>
      </c>
      <c r="B2610" s="1" t="n">
        <v>4</v>
      </c>
    </row>
    <row r="2611" customFormat="false" ht="15" hidden="false" customHeight="true" outlineLevel="0" collapsed="false">
      <c r="A2611" s="1" t="s">
        <v>3610</v>
      </c>
      <c r="B2611" s="1" t="n">
        <v>4</v>
      </c>
    </row>
    <row r="2612" customFormat="false" ht="15" hidden="false" customHeight="true" outlineLevel="0" collapsed="false">
      <c r="A2612" s="1" t="s">
        <v>3186</v>
      </c>
      <c r="B2612" s="1" t="n">
        <v>3</v>
      </c>
    </row>
    <row r="2613" customFormat="false" ht="15" hidden="false" customHeight="true" outlineLevel="0" collapsed="false">
      <c r="A2613" s="1" t="s">
        <v>3435</v>
      </c>
      <c r="B2613" s="1" t="n">
        <v>3</v>
      </c>
    </row>
    <row r="2614" customFormat="false" ht="15" hidden="false" customHeight="true" outlineLevel="0" collapsed="false">
      <c r="A2614" s="1" t="s">
        <v>3554</v>
      </c>
      <c r="B2614" s="1" t="n">
        <v>3</v>
      </c>
    </row>
    <row r="2615" customFormat="false" ht="15" hidden="false" customHeight="true" outlineLevel="0" collapsed="false">
      <c r="A2615" s="1" t="s">
        <v>3375</v>
      </c>
      <c r="B2615" s="1" t="n">
        <v>3</v>
      </c>
    </row>
    <row r="2616" customFormat="false" ht="15" hidden="false" customHeight="true" outlineLevel="0" collapsed="false">
      <c r="A2616" s="1" t="s">
        <v>2788</v>
      </c>
      <c r="B2616" s="1" t="n">
        <v>3</v>
      </c>
    </row>
    <row r="2617" customFormat="false" ht="15" hidden="false" customHeight="true" outlineLevel="0" collapsed="false">
      <c r="A2617" s="1" t="s">
        <v>3126</v>
      </c>
      <c r="B2617" s="1" t="n">
        <v>3</v>
      </c>
    </row>
    <row r="2618" customFormat="false" ht="15" hidden="false" customHeight="true" outlineLevel="0" collapsed="false">
      <c r="A2618" s="1" t="s">
        <v>3613</v>
      </c>
      <c r="B2618" s="1" t="n">
        <v>3</v>
      </c>
    </row>
    <row r="2619" customFormat="false" ht="15" hidden="false" customHeight="true" outlineLevel="0" collapsed="false">
      <c r="A2619" s="1" t="s">
        <v>3615</v>
      </c>
      <c r="B2619" s="1" t="n">
        <v>3</v>
      </c>
    </row>
    <row r="2620" customFormat="false" ht="15" hidden="false" customHeight="true" outlineLevel="0" collapsed="false">
      <c r="A2620" s="1" t="s">
        <v>3617</v>
      </c>
      <c r="B2620" s="1" t="n">
        <v>3</v>
      </c>
    </row>
    <row r="2621" customFormat="false" ht="15" hidden="false" customHeight="true" outlineLevel="0" collapsed="false">
      <c r="A2621" s="1" t="s">
        <v>3619</v>
      </c>
      <c r="B2621" s="1" t="n">
        <v>3</v>
      </c>
    </row>
    <row r="2622" customFormat="false" ht="15" hidden="false" customHeight="true" outlineLevel="0" collapsed="false">
      <c r="A2622" s="1" t="s">
        <v>3621</v>
      </c>
      <c r="B2622" s="1" t="n">
        <v>3</v>
      </c>
    </row>
    <row r="2623" customFormat="false" ht="15" hidden="false" customHeight="true" outlineLevel="0" collapsed="false">
      <c r="A2623" s="1" t="s">
        <v>3624</v>
      </c>
      <c r="B2623" s="1" t="n">
        <v>3</v>
      </c>
    </row>
    <row r="2624" customFormat="false" ht="15" hidden="false" customHeight="true" outlineLevel="0" collapsed="false">
      <c r="A2624" s="1" t="s">
        <v>3627</v>
      </c>
      <c r="B2624" s="1" t="n">
        <v>3</v>
      </c>
    </row>
    <row r="2625" customFormat="false" ht="15" hidden="false" customHeight="true" outlineLevel="0" collapsed="false">
      <c r="A2625" s="1" t="s">
        <v>3629</v>
      </c>
      <c r="B2625" s="1" t="n">
        <v>3</v>
      </c>
    </row>
    <row r="2626" customFormat="false" ht="15" hidden="false" customHeight="true" outlineLevel="0" collapsed="false">
      <c r="A2626" s="1" t="s">
        <v>3631</v>
      </c>
      <c r="B2626" s="1" t="n">
        <v>3</v>
      </c>
    </row>
    <row r="2627" customFormat="false" ht="15" hidden="false" customHeight="true" outlineLevel="0" collapsed="false">
      <c r="A2627" s="1" t="s">
        <v>3635</v>
      </c>
      <c r="B2627" s="1" t="n">
        <v>3</v>
      </c>
    </row>
    <row r="2628" customFormat="false" ht="15" hidden="false" customHeight="true" outlineLevel="0" collapsed="false">
      <c r="A2628" s="1" t="s">
        <v>3091</v>
      </c>
      <c r="B2628" s="1" t="n">
        <v>2</v>
      </c>
    </row>
    <row r="2629" customFormat="false" ht="15" hidden="false" customHeight="true" outlineLevel="0" collapsed="false">
      <c r="A2629" s="1" t="s">
        <v>3526</v>
      </c>
      <c r="B2629" s="1" t="n">
        <v>2</v>
      </c>
    </row>
    <row r="2630" customFormat="false" ht="15" hidden="false" customHeight="true" outlineLevel="0" collapsed="false">
      <c r="A2630" s="1" t="s">
        <v>3577</v>
      </c>
      <c r="B2630" s="1" t="n">
        <v>2</v>
      </c>
    </row>
    <row r="2631" customFormat="false" ht="15" hidden="false" customHeight="true" outlineLevel="0" collapsed="false">
      <c r="A2631" s="1" t="s">
        <v>3527</v>
      </c>
      <c r="B2631" s="1" t="n">
        <v>2</v>
      </c>
    </row>
    <row r="2632" customFormat="false" ht="15" hidden="false" customHeight="true" outlineLevel="0" collapsed="false">
      <c r="A2632" s="1" t="s">
        <v>3141</v>
      </c>
      <c r="B2632" s="1" t="n">
        <v>2</v>
      </c>
    </row>
    <row r="2633" customFormat="false" ht="15" hidden="false" customHeight="true" outlineLevel="0" collapsed="false">
      <c r="A2633" s="1" t="s">
        <v>3006</v>
      </c>
      <c r="B2633" s="1" t="n">
        <v>2</v>
      </c>
    </row>
    <row r="2634" customFormat="false" ht="15" hidden="false" customHeight="true" outlineLevel="0" collapsed="false">
      <c r="A2634" s="1" t="s">
        <v>3284</v>
      </c>
      <c r="B2634" s="1" t="n">
        <v>2</v>
      </c>
    </row>
    <row r="2635" customFormat="false" ht="15" hidden="false" customHeight="true" outlineLevel="0" collapsed="false">
      <c r="A2635" s="1" t="s">
        <v>3643</v>
      </c>
      <c r="B2635" s="1" t="n">
        <v>2</v>
      </c>
    </row>
    <row r="2636" customFormat="false" ht="15" hidden="false" customHeight="true" outlineLevel="0" collapsed="false">
      <c r="A2636" s="1" t="s">
        <v>3646</v>
      </c>
      <c r="B2636" s="1" t="n">
        <v>2</v>
      </c>
    </row>
    <row r="2637" customFormat="false" ht="15" hidden="false" customHeight="true" outlineLevel="0" collapsed="false">
      <c r="A2637" s="1" t="s">
        <v>3649</v>
      </c>
      <c r="B2637" s="1" t="n">
        <v>2</v>
      </c>
    </row>
    <row r="2638" customFormat="false" ht="15" hidden="false" customHeight="true" outlineLevel="0" collapsed="false">
      <c r="A2638" s="1" t="s">
        <v>3651</v>
      </c>
      <c r="B2638" s="1" t="n">
        <v>2</v>
      </c>
    </row>
    <row r="2639" customFormat="false" ht="15" hidden="false" customHeight="true" outlineLevel="0" collapsed="false">
      <c r="A2639" s="1" t="s">
        <v>3653</v>
      </c>
      <c r="B2639" s="1" t="n">
        <v>2</v>
      </c>
    </row>
    <row r="2640" customFormat="false" ht="15" hidden="false" customHeight="true" outlineLevel="0" collapsed="false">
      <c r="A2640" s="1" t="s">
        <v>3655</v>
      </c>
      <c r="B2640" s="1" t="n">
        <v>2</v>
      </c>
    </row>
    <row r="2641" customFormat="false" ht="15" hidden="false" customHeight="true" outlineLevel="0" collapsed="false">
      <c r="A2641" s="1" t="s">
        <v>3656</v>
      </c>
      <c r="B2641" s="1" t="n">
        <v>2</v>
      </c>
    </row>
    <row r="2642" customFormat="false" ht="15" hidden="false" customHeight="true" outlineLevel="0" collapsed="false">
      <c r="A2642" s="1" t="s">
        <v>3601</v>
      </c>
      <c r="B2642" s="1" t="n">
        <v>1</v>
      </c>
    </row>
    <row r="2643" customFormat="false" ht="15" hidden="false" customHeight="true" outlineLevel="0" collapsed="false">
      <c r="A2643" s="1" t="s">
        <v>3488</v>
      </c>
      <c r="B2643" s="1" t="n">
        <v>1</v>
      </c>
    </row>
    <row r="2644" customFormat="false" ht="15" hidden="false" customHeight="true" outlineLevel="0" collapsed="false">
      <c r="A2644" s="1" t="s">
        <v>3072</v>
      </c>
      <c r="B2644" s="1" t="n">
        <v>1</v>
      </c>
    </row>
    <row r="2645" customFormat="false" ht="15" hidden="false" customHeight="true" outlineLevel="0" collapsed="false">
      <c r="A2645" s="1" t="s">
        <v>3464</v>
      </c>
      <c r="B2645" s="1" t="n">
        <v>1</v>
      </c>
    </row>
    <row r="2646" customFormat="false" ht="15" hidden="false" customHeight="true" outlineLevel="0" collapsed="false">
      <c r="A2646" s="1" t="s">
        <v>3552</v>
      </c>
      <c r="B2646" s="1" t="n">
        <v>1</v>
      </c>
    </row>
    <row r="2647" customFormat="false" ht="15" hidden="false" customHeight="true" outlineLevel="0" collapsed="false">
      <c r="A2647" s="1" t="s">
        <v>2897</v>
      </c>
      <c r="B2647" s="1" t="n">
        <v>1</v>
      </c>
    </row>
    <row r="2648" customFormat="false" ht="15" hidden="false" customHeight="true" outlineLevel="0" collapsed="false">
      <c r="A2648" s="1" t="s">
        <v>3661</v>
      </c>
      <c r="B2648" s="1" t="n">
        <v>1</v>
      </c>
    </row>
    <row r="2649" customFormat="false" ht="15" hidden="false" customHeight="true" outlineLevel="0" collapsed="false">
      <c r="A2649" s="1" t="s">
        <v>3664</v>
      </c>
      <c r="B2649" s="1" t="n">
        <v>1</v>
      </c>
    </row>
    <row r="2650" customFormat="false" ht="15" hidden="false" customHeight="true" outlineLevel="0" collapsed="false">
      <c r="A2650" s="1" t="s">
        <v>3666</v>
      </c>
      <c r="B2650" s="1" t="n">
        <v>1</v>
      </c>
    </row>
    <row r="2651" customFormat="false" ht="15" hidden="false" customHeight="true" outlineLevel="0" collapsed="false">
      <c r="A2651" s="1" t="s">
        <v>3668</v>
      </c>
      <c r="B2651" s="1" t="n">
        <v>1</v>
      </c>
    </row>
    <row r="2652" customFormat="false" ht="15" hidden="false" customHeight="true" outlineLevel="0" collapsed="false">
      <c r="A2652" s="1" t="s">
        <v>3671</v>
      </c>
      <c r="B2652" s="1" t="n">
        <v>1</v>
      </c>
    </row>
    <row r="2653" customFormat="false" ht="15" hidden="false" customHeight="true" outlineLevel="0" collapsed="false">
      <c r="A2653" s="1" t="s">
        <v>3674</v>
      </c>
      <c r="B2653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3677</v>
      </c>
      <c r="B1" s="0" t="s">
        <v>16</v>
      </c>
      <c r="C1" s="0" t="s">
        <v>3708</v>
      </c>
      <c r="D1" s="0" t="s">
        <v>3709</v>
      </c>
      <c r="E1" s="0" t="s">
        <v>3710</v>
      </c>
    </row>
    <row r="2" customFormat="false" ht="108.95" hidden="false" customHeight="false" outlineLevel="0" collapsed="false">
      <c r="A2" s="0" t="s">
        <v>3065</v>
      </c>
      <c r="B2" s="0" t="s">
        <v>2466</v>
      </c>
      <c r="C2" s="14" t="s">
        <v>3711</v>
      </c>
      <c r="D2" s="14" t="s">
        <v>3712</v>
      </c>
      <c r="E2" s="14" t="s">
        <v>3713</v>
      </c>
    </row>
    <row r="3" customFormat="false" ht="108.95" hidden="false" customHeight="false" outlineLevel="0" collapsed="false">
      <c r="A3" s="0" t="s">
        <v>3031</v>
      </c>
      <c r="B3" s="0" t="s">
        <v>2466</v>
      </c>
      <c r="C3" s="14" t="s">
        <v>3714</v>
      </c>
      <c r="D3" s="14" t="s">
        <v>3715</v>
      </c>
      <c r="E3" s="0" t="s">
        <v>3716</v>
      </c>
    </row>
    <row r="4" customFormat="false" ht="28.35" hidden="false" customHeight="false" outlineLevel="0" collapsed="false">
      <c r="A4" s="0" t="s">
        <v>2742</v>
      </c>
      <c r="B4" s="0" t="s">
        <v>2466</v>
      </c>
      <c r="C4" s="14" t="s">
        <v>3717</v>
      </c>
      <c r="D4" s="14" t="s">
        <v>3718</v>
      </c>
      <c r="E4" s="0" t="s">
        <v>3716</v>
      </c>
    </row>
    <row r="5" customFormat="false" ht="55.2" hidden="false" customHeight="false" outlineLevel="0" collapsed="false">
      <c r="A5" s="0" t="s">
        <v>3451</v>
      </c>
      <c r="B5" s="0" t="s">
        <v>2466</v>
      </c>
      <c r="C5" s="14" t="s">
        <v>3719</v>
      </c>
      <c r="D5" s="14" t="s">
        <v>3720</v>
      </c>
      <c r="E5" s="14" t="s">
        <v>3721</v>
      </c>
    </row>
    <row r="6" customFormat="false" ht="28.35" hidden="false" customHeight="false" outlineLevel="0" collapsed="false">
      <c r="A6" s="0" t="s">
        <v>3405</v>
      </c>
      <c r="B6" s="0" t="s">
        <v>2466</v>
      </c>
      <c r="C6" s="14" t="s">
        <v>3722</v>
      </c>
      <c r="D6" s="14" t="s">
        <v>3723</v>
      </c>
      <c r="E6" s="0" t="s">
        <v>3724</v>
      </c>
    </row>
    <row r="7" customFormat="false" ht="108.95" hidden="false" customHeight="false" outlineLevel="0" collapsed="false">
      <c r="A7" s="0" t="s">
        <v>3563</v>
      </c>
      <c r="B7" s="0" t="s">
        <v>2466</v>
      </c>
      <c r="C7" s="14" t="s">
        <v>3725</v>
      </c>
      <c r="D7" s="14" t="s">
        <v>3726</v>
      </c>
      <c r="E7" s="0" t="s">
        <v>3716</v>
      </c>
    </row>
    <row r="8" customFormat="false" ht="95.5" hidden="false" customHeight="false" outlineLevel="0" collapsed="false">
      <c r="A8" s="0" t="s">
        <v>3273</v>
      </c>
      <c r="B8" s="0" t="s">
        <v>2466</v>
      </c>
      <c r="C8" s="14" t="s">
        <v>3727</v>
      </c>
      <c r="D8" s="14" t="s">
        <v>3728</v>
      </c>
      <c r="E8" s="0" t="s">
        <v>3729</v>
      </c>
    </row>
    <row r="9" customFormat="false" ht="28.35" hidden="false" customHeight="false" outlineLevel="0" collapsed="false">
      <c r="A9" s="0" t="s">
        <v>3453</v>
      </c>
      <c r="B9" s="0" t="s">
        <v>2466</v>
      </c>
      <c r="C9" s="14" t="s">
        <v>3730</v>
      </c>
      <c r="D9" s="14" t="s">
        <v>3731</v>
      </c>
      <c r="E9" s="0" t="s">
        <v>3716</v>
      </c>
    </row>
    <row r="10" customFormat="false" ht="68.65" hidden="false" customHeight="false" outlineLevel="0" collapsed="false">
      <c r="A10" s="0" t="s">
        <v>3326</v>
      </c>
      <c r="B10" s="0" t="s">
        <v>2466</v>
      </c>
      <c r="C10" s="14" t="s">
        <v>3732</v>
      </c>
      <c r="D10" s="14" t="s">
        <v>3733</v>
      </c>
      <c r="E10" s="0" t="s">
        <v>3734</v>
      </c>
    </row>
    <row r="11" customFormat="false" ht="122.35" hidden="false" customHeight="false" outlineLevel="0" collapsed="false">
      <c r="A11" s="0" t="s">
        <v>3020</v>
      </c>
      <c r="B11" s="0" t="s">
        <v>2466</v>
      </c>
      <c r="C11" s="14" t="s">
        <v>3735</v>
      </c>
      <c r="D11" s="14" t="s">
        <v>3736</v>
      </c>
      <c r="E11" s="0" t="s">
        <v>3729</v>
      </c>
    </row>
    <row r="12" customFormat="false" ht="28.35" hidden="false" customHeight="false" outlineLevel="0" collapsed="false">
      <c r="A12" s="0" t="s">
        <v>3294</v>
      </c>
      <c r="B12" s="0" t="s">
        <v>2466</v>
      </c>
      <c r="C12" s="14" t="s">
        <v>3737</v>
      </c>
      <c r="D12" s="14" t="s">
        <v>3738</v>
      </c>
      <c r="E12" s="0" t="s">
        <v>3729</v>
      </c>
    </row>
    <row r="13" customFormat="false" ht="41.75" hidden="false" customHeight="false" outlineLevel="0" collapsed="false">
      <c r="A13" s="0" t="s">
        <v>3241</v>
      </c>
      <c r="B13" s="0" t="s">
        <v>2466</v>
      </c>
      <c r="C13" s="14" t="s">
        <v>3739</v>
      </c>
      <c r="D13" s="14" t="s">
        <v>3740</v>
      </c>
      <c r="E13" s="0" t="s">
        <v>3729</v>
      </c>
    </row>
    <row r="14" customFormat="false" ht="41.75" hidden="false" customHeight="false" outlineLevel="0" collapsed="false">
      <c r="A14" s="0" t="s">
        <v>3328</v>
      </c>
      <c r="B14" s="0" t="s">
        <v>2466</v>
      </c>
      <c r="C14" s="0" t="s">
        <v>3741</v>
      </c>
      <c r="D14" s="14" t="s">
        <v>3742</v>
      </c>
      <c r="E14" s="14" t="s">
        <v>3743</v>
      </c>
    </row>
    <row r="15" customFormat="false" ht="122.35" hidden="false" customHeight="false" outlineLevel="0" collapsed="false">
      <c r="A15" s="0" t="s">
        <v>2658</v>
      </c>
      <c r="B15" s="0" t="s">
        <v>2466</v>
      </c>
      <c r="C15" s="14" t="s">
        <v>3744</v>
      </c>
      <c r="D15" s="14" t="s">
        <v>3745</v>
      </c>
      <c r="E15" s="0" t="s">
        <v>3729</v>
      </c>
    </row>
    <row r="16" customFormat="false" ht="149.25" hidden="false" customHeight="false" outlineLevel="0" collapsed="false">
      <c r="A16" s="0" t="s">
        <v>3135</v>
      </c>
      <c r="B16" s="0" t="s">
        <v>2466</v>
      </c>
      <c r="C16" s="14" t="s">
        <v>3746</v>
      </c>
      <c r="D16" s="14" t="s">
        <v>3747</v>
      </c>
      <c r="E16" s="0" t="s">
        <v>3729</v>
      </c>
    </row>
    <row r="17" customFormat="false" ht="41.75" hidden="false" customHeight="false" outlineLevel="0" collapsed="false">
      <c r="A17" s="0" t="s">
        <v>3593</v>
      </c>
      <c r="B17" s="0" t="s">
        <v>2466</v>
      </c>
      <c r="C17" s="14" t="s">
        <v>3748</v>
      </c>
      <c r="D17" s="14" t="s">
        <v>3749</v>
      </c>
      <c r="E17" s="0" t="s">
        <v>3729</v>
      </c>
    </row>
    <row r="18" customFormat="false" ht="28.35" hidden="false" customHeight="false" outlineLevel="0" collapsed="false">
      <c r="A18" s="0" t="s">
        <v>3384</v>
      </c>
      <c r="B18" s="0" t="s">
        <v>2466</v>
      </c>
      <c r="C18" s="14" t="s">
        <v>3750</v>
      </c>
      <c r="D18" s="14" t="s">
        <v>3751</v>
      </c>
      <c r="E18" s="14" t="s">
        <v>3752</v>
      </c>
    </row>
    <row r="19" customFormat="false" ht="95.5" hidden="false" customHeight="false" outlineLevel="0" collapsed="false">
      <c r="A19" s="0" t="s">
        <v>3161</v>
      </c>
      <c r="B19" s="0" t="s">
        <v>2466</v>
      </c>
      <c r="C19" s="14" t="s">
        <v>3753</v>
      </c>
      <c r="D19" s="14" t="s">
        <v>3754</v>
      </c>
      <c r="E19" s="0" t="s">
        <v>3729</v>
      </c>
    </row>
    <row r="20" customFormat="false" ht="41.75" hidden="false" customHeight="false" outlineLevel="0" collapsed="false">
      <c r="A20" s="0" t="s">
        <v>3407</v>
      </c>
      <c r="B20" s="0" t="s">
        <v>2466</v>
      </c>
      <c r="C20" s="14" t="s">
        <v>3755</v>
      </c>
      <c r="D20" s="14" t="s">
        <v>3756</v>
      </c>
      <c r="E20" s="0" t="s">
        <v>3716</v>
      </c>
    </row>
    <row r="21" customFormat="false" ht="41.75" hidden="false" customHeight="false" outlineLevel="0" collapsed="false">
      <c r="A21" s="0" t="s">
        <v>3566</v>
      </c>
      <c r="B21" s="0" t="s">
        <v>2466</v>
      </c>
      <c r="C21" s="0" t="s">
        <v>3757</v>
      </c>
      <c r="D21" s="14" t="s">
        <v>3758</v>
      </c>
    </row>
    <row r="22" customFormat="false" ht="41.75" hidden="false" customHeight="false" outlineLevel="0" collapsed="false">
      <c r="A22" s="0" t="s">
        <v>3568</v>
      </c>
      <c r="B22" s="0" t="s">
        <v>2466</v>
      </c>
      <c r="C22" s="0" t="s">
        <v>3759</v>
      </c>
      <c r="D22" s="14" t="s">
        <v>3760</v>
      </c>
      <c r="E22" s="14" t="s">
        <v>3761</v>
      </c>
    </row>
    <row r="23" customFormat="false" ht="162.65" hidden="false" customHeight="false" outlineLevel="0" collapsed="false">
      <c r="A23" s="0" t="s">
        <v>3541</v>
      </c>
      <c r="B23" s="0" t="s">
        <v>2466</v>
      </c>
      <c r="C23" s="14" t="s">
        <v>3762</v>
      </c>
      <c r="D23" s="14" t="s">
        <v>3763</v>
      </c>
      <c r="E23" s="0" t="s">
        <v>3716</v>
      </c>
    </row>
    <row r="24" customFormat="false" ht="323.85" hidden="false" customHeight="false" outlineLevel="0" collapsed="false">
      <c r="A24" s="0" t="s">
        <v>3023</v>
      </c>
      <c r="B24" s="0" t="s">
        <v>2466</v>
      </c>
      <c r="C24" s="14" t="s">
        <v>3764</v>
      </c>
      <c r="D24" s="14" t="s">
        <v>3765</v>
      </c>
      <c r="E24" s="0" t="s">
        <v>3716</v>
      </c>
    </row>
    <row r="25" customFormat="false" ht="108.95" hidden="false" customHeight="false" outlineLevel="0" collapsed="false">
      <c r="A25" s="0" t="s">
        <v>3088</v>
      </c>
      <c r="B25" s="0" t="s">
        <v>2466</v>
      </c>
      <c r="C25" s="14" t="s">
        <v>3766</v>
      </c>
      <c r="D25" s="14" t="s">
        <v>3767</v>
      </c>
      <c r="E25" s="0" t="s">
        <v>3716</v>
      </c>
    </row>
    <row r="26" customFormat="false" ht="82.05" hidden="false" customHeight="false" outlineLevel="0" collapsed="false">
      <c r="A26" s="0" t="s">
        <v>3137</v>
      </c>
      <c r="B26" s="0" t="s">
        <v>2466</v>
      </c>
      <c r="C26" s="14" t="s">
        <v>3768</v>
      </c>
      <c r="D26" s="0" t="s">
        <v>3138</v>
      </c>
      <c r="E26" s="0" t="s">
        <v>3769</v>
      </c>
    </row>
    <row r="27" customFormat="false" ht="55.2" hidden="false" customHeight="false" outlineLevel="0" collapsed="false">
      <c r="A27" s="0" t="s">
        <v>3243</v>
      </c>
      <c r="B27" s="0" t="s">
        <v>2466</v>
      </c>
      <c r="C27" s="14" t="s">
        <v>3770</v>
      </c>
      <c r="D27" s="14" t="s">
        <v>3771</v>
      </c>
      <c r="E27" s="0" t="s">
        <v>3716</v>
      </c>
    </row>
    <row r="28" customFormat="false" ht="337.3" hidden="false" customHeight="false" outlineLevel="0" collapsed="false">
      <c r="A28" s="0" t="s">
        <v>2494</v>
      </c>
      <c r="B28" s="0" t="s">
        <v>2466</v>
      </c>
      <c r="C28" s="14" t="s">
        <v>3772</v>
      </c>
      <c r="D28" s="14" t="s">
        <v>3773</v>
      </c>
      <c r="E28" s="0" t="s">
        <v>3716</v>
      </c>
    </row>
    <row r="29" customFormat="false" ht="41.75" hidden="false" customHeight="false" outlineLevel="0" collapsed="false">
      <c r="A29" s="0" t="s">
        <v>3409</v>
      </c>
      <c r="B29" s="0" t="s">
        <v>2466</v>
      </c>
      <c r="C29" s="14" t="s">
        <v>3774</v>
      </c>
      <c r="D29" s="14" t="s">
        <v>3775</v>
      </c>
      <c r="E29" s="0" t="s">
        <v>3716</v>
      </c>
    </row>
    <row r="30" customFormat="false" ht="122.35" hidden="false" customHeight="false" outlineLevel="0" collapsed="false">
      <c r="A30" s="0" t="s">
        <v>3455</v>
      </c>
      <c r="B30" s="0" t="s">
        <v>2466</v>
      </c>
      <c r="C30" s="14" t="s">
        <v>3776</v>
      </c>
      <c r="D30" s="14" t="s">
        <v>3777</v>
      </c>
      <c r="E30" s="0" t="s">
        <v>3716</v>
      </c>
    </row>
    <row r="31" customFormat="false" ht="68.65" hidden="false" customHeight="false" outlineLevel="0" collapsed="false">
      <c r="A31" s="0" t="s">
        <v>3365</v>
      </c>
      <c r="B31" s="0" t="s">
        <v>2466</v>
      </c>
      <c r="C31" s="14" t="s">
        <v>3778</v>
      </c>
      <c r="D31" s="14" t="s">
        <v>3779</v>
      </c>
      <c r="E31" s="0" t="s">
        <v>3716</v>
      </c>
    </row>
    <row r="32" customFormat="false" ht="122.35" hidden="false" customHeight="false" outlineLevel="0" collapsed="false">
      <c r="A32" s="0" t="s">
        <v>3367</v>
      </c>
      <c r="B32" s="0" t="s">
        <v>2466</v>
      </c>
      <c r="C32" s="14" t="s">
        <v>3780</v>
      </c>
      <c r="D32" s="14" t="s">
        <v>3781</v>
      </c>
      <c r="E32" s="0" t="s">
        <v>3716</v>
      </c>
    </row>
    <row r="33" customFormat="false" ht="68.65" hidden="false" customHeight="false" outlineLevel="0" collapsed="false">
      <c r="A33" s="0" t="s">
        <v>3411</v>
      </c>
      <c r="B33" s="0" t="s">
        <v>2466</v>
      </c>
      <c r="C33" s="0" t="s">
        <v>3782</v>
      </c>
      <c r="D33" s="14" t="s">
        <v>3783</v>
      </c>
      <c r="E33" s="0" t="s">
        <v>3729</v>
      </c>
    </row>
    <row r="34" customFormat="false" ht="41.75" hidden="false" customHeight="false" outlineLevel="0" collapsed="false">
      <c r="A34" s="0" t="s">
        <v>3423</v>
      </c>
      <c r="B34" s="0" t="s">
        <v>2466</v>
      </c>
      <c r="C34" s="14" t="s">
        <v>3784</v>
      </c>
      <c r="D34" s="14" t="s">
        <v>3785</v>
      </c>
      <c r="E34" s="0" t="s">
        <v>3729</v>
      </c>
    </row>
    <row r="35" customFormat="false" ht="68.65" hidden="false" customHeight="false" outlineLevel="0" collapsed="false">
      <c r="A35" s="0" t="s">
        <v>3246</v>
      </c>
      <c r="B35" s="0" t="s">
        <v>2466</v>
      </c>
      <c r="C35" s="14" t="s">
        <v>3786</v>
      </c>
      <c r="D35" s="14" t="s">
        <v>3787</v>
      </c>
      <c r="E35" s="0" t="s">
        <v>3716</v>
      </c>
    </row>
    <row r="36" customFormat="false" ht="55.2" hidden="false" customHeight="false" outlineLevel="0" collapsed="false">
      <c r="A36" s="0" t="s">
        <v>3509</v>
      </c>
      <c r="B36" s="0" t="s">
        <v>2466</v>
      </c>
      <c r="C36" s="14" t="s">
        <v>3788</v>
      </c>
      <c r="D36" s="14" t="s">
        <v>3789</v>
      </c>
      <c r="E36" s="0" t="s">
        <v>3729</v>
      </c>
    </row>
    <row r="37" customFormat="false" ht="55.2" hidden="false" customHeight="false" outlineLevel="0" collapsed="false">
      <c r="A37" s="0" t="s">
        <v>3387</v>
      </c>
      <c r="B37" s="0" t="s">
        <v>2466</v>
      </c>
      <c r="C37" s="14" t="s">
        <v>3790</v>
      </c>
      <c r="D37" s="14" t="s">
        <v>3791</v>
      </c>
      <c r="E37" s="0" t="s">
        <v>3716</v>
      </c>
    </row>
    <row r="38" customFormat="false" ht="28.35" hidden="false" customHeight="false" outlineLevel="0" collapsed="false">
      <c r="A38" s="0" t="s">
        <v>3275</v>
      </c>
      <c r="B38" s="0" t="s">
        <v>2466</v>
      </c>
      <c r="C38" s="0" t="s">
        <v>3792</v>
      </c>
      <c r="D38" s="14" t="s">
        <v>3793</v>
      </c>
      <c r="E38" s="0" t="s">
        <v>3716</v>
      </c>
    </row>
    <row r="39" customFormat="false" ht="55.2" hidden="false" customHeight="false" outlineLevel="0" collapsed="false">
      <c r="A39" s="0" t="s">
        <v>3215</v>
      </c>
      <c r="B39" s="0" t="s">
        <v>2466</v>
      </c>
      <c r="C39" s="14" t="s">
        <v>3794</v>
      </c>
      <c r="D39" s="14" t="s">
        <v>3795</v>
      </c>
      <c r="E39" s="0" t="s">
        <v>3729</v>
      </c>
    </row>
    <row r="40" customFormat="false" ht="122.35" hidden="false" customHeight="false" outlineLevel="0" collapsed="false">
      <c r="A40" s="0" t="s">
        <v>3473</v>
      </c>
      <c r="B40" s="0" t="s">
        <v>2466</v>
      </c>
      <c r="C40" s="14" t="s">
        <v>3796</v>
      </c>
      <c r="D40" s="14" t="s">
        <v>3797</v>
      </c>
      <c r="E40" s="0" t="s">
        <v>3716</v>
      </c>
    </row>
    <row r="41" customFormat="false" ht="216.4" hidden="false" customHeight="false" outlineLevel="0" collapsed="false">
      <c r="A41" s="0" t="s">
        <v>3193</v>
      </c>
      <c r="B41" s="0" t="s">
        <v>2466</v>
      </c>
      <c r="C41" s="14" t="s">
        <v>3798</v>
      </c>
      <c r="D41" s="14" t="s">
        <v>3799</v>
      </c>
      <c r="E41" s="0" t="s">
        <v>3729</v>
      </c>
    </row>
    <row r="42" customFormat="false" ht="176.1" hidden="false" customHeight="false" outlineLevel="0" collapsed="false">
      <c r="A42" s="0" t="s">
        <v>3163</v>
      </c>
      <c r="B42" s="0" t="s">
        <v>2466</v>
      </c>
      <c r="C42" s="14" t="s">
        <v>3800</v>
      </c>
      <c r="D42" s="14" t="s">
        <v>3801</v>
      </c>
      <c r="E42" s="0" t="s">
        <v>3716</v>
      </c>
    </row>
    <row r="43" customFormat="false" ht="95.5" hidden="false" customHeight="false" outlineLevel="0" collapsed="false">
      <c r="A43" s="0" t="s">
        <v>3330</v>
      </c>
      <c r="B43" s="0" t="s">
        <v>2466</v>
      </c>
      <c r="C43" s="14" t="s">
        <v>3802</v>
      </c>
      <c r="D43" s="14" t="s">
        <v>3803</v>
      </c>
      <c r="E43" s="0" t="s">
        <v>3729</v>
      </c>
    </row>
    <row r="44" customFormat="false" ht="95.5" hidden="false" customHeight="false" outlineLevel="0" collapsed="false">
      <c r="A44" s="0" t="s">
        <v>3248</v>
      </c>
      <c r="B44" s="0" t="s">
        <v>2466</v>
      </c>
      <c r="C44" s="14" t="s">
        <v>3804</v>
      </c>
      <c r="D44" s="14" t="s">
        <v>3805</v>
      </c>
      <c r="E44" s="0" t="s">
        <v>3716</v>
      </c>
    </row>
    <row r="45" customFormat="false" ht="95.5" hidden="false" customHeight="false" outlineLevel="0" collapsed="false">
      <c r="A45" s="0" t="s">
        <v>3570</v>
      </c>
      <c r="B45" s="0" t="s">
        <v>2466</v>
      </c>
      <c r="C45" s="14" t="s">
        <v>3806</v>
      </c>
      <c r="D45" s="14" t="s">
        <v>3807</v>
      </c>
      <c r="E45" s="0" t="s">
        <v>3716</v>
      </c>
    </row>
    <row r="46" customFormat="false" ht="176.1" hidden="false" customHeight="false" outlineLevel="0" collapsed="false">
      <c r="A46" s="0" t="s">
        <v>3543</v>
      </c>
      <c r="B46" s="0" t="s">
        <v>2466</v>
      </c>
      <c r="C46" s="14" t="s">
        <v>3808</v>
      </c>
      <c r="D46" s="14" t="s">
        <v>3809</v>
      </c>
      <c r="E46" s="0" t="s">
        <v>3716</v>
      </c>
    </row>
    <row r="47" customFormat="false" ht="55.2" hidden="false" customHeight="false" outlineLevel="0" collapsed="false">
      <c r="A47" s="0" t="s">
        <v>3475</v>
      </c>
      <c r="B47" s="0" t="s">
        <v>2466</v>
      </c>
      <c r="C47" s="14" t="s">
        <v>3810</v>
      </c>
      <c r="D47" s="14" t="s">
        <v>3811</v>
      </c>
      <c r="E47" s="0" t="s">
        <v>3729</v>
      </c>
    </row>
    <row r="48" customFormat="false" ht="189.55" hidden="false" customHeight="false" outlineLevel="0" collapsed="false">
      <c r="A48" s="0" t="s">
        <v>3477</v>
      </c>
      <c r="B48" s="0" t="s">
        <v>2466</v>
      </c>
      <c r="C48" s="14" t="s">
        <v>3812</v>
      </c>
      <c r="D48" s="14" t="s">
        <v>3813</v>
      </c>
      <c r="E48" s="0" t="s">
        <v>3716</v>
      </c>
    </row>
    <row r="49" customFormat="false" ht="55.2" hidden="false" customHeight="false" outlineLevel="0" collapsed="false">
      <c r="A49" s="0" t="s">
        <v>3425</v>
      </c>
      <c r="B49" s="0" t="s">
        <v>2466</v>
      </c>
      <c r="C49" s="14" t="s">
        <v>3814</v>
      </c>
      <c r="D49" s="14" t="s">
        <v>3815</v>
      </c>
      <c r="E49" s="14" t="s">
        <v>3816</v>
      </c>
    </row>
    <row r="50" customFormat="false" ht="68.65" hidden="false" customHeight="false" outlineLevel="0" collapsed="false">
      <c r="A50" s="0" t="s">
        <v>3457</v>
      </c>
      <c r="B50" s="0" t="s">
        <v>2466</v>
      </c>
      <c r="C50" s="14" t="s">
        <v>3817</v>
      </c>
      <c r="D50" s="14" t="s">
        <v>3818</v>
      </c>
      <c r="E50" s="0" t="s">
        <v>3729</v>
      </c>
    </row>
    <row r="51" customFormat="false" ht="135.8" hidden="false" customHeight="false" outlineLevel="0" collapsed="false">
      <c r="A51" s="0" t="s">
        <v>3389</v>
      </c>
      <c r="B51" s="0" t="s">
        <v>2466</v>
      </c>
      <c r="C51" s="14" t="s">
        <v>3819</v>
      </c>
      <c r="D51" s="14" t="s">
        <v>3820</v>
      </c>
      <c r="E51" s="0" t="s">
        <v>3729</v>
      </c>
    </row>
    <row r="52" customFormat="false" ht="95.5" hidden="false" customHeight="false" outlineLevel="0" collapsed="false">
      <c r="A52" s="0" t="s">
        <v>3217</v>
      </c>
      <c r="B52" s="0" t="s">
        <v>2466</v>
      </c>
      <c r="C52" s="14" t="s">
        <v>3821</v>
      </c>
      <c r="D52" s="14" t="s">
        <v>3822</v>
      </c>
      <c r="E52" s="0" t="s">
        <v>3716</v>
      </c>
    </row>
    <row r="53" customFormat="false" ht="243.25" hidden="false" customHeight="false" outlineLevel="0" collapsed="false">
      <c r="A53" s="0" t="s">
        <v>3139</v>
      </c>
      <c r="B53" s="0" t="s">
        <v>2466</v>
      </c>
      <c r="C53" s="14" t="s">
        <v>3823</v>
      </c>
      <c r="D53" s="14" t="s">
        <v>3824</v>
      </c>
      <c r="E53" s="0" t="s">
        <v>3716</v>
      </c>
    </row>
    <row r="54" customFormat="false" ht="41.75" hidden="false" customHeight="false" outlineLevel="0" collapsed="false">
      <c r="A54" s="0" t="s">
        <v>3595</v>
      </c>
      <c r="B54" s="0" t="s">
        <v>2466</v>
      </c>
      <c r="C54" s="0" t="s">
        <v>3825</v>
      </c>
      <c r="D54" s="14" t="s">
        <v>3826</v>
      </c>
      <c r="E54" s="0" t="s">
        <v>3729</v>
      </c>
    </row>
    <row r="55" customFormat="false" ht="82.05" hidden="false" customHeight="false" outlineLevel="0" collapsed="false">
      <c r="A55" s="0" t="s">
        <v>3480</v>
      </c>
      <c r="B55" s="0" t="s">
        <v>2466</v>
      </c>
      <c r="C55" s="14" t="s">
        <v>3827</v>
      </c>
      <c r="D55" s="14" t="s">
        <v>3828</v>
      </c>
      <c r="E55" s="0" t="s">
        <v>3716</v>
      </c>
    </row>
    <row r="56" customFormat="false" ht="28.35" hidden="false" customHeight="false" outlineLevel="0" collapsed="false">
      <c r="A56" s="0" t="s">
        <v>3482</v>
      </c>
      <c r="B56" s="0" t="s">
        <v>2466</v>
      </c>
      <c r="C56" s="0" t="s">
        <v>3829</v>
      </c>
      <c r="D56" s="14" t="s">
        <v>3830</v>
      </c>
      <c r="E56" s="0" t="s">
        <v>3729</v>
      </c>
    </row>
    <row r="57" customFormat="false" ht="55.2" hidden="false" customHeight="false" outlineLevel="0" collapsed="false">
      <c r="A57" s="0" t="s">
        <v>3545</v>
      </c>
      <c r="B57" s="0" t="s">
        <v>2466</v>
      </c>
      <c r="C57" s="14" t="s">
        <v>3831</v>
      </c>
      <c r="D57" s="14" t="s">
        <v>3832</v>
      </c>
      <c r="E57" s="0" t="s">
        <v>3729</v>
      </c>
    </row>
    <row r="58" customFormat="false" ht="95.5" hidden="false" customHeight="false" outlineLevel="0" collapsed="false">
      <c r="A58" s="0" t="s">
        <v>3427</v>
      </c>
      <c r="B58" s="0" t="s">
        <v>2466</v>
      </c>
      <c r="C58" s="14" t="s">
        <v>3833</v>
      </c>
      <c r="D58" s="14" t="s">
        <v>3834</v>
      </c>
      <c r="E58" s="0" t="s">
        <v>3716</v>
      </c>
    </row>
    <row r="59" customFormat="false" ht="202.95" hidden="false" customHeight="false" outlineLevel="0" collapsed="false">
      <c r="A59" s="0" t="s">
        <v>3250</v>
      </c>
      <c r="B59" s="0" t="s">
        <v>2466</v>
      </c>
      <c r="C59" s="14" t="s">
        <v>3835</v>
      </c>
      <c r="D59" s="14" t="s">
        <v>3836</v>
      </c>
      <c r="E59" s="0" t="s">
        <v>3729</v>
      </c>
    </row>
    <row r="60" customFormat="false" ht="68.65" hidden="false" customHeight="false" outlineLevel="0" collapsed="false">
      <c r="A60" s="0" t="s">
        <v>3113</v>
      </c>
      <c r="B60" s="0" t="s">
        <v>2466</v>
      </c>
      <c r="C60" s="14" t="s">
        <v>3837</v>
      </c>
      <c r="D60" s="14" t="s">
        <v>3838</v>
      </c>
      <c r="E60" s="0" t="s">
        <v>3729</v>
      </c>
    </row>
    <row r="61" customFormat="false" ht="41.75" hidden="false" customHeight="false" outlineLevel="0" collapsed="false">
      <c r="A61" s="0" t="s">
        <v>2464</v>
      </c>
      <c r="B61" s="0" t="s">
        <v>2466</v>
      </c>
      <c r="C61" s="14" t="s">
        <v>3839</v>
      </c>
      <c r="D61" s="0" t="s">
        <v>2467</v>
      </c>
      <c r="E61" s="0" t="s">
        <v>3840</v>
      </c>
    </row>
    <row r="62" customFormat="false" ht="41.75" hidden="false" customHeight="false" outlineLevel="0" collapsed="false">
      <c r="A62" s="0" t="s">
        <v>3332</v>
      </c>
      <c r="B62" s="0" t="s">
        <v>2466</v>
      </c>
      <c r="C62" s="14" t="s">
        <v>3841</v>
      </c>
      <c r="D62" s="0" t="s">
        <v>3334</v>
      </c>
    </row>
    <row r="63" customFormat="false" ht="68.65" hidden="false" customHeight="false" outlineLevel="0" collapsed="false">
      <c r="A63" s="0" t="s">
        <v>3511</v>
      </c>
      <c r="B63" s="0" t="s">
        <v>2466</v>
      </c>
      <c r="C63" s="14" t="s">
        <v>3842</v>
      </c>
      <c r="D63" s="0" t="s">
        <v>3512</v>
      </c>
    </row>
    <row r="64" customFormat="false" ht="189.55" hidden="false" customHeight="false" outlineLevel="0" collapsed="false">
      <c r="A64" s="0" t="s">
        <v>2468</v>
      </c>
      <c r="B64" s="0" t="s">
        <v>2466</v>
      </c>
      <c r="C64" s="14" t="s">
        <v>3843</v>
      </c>
      <c r="D64" s="14" t="s">
        <v>3844</v>
      </c>
      <c r="E64" s="0" t="s">
        <v>3845</v>
      </c>
    </row>
    <row r="65" customFormat="false" ht="68.65" hidden="false" customHeight="false" outlineLevel="0" collapsed="false">
      <c r="A65" s="0" t="s">
        <v>3572</v>
      </c>
      <c r="B65" s="0" t="s">
        <v>2466</v>
      </c>
      <c r="C65" s="14" t="s">
        <v>3846</v>
      </c>
      <c r="D65" s="14" t="s">
        <v>3847</v>
      </c>
      <c r="E65" s="0" t="s">
        <v>3848</v>
      </c>
    </row>
    <row r="66" customFormat="false" ht="68.65" hidden="false" customHeight="false" outlineLevel="0" collapsed="false">
      <c r="A66" s="0" t="s">
        <v>3459</v>
      </c>
      <c r="B66" s="0" t="s">
        <v>2466</v>
      </c>
      <c r="C66" s="0" t="s">
        <v>3849</v>
      </c>
      <c r="D66" s="14" t="s">
        <v>3850</v>
      </c>
      <c r="E66" s="14" t="s">
        <v>3851</v>
      </c>
    </row>
    <row r="67" customFormat="false" ht="41.75" hidden="false" customHeight="false" outlineLevel="0" collapsed="false">
      <c r="A67" s="0" t="s">
        <v>3547</v>
      </c>
      <c r="B67" s="0" t="s">
        <v>2466</v>
      </c>
      <c r="C67" s="0" t="s">
        <v>3852</v>
      </c>
      <c r="D67" s="14" t="s">
        <v>3853</v>
      </c>
      <c r="E67" s="0" t="s">
        <v>3729</v>
      </c>
    </row>
    <row r="68" customFormat="false" ht="41.75" hidden="false" customHeight="false" outlineLevel="0" collapsed="false">
      <c r="A68" s="0" t="s">
        <v>3429</v>
      </c>
      <c r="B68" s="0" t="s">
        <v>2466</v>
      </c>
      <c r="C68" s="0" t="s">
        <v>3854</v>
      </c>
      <c r="D68" s="14" t="s">
        <v>3855</v>
      </c>
      <c r="E68" s="14" t="s">
        <v>3856</v>
      </c>
    </row>
    <row r="69" customFormat="false" ht="149.25" hidden="false" customHeight="false" outlineLevel="0" collapsed="false">
      <c r="A69" s="0" t="s">
        <v>2596</v>
      </c>
      <c r="B69" s="0" t="s">
        <v>2598</v>
      </c>
      <c r="C69" s="14" t="s">
        <v>3857</v>
      </c>
      <c r="D69" s="14" t="s">
        <v>3858</v>
      </c>
    </row>
    <row r="70" customFormat="false" ht="41.75" hidden="false" customHeight="false" outlineLevel="0" collapsed="false">
      <c r="A70" s="0" t="s">
        <v>3391</v>
      </c>
      <c r="B70" s="0" t="s">
        <v>2466</v>
      </c>
      <c r="C70" s="14" t="s">
        <v>3859</v>
      </c>
      <c r="D70" s="0" t="s">
        <v>3392</v>
      </c>
    </row>
    <row r="71" customFormat="false" ht="15" hidden="false" customHeight="false" outlineLevel="0" collapsed="false">
      <c r="A71" s="0" t="s">
        <v>3484</v>
      </c>
      <c r="B71" s="0" t="s">
        <v>2466</v>
      </c>
      <c r="C71" s="0" t="s">
        <v>3860</v>
      </c>
      <c r="D71" s="0" t="s">
        <v>3485</v>
      </c>
    </row>
    <row r="72" customFormat="false" ht="41.75" hidden="false" customHeight="false" outlineLevel="0" collapsed="false">
      <c r="A72" s="0" t="s">
        <v>3462</v>
      </c>
      <c r="B72" s="0" t="s">
        <v>2466</v>
      </c>
      <c r="C72" s="14" t="s">
        <v>3861</v>
      </c>
      <c r="D72" s="0" t="s">
        <v>3463</v>
      </c>
      <c r="E72" s="0" t="s">
        <v>3862</v>
      </c>
    </row>
    <row r="73" customFormat="false" ht="28.35" hidden="false" customHeight="false" outlineLevel="0" collapsed="false">
      <c r="A73" s="0" t="s">
        <v>3393</v>
      </c>
      <c r="B73" s="0" t="s">
        <v>2466</v>
      </c>
      <c r="C73" s="14" t="s">
        <v>3863</v>
      </c>
      <c r="D73" s="0" t="s">
        <v>3395</v>
      </c>
    </row>
    <row r="74" customFormat="false" ht="41.75" hidden="false" customHeight="false" outlineLevel="0" collapsed="false">
      <c r="A74" s="0" t="s">
        <v>3335</v>
      </c>
      <c r="B74" s="0" t="s">
        <v>2466</v>
      </c>
      <c r="C74" s="14" t="s">
        <v>3864</v>
      </c>
      <c r="D74" s="14" t="s">
        <v>3865</v>
      </c>
    </row>
    <row r="75" customFormat="false" ht="55.2" hidden="false" customHeight="false" outlineLevel="0" collapsed="false">
      <c r="A75" s="0" t="s">
        <v>3431</v>
      </c>
      <c r="B75" s="0" t="s">
        <v>2466</v>
      </c>
      <c r="C75" s="14" t="s">
        <v>3866</v>
      </c>
      <c r="D75" s="14" t="s">
        <v>3867</v>
      </c>
    </row>
    <row r="76" customFormat="false" ht="28.35" hidden="false" customHeight="false" outlineLevel="0" collapsed="false">
      <c r="A76" s="0" t="s">
        <v>3252</v>
      </c>
      <c r="B76" s="0" t="s">
        <v>2466</v>
      </c>
      <c r="C76" s="0" t="s">
        <v>3868</v>
      </c>
      <c r="D76" s="14" t="s">
        <v>3869</v>
      </c>
      <c r="E76" s="0" t="s">
        <v>3870</v>
      </c>
    </row>
    <row r="77" customFormat="false" ht="28.35" hidden="false" customHeight="false" outlineLevel="0" collapsed="false">
      <c r="A77" s="0" t="s">
        <v>3413</v>
      </c>
      <c r="B77" s="0" t="s">
        <v>2466</v>
      </c>
      <c r="C77" s="14" t="s">
        <v>3871</v>
      </c>
      <c r="D77" s="14" t="s">
        <v>3872</v>
      </c>
    </row>
    <row r="78" customFormat="false" ht="122.35" hidden="false" customHeight="false" outlineLevel="0" collapsed="false">
      <c r="A78" s="0" t="s">
        <v>1967</v>
      </c>
      <c r="B78" s="0" t="s">
        <v>1131</v>
      </c>
      <c r="C78" s="14" t="s">
        <v>3873</v>
      </c>
      <c r="D78" s="14" t="s">
        <v>3874</v>
      </c>
      <c r="E78" s="0" t="s">
        <v>3875</v>
      </c>
    </row>
    <row r="79" customFormat="false" ht="41.75" hidden="false" customHeight="false" outlineLevel="0" collapsed="false">
      <c r="A79" s="0" t="s">
        <v>2569</v>
      </c>
      <c r="B79" s="0" t="s">
        <v>1131</v>
      </c>
      <c r="C79" s="14" t="s">
        <v>3876</v>
      </c>
      <c r="D79" s="14" t="s">
        <v>3877</v>
      </c>
    </row>
    <row r="80" customFormat="false" ht="243.25" hidden="false" customHeight="false" outlineLevel="0" collapsed="false">
      <c r="A80" s="0" t="s">
        <v>2375</v>
      </c>
      <c r="B80" s="0" t="s">
        <v>1131</v>
      </c>
      <c r="C80" s="14" t="s">
        <v>3878</v>
      </c>
      <c r="D80" s="14" t="s">
        <v>3879</v>
      </c>
      <c r="E80" s="0" t="s">
        <v>3880</v>
      </c>
    </row>
    <row r="81" customFormat="false" ht="364.15" hidden="false" customHeight="false" outlineLevel="0" collapsed="false">
      <c r="A81" s="0" t="s">
        <v>2115</v>
      </c>
      <c r="B81" s="0" t="s">
        <v>1131</v>
      </c>
      <c r="C81" s="14" t="s">
        <v>3881</v>
      </c>
      <c r="D81" s="14" t="s">
        <v>3882</v>
      </c>
    </row>
    <row r="82" customFormat="false" ht="108.95" hidden="false" customHeight="false" outlineLevel="0" collapsed="false">
      <c r="A82" s="0" t="s">
        <v>2163</v>
      </c>
      <c r="B82" s="0" t="s">
        <v>1131</v>
      </c>
      <c r="C82" s="14" t="s">
        <v>3883</v>
      </c>
      <c r="D82" s="14" t="s">
        <v>3884</v>
      </c>
    </row>
    <row r="83" customFormat="false" ht="95.5" hidden="false" customHeight="false" outlineLevel="0" collapsed="false">
      <c r="A83" s="0" t="s">
        <v>1555</v>
      </c>
      <c r="B83" s="0" t="s">
        <v>1131</v>
      </c>
      <c r="C83" s="14" t="s">
        <v>3885</v>
      </c>
      <c r="D83" s="14" t="s">
        <v>3886</v>
      </c>
    </row>
    <row r="84" customFormat="false" ht="135.8" hidden="false" customHeight="false" outlineLevel="0" collapsed="false">
      <c r="A84" s="0" t="s">
        <v>1924</v>
      </c>
      <c r="B84" s="0" t="s">
        <v>1131</v>
      </c>
      <c r="C84" s="14" t="s">
        <v>3887</v>
      </c>
      <c r="D84" s="14" t="s">
        <v>3888</v>
      </c>
    </row>
    <row r="85" customFormat="false" ht="189.55" hidden="false" customHeight="false" outlineLevel="0" collapsed="false">
      <c r="A85" s="0" t="s">
        <v>2354</v>
      </c>
      <c r="B85" s="0" t="s">
        <v>1131</v>
      </c>
      <c r="C85" s="14" t="s">
        <v>3889</v>
      </c>
      <c r="D85" s="14" t="s">
        <v>3890</v>
      </c>
    </row>
    <row r="86" customFormat="false" ht="310.4" hidden="false" customHeight="false" outlineLevel="0" collapsed="false">
      <c r="A86" s="0" t="s">
        <v>1725</v>
      </c>
      <c r="B86" s="0" t="s">
        <v>1131</v>
      </c>
      <c r="C86" s="14" t="s">
        <v>3891</v>
      </c>
      <c r="D86" s="14" t="s">
        <v>3892</v>
      </c>
    </row>
    <row r="87" customFormat="false" ht="28.35" hidden="false" customHeight="false" outlineLevel="0" collapsed="false">
      <c r="A87" s="0" t="s">
        <v>1739</v>
      </c>
      <c r="B87" s="0" t="s">
        <v>1131</v>
      </c>
      <c r="C87" s="14" t="s">
        <v>3893</v>
      </c>
      <c r="D87" s="14" t="s">
        <v>3894</v>
      </c>
    </row>
    <row r="88" customFormat="false" ht="122.35" hidden="false" customHeight="false" outlineLevel="0" collapsed="false">
      <c r="A88" s="0" t="s">
        <v>2308</v>
      </c>
      <c r="B88" s="0" t="s">
        <v>1131</v>
      </c>
      <c r="C88" s="14" t="s">
        <v>3895</v>
      </c>
      <c r="D88" s="14" t="s">
        <v>3896</v>
      </c>
    </row>
    <row r="89" customFormat="false" ht="202.95" hidden="false" customHeight="false" outlineLevel="0" collapsed="false">
      <c r="A89" s="0" t="s">
        <v>1744</v>
      </c>
      <c r="B89" s="0" t="s">
        <v>1131</v>
      </c>
      <c r="C89" s="14" t="s">
        <v>3897</v>
      </c>
      <c r="D89" s="14" t="s">
        <v>3898</v>
      </c>
    </row>
    <row r="90" customFormat="false" ht="55.2" hidden="false" customHeight="false" outlineLevel="0" collapsed="false">
      <c r="A90" s="0" t="s">
        <v>2154</v>
      </c>
      <c r="B90" s="0" t="s">
        <v>1131</v>
      </c>
      <c r="C90" s="14" t="s">
        <v>3899</v>
      </c>
      <c r="D90" s="14" t="s">
        <v>3900</v>
      </c>
    </row>
    <row r="91" customFormat="false" ht="55.2" hidden="false" customHeight="false" outlineLevel="0" collapsed="false">
      <c r="A91" s="0" t="s">
        <v>1854</v>
      </c>
      <c r="B91" s="0" t="s">
        <v>1131</v>
      </c>
      <c r="C91" s="14" t="s">
        <v>3901</v>
      </c>
      <c r="D91" s="14" t="s">
        <v>3902</v>
      </c>
    </row>
    <row r="92" customFormat="false" ht="149.25" hidden="false" customHeight="false" outlineLevel="0" collapsed="false">
      <c r="A92" s="0" t="s">
        <v>1441</v>
      </c>
      <c r="B92" s="0" t="s">
        <v>1131</v>
      </c>
      <c r="C92" s="14" t="s">
        <v>3903</v>
      </c>
      <c r="D92" s="14" t="s">
        <v>3904</v>
      </c>
    </row>
    <row r="93" customFormat="false" ht="15" hidden="false" customHeight="false" outlineLevel="0" collapsed="false">
      <c r="A93" s="0" t="s">
        <v>1129</v>
      </c>
      <c r="B93" s="0" t="s">
        <v>1131</v>
      </c>
      <c r="C93" s="0" t="s">
        <v>3905</v>
      </c>
      <c r="D93" s="0" t="s">
        <v>1132</v>
      </c>
    </row>
    <row r="94" customFormat="false" ht="15" hidden="false" customHeight="false" outlineLevel="0" collapsed="false">
      <c r="A94" s="0" t="s">
        <v>2357</v>
      </c>
      <c r="B94" s="0" t="s">
        <v>1131</v>
      </c>
      <c r="C94" s="0" t="s">
        <v>3906</v>
      </c>
      <c r="D94" s="0" t="s">
        <v>2359</v>
      </c>
    </row>
    <row r="95" customFormat="false" ht="82.05" hidden="false" customHeight="false" outlineLevel="0" collapsed="false">
      <c r="A95" s="0" t="s">
        <v>3907</v>
      </c>
      <c r="B95" s="0" t="s">
        <v>1131</v>
      </c>
      <c r="C95" s="14" t="s">
        <v>3908</v>
      </c>
      <c r="D95" s="0" t="s">
        <v>3909</v>
      </c>
    </row>
    <row r="96" customFormat="false" ht="189.55" hidden="false" customHeight="false" outlineLevel="0" collapsed="false">
      <c r="A96" s="0" t="s">
        <v>3910</v>
      </c>
      <c r="B96" s="0" t="s">
        <v>1131</v>
      </c>
      <c r="C96" s="14" t="s">
        <v>3911</v>
      </c>
      <c r="D96" s="14" t="s">
        <v>3912</v>
      </c>
    </row>
    <row r="97" customFormat="false" ht="68.65" hidden="false" customHeight="false" outlineLevel="0" collapsed="false">
      <c r="A97" s="0" t="s">
        <v>3213</v>
      </c>
      <c r="B97" s="0" t="s">
        <v>1131</v>
      </c>
      <c r="C97" s="14" t="s">
        <v>3913</v>
      </c>
      <c r="D97" s="14" t="s">
        <v>3914</v>
      </c>
    </row>
    <row r="98" customFormat="false" ht="229.85" hidden="false" customHeight="false" outlineLevel="0" collapsed="false">
      <c r="A98" s="0" t="s">
        <v>3382</v>
      </c>
      <c r="B98" s="0" t="s">
        <v>1131</v>
      </c>
      <c r="C98" s="14" t="s">
        <v>3915</v>
      </c>
      <c r="D98" s="14" t="s">
        <v>3916</v>
      </c>
    </row>
    <row r="99" customFormat="false" ht="41.75" hidden="false" customHeight="false" outlineLevel="0" collapsed="false">
      <c r="A99" s="0" t="s">
        <v>3177</v>
      </c>
      <c r="B99" s="0" t="s">
        <v>1131</v>
      </c>
      <c r="C99" s="0" t="s">
        <v>3917</v>
      </c>
      <c r="D99" s="14" t="s">
        <v>3918</v>
      </c>
    </row>
    <row r="100" customFormat="false" ht="68.65" hidden="false" customHeight="false" outlineLevel="0" collapsed="false">
      <c r="A100" s="0" t="s">
        <v>3448</v>
      </c>
      <c r="B100" s="0" t="s">
        <v>1131</v>
      </c>
      <c r="C100" s="14" t="s">
        <v>3919</v>
      </c>
      <c r="D100" s="14" t="s">
        <v>3920</v>
      </c>
    </row>
    <row r="101" customFormat="false" ht="122.35" hidden="false" customHeight="false" outlineLevel="0" collapsed="false">
      <c r="A101" s="0" t="s">
        <v>3506</v>
      </c>
      <c r="B101" s="0" t="s">
        <v>1131</v>
      </c>
      <c r="C101" s="14" t="s">
        <v>3921</v>
      </c>
      <c r="D101" s="14" t="s">
        <v>3922</v>
      </c>
    </row>
    <row r="102" customFormat="false" ht="135.8" hidden="false" customHeight="false" outlineLevel="0" collapsed="false">
      <c r="A102" s="0" t="s">
        <v>3539</v>
      </c>
      <c r="B102" s="0" t="s">
        <v>1131</v>
      </c>
      <c r="C102" s="14" t="s">
        <v>3923</v>
      </c>
      <c r="D102" s="14" t="s">
        <v>3924</v>
      </c>
    </row>
    <row r="103" customFormat="false" ht="364.15" hidden="false" customHeight="false" outlineLevel="0" collapsed="false">
      <c r="A103" s="0" t="s">
        <v>3363</v>
      </c>
      <c r="B103" s="0" t="s">
        <v>1131</v>
      </c>
      <c r="C103" s="14" t="s">
        <v>3925</v>
      </c>
      <c r="D103" s="14" t="s">
        <v>3926</v>
      </c>
    </row>
    <row r="104" customFormat="false" ht="176.1" hidden="false" customHeight="false" outlineLevel="0" collapsed="false">
      <c r="A104" s="0" t="s">
        <v>3401</v>
      </c>
      <c r="B104" s="0" t="s">
        <v>1131</v>
      </c>
      <c r="C104" s="14" t="s">
        <v>3927</v>
      </c>
      <c r="D104" s="14" t="s">
        <v>3928</v>
      </c>
    </row>
    <row r="105" customFormat="false" ht="95.5" hidden="false" customHeight="false" outlineLevel="0" collapsed="false">
      <c r="A105" s="0" t="s">
        <v>3291</v>
      </c>
      <c r="B105" s="0" t="s">
        <v>1131</v>
      </c>
      <c r="C105" s="14" t="s">
        <v>3929</v>
      </c>
      <c r="D105" s="14" t="s">
        <v>3930</v>
      </c>
    </row>
    <row r="106" customFormat="false" ht="189.55" hidden="false" customHeight="false" outlineLevel="0" collapsed="false">
      <c r="A106" s="0" t="s">
        <v>3403</v>
      </c>
      <c r="B106" s="0" t="s">
        <v>1131</v>
      </c>
      <c r="C106" s="14" t="s">
        <v>3931</v>
      </c>
      <c r="D106" s="14" t="s">
        <v>3932</v>
      </c>
    </row>
    <row r="107" customFormat="false" ht="15" hidden="false" customHeight="false" outlineLevel="0" collapsed="false">
      <c r="A107" s="0" t="s">
        <v>3933</v>
      </c>
      <c r="B107" s="0" t="s">
        <v>1131</v>
      </c>
      <c r="C107" s="0" t="s">
        <v>3934</v>
      </c>
      <c r="D107" s="0" t="s">
        <v>3935</v>
      </c>
    </row>
    <row r="108" customFormat="false" ht="28.35" hidden="false" customHeight="false" outlineLevel="0" collapsed="false">
      <c r="A108" s="0" t="s">
        <v>3936</v>
      </c>
      <c r="B108" s="0" t="s">
        <v>1131</v>
      </c>
      <c r="C108" s="14" t="s">
        <v>3937</v>
      </c>
      <c r="D108" s="0" t="s">
        <v>3938</v>
      </c>
    </row>
    <row r="109" customFormat="false" ht="28.35" hidden="false" customHeight="false" outlineLevel="0" collapsed="false">
      <c r="A109" s="0" t="s">
        <v>3939</v>
      </c>
      <c r="B109" s="0" t="s">
        <v>1131</v>
      </c>
      <c r="C109" s="14" t="s">
        <v>3940</v>
      </c>
      <c r="D109" s="0" t="s">
        <v>3941</v>
      </c>
    </row>
    <row r="110" customFormat="false" ht="28.35" hidden="false" customHeight="false" outlineLevel="0" collapsed="false">
      <c r="A110" s="0" t="s">
        <v>3302</v>
      </c>
      <c r="B110" s="0" t="s">
        <v>3942</v>
      </c>
      <c r="C110" s="14" t="s">
        <v>3943</v>
      </c>
      <c r="D110" s="0" t="s">
        <v>3304</v>
      </c>
      <c r="E110" s="14" t="s">
        <v>3944</v>
      </c>
    </row>
    <row r="111" customFormat="false" ht="28.35" hidden="false" customHeight="false" outlineLevel="0" collapsed="false">
      <c r="A111" s="0" t="s">
        <v>3279</v>
      </c>
      <c r="B111" s="0" t="s">
        <v>3945</v>
      </c>
      <c r="C111" s="14" t="s">
        <v>3943</v>
      </c>
      <c r="D111" s="0" t="s">
        <v>3281</v>
      </c>
      <c r="E111" s="14" t="s">
        <v>3944</v>
      </c>
    </row>
    <row r="112" customFormat="false" ht="28.35" hidden="false" customHeight="false" outlineLevel="0" collapsed="false">
      <c r="A112" s="0" t="s">
        <v>2891</v>
      </c>
      <c r="B112" s="0" t="s">
        <v>3942</v>
      </c>
      <c r="C112" s="14" t="s">
        <v>3946</v>
      </c>
      <c r="D112" s="14" t="s">
        <v>3947</v>
      </c>
      <c r="E112" s="14" t="s">
        <v>3944</v>
      </c>
    </row>
    <row r="113" customFormat="false" ht="28.35" hidden="false" customHeight="false" outlineLevel="0" collapsed="false">
      <c r="A113" s="0" t="s">
        <v>2937</v>
      </c>
      <c r="B113" s="0" t="s">
        <v>3945</v>
      </c>
      <c r="C113" s="14" t="s">
        <v>3946</v>
      </c>
      <c r="D113" s="14" t="s">
        <v>3948</v>
      </c>
      <c r="E113" s="14" t="s">
        <v>3944</v>
      </c>
    </row>
    <row r="114" customFormat="false" ht="28.35" hidden="false" customHeight="false" outlineLevel="0" collapsed="false">
      <c r="A114" s="0" t="s">
        <v>2874</v>
      </c>
      <c r="B114" s="0" t="s">
        <v>3942</v>
      </c>
      <c r="C114" s="0" t="s">
        <v>3949</v>
      </c>
      <c r="D114" s="14" t="s">
        <v>3950</v>
      </c>
      <c r="E114" s="14" t="s">
        <v>3944</v>
      </c>
    </row>
    <row r="115" customFormat="false" ht="28.35" hidden="false" customHeight="false" outlineLevel="0" collapsed="false">
      <c r="A115" s="0" t="s">
        <v>2857</v>
      </c>
      <c r="B115" s="0" t="s">
        <v>3945</v>
      </c>
      <c r="C115" s="0" t="s">
        <v>3949</v>
      </c>
      <c r="D115" s="14" t="s">
        <v>3951</v>
      </c>
      <c r="E115" s="14" t="s">
        <v>3944</v>
      </c>
    </row>
    <row r="116" customFormat="false" ht="41.75" hidden="false" customHeight="false" outlineLevel="0" collapsed="false">
      <c r="A116" s="0" t="s">
        <v>3222</v>
      </c>
      <c r="B116" s="0" t="s">
        <v>3952</v>
      </c>
      <c r="C116" s="0" t="s">
        <v>3953</v>
      </c>
      <c r="D116" s="14" t="s">
        <v>3954</v>
      </c>
      <c r="E116" s="14" t="s">
        <v>3955</v>
      </c>
    </row>
    <row r="117" customFormat="false" ht="41.75" hidden="false" customHeight="false" outlineLevel="0" collapsed="false">
      <c r="A117" s="0" t="s">
        <v>3198</v>
      </c>
      <c r="B117" s="0" t="s">
        <v>3956</v>
      </c>
      <c r="C117" s="0" t="s">
        <v>3953</v>
      </c>
      <c r="D117" s="14" t="s">
        <v>3957</v>
      </c>
      <c r="E117" s="14" t="s">
        <v>3955</v>
      </c>
    </row>
    <row r="118" customFormat="false" ht="28.35" hidden="false" customHeight="false" outlineLevel="0" collapsed="false">
      <c r="A118" s="0" t="s">
        <v>3070</v>
      </c>
      <c r="B118" s="0" t="s">
        <v>3942</v>
      </c>
      <c r="C118" s="0" t="s">
        <v>3953</v>
      </c>
      <c r="D118" s="0" t="s">
        <v>3071</v>
      </c>
      <c r="E118" s="14" t="s">
        <v>3944</v>
      </c>
    </row>
    <row r="119" customFormat="false" ht="28.35" hidden="false" customHeight="false" outlineLevel="0" collapsed="false">
      <c r="A119" s="0" t="s">
        <v>3115</v>
      </c>
      <c r="B119" s="0" t="s">
        <v>3945</v>
      </c>
      <c r="C119" s="0" t="s">
        <v>3953</v>
      </c>
      <c r="D119" s="0" t="s">
        <v>3116</v>
      </c>
      <c r="E119" s="14" t="s">
        <v>3944</v>
      </c>
    </row>
    <row r="120" customFormat="false" ht="41.75" hidden="false" customHeight="false" outlineLevel="0" collapsed="false">
      <c r="A120" s="0" t="s">
        <v>3002</v>
      </c>
      <c r="B120" s="0" t="s">
        <v>3942</v>
      </c>
      <c r="C120" s="14" t="s">
        <v>3958</v>
      </c>
      <c r="D120" s="14" t="s">
        <v>3959</v>
      </c>
      <c r="E120" s="14" t="s">
        <v>3944</v>
      </c>
    </row>
    <row r="121" customFormat="false" ht="41.75" hidden="false" customHeight="false" outlineLevel="0" collapsed="false">
      <c r="A121" s="0" t="s">
        <v>2939</v>
      </c>
      <c r="B121" s="0" t="s">
        <v>3945</v>
      </c>
      <c r="C121" s="14" t="s">
        <v>3958</v>
      </c>
      <c r="D121" s="14" t="s">
        <v>3960</v>
      </c>
      <c r="E121" s="14" t="s">
        <v>3944</v>
      </c>
    </row>
    <row r="122" customFormat="false" ht="28.35" hidden="false" customHeight="false" outlineLevel="0" collapsed="false">
      <c r="A122" s="0" t="s">
        <v>3167</v>
      </c>
      <c r="B122" s="0" t="s">
        <v>3942</v>
      </c>
      <c r="C122" s="14" t="s">
        <v>3961</v>
      </c>
      <c r="D122" s="0" t="s">
        <v>3168</v>
      </c>
      <c r="E122" s="14" t="s">
        <v>3944</v>
      </c>
    </row>
    <row r="123" customFormat="false" ht="28.35" hidden="false" customHeight="false" outlineLevel="0" collapsed="false">
      <c r="A123" s="0" t="s">
        <v>3121</v>
      </c>
      <c r="B123" s="0" t="s">
        <v>3945</v>
      </c>
      <c r="C123" s="14" t="s">
        <v>3961</v>
      </c>
      <c r="D123" s="0" t="s">
        <v>3122</v>
      </c>
      <c r="E123" s="14" t="s">
        <v>3944</v>
      </c>
    </row>
    <row r="124" customFormat="false" ht="15" hidden="false" customHeight="false" outlineLevel="0" collapsed="false">
      <c r="A124" s="0" t="s">
        <v>3338</v>
      </c>
      <c r="B124" s="0" t="s">
        <v>3962</v>
      </c>
      <c r="C124" s="0" t="s">
        <v>3963</v>
      </c>
      <c r="D124" s="0" t="s">
        <v>3341</v>
      </c>
    </row>
    <row r="125" customFormat="false" ht="108.95" hidden="false" customHeight="false" outlineLevel="0" collapsed="false">
      <c r="A125" s="0" t="s">
        <v>2760</v>
      </c>
      <c r="B125" s="0" t="s">
        <v>3942</v>
      </c>
      <c r="C125" s="14" t="s">
        <v>3964</v>
      </c>
      <c r="D125" s="0" t="s">
        <v>2762</v>
      </c>
      <c r="E125" s="14" t="s">
        <v>3944</v>
      </c>
    </row>
    <row r="126" customFormat="false" ht="108.95" hidden="false" customHeight="false" outlineLevel="0" collapsed="false">
      <c r="A126" s="0" t="s">
        <v>3050</v>
      </c>
      <c r="B126" s="0" t="s">
        <v>3945</v>
      </c>
      <c r="C126" s="14" t="s">
        <v>3964</v>
      </c>
      <c r="D126" s="0" t="s">
        <v>3052</v>
      </c>
      <c r="E126" s="14" t="s">
        <v>3944</v>
      </c>
    </row>
    <row r="127" customFormat="false" ht="28.35" hidden="false" customHeight="false" outlineLevel="0" collapsed="false">
      <c r="A127" s="0" t="s">
        <v>3229</v>
      </c>
      <c r="B127" s="0" t="s">
        <v>3942</v>
      </c>
      <c r="C127" s="14" t="s">
        <v>3965</v>
      </c>
      <c r="D127" s="0" t="s">
        <v>3230</v>
      </c>
      <c r="E127" s="14" t="s">
        <v>3944</v>
      </c>
    </row>
    <row r="128" customFormat="false" ht="28.35" hidden="false" customHeight="false" outlineLevel="0" collapsed="false">
      <c r="A128" s="0" t="s">
        <v>2941</v>
      </c>
      <c r="B128" s="0" t="s">
        <v>3945</v>
      </c>
      <c r="C128" s="14" t="s">
        <v>3965</v>
      </c>
      <c r="D128" s="0" t="s">
        <v>2942</v>
      </c>
      <c r="E128" s="14" t="s">
        <v>3944</v>
      </c>
    </row>
    <row r="129" customFormat="false" ht="95.5" hidden="false" customHeight="false" outlineLevel="0" collapsed="false">
      <c r="A129" s="0" t="s">
        <v>2158</v>
      </c>
      <c r="B129" s="0" t="s">
        <v>3942</v>
      </c>
      <c r="C129" s="14" t="s">
        <v>3966</v>
      </c>
      <c r="D129" s="14" t="s">
        <v>3967</v>
      </c>
      <c r="E129" s="14" t="s">
        <v>3968</v>
      </c>
    </row>
    <row r="130" customFormat="false" ht="95.5" hidden="false" customHeight="false" outlineLevel="0" collapsed="false">
      <c r="A130" s="0" t="s">
        <v>1927</v>
      </c>
      <c r="B130" s="0" t="s">
        <v>3945</v>
      </c>
      <c r="C130" s="14" t="s">
        <v>3966</v>
      </c>
      <c r="D130" s="14" t="s">
        <v>3969</v>
      </c>
      <c r="E130" s="14" t="s">
        <v>3968</v>
      </c>
    </row>
    <row r="131" customFormat="false" ht="82.05" hidden="false" customHeight="false" outlineLevel="0" collapsed="false">
      <c r="A131" s="0" t="s">
        <v>2618</v>
      </c>
      <c r="B131" s="0" t="s">
        <v>3970</v>
      </c>
      <c r="C131" s="14" t="s">
        <v>3971</v>
      </c>
      <c r="D131" s="14" t="s">
        <v>3972</v>
      </c>
      <c r="E131" s="0" t="s">
        <v>3973</v>
      </c>
    </row>
    <row r="132" customFormat="false" ht="82.05" hidden="false" customHeight="false" outlineLevel="0" collapsed="false">
      <c r="A132" s="0" t="s">
        <v>2471</v>
      </c>
      <c r="B132" s="0" t="s">
        <v>3974</v>
      </c>
      <c r="C132" s="14" t="s">
        <v>3971</v>
      </c>
      <c r="D132" s="14" t="s">
        <v>3975</v>
      </c>
      <c r="E132" s="0" t="s">
        <v>3973</v>
      </c>
    </row>
    <row r="133" customFormat="false" ht="55.2" hidden="false" customHeight="false" outlineLevel="0" collapsed="false">
      <c r="A133" s="0" t="s">
        <v>2216</v>
      </c>
      <c r="B133" s="0" t="s">
        <v>3942</v>
      </c>
      <c r="C133" s="14" t="s">
        <v>3976</v>
      </c>
      <c r="D133" s="14" t="s">
        <v>3977</v>
      </c>
      <c r="E133" s="14" t="s">
        <v>3978</v>
      </c>
    </row>
    <row r="134" customFormat="false" ht="55.2" hidden="false" customHeight="false" outlineLevel="0" collapsed="false">
      <c r="A134" s="0" t="s">
        <v>2165</v>
      </c>
      <c r="B134" s="0" t="s">
        <v>3945</v>
      </c>
      <c r="C134" s="14" t="s">
        <v>3976</v>
      </c>
      <c r="D134" s="14" t="s">
        <v>3979</v>
      </c>
      <c r="E134" s="14" t="s">
        <v>3978</v>
      </c>
    </row>
    <row r="135" customFormat="false" ht="68.65" hidden="false" customHeight="false" outlineLevel="0" collapsed="false">
      <c r="A135" s="0" t="s">
        <v>2783</v>
      </c>
      <c r="B135" s="0" t="s">
        <v>3970</v>
      </c>
      <c r="C135" s="14" t="s">
        <v>3980</v>
      </c>
      <c r="D135" s="0" t="s">
        <v>2784</v>
      </c>
      <c r="E135" s="0" t="s">
        <v>3973</v>
      </c>
    </row>
    <row r="136" customFormat="false" ht="68.65" hidden="false" customHeight="false" outlineLevel="0" collapsed="false">
      <c r="A136" s="0" t="s">
        <v>2805</v>
      </c>
      <c r="B136" s="0" t="s">
        <v>3974</v>
      </c>
      <c r="C136" s="14" t="s">
        <v>3980</v>
      </c>
      <c r="D136" s="0" t="s">
        <v>2806</v>
      </c>
      <c r="E136" s="0" t="s">
        <v>3973</v>
      </c>
    </row>
    <row r="137" customFormat="false" ht="41.75" hidden="false" customHeight="false" outlineLevel="0" collapsed="false">
      <c r="A137" s="0" t="s">
        <v>2831</v>
      </c>
      <c r="B137" s="0" t="s">
        <v>3942</v>
      </c>
      <c r="C137" s="14" t="s">
        <v>3981</v>
      </c>
      <c r="D137" s="0" t="s">
        <v>2832</v>
      </c>
      <c r="E137" s="14" t="s">
        <v>3944</v>
      </c>
    </row>
    <row r="138" customFormat="false" ht="41.75" hidden="false" customHeight="false" outlineLevel="0" collapsed="false">
      <c r="A138" s="0" t="s">
        <v>2860</v>
      </c>
      <c r="B138" s="0" t="s">
        <v>3945</v>
      </c>
      <c r="C138" s="14" t="s">
        <v>3981</v>
      </c>
      <c r="D138" s="0" t="s">
        <v>2861</v>
      </c>
      <c r="E138" s="14" t="s">
        <v>3944</v>
      </c>
    </row>
    <row r="139" customFormat="false" ht="28.35" hidden="false" customHeight="false" outlineLevel="0" collapsed="false">
      <c r="A139" s="0" t="s">
        <v>3224</v>
      </c>
      <c r="B139" s="0" t="s">
        <v>3942</v>
      </c>
      <c r="C139" s="14" t="s">
        <v>3982</v>
      </c>
      <c r="D139" s="0" t="s">
        <v>3225</v>
      </c>
      <c r="E139" s="14" t="s">
        <v>3944</v>
      </c>
    </row>
    <row r="140" customFormat="false" ht="28.35" hidden="false" customHeight="false" outlineLevel="0" collapsed="false">
      <c r="A140" s="0" t="s">
        <v>3179</v>
      </c>
      <c r="B140" s="0" t="s">
        <v>3945</v>
      </c>
      <c r="C140" s="14" t="s">
        <v>3982</v>
      </c>
      <c r="D140" s="0" t="s">
        <v>3181</v>
      </c>
      <c r="E140" s="14" t="s">
        <v>3944</v>
      </c>
    </row>
    <row r="141" customFormat="false" ht="28.35" hidden="false" customHeight="false" outlineLevel="0" collapsed="false">
      <c r="A141" s="0" t="s">
        <v>3117</v>
      </c>
      <c r="B141" s="0" t="s">
        <v>3942</v>
      </c>
      <c r="C141" s="0" t="s">
        <v>3983</v>
      </c>
      <c r="D141" s="0" t="s">
        <v>3118</v>
      </c>
      <c r="E141" s="14" t="s">
        <v>3944</v>
      </c>
    </row>
    <row r="142" customFormat="false" ht="28.35" hidden="false" customHeight="false" outlineLevel="0" collapsed="false">
      <c r="A142" s="0" t="s">
        <v>3033</v>
      </c>
      <c r="B142" s="0" t="s">
        <v>3945</v>
      </c>
      <c r="C142" s="0" t="s">
        <v>3983</v>
      </c>
      <c r="D142" s="0" t="s">
        <v>3034</v>
      </c>
      <c r="E142" s="14" t="s">
        <v>3944</v>
      </c>
    </row>
    <row r="143" customFormat="false" ht="28.35" hidden="false" customHeight="false" outlineLevel="0" collapsed="false">
      <c r="A143" s="0" t="s">
        <v>2807</v>
      </c>
      <c r="B143" s="0" t="s">
        <v>3942</v>
      </c>
      <c r="C143" s="0" t="s">
        <v>3984</v>
      </c>
      <c r="D143" s="0" t="s">
        <v>2808</v>
      </c>
      <c r="E143" s="14" t="s">
        <v>3944</v>
      </c>
    </row>
    <row r="144" customFormat="false" ht="28.35" hidden="false" customHeight="false" outlineLevel="0" collapsed="false">
      <c r="A144" s="0" t="s">
        <v>2809</v>
      </c>
      <c r="B144" s="0" t="s">
        <v>3945</v>
      </c>
      <c r="C144" s="0" t="s">
        <v>3984</v>
      </c>
      <c r="D144" s="0" t="s">
        <v>2810</v>
      </c>
      <c r="E144" s="14" t="s">
        <v>3944</v>
      </c>
    </row>
    <row r="145" customFormat="false" ht="68.65" hidden="false" customHeight="false" outlineLevel="0" collapsed="false">
      <c r="A145" s="0" t="s">
        <v>2008</v>
      </c>
      <c r="B145" s="0" t="s">
        <v>3985</v>
      </c>
      <c r="C145" s="14" t="s">
        <v>3986</v>
      </c>
      <c r="D145" s="14" t="s">
        <v>3987</v>
      </c>
      <c r="E145" s="14" t="s">
        <v>3944</v>
      </c>
    </row>
    <row r="146" customFormat="false" ht="55.2" hidden="false" customHeight="false" outlineLevel="0" collapsed="false">
      <c r="A146" s="0" t="s">
        <v>2141</v>
      </c>
      <c r="B146" s="0" t="s">
        <v>3988</v>
      </c>
      <c r="C146" s="14" t="s">
        <v>3989</v>
      </c>
      <c r="D146" s="14" t="s">
        <v>3990</v>
      </c>
      <c r="E146" s="0" t="s">
        <v>3973</v>
      </c>
    </row>
    <row r="147" customFormat="false" ht="68.65" hidden="false" customHeight="false" outlineLevel="0" collapsed="false">
      <c r="A147" s="0" t="s">
        <v>2693</v>
      </c>
      <c r="B147" s="0" t="s">
        <v>3991</v>
      </c>
      <c r="C147" s="14" t="s">
        <v>3992</v>
      </c>
      <c r="D147" s="14" t="s">
        <v>3993</v>
      </c>
    </row>
    <row r="148" customFormat="false" ht="68.65" hidden="false" customHeight="false" outlineLevel="0" collapsed="false">
      <c r="A148" s="0" t="s">
        <v>2697</v>
      </c>
      <c r="B148" s="0" t="s">
        <v>3994</v>
      </c>
      <c r="C148" s="14" t="s">
        <v>3992</v>
      </c>
      <c r="D148" s="14" t="s">
        <v>3995</v>
      </c>
    </row>
    <row r="149" customFormat="false" ht="68.65" hidden="false" customHeight="false" outlineLevel="0" collapsed="false">
      <c r="A149" s="0" t="s">
        <v>1630</v>
      </c>
      <c r="B149" s="0" t="s">
        <v>3942</v>
      </c>
      <c r="C149" s="14" t="s">
        <v>3996</v>
      </c>
      <c r="D149" s="14" t="s">
        <v>3997</v>
      </c>
      <c r="E149" s="14" t="s">
        <v>3944</v>
      </c>
    </row>
    <row r="150" customFormat="false" ht="68.65" hidden="false" customHeight="false" outlineLevel="0" collapsed="false">
      <c r="A150" s="0" t="s">
        <v>1688</v>
      </c>
      <c r="B150" s="0" t="s">
        <v>3945</v>
      </c>
      <c r="C150" s="14" t="s">
        <v>3996</v>
      </c>
      <c r="D150" s="14" t="s">
        <v>3998</v>
      </c>
      <c r="E150" s="14" t="s">
        <v>3944</v>
      </c>
    </row>
    <row r="151" customFormat="false" ht="68.65" hidden="false" customHeight="false" outlineLevel="0" collapsed="false">
      <c r="A151" s="0" t="s">
        <v>1389</v>
      </c>
      <c r="B151" s="0" t="s">
        <v>3942</v>
      </c>
      <c r="C151" s="14" t="s">
        <v>3999</v>
      </c>
      <c r="D151" s="14" t="s">
        <v>4000</v>
      </c>
      <c r="E151" s="14" t="s">
        <v>3944</v>
      </c>
    </row>
    <row r="152" customFormat="false" ht="68.65" hidden="false" customHeight="false" outlineLevel="0" collapsed="false">
      <c r="A152" s="0" t="s">
        <v>1356</v>
      </c>
      <c r="B152" s="0" t="s">
        <v>3945</v>
      </c>
      <c r="C152" s="14" t="s">
        <v>3999</v>
      </c>
      <c r="D152" s="14" t="s">
        <v>4001</v>
      </c>
      <c r="E152" s="14" t="s">
        <v>3944</v>
      </c>
    </row>
    <row r="153" customFormat="false" ht="68.65" hidden="false" customHeight="false" outlineLevel="0" collapsed="false">
      <c r="A153" s="0" t="s">
        <v>4002</v>
      </c>
      <c r="B153" s="0" t="s">
        <v>3962</v>
      </c>
      <c r="C153" s="14" t="s">
        <v>4003</v>
      </c>
      <c r="D153" s="14" t="s">
        <v>4004</v>
      </c>
      <c r="E153" s="14" t="s">
        <v>4005</v>
      </c>
    </row>
    <row r="154" customFormat="false" ht="122.35" hidden="false" customHeight="false" outlineLevel="0" collapsed="false">
      <c r="A154" s="0" t="s">
        <v>1697</v>
      </c>
      <c r="B154" s="0" t="s">
        <v>3970</v>
      </c>
      <c r="C154" s="14" t="s">
        <v>4006</v>
      </c>
      <c r="D154" s="14" t="s">
        <v>4007</v>
      </c>
      <c r="E154" s="0" t="s">
        <v>3973</v>
      </c>
    </row>
    <row r="155" customFormat="false" ht="122.35" hidden="false" customHeight="false" outlineLevel="0" collapsed="false">
      <c r="A155" s="0" t="s">
        <v>1702</v>
      </c>
      <c r="B155" s="0" t="s">
        <v>3974</v>
      </c>
      <c r="C155" s="14" t="s">
        <v>4006</v>
      </c>
      <c r="D155" s="14" t="s">
        <v>4008</v>
      </c>
      <c r="E155" s="0" t="s">
        <v>3973</v>
      </c>
    </row>
    <row r="156" customFormat="false" ht="68.65" hidden="false" customHeight="false" outlineLevel="0" collapsed="false">
      <c r="A156" s="0" t="s">
        <v>1792</v>
      </c>
      <c r="B156" s="0" t="s">
        <v>3942</v>
      </c>
      <c r="C156" s="14" t="s">
        <v>4009</v>
      </c>
      <c r="D156" s="14" t="s">
        <v>4010</v>
      </c>
      <c r="E156" s="14" t="s">
        <v>4011</v>
      </c>
    </row>
    <row r="157" customFormat="false" ht="68.65" hidden="false" customHeight="false" outlineLevel="0" collapsed="false">
      <c r="A157" s="0" t="s">
        <v>1754</v>
      </c>
      <c r="B157" s="0" t="s">
        <v>3945</v>
      </c>
      <c r="C157" s="14" t="s">
        <v>4009</v>
      </c>
      <c r="D157" s="14" t="s">
        <v>4012</v>
      </c>
      <c r="E157" s="14" t="s">
        <v>4011</v>
      </c>
    </row>
    <row r="158" customFormat="false" ht="55.2" hidden="false" customHeight="false" outlineLevel="0" collapsed="false">
      <c r="A158" s="0" t="s">
        <v>1794</v>
      </c>
      <c r="B158" s="0" t="s">
        <v>3942</v>
      </c>
      <c r="C158" s="14" t="s">
        <v>4013</v>
      </c>
      <c r="D158" s="14" t="s">
        <v>4014</v>
      </c>
      <c r="E158" s="14" t="s">
        <v>3944</v>
      </c>
    </row>
    <row r="159" customFormat="false" ht="55.2" hidden="false" customHeight="false" outlineLevel="0" collapsed="false">
      <c r="A159" s="0" t="s">
        <v>1809</v>
      </c>
      <c r="B159" s="0" t="s">
        <v>3945</v>
      </c>
      <c r="C159" s="14" t="s">
        <v>4013</v>
      </c>
      <c r="D159" s="14" t="s">
        <v>4015</v>
      </c>
      <c r="E159" s="14" t="s">
        <v>3944</v>
      </c>
    </row>
    <row r="160" customFormat="false" ht="41.75" hidden="false" customHeight="false" outlineLevel="0" collapsed="false">
      <c r="A160" s="0" t="s">
        <v>1640</v>
      </c>
      <c r="B160" s="0" t="s">
        <v>3942</v>
      </c>
      <c r="C160" s="14" t="s">
        <v>4016</v>
      </c>
      <c r="D160" s="14" t="s">
        <v>4017</v>
      </c>
      <c r="E160" s="14" t="s">
        <v>3944</v>
      </c>
    </row>
    <row r="161" customFormat="false" ht="41.75" hidden="false" customHeight="false" outlineLevel="0" collapsed="false">
      <c r="A161" s="0" t="s">
        <v>1642</v>
      </c>
      <c r="B161" s="0" t="s">
        <v>3945</v>
      </c>
      <c r="C161" s="14" t="s">
        <v>4016</v>
      </c>
      <c r="D161" s="14" t="s">
        <v>4018</v>
      </c>
      <c r="E161" s="14" t="s">
        <v>3944</v>
      </c>
    </row>
    <row r="162" customFormat="false" ht="41.75" hidden="false" customHeight="false" outlineLevel="0" collapsed="false">
      <c r="A162" s="0" t="s">
        <v>2502</v>
      </c>
      <c r="B162" s="0" t="s">
        <v>3942</v>
      </c>
      <c r="C162" s="14" t="s">
        <v>4019</v>
      </c>
      <c r="D162" s="14" t="s">
        <v>4020</v>
      </c>
      <c r="E162" s="14" t="s">
        <v>3944</v>
      </c>
    </row>
    <row r="163" customFormat="false" ht="41.75" hidden="false" customHeight="false" outlineLevel="0" collapsed="false">
      <c r="A163" s="0" t="s">
        <v>2427</v>
      </c>
      <c r="B163" s="0" t="s">
        <v>3945</v>
      </c>
      <c r="C163" s="14" t="s">
        <v>4019</v>
      </c>
      <c r="D163" s="14" t="s">
        <v>4021</v>
      </c>
      <c r="E163" s="14" t="s">
        <v>3944</v>
      </c>
    </row>
    <row r="164" customFormat="false" ht="41.75" hidden="false" customHeight="false" outlineLevel="0" collapsed="false">
      <c r="A164" s="0" t="s">
        <v>2038</v>
      </c>
      <c r="B164" s="0" t="s">
        <v>3942</v>
      </c>
      <c r="C164" s="14" t="s">
        <v>4022</v>
      </c>
      <c r="D164" s="14" t="s">
        <v>4023</v>
      </c>
      <c r="E164" s="14" t="s">
        <v>3944</v>
      </c>
    </row>
    <row r="165" customFormat="false" ht="41.75" hidden="false" customHeight="false" outlineLevel="0" collapsed="false">
      <c r="A165" s="0" t="s">
        <v>2011</v>
      </c>
      <c r="B165" s="0" t="s">
        <v>3945</v>
      </c>
      <c r="C165" s="14" t="s">
        <v>4022</v>
      </c>
      <c r="D165" s="14" t="s">
        <v>4024</v>
      </c>
      <c r="E165" s="14" t="s">
        <v>3944</v>
      </c>
    </row>
    <row r="166" customFormat="false" ht="68.65" hidden="false" customHeight="false" outlineLevel="0" collapsed="false">
      <c r="A166" s="0" t="s">
        <v>2581</v>
      </c>
      <c r="B166" s="0" t="s">
        <v>3952</v>
      </c>
      <c r="C166" s="14" t="s">
        <v>4025</v>
      </c>
      <c r="D166" s="14" t="s">
        <v>4026</v>
      </c>
      <c r="E166" s="14" t="s">
        <v>3944</v>
      </c>
    </row>
    <row r="167" customFormat="false" ht="55.2" hidden="false" customHeight="false" outlineLevel="0" collapsed="false">
      <c r="A167" s="0" t="s">
        <v>2583</v>
      </c>
      <c r="B167" s="0" t="s">
        <v>3956</v>
      </c>
      <c r="C167" s="14" t="s">
        <v>4025</v>
      </c>
      <c r="D167" s="14" t="s">
        <v>4027</v>
      </c>
      <c r="E167" s="14" t="s">
        <v>3944</v>
      </c>
    </row>
    <row r="168" customFormat="false" ht="55.2" hidden="false" customHeight="false" outlineLevel="0" collapsed="false">
      <c r="A168" s="0" t="s">
        <v>1625</v>
      </c>
      <c r="B168" s="0" t="s">
        <v>3942</v>
      </c>
      <c r="C168" s="14" t="s">
        <v>4028</v>
      </c>
      <c r="D168" s="14" t="s">
        <v>4029</v>
      </c>
      <c r="E168" s="14" t="s">
        <v>4011</v>
      </c>
    </row>
    <row r="169" customFormat="false" ht="55.2" hidden="false" customHeight="false" outlineLevel="0" collapsed="false">
      <c r="A169" s="0" t="s">
        <v>1651</v>
      </c>
      <c r="B169" s="0" t="s">
        <v>3945</v>
      </c>
      <c r="C169" s="14" t="s">
        <v>4028</v>
      </c>
      <c r="D169" s="14" t="s">
        <v>4030</v>
      </c>
      <c r="E169" s="14" t="s">
        <v>4011</v>
      </c>
    </row>
    <row r="170" customFormat="false" ht="41.75" hidden="false" customHeight="false" outlineLevel="0" collapsed="false">
      <c r="A170" s="0" t="s">
        <v>3123</v>
      </c>
      <c r="B170" s="0" t="s">
        <v>3952</v>
      </c>
      <c r="C170" s="0" t="s">
        <v>4031</v>
      </c>
      <c r="D170" s="14" t="s">
        <v>4032</v>
      </c>
      <c r="E170" s="14" t="s">
        <v>3944</v>
      </c>
    </row>
    <row r="171" customFormat="false" ht="41.75" hidden="false" customHeight="false" outlineLevel="0" collapsed="false">
      <c r="A171" s="0" t="s">
        <v>2919</v>
      </c>
      <c r="B171" s="0" t="s">
        <v>3956</v>
      </c>
      <c r="C171" s="0" t="s">
        <v>4031</v>
      </c>
      <c r="D171" s="14" t="s">
        <v>4032</v>
      </c>
      <c r="E171" s="14" t="s">
        <v>3944</v>
      </c>
    </row>
    <row r="172" customFormat="false" ht="82.05" hidden="false" customHeight="false" outlineLevel="0" collapsed="false">
      <c r="A172" s="0" t="s">
        <v>2602</v>
      </c>
      <c r="B172" s="0" t="s">
        <v>3970</v>
      </c>
      <c r="C172" s="14" t="s">
        <v>4033</v>
      </c>
      <c r="D172" s="14" t="s">
        <v>4034</v>
      </c>
      <c r="E172" s="0" t="s">
        <v>3973</v>
      </c>
    </row>
    <row r="173" customFormat="false" ht="82.05" hidden="false" customHeight="false" outlineLevel="0" collapsed="false">
      <c r="A173" s="0" t="s">
        <v>2551</v>
      </c>
      <c r="B173" s="0" t="s">
        <v>3974</v>
      </c>
      <c r="C173" s="14" t="s">
        <v>4033</v>
      </c>
      <c r="D173" s="14" t="s">
        <v>4035</v>
      </c>
      <c r="E173" s="0" t="s">
        <v>3973</v>
      </c>
    </row>
    <row r="174" customFormat="false" ht="68.65" hidden="false" customHeight="false" outlineLevel="0" collapsed="false">
      <c r="A174" s="0" t="s">
        <v>2720</v>
      </c>
      <c r="B174" s="0" t="s">
        <v>3942</v>
      </c>
      <c r="C174" s="14" t="s">
        <v>4036</v>
      </c>
      <c r="D174" s="14" t="s">
        <v>4037</v>
      </c>
      <c r="E174" s="14" t="s">
        <v>4011</v>
      </c>
    </row>
    <row r="175" customFormat="false" ht="68.65" hidden="false" customHeight="false" outlineLevel="0" collapsed="false">
      <c r="A175" s="0" t="s">
        <v>2481</v>
      </c>
      <c r="B175" s="0" t="s">
        <v>3945</v>
      </c>
      <c r="C175" s="14" t="s">
        <v>4036</v>
      </c>
      <c r="D175" s="14" t="s">
        <v>4038</v>
      </c>
      <c r="E175" s="14" t="s">
        <v>4011</v>
      </c>
    </row>
    <row r="176" customFormat="false" ht="55.2" hidden="false" customHeight="false" outlineLevel="0" collapsed="false">
      <c r="A176" s="0" t="s">
        <v>1421</v>
      </c>
      <c r="B176" s="0" t="s">
        <v>3942</v>
      </c>
      <c r="C176" s="0" t="s">
        <v>4039</v>
      </c>
      <c r="D176" s="14" t="s">
        <v>4040</v>
      </c>
      <c r="E176" s="14" t="s">
        <v>3944</v>
      </c>
    </row>
    <row r="177" customFormat="false" ht="55.2" hidden="false" customHeight="false" outlineLevel="0" collapsed="false">
      <c r="A177" s="0" t="s">
        <v>1416</v>
      </c>
      <c r="B177" s="0" t="s">
        <v>3945</v>
      </c>
      <c r="C177" s="0" t="s">
        <v>4039</v>
      </c>
      <c r="D177" s="14" t="s">
        <v>4041</v>
      </c>
      <c r="E177" s="14" t="s">
        <v>3944</v>
      </c>
    </row>
    <row r="178" customFormat="false" ht="41.75" hidden="false" customHeight="false" outlineLevel="0" collapsed="false">
      <c r="A178" s="0" t="s">
        <v>1979</v>
      </c>
      <c r="B178" s="0" t="s">
        <v>3942</v>
      </c>
      <c r="C178" s="14" t="s">
        <v>4042</v>
      </c>
      <c r="D178" s="14" t="s">
        <v>4043</v>
      </c>
      <c r="E178" s="14" t="s">
        <v>4044</v>
      </c>
    </row>
    <row r="179" customFormat="false" ht="41.75" hidden="false" customHeight="false" outlineLevel="0" collapsed="false">
      <c r="A179" s="0" t="s">
        <v>1930</v>
      </c>
      <c r="B179" s="0" t="s">
        <v>3945</v>
      </c>
      <c r="C179" s="14" t="s">
        <v>4042</v>
      </c>
      <c r="D179" s="14" t="s">
        <v>4045</v>
      </c>
      <c r="E179" s="14" t="s">
        <v>3944</v>
      </c>
    </row>
    <row r="180" customFormat="false" ht="41.75" hidden="false" customHeight="false" outlineLevel="0" collapsed="false">
      <c r="A180" s="0" t="s">
        <v>3516</v>
      </c>
      <c r="B180" s="0" t="s">
        <v>3952</v>
      </c>
      <c r="C180" s="14" t="s">
        <v>4046</v>
      </c>
      <c r="D180" s="14" t="s">
        <v>4047</v>
      </c>
      <c r="E180" s="14" t="s">
        <v>3944</v>
      </c>
    </row>
    <row r="181" customFormat="false" ht="41.75" hidden="false" customHeight="false" outlineLevel="0" collapsed="false">
      <c r="A181" s="0" t="s">
        <v>3342</v>
      </c>
      <c r="B181" s="0" t="s">
        <v>4048</v>
      </c>
      <c r="C181" s="14" t="s">
        <v>4046</v>
      </c>
      <c r="D181" s="14" t="s">
        <v>4049</v>
      </c>
      <c r="E181" s="14" t="s">
        <v>3944</v>
      </c>
    </row>
    <row r="182" customFormat="false" ht="41.75" hidden="false" customHeight="false" outlineLevel="0" collapsed="false">
      <c r="A182" s="0" t="s">
        <v>2560</v>
      </c>
      <c r="B182" s="0" t="s">
        <v>3952</v>
      </c>
      <c r="C182" s="14" t="s">
        <v>4050</v>
      </c>
      <c r="D182" s="14" t="s">
        <v>4051</v>
      </c>
      <c r="E182" s="14" t="s">
        <v>3944</v>
      </c>
    </row>
    <row r="183" customFormat="false" ht="41.75" hidden="false" customHeight="false" outlineLevel="0" collapsed="false">
      <c r="A183" s="0" t="s">
        <v>2893</v>
      </c>
      <c r="B183" s="0" t="s">
        <v>3956</v>
      </c>
      <c r="C183" s="14" t="s">
        <v>4050</v>
      </c>
      <c r="D183" s="14" t="s">
        <v>4052</v>
      </c>
      <c r="E183" s="14" t="s">
        <v>3944</v>
      </c>
    </row>
    <row r="184" customFormat="false" ht="28.35" hidden="false" customHeight="false" outlineLevel="0" collapsed="false">
      <c r="A184" s="0" t="s">
        <v>3035</v>
      </c>
      <c r="B184" s="0" t="s">
        <v>3952</v>
      </c>
      <c r="C184" s="14" t="s">
        <v>4053</v>
      </c>
      <c r="D184" s="14" t="s">
        <v>4054</v>
      </c>
      <c r="E184" s="14" t="s">
        <v>3944</v>
      </c>
    </row>
    <row r="185" customFormat="false" ht="28.35" hidden="false" customHeight="false" outlineLevel="0" collapsed="false">
      <c r="A185" s="0" t="s">
        <v>3119</v>
      </c>
      <c r="B185" s="0" t="s">
        <v>3956</v>
      </c>
      <c r="C185" s="14" t="s">
        <v>4053</v>
      </c>
      <c r="D185" s="14" t="s">
        <v>4055</v>
      </c>
      <c r="E185" s="14" t="s">
        <v>3944</v>
      </c>
    </row>
    <row r="186" customFormat="false" ht="95.5" hidden="false" customHeight="false" outlineLevel="0" collapsed="false">
      <c r="A186" s="0" t="s">
        <v>1880</v>
      </c>
      <c r="B186" s="0" t="s">
        <v>3942</v>
      </c>
      <c r="C186" s="14" t="s">
        <v>4056</v>
      </c>
      <c r="D186" s="14" t="s">
        <v>4057</v>
      </c>
      <c r="E186" s="14" t="s">
        <v>3944</v>
      </c>
    </row>
    <row r="187" customFormat="false" ht="95.5" hidden="false" customHeight="false" outlineLevel="0" collapsed="false">
      <c r="A187" s="0" t="s">
        <v>2098</v>
      </c>
      <c r="B187" s="0" t="s">
        <v>3945</v>
      </c>
      <c r="C187" s="14" t="s">
        <v>4056</v>
      </c>
      <c r="D187" s="14" t="s">
        <v>4058</v>
      </c>
      <c r="E187" s="14" t="s">
        <v>3944</v>
      </c>
    </row>
    <row r="188" customFormat="false" ht="41.75" hidden="false" customHeight="false" outlineLevel="0" collapsed="false">
      <c r="A188" s="0" t="s">
        <v>3254</v>
      </c>
      <c r="B188" s="0" t="s">
        <v>3942</v>
      </c>
      <c r="C188" s="14" t="s">
        <v>4059</v>
      </c>
      <c r="D188" s="14" t="s">
        <v>4060</v>
      </c>
      <c r="E188" s="14" t="s">
        <v>3944</v>
      </c>
    </row>
    <row r="189" customFormat="false" ht="28.35" hidden="false" customHeight="false" outlineLevel="0" collapsed="false">
      <c r="A189" s="0" t="s">
        <v>3433</v>
      </c>
      <c r="B189" s="0" t="s">
        <v>3945</v>
      </c>
      <c r="C189" s="14" t="s">
        <v>4059</v>
      </c>
      <c r="D189" s="14" t="s">
        <v>4061</v>
      </c>
      <c r="E189" s="14" t="s">
        <v>3944</v>
      </c>
    </row>
    <row r="190" customFormat="false" ht="41.75" hidden="false" customHeight="false" outlineLevel="0" collapsed="false">
      <c r="A190" s="0" t="s">
        <v>1877</v>
      </c>
      <c r="B190" s="0" t="s">
        <v>3942</v>
      </c>
      <c r="C190" s="14" t="s">
        <v>4062</v>
      </c>
      <c r="D190" s="14" t="s">
        <v>4063</v>
      </c>
      <c r="E190" s="14" t="s">
        <v>3944</v>
      </c>
    </row>
    <row r="191" customFormat="false" ht="41.75" hidden="false" customHeight="false" outlineLevel="0" collapsed="false">
      <c r="A191" s="0" t="s">
        <v>1918</v>
      </c>
      <c r="B191" s="0" t="s">
        <v>3945</v>
      </c>
      <c r="C191" s="14" t="s">
        <v>4062</v>
      </c>
      <c r="D191" s="14" t="s">
        <v>4064</v>
      </c>
      <c r="E191" s="14" t="s">
        <v>3944</v>
      </c>
    </row>
    <row r="192" customFormat="false" ht="41.75" hidden="false" customHeight="false" outlineLevel="0" collapsed="false">
      <c r="A192" s="0" t="s">
        <v>3277</v>
      </c>
      <c r="B192" s="0" t="s">
        <v>3952</v>
      </c>
      <c r="C192" s="14" t="s">
        <v>4065</v>
      </c>
      <c r="D192" s="14" t="s">
        <v>4066</v>
      </c>
      <c r="E192" s="14" t="s">
        <v>3944</v>
      </c>
    </row>
    <row r="193" customFormat="false" ht="41.75" hidden="false" customHeight="false" outlineLevel="0" collapsed="false">
      <c r="A193" s="0" t="s">
        <v>3182</v>
      </c>
      <c r="B193" s="0" t="s">
        <v>3956</v>
      </c>
      <c r="C193" s="14" t="s">
        <v>4065</v>
      </c>
      <c r="D193" s="14" t="s">
        <v>4067</v>
      </c>
      <c r="E193" s="14" t="s">
        <v>3944</v>
      </c>
    </row>
    <row r="194" customFormat="false" ht="55.2" hidden="false" customHeight="false" outlineLevel="0" collapsed="false">
      <c r="A194" s="0" t="s">
        <v>2148</v>
      </c>
      <c r="B194" s="0" t="s">
        <v>3942</v>
      </c>
      <c r="C194" s="14" t="s">
        <v>4068</v>
      </c>
      <c r="D194" s="14" t="s">
        <v>4069</v>
      </c>
      <c r="E194" s="14" t="s">
        <v>3944</v>
      </c>
    </row>
    <row r="195" customFormat="false" ht="55.2" hidden="false" customHeight="false" outlineLevel="0" collapsed="false">
      <c r="A195" s="0" t="s">
        <v>2332</v>
      </c>
      <c r="B195" s="0" t="s">
        <v>3945</v>
      </c>
      <c r="C195" s="14" t="s">
        <v>4068</v>
      </c>
      <c r="D195" s="14" t="s">
        <v>4070</v>
      </c>
      <c r="E195" s="14" t="s">
        <v>3944</v>
      </c>
    </row>
    <row r="196" customFormat="false" ht="55.2" hidden="false" customHeight="false" outlineLevel="0" collapsed="false">
      <c r="A196" s="0" t="s">
        <v>2803</v>
      </c>
      <c r="B196" s="0" t="s">
        <v>3942</v>
      </c>
      <c r="C196" s="14" t="s">
        <v>4071</v>
      </c>
      <c r="D196" s="14" t="s">
        <v>4072</v>
      </c>
      <c r="E196" s="14" t="s">
        <v>3944</v>
      </c>
    </row>
    <row r="197" customFormat="false" ht="41.75" hidden="false" customHeight="false" outlineLevel="0" collapsed="false">
      <c r="A197" s="0" t="s">
        <v>2915</v>
      </c>
      <c r="B197" s="0" t="s">
        <v>3945</v>
      </c>
      <c r="C197" s="14" t="s">
        <v>4071</v>
      </c>
      <c r="D197" s="14" t="s">
        <v>4073</v>
      </c>
      <c r="E197" s="14" t="s">
        <v>3944</v>
      </c>
    </row>
    <row r="198" customFormat="false" ht="55.2" hidden="false" customHeight="false" outlineLevel="0" collapsed="false">
      <c r="A198" s="0" t="s">
        <v>3000</v>
      </c>
      <c r="B198" s="0" t="s">
        <v>3952</v>
      </c>
      <c r="C198" s="14" t="s">
        <v>4074</v>
      </c>
      <c r="D198" s="14" t="s">
        <v>4075</v>
      </c>
      <c r="E198" s="14" t="s">
        <v>4076</v>
      </c>
    </row>
    <row r="199" customFormat="false" ht="55.2" hidden="false" customHeight="false" outlineLevel="0" collapsed="false">
      <c r="A199" s="0" t="s">
        <v>2978</v>
      </c>
      <c r="B199" s="0" t="s">
        <v>3956</v>
      </c>
      <c r="C199" s="14" t="s">
        <v>4074</v>
      </c>
      <c r="D199" s="14" t="s">
        <v>4077</v>
      </c>
      <c r="E199" s="14" t="s">
        <v>3955</v>
      </c>
    </row>
    <row r="200" customFormat="false" ht="41.75" hidden="false" customHeight="false" outlineLevel="0" collapsed="false">
      <c r="A200" s="0" t="s">
        <v>1861</v>
      </c>
      <c r="B200" s="0" t="s">
        <v>3942</v>
      </c>
      <c r="C200" s="14" t="s">
        <v>4078</v>
      </c>
      <c r="D200" s="14" t="s">
        <v>4079</v>
      </c>
      <c r="E200" s="14" t="s">
        <v>3944</v>
      </c>
    </row>
    <row r="201" customFormat="false" ht="41.75" hidden="false" customHeight="false" outlineLevel="0" collapsed="false">
      <c r="A201" s="0" t="s">
        <v>1903</v>
      </c>
      <c r="B201" s="0" t="s">
        <v>3945</v>
      </c>
      <c r="C201" s="14" t="s">
        <v>4078</v>
      </c>
      <c r="D201" s="14" t="s">
        <v>4080</v>
      </c>
      <c r="E201" s="14" t="s">
        <v>3944</v>
      </c>
    </row>
    <row r="202" customFormat="false" ht="41.75" hidden="false" customHeight="false" outlineLevel="0" collapsed="false">
      <c r="A202" s="0" t="s">
        <v>2406</v>
      </c>
      <c r="B202" s="0" t="s">
        <v>3942</v>
      </c>
      <c r="C202" s="14" t="s">
        <v>4081</v>
      </c>
      <c r="D202" s="14" t="s">
        <v>4082</v>
      </c>
      <c r="E202" s="14" t="s">
        <v>4011</v>
      </c>
    </row>
    <row r="203" customFormat="false" ht="41.75" hidden="false" customHeight="false" outlineLevel="0" collapsed="false">
      <c r="A203" s="0" t="s">
        <v>2341</v>
      </c>
      <c r="B203" s="0" t="s">
        <v>3945</v>
      </c>
      <c r="C203" s="14" t="s">
        <v>4081</v>
      </c>
      <c r="D203" s="14" t="s">
        <v>4083</v>
      </c>
      <c r="E203" s="14" t="s">
        <v>4011</v>
      </c>
    </row>
    <row r="204" customFormat="false" ht="41.75" hidden="false" customHeight="false" outlineLevel="0" collapsed="false">
      <c r="A204" s="0" t="s">
        <v>1949</v>
      </c>
      <c r="B204" s="0" t="s">
        <v>4084</v>
      </c>
      <c r="C204" s="14" t="s">
        <v>4085</v>
      </c>
      <c r="D204" s="14" t="s">
        <v>4086</v>
      </c>
      <c r="E204" s="14" t="s">
        <v>4087</v>
      </c>
    </row>
    <row r="205" customFormat="false" ht="55.2" hidden="false" customHeight="false" outlineLevel="0" collapsed="false">
      <c r="A205" s="0" t="s">
        <v>3200</v>
      </c>
      <c r="B205" s="0" t="s">
        <v>3942</v>
      </c>
      <c r="C205" s="0" t="s">
        <v>4088</v>
      </c>
      <c r="D205" s="14" t="s">
        <v>4089</v>
      </c>
      <c r="E205" s="14" t="s">
        <v>3944</v>
      </c>
    </row>
    <row r="206" customFormat="false" ht="55.2" hidden="false" customHeight="false" outlineLevel="0" collapsed="false">
      <c r="A206" s="0" t="s">
        <v>3124</v>
      </c>
      <c r="B206" s="0" t="s">
        <v>3945</v>
      </c>
      <c r="C206" s="0" t="s">
        <v>4088</v>
      </c>
      <c r="D206" s="14" t="s">
        <v>4090</v>
      </c>
      <c r="E206" s="14" t="s">
        <v>3944</v>
      </c>
    </row>
    <row r="207" customFormat="false" ht="55.2" hidden="false" customHeight="false" outlineLevel="0" collapsed="false">
      <c r="A207" s="0" t="s">
        <v>2040</v>
      </c>
      <c r="B207" s="0" t="s">
        <v>3970</v>
      </c>
      <c r="C207" s="14" t="s">
        <v>4091</v>
      </c>
      <c r="D207" s="14" t="s">
        <v>4092</v>
      </c>
      <c r="E207" s="0" t="s">
        <v>3973</v>
      </c>
    </row>
    <row r="208" customFormat="false" ht="55.2" hidden="false" customHeight="false" outlineLevel="0" collapsed="false">
      <c r="A208" s="0" t="s">
        <v>1933</v>
      </c>
      <c r="B208" s="0" t="s">
        <v>3974</v>
      </c>
      <c r="C208" s="14" t="s">
        <v>4091</v>
      </c>
      <c r="D208" s="14" t="s">
        <v>4093</v>
      </c>
      <c r="E208" s="0" t="s">
        <v>3973</v>
      </c>
    </row>
    <row r="209" customFormat="false" ht="41.75" hidden="false" customHeight="false" outlineLevel="0" collapsed="false">
      <c r="A209" s="0" t="s">
        <v>2218</v>
      </c>
      <c r="B209" s="0" t="s">
        <v>3942</v>
      </c>
      <c r="C209" s="14" t="s">
        <v>4094</v>
      </c>
      <c r="D209" s="14" t="s">
        <v>4095</v>
      </c>
      <c r="E209" s="14" t="s">
        <v>3944</v>
      </c>
    </row>
    <row r="210" customFormat="false" ht="41.75" hidden="false" customHeight="false" outlineLevel="0" collapsed="false">
      <c r="A210" s="0" t="s">
        <v>2227</v>
      </c>
      <c r="B210" s="0" t="s">
        <v>3945</v>
      </c>
      <c r="C210" s="14" t="s">
        <v>4094</v>
      </c>
      <c r="D210" s="14" t="s">
        <v>4096</v>
      </c>
      <c r="E210" s="14" t="s">
        <v>3944</v>
      </c>
    </row>
    <row r="211" customFormat="false" ht="41.75" hidden="false" customHeight="false" outlineLevel="0" collapsed="false">
      <c r="A211" s="0" t="s">
        <v>2722</v>
      </c>
      <c r="B211" s="0" t="s">
        <v>3942</v>
      </c>
      <c r="C211" s="0" t="s">
        <v>4097</v>
      </c>
      <c r="D211" s="14" t="s">
        <v>4098</v>
      </c>
      <c r="E211" s="14" t="s">
        <v>3944</v>
      </c>
    </row>
    <row r="212" customFormat="false" ht="41.75" hidden="false" customHeight="false" outlineLevel="0" collapsed="false">
      <c r="A212" s="0" t="s">
        <v>2763</v>
      </c>
      <c r="B212" s="0" t="s">
        <v>3945</v>
      </c>
      <c r="C212" s="0" t="s">
        <v>4097</v>
      </c>
      <c r="D212" s="14" t="s">
        <v>4099</v>
      </c>
      <c r="E212" s="14" t="s">
        <v>3944</v>
      </c>
    </row>
    <row r="213" customFormat="false" ht="68.65" hidden="false" customHeight="false" outlineLevel="0" collapsed="false">
      <c r="A213" s="0" t="s">
        <v>2542</v>
      </c>
      <c r="B213" s="0" t="s">
        <v>3970</v>
      </c>
      <c r="C213" s="14" t="s">
        <v>4100</v>
      </c>
      <c r="D213" s="14" t="s">
        <v>4101</v>
      </c>
      <c r="E213" s="0" t="s">
        <v>3973</v>
      </c>
    </row>
    <row r="214" customFormat="false" ht="68.65" hidden="false" customHeight="false" outlineLevel="0" collapsed="false">
      <c r="A214" s="0" t="s">
        <v>2483</v>
      </c>
      <c r="B214" s="0" t="s">
        <v>3974</v>
      </c>
      <c r="C214" s="14" t="s">
        <v>4100</v>
      </c>
      <c r="D214" s="14" t="s">
        <v>4102</v>
      </c>
      <c r="E214" s="0" t="s">
        <v>3973</v>
      </c>
    </row>
    <row r="215" customFormat="false" ht="41.75" hidden="false" customHeight="false" outlineLevel="0" collapsed="false">
      <c r="A215" s="0" t="s">
        <v>2879</v>
      </c>
      <c r="B215" s="0" t="s">
        <v>3942</v>
      </c>
      <c r="C215" s="14" t="s">
        <v>4103</v>
      </c>
      <c r="D215" s="14" t="s">
        <v>4104</v>
      </c>
      <c r="E215" s="14" t="s">
        <v>3944</v>
      </c>
    </row>
    <row r="216" customFormat="false" ht="41.75" hidden="false" customHeight="false" outlineLevel="0" collapsed="false">
      <c r="A216" s="0" t="s">
        <v>2895</v>
      </c>
      <c r="B216" s="0" t="s">
        <v>3945</v>
      </c>
      <c r="C216" s="14" t="s">
        <v>4103</v>
      </c>
      <c r="D216" s="14" t="s">
        <v>4105</v>
      </c>
      <c r="E216" s="14" t="s">
        <v>3944</v>
      </c>
    </row>
    <row r="217" customFormat="false" ht="68.65" hidden="false" customHeight="false" outlineLevel="0" collapsed="false">
      <c r="A217" s="0" t="s">
        <v>3053</v>
      </c>
      <c r="B217" s="0" t="s">
        <v>3988</v>
      </c>
      <c r="C217" s="14" t="s">
        <v>4106</v>
      </c>
      <c r="D217" s="14" t="s">
        <v>4107</v>
      </c>
      <c r="E217" s="0" t="s">
        <v>3973</v>
      </c>
    </row>
    <row r="218" customFormat="false" ht="28.35" hidden="false" customHeight="false" outlineLevel="0" collapsed="false">
      <c r="A218" s="0" t="s">
        <v>3282</v>
      </c>
      <c r="B218" s="0" t="s">
        <v>3942</v>
      </c>
      <c r="C218" s="0" t="s">
        <v>4108</v>
      </c>
      <c r="D218" s="14" t="s">
        <v>4109</v>
      </c>
      <c r="E218" s="14" t="s">
        <v>3944</v>
      </c>
    </row>
    <row r="219" customFormat="false" ht="28.35" hidden="false" customHeight="false" outlineLevel="0" collapsed="false">
      <c r="A219" s="0" t="s">
        <v>3305</v>
      </c>
      <c r="B219" s="0" t="s">
        <v>3945</v>
      </c>
      <c r="C219" s="0" t="s">
        <v>4108</v>
      </c>
      <c r="D219" s="14" t="s">
        <v>4110</v>
      </c>
      <c r="E219" s="14" t="s">
        <v>3944</v>
      </c>
    </row>
    <row r="220" customFormat="false" ht="28.35" hidden="false" customHeight="false" outlineLevel="0" collapsed="false">
      <c r="A220" s="0" t="s">
        <v>3369</v>
      </c>
      <c r="B220" s="0" t="s">
        <v>3952</v>
      </c>
      <c r="C220" s="14" t="s">
        <v>4111</v>
      </c>
      <c r="D220" s="0" t="s">
        <v>3370</v>
      </c>
      <c r="E220" s="14" t="s">
        <v>3944</v>
      </c>
    </row>
    <row r="221" customFormat="false" ht="28.35" hidden="false" customHeight="false" outlineLevel="0" collapsed="false">
      <c r="A221" s="0" t="s">
        <v>3300</v>
      </c>
      <c r="B221" s="0" t="s">
        <v>3956</v>
      </c>
      <c r="C221" s="14" t="s">
        <v>4111</v>
      </c>
      <c r="D221" s="0" t="s">
        <v>3301</v>
      </c>
      <c r="E221" s="14" t="s">
        <v>3944</v>
      </c>
    </row>
    <row r="222" customFormat="false" ht="55.2" hidden="false" customHeight="false" outlineLevel="0" collapsed="false">
      <c r="A222" s="0" t="s">
        <v>2538</v>
      </c>
      <c r="B222" s="0" t="s">
        <v>3952</v>
      </c>
      <c r="C222" s="14" t="s">
        <v>4112</v>
      </c>
      <c r="D222" s="14" t="s">
        <v>4113</v>
      </c>
      <c r="E222" s="14" t="s">
        <v>3944</v>
      </c>
    </row>
    <row r="223" customFormat="false" ht="55.2" hidden="false" customHeight="false" outlineLevel="0" collapsed="false">
      <c r="A223" s="0" t="s">
        <v>2419</v>
      </c>
      <c r="B223" s="0" t="s">
        <v>3956</v>
      </c>
      <c r="C223" s="14" t="s">
        <v>4112</v>
      </c>
      <c r="D223" s="14" t="s">
        <v>4114</v>
      </c>
      <c r="E223" s="14" t="s">
        <v>3944</v>
      </c>
    </row>
    <row r="224" customFormat="false" ht="41.75" hidden="false" customHeight="false" outlineLevel="0" collapsed="false">
      <c r="A224" s="0" t="s">
        <v>2474</v>
      </c>
      <c r="B224" s="0" t="s">
        <v>3942</v>
      </c>
      <c r="C224" s="14" t="s">
        <v>4115</v>
      </c>
      <c r="D224" s="14" t="s">
        <v>4116</v>
      </c>
      <c r="E224" s="14" t="s">
        <v>3944</v>
      </c>
    </row>
    <row r="225" customFormat="false" ht="41.75" hidden="false" customHeight="false" outlineLevel="0" collapsed="false">
      <c r="A225" s="0" t="s">
        <v>2432</v>
      </c>
      <c r="B225" s="0" t="s">
        <v>3945</v>
      </c>
      <c r="C225" s="14" t="s">
        <v>4115</v>
      </c>
      <c r="D225" s="14" t="s">
        <v>4117</v>
      </c>
      <c r="E225" s="14" t="s">
        <v>3944</v>
      </c>
    </row>
    <row r="226" customFormat="false" ht="41.75" hidden="false" customHeight="false" outlineLevel="0" collapsed="false">
      <c r="A226" s="0" t="s">
        <v>3196</v>
      </c>
      <c r="B226" s="0" t="s">
        <v>3952</v>
      </c>
      <c r="C226" s="0" t="s">
        <v>4118</v>
      </c>
      <c r="D226" s="14" t="s">
        <v>4119</v>
      </c>
      <c r="E226" s="14" t="s">
        <v>3944</v>
      </c>
    </row>
    <row r="227" customFormat="false" ht="41.75" hidden="false" customHeight="false" outlineLevel="0" collapsed="false">
      <c r="A227" s="0" t="s">
        <v>3068</v>
      </c>
      <c r="B227" s="0" t="s">
        <v>3956</v>
      </c>
      <c r="C227" s="0" t="s">
        <v>4118</v>
      </c>
      <c r="D227" s="14" t="s">
        <v>4120</v>
      </c>
      <c r="E227" s="14" t="s">
        <v>3944</v>
      </c>
    </row>
    <row r="228" customFormat="false" ht="41.75" hidden="false" customHeight="false" outlineLevel="0" collapsed="false">
      <c r="A228" s="0" t="s">
        <v>2280</v>
      </c>
      <c r="B228" s="0" t="s">
        <v>3942</v>
      </c>
      <c r="C228" s="0" t="s">
        <v>4121</v>
      </c>
      <c r="D228" s="14" t="s">
        <v>4122</v>
      </c>
      <c r="E228" s="14" t="s">
        <v>3944</v>
      </c>
    </row>
    <row r="229" customFormat="false" ht="41.75" hidden="false" customHeight="false" outlineLevel="0" collapsed="false">
      <c r="A229" s="0" t="s">
        <v>2283</v>
      </c>
      <c r="B229" s="0" t="s">
        <v>3945</v>
      </c>
      <c r="C229" s="0" t="s">
        <v>4121</v>
      </c>
      <c r="D229" s="14" t="s">
        <v>4123</v>
      </c>
      <c r="E229" s="14" t="s">
        <v>3944</v>
      </c>
    </row>
    <row r="230" customFormat="false" ht="41.75" hidden="false" customHeight="false" outlineLevel="0" collapsed="false">
      <c r="A230" s="0" t="s">
        <v>2540</v>
      </c>
      <c r="B230" s="0" t="s">
        <v>3942</v>
      </c>
      <c r="C230" s="14" t="s">
        <v>4124</v>
      </c>
      <c r="D230" s="14" t="s">
        <v>4125</v>
      </c>
      <c r="E230" s="14" t="s">
        <v>3944</v>
      </c>
    </row>
    <row r="231" customFormat="false" ht="28.35" hidden="false" customHeight="false" outlineLevel="0" collapsed="false">
      <c r="A231" s="0" t="s">
        <v>2516</v>
      </c>
      <c r="B231" s="0" t="s">
        <v>3945</v>
      </c>
      <c r="C231" s="14" t="s">
        <v>4124</v>
      </c>
      <c r="D231" s="14" t="s">
        <v>4126</v>
      </c>
      <c r="E231" s="14" t="s">
        <v>3944</v>
      </c>
    </row>
    <row r="232" customFormat="false" ht="41.75" hidden="false" customHeight="false" outlineLevel="0" collapsed="false">
      <c r="A232" s="0" t="s">
        <v>2208</v>
      </c>
      <c r="B232" s="0" t="s">
        <v>4127</v>
      </c>
      <c r="C232" s="0" t="s">
        <v>4128</v>
      </c>
      <c r="D232" s="14" t="s">
        <v>4129</v>
      </c>
      <c r="E232" s="14" t="s">
        <v>3944</v>
      </c>
    </row>
    <row r="233" customFormat="false" ht="41.75" hidden="false" customHeight="false" outlineLevel="0" collapsed="false">
      <c r="A233" s="0" t="s">
        <v>2211</v>
      </c>
      <c r="B233" s="0" t="s">
        <v>4130</v>
      </c>
      <c r="C233" s="0" t="s">
        <v>4128</v>
      </c>
      <c r="D233" s="14" t="s">
        <v>4131</v>
      </c>
      <c r="E233" s="14" t="s">
        <v>3944</v>
      </c>
    </row>
    <row r="234" customFormat="false" ht="41.75" hidden="false" customHeight="false" outlineLevel="0" collapsed="false">
      <c r="A234" s="0" t="s">
        <v>2862</v>
      </c>
      <c r="B234" s="0" t="s">
        <v>3942</v>
      </c>
      <c r="C234" s="14" t="s">
        <v>4132</v>
      </c>
      <c r="D234" s="14" t="s">
        <v>4133</v>
      </c>
      <c r="E234" s="14" t="s">
        <v>4134</v>
      </c>
    </row>
    <row r="235" customFormat="false" ht="41.75" hidden="false" customHeight="false" outlineLevel="0" collapsed="false">
      <c r="A235" s="0" t="s">
        <v>2833</v>
      </c>
      <c r="B235" s="0" t="s">
        <v>3945</v>
      </c>
      <c r="C235" s="14" t="s">
        <v>4132</v>
      </c>
      <c r="D235" s="14" t="s">
        <v>4135</v>
      </c>
      <c r="E235" s="14" t="s">
        <v>3944</v>
      </c>
    </row>
    <row r="236" customFormat="false" ht="55.2" hidden="false" customHeight="false" outlineLevel="0" collapsed="false">
      <c r="A236" s="0" t="s">
        <v>2746</v>
      </c>
      <c r="B236" s="0" t="s">
        <v>3942</v>
      </c>
      <c r="C236" s="14" t="s">
        <v>4136</v>
      </c>
      <c r="D236" s="14" t="s">
        <v>4137</v>
      </c>
      <c r="E236" s="14" t="s">
        <v>3944</v>
      </c>
    </row>
    <row r="237" customFormat="false" ht="55.2" hidden="false" customHeight="false" outlineLevel="0" collapsed="false">
      <c r="A237" s="0" t="s">
        <v>2748</v>
      </c>
      <c r="B237" s="0" t="s">
        <v>3945</v>
      </c>
      <c r="C237" s="14" t="s">
        <v>4136</v>
      </c>
      <c r="D237" s="14" t="s">
        <v>4138</v>
      </c>
      <c r="E237" s="14" t="s">
        <v>3944</v>
      </c>
    </row>
    <row r="238" customFormat="false" ht="55.2" hidden="false" customHeight="false" outlineLevel="0" collapsed="false">
      <c r="A238" s="0" t="s">
        <v>3202</v>
      </c>
      <c r="B238" s="0" t="s">
        <v>3942</v>
      </c>
      <c r="C238" s="0" t="s">
        <v>4139</v>
      </c>
      <c r="D238" s="14" t="s">
        <v>4140</v>
      </c>
      <c r="E238" s="14" t="s">
        <v>3944</v>
      </c>
    </row>
    <row r="239" customFormat="false" ht="55.2" hidden="false" customHeight="false" outlineLevel="0" collapsed="false">
      <c r="A239" s="0" t="s">
        <v>3184</v>
      </c>
      <c r="B239" s="0" t="s">
        <v>3945</v>
      </c>
      <c r="C239" s="0" t="s">
        <v>4139</v>
      </c>
      <c r="D239" s="14" t="s">
        <v>4141</v>
      </c>
      <c r="E239" s="14" t="s">
        <v>3944</v>
      </c>
    </row>
    <row r="240" customFormat="false" ht="41.75" hidden="false" customHeight="false" outlineLevel="0" collapsed="false">
      <c r="A240" s="0" t="s">
        <v>2239</v>
      </c>
      <c r="B240" s="0" t="s">
        <v>3942</v>
      </c>
      <c r="C240" s="0" t="s">
        <v>4142</v>
      </c>
      <c r="D240" s="14" t="s">
        <v>4143</v>
      </c>
      <c r="E240" s="14" t="s">
        <v>3944</v>
      </c>
    </row>
    <row r="241" customFormat="false" ht="41.75" hidden="false" customHeight="false" outlineLevel="0" collapsed="false">
      <c r="A241" s="0" t="s">
        <v>2327</v>
      </c>
      <c r="B241" s="0" t="s">
        <v>3945</v>
      </c>
      <c r="C241" s="0" t="s">
        <v>4142</v>
      </c>
      <c r="D241" s="14" t="s">
        <v>4144</v>
      </c>
      <c r="E241" s="14" t="s">
        <v>3944</v>
      </c>
    </row>
    <row r="242" customFormat="false" ht="55.2" hidden="false" customHeight="false" outlineLevel="0" collapsed="false">
      <c r="A242" s="0" t="s">
        <v>2329</v>
      </c>
      <c r="B242" s="0" t="s">
        <v>3942</v>
      </c>
      <c r="C242" s="0" t="s">
        <v>4145</v>
      </c>
      <c r="D242" s="14" t="s">
        <v>4146</v>
      </c>
      <c r="E242" s="14" t="s">
        <v>4011</v>
      </c>
    </row>
    <row r="243" customFormat="false" ht="55.2" hidden="false" customHeight="false" outlineLevel="0" collapsed="false">
      <c r="A243" s="0" t="s">
        <v>2404</v>
      </c>
      <c r="B243" s="0" t="s">
        <v>3945</v>
      </c>
      <c r="C243" s="0" t="s">
        <v>4145</v>
      </c>
      <c r="D243" s="14" t="s">
        <v>4147</v>
      </c>
      <c r="E243" s="14" t="s">
        <v>4011</v>
      </c>
    </row>
    <row r="244" customFormat="false" ht="41.75" hidden="false" customHeight="false" outlineLevel="0" collapsed="false">
      <c r="A244" s="0" t="s">
        <v>1953</v>
      </c>
      <c r="B244" s="0" t="s">
        <v>4148</v>
      </c>
      <c r="C244" s="0" t="s">
        <v>4149</v>
      </c>
      <c r="D244" s="14" t="s">
        <v>4150</v>
      </c>
      <c r="E244" s="14" t="s">
        <v>3944</v>
      </c>
    </row>
    <row r="245" customFormat="false" ht="55.2" hidden="false" customHeight="false" outlineLevel="0" collapsed="false">
      <c r="A245" s="0" t="s">
        <v>2585</v>
      </c>
      <c r="B245" s="0" t="s">
        <v>3942</v>
      </c>
      <c r="C245" s="0" t="s">
        <v>4151</v>
      </c>
      <c r="D245" s="14" t="s">
        <v>4152</v>
      </c>
      <c r="E245" s="14" t="s">
        <v>4011</v>
      </c>
    </row>
    <row r="246" customFormat="false" ht="55.2" hidden="false" customHeight="false" outlineLevel="0" collapsed="false">
      <c r="A246" s="0" t="s">
        <v>2587</v>
      </c>
      <c r="B246" s="0" t="s">
        <v>3945</v>
      </c>
      <c r="C246" s="0" t="s">
        <v>4151</v>
      </c>
      <c r="D246" s="14" t="s">
        <v>4153</v>
      </c>
      <c r="E246" s="14" t="s">
        <v>4011</v>
      </c>
    </row>
    <row r="247" customFormat="false" ht="55.2" hidden="false" customHeight="false" outlineLevel="0" collapsed="false">
      <c r="A247" s="0" t="s">
        <v>2030</v>
      </c>
      <c r="B247" s="0" t="s">
        <v>3942</v>
      </c>
      <c r="C247" s="14" t="s">
        <v>4154</v>
      </c>
      <c r="D247" s="14" t="s">
        <v>4155</v>
      </c>
      <c r="E247" s="14" t="s">
        <v>3944</v>
      </c>
    </row>
    <row r="248" customFormat="false" ht="55.2" hidden="false" customHeight="false" outlineLevel="0" collapsed="false">
      <c r="A248" s="0" t="s">
        <v>1946</v>
      </c>
      <c r="B248" s="0" t="s">
        <v>3945</v>
      </c>
      <c r="C248" s="14" t="s">
        <v>4154</v>
      </c>
      <c r="D248" s="14" t="s">
        <v>4156</v>
      </c>
      <c r="E248" s="14" t="s">
        <v>3944</v>
      </c>
    </row>
    <row r="249" customFormat="false" ht="28.35" hidden="false" customHeight="false" outlineLevel="0" collapsed="false">
      <c r="A249" s="0" t="s">
        <v>3518</v>
      </c>
      <c r="B249" s="0" t="s">
        <v>3952</v>
      </c>
      <c r="C249" s="14" t="s">
        <v>4157</v>
      </c>
      <c r="D249" s="14" t="s">
        <v>4158</v>
      </c>
      <c r="E249" s="14" t="s">
        <v>3944</v>
      </c>
    </row>
    <row r="250" customFormat="false" ht="28.35" hidden="false" customHeight="false" outlineLevel="0" collapsed="false">
      <c r="A250" s="0" t="s">
        <v>3520</v>
      </c>
      <c r="B250" s="0" t="s">
        <v>3956</v>
      </c>
      <c r="C250" s="14" t="s">
        <v>4157</v>
      </c>
      <c r="D250" s="14" t="s">
        <v>4159</v>
      </c>
      <c r="E250" s="14" t="s">
        <v>3944</v>
      </c>
    </row>
    <row r="251" customFormat="false" ht="55.2" hidden="false" customHeight="false" outlineLevel="0" collapsed="false">
      <c r="A251" s="0" t="s">
        <v>2600</v>
      </c>
      <c r="B251" s="0" t="s">
        <v>3942</v>
      </c>
      <c r="C251" s="0" t="s">
        <v>4160</v>
      </c>
      <c r="D251" s="14" t="s">
        <v>4161</v>
      </c>
      <c r="E251" s="14" t="s">
        <v>3944</v>
      </c>
    </row>
    <row r="252" customFormat="false" ht="55.2" hidden="false" customHeight="false" outlineLevel="0" collapsed="false">
      <c r="A252" s="0" t="s">
        <v>2855</v>
      </c>
      <c r="B252" s="0" t="s">
        <v>3945</v>
      </c>
      <c r="C252" s="0" t="s">
        <v>4160</v>
      </c>
      <c r="D252" s="14" t="s">
        <v>4162</v>
      </c>
      <c r="E252" s="14" t="s">
        <v>3944</v>
      </c>
    </row>
    <row r="253" customFormat="false" ht="28.35" hidden="false" customHeight="false" outlineLevel="0" collapsed="false">
      <c r="A253" s="0" t="s">
        <v>2700</v>
      </c>
      <c r="B253" s="0" t="s">
        <v>3942</v>
      </c>
      <c r="C253" s="0" t="s">
        <v>4163</v>
      </c>
      <c r="D253" s="14" t="s">
        <v>4164</v>
      </c>
      <c r="E253" s="14" t="s">
        <v>3944</v>
      </c>
    </row>
    <row r="254" customFormat="false" ht="28.35" hidden="false" customHeight="false" outlineLevel="0" collapsed="false">
      <c r="A254" s="0" t="s">
        <v>2702</v>
      </c>
      <c r="B254" s="0" t="s">
        <v>3945</v>
      </c>
      <c r="C254" s="0" t="s">
        <v>4163</v>
      </c>
      <c r="D254" s="14" t="s">
        <v>4165</v>
      </c>
      <c r="E254" s="14" t="s">
        <v>3944</v>
      </c>
    </row>
    <row r="255" customFormat="false" ht="41.75" hidden="false" customHeight="false" outlineLevel="0" collapsed="false">
      <c r="A255" s="0" t="s">
        <v>3522</v>
      </c>
      <c r="B255" s="0" t="s">
        <v>3942</v>
      </c>
      <c r="C255" s="0" t="s">
        <v>4166</v>
      </c>
      <c r="D255" s="14" t="s">
        <v>4167</v>
      </c>
      <c r="E255" s="14" t="s">
        <v>3944</v>
      </c>
    </row>
    <row r="256" customFormat="false" ht="41.75" hidden="false" customHeight="false" outlineLevel="0" collapsed="false">
      <c r="A256" s="0" t="s">
        <v>3524</v>
      </c>
      <c r="B256" s="0" t="s">
        <v>3945</v>
      </c>
      <c r="C256" s="0" t="s">
        <v>4166</v>
      </c>
      <c r="D256" s="14" t="s">
        <v>4168</v>
      </c>
      <c r="E256" s="14" t="s">
        <v>3944</v>
      </c>
    </row>
    <row r="257" customFormat="false" ht="55.2" hidden="false" customHeight="false" outlineLevel="0" collapsed="false">
      <c r="A257" s="0" t="s">
        <v>3025</v>
      </c>
      <c r="B257" s="0" t="s">
        <v>3942</v>
      </c>
      <c r="C257" s="14" t="s">
        <v>4169</v>
      </c>
      <c r="D257" s="14" t="s">
        <v>4170</v>
      </c>
      <c r="E257" s="14" t="s">
        <v>3944</v>
      </c>
    </row>
    <row r="258" customFormat="false" ht="55.2" hidden="false" customHeight="false" outlineLevel="0" collapsed="false">
      <c r="A258" s="0" t="s">
        <v>3004</v>
      </c>
      <c r="B258" s="0" t="s">
        <v>3945</v>
      </c>
      <c r="C258" s="14" t="s">
        <v>4169</v>
      </c>
      <c r="D258" s="14" t="s">
        <v>4171</v>
      </c>
      <c r="E258" s="14" t="s">
        <v>3944</v>
      </c>
    </row>
    <row r="259" customFormat="false" ht="41.75" hidden="false" customHeight="false" outlineLevel="0" collapsed="false">
      <c r="A259" s="0" t="s">
        <v>2835</v>
      </c>
      <c r="B259" s="0" t="s">
        <v>3942</v>
      </c>
      <c r="C259" s="0" t="s">
        <v>4172</v>
      </c>
      <c r="D259" s="0" t="s">
        <v>2836</v>
      </c>
      <c r="E259" s="14" t="s">
        <v>4173</v>
      </c>
    </row>
    <row r="260" customFormat="false" ht="41.75" hidden="false" customHeight="false" outlineLevel="0" collapsed="false">
      <c r="A260" s="0" t="s">
        <v>2943</v>
      </c>
      <c r="B260" s="0" t="s">
        <v>3945</v>
      </c>
      <c r="C260" s="0" t="s">
        <v>4172</v>
      </c>
      <c r="D260" s="0" t="s">
        <v>2944</v>
      </c>
      <c r="E260" s="14" t="s">
        <v>4011</v>
      </c>
    </row>
    <row r="261" customFormat="false" ht="41.75" hidden="false" customHeight="false" outlineLevel="0" collapsed="false">
      <c r="A261" s="0" t="s">
        <v>2829</v>
      </c>
      <c r="B261" s="0" t="s">
        <v>3942</v>
      </c>
      <c r="C261" s="14" t="s">
        <v>4174</v>
      </c>
      <c r="D261" s="14" t="s">
        <v>4175</v>
      </c>
      <c r="E261" s="14" t="s">
        <v>4176</v>
      </c>
    </row>
    <row r="262" customFormat="false" ht="41.75" hidden="false" customHeight="false" outlineLevel="0" collapsed="false">
      <c r="A262" s="0" t="s">
        <v>2744</v>
      </c>
      <c r="B262" s="0" t="s">
        <v>3945</v>
      </c>
      <c r="C262" s="14" t="s">
        <v>4174</v>
      </c>
      <c r="D262" s="14" t="s">
        <v>4177</v>
      </c>
      <c r="E262" s="14" t="s">
        <v>4011</v>
      </c>
    </row>
    <row r="263" customFormat="false" ht="41.75" hidden="false" customHeight="false" outlineLevel="0" collapsed="false">
      <c r="A263" s="0" t="s">
        <v>3371</v>
      </c>
      <c r="B263" s="0" t="s">
        <v>3952</v>
      </c>
      <c r="C263" s="0" t="s">
        <v>4178</v>
      </c>
      <c r="D263" s="14" t="s">
        <v>4179</v>
      </c>
      <c r="E263" s="14" t="s">
        <v>3944</v>
      </c>
    </row>
    <row r="264" customFormat="false" ht="41.75" hidden="false" customHeight="false" outlineLevel="0" collapsed="false">
      <c r="A264" s="0" t="s">
        <v>3373</v>
      </c>
      <c r="B264" s="0" t="s">
        <v>3956</v>
      </c>
      <c r="C264" s="0" t="s">
        <v>4178</v>
      </c>
      <c r="D264" s="14" t="s">
        <v>4180</v>
      </c>
      <c r="E264" s="14" t="s">
        <v>3944</v>
      </c>
    </row>
    <row r="265" customFormat="false" ht="55.2" hidden="false" customHeight="false" outlineLevel="0" collapsed="false">
      <c r="A265" s="0" t="s">
        <v>2724</v>
      </c>
      <c r="B265" s="0" t="s">
        <v>3970</v>
      </c>
      <c r="C265" s="0" t="s">
        <v>4181</v>
      </c>
      <c r="D265" s="14" t="s">
        <v>4182</v>
      </c>
      <c r="E265" s="0" t="s">
        <v>3973</v>
      </c>
    </row>
    <row r="266" customFormat="false" ht="55.2" hidden="false" customHeight="false" outlineLevel="0" collapsed="false">
      <c r="A266" s="0" t="s">
        <v>2726</v>
      </c>
      <c r="B266" s="0" t="s">
        <v>3974</v>
      </c>
      <c r="C266" s="0" t="s">
        <v>4181</v>
      </c>
      <c r="D266" s="14" t="s">
        <v>4183</v>
      </c>
      <c r="E266" s="0" t="s">
        <v>3973</v>
      </c>
    </row>
    <row r="267" customFormat="false" ht="41.75" hidden="false" customHeight="false" outlineLevel="0" collapsed="false">
      <c r="A267" s="0" t="s">
        <v>2889</v>
      </c>
      <c r="B267" s="0" t="s">
        <v>3942</v>
      </c>
      <c r="C267" s="14" t="s">
        <v>4184</v>
      </c>
      <c r="D267" s="14" t="s">
        <v>4185</v>
      </c>
      <c r="E267" s="14" t="s">
        <v>3944</v>
      </c>
    </row>
    <row r="268" customFormat="false" ht="41.75" hidden="false" customHeight="false" outlineLevel="0" collapsed="false">
      <c r="A268" s="0" t="s">
        <v>2917</v>
      </c>
      <c r="B268" s="0" t="s">
        <v>3945</v>
      </c>
      <c r="C268" s="14" t="s">
        <v>4184</v>
      </c>
      <c r="D268" s="14" t="s">
        <v>4186</v>
      </c>
      <c r="E268" s="14" t="s">
        <v>3944</v>
      </c>
    </row>
    <row r="269" customFormat="false" ht="28.35" hidden="false" customHeight="false" outlineLevel="0" collapsed="false">
      <c r="A269" s="0" t="s">
        <v>2675</v>
      </c>
      <c r="B269" s="0" t="s">
        <v>3952</v>
      </c>
      <c r="C269" s="14" t="s">
        <v>4187</v>
      </c>
      <c r="D269" s="0" t="s">
        <v>2676</v>
      </c>
      <c r="E269" s="14" t="s">
        <v>3944</v>
      </c>
    </row>
    <row r="270" customFormat="false" ht="28.35" hidden="false" customHeight="false" outlineLevel="0" collapsed="false">
      <c r="A270" s="0" t="s">
        <v>2778</v>
      </c>
      <c r="B270" s="0" t="s">
        <v>3956</v>
      </c>
      <c r="C270" s="14" t="s">
        <v>4187</v>
      </c>
      <c r="D270" s="0" t="s">
        <v>2779</v>
      </c>
      <c r="E270" s="14" t="s">
        <v>3944</v>
      </c>
    </row>
    <row r="271" customFormat="false" ht="68.65" hidden="false" customHeight="false" outlineLevel="0" collapsed="false">
      <c r="A271" s="0" t="s">
        <v>3396</v>
      </c>
      <c r="B271" s="0" t="s">
        <v>3970</v>
      </c>
      <c r="C271" s="0" t="s">
        <v>4188</v>
      </c>
      <c r="D271" s="14" t="s">
        <v>4189</v>
      </c>
      <c r="E271" s="0" t="s">
        <v>3973</v>
      </c>
    </row>
    <row r="272" customFormat="false" ht="68.65" hidden="false" customHeight="false" outlineLevel="0" collapsed="false">
      <c r="A272" s="0" t="s">
        <v>3415</v>
      </c>
      <c r="B272" s="0" t="s">
        <v>3974</v>
      </c>
      <c r="C272" s="0" t="s">
        <v>4188</v>
      </c>
      <c r="D272" s="14" t="s">
        <v>4190</v>
      </c>
      <c r="E272" s="0" t="s">
        <v>3973</v>
      </c>
    </row>
    <row r="273" customFormat="false" ht="28.35" hidden="false" customHeight="false" outlineLevel="0" collapsed="false">
      <c r="A273" s="0" t="s">
        <v>2682</v>
      </c>
      <c r="B273" s="0" t="s">
        <v>3942</v>
      </c>
      <c r="C273" s="0" t="s">
        <v>4191</v>
      </c>
      <c r="D273" s="0" t="s">
        <v>2684</v>
      </c>
      <c r="E273" s="14" t="s">
        <v>3944</v>
      </c>
    </row>
    <row r="274" customFormat="false" ht="28.35" hidden="false" customHeight="false" outlineLevel="0" collapsed="false">
      <c r="A274" s="0" t="s">
        <v>2785</v>
      </c>
      <c r="B274" s="0" t="s">
        <v>3945</v>
      </c>
      <c r="C274" s="0" t="s">
        <v>4191</v>
      </c>
      <c r="D274" s="0" t="s">
        <v>2787</v>
      </c>
      <c r="E274" s="14" t="s">
        <v>3944</v>
      </c>
    </row>
    <row r="275" customFormat="false" ht="41.75" hidden="false" customHeight="false" outlineLevel="0" collapsed="false">
      <c r="A275" s="0" t="s">
        <v>1905</v>
      </c>
      <c r="B275" s="0" t="s">
        <v>3942</v>
      </c>
      <c r="C275" s="0" t="s">
        <v>4192</v>
      </c>
      <c r="D275" s="14" t="s">
        <v>4193</v>
      </c>
      <c r="E275" s="14" t="s">
        <v>4011</v>
      </c>
    </row>
    <row r="276" customFormat="false" ht="41.75" hidden="false" customHeight="false" outlineLevel="0" collapsed="false">
      <c r="A276" s="0" t="s">
        <v>1956</v>
      </c>
      <c r="B276" s="0" t="s">
        <v>3945</v>
      </c>
      <c r="C276" s="0" t="s">
        <v>4192</v>
      </c>
      <c r="D276" s="14" t="s">
        <v>4194</v>
      </c>
      <c r="E276" s="14" t="s">
        <v>4011</v>
      </c>
    </row>
    <row r="277" customFormat="false" ht="41.75" hidden="false" customHeight="false" outlineLevel="0" collapsed="false">
      <c r="A277" s="0" t="s">
        <v>2387</v>
      </c>
      <c r="B277" s="0" t="s">
        <v>3942</v>
      </c>
      <c r="C277" s="14" t="s">
        <v>4195</v>
      </c>
      <c r="D277" s="14" t="s">
        <v>4196</v>
      </c>
      <c r="E277" s="14" t="s">
        <v>3944</v>
      </c>
    </row>
    <row r="278" customFormat="false" ht="41.75" hidden="false" customHeight="false" outlineLevel="0" collapsed="false">
      <c r="A278" s="0" t="s">
        <v>2449</v>
      </c>
      <c r="B278" s="0" t="s">
        <v>3945</v>
      </c>
      <c r="C278" s="14" t="s">
        <v>4195</v>
      </c>
      <c r="D278" s="14" t="s">
        <v>4197</v>
      </c>
      <c r="E278" s="14" t="s">
        <v>3944</v>
      </c>
    </row>
    <row r="279" customFormat="false" ht="41.75" hidden="false" customHeight="false" outlineLevel="0" collapsed="false">
      <c r="A279" s="0" t="s">
        <v>2562</v>
      </c>
      <c r="B279" s="0" t="s">
        <v>3942</v>
      </c>
      <c r="C279" s="0" t="s">
        <v>4198</v>
      </c>
      <c r="D279" s="14" t="s">
        <v>4199</v>
      </c>
      <c r="E279" s="14" t="s">
        <v>4011</v>
      </c>
    </row>
    <row r="280" customFormat="false" ht="41.75" hidden="false" customHeight="false" outlineLevel="0" collapsed="false">
      <c r="A280" s="0" t="s">
        <v>2565</v>
      </c>
      <c r="B280" s="0" t="s">
        <v>3945</v>
      </c>
      <c r="C280" s="0" t="s">
        <v>4198</v>
      </c>
      <c r="D280" s="14" t="s">
        <v>4200</v>
      </c>
      <c r="E280" s="14" t="s">
        <v>4176</v>
      </c>
    </row>
    <row r="281" customFormat="false" ht="41.75" hidden="false" customHeight="false" outlineLevel="0" collapsed="false">
      <c r="A281" s="0" t="s">
        <v>2677</v>
      </c>
      <c r="B281" s="0" t="s">
        <v>4201</v>
      </c>
      <c r="C281" s="14" t="s">
        <v>4202</v>
      </c>
      <c r="D281" s="14" t="s">
        <v>4203</v>
      </c>
      <c r="E281" s="14" t="s">
        <v>4204</v>
      </c>
    </row>
    <row r="282" customFormat="false" ht="41.75" hidden="false" customHeight="false" outlineLevel="0" collapsed="false">
      <c r="A282" s="0" t="s">
        <v>2780</v>
      </c>
      <c r="B282" s="0" t="s">
        <v>4205</v>
      </c>
      <c r="C282" s="14" t="s">
        <v>4202</v>
      </c>
      <c r="D282" s="14" t="s">
        <v>4206</v>
      </c>
      <c r="E282" s="14" t="s">
        <v>4204</v>
      </c>
    </row>
    <row r="283" customFormat="false" ht="41.75" hidden="false" customHeight="false" outlineLevel="0" collapsed="false">
      <c r="A283" s="0" t="s">
        <v>2680</v>
      </c>
      <c r="B283" s="0" t="s">
        <v>4201</v>
      </c>
      <c r="C283" s="14" t="s">
        <v>4202</v>
      </c>
      <c r="D283" s="14" t="s">
        <v>4207</v>
      </c>
      <c r="E283" s="14" t="s">
        <v>4208</v>
      </c>
    </row>
    <row r="284" customFormat="false" ht="41.75" hidden="false" customHeight="false" outlineLevel="0" collapsed="false">
      <c r="A284" s="0" t="s">
        <v>2877</v>
      </c>
      <c r="B284" s="0" t="s">
        <v>4205</v>
      </c>
      <c r="C284" s="14" t="s">
        <v>4202</v>
      </c>
      <c r="D284" s="14" t="s">
        <v>4209</v>
      </c>
      <c r="E284" s="14" t="s">
        <v>4208</v>
      </c>
    </row>
    <row r="285" customFormat="false" ht="122.35" hidden="false" customHeight="false" outlineLevel="0" collapsed="false">
      <c r="A285" s="0" t="s">
        <v>2557</v>
      </c>
      <c r="B285" s="0" t="s">
        <v>3942</v>
      </c>
      <c r="C285" s="14" t="s">
        <v>4210</v>
      </c>
      <c r="D285" s="14" t="s">
        <v>4211</v>
      </c>
      <c r="E285" s="14" t="s">
        <v>3944</v>
      </c>
    </row>
    <row r="286" customFormat="false" ht="122.35" hidden="false" customHeight="false" outlineLevel="0" collapsed="false">
      <c r="A286" s="0" t="s">
        <v>2621</v>
      </c>
      <c r="B286" s="0" t="s">
        <v>3945</v>
      </c>
      <c r="C286" s="14" t="s">
        <v>4210</v>
      </c>
      <c r="D286" s="14" t="s">
        <v>4212</v>
      </c>
      <c r="E286" s="14" t="s">
        <v>3944</v>
      </c>
    </row>
    <row r="287" customFormat="false" ht="28.35" hidden="false" customHeight="false" outlineLevel="0" collapsed="false">
      <c r="A287" s="0" t="s">
        <v>3226</v>
      </c>
      <c r="B287" s="0" t="s">
        <v>3942</v>
      </c>
      <c r="C287" s="0" t="s">
        <v>4213</v>
      </c>
      <c r="D287" s="0" t="s">
        <v>3227</v>
      </c>
      <c r="E287" s="14" t="s">
        <v>3944</v>
      </c>
    </row>
    <row r="288" customFormat="false" ht="28.35" hidden="false" customHeight="false" outlineLevel="0" collapsed="false">
      <c r="A288" s="0" t="s">
        <v>3256</v>
      </c>
      <c r="B288" s="0" t="s">
        <v>3945</v>
      </c>
      <c r="C288" s="0" t="s">
        <v>4213</v>
      </c>
      <c r="D288" s="0" t="s">
        <v>3257</v>
      </c>
      <c r="E288" s="14" t="s">
        <v>3944</v>
      </c>
    </row>
    <row r="289" customFormat="false" ht="68.65" hidden="false" customHeight="false" outlineLevel="0" collapsed="false">
      <c r="A289" s="0" t="s">
        <v>2575</v>
      </c>
      <c r="B289" s="0" t="s">
        <v>4214</v>
      </c>
      <c r="C289" s="14" t="s">
        <v>4215</v>
      </c>
      <c r="E289" s="14" t="s">
        <v>4216</v>
      </c>
    </row>
    <row r="290" customFormat="false" ht="68.65" hidden="false" customHeight="false" outlineLevel="0" collapsed="false">
      <c r="A290" s="0" t="s">
        <v>3165</v>
      </c>
      <c r="B290" s="0" t="s">
        <v>4214</v>
      </c>
      <c r="C290" s="14" t="s">
        <v>4217</v>
      </c>
      <c r="E290" s="14" t="s">
        <v>4216</v>
      </c>
    </row>
    <row r="291" customFormat="false" ht="162.65" hidden="false" customHeight="false" outlineLevel="0" collapsed="false">
      <c r="A291" s="0" t="s">
        <v>2577</v>
      </c>
      <c r="B291" s="0" t="s">
        <v>4214</v>
      </c>
      <c r="C291" s="14" t="s">
        <v>4218</v>
      </c>
      <c r="E291" s="14" t="s">
        <v>4216</v>
      </c>
    </row>
    <row r="292" customFormat="false" ht="41.75" hidden="false" customHeight="false" outlineLevel="0" collapsed="false">
      <c r="A292" s="0" t="s">
        <v>3228</v>
      </c>
      <c r="B292" s="0" t="s">
        <v>4219</v>
      </c>
      <c r="C292" s="14" t="s">
        <v>4220</v>
      </c>
      <c r="E292" s="14" t="s">
        <v>4221</v>
      </c>
    </row>
    <row r="293" customFormat="false" ht="95.5" hidden="false" customHeight="false" outlineLevel="0" collapsed="false">
      <c r="A293" s="0" t="s">
        <v>2579</v>
      </c>
      <c r="B293" s="0" t="s">
        <v>4219</v>
      </c>
      <c r="C293" s="14" t="s">
        <v>4222</v>
      </c>
      <c r="E293" s="14" t="s">
        <v>4221</v>
      </c>
    </row>
    <row r="294" customFormat="false" ht="95.5" hidden="false" customHeight="false" outlineLevel="0" collapsed="false">
      <c r="A294" s="0" t="s">
        <v>3055</v>
      </c>
      <c r="B294" s="0" t="s">
        <v>4223</v>
      </c>
      <c r="C294" s="14" t="s">
        <v>4224</v>
      </c>
      <c r="E294" s="14" t="s">
        <v>4225</v>
      </c>
    </row>
    <row r="295" customFormat="false" ht="41.75" hidden="false" customHeight="false" outlineLevel="0" collapsed="false">
      <c r="A295" s="0" t="s">
        <v>2343</v>
      </c>
      <c r="B295" s="0" t="s">
        <v>3942</v>
      </c>
      <c r="C295" s="0" t="s">
        <v>4226</v>
      </c>
      <c r="D295" s="0" t="s">
        <v>2345</v>
      </c>
      <c r="E295" s="14" t="s">
        <v>4011</v>
      </c>
    </row>
    <row r="296" customFormat="false" ht="41.75" hidden="false" customHeight="false" outlineLevel="0" collapsed="false">
      <c r="A296" s="0" t="s">
        <v>2232</v>
      </c>
      <c r="B296" s="0" t="s">
        <v>3945</v>
      </c>
      <c r="C296" s="0" t="s">
        <v>4226</v>
      </c>
      <c r="D296" s="0" t="s">
        <v>2234</v>
      </c>
      <c r="E296" s="14" t="s">
        <v>4011</v>
      </c>
    </row>
    <row r="297" customFormat="false" ht="55.2" hidden="false" customHeight="false" outlineLevel="0" collapsed="false">
      <c r="A297" s="0" t="s">
        <v>1935</v>
      </c>
      <c r="B297" s="0" t="s">
        <v>3942</v>
      </c>
      <c r="C297" s="14" t="s">
        <v>4227</v>
      </c>
      <c r="D297" s="0" t="s">
        <v>1936</v>
      </c>
      <c r="E297" s="14" t="s">
        <v>3944</v>
      </c>
    </row>
    <row r="298" customFormat="false" ht="55.2" hidden="false" customHeight="false" outlineLevel="0" collapsed="false">
      <c r="A298" s="0" t="s">
        <v>1937</v>
      </c>
      <c r="B298" s="0" t="s">
        <v>3945</v>
      </c>
      <c r="C298" s="14" t="s">
        <v>4227</v>
      </c>
      <c r="D298" s="0" t="s">
        <v>1938</v>
      </c>
      <c r="E298" s="14" t="s">
        <v>3944</v>
      </c>
    </row>
    <row r="299" customFormat="false" ht="41.75" hidden="false" customHeight="false" outlineLevel="0" collapsed="false">
      <c r="A299" s="0" t="s">
        <v>1898</v>
      </c>
      <c r="B299" s="0" t="s">
        <v>3942</v>
      </c>
      <c r="C299" s="14" t="s">
        <v>4228</v>
      </c>
      <c r="E299" s="14" t="s">
        <v>4229</v>
      </c>
    </row>
    <row r="300" customFormat="false" ht="41.75" hidden="false" customHeight="false" outlineLevel="0" collapsed="false">
      <c r="A300" s="0" t="s">
        <v>1981</v>
      </c>
      <c r="B300" s="0" t="s">
        <v>3945</v>
      </c>
      <c r="C300" s="14" t="s">
        <v>4228</v>
      </c>
      <c r="E300" s="14" t="s">
        <v>4230</v>
      </c>
    </row>
    <row r="301" customFormat="false" ht="28.35" hidden="false" customHeight="false" outlineLevel="0" collapsed="false">
      <c r="A301" s="0" t="s">
        <v>2788</v>
      </c>
      <c r="B301" s="0" t="s">
        <v>3942</v>
      </c>
      <c r="C301" s="0" t="s">
        <v>4231</v>
      </c>
      <c r="D301" s="0" t="s">
        <v>2789</v>
      </c>
      <c r="E301" s="14" t="s">
        <v>3944</v>
      </c>
    </row>
    <row r="302" customFormat="false" ht="28.35" hidden="false" customHeight="false" outlineLevel="0" collapsed="false">
      <c r="A302" s="0" t="s">
        <v>2897</v>
      </c>
      <c r="B302" s="0" t="s">
        <v>3945</v>
      </c>
      <c r="C302" s="0" t="s">
        <v>4231</v>
      </c>
      <c r="D302" s="0" t="s">
        <v>2898</v>
      </c>
      <c r="E302" s="14" t="s">
        <v>3944</v>
      </c>
    </row>
    <row r="303" customFormat="false" ht="28.35" hidden="false" customHeight="false" outlineLevel="0" collapsed="false">
      <c r="A303" s="0" t="s">
        <v>2256</v>
      </c>
      <c r="B303" s="0" t="s">
        <v>3942</v>
      </c>
      <c r="C303" s="0" t="s">
        <v>4232</v>
      </c>
      <c r="E303" s="14" t="s">
        <v>3944</v>
      </c>
    </row>
    <row r="304" customFormat="false" ht="28.35" hidden="false" customHeight="false" outlineLevel="0" collapsed="false">
      <c r="A304" s="0" t="s">
        <v>2078</v>
      </c>
      <c r="B304" s="0" t="s">
        <v>3945</v>
      </c>
      <c r="C304" s="0" t="s">
        <v>4232</v>
      </c>
      <c r="E304" s="14" t="s">
        <v>3944</v>
      </c>
    </row>
    <row r="305" customFormat="false" ht="28.35" hidden="false" customHeight="false" outlineLevel="0" collapsed="false">
      <c r="A305" s="0" t="s">
        <v>2015</v>
      </c>
      <c r="B305" s="0" t="s">
        <v>3942</v>
      </c>
      <c r="C305" s="0" t="s">
        <v>4233</v>
      </c>
      <c r="E305" s="14" t="s">
        <v>3944</v>
      </c>
    </row>
    <row r="306" customFormat="false" ht="28.35" hidden="false" customHeight="false" outlineLevel="0" collapsed="false">
      <c r="A306" s="0" t="s">
        <v>1985</v>
      </c>
      <c r="B306" s="0" t="s">
        <v>3945</v>
      </c>
      <c r="C306" s="0" t="s">
        <v>4233</v>
      </c>
      <c r="E306" s="14" t="s">
        <v>3944</v>
      </c>
    </row>
    <row r="307" customFormat="false" ht="28.35" hidden="false" customHeight="false" outlineLevel="0" collapsed="false">
      <c r="A307" s="0" t="s">
        <v>2881</v>
      </c>
      <c r="B307" s="0" t="s">
        <v>3952</v>
      </c>
      <c r="C307" s="0" t="s">
        <v>4234</v>
      </c>
      <c r="D307" s="14" t="s">
        <v>4235</v>
      </c>
      <c r="E307" s="14" t="s">
        <v>3944</v>
      </c>
    </row>
    <row r="308" customFormat="false" ht="28.35" hidden="false" customHeight="false" outlineLevel="0" collapsed="false">
      <c r="A308" s="0" t="s">
        <v>2706</v>
      </c>
      <c r="B308" s="0" t="s">
        <v>3956</v>
      </c>
      <c r="C308" s="0" t="s">
        <v>4234</v>
      </c>
      <c r="D308" s="14" t="s">
        <v>4236</v>
      </c>
      <c r="E308" s="14" t="s">
        <v>3944</v>
      </c>
    </row>
    <row r="309" customFormat="false" ht="28.35" hidden="false" customHeight="false" outlineLevel="0" collapsed="false">
      <c r="A309" s="0" t="s">
        <v>2605</v>
      </c>
      <c r="B309" s="0" t="s">
        <v>3942</v>
      </c>
      <c r="C309" s="0" t="s">
        <v>4234</v>
      </c>
      <c r="D309" s="0" t="s">
        <v>2606</v>
      </c>
      <c r="E309" s="14" t="s">
        <v>3944</v>
      </c>
    </row>
    <row r="310" customFormat="false" ht="28.35" hidden="false" customHeight="false" outlineLevel="0" collapsed="false">
      <c r="A310" s="0" t="s">
        <v>2839</v>
      </c>
      <c r="B310" s="0" t="s">
        <v>3945</v>
      </c>
      <c r="C310" s="0" t="s">
        <v>4234</v>
      </c>
      <c r="D310" s="0" t="s">
        <v>2840</v>
      </c>
      <c r="E310" s="14" t="s">
        <v>4237</v>
      </c>
    </row>
    <row r="311" customFormat="false" ht="28.35" hidden="false" customHeight="false" outlineLevel="0" collapsed="false">
      <c r="A311" s="0" t="s">
        <v>3126</v>
      </c>
      <c r="B311" s="0" t="s">
        <v>3942</v>
      </c>
      <c r="C311" s="14" t="s">
        <v>4238</v>
      </c>
      <c r="E311" s="14" t="s">
        <v>3944</v>
      </c>
    </row>
    <row r="312" customFormat="false" ht="28.35" hidden="false" customHeight="false" outlineLevel="0" collapsed="false">
      <c r="A312" s="0" t="s">
        <v>2765</v>
      </c>
      <c r="B312" s="0" t="s">
        <v>3945</v>
      </c>
      <c r="C312" s="14" t="s">
        <v>4238</v>
      </c>
      <c r="E312" s="14" t="s">
        <v>4237</v>
      </c>
    </row>
    <row r="313" customFormat="false" ht="28.35" hidden="false" customHeight="false" outlineLevel="0" collapsed="false">
      <c r="A313" s="0" t="s">
        <v>3141</v>
      </c>
      <c r="B313" s="0" t="s">
        <v>3942</v>
      </c>
      <c r="C313" s="14" t="s">
        <v>4239</v>
      </c>
      <c r="D313" s="0" t="s">
        <v>3142</v>
      </c>
      <c r="E313" s="14" t="s">
        <v>4237</v>
      </c>
    </row>
    <row r="314" customFormat="false" ht="28.35" hidden="false" customHeight="false" outlineLevel="0" collapsed="false">
      <c r="A314" s="0" t="s">
        <v>3006</v>
      </c>
      <c r="B314" s="0" t="s">
        <v>3945</v>
      </c>
      <c r="C314" s="14" t="s">
        <v>4239</v>
      </c>
      <c r="D314" s="0" t="s">
        <v>3007</v>
      </c>
      <c r="E314" s="14" t="s">
        <v>3944</v>
      </c>
    </row>
    <row r="315" customFormat="false" ht="28.35" hidden="false" customHeight="false" outlineLevel="0" collapsed="false">
      <c r="A315" s="0" t="s">
        <v>1908</v>
      </c>
      <c r="B315" s="0" t="s">
        <v>3942</v>
      </c>
      <c r="C315" s="14" t="s">
        <v>4240</v>
      </c>
      <c r="D315" s="0" t="s">
        <v>1910</v>
      </c>
      <c r="E315" s="14" t="s">
        <v>3944</v>
      </c>
    </row>
    <row r="316" customFormat="false" ht="28.35" hidden="false" customHeight="false" outlineLevel="0" collapsed="false">
      <c r="A316" s="0" t="s">
        <v>1958</v>
      </c>
      <c r="B316" s="0" t="s">
        <v>3945</v>
      </c>
      <c r="C316" s="14" t="s">
        <v>4240</v>
      </c>
      <c r="D316" s="0" t="s">
        <v>1960</v>
      </c>
      <c r="E316" s="14" t="s">
        <v>3944</v>
      </c>
    </row>
    <row r="317" customFormat="false" ht="41.75" hidden="false" customHeight="false" outlineLevel="0" collapsed="false">
      <c r="A317" s="0" t="s">
        <v>2317</v>
      </c>
      <c r="B317" s="0" t="s">
        <v>3942</v>
      </c>
      <c r="C317" s="14" t="s">
        <v>4241</v>
      </c>
      <c r="D317" s="14" t="s">
        <v>4242</v>
      </c>
      <c r="E317" s="14" t="s">
        <v>3944</v>
      </c>
    </row>
    <row r="318" customFormat="false" ht="41.75" hidden="false" customHeight="false" outlineLevel="0" collapsed="false">
      <c r="A318" s="0" t="s">
        <v>2230</v>
      </c>
      <c r="B318" s="0" t="s">
        <v>3945</v>
      </c>
      <c r="C318" s="14" t="s">
        <v>4241</v>
      </c>
      <c r="D318" s="14" t="s">
        <v>4243</v>
      </c>
      <c r="E318" s="14" t="s">
        <v>3944</v>
      </c>
    </row>
    <row r="319" customFormat="false" ht="28.35" hidden="false" customHeight="false" outlineLevel="0" collapsed="false">
      <c r="A319" s="0" t="s">
        <v>2269</v>
      </c>
      <c r="B319" s="0" t="s">
        <v>3942</v>
      </c>
      <c r="C319" s="0" t="s">
        <v>4244</v>
      </c>
      <c r="D319" s="0" t="s">
        <v>2270</v>
      </c>
      <c r="E319" s="14" t="s">
        <v>3944</v>
      </c>
    </row>
    <row r="320" customFormat="false" ht="28.35" hidden="false" customHeight="false" outlineLevel="0" collapsed="false">
      <c r="A320" s="0" t="s">
        <v>2076</v>
      </c>
      <c r="B320" s="0" t="s">
        <v>3945</v>
      </c>
      <c r="C320" s="0" t="s">
        <v>4244</v>
      </c>
      <c r="D320" s="0" t="s">
        <v>2077</v>
      </c>
      <c r="E320" s="14" t="s">
        <v>3944</v>
      </c>
    </row>
    <row r="321" customFormat="false" ht="28.35" hidden="false" customHeight="false" outlineLevel="0" collapsed="false">
      <c r="A321" s="0" t="s">
        <v>2899</v>
      </c>
      <c r="B321" s="0" t="s">
        <v>3942</v>
      </c>
      <c r="C321" s="0" t="s">
        <v>4245</v>
      </c>
      <c r="E321" s="14" t="s">
        <v>3944</v>
      </c>
    </row>
    <row r="322" customFormat="false" ht="28.35" hidden="false" customHeight="false" outlineLevel="0" collapsed="false">
      <c r="A322" s="0" t="s">
        <v>2728</v>
      </c>
      <c r="B322" s="0" t="s">
        <v>3945</v>
      </c>
      <c r="C322" s="0" t="s">
        <v>4245</v>
      </c>
      <c r="E322" s="14" t="s">
        <v>4237</v>
      </c>
    </row>
    <row r="323" customFormat="false" ht="55.2" hidden="false" customHeight="false" outlineLevel="0" collapsed="false">
      <c r="A323" s="0" t="s">
        <v>33</v>
      </c>
      <c r="B323" s="0" t="s">
        <v>35</v>
      </c>
      <c r="C323" s="0" t="s">
        <v>4246</v>
      </c>
      <c r="D323" s="14" t="s">
        <v>4247</v>
      </c>
      <c r="E323" s="14" t="s">
        <v>4248</v>
      </c>
    </row>
    <row r="324" customFormat="false" ht="82.05" hidden="false" customHeight="false" outlineLevel="0" collapsed="false">
      <c r="A324" s="0" t="s">
        <v>40</v>
      </c>
      <c r="B324" s="0" t="s">
        <v>35</v>
      </c>
      <c r="C324" s="14" t="s">
        <v>4249</v>
      </c>
      <c r="D324" s="14" t="s">
        <v>4250</v>
      </c>
      <c r="E324" s="14" t="s">
        <v>4251</v>
      </c>
    </row>
    <row r="325" customFormat="false" ht="68.65" hidden="false" customHeight="false" outlineLevel="0" collapsed="false">
      <c r="A325" s="0" t="s">
        <v>256</v>
      </c>
      <c r="B325" s="0" t="s">
        <v>35</v>
      </c>
      <c r="C325" s="14" t="s">
        <v>4252</v>
      </c>
      <c r="D325" s="14" t="s">
        <v>4253</v>
      </c>
      <c r="E325" s="14" t="s">
        <v>4254</v>
      </c>
    </row>
    <row r="326" customFormat="false" ht="82.05" hidden="false" customHeight="false" outlineLevel="0" collapsed="false">
      <c r="A326" s="0" t="s">
        <v>538</v>
      </c>
      <c r="B326" s="0" t="s">
        <v>35</v>
      </c>
      <c r="C326" s="0" t="s">
        <v>4255</v>
      </c>
      <c r="E326" s="14" t="s">
        <v>4256</v>
      </c>
    </row>
    <row r="327" customFormat="false" ht="68.65" hidden="false" customHeight="false" outlineLevel="0" collapsed="false">
      <c r="A327" s="0" t="s">
        <v>631</v>
      </c>
      <c r="B327" s="0" t="s">
        <v>35</v>
      </c>
      <c r="C327" s="14" t="s">
        <v>4257</v>
      </c>
      <c r="D327" s="14" t="s">
        <v>4258</v>
      </c>
      <c r="E327" s="14" t="s">
        <v>4259</v>
      </c>
    </row>
    <row r="328" customFormat="false" ht="95.5" hidden="false" customHeight="false" outlineLevel="0" collapsed="false">
      <c r="A328" s="0" t="s">
        <v>108</v>
      </c>
      <c r="B328" s="0" t="s">
        <v>35</v>
      </c>
      <c r="C328" s="14" t="s">
        <v>4260</v>
      </c>
      <c r="D328" s="14" t="s">
        <v>4261</v>
      </c>
      <c r="E328" s="14" t="s">
        <v>4262</v>
      </c>
    </row>
    <row r="329" customFormat="false" ht="95.5" hidden="false" customHeight="false" outlineLevel="0" collapsed="false">
      <c r="A329" s="0" t="s">
        <v>423</v>
      </c>
      <c r="B329" s="0" t="s">
        <v>35</v>
      </c>
      <c r="C329" s="14" t="s">
        <v>4260</v>
      </c>
      <c r="E329" s="14" t="s">
        <v>4263</v>
      </c>
    </row>
    <row r="330" customFormat="false" ht="68.65" hidden="false" customHeight="false" outlineLevel="0" collapsed="false">
      <c r="A330" s="0" t="s">
        <v>2476</v>
      </c>
      <c r="B330" s="0" t="s">
        <v>35</v>
      </c>
      <c r="C330" s="0" t="s">
        <v>4264</v>
      </c>
      <c r="E330" s="14" t="s">
        <v>4265</v>
      </c>
    </row>
    <row r="331" customFormat="false" ht="95.5" hidden="false" customHeight="false" outlineLevel="0" collapsed="false">
      <c r="A331" s="0" t="s">
        <v>67</v>
      </c>
      <c r="B331" s="0" t="s">
        <v>35</v>
      </c>
      <c r="C331" s="14" t="s">
        <v>4266</v>
      </c>
      <c r="D331" s="14" t="s">
        <v>4267</v>
      </c>
      <c r="E331" s="14" t="s">
        <v>4268</v>
      </c>
    </row>
    <row r="332" customFormat="false" ht="68.65" hidden="false" customHeight="false" outlineLevel="0" collapsed="false">
      <c r="A332" s="0" t="s">
        <v>1682</v>
      </c>
      <c r="B332" s="0" t="s">
        <v>35</v>
      </c>
      <c r="C332" s="14" t="s">
        <v>4269</v>
      </c>
      <c r="D332" s="0" t="s">
        <v>1683</v>
      </c>
      <c r="E332" s="14" t="s">
        <v>4270</v>
      </c>
    </row>
    <row r="333" customFormat="false" ht="82.05" hidden="false" customHeight="false" outlineLevel="0" collapsed="false">
      <c r="A333" s="0" t="s">
        <v>1094</v>
      </c>
      <c r="B333" s="0" t="s">
        <v>35</v>
      </c>
      <c r="C333" s="0" t="s">
        <v>4271</v>
      </c>
      <c r="E333" s="14" t="s">
        <v>4272</v>
      </c>
    </row>
    <row r="334" customFormat="false" ht="28.35" hidden="false" customHeight="false" outlineLevel="0" collapsed="false">
      <c r="A334" s="0" t="s">
        <v>2063</v>
      </c>
      <c r="B334" s="0" t="s">
        <v>35</v>
      </c>
      <c r="C334" s="0" t="s">
        <v>4273</v>
      </c>
      <c r="E334" s="14" t="s">
        <v>4274</v>
      </c>
    </row>
    <row r="335" customFormat="false" ht="95.5" hidden="false" customHeight="false" outlineLevel="0" collapsed="false">
      <c r="A335" s="0" t="s">
        <v>69</v>
      </c>
      <c r="B335" s="0" t="s">
        <v>35</v>
      </c>
      <c r="C335" s="14" t="s">
        <v>4275</v>
      </c>
      <c r="D335" s="14" t="s">
        <v>4276</v>
      </c>
      <c r="E335" s="14" t="s">
        <v>4268</v>
      </c>
    </row>
    <row r="336" customFormat="false" ht="68.65" hidden="false" customHeight="false" outlineLevel="0" collapsed="false">
      <c r="A336" s="0" t="s">
        <v>892</v>
      </c>
      <c r="B336" s="0" t="s">
        <v>35</v>
      </c>
      <c r="C336" s="14" t="s">
        <v>4277</v>
      </c>
      <c r="D336" s="14" t="s">
        <v>4278</v>
      </c>
      <c r="E336" s="14" t="s">
        <v>4279</v>
      </c>
    </row>
    <row r="337" customFormat="false" ht="82.05" hidden="false" customHeight="false" outlineLevel="0" collapsed="false">
      <c r="A337" s="0" t="s">
        <v>739</v>
      </c>
      <c r="B337" s="0" t="s">
        <v>35</v>
      </c>
      <c r="C337" s="0" t="s">
        <v>4280</v>
      </c>
      <c r="D337" s="14" t="s">
        <v>4281</v>
      </c>
      <c r="E337" s="14" t="s">
        <v>4282</v>
      </c>
    </row>
    <row r="338" customFormat="false" ht="82.05" hidden="false" customHeight="false" outlineLevel="0" collapsed="false">
      <c r="A338" s="0" t="s">
        <v>64</v>
      </c>
      <c r="B338" s="0" t="s">
        <v>35</v>
      </c>
      <c r="C338" s="14" t="s">
        <v>4283</v>
      </c>
      <c r="D338" s="14" t="s">
        <v>4284</v>
      </c>
      <c r="E338" s="14" t="s">
        <v>4285</v>
      </c>
    </row>
    <row r="339" customFormat="false" ht="95.5" hidden="false" customHeight="false" outlineLevel="0" collapsed="false">
      <c r="A339" s="0" t="s">
        <v>3206</v>
      </c>
      <c r="B339" s="0" t="s">
        <v>35</v>
      </c>
      <c r="C339" s="0" t="s">
        <v>4286</v>
      </c>
      <c r="E339" s="14" t="s">
        <v>4287</v>
      </c>
    </row>
    <row r="340" customFormat="false" ht="28.35" hidden="false" customHeight="false" outlineLevel="0" collapsed="false">
      <c r="A340" s="0" t="s">
        <v>1007</v>
      </c>
      <c r="B340" s="0" t="s">
        <v>35</v>
      </c>
      <c r="C340" s="14" t="s">
        <v>4288</v>
      </c>
      <c r="D340" s="0" t="s">
        <v>1008</v>
      </c>
      <c r="E340" s="0" t="s">
        <v>4289</v>
      </c>
    </row>
    <row r="341" customFormat="false" ht="82.05" hidden="false" customHeight="false" outlineLevel="0" collapsed="false">
      <c r="A341" s="0" t="s">
        <v>259</v>
      </c>
      <c r="B341" s="0" t="s">
        <v>35</v>
      </c>
      <c r="C341" s="14" t="s">
        <v>4290</v>
      </c>
      <c r="E341" s="14" t="s">
        <v>4291</v>
      </c>
    </row>
    <row r="342" customFormat="false" ht="55.2" hidden="false" customHeight="false" outlineLevel="0" collapsed="false">
      <c r="A342" s="0" t="s">
        <v>1002</v>
      </c>
      <c r="B342" s="0" t="s">
        <v>35</v>
      </c>
      <c r="C342" s="0" t="s">
        <v>4292</v>
      </c>
      <c r="E342" s="14" t="s">
        <v>4293</v>
      </c>
    </row>
    <row r="343" customFormat="false" ht="82.05" hidden="false" customHeight="false" outlineLevel="0" collapsed="false">
      <c r="A343" s="0" t="s">
        <v>770</v>
      </c>
      <c r="B343" s="0" t="s">
        <v>35</v>
      </c>
      <c r="C343" s="14" t="s">
        <v>4294</v>
      </c>
      <c r="D343" s="14" t="s">
        <v>4295</v>
      </c>
      <c r="E343" s="14" t="s">
        <v>4296</v>
      </c>
    </row>
    <row r="344" customFormat="false" ht="68.65" hidden="false" customHeight="false" outlineLevel="0" collapsed="false">
      <c r="A344" s="0" t="s">
        <v>716</v>
      </c>
      <c r="B344" s="0" t="s">
        <v>35</v>
      </c>
      <c r="C344" s="14" t="s">
        <v>4297</v>
      </c>
      <c r="E344" s="14" t="s">
        <v>4298</v>
      </c>
    </row>
    <row r="345" customFormat="false" ht="82.05" hidden="false" customHeight="false" outlineLevel="0" collapsed="false">
      <c r="A345" s="0" t="s">
        <v>79</v>
      </c>
      <c r="B345" s="0" t="s">
        <v>35</v>
      </c>
      <c r="C345" s="14" t="s">
        <v>4299</v>
      </c>
      <c r="D345" s="14" t="s">
        <v>4300</v>
      </c>
      <c r="E345" s="14" t="s">
        <v>4301</v>
      </c>
    </row>
    <row r="346" customFormat="false" ht="82.05" hidden="false" customHeight="false" outlineLevel="0" collapsed="false">
      <c r="A346" s="0" t="s">
        <v>399</v>
      </c>
      <c r="B346" s="0" t="s">
        <v>35</v>
      </c>
      <c r="C346" s="14" t="s">
        <v>3965</v>
      </c>
      <c r="D346" s="0" t="s">
        <v>400</v>
      </c>
      <c r="E346" s="14" t="s">
        <v>4302</v>
      </c>
    </row>
    <row r="347" customFormat="false" ht="68.65" hidden="false" customHeight="false" outlineLevel="0" collapsed="false">
      <c r="A347" s="0" t="s">
        <v>224</v>
      </c>
      <c r="B347" s="0" t="s">
        <v>35</v>
      </c>
      <c r="C347" s="14" t="s">
        <v>4303</v>
      </c>
      <c r="D347" s="14" t="s">
        <v>4304</v>
      </c>
      <c r="E347" s="14" t="s">
        <v>4305</v>
      </c>
    </row>
    <row r="348" customFormat="false" ht="95.5" hidden="false" customHeight="false" outlineLevel="0" collapsed="false">
      <c r="A348" s="0" t="s">
        <v>681</v>
      </c>
      <c r="B348" s="0" t="s">
        <v>35</v>
      </c>
      <c r="C348" s="14" t="s">
        <v>4306</v>
      </c>
      <c r="D348" s="14" t="s">
        <v>4307</v>
      </c>
      <c r="E348" s="14" t="s">
        <v>4308</v>
      </c>
    </row>
    <row r="349" customFormat="false" ht="82.05" hidden="false" customHeight="false" outlineLevel="0" collapsed="false">
      <c r="A349" s="0" t="s">
        <v>1335</v>
      </c>
      <c r="B349" s="0" t="s">
        <v>35</v>
      </c>
      <c r="C349" s="14" t="s">
        <v>4309</v>
      </c>
      <c r="D349" s="0" t="s">
        <v>1337</v>
      </c>
      <c r="E349" s="14" t="s">
        <v>4310</v>
      </c>
    </row>
    <row r="350" customFormat="false" ht="82.05" hidden="false" customHeight="false" outlineLevel="0" collapsed="false">
      <c r="A350" s="0" t="s">
        <v>885</v>
      </c>
      <c r="B350" s="0" t="s">
        <v>35</v>
      </c>
      <c r="C350" s="14" t="s">
        <v>4311</v>
      </c>
      <c r="D350" s="0" t="s">
        <v>887</v>
      </c>
      <c r="E350" s="14" t="s">
        <v>4312</v>
      </c>
    </row>
    <row r="351" customFormat="false" ht="82.05" hidden="false" customHeight="false" outlineLevel="0" collapsed="false">
      <c r="A351" s="0" t="s">
        <v>621</v>
      </c>
      <c r="B351" s="0" t="s">
        <v>35</v>
      </c>
      <c r="C351" s="14" t="s">
        <v>4313</v>
      </c>
      <c r="D351" s="14" t="s">
        <v>4314</v>
      </c>
      <c r="E351" s="14" t="s">
        <v>4315</v>
      </c>
    </row>
    <row r="352" customFormat="false" ht="68.65" hidden="false" customHeight="false" outlineLevel="0" collapsed="false">
      <c r="A352" s="0" t="s">
        <v>102</v>
      </c>
      <c r="B352" s="0" t="s">
        <v>35</v>
      </c>
      <c r="C352" s="14" t="s">
        <v>4316</v>
      </c>
      <c r="D352" s="14" t="s">
        <v>4317</v>
      </c>
      <c r="E352" s="14" t="s">
        <v>4318</v>
      </c>
    </row>
    <row r="353" customFormat="false" ht="68.65" hidden="false" customHeight="false" outlineLevel="0" collapsed="false">
      <c r="A353" s="0" t="s">
        <v>646</v>
      </c>
      <c r="B353" s="0" t="s">
        <v>35</v>
      </c>
      <c r="C353" s="14" t="s">
        <v>4319</v>
      </c>
      <c r="D353" s="14" t="s">
        <v>4320</v>
      </c>
      <c r="E353" s="14" t="s">
        <v>4321</v>
      </c>
    </row>
    <row r="354" customFormat="false" ht="82.05" hidden="false" customHeight="false" outlineLevel="0" collapsed="false">
      <c r="A354" s="0" t="s">
        <v>569</v>
      </c>
      <c r="B354" s="0" t="s">
        <v>35</v>
      </c>
      <c r="C354" s="14" t="s">
        <v>4322</v>
      </c>
      <c r="D354" s="14" t="s">
        <v>4323</v>
      </c>
      <c r="E354" s="14" t="s">
        <v>4324</v>
      </c>
    </row>
    <row r="355" customFormat="false" ht="68.65" hidden="false" customHeight="false" outlineLevel="0" collapsed="false">
      <c r="A355" s="0" t="s">
        <v>1352</v>
      </c>
      <c r="B355" s="0" t="s">
        <v>35</v>
      </c>
      <c r="C355" s="14" t="s">
        <v>4325</v>
      </c>
      <c r="D355" s="0" t="s">
        <v>1353</v>
      </c>
      <c r="E355" s="14" t="s">
        <v>4326</v>
      </c>
    </row>
    <row r="356" customFormat="false" ht="55.2" hidden="false" customHeight="false" outlineLevel="0" collapsed="false">
      <c r="A356" s="0" t="s">
        <v>293</v>
      </c>
      <c r="B356" s="0" t="s">
        <v>35</v>
      </c>
      <c r="C356" s="0" t="s">
        <v>4327</v>
      </c>
      <c r="E356" s="14" t="s">
        <v>4328</v>
      </c>
    </row>
    <row r="357" customFormat="false" ht="55.2" hidden="false" customHeight="false" outlineLevel="0" collapsed="false">
      <c r="A357" s="0" t="s">
        <v>266</v>
      </c>
      <c r="B357" s="0" t="s">
        <v>35</v>
      </c>
      <c r="C357" s="0" t="s">
        <v>4329</v>
      </c>
      <c r="D357" s="14" t="s">
        <v>4330</v>
      </c>
      <c r="E357" s="14" t="s">
        <v>4331</v>
      </c>
    </row>
    <row r="358" customFormat="false" ht="55.2" hidden="false" customHeight="false" outlineLevel="0" collapsed="false">
      <c r="A358" s="0" t="s">
        <v>1178</v>
      </c>
      <c r="B358" s="0" t="s">
        <v>35</v>
      </c>
      <c r="C358" s="14" t="s">
        <v>4332</v>
      </c>
      <c r="D358" s="14" t="s">
        <v>4333</v>
      </c>
      <c r="E358" s="14" t="s">
        <v>4334</v>
      </c>
    </row>
    <row r="359" customFormat="false" ht="82.05" hidden="false" customHeight="false" outlineLevel="0" collapsed="false">
      <c r="A359" s="0" t="s">
        <v>311</v>
      </c>
      <c r="B359" s="0" t="s">
        <v>35</v>
      </c>
      <c r="C359" s="14" t="s">
        <v>4335</v>
      </c>
      <c r="D359" s="14" t="s">
        <v>4336</v>
      </c>
      <c r="E359" s="14" t="s">
        <v>4337</v>
      </c>
    </row>
    <row r="360" customFormat="false" ht="68.65" hidden="false" customHeight="false" outlineLevel="0" collapsed="false">
      <c r="A360" s="0" t="s">
        <v>1260</v>
      </c>
      <c r="B360" s="0" t="s">
        <v>35</v>
      </c>
      <c r="C360" s="0" t="s">
        <v>4338</v>
      </c>
      <c r="D360" s="14" t="s">
        <v>4339</v>
      </c>
      <c r="E360" s="14" t="s">
        <v>4340</v>
      </c>
    </row>
    <row r="361" customFormat="false" ht="95.5" hidden="false" customHeight="false" outlineLevel="0" collapsed="false">
      <c r="A361" s="0" t="s">
        <v>237</v>
      </c>
      <c r="B361" s="0" t="s">
        <v>35</v>
      </c>
      <c r="C361" s="0" t="s">
        <v>4341</v>
      </c>
      <c r="D361" s="14" t="s">
        <v>4342</v>
      </c>
      <c r="E361" s="14" t="s">
        <v>4268</v>
      </c>
    </row>
    <row r="362" customFormat="false" ht="95.5" hidden="false" customHeight="false" outlineLevel="0" collapsed="false">
      <c r="A362" s="0" t="s">
        <v>976</v>
      </c>
      <c r="B362" s="0" t="s">
        <v>35</v>
      </c>
      <c r="C362" s="14" t="s">
        <v>4343</v>
      </c>
      <c r="D362" s="0" t="s">
        <v>977</v>
      </c>
      <c r="E362" s="14" t="s">
        <v>4344</v>
      </c>
    </row>
    <row r="363" customFormat="false" ht="55.2" hidden="false" customHeight="false" outlineLevel="0" collapsed="false">
      <c r="A363" s="0" t="s">
        <v>1293</v>
      </c>
      <c r="B363" s="0" t="s">
        <v>35</v>
      </c>
      <c r="C363" s="14" t="s">
        <v>4345</v>
      </c>
      <c r="D363" s="14" t="s">
        <v>4346</v>
      </c>
      <c r="E363" s="14" t="s">
        <v>4347</v>
      </c>
    </row>
    <row r="364" customFormat="false" ht="82.05" hidden="false" customHeight="false" outlineLevel="0" collapsed="false">
      <c r="A364" s="0" t="s">
        <v>811</v>
      </c>
      <c r="B364" s="0" t="s">
        <v>35</v>
      </c>
      <c r="C364" s="14" t="s">
        <v>4348</v>
      </c>
      <c r="D364" s="14" t="s">
        <v>4349</v>
      </c>
      <c r="E364" s="14" t="s">
        <v>4350</v>
      </c>
    </row>
    <row r="365" customFormat="false" ht="95.5" hidden="false" customHeight="false" outlineLevel="0" collapsed="false">
      <c r="A365" s="0" t="s">
        <v>549</v>
      </c>
      <c r="B365" s="0" t="s">
        <v>35</v>
      </c>
      <c r="C365" s="14" t="s">
        <v>4288</v>
      </c>
      <c r="D365" s="0" t="s">
        <v>550</v>
      </c>
      <c r="E365" s="14" t="s">
        <v>4351</v>
      </c>
    </row>
    <row r="366" customFormat="false" ht="82.05" hidden="false" customHeight="false" outlineLevel="0" collapsed="false">
      <c r="A366" s="0" t="s">
        <v>247</v>
      </c>
      <c r="B366" s="0" t="s">
        <v>35</v>
      </c>
      <c r="C366" s="14" t="s">
        <v>4352</v>
      </c>
      <c r="D366" s="14" t="s">
        <v>4353</v>
      </c>
      <c r="E366" s="14" t="s">
        <v>4354</v>
      </c>
    </row>
    <row r="367" customFormat="false" ht="82.05" hidden="false" customHeight="false" outlineLevel="0" collapsed="false">
      <c r="A367" s="0" t="s">
        <v>110</v>
      </c>
      <c r="B367" s="0" t="s">
        <v>35</v>
      </c>
      <c r="C367" s="14" t="s">
        <v>4355</v>
      </c>
      <c r="E367" s="14" t="s">
        <v>4256</v>
      </c>
    </row>
    <row r="368" customFormat="false" ht="82.05" hidden="false" customHeight="false" outlineLevel="0" collapsed="false">
      <c r="A368" s="0" t="s">
        <v>571</v>
      </c>
      <c r="B368" s="0" t="s">
        <v>35</v>
      </c>
      <c r="C368" s="14" t="s">
        <v>4355</v>
      </c>
      <c r="D368" s="14" t="s">
        <v>4356</v>
      </c>
      <c r="E368" s="14" t="s">
        <v>4357</v>
      </c>
    </row>
    <row r="369" customFormat="false" ht="68.65" hidden="false" customHeight="false" outlineLevel="0" collapsed="false">
      <c r="A369" s="0" t="s">
        <v>1487</v>
      </c>
      <c r="B369" s="0" t="s">
        <v>35</v>
      </c>
      <c r="C369" s="0" t="s">
        <v>4358</v>
      </c>
      <c r="D369" s="14" t="s">
        <v>4359</v>
      </c>
      <c r="E369" s="14" t="s">
        <v>4360</v>
      </c>
    </row>
    <row r="370" customFormat="false" ht="82.05" hidden="false" customHeight="false" outlineLevel="0" collapsed="false">
      <c r="A370" s="0" t="s">
        <v>291</v>
      </c>
      <c r="B370" s="0" t="s">
        <v>35</v>
      </c>
      <c r="C370" s="0" t="s">
        <v>4361</v>
      </c>
      <c r="D370" s="14" t="s">
        <v>4362</v>
      </c>
      <c r="E370" s="14" t="s">
        <v>4363</v>
      </c>
    </row>
    <row r="371" customFormat="false" ht="55.2" hidden="false" customHeight="false" outlineLevel="0" collapsed="false">
      <c r="A371" s="0" t="s">
        <v>1583</v>
      </c>
      <c r="B371" s="0" t="s">
        <v>35</v>
      </c>
      <c r="C371" s="0" t="s">
        <v>4364</v>
      </c>
      <c r="D371" s="14" t="s">
        <v>4365</v>
      </c>
      <c r="E371" s="14" t="s">
        <v>4366</v>
      </c>
    </row>
    <row r="372" customFormat="false" ht="95.5" hidden="false" customHeight="false" outlineLevel="0" collapsed="false">
      <c r="A372" s="0" t="s">
        <v>261</v>
      </c>
      <c r="B372" s="0" t="s">
        <v>35</v>
      </c>
      <c r="C372" s="14" t="s">
        <v>4367</v>
      </c>
      <c r="D372" s="14" t="s">
        <v>4368</v>
      </c>
      <c r="E372" s="14" t="s">
        <v>4369</v>
      </c>
    </row>
    <row r="373" customFormat="false" ht="68.65" hidden="false" customHeight="false" outlineLevel="0" collapsed="false">
      <c r="A373" s="0" t="s">
        <v>2411</v>
      </c>
      <c r="B373" s="0" t="s">
        <v>35</v>
      </c>
      <c r="C373" s="0" t="s">
        <v>4370</v>
      </c>
      <c r="E373" s="14" t="s">
        <v>4371</v>
      </c>
    </row>
    <row r="374" customFormat="false" ht="68.65" hidden="false" customHeight="false" outlineLevel="0" collapsed="false">
      <c r="A374" s="0" t="s">
        <v>298</v>
      </c>
      <c r="B374" s="0" t="s">
        <v>35</v>
      </c>
      <c r="C374" s="14" t="s">
        <v>4372</v>
      </c>
      <c r="D374" s="14" t="s">
        <v>4373</v>
      </c>
      <c r="E374" s="14" t="s">
        <v>4374</v>
      </c>
    </row>
    <row r="375" customFormat="false" ht="55.2" hidden="false" customHeight="false" outlineLevel="0" collapsed="false">
      <c r="A375" s="0" t="s">
        <v>1148</v>
      </c>
      <c r="B375" s="0" t="s">
        <v>35</v>
      </c>
      <c r="C375" s="0" t="s">
        <v>4375</v>
      </c>
      <c r="D375" s="0" t="s">
        <v>1149</v>
      </c>
      <c r="E375" s="14" t="s">
        <v>4376</v>
      </c>
    </row>
    <row r="376" customFormat="false" ht="15" hidden="false" customHeight="false" outlineLevel="0" collapsed="false">
      <c r="A376" s="0" t="s">
        <v>4377</v>
      </c>
      <c r="B376" s="0" t="s">
        <v>35</v>
      </c>
      <c r="C376" s="0" t="s">
        <v>4378</v>
      </c>
    </row>
    <row r="377" customFormat="false" ht="55.2" hidden="false" customHeight="false" outlineLevel="0" collapsed="false">
      <c r="A377" s="0" t="s">
        <v>1269</v>
      </c>
      <c r="B377" s="0" t="s">
        <v>35</v>
      </c>
      <c r="C377" s="0" t="s">
        <v>4379</v>
      </c>
      <c r="D377" s="0" t="s">
        <v>1270</v>
      </c>
      <c r="E377" s="14" t="s">
        <v>4380</v>
      </c>
    </row>
    <row r="378" customFormat="false" ht="95.5" hidden="false" customHeight="false" outlineLevel="0" collapsed="false">
      <c r="A378" s="0" t="s">
        <v>924</v>
      </c>
      <c r="B378" s="0" t="s">
        <v>35</v>
      </c>
      <c r="C378" s="14" t="s">
        <v>4381</v>
      </c>
      <c r="E378" s="14" t="s">
        <v>4382</v>
      </c>
    </row>
    <row r="379" customFormat="false" ht="55.2" hidden="false" customHeight="false" outlineLevel="0" collapsed="false">
      <c r="A379" s="0" t="s">
        <v>1845</v>
      </c>
      <c r="B379" s="0" t="s">
        <v>35</v>
      </c>
      <c r="C379" s="0" t="s">
        <v>4383</v>
      </c>
      <c r="E379" s="14" t="s">
        <v>4384</v>
      </c>
    </row>
    <row r="380" customFormat="false" ht="82.05" hidden="false" customHeight="false" outlineLevel="0" collapsed="false">
      <c r="A380" s="0" t="s">
        <v>1010</v>
      </c>
      <c r="B380" s="0" t="s">
        <v>35</v>
      </c>
      <c r="C380" s="14" t="s">
        <v>4385</v>
      </c>
      <c r="D380" s="14" t="s">
        <v>4386</v>
      </c>
      <c r="E380" s="14" t="s">
        <v>4387</v>
      </c>
    </row>
    <row r="381" customFormat="false" ht="68.65" hidden="false" customHeight="false" outlineLevel="0" collapsed="false">
      <c r="A381" s="0" t="s">
        <v>819</v>
      </c>
      <c r="B381" s="0" t="s">
        <v>35</v>
      </c>
      <c r="C381" s="14" t="s">
        <v>4388</v>
      </c>
      <c r="E381" s="14" t="s">
        <v>4389</v>
      </c>
    </row>
    <row r="382" customFormat="false" ht="68.65" hidden="false" customHeight="false" outlineLevel="0" collapsed="false">
      <c r="A382" s="0" t="s">
        <v>1118</v>
      </c>
      <c r="B382" s="0" t="s">
        <v>35</v>
      </c>
      <c r="C382" s="0" t="s">
        <v>4390</v>
      </c>
      <c r="E382" s="14" t="s">
        <v>4391</v>
      </c>
    </row>
    <row r="383" customFormat="false" ht="82.05" hidden="false" customHeight="false" outlineLevel="0" collapsed="false">
      <c r="A383" s="0" t="s">
        <v>931</v>
      </c>
      <c r="B383" s="0" t="s">
        <v>35</v>
      </c>
      <c r="C383" s="14" t="s">
        <v>4392</v>
      </c>
      <c r="E383" s="14" t="s">
        <v>4393</v>
      </c>
    </row>
    <row r="384" customFormat="false" ht="82.05" hidden="false" customHeight="false" outlineLevel="0" collapsed="false">
      <c r="A384" s="0" t="s">
        <v>849</v>
      </c>
      <c r="B384" s="0" t="s">
        <v>35</v>
      </c>
      <c r="C384" s="14" t="s">
        <v>4394</v>
      </c>
      <c r="E384" s="14" t="s">
        <v>4395</v>
      </c>
    </row>
    <row r="385" customFormat="false" ht="82.05" hidden="false" customHeight="false" outlineLevel="0" collapsed="false">
      <c r="A385" s="0" t="s">
        <v>1236</v>
      </c>
      <c r="B385" s="0" t="s">
        <v>35</v>
      </c>
      <c r="C385" s="0" t="s">
        <v>4396</v>
      </c>
      <c r="E385" s="14" t="s">
        <v>4397</v>
      </c>
    </row>
    <row r="386" customFormat="false" ht="82.05" hidden="false" customHeight="false" outlineLevel="0" collapsed="false">
      <c r="A386" s="0" t="s">
        <v>2144</v>
      </c>
      <c r="B386" s="0" t="s">
        <v>35</v>
      </c>
      <c r="C386" s="0" t="s">
        <v>4398</v>
      </c>
      <c r="E386" s="14" t="s">
        <v>4399</v>
      </c>
    </row>
    <row r="387" customFormat="false" ht="82.05" hidden="false" customHeight="false" outlineLevel="0" collapsed="false">
      <c r="A387" s="0" t="s">
        <v>1199</v>
      </c>
      <c r="B387" s="0" t="s">
        <v>35</v>
      </c>
      <c r="C387" s="0" t="s">
        <v>4398</v>
      </c>
      <c r="E387" s="14" t="s">
        <v>4400</v>
      </c>
    </row>
    <row r="388" customFormat="false" ht="55.2" hidden="false" customHeight="false" outlineLevel="0" collapsed="false">
      <c r="A388" s="0" t="s">
        <v>3259</v>
      </c>
      <c r="B388" s="0" t="s">
        <v>35</v>
      </c>
      <c r="C388" s="0" t="s">
        <v>4401</v>
      </c>
      <c r="E388" s="14" t="s">
        <v>4402</v>
      </c>
    </row>
    <row r="389" customFormat="false" ht="95.5" hidden="false" customHeight="false" outlineLevel="0" collapsed="false">
      <c r="A389" s="0" t="s">
        <v>1558</v>
      </c>
      <c r="B389" s="0" t="s">
        <v>35</v>
      </c>
      <c r="C389" s="14" t="s">
        <v>4403</v>
      </c>
      <c r="D389" s="14" t="s">
        <v>4404</v>
      </c>
      <c r="E389" s="14" t="s">
        <v>4405</v>
      </c>
    </row>
    <row r="390" customFormat="false" ht="55.2" hidden="false" customHeight="false" outlineLevel="0" collapsed="false">
      <c r="A390" s="0" t="s">
        <v>617</v>
      </c>
      <c r="B390" s="0" t="s">
        <v>35</v>
      </c>
      <c r="C390" s="14" t="s">
        <v>4406</v>
      </c>
      <c r="D390" s="14" t="s">
        <v>4407</v>
      </c>
      <c r="E390" s="14" t="s">
        <v>4408</v>
      </c>
    </row>
    <row r="391" customFormat="false" ht="68.65" hidden="false" customHeight="false" outlineLevel="0" collapsed="false">
      <c r="A391" s="0" t="s">
        <v>772</v>
      </c>
      <c r="B391" s="0" t="s">
        <v>35</v>
      </c>
      <c r="C391" s="14" t="s">
        <v>4409</v>
      </c>
      <c r="D391" s="14" t="s">
        <v>4410</v>
      </c>
      <c r="E391" s="14" t="s">
        <v>4318</v>
      </c>
    </row>
    <row r="392" customFormat="false" ht="68.65" hidden="false" customHeight="false" outlineLevel="0" collapsed="false">
      <c r="A392" s="0" t="s">
        <v>996</v>
      </c>
      <c r="B392" s="0" t="s">
        <v>35</v>
      </c>
      <c r="C392" s="14" t="s">
        <v>4411</v>
      </c>
      <c r="D392" s="14" t="s">
        <v>4412</v>
      </c>
      <c r="E392" s="14" t="s">
        <v>4413</v>
      </c>
    </row>
    <row r="393" customFormat="false" ht="68.65" hidden="false" customHeight="false" outlineLevel="0" collapsed="false">
      <c r="A393" s="0" t="s">
        <v>991</v>
      </c>
      <c r="B393" s="0" t="s">
        <v>35</v>
      </c>
      <c r="C393" s="14" t="s">
        <v>4409</v>
      </c>
      <c r="D393" s="0" t="s">
        <v>992</v>
      </c>
      <c r="E393" s="14" t="s">
        <v>4414</v>
      </c>
    </row>
    <row r="394" customFormat="false" ht="82.05" hidden="false" customHeight="false" outlineLevel="0" collapsed="false">
      <c r="A394" s="0" t="s">
        <v>51</v>
      </c>
      <c r="B394" s="0" t="s">
        <v>35</v>
      </c>
      <c r="C394" s="14" t="s">
        <v>4415</v>
      </c>
      <c r="D394" s="14" t="s">
        <v>4416</v>
      </c>
      <c r="E394" s="14" t="s">
        <v>4417</v>
      </c>
    </row>
    <row r="395" customFormat="false" ht="68.65" hidden="false" customHeight="false" outlineLevel="0" collapsed="false">
      <c r="A395" s="0" t="s">
        <v>216</v>
      </c>
      <c r="B395" s="0" t="s">
        <v>35</v>
      </c>
      <c r="C395" s="14" t="s">
        <v>4418</v>
      </c>
      <c r="D395" s="14" t="s">
        <v>4419</v>
      </c>
      <c r="E395" s="14" t="s">
        <v>4420</v>
      </c>
    </row>
    <row r="396" customFormat="false" ht="55.2" hidden="false" customHeight="false" outlineLevel="0" collapsed="false">
      <c r="A396" s="0" t="s">
        <v>2434</v>
      </c>
      <c r="B396" s="0" t="s">
        <v>35</v>
      </c>
      <c r="C396" s="0" t="s">
        <v>4421</v>
      </c>
      <c r="E396" s="14" t="s">
        <v>4422</v>
      </c>
    </row>
    <row r="397" customFormat="false" ht="68.65" hidden="false" customHeight="false" outlineLevel="0" collapsed="false">
      <c r="A397" s="0" t="s">
        <v>1475</v>
      </c>
      <c r="B397" s="0" t="s">
        <v>35</v>
      </c>
      <c r="C397" s="0" t="s">
        <v>4423</v>
      </c>
      <c r="D397" s="0" t="s">
        <v>1476</v>
      </c>
      <c r="E397" s="14" t="s">
        <v>4424</v>
      </c>
    </row>
    <row r="398" customFormat="false" ht="55.2" hidden="false" customHeight="false" outlineLevel="0" collapsed="false">
      <c r="A398" s="0" t="s">
        <v>1231</v>
      </c>
      <c r="B398" s="0" t="s">
        <v>35</v>
      </c>
      <c r="C398" s="0" t="s">
        <v>4425</v>
      </c>
      <c r="D398" s="0" t="s">
        <v>1232</v>
      </c>
      <c r="E398" s="14" t="s">
        <v>4426</v>
      </c>
    </row>
    <row r="399" customFormat="false" ht="68.65" hidden="false" customHeight="false" outlineLevel="0" collapsed="false">
      <c r="A399" s="0" t="s">
        <v>495</v>
      </c>
      <c r="B399" s="0" t="s">
        <v>35</v>
      </c>
      <c r="C399" s="14" t="s">
        <v>4427</v>
      </c>
      <c r="D399" s="0" t="s">
        <v>496</v>
      </c>
      <c r="E399" s="14" t="s">
        <v>4428</v>
      </c>
    </row>
    <row r="400" customFormat="false" ht="55.2" hidden="false" customHeight="false" outlineLevel="0" collapsed="false">
      <c r="A400" s="0" t="s">
        <v>1169</v>
      </c>
      <c r="B400" s="0" t="s">
        <v>35</v>
      </c>
      <c r="C400" s="0" t="s">
        <v>4429</v>
      </c>
      <c r="E400" s="14" t="s">
        <v>4430</v>
      </c>
    </row>
    <row r="401" customFormat="false" ht="82.05" hidden="false" customHeight="false" outlineLevel="0" collapsed="false">
      <c r="A401" s="0" t="s">
        <v>300</v>
      </c>
      <c r="B401" s="0" t="s">
        <v>35</v>
      </c>
      <c r="C401" s="14" t="s">
        <v>4431</v>
      </c>
      <c r="E401" s="14" t="s">
        <v>4432</v>
      </c>
    </row>
    <row r="402" customFormat="false" ht="68.65" hidden="false" customHeight="false" outlineLevel="0" collapsed="false">
      <c r="A402" s="0" t="s">
        <v>381</v>
      </c>
      <c r="B402" s="0" t="s">
        <v>35</v>
      </c>
      <c r="C402" s="14" t="s">
        <v>4433</v>
      </c>
      <c r="D402" s="14" t="s">
        <v>4434</v>
      </c>
      <c r="E402" s="14" t="s">
        <v>4262</v>
      </c>
    </row>
    <row r="403" customFormat="false" ht="82.05" hidden="false" customHeight="false" outlineLevel="0" collapsed="false">
      <c r="A403" s="0" t="s">
        <v>170</v>
      </c>
      <c r="B403" s="0" t="s">
        <v>35</v>
      </c>
      <c r="C403" s="14" t="s">
        <v>4435</v>
      </c>
      <c r="E403" s="14" t="s">
        <v>4256</v>
      </c>
    </row>
    <row r="404" customFormat="false" ht="68.65" hidden="false" customHeight="false" outlineLevel="0" collapsed="false">
      <c r="A404" s="0" t="s">
        <v>489</v>
      </c>
      <c r="B404" s="0" t="s">
        <v>35</v>
      </c>
      <c r="C404" s="14" t="s">
        <v>4436</v>
      </c>
      <c r="E404" s="14" t="s">
        <v>4437</v>
      </c>
    </row>
    <row r="405" customFormat="false" ht="108.95" hidden="false" customHeight="false" outlineLevel="0" collapsed="false">
      <c r="A405" s="0" t="s">
        <v>1079</v>
      </c>
      <c r="B405" s="0" t="s">
        <v>35</v>
      </c>
      <c r="C405" s="14" t="s">
        <v>4438</v>
      </c>
      <c r="E405" s="14" t="s">
        <v>4439</v>
      </c>
    </row>
    <row r="406" customFormat="false" ht="108.95" hidden="false" customHeight="false" outlineLevel="0" collapsed="false">
      <c r="A406" s="0" t="s">
        <v>316</v>
      </c>
      <c r="B406" s="0" t="s">
        <v>35</v>
      </c>
      <c r="C406" s="0" t="s">
        <v>4440</v>
      </c>
      <c r="D406" s="14" t="s">
        <v>4441</v>
      </c>
      <c r="E406" s="14" t="s">
        <v>4442</v>
      </c>
    </row>
    <row r="407" customFormat="false" ht="108.95" hidden="false" customHeight="false" outlineLevel="0" collapsed="false">
      <c r="A407" s="0" t="s">
        <v>417</v>
      </c>
      <c r="B407" s="0" t="s">
        <v>35</v>
      </c>
      <c r="C407" s="0" t="s">
        <v>4440</v>
      </c>
      <c r="D407" s="14" t="s">
        <v>4443</v>
      </c>
      <c r="E407" s="14" t="s">
        <v>4444</v>
      </c>
    </row>
    <row r="408" customFormat="false" ht="68.65" hidden="false" customHeight="false" outlineLevel="0" collapsed="false">
      <c r="A408" s="0" t="s">
        <v>84</v>
      </c>
      <c r="B408" s="0" t="s">
        <v>35</v>
      </c>
      <c r="C408" s="14" t="s">
        <v>4418</v>
      </c>
      <c r="D408" s="14" t="s">
        <v>4445</v>
      </c>
      <c r="E408" s="14" t="s">
        <v>4446</v>
      </c>
    </row>
    <row r="409" customFormat="false" ht="68.65" hidden="false" customHeight="false" outlineLevel="0" collapsed="false">
      <c r="A409" s="0" t="s">
        <v>601</v>
      </c>
      <c r="B409" s="0" t="s">
        <v>35</v>
      </c>
      <c r="C409" s="14" t="s">
        <v>4447</v>
      </c>
      <c r="E409" s="14" t="s">
        <v>4448</v>
      </c>
    </row>
    <row r="410" customFormat="false" ht="68.65" hidden="false" customHeight="false" outlineLevel="0" collapsed="false">
      <c r="A410" s="0" t="s">
        <v>141</v>
      </c>
      <c r="B410" s="0" t="s">
        <v>35</v>
      </c>
      <c r="C410" s="14" t="s">
        <v>4449</v>
      </c>
      <c r="D410" s="14" t="s">
        <v>4450</v>
      </c>
      <c r="E410" s="14" t="s">
        <v>4451</v>
      </c>
    </row>
    <row r="411" customFormat="false" ht="68.65" hidden="false" customHeight="false" outlineLevel="0" collapsed="false">
      <c r="A411" s="0" t="s">
        <v>573</v>
      </c>
      <c r="B411" s="0" t="s">
        <v>35</v>
      </c>
      <c r="C411" s="14" t="s">
        <v>4452</v>
      </c>
      <c r="E411" s="14" t="s">
        <v>4448</v>
      </c>
    </row>
    <row r="412" customFormat="false" ht="176.1" hidden="false" customHeight="false" outlineLevel="0" collapsed="false">
      <c r="A412" s="0" t="s">
        <v>73</v>
      </c>
      <c r="B412" s="0" t="s">
        <v>35</v>
      </c>
      <c r="C412" s="14" t="s">
        <v>4453</v>
      </c>
      <c r="D412" s="14" t="s">
        <v>4454</v>
      </c>
      <c r="E412" s="14" t="s">
        <v>4455</v>
      </c>
    </row>
    <row r="413" customFormat="false" ht="82.05" hidden="false" customHeight="false" outlineLevel="0" collapsed="false">
      <c r="A413" s="0" t="s">
        <v>424</v>
      </c>
      <c r="B413" s="0" t="s">
        <v>35</v>
      </c>
      <c r="C413" s="0" t="s">
        <v>4456</v>
      </c>
      <c r="D413" s="14" t="s">
        <v>4457</v>
      </c>
      <c r="E413" s="14" t="s">
        <v>4458</v>
      </c>
    </row>
    <row r="414" customFormat="false" ht="82.05" hidden="false" customHeight="false" outlineLevel="0" collapsed="false">
      <c r="A414" s="0" t="s">
        <v>59</v>
      </c>
      <c r="B414" s="0" t="s">
        <v>35</v>
      </c>
      <c r="C414" s="14" t="s">
        <v>4459</v>
      </c>
      <c r="D414" s="14" t="s">
        <v>4460</v>
      </c>
      <c r="E414" s="14" t="s">
        <v>4461</v>
      </c>
    </row>
    <row r="415" customFormat="false" ht="82.05" hidden="false" customHeight="false" outlineLevel="0" collapsed="false">
      <c r="A415" s="0" t="s">
        <v>802</v>
      </c>
      <c r="B415" s="0" t="s">
        <v>35</v>
      </c>
      <c r="C415" s="0" t="s">
        <v>4462</v>
      </c>
      <c r="E415" s="14" t="s">
        <v>4344</v>
      </c>
    </row>
    <row r="416" customFormat="false" ht="95.5" hidden="false" customHeight="false" outlineLevel="0" collapsed="false">
      <c r="A416" s="0" t="s">
        <v>476</v>
      </c>
      <c r="B416" s="0" t="s">
        <v>35</v>
      </c>
      <c r="C416" s="14" t="s">
        <v>4463</v>
      </c>
      <c r="D416" s="0" t="s">
        <v>477</v>
      </c>
      <c r="E416" s="14" t="s">
        <v>4464</v>
      </c>
    </row>
    <row r="417" customFormat="false" ht="108.95" hidden="false" customHeight="false" outlineLevel="0" collapsed="false">
      <c r="A417" s="0" t="s">
        <v>83</v>
      </c>
      <c r="B417" s="0" t="s">
        <v>35</v>
      </c>
      <c r="C417" s="14" t="s">
        <v>4465</v>
      </c>
      <c r="E417" s="14" t="s">
        <v>4466</v>
      </c>
    </row>
    <row r="418" customFormat="false" ht="122.35" hidden="false" customHeight="false" outlineLevel="0" collapsed="false">
      <c r="A418" s="0" t="s">
        <v>38</v>
      </c>
      <c r="B418" s="0" t="s">
        <v>35</v>
      </c>
      <c r="C418" s="14" t="s">
        <v>4467</v>
      </c>
      <c r="E418" s="14" t="s">
        <v>4468</v>
      </c>
    </row>
    <row r="419" customFormat="false" ht="95.5" hidden="false" customHeight="false" outlineLevel="0" collapsed="false">
      <c r="A419" s="0" t="s">
        <v>576</v>
      </c>
      <c r="B419" s="0" t="s">
        <v>35</v>
      </c>
      <c r="C419" s="14" t="s">
        <v>4469</v>
      </c>
      <c r="E419" s="14" t="s">
        <v>4470</v>
      </c>
    </row>
    <row r="420" customFormat="false" ht="95.5" hidden="false" customHeight="false" outlineLevel="0" collapsed="false">
      <c r="A420" s="0" t="s">
        <v>1086</v>
      </c>
      <c r="B420" s="0" t="s">
        <v>35</v>
      </c>
      <c r="C420" s="14" t="s">
        <v>4471</v>
      </c>
      <c r="E420" s="14" t="s">
        <v>4472</v>
      </c>
    </row>
    <row r="421" customFormat="false" ht="82.05" hidden="false" customHeight="false" outlineLevel="0" collapsed="false">
      <c r="A421" s="0" t="s">
        <v>1684</v>
      </c>
      <c r="B421" s="0" t="s">
        <v>35</v>
      </c>
      <c r="C421" s="14" t="s">
        <v>4471</v>
      </c>
      <c r="D421" s="0" t="s">
        <v>1685</v>
      </c>
      <c r="E421" s="14" t="s">
        <v>4473</v>
      </c>
    </row>
    <row r="422" customFormat="false" ht="95.5" hidden="false" customHeight="false" outlineLevel="0" collapsed="false">
      <c r="A422" s="0" t="s">
        <v>1465</v>
      </c>
      <c r="B422" s="0" t="s">
        <v>35</v>
      </c>
      <c r="C422" s="14" t="s">
        <v>4471</v>
      </c>
      <c r="D422" s="0" t="s">
        <v>1466</v>
      </c>
      <c r="E422" s="14" t="s">
        <v>4474</v>
      </c>
    </row>
    <row r="423" customFormat="false" ht="95.5" hidden="false" customHeight="false" outlineLevel="0" collapsed="false">
      <c r="A423" s="0" t="s">
        <v>1338</v>
      </c>
      <c r="B423" s="0" t="s">
        <v>35</v>
      </c>
      <c r="C423" s="14" t="s">
        <v>4471</v>
      </c>
      <c r="E423" s="14" t="s">
        <v>4475</v>
      </c>
    </row>
    <row r="424" customFormat="false" ht="82.05" hidden="false" customHeight="false" outlineLevel="0" collapsed="false">
      <c r="A424" s="0" t="s">
        <v>595</v>
      </c>
      <c r="B424" s="0" t="s">
        <v>35</v>
      </c>
      <c r="C424" s="14" t="s">
        <v>4476</v>
      </c>
      <c r="D424" s="14" t="s">
        <v>4477</v>
      </c>
      <c r="E424" s="14" t="s">
        <v>4478</v>
      </c>
    </row>
    <row r="425" customFormat="false" ht="68.65" hidden="false" customHeight="false" outlineLevel="0" collapsed="false">
      <c r="A425" s="0" t="s">
        <v>204</v>
      </c>
      <c r="B425" s="0" t="s">
        <v>35</v>
      </c>
      <c r="C425" s="14" t="s">
        <v>4479</v>
      </c>
      <c r="D425" s="14" t="s">
        <v>4480</v>
      </c>
      <c r="E425" s="14" t="s">
        <v>4481</v>
      </c>
    </row>
    <row r="426" customFormat="false" ht="82.05" hidden="false" customHeight="false" outlineLevel="0" collapsed="false">
      <c r="A426" s="0" t="s">
        <v>243</v>
      </c>
      <c r="B426" s="0" t="s">
        <v>35</v>
      </c>
      <c r="C426" s="14" t="s">
        <v>4482</v>
      </c>
      <c r="D426" s="14" t="s">
        <v>4483</v>
      </c>
      <c r="E426" s="14" t="s">
        <v>4484</v>
      </c>
    </row>
    <row r="427" customFormat="false" ht="82.05" hidden="false" customHeight="false" outlineLevel="0" collapsed="false">
      <c r="A427" s="0" t="s">
        <v>541</v>
      </c>
      <c r="B427" s="0" t="s">
        <v>35</v>
      </c>
      <c r="C427" s="0" t="s">
        <v>4462</v>
      </c>
      <c r="D427" s="14" t="s">
        <v>4485</v>
      </c>
      <c r="E427" s="14" t="s">
        <v>4486</v>
      </c>
    </row>
    <row r="428" customFormat="false" ht="68.65" hidden="false" customHeight="false" outlineLevel="0" collapsed="false">
      <c r="A428" s="0" t="s">
        <v>100</v>
      </c>
      <c r="B428" s="0" t="s">
        <v>35</v>
      </c>
      <c r="C428" s="14" t="s">
        <v>4487</v>
      </c>
      <c r="D428" s="14" t="s">
        <v>4488</v>
      </c>
      <c r="E428" s="14" t="s">
        <v>4489</v>
      </c>
    </row>
    <row r="429" customFormat="false" ht="95.5" hidden="false" customHeight="false" outlineLevel="0" collapsed="false">
      <c r="A429" s="0" t="s">
        <v>750</v>
      </c>
      <c r="B429" s="0" t="s">
        <v>35</v>
      </c>
      <c r="C429" s="14" t="s">
        <v>4490</v>
      </c>
      <c r="D429" s="14" t="s">
        <v>4491</v>
      </c>
      <c r="E429" s="14" t="s">
        <v>4492</v>
      </c>
    </row>
    <row r="430" customFormat="false" ht="82.05" hidden="false" customHeight="false" outlineLevel="0" collapsed="false">
      <c r="A430" s="0" t="s">
        <v>120</v>
      </c>
      <c r="B430" s="0" t="s">
        <v>35</v>
      </c>
      <c r="C430" s="14" t="s">
        <v>4493</v>
      </c>
      <c r="D430" s="14" t="s">
        <v>4494</v>
      </c>
      <c r="E430" s="14" t="s">
        <v>4495</v>
      </c>
    </row>
    <row r="431" customFormat="false" ht="95.5" hidden="false" customHeight="false" outlineLevel="0" collapsed="false">
      <c r="A431" s="0" t="s">
        <v>603</v>
      </c>
      <c r="B431" s="0" t="s">
        <v>35</v>
      </c>
      <c r="C431" s="14" t="s">
        <v>4496</v>
      </c>
      <c r="D431" s="0" t="s">
        <v>604</v>
      </c>
      <c r="E431" s="14" t="s">
        <v>4497</v>
      </c>
    </row>
    <row r="432" customFormat="false" ht="82.05" hidden="false" customHeight="false" outlineLevel="0" collapsed="false">
      <c r="A432" s="0" t="s">
        <v>481</v>
      </c>
      <c r="B432" s="0" t="s">
        <v>35</v>
      </c>
      <c r="C432" s="0" t="s">
        <v>4088</v>
      </c>
      <c r="E432" s="14" t="s">
        <v>4498</v>
      </c>
    </row>
    <row r="433" customFormat="false" ht="82.05" hidden="false" customHeight="false" outlineLevel="0" collapsed="false">
      <c r="A433" s="0" t="s">
        <v>853</v>
      </c>
      <c r="B433" s="0" t="s">
        <v>35</v>
      </c>
      <c r="C433" s="14" t="s">
        <v>4499</v>
      </c>
      <c r="E433" s="14" t="s">
        <v>4500</v>
      </c>
    </row>
    <row r="434" customFormat="false" ht="95.5" hidden="false" customHeight="false" outlineLevel="0" collapsed="false">
      <c r="A434" s="0" t="s">
        <v>1606</v>
      </c>
      <c r="B434" s="0" t="s">
        <v>35</v>
      </c>
      <c r="C434" s="0" t="s">
        <v>4501</v>
      </c>
      <c r="D434" s="0" t="s">
        <v>1607</v>
      </c>
      <c r="E434" s="14" t="s">
        <v>4502</v>
      </c>
    </row>
    <row r="435" customFormat="false" ht="82.05" hidden="false" customHeight="false" outlineLevel="0" collapsed="false">
      <c r="A435" s="0" t="s">
        <v>2019</v>
      </c>
      <c r="B435" s="0" t="s">
        <v>2021</v>
      </c>
      <c r="C435" s="14" t="s">
        <v>4503</v>
      </c>
      <c r="D435" s="0" t="s">
        <v>2022</v>
      </c>
      <c r="E435" s="14" t="s">
        <v>4504</v>
      </c>
    </row>
    <row r="436" customFormat="false" ht="68.65" hidden="false" customHeight="false" outlineLevel="0" collapsed="false">
      <c r="A436" s="0" t="s">
        <v>2315</v>
      </c>
      <c r="B436" s="0" t="s">
        <v>35</v>
      </c>
      <c r="C436" s="0" t="s">
        <v>4505</v>
      </c>
      <c r="D436" s="0" t="s">
        <v>2316</v>
      </c>
      <c r="E436" s="14" t="s">
        <v>4506</v>
      </c>
    </row>
    <row r="437" customFormat="false" ht="82.05" hidden="false" customHeight="false" outlineLevel="0" collapsed="false">
      <c r="A437" s="0" t="s">
        <v>2223</v>
      </c>
      <c r="B437" s="0" t="s">
        <v>35</v>
      </c>
      <c r="C437" s="0" t="s">
        <v>4505</v>
      </c>
      <c r="D437" s="0" t="s">
        <v>2224</v>
      </c>
      <c r="E437" s="14" t="s">
        <v>4507</v>
      </c>
    </row>
    <row r="438" customFormat="false" ht="82.05" hidden="false" customHeight="false" outlineLevel="0" collapsed="false">
      <c r="A438" s="0" t="s">
        <v>648</v>
      </c>
      <c r="B438" s="0" t="s">
        <v>35</v>
      </c>
      <c r="C438" s="14" t="s">
        <v>4508</v>
      </c>
      <c r="E438" s="14" t="s">
        <v>4509</v>
      </c>
    </row>
    <row r="439" customFormat="false" ht="68.65" hidden="false" customHeight="false" outlineLevel="0" collapsed="false">
      <c r="A439" s="0" t="s">
        <v>1560</v>
      </c>
      <c r="B439" s="0" t="s">
        <v>35</v>
      </c>
      <c r="C439" s="14" t="s">
        <v>4510</v>
      </c>
      <c r="D439" s="14" t="s">
        <v>4511</v>
      </c>
      <c r="E439" s="14" t="s">
        <v>4512</v>
      </c>
    </row>
    <row r="440" customFormat="false" ht="216.4" hidden="false" customHeight="false" outlineLevel="0" collapsed="false">
      <c r="A440" s="0" t="s">
        <v>478</v>
      </c>
      <c r="B440" s="0" t="s">
        <v>35</v>
      </c>
      <c r="C440" s="14" t="s">
        <v>4513</v>
      </c>
      <c r="D440" s="14" t="s">
        <v>4514</v>
      </c>
      <c r="E440" s="14" t="s">
        <v>4515</v>
      </c>
    </row>
    <row r="441" customFormat="false" ht="95.5" hidden="false" customHeight="false" outlineLevel="0" collapsed="false">
      <c r="A441" s="0" t="s">
        <v>493</v>
      </c>
      <c r="B441" s="0" t="s">
        <v>35</v>
      </c>
      <c r="C441" s="14" t="s">
        <v>4516</v>
      </c>
      <c r="D441" s="14" t="s">
        <v>4517</v>
      </c>
      <c r="E441" s="14" t="s">
        <v>4518</v>
      </c>
    </row>
    <row r="442" customFormat="false" ht="82.05" hidden="false" customHeight="false" outlineLevel="0" collapsed="false">
      <c r="A442" s="0" t="s">
        <v>858</v>
      </c>
      <c r="B442" s="0" t="s">
        <v>35</v>
      </c>
      <c r="C442" s="14" t="s">
        <v>4519</v>
      </c>
      <c r="D442" s="14" t="s">
        <v>4520</v>
      </c>
      <c r="E442" s="14" t="s">
        <v>4521</v>
      </c>
    </row>
    <row r="443" customFormat="false" ht="82.05" hidden="false" customHeight="false" outlineLevel="0" collapsed="false">
      <c r="A443" s="0" t="s">
        <v>533</v>
      </c>
      <c r="B443" s="0" t="s">
        <v>35</v>
      </c>
      <c r="C443" s="14" t="s">
        <v>4522</v>
      </c>
      <c r="D443" s="14" t="s">
        <v>4523</v>
      </c>
      <c r="E443" s="14" t="s">
        <v>4524</v>
      </c>
    </row>
    <row r="444" customFormat="false" ht="82.05" hidden="false" customHeight="false" outlineLevel="0" collapsed="false">
      <c r="A444" s="0" t="s">
        <v>389</v>
      </c>
      <c r="B444" s="0" t="s">
        <v>35</v>
      </c>
      <c r="C444" s="14" t="s">
        <v>4525</v>
      </c>
      <c r="D444" s="14" t="s">
        <v>4526</v>
      </c>
      <c r="E444" s="14" t="s">
        <v>4527</v>
      </c>
    </row>
    <row r="445" customFormat="false" ht="68.65" hidden="false" customHeight="false" outlineLevel="0" collapsed="false">
      <c r="A445" s="0" t="s">
        <v>401</v>
      </c>
      <c r="B445" s="0" t="s">
        <v>35</v>
      </c>
      <c r="C445" s="14" t="s">
        <v>4528</v>
      </c>
      <c r="D445" s="14" t="s">
        <v>4529</v>
      </c>
      <c r="E445" s="14" t="s">
        <v>4530</v>
      </c>
    </row>
    <row r="446" customFormat="false" ht="68.65" hidden="false" customHeight="false" outlineLevel="0" collapsed="false">
      <c r="A446" s="0" t="s">
        <v>351</v>
      </c>
      <c r="B446" s="0" t="s">
        <v>35</v>
      </c>
      <c r="C446" s="14" t="s">
        <v>3842</v>
      </c>
      <c r="E446" s="14" t="s">
        <v>4531</v>
      </c>
    </row>
    <row r="447" customFormat="false" ht="82.05" hidden="false" customHeight="false" outlineLevel="0" collapsed="false">
      <c r="A447" s="0" t="s">
        <v>1411</v>
      </c>
      <c r="B447" s="0" t="s">
        <v>35</v>
      </c>
      <c r="C447" s="14" t="s">
        <v>3842</v>
      </c>
      <c r="E447" s="14" t="s">
        <v>4532</v>
      </c>
    </row>
    <row r="448" customFormat="false" ht="82.05" hidden="false" customHeight="false" outlineLevel="0" collapsed="false">
      <c r="A448" s="0" t="s">
        <v>380</v>
      </c>
      <c r="B448" s="0" t="s">
        <v>35</v>
      </c>
      <c r="C448" s="0" t="s">
        <v>4533</v>
      </c>
      <c r="E448" s="14" t="s">
        <v>4534</v>
      </c>
    </row>
    <row r="449" customFormat="false" ht="82.05" hidden="false" customHeight="false" outlineLevel="0" collapsed="false">
      <c r="A449" s="0" t="s">
        <v>133</v>
      </c>
      <c r="B449" s="0" t="s">
        <v>35</v>
      </c>
      <c r="C449" s="0" t="s">
        <v>4535</v>
      </c>
      <c r="D449" s="14" t="s">
        <v>4536</v>
      </c>
      <c r="E449" s="14" t="s">
        <v>4537</v>
      </c>
    </row>
    <row r="450" customFormat="false" ht="82.05" hidden="false" customHeight="false" outlineLevel="0" collapsed="false">
      <c r="A450" s="0" t="s">
        <v>847</v>
      </c>
      <c r="B450" s="0" t="s">
        <v>35</v>
      </c>
      <c r="C450" s="14" t="s">
        <v>4538</v>
      </c>
      <c r="D450" s="14" t="s">
        <v>4539</v>
      </c>
      <c r="E450" s="14" t="s">
        <v>4540</v>
      </c>
    </row>
    <row r="451" customFormat="false" ht="95.5" hidden="false" customHeight="false" outlineLevel="0" collapsed="false">
      <c r="A451" s="0" t="s">
        <v>512</v>
      </c>
      <c r="B451" s="0" t="s">
        <v>35</v>
      </c>
      <c r="C451" s="14" t="s">
        <v>4541</v>
      </c>
      <c r="D451" s="14" t="s">
        <v>4542</v>
      </c>
      <c r="E451" s="14" t="s">
        <v>4543</v>
      </c>
    </row>
    <row r="452" customFormat="false" ht="95.5" hidden="false" customHeight="false" outlineLevel="0" collapsed="false">
      <c r="A452" s="0" t="s">
        <v>544</v>
      </c>
      <c r="B452" s="0" t="s">
        <v>35</v>
      </c>
      <c r="C452" s="14" t="s">
        <v>4544</v>
      </c>
      <c r="E452" s="14" t="s">
        <v>4545</v>
      </c>
    </row>
    <row r="453" customFormat="false" ht="108.95" hidden="false" customHeight="false" outlineLevel="0" collapsed="false">
      <c r="A453" s="0" t="s">
        <v>456</v>
      </c>
      <c r="B453" s="0" t="s">
        <v>35</v>
      </c>
      <c r="C453" s="14" t="s">
        <v>4546</v>
      </c>
      <c r="D453" s="14" t="s">
        <v>4547</v>
      </c>
      <c r="E453" s="14" t="s">
        <v>4548</v>
      </c>
    </row>
    <row r="454" customFormat="false" ht="82.05" hidden="false" customHeight="false" outlineLevel="0" collapsed="false">
      <c r="A454" s="0" t="s">
        <v>384</v>
      </c>
      <c r="B454" s="0" t="s">
        <v>35</v>
      </c>
      <c r="C454" s="0" t="s">
        <v>4549</v>
      </c>
      <c r="D454" s="14" t="s">
        <v>4550</v>
      </c>
      <c r="E454" s="14" t="s">
        <v>4551</v>
      </c>
    </row>
    <row r="455" customFormat="false" ht="122.35" hidden="false" customHeight="false" outlineLevel="0" collapsed="false">
      <c r="A455" s="0" t="s">
        <v>304</v>
      </c>
      <c r="B455" s="0" t="s">
        <v>35</v>
      </c>
      <c r="C455" s="14" t="s">
        <v>4552</v>
      </c>
      <c r="E455" s="14" t="s">
        <v>4553</v>
      </c>
    </row>
    <row r="456" customFormat="false" ht="108.95" hidden="false" customHeight="false" outlineLevel="0" collapsed="false">
      <c r="A456" s="0" t="s">
        <v>162</v>
      </c>
      <c r="B456" s="0" t="s">
        <v>35</v>
      </c>
      <c r="C456" s="14" t="s">
        <v>4552</v>
      </c>
      <c r="E456" s="14" t="s">
        <v>4554</v>
      </c>
    </row>
    <row r="457" customFormat="false" ht="95.5" hidden="false" customHeight="false" outlineLevel="0" collapsed="false">
      <c r="A457" s="0" t="s">
        <v>420</v>
      </c>
      <c r="B457" s="0" t="s">
        <v>35</v>
      </c>
      <c r="C457" s="14" t="s">
        <v>4552</v>
      </c>
      <c r="E457" s="14" t="s">
        <v>4555</v>
      </c>
    </row>
    <row r="458" customFormat="false" ht="82.05" hidden="false" customHeight="false" outlineLevel="0" collapsed="false">
      <c r="A458" s="0" t="s">
        <v>55</v>
      </c>
      <c r="B458" s="0" t="s">
        <v>35</v>
      </c>
      <c r="C458" s="14" t="s">
        <v>4556</v>
      </c>
      <c r="D458" s="14" t="s">
        <v>4557</v>
      </c>
      <c r="E458" s="14" t="s">
        <v>4558</v>
      </c>
    </row>
    <row r="459" customFormat="false" ht="95.5" hidden="false" customHeight="false" outlineLevel="0" collapsed="false">
      <c r="A459" s="0" t="s">
        <v>2362</v>
      </c>
      <c r="B459" s="0" t="s">
        <v>35</v>
      </c>
      <c r="C459" s="14" t="s">
        <v>4559</v>
      </c>
      <c r="D459" s="14" t="s">
        <v>4560</v>
      </c>
      <c r="E459" s="14" t="s">
        <v>4561</v>
      </c>
    </row>
    <row r="460" customFormat="false" ht="108.95" hidden="false" customHeight="false" outlineLevel="0" collapsed="false">
      <c r="A460" s="0" t="s">
        <v>774</v>
      </c>
      <c r="B460" s="0" t="s">
        <v>35</v>
      </c>
      <c r="C460" s="14" t="s">
        <v>4562</v>
      </c>
      <c r="D460" s="14" t="s">
        <v>4563</v>
      </c>
      <c r="E460" s="14" t="s">
        <v>4564</v>
      </c>
    </row>
    <row r="461" customFormat="false" ht="68.65" hidden="false" customHeight="false" outlineLevel="0" collapsed="false">
      <c r="A461" s="0" t="s">
        <v>1111</v>
      </c>
      <c r="B461" s="0" t="s">
        <v>35</v>
      </c>
      <c r="C461" s="14" t="s">
        <v>4565</v>
      </c>
      <c r="D461" s="14" t="s">
        <v>4566</v>
      </c>
      <c r="E461" s="14" t="s">
        <v>4567</v>
      </c>
    </row>
    <row r="462" customFormat="false" ht="108.95" hidden="false" customHeight="false" outlineLevel="0" collapsed="false">
      <c r="A462" s="0" t="s">
        <v>275</v>
      </c>
      <c r="B462" s="0" t="s">
        <v>35</v>
      </c>
      <c r="C462" s="14" t="s">
        <v>4568</v>
      </c>
      <c r="E462" s="14" t="s">
        <v>4569</v>
      </c>
    </row>
    <row r="463" customFormat="false" ht="108.95" hidden="false" customHeight="false" outlineLevel="0" collapsed="false">
      <c r="A463" s="0" t="s">
        <v>430</v>
      </c>
      <c r="B463" s="0" t="s">
        <v>35</v>
      </c>
      <c r="C463" s="14" t="s">
        <v>4570</v>
      </c>
      <c r="E463" s="14" t="s">
        <v>4571</v>
      </c>
    </row>
    <row r="464" customFormat="false" ht="108.95" hidden="false" customHeight="false" outlineLevel="0" collapsed="false">
      <c r="A464" s="0" t="s">
        <v>1191</v>
      </c>
      <c r="B464" s="0" t="s">
        <v>35</v>
      </c>
      <c r="C464" s="14" t="s">
        <v>4568</v>
      </c>
      <c r="E464" s="14" t="s">
        <v>4572</v>
      </c>
    </row>
    <row r="465" customFormat="false" ht="108.95" hidden="false" customHeight="false" outlineLevel="0" collapsed="false">
      <c r="A465" s="0" t="s">
        <v>1170</v>
      </c>
      <c r="B465" s="0" t="s">
        <v>35</v>
      </c>
      <c r="C465" s="14" t="s">
        <v>4570</v>
      </c>
      <c r="E465" s="14" t="s">
        <v>4573</v>
      </c>
    </row>
    <row r="466" customFormat="false" ht="108.95" hidden="false" customHeight="false" outlineLevel="0" collapsed="false">
      <c r="A466" s="0" t="s">
        <v>320</v>
      </c>
      <c r="B466" s="0" t="s">
        <v>35</v>
      </c>
      <c r="C466" s="14" t="s">
        <v>4574</v>
      </c>
      <c r="D466" s="14" t="s">
        <v>4575</v>
      </c>
      <c r="E466" s="14" t="s">
        <v>4576</v>
      </c>
    </row>
    <row r="467" customFormat="false" ht="82.05" hidden="false" customHeight="false" outlineLevel="0" collapsed="false">
      <c r="A467" s="0" t="s">
        <v>421</v>
      </c>
      <c r="B467" s="0" t="s">
        <v>35</v>
      </c>
      <c r="C467" s="14" t="s">
        <v>4577</v>
      </c>
      <c r="E467" s="14" t="s">
        <v>4578</v>
      </c>
    </row>
    <row r="468" customFormat="false" ht="95.5" hidden="false" customHeight="false" outlineLevel="0" collapsed="false">
      <c r="A468" s="0" t="s">
        <v>302</v>
      </c>
      <c r="B468" s="0" t="s">
        <v>35</v>
      </c>
      <c r="C468" s="14" t="s">
        <v>4579</v>
      </c>
      <c r="E468" s="14" t="s">
        <v>4580</v>
      </c>
    </row>
    <row r="469" customFormat="false" ht="95.5" hidden="false" customHeight="false" outlineLevel="0" collapsed="false">
      <c r="A469" s="0" t="s">
        <v>888</v>
      </c>
      <c r="B469" s="0" t="s">
        <v>35</v>
      </c>
      <c r="C469" s="14" t="s">
        <v>4581</v>
      </c>
      <c r="E469" s="14" t="s">
        <v>4582</v>
      </c>
    </row>
    <row r="470" customFormat="false" ht="82.05" hidden="false" customHeight="false" outlineLevel="0" collapsed="false">
      <c r="A470" s="0" t="s">
        <v>1425</v>
      </c>
      <c r="B470" s="0" t="s">
        <v>35</v>
      </c>
      <c r="C470" s="14" t="s">
        <v>4583</v>
      </c>
      <c r="E470" s="14" t="s">
        <v>4584</v>
      </c>
    </row>
    <row r="471" customFormat="false" ht="108.95" hidden="false" customHeight="false" outlineLevel="0" collapsed="false">
      <c r="A471" s="0" t="s">
        <v>81</v>
      </c>
      <c r="B471" s="0" t="s">
        <v>35</v>
      </c>
      <c r="C471" s="14" t="s">
        <v>4585</v>
      </c>
      <c r="D471" s="14" t="s">
        <v>4586</v>
      </c>
      <c r="E471" s="14" t="s">
        <v>4587</v>
      </c>
    </row>
    <row r="472" customFormat="false" ht="108.95" hidden="false" customHeight="false" outlineLevel="0" collapsed="false">
      <c r="A472" s="0" t="s">
        <v>75</v>
      </c>
      <c r="B472" s="0" t="s">
        <v>35</v>
      </c>
      <c r="C472" s="14" t="s">
        <v>4588</v>
      </c>
      <c r="D472" s="14" t="s">
        <v>4589</v>
      </c>
      <c r="E472" s="14" t="s">
        <v>4543</v>
      </c>
    </row>
    <row r="473" customFormat="false" ht="108.95" hidden="false" customHeight="false" outlineLevel="0" collapsed="false">
      <c r="A473" s="0" t="s">
        <v>409</v>
      </c>
      <c r="B473" s="0" t="s">
        <v>35</v>
      </c>
      <c r="C473" s="14" t="s">
        <v>4590</v>
      </c>
      <c r="D473" s="14" t="s">
        <v>4591</v>
      </c>
      <c r="E473" s="14" t="s">
        <v>4592</v>
      </c>
    </row>
    <row r="474" customFormat="false" ht="122.35" hidden="false" customHeight="false" outlineLevel="0" collapsed="false">
      <c r="A474" s="0" t="s">
        <v>44</v>
      </c>
      <c r="B474" s="0" t="s">
        <v>4593</v>
      </c>
      <c r="C474" s="14" t="s">
        <v>4594</v>
      </c>
      <c r="D474" s="0" t="s">
        <v>47</v>
      </c>
      <c r="E474" s="14" t="s">
        <v>4595</v>
      </c>
    </row>
    <row r="475" customFormat="false" ht="95.5" hidden="false" customHeight="false" outlineLevel="0" collapsed="false">
      <c r="A475" s="0" t="s">
        <v>1227</v>
      </c>
      <c r="B475" s="0" t="s">
        <v>35</v>
      </c>
      <c r="C475" s="14" t="s">
        <v>4596</v>
      </c>
      <c r="E475" s="14" t="s">
        <v>4597</v>
      </c>
    </row>
    <row r="476" customFormat="false" ht="95.5" hidden="false" customHeight="false" outlineLevel="0" collapsed="false">
      <c r="A476" s="0" t="s">
        <v>418</v>
      </c>
      <c r="B476" s="0" t="s">
        <v>35</v>
      </c>
      <c r="C476" s="14" t="s">
        <v>4598</v>
      </c>
      <c r="D476" s="0" t="s">
        <v>419</v>
      </c>
      <c r="E476" s="14" t="s">
        <v>4599</v>
      </c>
    </row>
    <row r="477" customFormat="false" ht="108.95" hidden="false" customHeight="false" outlineLevel="0" collapsed="false">
      <c r="A477" s="0" t="s">
        <v>925</v>
      </c>
      <c r="B477" s="0" t="s">
        <v>35</v>
      </c>
      <c r="C477" s="14" t="s">
        <v>4600</v>
      </c>
      <c r="D477" s="0" t="s">
        <v>926</v>
      </c>
      <c r="E477" s="14" t="s">
        <v>4601</v>
      </c>
    </row>
    <row r="478" customFormat="false" ht="82.05" hidden="false" customHeight="false" outlineLevel="0" collapsed="false">
      <c r="A478" s="0" t="s">
        <v>253</v>
      </c>
      <c r="B478" s="0" t="s">
        <v>35</v>
      </c>
      <c r="C478" s="14" t="s">
        <v>3859</v>
      </c>
      <c r="E478" s="14" t="s">
        <v>4602</v>
      </c>
    </row>
    <row r="479" customFormat="false" ht="82.05" hidden="false" customHeight="false" outlineLevel="0" collapsed="false">
      <c r="A479" s="0" t="s">
        <v>1050</v>
      </c>
      <c r="B479" s="0" t="s">
        <v>35</v>
      </c>
      <c r="C479" s="14" t="s">
        <v>3859</v>
      </c>
      <c r="E479" s="14" t="s">
        <v>4603</v>
      </c>
    </row>
    <row r="480" customFormat="false" ht="95.5" hidden="false" customHeight="false" outlineLevel="0" collapsed="false">
      <c r="A480" s="0" t="s">
        <v>175</v>
      </c>
      <c r="B480" s="0" t="s">
        <v>35</v>
      </c>
      <c r="C480" s="14" t="s">
        <v>4604</v>
      </c>
      <c r="D480" s="14" t="s">
        <v>4605</v>
      </c>
      <c r="E480" s="14" t="s">
        <v>4606</v>
      </c>
    </row>
    <row r="481" customFormat="false" ht="95.5" hidden="false" customHeight="false" outlineLevel="0" collapsed="false">
      <c r="A481" s="0" t="s">
        <v>1022</v>
      </c>
      <c r="B481" s="0" t="s">
        <v>35</v>
      </c>
      <c r="C481" s="14" t="s">
        <v>4607</v>
      </c>
      <c r="D481" s="0" t="s">
        <v>1023</v>
      </c>
      <c r="E481" s="14" t="s">
        <v>4608</v>
      </c>
    </row>
    <row r="482" customFormat="false" ht="95.5" hidden="false" customHeight="false" outlineLevel="0" collapsed="false">
      <c r="A482" s="0" t="s">
        <v>856</v>
      </c>
      <c r="B482" s="0" t="s">
        <v>35</v>
      </c>
      <c r="C482" s="0" t="s">
        <v>4535</v>
      </c>
      <c r="D482" s="14" t="s">
        <v>4609</v>
      </c>
      <c r="E482" s="14" t="s">
        <v>4610</v>
      </c>
    </row>
    <row r="483" customFormat="false" ht="82.05" hidden="false" customHeight="false" outlineLevel="0" collapsed="false">
      <c r="A483" s="0" t="s">
        <v>209</v>
      </c>
      <c r="B483" s="0" t="s">
        <v>35</v>
      </c>
      <c r="C483" s="0" t="s">
        <v>4611</v>
      </c>
      <c r="D483" s="14" t="s">
        <v>4612</v>
      </c>
      <c r="E483" s="14" t="s">
        <v>4613</v>
      </c>
    </row>
    <row r="484" customFormat="false" ht="82.05" hidden="false" customHeight="false" outlineLevel="0" collapsed="false">
      <c r="A484" s="0" t="s">
        <v>1024</v>
      </c>
      <c r="B484" s="0" t="s">
        <v>35</v>
      </c>
      <c r="C484" s="0" t="s">
        <v>4614</v>
      </c>
      <c r="D484" s="14" t="s">
        <v>4615</v>
      </c>
      <c r="E484" s="14" t="s">
        <v>4616</v>
      </c>
    </row>
    <row r="485" customFormat="false" ht="82.05" hidden="false" customHeight="false" outlineLevel="0" collapsed="false">
      <c r="A485" s="0" t="s">
        <v>371</v>
      </c>
      <c r="B485" s="0" t="s">
        <v>35</v>
      </c>
      <c r="C485" s="0" t="s">
        <v>4617</v>
      </c>
      <c r="E485" s="14" t="s">
        <v>4618</v>
      </c>
    </row>
    <row r="486" customFormat="false" ht="82.05" hidden="false" customHeight="false" outlineLevel="0" collapsed="false">
      <c r="A486" s="0" t="s">
        <v>675</v>
      </c>
      <c r="B486" s="0" t="s">
        <v>35</v>
      </c>
      <c r="C486" s="0" t="s">
        <v>4619</v>
      </c>
      <c r="E486" s="14" t="s">
        <v>4618</v>
      </c>
    </row>
    <row r="487" customFormat="false" ht="68.65" hidden="false" customHeight="false" outlineLevel="0" collapsed="false">
      <c r="A487" s="0" t="s">
        <v>564</v>
      </c>
      <c r="B487" s="0" t="s">
        <v>35</v>
      </c>
      <c r="C487" s="14" t="s">
        <v>4427</v>
      </c>
      <c r="E487" s="14" t="s">
        <v>4620</v>
      </c>
    </row>
    <row r="488" customFormat="false" ht="95.5" hidden="false" customHeight="false" outlineLevel="0" collapsed="false">
      <c r="A488" s="0" t="s">
        <v>702</v>
      </c>
      <c r="B488" s="0" t="s">
        <v>35</v>
      </c>
      <c r="C488" s="14" t="s">
        <v>4621</v>
      </c>
      <c r="D488" s="14" t="s">
        <v>4622</v>
      </c>
      <c r="E488" s="14" t="s">
        <v>4623</v>
      </c>
    </row>
    <row r="489" customFormat="false" ht="55.2" hidden="false" customHeight="false" outlineLevel="0" collapsed="false">
      <c r="A489" s="0" t="s">
        <v>365</v>
      </c>
      <c r="B489" s="0" t="s">
        <v>35</v>
      </c>
      <c r="C489" s="14" t="s">
        <v>4624</v>
      </c>
      <c r="D489" s="0" t="s">
        <v>367</v>
      </c>
      <c r="E489" s="14" t="s">
        <v>4625</v>
      </c>
    </row>
    <row r="490" customFormat="false" ht="82.05" hidden="false" customHeight="false" outlineLevel="0" collapsed="false">
      <c r="A490" s="0" t="s">
        <v>190</v>
      </c>
      <c r="B490" s="0" t="s">
        <v>35</v>
      </c>
      <c r="C490" s="14" t="s">
        <v>4626</v>
      </c>
      <c r="E490" s="14" t="s">
        <v>4627</v>
      </c>
    </row>
    <row r="491" customFormat="false" ht="95.5" hidden="false" customHeight="false" outlineLevel="0" collapsed="false">
      <c r="A491" s="0" t="s">
        <v>568</v>
      </c>
      <c r="B491" s="0" t="s">
        <v>35</v>
      </c>
      <c r="C491" s="0" t="s">
        <v>4628</v>
      </c>
      <c r="E491" s="14" t="s">
        <v>4629</v>
      </c>
    </row>
    <row r="492" customFormat="false" ht="108.95" hidden="false" customHeight="false" outlineLevel="0" collapsed="false">
      <c r="A492" s="0" t="s">
        <v>665</v>
      </c>
      <c r="B492" s="0" t="s">
        <v>35</v>
      </c>
      <c r="C492" s="14" t="s">
        <v>4596</v>
      </c>
      <c r="E492" s="14" t="s">
        <v>4630</v>
      </c>
    </row>
    <row r="493" customFormat="false" ht="108.95" hidden="false" customHeight="false" outlineLevel="0" collapsed="false">
      <c r="A493" s="0" t="s">
        <v>491</v>
      </c>
      <c r="B493" s="0" t="s">
        <v>35</v>
      </c>
      <c r="C493" s="14" t="s">
        <v>4631</v>
      </c>
      <c r="D493" s="14" t="s">
        <v>4632</v>
      </c>
      <c r="E493" s="14" t="s">
        <v>4633</v>
      </c>
    </row>
    <row r="494" customFormat="false" ht="108.95" hidden="false" customHeight="false" outlineLevel="0" collapsed="false">
      <c r="A494" s="0" t="s">
        <v>884</v>
      </c>
      <c r="B494" s="0" t="s">
        <v>35</v>
      </c>
      <c r="C494" s="14" t="s">
        <v>4634</v>
      </c>
      <c r="E494" s="14" t="s">
        <v>4635</v>
      </c>
    </row>
    <row r="495" customFormat="false" ht="55.2" hidden="false" customHeight="false" outlineLevel="0" collapsed="false">
      <c r="A495" s="0" t="s">
        <v>1237</v>
      </c>
      <c r="B495" s="0" t="s">
        <v>35</v>
      </c>
      <c r="C495" s="14" t="s">
        <v>4636</v>
      </c>
      <c r="D495" s="14" t="s">
        <v>4637</v>
      </c>
      <c r="E495" s="14" t="s">
        <v>4366</v>
      </c>
    </row>
    <row r="496" customFormat="false" ht="108.95" hidden="false" customHeight="false" outlineLevel="0" collapsed="false">
      <c r="A496" s="0" t="s">
        <v>1254</v>
      </c>
      <c r="B496" s="0" t="s">
        <v>35</v>
      </c>
      <c r="C496" s="14" t="s">
        <v>4638</v>
      </c>
      <c r="D496" s="14" t="s">
        <v>4639</v>
      </c>
      <c r="E496" s="14" t="s">
        <v>4640</v>
      </c>
    </row>
    <row r="497" customFormat="false" ht="82.05" hidden="false" customHeight="false" outlineLevel="0" collapsed="false">
      <c r="A497" s="0" t="s">
        <v>318</v>
      </c>
      <c r="B497" s="0" t="s">
        <v>35</v>
      </c>
      <c r="C497" s="14" t="s">
        <v>4641</v>
      </c>
      <c r="D497" s="14" t="s">
        <v>4642</v>
      </c>
      <c r="E497" s="14" t="s">
        <v>4643</v>
      </c>
    </row>
    <row r="498" customFormat="false" ht="149.25" hidden="false" customHeight="false" outlineLevel="0" collapsed="false">
      <c r="A498" s="0" t="s">
        <v>211</v>
      </c>
      <c r="B498" s="0" t="s">
        <v>35</v>
      </c>
      <c r="C498" s="14" t="s">
        <v>4644</v>
      </c>
      <c r="D498" s="14" t="s">
        <v>4645</v>
      </c>
      <c r="E498" s="14" t="s">
        <v>4646</v>
      </c>
    </row>
    <row r="499" customFormat="false" ht="108.95" hidden="false" customHeight="false" outlineLevel="0" collapsed="false">
      <c r="A499" s="0" t="s">
        <v>1032</v>
      </c>
      <c r="B499" s="0" t="s">
        <v>35</v>
      </c>
      <c r="C499" s="14" t="s">
        <v>4634</v>
      </c>
      <c r="E499" s="14" t="s">
        <v>4647</v>
      </c>
    </row>
    <row r="500" customFormat="false" ht="95.5" hidden="false" customHeight="false" outlineLevel="0" collapsed="false">
      <c r="A500" s="0" t="s">
        <v>891</v>
      </c>
      <c r="B500" s="0" t="s">
        <v>35</v>
      </c>
      <c r="C500" s="14" t="s">
        <v>4648</v>
      </c>
      <c r="E500" s="14" t="s">
        <v>4649</v>
      </c>
    </row>
    <row r="501" customFormat="false" ht="95.5" hidden="false" customHeight="false" outlineLevel="0" collapsed="false">
      <c r="A501" s="0" t="s">
        <v>1102</v>
      </c>
      <c r="B501" s="0" t="s">
        <v>35</v>
      </c>
      <c r="C501" s="14" t="s">
        <v>4650</v>
      </c>
      <c r="E501" s="14" t="s">
        <v>4649</v>
      </c>
    </row>
    <row r="502" customFormat="false" ht="95.5" hidden="false" customHeight="false" outlineLevel="0" collapsed="false">
      <c r="A502" s="0" t="s">
        <v>1202</v>
      </c>
      <c r="B502" s="0" t="s">
        <v>35</v>
      </c>
      <c r="C502" s="14" t="s">
        <v>4651</v>
      </c>
      <c r="E502" s="14" t="s">
        <v>4652</v>
      </c>
    </row>
    <row r="503" customFormat="false" ht="82.05" hidden="false" customHeight="false" outlineLevel="0" collapsed="false">
      <c r="A503" s="0" t="s">
        <v>804</v>
      </c>
      <c r="B503" s="0" t="s">
        <v>35</v>
      </c>
      <c r="C503" s="0" t="s">
        <v>4653</v>
      </c>
      <c r="E503" s="14" t="s">
        <v>4654</v>
      </c>
    </row>
    <row r="504" customFormat="false" ht="95.5" hidden="false" customHeight="false" outlineLevel="0" collapsed="false">
      <c r="A504" s="0" t="s">
        <v>882</v>
      </c>
      <c r="B504" s="0" t="s">
        <v>35</v>
      </c>
      <c r="C504" s="14" t="s">
        <v>4544</v>
      </c>
      <c r="E504" s="14" t="s">
        <v>4655</v>
      </c>
    </row>
    <row r="505" customFormat="false" ht="55.2" hidden="false" customHeight="false" outlineLevel="0" collapsed="false">
      <c r="A505" s="0" t="s">
        <v>1009</v>
      </c>
      <c r="B505" s="0" t="s">
        <v>35</v>
      </c>
      <c r="C505" s="14" t="s">
        <v>4656</v>
      </c>
      <c r="E505" s="14" t="s">
        <v>4657</v>
      </c>
    </row>
    <row r="506" customFormat="false" ht="68.65" hidden="false" customHeight="false" outlineLevel="0" collapsed="false">
      <c r="A506" s="0" t="s">
        <v>1628</v>
      </c>
      <c r="B506" s="0" t="s">
        <v>35</v>
      </c>
      <c r="C506" s="0" t="s">
        <v>4658</v>
      </c>
      <c r="E506" s="14" t="s">
        <v>4659</v>
      </c>
    </row>
    <row r="507" customFormat="false" ht="68.65" hidden="false" customHeight="false" outlineLevel="0" collapsed="false">
      <c r="A507" s="0" t="s">
        <v>1654</v>
      </c>
      <c r="B507" s="0" t="s">
        <v>35</v>
      </c>
      <c r="C507" s="14" t="s">
        <v>4660</v>
      </c>
      <c r="E507" s="14" t="s">
        <v>4437</v>
      </c>
    </row>
    <row r="508" customFormat="false" ht="82.05" hidden="false" customHeight="false" outlineLevel="0" collapsed="false">
      <c r="A508" s="0" t="s">
        <v>1059</v>
      </c>
      <c r="B508" s="0" t="s">
        <v>35</v>
      </c>
      <c r="C508" s="14" t="s">
        <v>4661</v>
      </c>
      <c r="E508" s="14" t="s">
        <v>4662</v>
      </c>
    </row>
    <row r="509" customFormat="false" ht="283.55" hidden="false" customHeight="false" outlineLevel="0" collapsed="false">
      <c r="A509" s="0" t="s">
        <v>1200</v>
      </c>
      <c r="B509" s="0" t="s">
        <v>35</v>
      </c>
      <c r="C509" s="14" t="s">
        <v>4663</v>
      </c>
      <c r="E509" s="14" t="s">
        <v>4664</v>
      </c>
    </row>
    <row r="510" customFormat="false" ht="108.95" hidden="false" customHeight="false" outlineLevel="0" collapsed="false">
      <c r="A510" s="0" t="s">
        <v>1575</v>
      </c>
      <c r="B510" s="0" t="s">
        <v>35</v>
      </c>
      <c r="C510" s="14" t="s">
        <v>4665</v>
      </c>
      <c r="E510" s="14" t="s">
        <v>4666</v>
      </c>
    </row>
    <row r="511" customFormat="false" ht="82.05" hidden="false" customHeight="false" outlineLevel="0" collapsed="false">
      <c r="A511" s="0" t="s">
        <v>1245</v>
      </c>
      <c r="B511" s="0" t="s">
        <v>35</v>
      </c>
      <c r="C511" s="14" t="s">
        <v>4667</v>
      </c>
      <c r="D511" s="14" t="s">
        <v>4668</v>
      </c>
      <c r="E511" s="14" t="s">
        <v>4669</v>
      </c>
    </row>
    <row r="512" customFormat="false" ht="108.95" hidden="false" customHeight="false" outlineLevel="0" collapsed="false">
      <c r="A512" s="0" t="s">
        <v>809</v>
      </c>
      <c r="B512" s="0" t="s">
        <v>35</v>
      </c>
      <c r="C512" s="14" t="s">
        <v>4670</v>
      </c>
      <c r="D512" s="14" t="s">
        <v>4671</v>
      </c>
      <c r="E512" s="14" t="s">
        <v>4672</v>
      </c>
    </row>
    <row r="513" customFormat="false" ht="108.95" hidden="false" customHeight="false" outlineLevel="0" collapsed="false">
      <c r="A513" s="0" t="s">
        <v>998</v>
      </c>
      <c r="B513" s="0" t="s">
        <v>35</v>
      </c>
      <c r="C513" s="14" t="s">
        <v>4673</v>
      </c>
      <c r="E513" s="14" t="s">
        <v>4674</v>
      </c>
    </row>
    <row r="514" customFormat="false" ht="122.35" hidden="false" customHeight="false" outlineLevel="0" collapsed="false">
      <c r="A514" s="0" t="s">
        <v>832</v>
      </c>
      <c r="B514" s="0" t="s">
        <v>35</v>
      </c>
      <c r="C514" s="14" t="s">
        <v>4675</v>
      </c>
      <c r="E514" s="14" t="s">
        <v>4676</v>
      </c>
    </row>
    <row r="515" customFormat="false" ht="68.65" hidden="false" customHeight="false" outlineLevel="0" collapsed="false">
      <c r="A515" s="0" t="s">
        <v>592</v>
      </c>
      <c r="B515" s="0" t="s">
        <v>35</v>
      </c>
      <c r="C515" s="0" t="s">
        <v>4188</v>
      </c>
      <c r="E515" s="14" t="s">
        <v>4677</v>
      </c>
    </row>
    <row r="516" customFormat="false" ht="55.2" hidden="false" customHeight="false" outlineLevel="0" collapsed="false">
      <c r="A516" s="0" t="s">
        <v>1756</v>
      </c>
      <c r="B516" s="0" t="s">
        <v>35</v>
      </c>
      <c r="C516" s="0" t="s">
        <v>4678</v>
      </c>
      <c r="D516" s="14" t="s">
        <v>4679</v>
      </c>
      <c r="E516" s="14" t="s">
        <v>4680</v>
      </c>
    </row>
    <row r="517" customFormat="false" ht="149.25" hidden="false" customHeight="false" outlineLevel="0" collapsed="false">
      <c r="A517" s="0" t="s">
        <v>1423</v>
      </c>
      <c r="B517" s="0" t="s">
        <v>35</v>
      </c>
      <c r="C517" s="14" t="s">
        <v>4681</v>
      </c>
      <c r="D517" s="14" t="s">
        <v>4682</v>
      </c>
      <c r="E517" s="14" t="s">
        <v>4683</v>
      </c>
    </row>
    <row r="518" customFormat="false" ht="68.65" hidden="false" customHeight="false" outlineLevel="0" collapsed="false">
      <c r="A518" s="0" t="s">
        <v>1228</v>
      </c>
      <c r="B518" s="0" t="s">
        <v>35</v>
      </c>
      <c r="C518" s="14" t="s">
        <v>4684</v>
      </c>
      <c r="D518" s="14" t="s">
        <v>4685</v>
      </c>
      <c r="E518" s="14" t="s">
        <v>4686</v>
      </c>
    </row>
    <row r="519" customFormat="false" ht="55.2" hidden="false" customHeight="false" outlineLevel="0" collapsed="false">
      <c r="A519" s="0" t="s">
        <v>591</v>
      </c>
      <c r="B519" s="0" t="s">
        <v>35</v>
      </c>
      <c r="C519" s="14" t="s">
        <v>4687</v>
      </c>
      <c r="E519" s="14" t="s">
        <v>4688</v>
      </c>
    </row>
    <row r="520" customFormat="false" ht="68.65" hidden="false" customHeight="false" outlineLevel="0" collapsed="false">
      <c r="A520" s="0" t="s">
        <v>722</v>
      </c>
      <c r="B520" s="0" t="s">
        <v>35</v>
      </c>
      <c r="C520" s="14" t="s">
        <v>4689</v>
      </c>
      <c r="D520" s="14" t="s">
        <v>4690</v>
      </c>
      <c r="E520" s="14" t="s">
        <v>4691</v>
      </c>
    </row>
    <row r="521" customFormat="false" ht="55.2" hidden="false" customHeight="false" outlineLevel="0" collapsed="false">
      <c r="A521" s="0" t="s">
        <v>1507</v>
      </c>
      <c r="B521" s="0" t="s">
        <v>35</v>
      </c>
      <c r="C521" s="14" t="s">
        <v>4692</v>
      </c>
      <c r="D521" s="0" t="s">
        <v>1510</v>
      </c>
      <c r="E521" s="14" t="s">
        <v>4402</v>
      </c>
    </row>
    <row r="522" customFormat="false" ht="95.5" hidden="false" customHeight="false" outlineLevel="0" collapsed="false">
      <c r="A522" s="0" t="s">
        <v>1470</v>
      </c>
      <c r="B522" s="0" t="s">
        <v>35</v>
      </c>
      <c r="C522" s="0" t="s">
        <v>4693</v>
      </c>
      <c r="D522" s="14" t="s">
        <v>4694</v>
      </c>
      <c r="E522" s="14" t="s">
        <v>4695</v>
      </c>
    </row>
    <row r="523" customFormat="false" ht="95.5" hidden="false" customHeight="false" outlineLevel="0" collapsed="false">
      <c r="A523" s="0" t="s">
        <v>2050</v>
      </c>
      <c r="B523" s="0" t="s">
        <v>35</v>
      </c>
      <c r="C523" s="0" t="s">
        <v>4696</v>
      </c>
      <c r="E523" s="14" t="s">
        <v>4697</v>
      </c>
    </row>
    <row r="524" customFormat="false" ht="95.5" hidden="false" customHeight="false" outlineLevel="0" collapsed="false">
      <c r="A524" s="0" t="s">
        <v>654</v>
      </c>
      <c r="B524" s="0" t="s">
        <v>35</v>
      </c>
      <c r="C524" s="14" t="s">
        <v>4698</v>
      </c>
      <c r="E524" s="14" t="s">
        <v>4699</v>
      </c>
    </row>
    <row r="525" customFormat="false" ht="95.5" hidden="false" customHeight="false" outlineLevel="0" collapsed="false">
      <c r="A525" s="0" t="s">
        <v>1988</v>
      </c>
      <c r="B525" s="0" t="s">
        <v>35</v>
      </c>
      <c r="C525" s="0" t="s">
        <v>4700</v>
      </c>
      <c r="E525" s="14" t="s">
        <v>4701</v>
      </c>
    </row>
    <row r="526" customFormat="false" ht="95.5" hidden="false" customHeight="false" outlineLevel="0" collapsed="false">
      <c r="A526" s="0" t="s">
        <v>213</v>
      </c>
      <c r="B526" s="0" t="s">
        <v>35</v>
      </c>
      <c r="C526" s="14" t="s">
        <v>4579</v>
      </c>
      <c r="E526" s="14" t="s">
        <v>4702</v>
      </c>
    </row>
    <row r="527" customFormat="false" ht="95.5" hidden="false" customHeight="false" outlineLevel="0" collapsed="false">
      <c r="A527" s="0" t="s">
        <v>671</v>
      </c>
      <c r="B527" s="0" t="s">
        <v>35</v>
      </c>
      <c r="C527" s="0" t="s">
        <v>4703</v>
      </c>
      <c r="E527" s="14" t="s">
        <v>4704</v>
      </c>
    </row>
    <row r="528" customFormat="false" ht="95.5" hidden="false" customHeight="false" outlineLevel="0" collapsed="false">
      <c r="A528" s="0" t="s">
        <v>860</v>
      </c>
      <c r="B528" s="0" t="s">
        <v>35</v>
      </c>
      <c r="C528" s="0" t="s">
        <v>4705</v>
      </c>
      <c r="E528" s="14" t="s">
        <v>4706</v>
      </c>
    </row>
    <row r="529" customFormat="false" ht="55.2" hidden="false" customHeight="false" outlineLevel="0" collapsed="false">
      <c r="A529" s="0" t="s">
        <v>1456</v>
      </c>
      <c r="B529" s="0" t="s">
        <v>35</v>
      </c>
      <c r="C529" s="14" t="s">
        <v>4707</v>
      </c>
      <c r="E529" s="14" t="s">
        <v>4708</v>
      </c>
    </row>
    <row r="530" customFormat="false" ht="95.5" hidden="false" customHeight="false" outlineLevel="0" collapsed="false">
      <c r="A530" s="0" t="s">
        <v>593</v>
      </c>
      <c r="B530" s="0" t="s">
        <v>35</v>
      </c>
      <c r="C530" s="14" t="s">
        <v>4709</v>
      </c>
      <c r="D530" s="0" t="s">
        <v>4710</v>
      </c>
      <c r="E530" s="14" t="s">
        <v>4711</v>
      </c>
    </row>
    <row r="531" customFormat="false" ht="82.05" hidden="false" customHeight="false" outlineLevel="0" collapsed="false">
      <c r="A531" s="0" t="s">
        <v>1597</v>
      </c>
      <c r="B531" s="0" t="s">
        <v>35</v>
      </c>
      <c r="C531" s="14" t="s">
        <v>4709</v>
      </c>
      <c r="D531" s="0" t="s">
        <v>1598</v>
      </c>
      <c r="E531" s="14" t="s">
        <v>4712</v>
      </c>
    </row>
    <row r="532" customFormat="false" ht="95.5" hidden="false" customHeight="false" outlineLevel="0" collapsed="false">
      <c r="A532" s="0" t="s">
        <v>1067</v>
      </c>
      <c r="B532" s="0" t="s">
        <v>35</v>
      </c>
      <c r="C532" s="14" t="s">
        <v>4709</v>
      </c>
      <c r="D532" s="0" t="s">
        <v>4713</v>
      </c>
      <c r="E532" s="14" t="s">
        <v>4714</v>
      </c>
    </row>
    <row r="533" customFormat="false" ht="95.5" hidden="false" customHeight="false" outlineLevel="0" collapsed="false">
      <c r="A533" s="0" t="s">
        <v>1049</v>
      </c>
      <c r="B533" s="0" t="s">
        <v>35</v>
      </c>
      <c r="C533" s="0" t="s">
        <v>4715</v>
      </c>
      <c r="E533" s="14" t="s">
        <v>4716</v>
      </c>
    </row>
    <row r="534" customFormat="false" ht="68.65" hidden="false" customHeight="false" outlineLevel="0" collapsed="false">
      <c r="A534" s="0" t="s">
        <v>2429</v>
      </c>
      <c r="B534" s="0" t="s">
        <v>35</v>
      </c>
      <c r="C534" s="14" t="s">
        <v>4717</v>
      </c>
      <c r="E534" s="14" t="s">
        <v>4718</v>
      </c>
    </row>
    <row r="535" customFormat="false" ht="82.05" hidden="false" customHeight="false" outlineLevel="0" collapsed="false">
      <c r="A535" s="0" t="s">
        <v>1939</v>
      </c>
      <c r="B535" s="0" t="s">
        <v>35</v>
      </c>
      <c r="C535" s="0" t="s">
        <v>4719</v>
      </c>
      <c r="E535" s="14" t="s">
        <v>4720</v>
      </c>
    </row>
    <row r="536" customFormat="false" ht="82.05" hidden="false" customHeight="false" outlineLevel="0" collapsed="false">
      <c r="A536" s="0" t="s">
        <v>1380</v>
      </c>
      <c r="B536" s="0" t="s">
        <v>35</v>
      </c>
      <c r="C536" s="14" t="s">
        <v>4721</v>
      </c>
      <c r="E536" s="14" t="s">
        <v>4722</v>
      </c>
    </row>
    <row r="537" customFormat="false" ht="82.05" hidden="false" customHeight="false" outlineLevel="0" collapsed="false">
      <c r="A537" s="0" t="s">
        <v>1749</v>
      </c>
      <c r="B537" s="0" t="s">
        <v>35</v>
      </c>
      <c r="C537" s="14" t="s">
        <v>4723</v>
      </c>
      <c r="E537" s="14" t="s">
        <v>4720</v>
      </c>
    </row>
    <row r="538" customFormat="false" ht="82.05" hidden="false" customHeight="false" outlineLevel="0" collapsed="false">
      <c r="A538" s="0" t="s">
        <v>1887</v>
      </c>
      <c r="B538" s="0" t="s">
        <v>35</v>
      </c>
      <c r="C538" s="0" t="s">
        <v>4724</v>
      </c>
      <c r="E538" s="14" t="s">
        <v>4725</v>
      </c>
    </row>
    <row r="539" customFormat="false" ht="82.05" hidden="false" customHeight="false" outlineLevel="0" collapsed="false">
      <c r="A539" s="0" t="s">
        <v>1922</v>
      </c>
      <c r="B539" s="0" t="s">
        <v>35</v>
      </c>
      <c r="C539" s="0" t="s">
        <v>4726</v>
      </c>
      <c r="E539" s="14" t="s">
        <v>4725</v>
      </c>
    </row>
    <row r="540" customFormat="false" ht="82.05" hidden="false" customHeight="false" outlineLevel="0" collapsed="false">
      <c r="A540" s="0" t="s">
        <v>2112</v>
      </c>
      <c r="B540" s="0" t="s">
        <v>35</v>
      </c>
      <c r="C540" s="0" t="s">
        <v>4727</v>
      </c>
      <c r="E540" s="14" t="s">
        <v>4725</v>
      </c>
    </row>
    <row r="541" customFormat="false" ht="68.65" hidden="false" customHeight="false" outlineLevel="0" collapsed="false">
      <c r="A541" s="0" t="s">
        <v>1615</v>
      </c>
      <c r="B541" s="0" t="s">
        <v>35</v>
      </c>
      <c r="C541" s="0" t="s">
        <v>4145</v>
      </c>
      <c r="D541" s="14" t="s">
        <v>4728</v>
      </c>
      <c r="E541" s="14" t="s">
        <v>4686</v>
      </c>
    </row>
    <row r="542" customFormat="false" ht="95.5" hidden="false" customHeight="false" outlineLevel="0" collapsed="false">
      <c r="A542" s="0" t="s">
        <v>940</v>
      </c>
      <c r="B542" s="0" t="s">
        <v>35</v>
      </c>
      <c r="C542" s="0" t="s">
        <v>4226</v>
      </c>
      <c r="E542" s="14" t="s">
        <v>4729</v>
      </c>
    </row>
    <row r="543" customFormat="false" ht="28.35" hidden="false" customHeight="false" outlineLevel="0" collapsed="false">
      <c r="A543" s="0" t="s">
        <v>1371</v>
      </c>
      <c r="B543" s="0" t="s">
        <v>35</v>
      </c>
      <c r="C543" s="0" t="s">
        <v>4730</v>
      </c>
      <c r="E543" s="14" t="s">
        <v>4274</v>
      </c>
    </row>
    <row r="544" customFormat="false" ht="95.5" hidden="false" customHeight="false" outlineLevel="0" collapsed="false">
      <c r="A544" s="0" t="s">
        <v>1319</v>
      </c>
      <c r="B544" s="0" t="s">
        <v>35</v>
      </c>
      <c r="C544" s="0" t="s">
        <v>4731</v>
      </c>
      <c r="E544" s="14" t="s">
        <v>4732</v>
      </c>
    </row>
    <row r="545" customFormat="false" ht="95.5" hidden="false" customHeight="false" outlineLevel="0" collapsed="false">
      <c r="A545" s="0" t="s">
        <v>1664</v>
      </c>
      <c r="B545" s="0" t="s">
        <v>35</v>
      </c>
      <c r="C545" s="0" t="s">
        <v>4731</v>
      </c>
      <c r="E545" s="14" t="s">
        <v>4733</v>
      </c>
    </row>
    <row r="546" customFormat="false" ht="108.95" hidden="false" customHeight="false" outlineLevel="0" collapsed="false">
      <c r="A546" s="0" t="s">
        <v>1691</v>
      </c>
      <c r="B546" s="0" t="s">
        <v>35</v>
      </c>
      <c r="C546" s="0" t="s">
        <v>4731</v>
      </c>
      <c r="E546" s="14" t="s">
        <v>4734</v>
      </c>
    </row>
    <row r="547" customFormat="false" ht="108.95" hidden="false" customHeight="false" outlineLevel="0" collapsed="false">
      <c r="A547" s="0" t="s">
        <v>2013</v>
      </c>
      <c r="B547" s="0" t="s">
        <v>35</v>
      </c>
      <c r="C547" s="0" t="s">
        <v>4731</v>
      </c>
      <c r="E547" s="14" t="s">
        <v>4735</v>
      </c>
    </row>
    <row r="548" customFormat="false" ht="68.65" hidden="false" customHeight="false" outlineLevel="0" collapsed="false">
      <c r="A548" s="0" t="s">
        <v>1271</v>
      </c>
      <c r="B548" s="0" t="s">
        <v>35</v>
      </c>
      <c r="C548" s="14" t="s">
        <v>4184</v>
      </c>
      <c r="D548" s="14" t="s">
        <v>4736</v>
      </c>
      <c r="E548" s="14" t="s">
        <v>4737</v>
      </c>
    </row>
    <row r="549" customFormat="false" ht="55.2" hidden="false" customHeight="false" outlineLevel="0" collapsed="false">
      <c r="A549" s="0" t="s">
        <v>1469</v>
      </c>
      <c r="B549" s="0" t="s">
        <v>35</v>
      </c>
      <c r="C549" s="14" t="s">
        <v>4459</v>
      </c>
      <c r="E549" s="14" t="s">
        <v>4738</v>
      </c>
    </row>
    <row r="550" customFormat="false" ht="95.5" hidden="false" customHeight="false" outlineLevel="0" collapsed="false">
      <c r="A550" s="0" t="s">
        <v>1503</v>
      </c>
      <c r="B550" s="0" t="s">
        <v>35</v>
      </c>
      <c r="C550" s="14" t="s">
        <v>4648</v>
      </c>
      <c r="D550" s="0" t="s">
        <v>1504</v>
      </c>
      <c r="E550" s="14" t="s">
        <v>4739</v>
      </c>
    </row>
    <row r="551" customFormat="false" ht="82.05" hidden="false" customHeight="false" outlineLevel="0" collapsed="false">
      <c r="A551" s="0" t="s">
        <v>1993</v>
      </c>
      <c r="B551" s="0" t="s">
        <v>35</v>
      </c>
      <c r="C551" s="14" t="s">
        <v>4740</v>
      </c>
      <c r="D551" s="0" t="s">
        <v>1994</v>
      </c>
      <c r="E551" s="14" t="s">
        <v>4741</v>
      </c>
    </row>
    <row r="552" customFormat="false" ht="55.2" hidden="false" customHeight="false" outlineLevel="0" collapsed="false">
      <c r="A552" s="0" t="s">
        <v>2430</v>
      </c>
      <c r="B552" s="0" t="s">
        <v>35</v>
      </c>
      <c r="C552" s="0" t="s">
        <v>4742</v>
      </c>
      <c r="D552" s="14" t="s">
        <v>4743</v>
      </c>
      <c r="E552" s="14" t="s">
        <v>4744</v>
      </c>
    </row>
    <row r="553" customFormat="false" ht="82.05" hidden="false" customHeight="false" outlineLevel="0" collapsed="false">
      <c r="A553" s="0" t="s">
        <v>1995</v>
      </c>
      <c r="B553" s="0" t="s">
        <v>35</v>
      </c>
      <c r="C553" s="0" t="s">
        <v>4745</v>
      </c>
      <c r="D553" s="0" t="s">
        <v>1996</v>
      </c>
      <c r="E553" s="14" t="s">
        <v>4504</v>
      </c>
    </row>
    <row r="554" customFormat="false" ht="82.05" hidden="false" customHeight="false" outlineLevel="0" collapsed="false">
      <c r="A554" s="0" t="s">
        <v>2023</v>
      </c>
      <c r="B554" s="0" t="s">
        <v>35</v>
      </c>
      <c r="C554" s="0" t="s">
        <v>4746</v>
      </c>
      <c r="D554" s="0" t="s">
        <v>2024</v>
      </c>
      <c r="E554" s="14" t="s">
        <v>4747</v>
      </c>
    </row>
    <row r="555" customFormat="false" ht="82.05" hidden="false" customHeight="false" outlineLevel="0" collapsed="false">
      <c r="A555" s="0" t="s">
        <v>2360</v>
      </c>
      <c r="B555" s="0" t="s">
        <v>35</v>
      </c>
      <c r="C555" s="0" t="s">
        <v>4748</v>
      </c>
      <c r="D555" s="0" t="s">
        <v>2361</v>
      </c>
      <c r="E555" s="14" t="s">
        <v>4749</v>
      </c>
    </row>
    <row r="556" customFormat="false" ht="95.5" hidden="false" customHeight="false" outlineLevel="0" collapsed="false">
      <c r="A556" s="0" t="s">
        <v>1455</v>
      </c>
      <c r="B556" s="0" t="s">
        <v>35</v>
      </c>
      <c r="C556" s="14" t="s">
        <v>4750</v>
      </c>
      <c r="D556" s="0" t="s">
        <v>4751</v>
      </c>
      <c r="E556" s="14" t="s">
        <v>4752</v>
      </c>
    </row>
    <row r="557" customFormat="false" ht="108.95" hidden="false" customHeight="false" outlineLevel="0" collapsed="false">
      <c r="A557" s="0" t="s">
        <v>1781</v>
      </c>
      <c r="B557" s="0" t="s">
        <v>35</v>
      </c>
      <c r="C557" s="14" t="s">
        <v>4753</v>
      </c>
      <c r="E557" s="14" t="s">
        <v>4754</v>
      </c>
    </row>
    <row r="558" customFormat="false" ht="95.5" hidden="false" customHeight="false" outlineLevel="0" collapsed="false">
      <c r="A558" s="0" t="s">
        <v>1289</v>
      </c>
      <c r="B558" s="0" t="s">
        <v>35</v>
      </c>
      <c r="C558" s="14" t="s">
        <v>4755</v>
      </c>
      <c r="D558" s="0" t="s">
        <v>1290</v>
      </c>
      <c r="E558" s="14" t="s">
        <v>4756</v>
      </c>
    </row>
    <row r="559" customFormat="false" ht="41.75" hidden="false" customHeight="false" outlineLevel="0" collapsed="false">
      <c r="A559" s="0" t="s">
        <v>1241</v>
      </c>
      <c r="B559" s="0" t="s">
        <v>35</v>
      </c>
      <c r="C559" s="14" t="s">
        <v>4757</v>
      </c>
      <c r="D559" s="14" t="s">
        <v>4758</v>
      </c>
      <c r="E559" s="14" t="s">
        <v>4759</v>
      </c>
    </row>
    <row r="560" customFormat="false" ht="68.65" hidden="false" customHeight="false" outlineLevel="0" collapsed="false">
      <c r="A560" s="0" t="s">
        <v>3047</v>
      </c>
      <c r="B560" s="0" t="s">
        <v>35</v>
      </c>
      <c r="C560" s="14" t="s">
        <v>4760</v>
      </c>
      <c r="D560" s="0" t="s">
        <v>3049</v>
      </c>
      <c r="E560" s="14" t="s">
        <v>4761</v>
      </c>
    </row>
    <row r="561" customFormat="false" ht="55.2" hidden="false" customHeight="false" outlineLevel="0" collapsed="false">
      <c r="A561" s="0" t="s">
        <v>2614</v>
      </c>
      <c r="B561" s="0" t="s">
        <v>35</v>
      </c>
      <c r="C561" s="14" t="s">
        <v>4762</v>
      </c>
      <c r="D561" s="0" t="s">
        <v>2615</v>
      </c>
      <c r="E561" s="14" t="s">
        <v>4763</v>
      </c>
    </row>
    <row r="562" customFormat="false" ht="55.2" hidden="false" customHeight="false" outlineLevel="0" collapsed="false">
      <c r="A562" s="0" t="s">
        <v>2414</v>
      </c>
      <c r="B562" s="0" t="s">
        <v>35</v>
      </c>
      <c r="C562" s="14" t="s">
        <v>4764</v>
      </c>
      <c r="D562" s="14" t="s">
        <v>4765</v>
      </c>
      <c r="E562" s="14" t="s">
        <v>4766</v>
      </c>
    </row>
    <row r="563" customFormat="false" ht="82.05" hidden="false" customHeight="false" outlineLevel="0" collapsed="false">
      <c r="A563" s="0" t="s">
        <v>2853</v>
      </c>
      <c r="B563" s="0" t="s">
        <v>35</v>
      </c>
      <c r="C563" s="0" t="s">
        <v>4767</v>
      </c>
      <c r="D563" s="14" t="s">
        <v>4768</v>
      </c>
      <c r="E563" s="14" t="s">
        <v>4769</v>
      </c>
    </row>
    <row r="564" customFormat="false" ht="55.2" hidden="false" customHeight="false" outlineLevel="0" collapsed="false">
      <c r="A564" s="0" t="s">
        <v>2325</v>
      </c>
      <c r="B564" s="0" t="s">
        <v>35</v>
      </c>
      <c r="C564" s="14" t="s">
        <v>4770</v>
      </c>
      <c r="D564" s="14" t="s">
        <v>4771</v>
      </c>
      <c r="E564" s="14" t="s">
        <v>4772</v>
      </c>
    </row>
    <row r="565" customFormat="false" ht="95.5" hidden="false" customHeight="false" outlineLevel="0" collapsed="false">
      <c r="A565" s="0" t="s">
        <v>2573</v>
      </c>
      <c r="B565" s="0" t="s">
        <v>35</v>
      </c>
      <c r="C565" s="14" t="s">
        <v>4773</v>
      </c>
      <c r="D565" s="0" t="s">
        <v>2574</v>
      </c>
      <c r="E565" s="14" t="s">
        <v>4774</v>
      </c>
    </row>
    <row r="566" customFormat="false" ht="82.05" hidden="false" customHeight="false" outlineLevel="0" collapsed="false">
      <c r="A566" s="0" t="s">
        <v>1851</v>
      </c>
      <c r="B566" s="0" t="s">
        <v>35</v>
      </c>
      <c r="C566" s="14" t="s">
        <v>4775</v>
      </c>
      <c r="D566" s="14" t="s">
        <v>4776</v>
      </c>
      <c r="E566" s="14" t="s">
        <v>4777</v>
      </c>
    </row>
    <row r="567" customFormat="false" ht="82.05" hidden="false" customHeight="false" outlineLevel="0" collapsed="false">
      <c r="A567" s="0" t="s">
        <v>1428</v>
      </c>
      <c r="B567" s="0" t="s">
        <v>35</v>
      </c>
      <c r="C567" s="0" t="s">
        <v>4778</v>
      </c>
      <c r="D567" s="0" t="s">
        <v>1429</v>
      </c>
      <c r="E567" s="14" t="s">
        <v>4779</v>
      </c>
    </row>
    <row r="568" customFormat="false" ht="82.05" hidden="false" customHeight="false" outlineLevel="0" collapsed="false">
      <c r="A568" s="0" t="s">
        <v>3317</v>
      </c>
      <c r="B568" s="0" t="s">
        <v>35</v>
      </c>
      <c r="C568" s="0" t="s">
        <v>4780</v>
      </c>
      <c r="D568" s="0" t="s">
        <v>3319</v>
      </c>
      <c r="E568" s="14" t="s">
        <v>4781</v>
      </c>
    </row>
    <row r="569" customFormat="false" ht="108.95" hidden="false" customHeight="false" outlineLevel="0" collapsed="false">
      <c r="A569" s="0" t="s">
        <v>1552</v>
      </c>
      <c r="B569" s="0" t="s">
        <v>35</v>
      </c>
      <c r="C569" s="14" t="s">
        <v>4782</v>
      </c>
      <c r="D569" s="0" t="s">
        <v>1553</v>
      </c>
      <c r="E569" s="14" t="s">
        <v>4783</v>
      </c>
    </row>
    <row r="570" customFormat="false" ht="82.05" hidden="false" customHeight="false" outlineLevel="0" collapsed="false">
      <c r="A570" s="0" t="s">
        <v>1805</v>
      </c>
      <c r="B570" s="0" t="s">
        <v>35</v>
      </c>
      <c r="C570" s="14" t="s">
        <v>4784</v>
      </c>
      <c r="D570" s="14" t="s">
        <v>4785</v>
      </c>
      <c r="E570" s="14" t="s">
        <v>4749</v>
      </c>
    </row>
    <row r="571" customFormat="false" ht="95.5" hidden="false" customHeight="false" outlineLevel="0" collapsed="false">
      <c r="A571" s="0" t="s">
        <v>2462</v>
      </c>
      <c r="B571" s="0" t="s">
        <v>35</v>
      </c>
      <c r="C571" s="0" t="s">
        <v>4786</v>
      </c>
      <c r="D571" s="0" t="s">
        <v>2463</v>
      </c>
      <c r="E571" s="14" t="s">
        <v>4787</v>
      </c>
    </row>
    <row r="572" customFormat="false" ht="82.05" hidden="false" customHeight="false" outlineLevel="0" collapsed="false">
      <c r="A572" s="0" t="s">
        <v>1894</v>
      </c>
      <c r="B572" s="0" t="s">
        <v>35</v>
      </c>
      <c r="C572" s="14" t="s">
        <v>4788</v>
      </c>
      <c r="D572" s="14" t="s">
        <v>4789</v>
      </c>
      <c r="E572" s="14" t="s">
        <v>4790</v>
      </c>
    </row>
    <row r="573" customFormat="false" ht="82.05" hidden="false" customHeight="false" outlineLevel="0" collapsed="false">
      <c r="A573" s="0" t="s">
        <v>3157</v>
      </c>
      <c r="B573" s="0" t="s">
        <v>35</v>
      </c>
      <c r="C573" s="14" t="s">
        <v>4791</v>
      </c>
      <c r="D573" s="0" t="s">
        <v>3158</v>
      </c>
      <c r="E573" s="14" t="s">
        <v>4792</v>
      </c>
    </row>
    <row r="574" customFormat="false" ht="122.35" hidden="false" customHeight="false" outlineLevel="0" collapsed="false">
      <c r="A574" s="0" t="s">
        <v>2094</v>
      </c>
      <c r="B574" s="0" t="s">
        <v>4793</v>
      </c>
      <c r="C574" s="14" t="s">
        <v>4594</v>
      </c>
      <c r="D574" s="0" t="s">
        <v>2095</v>
      </c>
      <c r="E574" s="14" t="s">
        <v>4794</v>
      </c>
    </row>
    <row r="575" customFormat="false" ht="68.65" hidden="false" customHeight="false" outlineLevel="0" collapsed="false">
      <c r="A575" s="0" t="s">
        <v>2968</v>
      </c>
      <c r="B575" s="0" t="s">
        <v>35</v>
      </c>
      <c r="C575" s="14" t="s">
        <v>4795</v>
      </c>
      <c r="D575" s="14" t="s">
        <v>4796</v>
      </c>
      <c r="E575" s="14" t="s">
        <v>4797</v>
      </c>
    </row>
    <row r="576" customFormat="false" ht="68.65" hidden="false" customHeight="false" outlineLevel="0" collapsed="false">
      <c r="A576" s="0" t="s">
        <v>2288</v>
      </c>
      <c r="B576" s="0" t="s">
        <v>35</v>
      </c>
      <c r="C576" s="14" t="s">
        <v>4798</v>
      </c>
      <c r="D576" s="0" t="s">
        <v>2289</v>
      </c>
      <c r="E576" s="14" t="s">
        <v>4799</v>
      </c>
    </row>
    <row r="577" customFormat="false" ht="55.2" hidden="false" customHeight="false" outlineLevel="0" collapsed="false">
      <c r="A577" s="0" t="s">
        <v>3589</v>
      </c>
      <c r="B577" s="0" t="s">
        <v>35</v>
      </c>
      <c r="C577" s="0" t="s">
        <v>4800</v>
      </c>
      <c r="D577" s="14" t="s">
        <v>4801</v>
      </c>
      <c r="E577" s="14" t="s">
        <v>4802</v>
      </c>
    </row>
    <row r="578" customFormat="false" ht="82.05" hidden="false" customHeight="false" outlineLevel="0" collapsed="false">
      <c r="A578" s="0" t="s">
        <v>3211</v>
      </c>
      <c r="B578" s="0" t="s">
        <v>35</v>
      </c>
      <c r="C578" s="0" t="s">
        <v>4803</v>
      </c>
      <c r="D578" s="14" t="s">
        <v>4804</v>
      </c>
      <c r="E578" s="14" t="s">
        <v>4805</v>
      </c>
    </row>
    <row r="579" customFormat="false" ht="108.95" hidden="false" customHeight="false" outlineLevel="0" collapsed="false">
      <c r="A579" s="0" t="s">
        <v>2253</v>
      </c>
      <c r="B579" s="0" t="s">
        <v>35</v>
      </c>
      <c r="C579" s="0" t="s">
        <v>4440</v>
      </c>
      <c r="D579" s="14" t="s">
        <v>4806</v>
      </c>
      <c r="E579" s="14" t="s">
        <v>4807</v>
      </c>
    </row>
    <row r="580" customFormat="false" ht="95.5" hidden="false" customHeight="false" outlineLevel="0" collapsed="false">
      <c r="A580" s="0" t="s">
        <v>2594</v>
      </c>
      <c r="B580" s="0" t="s">
        <v>35</v>
      </c>
      <c r="C580" s="0" t="s">
        <v>4440</v>
      </c>
      <c r="D580" s="0" t="s">
        <v>2595</v>
      </c>
      <c r="E580" s="14" t="s">
        <v>4808</v>
      </c>
    </row>
    <row r="581" customFormat="false" ht="95.5" hidden="false" customHeight="false" outlineLevel="0" collapsed="false">
      <c r="A581" s="0" t="s">
        <v>2934</v>
      </c>
      <c r="B581" s="0" t="s">
        <v>35</v>
      </c>
      <c r="C581" s="0" t="s">
        <v>4440</v>
      </c>
      <c r="D581" s="0" t="s">
        <v>2935</v>
      </c>
      <c r="E581" s="14" t="s">
        <v>4809</v>
      </c>
    </row>
    <row r="582" customFormat="false" ht="82.05" hidden="false" customHeight="false" outlineLevel="0" collapsed="false">
      <c r="A582" s="0" t="s">
        <v>2639</v>
      </c>
      <c r="B582" s="0" t="s">
        <v>35</v>
      </c>
      <c r="C582" s="14" t="s">
        <v>4810</v>
      </c>
      <c r="D582" s="14" t="s">
        <v>4811</v>
      </c>
      <c r="E582" s="14" t="s">
        <v>4532</v>
      </c>
    </row>
    <row r="583" customFormat="false" ht="108.95" hidden="false" customHeight="false" outlineLevel="0" collapsed="false">
      <c r="A583" s="0" t="s">
        <v>2048</v>
      </c>
      <c r="B583" s="0" t="s">
        <v>35</v>
      </c>
      <c r="C583" s="14" t="s">
        <v>4552</v>
      </c>
      <c r="D583" s="14" t="s">
        <v>4812</v>
      </c>
      <c r="E583" s="14" t="s">
        <v>4813</v>
      </c>
    </row>
    <row r="584" customFormat="false" ht="229.85" hidden="false" customHeight="false" outlineLevel="0" collapsed="false">
      <c r="A584" s="0" t="s">
        <v>2641</v>
      </c>
      <c r="B584" s="0" t="s">
        <v>35</v>
      </c>
      <c r="C584" s="14" t="s">
        <v>4814</v>
      </c>
      <c r="D584" s="14" t="s">
        <v>4815</v>
      </c>
    </row>
    <row r="585" customFormat="false" ht="68.65" hidden="false" customHeight="false" outlineLevel="0" collapsed="false">
      <c r="A585" s="0" t="s">
        <v>1498</v>
      </c>
      <c r="B585" s="0" t="s">
        <v>35</v>
      </c>
      <c r="C585" s="14" t="s">
        <v>4816</v>
      </c>
      <c r="D585" s="14" t="s">
        <v>4817</v>
      </c>
      <c r="E585" s="14" t="s">
        <v>4818</v>
      </c>
    </row>
    <row r="586" customFormat="false" ht="55.2" hidden="false" customHeight="false" outlineLevel="0" collapsed="false">
      <c r="A586" s="0" t="s">
        <v>1742</v>
      </c>
      <c r="B586" s="0" t="s">
        <v>35</v>
      </c>
      <c r="C586" s="14" t="s">
        <v>4819</v>
      </c>
      <c r="D586" s="14" t="s">
        <v>4820</v>
      </c>
      <c r="E586" s="14" t="s">
        <v>4821</v>
      </c>
    </row>
    <row r="587" customFormat="false" ht="55.2" hidden="false" customHeight="false" outlineLevel="0" collapsed="false">
      <c r="A587" s="0" t="s">
        <v>3557</v>
      </c>
      <c r="B587" s="0" t="s">
        <v>35</v>
      </c>
      <c r="C587" s="14" t="s">
        <v>4822</v>
      </c>
      <c r="D587" s="14" t="s">
        <v>4823</v>
      </c>
      <c r="E587" s="14" t="s">
        <v>4818</v>
      </c>
    </row>
    <row r="588" customFormat="false" ht="55.2" hidden="false" customHeight="false" outlineLevel="0" collapsed="false">
      <c r="A588" s="0" t="s">
        <v>2887</v>
      </c>
      <c r="B588" s="0" t="s">
        <v>35</v>
      </c>
      <c r="C588" s="14" t="s">
        <v>4824</v>
      </c>
      <c r="D588" s="14" t="s">
        <v>4825</v>
      </c>
      <c r="E588" s="14" t="s">
        <v>4826</v>
      </c>
    </row>
    <row r="589" customFormat="false" ht="68.65" hidden="false" customHeight="false" outlineLevel="0" collapsed="false">
      <c r="A589" s="0" t="s">
        <v>3133</v>
      </c>
      <c r="B589" s="0" t="s">
        <v>35</v>
      </c>
      <c r="C589" s="14" t="s">
        <v>4827</v>
      </c>
      <c r="D589" s="14" t="s">
        <v>4828</v>
      </c>
      <c r="E589" s="14" t="s">
        <v>4829</v>
      </c>
    </row>
    <row r="590" customFormat="false" ht="95.5" hidden="false" customHeight="false" outlineLevel="0" collapsed="false">
      <c r="A590" s="0" t="s">
        <v>3029</v>
      </c>
      <c r="B590" s="0" t="s">
        <v>35</v>
      </c>
      <c r="C590" s="14" t="s">
        <v>4830</v>
      </c>
      <c r="D590" s="14" t="s">
        <v>4831</v>
      </c>
      <c r="E590" s="14" t="s">
        <v>4832</v>
      </c>
    </row>
    <row r="591" customFormat="false" ht="55.2" hidden="false" customHeight="false" outlineLevel="0" collapsed="false">
      <c r="A591" s="0" t="s">
        <v>2205</v>
      </c>
      <c r="B591" s="0" t="s">
        <v>35</v>
      </c>
      <c r="C591" s="14" t="s">
        <v>4833</v>
      </c>
      <c r="D591" s="14" t="s">
        <v>4834</v>
      </c>
      <c r="E591" s="14" t="s">
        <v>4835</v>
      </c>
    </row>
    <row r="592" customFormat="false" ht="95.5" hidden="false" customHeight="false" outlineLevel="0" collapsed="false">
      <c r="A592" s="0" t="s">
        <v>2398</v>
      </c>
      <c r="B592" s="0" t="s">
        <v>35</v>
      </c>
      <c r="C592" s="14" t="s">
        <v>4604</v>
      </c>
      <c r="D592" s="14" t="s">
        <v>4605</v>
      </c>
      <c r="E592" s="14" t="s">
        <v>4836</v>
      </c>
    </row>
    <row r="593" customFormat="false" ht="122.35" hidden="false" customHeight="false" outlineLevel="0" collapsed="false">
      <c r="A593" s="0" t="s">
        <v>1675</v>
      </c>
      <c r="B593" s="0" t="s">
        <v>35</v>
      </c>
      <c r="C593" s="14" t="s">
        <v>4467</v>
      </c>
      <c r="D593" s="14" t="s">
        <v>4837</v>
      </c>
      <c r="E593" s="14" t="s">
        <v>4838</v>
      </c>
    </row>
    <row r="594" customFormat="false" ht="122.35" hidden="false" customHeight="false" outlineLevel="0" collapsed="false">
      <c r="A594" s="0" t="s">
        <v>1746</v>
      </c>
      <c r="B594" s="0" t="s">
        <v>35</v>
      </c>
      <c r="C594" s="14" t="s">
        <v>4675</v>
      </c>
      <c r="D594" s="14" t="s">
        <v>4839</v>
      </c>
      <c r="E594" s="14" t="s">
        <v>4840</v>
      </c>
    </row>
    <row r="595" customFormat="false" ht="68.65" hidden="false" customHeight="false" outlineLevel="0" collapsed="false">
      <c r="A595" s="0" t="s">
        <v>2913</v>
      </c>
      <c r="B595" s="0" t="s">
        <v>35</v>
      </c>
      <c r="C595" s="14" t="s">
        <v>4841</v>
      </c>
      <c r="D595" s="14" t="s">
        <v>4842</v>
      </c>
      <c r="E595" s="14" t="s">
        <v>4843</v>
      </c>
    </row>
    <row r="596" customFormat="false" ht="68.65" hidden="false" customHeight="false" outlineLevel="0" collapsed="false">
      <c r="A596" s="0" t="s">
        <v>1354</v>
      </c>
      <c r="B596" s="0" t="s">
        <v>35</v>
      </c>
      <c r="C596" s="14" t="s">
        <v>4844</v>
      </c>
      <c r="D596" s="14" t="s">
        <v>4845</v>
      </c>
      <c r="E596" s="14" t="s">
        <v>4846</v>
      </c>
    </row>
    <row r="597" customFormat="false" ht="108.95" hidden="false" customHeight="false" outlineLevel="0" collapsed="false">
      <c r="A597" s="0" t="s">
        <v>2122</v>
      </c>
      <c r="B597" s="0" t="s">
        <v>35</v>
      </c>
      <c r="C597" s="14" t="s">
        <v>4847</v>
      </c>
      <c r="D597" s="14" t="s">
        <v>4848</v>
      </c>
      <c r="E597" s="14" t="s">
        <v>4849</v>
      </c>
    </row>
    <row r="598" customFormat="false" ht="108.95" hidden="false" customHeight="false" outlineLevel="0" collapsed="false">
      <c r="A598" s="0" t="s">
        <v>2184</v>
      </c>
      <c r="B598" s="0" t="s">
        <v>35</v>
      </c>
      <c r="C598" s="0" t="s">
        <v>4850</v>
      </c>
      <c r="D598" s="0" t="s">
        <v>2185</v>
      </c>
      <c r="E598" s="14" t="s">
        <v>4851</v>
      </c>
    </row>
    <row r="599" customFormat="false" ht="108.95" hidden="false" customHeight="false" outlineLevel="0" collapsed="false">
      <c r="A599" s="0" t="s">
        <v>2267</v>
      </c>
      <c r="B599" s="0" t="s">
        <v>35</v>
      </c>
      <c r="C599" s="0" t="s">
        <v>4850</v>
      </c>
      <c r="D599" s="0" t="s">
        <v>2268</v>
      </c>
      <c r="E599" s="14" t="s">
        <v>4852</v>
      </c>
    </row>
    <row r="600" customFormat="false" ht="189.55" hidden="false" customHeight="false" outlineLevel="0" collapsed="false">
      <c r="A600" s="0" t="s">
        <v>182</v>
      </c>
      <c r="B600" s="0" t="s">
        <v>412</v>
      </c>
      <c r="C600" s="14" t="s">
        <v>4853</v>
      </c>
      <c r="D600" s="14" t="s">
        <v>4854</v>
      </c>
      <c r="E600" s="14" t="s">
        <v>4855</v>
      </c>
    </row>
    <row r="601" customFormat="false" ht="68.65" hidden="false" customHeight="false" outlineLevel="0" collapsed="false">
      <c r="A601" s="0" t="s">
        <v>807</v>
      </c>
      <c r="B601" s="0" t="s">
        <v>412</v>
      </c>
      <c r="C601" s="14" t="s">
        <v>4856</v>
      </c>
      <c r="D601" s="14" t="s">
        <v>4857</v>
      </c>
      <c r="E601" s="14" t="s">
        <v>4858</v>
      </c>
    </row>
    <row r="602" customFormat="false" ht="68.65" hidden="false" customHeight="false" outlineLevel="0" collapsed="false">
      <c r="A602" s="0" t="s">
        <v>263</v>
      </c>
      <c r="B602" s="0" t="s">
        <v>412</v>
      </c>
      <c r="C602" s="14" t="s">
        <v>4859</v>
      </c>
      <c r="D602" s="14" t="s">
        <v>4860</v>
      </c>
      <c r="E602" s="14" t="s">
        <v>4861</v>
      </c>
    </row>
    <row r="603" customFormat="false" ht="108.95" hidden="false" customHeight="false" outlineLevel="0" collapsed="false">
      <c r="A603" s="0" t="s">
        <v>230</v>
      </c>
      <c r="B603" s="0" t="s">
        <v>4862</v>
      </c>
      <c r="C603" s="14" t="s">
        <v>4863</v>
      </c>
      <c r="D603" s="14" t="s">
        <v>4864</v>
      </c>
      <c r="E603" s="14" t="s">
        <v>4865</v>
      </c>
    </row>
    <row r="604" customFormat="false" ht="108.95" hidden="false" customHeight="false" outlineLevel="0" collapsed="false">
      <c r="A604" s="0" t="s">
        <v>159</v>
      </c>
      <c r="B604" s="0" t="s">
        <v>4866</v>
      </c>
      <c r="C604" s="14" t="s">
        <v>4863</v>
      </c>
      <c r="D604" s="14" t="s">
        <v>4867</v>
      </c>
      <c r="E604" s="14" t="s">
        <v>4868</v>
      </c>
    </row>
    <row r="605" customFormat="false" ht="41.75" hidden="false" customHeight="false" outlineLevel="0" collapsed="false">
      <c r="A605" s="0" t="s">
        <v>328</v>
      </c>
      <c r="B605" s="0" t="s">
        <v>412</v>
      </c>
      <c r="C605" s="14" t="s">
        <v>4869</v>
      </c>
      <c r="D605" s="0" t="s">
        <v>330</v>
      </c>
      <c r="E605" s="14" t="s">
        <v>4855</v>
      </c>
    </row>
    <row r="606" customFormat="false" ht="68.65" hidden="false" customHeight="false" outlineLevel="0" collapsed="false">
      <c r="A606" s="0" t="s">
        <v>704</v>
      </c>
      <c r="B606" s="0" t="s">
        <v>412</v>
      </c>
      <c r="C606" s="14" t="s">
        <v>4870</v>
      </c>
      <c r="D606" s="14" t="s">
        <v>4871</v>
      </c>
      <c r="E606" s="14" t="s">
        <v>4872</v>
      </c>
    </row>
    <row r="607" customFormat="false" ht="122.35" hidden="false" customHeight="false" outlineLevel="0" collapsed="false">
      <c r="A607" s="0" t="s">
        <v>86</v>
      </c>
      <c r="B607" s="0" t="s">
        <v>412</v>
      </c>
      <c r="C607" s="14" t="s">
        <v>4873</v>
      </c>
      <c r="D607" s="14" t="s">
        <v>4874</v>
      </c>
      <c r="E607" s="14" t="s">
        <v>4875</v>
      </c>
    </row>
    <row r="608" customFormat="false" ht="68.65" hidden="false" customHeight="false" outlineLevel="0" collapsed="false">
      <c r="A608" s="0" t="s">
        <v>279</v>
      </c>
      <c r="B608" s="0" t="s">
        <v>412</v>
      </c>
      <c r="C608" s="0" t="s">
        <v>4876</v>
      </c>
      <c r="D608" s="14" t="s">
        <v>4877</v>
      </c>
      <c r="E608" s="14" t="s">
        <v>4861</v>
      </c>
    </row>
    <row r="609" customFormat="false" ht="41.75" hidden="false" customHeight="false" outlineLevel="0" collapsed="false">
      <c r="A609" s="0" t="s">
        <v>1145</v>
      </c>
      <c r="B609" s="0" t="s">
        <v>4862</v>
      </c>
      <c r="C609" s="0" t="s">
        <v>4878</v>
      </c>
      <c r="D609" s="14" t="s">
        <v>4879</v>
      </c>
      <c r="E609" s="14" t="s">
        <v>4880</v>
      </c>
    </row>
    <row r="610" customFormat="false" ht="41.75" hidden="false" customHeight="false" outlineLevel="0" collapsed="false">
      <c r="A610" s="0" t="s">
        <v>1150</v>
      </c>
      <c r="B610" s="0" t="s">
        <v>4866</v>
      </c>
      <c r="C610" s="0" t="s">
        <v>4878</v>
      </c>
      <c r="D610" s="14" t="s">
        <v>4881</v>
      </c>
      <c r="E610" s="14" t="s">
        <v>4882</v>
      </c>
    </row>
    <row r="611" customFormat="false" ht="149.25" hidden="false" customHeight="false" outlineLevel="0" collapsed="false">
      <c r="A611" s="0" t="s">
        <v>426</v>
      </c>
      <c r="B611" s="0" t="s">
        <v>412</v>
      </c>
      <c r="C611" s="14" t="s">
        <v>4883</v>
      </c>
      <c r="D611" s="14" t="s">
        <v>4884</v>
      </c>
      <c r="E611" s="14" t="s">
        <v>4885</v>
      </c>
    </row>
    <row r="612" customFormat="false" ht="55.2" hidden="false" customHeight="false" outlineLevel="0" collapsed="false">
      <c r="A612" s="0" t="s">
        <v>597</v>
      </c>
      <c r="B612" s="0" t="s">
        <v>412</v>
      </c>
      <c r="C612" s="14" t="s">
        <v>4886</v>
      </c>
      <c r="D612" s="14" t="s">
        <v>4887</v>
      </c>
      <c r="E612" s="14" t="s">
        <v>4888</v>
      </c>
    </row>
    <row r="613" customFormat="false" ht="95.5" hidden="false" customHeight="false" outlineLevel="0" collapsed="false">
      <c r="A613" s="0" t="s">
        <v>111</v>
      </c>
      <c r="B613" s="0" t="s">
        <v>412</v>
      </c>
      <c r="C613" s="14" t="s">
        <v>4889</v>
      </c>
      <c r="D613" s="14" t="s">
        <v>4890</v>
      </c>
      <c r="E613" s="14" t="s">
        <v>4891</v>
      </c>
    </row>
    <row r="614" customFormat="false" ht="82.05" hidden="false" customHeight="false" outlineLevel="0" collapsed="false">
      <c r="A614" s="0" t="s">
        <v>188</v>
      </c>
      <c r="B614" s="0" t="s">
        <v>412</v>
      </c>
      <c r="C614" s="14" t="s">
        <v>4892</v>
      </c>
      <c r="D614" s="14" t="s">
        <v>4893</v>
      </c>
      <c r="E614" s="14" t="s">
        <v>4894</v>
      </c>
    </row>
    <row r="615" customFormat="false" ht="55.2" hidden="false" customHeight="false" outlineLevel="0" collapsed="false">
      <c r="A615" s="0" t="s">
        <v>118</v>
      </c>
      <c r="B615" s="0" t="s">
        <v>412</v>
      </c>
      <c r="C615" s="14" t="s">
        <v>4895</v>
      </c>
      <c r="D615" s="14" t="s">
        <v>4896</v>
      </c>
      <c r="E615" s="14" t="s">
        <v>4897</v>
      </c>
    </row>
    <row r="616" customFormat="false" ht="82.05" hidden="false" customHeight="false" outlineLevel="0" collapsed="false">
      <c r="A616" s="0" t="s">
        <v>967</v>
      </c>
      <c r="B616" s="0" t="s">
        <v>4862</v>
      </c>
      <c r="C616" s="14" t="s">
        <v>4898</v>
      </c>
      <c r="D616" s="14" t="s">
        <v>4899</v>
      </c>
      <c r="E616" s="14" t="s">
        <v>4900</v>
      </c>
    </row>
    <row r="617" customFormat="false" ht="82.05" hidden="false" customHeight="false" outlineLevel="0" collapsed="false">
      <c r="A617" s="0" t="s">
        <v>1113</v>
      </c>
      <c r="B617" s="0" t="s">
        <v>4866</v>
      </c>
      <c r="C617" s="14" t="s">
        <v>4898</v>
      </c>
      <c r="D617" s="14" t="s">
        <v>4901</v>
      </c>
      <c r="E617" s="14" t="s">
        <v>4902</v>
      </c>
    </row>
    <row r="618" customFormat="false" ht="82.05" hidden="false" customHeight="false" outlineLevel="0" collapsed="false">
      <c r="A618" s="0" t="s">
        <v>91</v>
      </c>
      <c r="B618" s="0" t="s">
        <v>412</v>
      </c>
      <c r="C618" s="14" t="s">
        <v>4903</v>
      </c>
      <c r="D618" s="14" t="s">
        <v>4904</v>
      </c>
      <c r="E618" s="14" t="s">
        <v>4905</v>
      </c>
    </row>
    <row r="619" customFormat="false" ht="55.2" hidden="false" customHeight="false" outlineLevel="0" collapsed="false">
      <c r="A619" s="0" t="s">
        <v>335</v>
      </c>
      <c r="B619" s="0" t="s">
        <v>412</v>
      </c>
      <c r="C619" s="14" t="s">
        <v>4906</v>
      </c>
      <c r="D619" s="14" t="s">
        <v>4907</v>
      </c>
      <c r="E619" s="14" t="s">
        <v>4891</v>
      </c>
    </row>
    <row r="620" customFormat="false" ht="95.5" hidden="false" customHeight="false" outlineLevel="0" collapsed="false">
      <c r="A620" s="0" t="s">
        <v>374</v>
      </c>
      <c r="B620" s="0" t="s">
        <v>412</v>
      </c>
      <c r="C620" s="0" t="s">
        <v>4908</v>
      </c>
      <c r="D620" s="14" t="s">
        <v>4909</v>
      </c>
      <c r="E620" s="14" t="s">
        <v>4855</v>
      </c>
    </row>
    <row r="621" customFormat="false" ht="82.05" hidden="false" customHeight="false" outlineLevel="0" collapsed="false">
      <c r="A621" s="0" t="s">
        <v>285</v>
      </c>
      <c r="B621" s="0" t="s">
        <v>412</v>
      </c>
      <c r="C621" s="14" t="s">
        <v>4910</v>
      </c>
      <c r="D621" s="14" t="s">
        <v>4911</v>
      </c>
      <c r="E621" s="14" t="s">
        <v>4912</v>
      </c>
    </row>
    <row r="622" customFormat="false" ht="68.65" hidden="false" customHeight="false" outlineLevel="0" collapsed="false">
      <c r="A622" s="0" t="s">
        <v>221</v>
      </c>
      <c r="B622" s="0" t="s">
        <v>412</v>
      </c>
      <c r="C622" s="14" t="s">
        <v>4913</v>
      </c>
      <c r="D622" s="14" t="s">
        <v>4914</v>
      </c>
      <c r="E622" s="14" t="s">
        <v>4861</v>
      </c>
    </row>
    <row r="623" customFormat="false" ht="82.05" hidden="false" customHeight="false" outlineLevel="0" collapsed="false">
      <c r="A623" s="0" t="s">
        <v>270</v>
      </c>
      <c r="B623" s="0" t="s">
        <v>412</v>
      </c>
      <c r="C623" s="14" t="s">
        <v>4915</v>
      </c>
      <c r="D623" s="14" t="s">
        <v>4916</v>
      </c>
      <c r="E623" s="14" t="s">
        <v>4917</v>
      </c>
    </row>
    <row r="624" customFormat="false" ht="68.65" hidden="false" customHeight="false" outlineLevel="0" collapsed="false">
      <c r="A624" s="0" t="s">
        <v>368</v>
      </c>
      <c r="B624" s="0" t="s">
        <v>412</v>
      </c>
      <c r="C624" s="14" t="s">
        <v>4918</v>
      </c>
      <c r="D624" s="14" t="s">
        <v>4919</v>
      </c>
      <c r="E624" s="14" t="s">
        <v>4917</v>
      </c>
    </row>
    <row r="625" customFormat="false" ht="95.5" hidden="false" customHeight="false" outlineLevel="0" collapsed="false">
      <c r="A625" s="0" t="s">
        <v>352</v>
      </c>
      <c r="B625" s="0" t="s">
        <v>412</v>
      </c>
      <c r="C625" s="14" t="s">
        <v>4920</v>
      </c>
      <c r="D625" s="14" t="s">
        <v>4921</v>
      </c>
      <c r="E625" s="14" t="s">
        <v>4917</v>
      </c>
    </row>
    <row r="626" customFormat="false" ht="68.65" hidden="false" customHeight="false" outlineLevel="0" collapsed="false">
      <c r="A626" s="0" t="s">
        <v>411</v>
      </c>
      <c r="B626" s="0" t="s">
        <v>412</v>
      </c>
      <c r="C626" s="0" t="s">
        <v>4922</v>
      </c>
      <c r="D626" s="14" t="s">
        <v>4923</v>
      </c>
      <c r="E626" s="14" t="s">
        <v>4924</v>
      </c>
    </row>
    <row r="627" customFormat="false" ht="55.2" hidden="false" customHeight="false" outlineLevel="0" collapsed="false">
      <c r="A627" s="0" t="s">
        <v>737</v>
      </c>
      <c r="B627" s="0" t="s">
        <v>412</v>
      </c>
      <c r="C627" s="14" t="s">
        <v>4925</v>
      </c>
      <c r="D627" s="14" t="s">
        <v>4926</v>
      </c>
      <c r="E627" s="14" t="s">
        <v>4924</v>
      </c>
    </row>
    <row r="628" customFormat="false" ht="68.65" hidden="false" customHeight="false" outlineLevel="0" collapsed="false">
      <c r="A628" s="0" t="s">
        <v>741</v>
      </c>
      <c r="B628" s="0" t="s">
        <v>4862</v>
      </c>
      <c r="C628" s="14" t="s">
        <v>4927</v>
      </c>
      <c r="D628" s="14" t="s">
        <v>4928</v>
      </c>
      <c r="E628" s="14" t="s">
        <v>4929</v>
      </c>
    </row>
    <row r="629" customFormat="false" ht="55.2" hidden="false" customHeight="false" outlineLevel="0" collapsed="false">
      <c r="A629" s="0" t="s">
        <v>713</v>
      </c>
      <c r="B629" s="0" t="s">
        <v>4866</v>
      </c>
      <c r="C629" s="14" t="s">
        <v>4927</v>
      </c>
      <c r="D629" s="14" t="s">
        <v>4930</v>
      </c>
      <c r="E629" s="14" t="s">
        <v>4931</v>
      </c>
    </row>
    <row r="630" customFormat="false" ht="41.75" hidden="false" customHeight="false" outlineLevel="0" collapsed="false">
      <c r="A630" s="0" t="s">
        <v>524</v>
      </c>
      <c r="B630" s="0" t="s">
        <v>412</v>
      </c>
      <c r="C630" s="14" t="s">
        <v>4449</v>
      </c>
      <c r="D630" s="14" t="s">
        <v>4932</v>
      </c>
      <c r="E630" s="14" t="s">
        <v>4933</v>
      </c>
    </row>
    <row r="631" customFormat="false" ht="68.65" hidden="false" customHeight="false" outlineLevel="0" collapsed="false">
      <c r="A631" s="0" t="s">
        <v>1295</v>
      </c>
      <c r="B631" s="0" t="s">
        <v>4862</v>
      </c>
      <c r="C631" s="14" t="s">
        <v>4934</v>
      </c>
      <c r="D631" s="14" t="s">
        <v>4935</v>
      </c>
      <c r="E631" s="14" t="s">
        <v>4936</v>
      </c>
    </row>
    <row r="632" customFormat="false" ht="68.65" hidden="false" customHeight="false" outlineLevel="0" collapsed="false">
      <c r="A632" s="0" t="s">
        <v>1348</v>
      </c>
      <c r="B632" s="0" t="s">
        <v>4866</v>
      </c>
      <c r="C632" s="14" t="s">
        <v>4934</v>
      </c>
      <c r="D632" s="14" t="s">
        <v>4937</v>
      </c>
      <c r="E632" s="14" t="s">
        <v>4938</v>
      </c>
    </row>
    <row r="633" customFormat="false" ht="55.2" hidden="false" customHeight="false" outlineLevel="0" collapsed="false">
      <c r="A633" s="0" t="s">
        <v>520</v>
      </c>
      <c r="B633" s="0" t="s">
        <v>412</v>
      </c>
      <c r="C633" s="14" t="s">
        <v>4939</v>
      </c>
      <c r="D633" s="14" t="s">
        <v>4940</v>
      </c>
      <c r="E633" s="14" t="s">
        <v>4941</v>
      </c>
    </row>
    <row r="634" customFormat="false" ht="41.75" hidden="false" customHeight="false" outlineLevel="0" collapsed="false">
      <c r="A634" s="0" t="s">
        <v>556</v>
      </c>
      <c r="B634" s="0" t="s">
        <v>412</v>
      </c>
      <c r="C634" s="14" t="s">
        <v>4942</v>
      </c>
      <c r="D634" s="14" t="s">
        <v>4943</v>
      </c>
      <c r="E634" s="14" t="s">
        <v>4875</v>
      </c>
    </row>
    <row r="635" customFormat="false" ht="41.75" hidden="false" customHeight="false" outlineLevel="0" collapsed="false">
      <c r="A635" s="0" t="s">
        <v>793</v>
      </c>
      <c r="B635" s="0" t="s">
        <v>412</v>
      </c>
      <c r="C635" s="14" t="s">
        <v>4944</v>
      </c>
      <c r="E635" s="14" t="s">
        <v>4861</v>
      </c>
    </row>
    <row r="636" customFormat="false" ht="310.4" hidden="false" customHeight="false" outlineLevel="0" collapsed="false">
      <c r="A636" s="0" t="s">
        <v>104</v>
      </c>
      <c r="B636" s="0" t="s">
        <v>412</v>
      </c>
      <c r="C636" s="14" t="s">
        <v>4945</v>
      </c>
      <c r="D636" s="14" t="s">
        <v>4946</v>
      </c>
      <c r="E636" s="14" t="s">
        <v>4947</v>
      </c>
    </row>
    <row r="637" customFormat="false" ht="41.75" hidden="false" customHeight="false" outlineLevel="0" collapsed="false">
      <c r="A637" s="0" t="s">
        <v>1671</v>
      </c>
      <c r="B637" s="0" t="s">
        <v>412</v>
      </c>
      <c r="C637" s="0" t="s">
        <v>4948</v>
      </c>
      <c r="D637" s="14" t="s">
        <v>4949</v>
      </c>
      <c r="E637" s="14" t="s">
        <v>4950</v>
      </c>
    </row>
    <row r="638" customFormat="false" ht="95.5" hidden="false" customHeight="false" outlineLevel="0" collapsed="false">
      <c r="A638" s="0" t="s">
        <v>138</v>
      </c>
      <c r="B638" s="0" t="s">
        <v>412</v>
      </c>
      <c r="C638" s="14" t="s">
        <v>4951</v>
      </c>
      <c r="D638" s="14" t="s">
        <v>4952</v>
      </c>
      <c r="E638" s="14" t="s">
        <v>4953</v>
      </c>
    </row>
    <row r="639" customFormat="false" ht="95.5" hidden="false" customHeight="false" outlineLevel="0" collapsed="false">
      <c r="A639" s="0" t="s">
        <v>574</v>
      </c>
      <c r="B639" s="0" t="s">
        <v>412</v>
      </c>
      <c r="C639" s="14" t="s">
        <v>4954</v>
      </c>
      <c r="D639" s="14" t="s">
        <v>4955</v>
      </c>
      <c r="E639" s="14" t="s">
        <v>4956</v>
      </c>
    </row>
    <row r="640" customFormat="false" ht="41.75" hidden="false" customHeight="false" outlineLevel="0" collapsed="false">
      <c r="A640" s="0" t="s">
        <v>465</v>
      </c>
      <c r="B640" s="0" t="s">
        <v>412</v>
      </c>
      <c r="C640" s="14" t="s">
        <v>4957</v>
      </c>
      <c r="D640" s="14" t="s">
        <v>4958</v>
      </c>
      <c r="E640" s="14" t="s">
        <v>4959</v>
      </c>
    </row>
    <row r="641" customFormat="false" ht="82.05" hidden="false" customHeight="false" outlineLevel="0" collapsed="false">
      <c r="A641" s="0" t="s">
        <v>629</v>
      </c>
      <c r="B641" s="0" t="s">
        <v>412</v>
      </c>
      <c r="C641" s="14" t="s">
        <v>4960</v>
      </c>
      <c r="D641" s="14" t="s">
        <v>4961</v>
      </c>
      <c r="E641" s="14" t="s">
        <v>4962</v>
      </c>
    </row>
    <row r="642" customFormat="false" ht="122.35" hidden="false" customHeight="false" outlineLevel="0" collapsed="false">
      <c r="A642" s="0" t="s">
        <v>871</v>
      </c>
      <c r="B642" s="0" t="s">
        <v>412</v>
      </c>
      <c r="C642" s="14" t="s">
        <v>4963</v>
      </c>
      <c r="D642" s="14" t="s">
        <v>4964</v>
      </c>
      <c r="E642" s="14" t="s">
        <v>4965</v>
      </c>
    </row>
    <row r="643" customFormat="false" ht="55.2" hidden="false" customHeight="false" outlineLevel="0" collapsed="false">
      <c r="A643" s="0" t="s">
        <v>517</v>
      </c>
      <c r="B643" s="0" t="s">
        <v>4862</v>
      </c>
      <c r="C643" s="14" t="s">
        <v>4966</v>
      </c>
      <c r="D643" s="14" t="s">
        <v>4967</v>
      </c>
      <c r="E643" s="14" t="s">
        <v>4968</v>
      </c>
    </row>
    <row r="644" customFormat="false" ht="55.2" hidden="false" customHeight="false" outlineLevel="0" collapsed="false">
      <c r="A644" s="0" t="s">
        <v>514</v>
      </c>
      <c r="B644" s="0" t="s">
        <v>4866</v>
      </c>
      <c r="C644" s="14" t="s">
        <v>4966</v>
      </c>
      <c r="D644" s="14" t="s">
        <v>4969</v>
      </c>
      <c r="E644" s="14" t="s">
        <v>4970</v>
      </c>
    </row>
    <row r="645" customFormat="false" ht="41.75" hidden="false" customHeight="false" outlineLevel="0" collapsed="false">
      <c r="A645" s="0" t="s">
        <v>729</v>
      </c>
      <c r="B645" s="0" t="s">
        <v>4862</v>
      </c>
      <c r="C645" s="0" t="s">
        <v>4703</v>
      </c>
      <c r="D645" s="14" t="s">
        <v>4971</v>
      </c>
      <c r="E645" s="14" t="s">
        <v>4972</v>
      </c>
    </row>
    <row r="646" customFormat="false" ht="41.75" hidden="false" customHeight="false" outlineLevel="0" collapsed="false">
      <c r="A646" s="0" t="s">
        <v>755</v>
      </c>
      <c r="B646" s="0" t="s">
        <v>4866</v>
      </c>
      <c r="C646" s="0" t="s">
        <v>4703</v>
      </c>
      <c r="D646" s="14" t="s">
        <v>4973</v>
      </c>
      <c r="E646" s="14" t="s">
        <v>4972</v>
      </c>
    </row>
    <row r="647" customFormat="false" ht="122.35" hidden="false" customHeight="false" outlineLevel="0" collapsed="false">
      <c r="A647" s="0" t="s">
        <v>1188</v>
      </c>
      <c r="B647" s="0" t="s">
        <v>4862</v>
      </c>
      <c r="C647" s="14" t="s">
        <v>4974</v>
      </c>
      <c r="D647" s="14" t="s">
        <v>4975</v>
      </c>
      <c r="E647" s="14" t="s">
        <v>4976</v>
      </c>
    </row>
    <row r="648" customFormat="false" ht="122.35" hidden="false" customHeight="false" outlineLevel="0" collapsed="false">
      <c r="A648" s="0" t="s">
        <v>1083</v>
      </c>
      <c r="B648" s="0" t="s">
        <v>4866</v>
      </c>
      <c r="C648" s="14" t="s">
        <v>4974</v>
      </c>
      <c r="D648" s="14" t="s">
        <v>4977</v>
      </c>
      <c r="E648" s="14" t="s">
        <v>4978</v>
      </c>
    </row>
    <row r="649" customFormat="false" ht="41.75" hidden="false" customHeight="false" outlineLevel="0" collapsed="false">
      <c r="A649" s="0" t="s">
        <v>2214</v>
      </c>
      <c r="B649" s="0" t="s">
        <v>4862</v>
      </c>
      <c r="C649" s="14" t="s">
        <v>4979</v>
      </c>
      <c r="E649" s="14" t="s">
        <v>4980</v>
      </c>
    </row>
    <row r="650" customFormat="false" ht="41.75" hidden="false" customHeight="false" outlineLevel="0" collapsed="false">
      <c r="A650" s="0" t="s">
        <v>2060</v>
      </c>
      <c r="B650" s="0" t="s">
        <v>4866</v>
      </c>
      <c r="C650" s="14" t="s">
        <v>4979</v>
      </c>
      <c r="E650" s="14" t="s">
        <v>4981</v>
      </c>
    </row>
    <row r="651" customFormat="false" ht="68.65" hidden="false" customHeight="false" outlineLevel="0" collapsed="false">
      <c r="A651" s="0" t="s">
        <v>854</v>
      </c>
      <c r="B651" s="0" t="s">
        <v>412</v>
      </c>
      <c r="C651" s="14" t="s">
        <v>4982</v>
      </c>
      <c r="D651" s="14" t="s">
        <v>4983</v>
      </c>
      <c r="E651" s="14" t="s">
        <v>4984</v>
      </c>
    </row>
    <row r="652" customFormat="false" ht="41.75" hidden="false" customHeight="false" outlineLevel="0" collapsed="false">
      <c r="A652" s="0" t="s">
        <v>1062</v>
      </c>
      <c r="B652" s="0" t="s">
        <v>4862</v>
      </c>
      <c r="C652" s="0" t="s">
        <v>4985</v>
      </c>
      <c r="D652" s="14" t="s">
        <v>4986</v>
      </c>
      <c r="E652" s="14" t="s">
        <v>4880</v>
      </c>
    </row>
    <row r="653" customFormat="false" ht="41.75" hidden="false" customHeight="false" outlineLevel="0" collapsed="false">
      <c r="A653" s="0" t="s">
        <v>1091</v>
      </c>
      <c r="B653" s="0" t="s">
        <v>4866</v>
      </c>
      <c r="C653" s="0" t="s">
        <v>4985</v>
      </c>
      <c r="D653" s="14" t="s">
        <v>4987</v>
      </c>
      <c r="E653" s="14" t="s">
        <v>4882</v>
      </c>
    </row>
    <row r="654" customFormat="false" ht="68.65" hidden="false" customHeight="false" outlineLevel="0" collapsed="false">
      <c r="A654" s="0" t="s">
        <v>397</v>
      </c>
      <c r="B654" s="0" t="s">
        <v>412</v>
      </c>
      <c r="C654" s="14" t="s">
        <v>4988</v>
      </c>
      <c r="D654" s="14" t="s">
        <v>4989</v>
      </c>
      <c r="E654" s="14" t="s">
        <v>4858</v>
      </c>
    </row>
    <row r="655" customFormat="false" ht="41.75" hidden="false" customHeight="false" outlineLevel="0" collapsed="false">
      <c r="A655" s="0" t="s">
        <v>560</v>
      </c>
      <c r="B655" s="0" t="s">
        <v>412</v>
      </c>
      <c r="C655" s="14" t="s">
        <v>4990</v>
      </c>
      <c r="D655" s="14" t="s">
        <v>4991</v>
      </c>
      <c r="E655" s="14" t="s">
        <v>4992</v>
      </c>
    </row>
    <row r="656" customFormat="false" ht="55.2" hidden="false" customHeight="false" outlineLevel="0" collapsed="false">
      <c r="A656" s="0" t="s">
        <v>452</v>
      </c>
      <c r="B656" s="0" t="s">
        <v>412</v>
      </c>
      <c r="C656" s="0" t="s">
        <v>4628</v>
      </c>
      <c r="D656" s="14" t="s">
        <v>4993</v>
      </c>
      <c r="E656" s="14" t="s">
        <v>4994</v>
      </c>
    </row>
    <row r="657" customFormat="false" ht="95.5" hidden="false" customHeight="false" outlineLevel="0" collapsed="false">
      <c r="A657" s="0" t="s">
        <v>3081</v>
      </c>
      <c r="B657" s="0" t="s">
        <v>4862</v>
      </c>
      <c r="C657" s="14" t="s">
        <v>4995</v>
      </c>
      <c r="D657" s="14" t="s">
        <v>4996</v>
      </c>
      <c r="E657" s="14" t="s">
        <v>4997</v>
      </c>
    </row>
    <row r="658" customFormat="false" ht="95.5" hidden="false" customHeight="false" outlineLevel="0" collapsed="false">
      <c r="A658" s="0" t="s">
        <v>3016</v>
      </c>
      <c r="B658" s="0" t="s">
        <v>4866</v>
      </c>
      <c r="C658" s="14" t="s">
        <v>4995</v>
      </c>
      <c r="D658" s="14" t="s">
        <v>4998</v>
      </c>
      <c r="E658" s="14" t="s">
        <v>4999</v>
      </c>
    </row>
    <row r="659" customFormat="false" ht="82.05" hidden="false" customHeight="false" outlineLevel="0" collapsed="false">
      <c r="A659" s="0" t="s">
        <v>3354</v>
      </c>
      <c r="B659" s="0" t="s">
        <v>4862</v>
      </c>
      <c r="C659" s="14" t="s">
        <v>5000</v>
      </c>
      <c r="D659" s="14" t="s">
        <v>5001</v>
      </c>
      <c r="E659" s="14" t="s">
        <v>4936</v>
      </c>
    </row>
    <row r="660" customFormat="false" ht="82.05" hidden="false" customHeight="false" outlineLevel="0" collapsed="false">
      <c r="A660" s="0" t="s">
        <v>3441</v>
      </c>
      <c r="B660" s="0" t="s">
        <v>4866</v>
      </c>
      <c r="C660" s="14" t="s">
        <v>5000</v>
      </c>
      <c r="D660" s="14" t="s">
        <v>5002</v>
      </c>
      <c r="E660" s="14" t="s">
        <v>4938</v>
      </c>
    </row>
    <row r="661" customFormat="false" ht="108.95" hidden="false" customHeight="false" outlineLevel="0" collapsed="false">
      <c r="A661" s="0" t="s">
        <v>3159</v>
      </c>
      <c r="B661" s="0" t="s">
        <v>4862</v>
      </c>
      <c r="C661" s="14" t="s">
        <v>5003</v>
      </c>
      <c r="D661" s="14" t="s">
        <v>5004</v>
      </c>
      <c r="E661" s="14" t="s">
        <v>4936</v>
      </c>
    </row>
    <row r="662" customFormat="false" ht="108.95" hidden="false" customHeight="false" outlineLevel="0" collapsed="false">
      <c r="A662" s="0" t="s">
        <v>3083</v>
      </c>
      <c r="B662" s="0" t="s">
        <v>4866</v>
      </c>
      <c r="C662" s="14" t="s">
        <v>5003</v>
      </c>
      <c r="D662" s="14" t="s">
        <v>5005</v>
      </c>
      <c r="E662" s="14" t="s">
        <v>4978</v>
      </c>
    </row>
    <row r="663" customFormat="false" ht="68.65" hidden="false" customHeight="false" outlineLevel="0" collapsed="false">
      <c r="A663" s="0" t="s">
        <v>1531</v>
      </c>
      <c r="B663" s="0" t="s">
        <v>412</v>
      </c>
      <c r="C663" s="14" t="s">
        <v>5006</v>
      </c>
      <c r="D663" s="14" t="s">
        <v>5007</v>
      </c>
      <c r="E663" s="14" t="s">
        <v>4941</v>
      </c>
    </row>
    <row r="664" customFormat="false" ht="55.2" hidden="false" customHeight="false" outlineLevel="0" collapsed="false">
      <c r="A664" s="0" t="s">
        <v>1281</v>
      </c>
      <c r="B664" s="0" t="s">
        <v>5008</v>
      </c>
      <c r="C664" s="14" t="s">
        <v>4689</v>
      </c>
      <c r="D664" s="14" t="s">
        <v>5009</v>
      </c>
      <c r="E664" s="14" t="s">
        <v>5010</v>
      </c>
    </row>
    <row r="665" customFormat="false" ht="95.5" hidden="false" customHeight="false" outlineLevel="0" collapsed="false">
      <c r="A665" s="0" t="s">
        <v>1901</v>
      </c>
      <c r="B665" s="0" t="s">
        <v>4862</v>
      </c>
      <c r="C665" s="14" t="s">
        <v>5011</v>
      </c>
      <c r="D665" s="14" t="s">
        <v>5012</v>
      </c>
      <c r="E665" s="14" t="s">
        <v>4936</v>
      </c>
    </row>
    <row r="666" customFormat="false" ht="95.5" hidden="false" customHeight="false" outlineLevel="0" collapsed="false">
      <c r="A666" s="0" t="s">
        <v>2096</v>
      </c>
      <c r="B666" s="0" t="s">
        <v>4866</v>
      </c>
      <c r="C666" s="14" t="s">
        <v>5011</v>
      </c>
      <c r="D666" s="14" t="s">
        <v>5013</v>
      </c>
      <c r="E666" s="14" t="s">
        <v>4938</v>
      </c>
    </row>
    <row r="667" customFormat="false" ht="82.05" hidden="false" customHeight="false" outlineLevel="0" collapsed="false">
      <c r="A667" s="0" t="s">
        <v>1311</v>
      </c>
      <c r="B667" s="0" t="s">
        <v>412</v>
      </c>
      <c r="C667" s="14" t="s">
        <v>5014</v>
      </c>
      <c r="D667" s="14" t="s">
        <v>5015</v>
      </c>
      <c r="E667" s="14" t="s">
        <v>5016</v>
      </c>
    </row>
    <row r="668" customFormat="false" ht="55.2" hidden="false" customHeight="false" outlineLevel="0" collapsed="false">
      <c r="A668" s="0" t="s">
        <v>3530</v>
      </c>
      <c r="B668" s="0" t="s">
        <v>4862</v>
      </c>
      <c r="C668" s="14" t="s">
        <v>5017</v>
      </c>
      <c r="D668" s="14" t="s">
        <v>5018</v>
      </c>
      <c r="E668" s="14" t="s">
        <v>5019</v>
      </c>
    </row>
    <row r="669" customFormat="false" ht="55.2" hidden="false" customHeight="false" outlineLevel="0" collapsed="false">
      <c r="A669" s="0" t="s">
        <v>3471</v>
      </c>
      <c r="B669" s="0" t="s">
        <v>4866</v>
      </c>
      <c r="C669" s="14" t="s">
        <v>5017</v>
      </c>
      <c r="D669" s="14" t="s">
        <v>5020</v>
      </c>
      <c r="E669" s="14" t="s">
        <v>5021</v>
      </c>
    </row>
    <row r="670" customFormat="false" ht="82.05" hidden="false" customHeight="false" outlineLevel="0" collapsed="false">
      <c r="A670" s="0" t="s">
        <v>2616</v>
      </c>
      <c r="B670" s="0" t="s">
        <v>4862</v>
      </c>
      <c r="C670" s="14" t="s">
        <v>5022</v>
      </c>
      <c r="D670" s="14" t="s">
        <v>5023</v>
      </c>
      <c r="E670" s="14" t="s">
        <v>5024</v>
      </c>
    </row>
    <row r="671" customFormat="false" ht="82.05" hidden="false" customHeight="false" outlineLevel="0" collapsed="false">
      <c r="A671" s="0" t="s">
        <v>2656</v>
      </c>
      <c r="B671" s="0" t="s">
        <v>4866</v>
      </c>
      <c r="C671" s="14" t="s">
        <v>5022</v>
      </c>
      <c r="D671" s="14" t="s">
        <v>5025</v>
      </c>
      <c r="E671" s="14" t="s">
        <v>5026</v>
      </c>
    </row>
    <row r="672" customFormat="false" ht="68.65" hidden="false" customHeight="false" outlineLevel="0" collapsed="false">
      <c r="A672" s="0" t="s">
        <v>2643</v>
      </c>
      <c r="B672" s="0" t="s">
        <v>4862</v>
      </c>
      <c r="C672" s="0" t="s">
        <v>5027</v>
      </c>
      <c r="D672" s="14" t="s">
        <v>5028</v>
      </c>
      <c r="E672" s="14" t="s">
        <v>4997</v>
      </c>
    </row>
    <row r="673" customFormat="false" ht="68.65" hidden="false" customHeight="false" outlineLevel="0" collapsed="false">
      <c r="A673" s="0" t="s">
        <v>2514</v>
      </c>
      <c r="B673" s="0" t="s">
        <v>4866</v>
      </c>
      <c r="C673" s="0" t="s">
        <v>5027</v>
      </c>
      <c r="D673" s="14" t="s">
        <v>5029</v>
      </c>
      <c r="E673" s="14" t="s">
        <v>4999</v>
      </c>
    </row>
    <row r="674" customFormat="false" ht="68.65" hidden="false" customHeight="false" outlineLevel="0" collapsed="false">
      <c r="A674" s="0" t="s">
        <v>2424</v>
      </c>
      <c r="B674" s="0" t="s">
        <v>4862</v>
      </c>
      <c r="C674" s="14" t="s">
        <v>5030</v>
      </c>
      <c r="D674" s="14" t="s">
        <v>5031</v>
      </c>
      <c r="E674" s="14" t="s">
        <v>5032</v>
      </c>
    </row>
    <row r="675" customFormat="false" ht="68.65" hidden="false" customHeight="false" outlineLevel="0" collapsed="false">
      <c r="A675" s="0" t="s">
        <v>2383</v>
      </c>
      <c r="B675" s="0" t="s">
        <v>4866</v>
      </c>
      <c r="C675" s="14" t="s">
        <v>5030</v>
      </c>
      <c r="D675" s="14" t="s">
        <v>5033</v>
      </c>
      <c r="E675" s="14" t="s">
        <v>5034</v>
      </c>
    </row>
    <row r="676" customFormat="false" ht="41.75" hidden="false" customHeight="false" outlineLevel="0" collapsed="false">
      <c r="A676" s="0" t="s">
        <v>3379</v>
      </c>
      <c r="B676" s="0" t="s">
        <v>4862</v>
      </c>
      <c r="C676" s="0" t="s">
        <v>5035</v>
      </c>
      <c r="D676" s="14" t="s">
        <v>5036</v>
      </c>
      <c r="E676" s="14" t="s">
        <v>4997</v>
      </c>
    </row>
    <row r="677" customFormat="false" ht="41.75" hidden="false" customHeight="false" outlineLevel="0" collapsed="false">
      <c r="A677" s="0" t="s">
        <v>3555</v>
      </c>
      <c r="B677" s="0" t="s">
        <v>4866</v>
      </c>
      <c r="C677" s="0" t="s">
        <v>5035</v>
      </c>
      <c r="D677" s="14" t="s">
        <v>5037</v>
      </c>
      <c r="E677" s="14" t="s">
        <v>4999</v>
      </c>
    </row>
    <row r="678" customFormat="false" ht="82.05" hidden="false" customHeight="false" outlineLevel="0" collapsed="false">
      <c r="A678" s="0" t="s">
        <v>3381</v>
      </c>
      <c r="B678" s="0" t="s">
        <v>4862</v>
      </c>
      <c r="C678" s="14" t="s">
        <v>5038</v>
      </c>
      <c r="E678" s="14" t="s">
        <v>4976</v>
      </c>
    </row>
    <row r="679" customFormat="false" ht="82.05" hidden="false" customHeight="false" outlineLevel="0" collapsed="false">
      <c r="A679" s="0" t="s">
        <v>3421</v>
      </c>
      <c r="B679" s="0" t="s">
        <v>4866</v>
      </c>
      <c r="C679" s="14" t="s">
        <v>5038</v>
      </c>
      <c r="D679" s="14" t="s">
        <v>5039</v>
      </c>
      <c r="E679" s="14" t="s">
        <v>4978</v>
      </c>
    </row>
    <row r="680" customFormat="false" ht="95.5" hidden="false" customHeight="false" outlineLevel="0" collapsed="false">
      <c r="A680" s="0" t="s">
        <v>2825</v>
      </c>
      <c r="B680" s="0" t="s">
        <v>4862</v>
      </c>
      <c r="C680" s="14" t="s">
        <v>5040</v>
      </c>
      <c r="D680" s="14" t="s">
        <v>5041</v>
      </c>
      <c r="E680" s="14" t="s">
        <v>5024</v>
      </c>
    </row>
    <row r="681" customFormat="false" ht="95.5" hidden="false" customHeight="false" outlineLevel="0" collapsed="false">
      <c r="A681" s="0" t="s">
        <v>3443</v>
      </c>
      <c r="B681" s="0" t="s">
        <v>4866</v>
      </c>
      <c r="C681" s="14" t="s">
        <v>5040</v>
      </c>
      <c r="D681" s="14" t="s">
        <v>5042</v>
      </c>
      <c r="E681" s="14" t="s">
        <v>5026</v>
      </c>
    </row>
    <row r="682" customFormat="false" ht="55.2" hidden="false" customHeight="false" outlineLevel="0" collapsed="false">
      <c r="A682" s="0" t="s">
        <v>3649</v>
      </c>
      <c r="B682" s="0" t="s">
        <v>4862</v>
      </c>
      <c r="C682" s="14" t="s">
        <v>5043</v>
      </c>
      <c r="D682" s="14" t="s">
        <v>5044</v>
      </c>
      <c r="E682" s="14" t="s">
        <v>5045</v>
      </c>
    </row>
    <row r="683" customFormat="false" ht="55.2" hidden="false" customHeight="false" outlineLevel="0" collapsed="false">
      <c r="A683" s="0" t="s">
        <v>3651</v>
      </c>
      <c r="B683" s="0" t="s">
        <v>4866</v>
      </c>
      <c r="C683" s="14" t="s">
        <v>5043</v>
      </c>
      <c r="D683" s="14" t="s">
        <v>5046</v>
      </c>
      <c r="E683" s="14" t="s">
        <v>5047</v>
      </c>
    </row>
    <row r="684" customFormat="false" ht="108.95" hidden="false" customHeight="false" outlineLevel="0" collapsed="false">
      <c r="A684" s="0" t="s">
        <v>1533</v>
      </c>
      <c r="B684" s="0" t="s">
        <v>412</v>
      </c>
      <c r="C684" s="14" t="s">
        <v>5048</v>
      </c>
      <c r="D684" s="14" t="s">
        <v>5049</v>
      </c>
      <c r="E684" s="14" t="s">
        <v>4956</v>
      </c>
    </row>
    <row r="685" customFormat="false" ht="68.65" hidden="false" customHeight="false" outlineLevel="0" collapsed="false">
      <c r="A685" s="0" t="s">
        <v>2299</v>
      </c>
      <c r="B685" s="0" t="s">
        <v>412</v>
      </c>
      <c r="C685" s="0" t="s">
        <v>4088</v>
      </c>
      <c r="D685" s="14" t="s">
        <v>5050</v>
      </c>
      <c r="E685" s="14" t="s">
        <v>5051</v>
      </c>
    </row>
    <row r="686" customFormat="false" ht="41.75" hidden="false" customHeight="false" outlineLevel="0" collapsed="false">
      <c r="A686" s="0" t="s">
        <v>2181</v>
      </c>
      <c r="B686" s="0" t="s">
        <v>412</v>
      </c>
      <c r="C686" s="14" t="s">
        <v>5052</v>
      </c>
      <c r="D686" s="14" t="s">
        <v>5053</v>
      </c>
      <c r="E686" s="14" t="s">
        <v>5054</v>
      </c>
    </row>
    <row r="687" customFormat="false" ht="41.75" hidden="false" customHeight="false" outlineLevel="0" collapsed="false">
      <c r="A687" s="0" t="s">
        <v>2264</v>
      </c>
      <c r="B687" s="0" t="s">
        <v>4862</v>
      </c>
      <c r="C687" s="0" t="s">
        <v>5055</v>
      </c>
      <c r="D687" s="14" t="s">
        <v>5056</v>
      </c>
      <c r="E687" s="14" t="s">
        <v>5057</v>
      </c>
    </row>
    <row r="688" customFormat="false" ht="41.75" hidden="false" customHeight="false" outlineLevel="0" collapsed="false">
      <c r="A688" s="0" t="s">
        <v>2071</v>
      </c>
      <c r="B688" s="0" t="s">
        <v>4866</v>
      </c>
      <c r="C688" s="0" t="s">
        <v>5055</v>
      </c>
      <c r="D688" s="14" t="s">
        <v>5058</v>
      </c>
      <c r="E688" s="14" t="s">
        <v>5059</v>
      </c>
    </row>
    <row r="689" customFormat="false" ht="82.05" hidden="false" customHeight="false" outlineLevel="0" collapsed="false">
      <c r="A689" s="0" t="s">
        <v>3018</v>
      </c>
      <c r="B689" s="0" t="s">
        <v>412</v>
      </c>
      <c r="C689" s="14" t="s">
        <v>5060</v>
      </c>
      <c r="D689" s="14" t="s">
        <v>5061</v>
      </c>
      <c r="E689" s="14" t="s">
        <v>5062</v>
      </c>
    </row>
    <row r="690" customFormat="false" ht="82.05" hidden="false" customHeight="false" outlineLevel="0" collapsed="false">
      <c r="A690" s="0" t="s">
        <v>3320</v>
      </c>
      <c r="B690" s="0" t="s">
        <v>412</v>
      </c>
      <c r="C690" s="14" t="s">
        <v>5063</v>
      </c>
      <c r="D690" s="14" t="s">
        <v>5064</v>
      </c>
      <c r="E690" s="14" t="s">
        <v>4912</v>
      </c>
    </row>
    <row r="691" customFormat="false" ht="162.65" hidden="false" customHeight="false" outlineLevel="0" collapsed="false">
      <c r="A691" s="0" t="s">
        <v>1790</v>
      </c>
      <c r="B691" s="0" t="s">
        <v>412</v>
      </c>
      <c r="C691" s="14" t="s">
        <v>5065</v>
      </c>
      <c r="D691" s="14" t="s">
        <v>5066</v>
      </c>
      <c r="E691" s="14" t="s">
        <v>4956</v>
      </c>
    </row>
    <row r="692" customFormat="false" ht="55.2" hidden="false" customHeight="false" outlineLevel="0" collapsed="false">
      <c r="A692" s="0" t="s">
        <v>2338</v>
      </c>
      <c r="B692" s="0" t="s">
        <v>4862</v>
      </c>
      <c r="C692" s="14" t="s">
        <v>5067</v>
      </c>
      <c r="D692" s="14" t="s">
        <v>5068</v>
      </c>
      <c r="E692" s="14" t="s">
        <v>5069</v>
      </c>
    </row>
    <row r="693" customFormat="false" ht="55.2" hidden="false" customHeight="false" outlineLevel="0" collapsed="false">
      <c r="A693" s="0" t="s">
        <v>2416</v>
      </c>
      <c r="B693" s="0" t="s">
        <v>4866</v>
      </c>
      <c r="C693" s="14" t="s">
        <v>5067</v>
      </c>
      <c r="D693" s="14" t="s">
        <v>5070</v>
      </c>
      <c r="E693" s="14" t="s">
        <v>5071</v>
      </c>
    </row>
    <row r="694" customFormat="false" ht="55.2" hidden="false" customHeight="false" outlineLevel="0" collapsed="false">
      <c r="A694" s="0" t="s">
        <v>1734</v>
      </c>
      <c r="B694" s="0" t="s">
        <v>412</v>
      </c>
      <c r="C694" s="14" t="s">
        <v>5072</v>
      </c>
      <c r="D694" s="14" t="s">
        <v>5073</v>
      </c>
      <c r="E694" s="14" t="s">
        <v>4950</v>
      </c>
    </row>
    <row r="695" customFormat="false" ht="41.75" hidden="false" customHeight="false" outlineLevel="0" collapsed="false">
      <c r="A695" s="0" t="s">
        <v>1316</v>
      </c>
      <c r="B695" s="0" t="s">
        <v>412</v>
      </c>
      <c r="C695" s="14" t="s">
        <v>5074</v>
      </c>
      <c r="D695" s="14" t="s">
        <v>5075</v>
      </c>
      <c r="E695" s="14" t="s">
        <v>5016</v>
      </c>
    </row>
    <row r="696" customFormat="false" ht="41.75" hidden="false" customHeight="false" outlineLevel="0" collapsed="false">
      <c r="A696" s="0" t="s">
        <v>2277</v>
      </c>
      <c r="B696" s="0" t="s">
        <v>412</v>
      </c>
      <c r="C696" s="0" t="s">
        <v>5076</v>
      </c>
      <c r="D696" s="0" t="s">
        <v>5077</v>
      </c>
      <c r="E696" s="14" t="s">
        <v>4933</v>
      </c>
    </row>
    <row r="697" customFormat="false" ht="323.85" hidden="false" customHeight="false" outlineLevel="0" collapsed="false">
      <c r="A697" s="0" t="s">
        <v>908</v>
      </c>
      <c r="B697" s="0" t="s">
        <v>412</v>
      </c>
      <c r="C697" s="14" t="s">
        <v>5078</v>
      </c>
      <c r="D697" s="14" t="s">
        <v>5079</v>
      </c>
      <c r="E697" s="14" t="s">
        <v>5016</v>
      </c>
    </row>
    <row r="698" customFormat="false" ht="270.1" hidden="false" customHeight="false" outlineLevel="0" collapsed="false">
      <c r="A698" s="0" t="s">
        <v>1279</v>
      </c>
      <c r="B698" s="0" t="s">
        <v>5080</v>
      </c>
      <c r="C698" s="14" t="s">
        <v>5081</v>
      </c>
      <c r="D698" s="14" t="s">
        <v>5082</v>
      </c>
      <c r="E698" s="14" t="s">
        <v>5083</v>
      </c>
    </row>
    <row r="699" customFormat="false" ht="55.2" hidden="false" customHeight="false" outlineLevel="0" collapsed="false">
      <c r="A699" s="0" t="s">
        <v>1686</v>
      </c>
      <c r="B699" s="0" t="s">
        <v>5084</v>
      </c>
      <c r="C699" s="14" t="s">
        <v>4689</v>
      </c>
      <c r="D699" s="14" t="s">
        <v>5009</v>
      </c>
      <c r="E699" s="14" t="s">
        <v>5085</v>
      </c>
    </row>
    <row r="700" customFormat="false" ht="108.95" hidden="false" customHeight="false" outlineLevel="0" collapsed="false">
      <c r="A700" s="0" t="s">
        <v>2549</v>
      </c>
      <c r="B700" s="0" t="s">
        <v>412</v>
      </c>
      <c r="C700" s="14" t="s">
        <v>5086</v>
      </c>
      <c r="D700" s="14" t="s">
        <v>5087</v>
      </c>
      <c r="E700" s="14" t="s">
        <v>5088</v>
      </c>
    </row>
    <row r="701" customFormat="false" ht="55.2" hidden="false" customHeight="false" outlineLevel="0" collapsed="false">
      <c r="A701" s="0" t="s">
        <v>2690</v>
      </c>
      <c r="B701" s="0" t="s">
        <v>5089</v>
      </c>
      <c r="C701" s="14" t="s">
        <v>5090</v>
      </c>
      <c r="D701" s="14" t="s">
        <v>5091</v>
      </c>
      <c r="E701" s="14" t="s">
        <v>5092</v>
      </c>
    </row>
    <row r="702" customFormat="false" ht="95.5" hidden="false" customHeight="false" outlineLevel="0" collapsed="false">
      <c r="A702" s="0" t="s">
        <v>2801</v>
      </c>
      <c r="B702" s="0" t="s">
        <v>412</v>
      </c>
      <c r="C702" s="14" t="s">
        <v>5093</v>
      </c>
      <c r="D702" s="14" t="s">
        <v>5094</v>
      </c>
      <c r="E702" s="14" t="s">
        <v>5088</v>
      </c>
    </row>
    <row r="703" customFormat="false" ht="82.05" hidden="false" customHeight="false" outlineLevel="0" collapsed="false">
      <c r="A703" s="0" t="s">
        <v>2536</v>
      </c>
      <c r="B703" s="0" t="s">
        <v>412</v>
      </c>
      <c r="C703" s="14" t="s">
        <v>5095</v>
      </c>
      <c r="D703" s="14" t="s">
        <v>5096</v>
      </c>
      <c r="E703" s="14" t="s">
        <v>4950</v>
      </c>
    </row>
    <row r="704" customFormat="false" ht="95.5" hidden="false" customHeight="false" outlineLevel="0" collapsed="false">
      <c r="A704" s="0" t="s">
        <v>1620</v>
      </c>
      <c r="B704" s="0" t="s">
        <v>412</v>
      </c>
      <c r="C704" s="14" t="s">
        <v>5097</v>
      </c>
      <c r="D704" s="14" t="s">
        <v>5098</v>
      </c>
      <c r="E704" s="14" t="s">
        <v>4956</v>
      </c>
    </row>
    <row r="705" customFormat="false" ht="176.1" hidden="false" customHeight="false" outlineLevel="0" collapsed="false">
      <c r="A705" s="0" t="s">
        <v>768</v>
      </c>
      <c r="B705" s="0" t="s">
        <v>412</v>
      </c>
      <c r="C705" s="14" t="s">
        <v>5099</v>
      </c>
      <c r="D705" s="14" t="s">
        <v>5100</v>
      </c>
      <c r="E705" s="14" t="s">
        <v>5101</v>
      </c>
    </row>
    <row r="706" customFormat="false" ht="68.65" hidden="false" customHeight="false" outlineLevel="0" collapsed="false">
      <c r="A706" s="0" t="s">
        <v>1613</v>
      </c>
      <c r="B706" s="0" t="s">
        <v>5102</v>
      </c>
      <c r="C706" s="14" t="s">
        <v>4856</v>
      </c>
      <c r="D706" s="14" t="s">
        <v>4857</v>
      </c>
      <c r="E706" s="14" t="s">
        <v>4858</v>
      </c>
    </row>
    <row r="707" customFormat="false" ht="108.95" hidden="false" customHeight="false" outlineLevel="0" collapsed="false">
      <c r="A707" s="0" t="s">
        <v>2447</v>
      </c>
      <c r="B707" s="0" t="s">
        <v>412</v>
      </c>
      <c r="C707" s="14" t="s">
        <v>5103</v>
      </c>
      <c r="D707" s="14" t="s">
        <v>5104</v>
      </c>
      <c r="E707" s="14" t="s">
        <v>4956</v>
      </c>
    </row>
    <row r="708" customFormat="false" ht="82.05" hidden="false" customHeight="false" outlineLevel="0" collapsed="false">
      <c r="A708" s="0" t="s">
        <v>1125</v>
      </c>
      <c r="B708" s="0" t="s">
        <v>412</v>
      </c>
      <c r="C708" s="14" t="s">
        <v>5105</v>
      </c>
      <c r="D708" s="14" t="s">
        <v>5106</v>
      </c>
      <c r="E708" s="14" t="s">
        <v>5107</v>
      </c>
    </row>
    <row r="709" customFormat="false" ht="41.75" hidden="false" customHeight="false" outlineLevel="0" collapsed="false">
      <c r="A709" s="0" t="s">
        <v>1444</v>
      </c>
      <c r="B709" s="0" t="s">
        <v>412</v>
      </c>
      <c r="C709" s="14" t="s">
        <v>5108</v>
      </c>
      <c r="D709" s="14" t="s">
        <v>5109</v>
      </c>
      <c r="E709" s="14" t="s">
        <v>4858</v>
      </c>
    </row>
    <row r="710" customFormat="false" ht="323.85" hidden="false" customHeight="false" outlineLevel="0" collapsed="false">
      <c r="A710" s="0" t="s">
        <v>986</v>
      </c>
      <c r="B710" s="0" t="s">
        <v>412</v>
      </c>
      <c r="C710" s="14" t="s">
        <v>5110</v>
      </c>
      <c r="D710" s="14" t="s">
        <v>5111</v>
      </c>
      <c r="E710" s="14" t="s">
        <v>4858</v>
      </c>
    </row>
    <row r="711" customFormat="false" ht="68.65" hidden="false" customHeight="false" outlineLevel="0" collapsed="false">
      <c r="A711" s="0" t="s">
        <v>2592</v>
      </c>
      <c r="B711" s="0" t="s">
        <v>412</v>
      </c>
      <c r="C711" s="14" t="s">
        <v>5112</v>
      </c>
      <c r="D711" s="14" t="s">
        <v>5113</v>
      </c>
      <c r="E711" s="14" t="s">
        <v>5114</v>
      </c>
    </row>
    <row r="712" customFormat="false" ht="55.2" hidden="false" customHeight="false" outlineLevel="0" collapsed="false">
      <c r="A712" s="0" t="s">
        <v>3537</v>
      </c>
      <c r="B712" s="0" t="s">
        <v>412</v>
      </c>
      <c r="C712" s="14" t="s">
        <v>5115</v>
      </c>
      <c r="D712" s="14" t="s">
        <v>5116</v>
      </c>
      <c r="E712" s="14" t="s">
        <v>5117</v>
      </c>
    </row>
    <row r="713" customFormat="false" ht="55.2" hidden="false" customHeight="false" outlineLevel="0" collapsed="false">
      <c r="A713" s="0" t="s">
        <v>2959</v>
      </c>
      <c r="B713" s="0" t="s">
        <v>5118</v>
      </c>
      <c r="C713" s="14" t="s">
        <v>5090</v>
      </c>
      <c r="D713" s="14" t="s">
        <v>5091</v>
      </c>
      <c r="E713" s="14" t="s">
        <v>5119</v>
      </c>
    </row>
    <row r="714" customFormat="false" ht="189.55" hidden="false" customHeight="false" outlineLevel="0" collapsed="false">
      <c r="A714" s="0" t="s">
        <v>1892</v>
      </c>
      <c r="B714" s="0" t="s">
        <v>412</v>
      </c>
      <c r="C714" s="14" t="s">
        <v>5120</v>
      </c>
      <c r="D714" s="14" t="s">
        <v>5121</v>
      </c>
      <c r="E714" s="14" t="s">
        <v>5122</v>
      </c>
    </row>
    <row r="715" customFormat="false" ht="41.75" hidden="false" customHeight="false" outlineLevel="0" collapsed="false">
      <c r="A715" s="0" t="s">
        <v>3014</v>
      </c>
      <c r="B715" s="0" t="s">
        <v>412</v>
      </c>
      <c r="C715" s="14" t="s">
        <v>5123</v>
      </c>
      <c r="D715" s="14" t="s">
        <v>5124</v>
      </c>
      <c r="E715" s="14" t="s">
        <v>5016</v>
      </c>
    </row>
    <row r="716" customFormat="false" ht="270.1" hidden="false" customHeight="false" outlineLevel="0" collapsed="false">
      <c r="A716" s="0" t="s">
        <v>1264</v>
      </c>
      <c r="B716" s="0" t="s">
        <v>5125</v>
      </c>
      <c r="C716" s="14" t="s">
        <v>5081</v>
      </c>
      <c r="D716" s="14" t="s">
        <v>5082</v>
      </c>
      <c r="E716" s="14" t="s">
        <v>5126</v>
      </c>
    </row>
    <row r="717" customFormat="false" ht="55.2" hidden="false" customHeight="false" outlineLevel="0" collapsed="false">
      <c r="A717" s="0" t="s">
        <v>3045</v>
      </c>
      <c r="B717" s="0" t="s">
        <v>412</v>
      </c>
      <c r="C717" s="14" t="s">
        <v>5127</v>
      </c>
      <c r="D717" s="14" t="s">
        <v>5128</v>
      </c>
      <c r="E717" s="14" t="s">
        <v>4956</v>
      </c>
    </row>
    <row r="718" customFormat="false" ht="323.85" hidden="false" customHeight="false" outlineLevel="0" collapsed="false">
      <c r="A718" s="0" t="s">
        <v>764</v>
      </c>
      <c r="B718" s="0" t="s">
        <v>412</v>
      </c>
      <c r="C718" s="14" t="s">
        <v>5129</v>
      </c>
      <c r="D718" s="14" t="s">
        <v>5130</v>
      </c>
      <c r="E718" s="14" t="s">
        <v>4956</v>
      </c>
    </row>
    <row r="719" customFormat="false" ht="55.2" hidden="false" customHeight="false" outlineLevel="0" collapsed="false">
      <c r="A719" s="0" t="s">
        <v>2612</v>
      </c>
      <c r="B719" s="0" t="s">
        <v>412</v>
      </c>
      <c r="C719" s="14" t="s">
        <v>5131</v>
      </c>
      <c r="D719" s="14" t="s">
        <v>5132</v>
      </c>
      <c r="E719" s="14" t="s">
        <v>5133</v>
      </c>
    </row>
    <row r="720" customFormat="false" ht="68.65" hidden="false" customHeight="false" outlineLevel="0" collapsed="false">
      <c r="A720" s="0" t="s">
        <v>932</v>
      </c>
      <c r="B720" s="0" t="s">
        <v>32</v>
      </c>
      <c r="C720" s="14" t="s">
        <v>5134</v>
      </c>
      <c r="D720" s="14" t="s">
        <v>5135</v>
      </c>
      <c r="E720" s="0" t="s">
        <v>5136</v>
      </c>
    </row>
    <row r="721" customFormat="false" ht="41.75" hidden="false" customHeight="false" outlineLevel="0" collapsed="false">
      <c r="A721" s="0" t="s">
        <v>1517</v>
      </c>
      <c r="B721" s="0" t="s">
        <v>32</v>
      </c>
      <c r="C721" s="14" t="s">
        <v>5137</v>
      </c>
      <c r="D721" s="14" t="s">
        <v>5138</v>
      </c>
    </row>
    <row r="722" customFormat="false" ht="55.2" hidden="false" customHeight="false" outlineLevel="0" collapsed="false">
      <c r="A722" s="0" t="s">
        <v>437</v>
      </c>
      <c r="B722" s="0" t="s">
        <v>32</v>
      </c>
      <c r="C722" s="14" t="s">
        <v>5139</v>
      </c>
      <c r="D722" s="14" t="s">
        <v>5140</v>
      </c>
      <c r="E722" s="14" t="s">
        <v>5141</v>
      </c>
    </row>
    <row r="723" customFormat="false" ht="108.95" hidden="false" customHeight="false" outlineLevel="0" collapsed="false">
      <c r="A723" s="0" t="s">
        <v>467</v>
      </c>
      <c r="B723" s="0" t="s">
        <v>32</v>
      </c>
      <c r="C723" s="14" t="s">
        <v>5142</v>
      </c>
      <c r="D723" s="14" t="s">
        <v>5143</v>
      </c>
      <c r="E723" s="0" t="s">
        <v>5144</v>
      </c>
    </row>
    <row r="724" customFormat="false" ht="135.8" hidden="false" customHeight="false" outlineLevel="0" collapsed="false">
      <c r="A724" s="0" t="s">
        <v>951</v>
      </c>
      <c r="B724" s="0" t="s">
        <v>32</v>
      </c>
      <c r="C724" s="14" t="s">
        <v>5145</v>
      </c>
      <c r="D724" s="14" t="s">
        <v>5146</v>
      </c>
      <c r="E724" s="14" t="s">
        <v>5147</v>
      </c>
    </row>
    <row r="725" customFormat="false" ht="82.05" hidden="false" customHeight="false" outlineLevel="0" collapsed="false">
      <c r="A725" s="0" t="s">
        <v>823</v>
      </c>
      <c r="B725" s="0" t="s">
        <v>32</v>
      </c>
      <c r="C725" s="14" t="s">
        <v>5148</v>
      </c>
      <c r="D725" s="14" t="s">
        <v>5149</v>
      </c>
      <c r="E725" s="0" t="s">
        <v>5136</v>
      </c>
    </row>
    <row r="726" customFormat="false" ht="55.2" hidden="false" customHeight="false" outlineLevel="0" collapsed="false">
      <c r="A726" s="0" t="s">
        <v>669</v>
      </c>
      <c r="B726" s="0" t="s">
        <v>32</v>
      </c>
      <c r="C726" s="14" t="s">
        <v>5150</v>
      </c>
      <c r="D726" s="14" t="s">
        <v>5151</v>
      </c>
      <c r="E726" s="0" t="s">
        <v>5144</v>
      </c>
    </row>
    <row r="727" customFormat="false" ht="55.2" hidden="false" customHeight="false" outlineLevel="0" collapsed="false">
      <c r="A727" s="0" t="s">
        <v>333</v>
      </c>
      <c r="B727" s="0" t="s">
        <v>32</v>
      </c>
      <c r="C727" s="14" t="s">
        <v>5152</v>
      </c>
      <c r="D727" s="14" t="s">
        <v>5153</v>
      </c>
      <c r="E727" s="0" t="s">
        <v>5154</v>
      </c>
    </row>
    <row r="728" customFormat="false" ht="82.05" hidden="false" customHeight="false" outlineLevel="0" collapsed="false">
      <c r="A728" s="0" t="s">
        <v>1669</v>
      </c>
      <c r="B728" s="0" t="s">
        <v>32</v>
      </c>
      <c r="C728" s="14" t="s">
        <v>5155</v>
      </c>
      <c r="D728" s="14" t="s">
        <v>5156</v>
      </c>
      <c r="E728" s="0" t="s">
        <v>5157</v>
      </c>
    </row>
    <row r="729" customFormat="false" ht="55.2" hidden="false" customHeight="false" outlineLevel="0" collapsed="false">
      <c r="A729" s="0" t="s">
        <v>1012</v>
      </c>
      <c r="B729" s="0" t="s">
        <v>32</v>
      </c>
      <c r="C729" s="14" t="s">
        <v>5158</v>
      </c>
      <c r="D729" s="14" t="s">
        <v>5159</v>
      </c>
    </row>
    <row r="730" customFormat="false" ht="41.75" hidden="false" customHeight="false" outlineLevel="0" collapsed="false">
      <c r="A730" s="0" t="s">
        <v>362</v>
      </c>
      <c r="B730" s="0" t="s">
        <v>32</v>
      </c>
      <c r="C730" s="14" t="s">
        <v>5160</v>
      </c>
      <c r="D730" s="14" t="s">
        <v>5161</v>
      </c>
      <c r="E730" s="0" t="s">
        <v>5162</v>
      </c>
    </row>
    <row r="731" customFormat="false" ht="55.2" hidden="false" customHeight="false" outlineLevel="0" collapsed="false">
      <c r="A731" s="0" t="s">
        <v>686</v>
      </c>
      <c r="B731" s="0" t="s">
        <v>32</v>
      </c>
      <c r="C731" s="0" t="s">
        <v>5163</v>
      </c>
      <c r="D731" s="14" t="s">
        <v>5164</v>
      </c>
      <c r="E731" s="0" t="s">
        <v>5165</v>
      </c>
    </row>
    <row r="732" customFormat="false" ht="68.65" hidden="false" customHeight="false" outlineLevel="0" collapsed="false">
      <c r="A732" s="0" t="s">
        <v>473</v>
      </c>
      <c r="B732" s="0" t="s">
        <v>32</v>
      </c>
      <c r="C732" s="14" t="s">
        <v>5166</v>
      </c>
      <c r="D732" s="14" t="s">
        <v>5167</v>
      </c>
      <c r="E732" s="0" t="s">
        <v>5144</v>
      </c>
    </row>
    <row r="733" customFormat="false" ht="55.2" hidden="false" customHeight="false" outlineLevel="0" collapsed="false">
      <c r="A733" s="0" t="s">
        <v>5168</v>
      </c>
      <c r="B733" s="0" t="s">
        <v>32</v>
      </c>
      <c r="C733" s="14" t="s">
        <v>5169</v>
      </c>
      <c r="D733" s="14" t="s">
        <v>5170</v>
      </c>
    </row>
    <row r="734" customFormat="false" ht="41.75" hidden="false" customHeight="false" outlineLevel="0" collapsed="false">
      <c r="A734" s="0" t="s">
        <v>545</v>
      </c>
      <c r="B734" s="0" t="s">
        <v>32</v>
      </c>
      <c r="C734" s="14" t="s">
        <v>5171</v>
      </c>
      <c r="D734" s="14" t="s">
        <v>5172</v>
      </c>
      <c r="E734" s="0" t="s">
        <v>5165</v>
      </c>
    </row>
    <row r="735" customFormat="false" ht="55.2" hidden="false" customHeight="false" outlineLevel="0" collapsed="false">
      <c r="A735" s="0" t="s">
        <v>1273</v>
      </c>
      <c r="B735" s="0" t="s">
        <v>32</v>
      </c>
      <c r="C735" s="0" t="s">
        <v>5173</v>
      </c>
      <c r="D735" s="14" t="s">
        <v>5174</v>
      </c>
      <c r="E735" s="0" t="s">
        <v>5144</v>
      </c>
    </row>
    <row r="736" customFormat="false" ht="55.2" hidden="false" customHeight="false" outlineLevel="0" collapsed="false">
      <c r="A736" s="0" t="s">
        <v>415</v>
      </c>
      <c r="B736" s="0" t="s">
        <v>32</v>
      </c>
      <c r="C736" s="14" t="s">
        <v>5175</v>
      </c>
      <c r="E736" s="0" t="s">
        <v>5154</v>
      </c>
    </row>
    <row r="737" customFormat="false" ht="28.35" hidden="false" customHeight="false" outlineLevel="0" collapsed="false">
      <c r="A737" s="0" t="s">
        <v>48</v>
      </c>
      <c r="B737" s="0" t="s">
        <v>32</v>
      </c>
      <c r="C737" s="14" t="s">
        <v>5176</v>
      </c>
      <c r="E737" s="0" t="s">
        <v>5177</v>
      </c>
    </row>
    <row r="738" customFormat="false" ht="55.2" hidden="false" customHeight="false" outlineLevel="0" collapsed="false">
      <c r="A738" s="0" t="s">
        <v>1014</v>
      </c>
      <c r="B738" s="0" t="s">
        <v>32</v>
      </c>
      <c r="C738" s="14" t="s">
        <v>5178</v>
      </c>
      <c r="D738" s="14" t="s">
        <v>5179</v>
      </c>
      <c r="E738" s="0" t="s">
        <v>5180</v>
      </c>
    </row>
    <row r="739" customFormat="false" ht="15" hidden="false" customHeight="false" outlineLevel="0" collapsed="false">
      <c r="A739" s="0" t="s">
        <v>651</v>
      </c>
      <c r="B739" s="0" t="s">
        <v>32</v>
      </c>
      <c r="C739" s="0" t="s">
        <v>5181</v>
      </c>
      <c r="D739" s="0" t="s">
        <v>652</v>
      </c>
      <c r="E739" s="0" t="s">
        <v>5154</v>
      </c>
    </row>
    <row r="740" customFormat="false" ht="15" hidden="false" customHeight="false" outlineLevel="0" collapsed="false">
      <c r="A740" s="0" t="s">
        <v>1252</v>
      </c>
      <c r="B740" s="0" t="s">
        <v>32</v>
      </c>
      <c r="C740" s="0" t="s">
        <v>5182</v>
      </c>
      <c r="D740" s="0" t="s">
        <v>1253</v>
      </c>
    </row>
    <row r="741" customFormat="false" ht="55.2" hidden="false" customHeight="false" outlineLevel="0" collapsed="false">
      <c r="A741" s="0" t="s">
        <v>1467</v>
      </c>
      <c r="B741" s="0" t="s">
        <v>32</v>
      </c>
      <c r="C741" s="0" t="s">
        <v>5183</v>
      </c>
      <c r="D741" s="14" t="s">
        <v>5184</v>
      </c>
      <c r="E741" s="0" t="s">
        <v>5165</v>
      </c>
    </row>
    <row r="742" customFormat="false" ht="55.2" hidden="false" customHeight="false" outlineLevel="0" collapsed="false">
      <c r="A742" s="0" t="s">
        <v>850</v>
      </c>
      <c r="B742" s="0" t="s">
        <v>32</v>
      </c>
      <c r="C742" s="14" t="s">
        <v>5185</v>
      </c>
      <c r="D742" s="14" t="s">
        <v>5186</v>
      </c>
    </row>
    <row r="743" customFormat="false" ht="15" hidden="false" customHeight="false" outlineLevel="0" collapsed="false">
      <c r="A743" s="0" t="s">
        <v>1165</v>
      </c>
      <c r="B743" s="0" t="s">
        <v>32</v>
      </c>
      <c r="C743" s="0" t="s">
        <v>5187</v>
      </c>
      <c r="D743" s="0" t="s">
        <v>1166</v>
      </c>
      <c r="E743" s="0" t="s">
        <v>5136</v>
      </c>
    </row>
    <row r="744" customFormat="false" ht="28.35" hidden="false" customHeight="false" outlineLevel="0" collapsed="false">
      <c r="A744" s="0" t="s">
        <v>1554</v>
      </c>
      <c r="B744" s="0" t="s">
        <v>32</v>
      </c>
      <c r="C744" s="14" t="s">
        <v>5188</v>
      </c>
      <c r="E744" s="0" t="s">
        <v>5165</v>
      </c>
    </row>
    <row r="745" customFormat="false" ht="28.35" hidden="false" customHeight="false" outlineLevel="0" collapsed="false">
      <c r="A745" s="0" t="s">
        <v>777</v>
      </c>
      <c r="B745" s="0" t="s">
        <v>32</v>
      </c>
      <c r="C745" s="14" t="s">
        <v>5189</v>
      </c>
      <c r="E745" s="14" t="s">
        <v>5190</v>
      </c>
    </row>
    <row r="746" customFormat="false" ht="28.35" hidden="false" customHeight="false" outlineLevel="0" collapsed="false">
      <c r="A746" s="0" t="s">
        <v>317</v>
      </c>
      <c r="B746" s="0" t="s">
        <v>32</v>
      </c>
      <c r="C746" s="14" t="s">
        <v>5189</v>
      </c>
      <c r="E746" s="14" t="s">
        <v>5191</v>
      </c>
    </row>
    <row r="747" customFormat="false" ht="15" hidden="false" customHeight="false" outlineLevel="0" collapsed="false">
      <c r="A747" s="0" t="s">
        <v>1251</v>
      </c>
      <c r="B747" s="0" t="s">
        <v>32</v>
      </c>
      <c r="C747" s="0" t="s">
        <v>5192</v>
      </c>
      <c r="E747" s="0" t="s">
        <v>5136</v>
      </c>
    </row>
    <row r="748" customFormat="false" ht="15" hidden="false" customHeight="false" outlineLevel="0" collapsed="false">
      <c r="A748" s="0" t="s">
        <v>260</v>
      </c>
      <c r="B748" s="0" t="s">
        <v>32</v>
      </c>
      <c r="C748" s="0" t="s">
        <v>4088</v>
      </c>
      <c r="E748" s="0" t="s">
        <v>5154</v>
      </c>
    </row>
    <row r="749" customFormat="false" ht="55.2" hidden="false" customHeight="false" outlineLevel="0" collapsed="false">
      <c r="A749" s="0" t="s">
        <v>135</v>
      </c>
      <c r="B749" s="0" t="s">
        <v>32</v>
      </c>
      <c r="C749" s="14" t="s">
        <v>5193</v>
      </c>
      <c r="E749" s="0" t="s">
        <v>5154</v>
      </c>
    </row>
    <row r="750" customFormat="false" ht="28.35" hidden="false" customHeight="false" outlineLevel="0" collapsed="false">
      <c r="A750" s="0" t="s">
        <v>98</v>
      </c>
      <c r="B750" s="0" t="s">
        <v>32</v>
      </c>
      <c r="C750" s="14" t="s">
        <v>5194</v>
      </c>
      <c r="D750" s="0" t="s">
        <v>99</v>
      </c>
      <c r="E750" s="0" t="s">
        <v>5195</v>
      </c>
    </row>
    <row r="751" customFormat="false" ht="15" hidden="false" customHeight="false" outlineLevel="0" collapsed="false">
      <c r="A751" s="0" t="s">
        <v>1708</v>
      </c>
      <c r="B751" s="0" t="s">
        <v>32</v>
      </c>
      <c r="C751" s="0" t="s">
        <v>5196</v>
      </c>
    </row>
    <row r="752" customFormat="false" ht="55.2" hidden="false" customHeight="false" outlineLevel="0" collapsed="false">
      <c r="A752" s="0" t="s">
        <v>463</v>
      </c>
      <c r="B752" s="0" t="s">
        <v>32</v>
      </c>
      <c r="C752" s="14" t="s">
        <v>5197</v>
      </c>
      <c r="D752" s="14" t="s">
        <v>5198</v>
      </c>
      <c r="E752" s="0" t="s">
        <v>5199</v>
      </c>
    </row>
    <row r="753" customFormat="false" ht="28.35" hidden="false" customHeight="false" outlineLevel="0" collapsed="false">
      <c r="A753" s="0" t="s">
        <v>594</v>
      </c>
      <c r="B753" s="0" t="s">
        <v>32</v>
      </c>
      <c r="C753" s="14" t="s">
        <v>5200</v>
      </c>
      <c r="E753" s="0" t="s">
        <v>5136</v>
      </c>
    </row>
    <row r="754" customFormat="false" ht="55.2" hidden="false" customHeight="false" outlineLevel="0" collapsed="false">
      <c r="A754" s="0" t="s">
        <v>383</v>
      </c>
      <c r="B754" s="0" t="s">
        <v>32</v>
      </c>
      <c r="C754" s="14" t="s">
        <v>5201</v>
      </c>
      <c r="E754" s="0" t="s">
        <v>5165</v>
      </c>
    </row>
    <row r="755" customFormat="false" ht="41.75" hidden="false" customHeight="false" outlineLevel="0" collapsed="false">
      <c r="A755" s="0" t="s">
        <v>1543</v>
      </c>
      <c r="B755" s="0" t="s">
        <v>32</v>
      </c>
      <c r="C755" s="14" t="s">
        <v>5202</v>
      </c>
      <c r="D755" s="14" t="s">
        <v>5203</v>
      </c>
      <c r="E755" s="0" t="s">
        <v>5204</v>
      </c>
    </row>
    <row r="756" customFormat="false" ht="28.35" hidden="false" customHeight="false" outlineLevel="0" collapsed="false">
      <c r="A756" s="0" t="s">
        <v>1883</v>
      </c>
      <c r="B756" s="0" t="s">
        <v>32</v>
      </c>
      <c r="C756" s="0" t="s">
        <v>5205</v>
      </c>
      <c r="D756" s="14" t="s">
        <v>5206</v>
      </c>
      <c r="E756" s="0" t="s">
        <v>5207</v>
      </c>
    </row>
    <row r="757" customFormat="false" ht="15" hidden="false" customHeight="false" outlineLevel="0" collapsed="false">
      <c r="A757" s="0" t="s">
        <v>1732</v>
      </c>
      <c r="B757" s="0" t="s">
        <v>32</v>
      </c>
      <c r="C757" s="0" t="s">
        <v>5208</v>
      </c>
      <c r="D757" s="0" t="s">
        <v>1733</v>
      </c>
      <c r="E757" s="0" t="s">
        <v>5204</v>
      </c>
    </row>
    <row r="758" customFormat="false" ht="82.05" hidden="false" customHeight="false" outlineLevel="0" collapsed="false">
      <c r="A758" s="0" t="s">
        <v>830</v>
      </c>
      <c r="B758" s="0" t="s">
        <v>32</v>
      </c>
      <c r="C758" s="14" t="s">
        <v>5209</v>
      </c>
      <c r="D758" s="14" t="s">
        <v>5210</v>
      </c>
      <c r="E758" s="0" t="s">
        <v>5136</v>
      </c>
    </row>
    <row r="759" customFormat="false" ht="55.2" hidden="false" customHeight="false" outlineLevel="0" collapsed="false">
      <c r="A759" s="0" t="s">
        <v>192</v>
      </c>
      <c r="B759" s="0" t="s">
        <v>32</v>
      </c>
      <c r="C759" s="14" t="s">
        <v>5211</v>
      </c>
      <c r="D759" s="14" t="s">
        <v>5212</v>
      </c>
      <c r="E759" s="0" t="s">
        <v>5136</v>
      </c>
    </row>
    <row r="760" customFormat="false" ht="55.2" hidden="false" customHeight="false" outlineLevel="0" collapsed="false">
      <c r="A760" s="0" t="s">
        <v>1127</v>
      </c>
      <c r="B760" s="0" t="s">
        <v>32</v>
      </c>
      <c r="C760" s="14" t="s">
        <v>5213</v>
      </c>
      <c r="D760" s="14" t="s">
        <v>5214</v>
      </c>
      <c r="E760" s="0" t="s">
        <v>5165</v>
      </c>
    </row>
    <row r="761" customFormat="false" ht="41.75" hidden="false" customHeight="false" outlineLevel="0" collapsed="false">
      <c r="A761" s="0" t="s">
        <v>497</v>
      </c>
      <c r="B761" s="0" t="s">
        <v>32</v>
      </c>
      <c r="C761" s="14" t="s">
        <v>5215</v>
      </c>
      <c r="D761" s="14" t="s">
        <v>5216</v>
      </c>
      <c r="E761" s="0" t="s">
        <v>5136</v>
      </c>
    </row>
    <row r="762" customFormat="false" ht="82.05" hidden="false" customHeight="false" outlineLevel="0" collapsed="false">
      <c r="A762" s="0" t="s">
        <v>1041</v>
      </c>
      <c r="B762" s="0" t="s">
        <v>5217</v>
      </c>
      <c r="C762" s="14" t="s">
        <v>5218</v>
      </c>
      <c r="D762" s="14" t="s">
        <v>5219</v>
      </c>
      <c r="E762" s="0" t="s">
        <v>5220</v>
      </c>
    </row>
    <row r="763" customFormat="false" ht="15" hidden="false" customHeight="false" outlineLevel="0" collapsed="false">
      <c r="A763" s="0" t="s">
        <v>1267</v>
      </c>
      <c r="B763" s="0" t="s">
        <v>32</v>
      </c>
      <c r="C763" s="0" t="s">
        <v>5221</v>
      </c>
      <c r="D763" s="0" t="s">
        <v>1268</v>
      </c>
      <c r="E763" s="0" t="s">
        <v>5165</v>
      </c>
    </row>
    <row r="764" customFormat="false" ht="41.75" hidden="false" customHeight="false" outlineLevel="0" collapsed="false">
      <c r="A764" s="0" t="s">
        <v>2186</v>
      </c>
      <c r="B764" s="0" t="s">
        <v>32</v>
      </c>
      <c r="C764" s="0" t="s">
        <v>5222</v>
      </c>
      <c r="D764" s="14" t="s">
        <v>5223</v>
      </c>
      <c r="E764" s="0" t="s">
        <v>5199</v>
      </c>
    </row>
    <row r="765" customFormat="false" ht="28.35" hidden="false" customHeight="false" outlineLevel="0" collapsed="false">
      <c r="A765" s="0" t="s">
        <v>283</v>
      </c>
      <c r="B765" s="0" t="s">
        <v>32</v>
      </c>
      <c r="C765" s="0" t="s">
        <v>5224</v>
      </c>
      <c r="D765" s="14" t="s">
        <v>5225</v>
      </c>
      <c r="E765" s="0" t="s">
        <v>5226</v>
      </c>
    </row>
    <row r="766" customFormat="false" ht="28.35" hidden="false" customHeight="false" outlineLevel="0" collapsed="false">
      <c r="A766" s="0" t="s">
        <v>903</v>
      </c>
      <c r="B766" s="0" t="s">
        <v>32</v>
      </c>
      <c r="C766" s="14" t="s">
        <v>5227</v>
      </c>
      <c r="D766" s="0" t="s">
        <v>904</v>
      </c>
      <c r="E766" s="0" t="s">
        <v>5154</v>
      </c>
    </row>
    <row r="767" customFormat="false" ht="15" hidden="false" customHeight="false" outlineLevel="0" collapsed="false">
      <c r="A767" s="0" t="s">
        <v>1818</v>
      </c>
      <c r="B767" s="0" t="s">
        <v>32</v>
      </c>
      <c r="C767" s="0" t="s">
        <v>5228</v>
      </c>
      <c r="D767" s="0" t="s">
        <v>1819</v>
      </c>
      <c r="E767" s="0" t="s">
        <v>5229</v>
      </c>
    </row>
    <row r="768" customFormat="false" ht="28.35" hidden="false" customHeight="false" outlineLevel="0" collapsed="false">
      <c r="A768" s="0" t="s">
        <v>1105</v>
      </c>
      <c r="B768" s="0" t="s">
        <v>32</v>
      </c>
      <c r="C768" s="0" t="s">
        <v>5230</v>
      </c>
      <c r="D768" s="14" t="s">
        <v>5231</v>
      </c>
      <c r="E768" s="0" t="s">
        <v>5154</v>
      </c>
    </row>
    <row r="769" customFormat="false" ht="68.65" hidden="false" customHeight="false" outlineLevel="0" collapsed="false">
      <c r="A769" s="0" t="s">
        <v>1777</v>
      </c>
      <c r="B769" s="0" t="s">
        <v>32</v>
      </c>
      <c r="C769" s="14" t="s">
        <v>5232</v>
      </c>
      <c r="D769" s="0" t="s">
        <v>1778</v>
      </c>
      <c r="E769" s="14" t="s">
        <v>5233</v>
      </c>
    </row>
    <row r="770" customFormat="false" ht="55.2" hidden="false" customHeight="false" outlineLevel="0" collapsed="false">
      <c r="A770" s="0" t="s">
        <v>1361</v>
      </c>
      <c r="B770" s="0" t="s">
        <v>32</v>
      </c>
      <c r="C770" s="14" t="s">
        <v>5234</v>
      </c>
      <c r="D770" s="14" t="s">
        <v>5235</v>
      </c>
      <c r="E770" s="0" t="s">
        <v>5204</v>
      </c>
    </row>
    <row r="771" customFormat="false" ht="41.75" hidden="false" customHeight="false" outlineLevel="0" collapsed="false">
      <c r="A771" s="0" t="s">
        <v>1461</v>
      </c>
      <c r="B771" s="0" t="s">
        <v>32</v>
      </c>
      <c r="C771" s="14" t="s">
        <v>5236</v>
      </c>
      <c r="D771" s="14" t="s">
        <v>5237</v>
      </c>
      <c r="E771" s="0" t="s">
        <v>5144</v>
      </c>
    </row>
    <row r="772" customFormat="false" ht="15" hidden="false" customHeight="false" outlineLevel="0" collapsed="false">
      <c r="A772" s="0" t="s">
        <v>554</v>
      </c>
      <c r="B772" s="0" t="s">
        <v>32</v>
      </c>
      <c r="C772" s="0" t="s">
        <v>5238</v>
      </c>
      <c r="D772" s="0" t="s">
        <v>555</v>
      </c>
      <c r="E772" s="0" t="s">
        <v>5144</v>
      </c>
    </row>
    <row r="773" customFormat="false" ht="41.75" hidden="false" customHeight="false" outlineLevel="0" collapsed="false">
      <c r="A773" s="0" t="s">
        <v>360</v>
      </c>
      <c r="B773" s="0" t="s">
        <v>32</v>
      </c>
      <c r="C773" s="0" t="s">
        <v>5239</v>
      </c>
      <c r="D773" s="14" t="s">
        <v>5240</v>
      </c>
      <c r="E773" s="0" t="s">
        <v>5204</v>
      </c>
    </row>
    <row r="774" customFormat="false" ht="108.95" hidden="false" customHeight="false" outlineLevel="0" collapsed="false">
      <c r="A774" s="0" t="s">
        <v>2568</v>
      </c>
      <c r="B774" s="0" t="s">
        <v>32</v>
      </c>
      <c r="C774" s="14" t="s">
        <v>5241</v>
      </c>
    </row>
    <row r="775" customFormat="false" ht="55.2" hidden="false" customHeight="false" outlineLevel="0" collapsed="false">
      <c r="A775" s="0" t="s">
        <v>458</v>
      </c>
      <c r="B775" s="0" t="s">
        <v>32</v>
      </c>
      <c r="C775" s="14" t="s">
        <v>5242</v>
      </c>
      <c r="E775" s="0" t="s">
        <v>5144</v>
      </c>
    </row>
    <row r="776" customFormat="false" ht="28.35" hidden="false" customHeight="false" outlineLevel="0" collapsed="false">
      <c r="A776" s="0" t="s">
        <v>1307</v>
      </c>
      <c r="B776" s="0" t="s">
        <v>32</v>
      </c>
      <c r="C776" s="14" t="s">
        <v>5243</v>
      </c>
      <c r="E776" s="0" t="s">
        <v>5136</v>
      </c>
    </row>
    <row r="777" customFormat="false" ht="28.35" hidden="false" customHeight="false" outlineLevel="0" collapsed="false">
      <c r="A777" s="0" t="s">
        <v>682</v>
      </c>
      <c r="B777" s="0" t="s">
        <v>32</v>
      </c>
      <c r="C777" s="14" t="s">
        <v>5244</v>
      </c>
      <c r="D777" s="0" t="s">
        <v>685</v>
      </c>
    </row>
    <row r="778" customFormat="false" ht="55.2" hidden="false" customHeight="false" outlineLevel="0" collapsed="false">
      <c r="A778" s="0" t="s">
        <v>461</v>
      </c>
      <c r="B778" s="0" t="s">
        <v>32</v>
      </c>
      <c r="C778" s="14" t="s">
        <v>5245</v>
      </c>
      <c r="D778" s="14" t="s">
        <v>5246</v>
      </c>
    </row>
    <row r="779" customFormat="false" ht="41.75" hidden="false" customHeight="false" outlineLevel="0" collapsed="false">
      <c r="A779" s="0" t="s">
        <v>122</v>
      </c>
      <c r="B779" s="0" t="s">
        <v>32</v>
      </c>
      <c r="C779" s="14" t="s">
        <v>5247</v>
      </c>
      <c r="D779" s="14" t="s">
        <v>5248</v>
      </c>
      <c r="E779" s="0" t="s">
        <v>5249</v>
      </c>
    </row>
    <row r="780" customFormat="false" ht="15" hidden="false" customHeight="false" outlineLevel="0" collapsed="false">
      <c r="A780" s="0" t="s">
        <v>1728</v>
      </c>
      <c r="B780" s="0" t="s">
        <v>32</v>
      </c>
      <c r="C780" s="0" t="s">
        <v>5250</v>
      </c>
      <c r="E780" s="0" t="s">
        <v>5251</v>
      </c>
    </row>
    <row r="781" customFormat="false" ht="135.8" hidden="false" customHeight="false" outlineLevel="0" collapsed="false">
      <c r="A781" s="0" t="s">
        <v>61</v>
      </c>
      <c r="B781" s="0" t="s">
        <v>32</v>
      </c>
      <c r="C781" s="14" t="s">
        <v>5252</v>
      </c>
      <c r="E781" s="0" t="s">
        <v>5249</v>
      </c>
    </row>
    <row r="782" customFormat="false" ht="28.35" hidden="false" customHeight="false" outlineLevel="0" collapsed="false">
      <c r="A782" s="0" t="s">
        <v>272</v>
      </c>
      <c r="B782" s="0" t="s">
        <v>32</v>
      </c>
      <c r="C782" s="14" t="s">
        <v>5253</v>
      </c>
      <c r="D782" s="14" t="s">
        <v>5254</v>
      </c>
      <c r="E782" s="14" t="s">
        <v>5255</v>
      </c>
    </row>
    <row r="783" customFormat="false" ht="55.2" hidden="false" customHeight="false" outlineLevel="0" collapsed="false">
      <c r="A783" s="0" t="s">
        <v>241</v>
      </c>
      <c r="B783" s="0" t="s">
        <v>32</v>
      </c>
      <c r="C783" s="14" t="s">
        <v>5256</v>
      </c>
      <c r="D783" s="14" t="s">
        <v>5257</v>
      </c>
      <c r="E783" s="14" t="s">
        <v>5255</v>
      </c>
    </row>
    <row r="784" customFormat="false" ht="28.35" hidden="false" customHeight="false" outlineLevel="0" collapsed="false">
      <c r="A784" s="0" t="s">
        <v>522</v>
      </c>
      <c r="B784" s="0" t="s">
        <v>32</v>
      </c>
      <c r="C784" s="0" t="s">
        <v>5258</v>
      </c>
      <c r="D784" s="14" t="s">
        <v>5259</v>
      </c>
    </row>
    <row r="785" customFormat="false" ht="28.35" hidden="false" customHeight="false" outlineLevel="0" collapsed="false">
      <c r="A785" s="0" t="s">
        <v>30</v>
      </c>
      <c r="B785" s="0" t="s">
        <v>32</v>
      </c>
      <c r="C785" s="14" t="s">
        <v>4449</v>
      </c>
      <c r="E785" s="0" t="s">
        <v>5260</v>
      </c>
    </row>
    <row r="786" customFormat="false" ht="28.35" hidden="false" customHeight="false" outlineLevel="0" collapsed="false">
      <c r="A786" s="0" t="s">
        <v>150</v>
      </c>
      <c r="B786" s="0" t="s">
        <v>32</v>
      </c>
      <c r="C786" s="0" t="s">
        <v>5261</v>
      </c>
      <c r="D786" s="14" t="s">
        <v>5262</v>
      </c>
      <c r="E786" s="14" t="s">
        <v>5255</v>
      </c>
    </row>
    <row r="787" customFormat="false" ht="41.75" hidden="false" customHeight="false" outlineLevel="0" collapsed="false">
      <c r="A787" s="0" t="s">
        <v>148</v>
      </c>
      <c r="B787" s="0" t="s">
        <v>32</v>
      </c>
      <c r="C787" s="14" t="s">
        <v>4577</v>
      </c>
    </row>
    <row r="788" customFormat="false" ht="28.35" hidden="false" customHeight="false" outlineLevel="0" collapsed="false">
      <c r="A788" s="0" t="s">
        <v>732</v>
      </c>
      <c r="B788" s="0" t="s">
        <v>32</v>
      </c>
      <c r="C788" s="14" t="s">
        <v>5263</v>
      </c>
      <c r="D788" s="14" t="s">
        <v>5264</v>
      </c>
    </row>
    <row r="789" customFormat="false" ht="28.35" hidden="false" customHeight="false" outlineLevel="0" collapsed="false">
      <c r="A789" s="0" t="s">
        <v>1006</v>
      </c>
      <c r="B789" s="0" t="s">
        <v>32</v>
      </c>
      <c r="C789" s="14" t="s">
        <v>5265</v>
      </c>
    </row>
    <row r="790" customFormat="false" ht="68.65" hidden="false" customHeight="false" outlineLevel="0" collapsed="false">
      <c r="A790" s="0" t="s">
        <v>663</v>
      </c>
      <c r="B790" s="0" t="s">
        <v>32</v>
      </c>
      <c r="C790" s="14" t="s">
        <v>5266</v>
      </c>
      <c r="D790" s="14" t="s">
        <v>5267</v>
      </c>
    </row>
    <row r="791" customFormat="false" ht="55.2" hidden="false" customHeight="false" outlineLevel="0" collapsed="false">
      <c r="A791" s="0" t="s">
        <v>583</v>
      </c>
      <c r="B791" s="0" t="s">
        <v>32</v>
      </c>
      <c r="C791" s="14" t="s">
        <v>5268</v>
      </c>
      <c r="E791" s="0" t="s">
        <v>5204</v>
      </c>
    </row>
    <row r="792" customFormat="false" ht="68.65" hidden="false" customHeight="false" outlineLevel="0" collapsed="false">
      <c r="A792" s="0" t="s">
        <v>459</v>
      </c>
      <c r="B792" s="0" t="s">
        <v>32</v>
      </c>
      <c r="C792" s="14" t="s">
        <v>5269</v>
      </c>
      <c r="E792" s="0" t="s">
        <v>5204</v>
      </c>
    </row>
    <row r="793" customFormat="false" ht="55.2" hidden="false" customHeight="false" outlineLevel="0" collapsed="false">
      <c r="A793" s="0" t="s">
        <v>1051</v>
      </c>
      <c r="B793" s="0" t="s">
        <v>32</v>
      </c>
      <c r="C793" s="14" t="s">
        <v>5270</v>
      </c>
      <c r="D793" s="14" t="s">
        <v>5271</v>
      </c>
      <c r="E793" s="0" t="s">
        <v>5204</v>
      </c>
    </row>
    <row r="794" customFormat="false" ht="55.2" hidden="false" customHeight="false" outlineLevel="0" collapsed="false">
      <c r="A794" s="0" t="s">
        <v>107</v>
      </c>
      <c r="B794" s="0" t="s">
        <v>32</v>
      </c>
      <c r="C794" s="14" t="s">
        <v>5272</v>
      </c>
      <c r="E794" s="0" t="s">
        <v>5204</v>
      </c>
    </row>
    <row r="795" customFormat="false" ht="41.75" hidden="false" customHeight="false" outlineLevel="0" collapsed="false">
      <c r="A795" s="0" t="s">
        <v>567</v>
      </c>
      <c r="B795" s="0" t="s">
        <v>32</v>
      </c>
      <c r="C795" s="14" t="s">
        <v>5273</v>
      </c>
      <c r="E795" s="0" t="s">
        <v>5154</v>
      </c>
    </row>
    <row r="796" customFormat="false" ht="15" hidden="false" customHeight="false" outlineLevel="0" collapsed="false">
      <c r="A796" s="0" t="s">
        <v>766</v>
      </c>
      <c r="B796" s="0" t="s">
        <v>32</v>
      </c>
      <c r="C796" s="0" t="s">
        <v>5274</v>
      </c>
      <c r="D796" s="0" t="s">
        <v>767</v>
      </c>
      <c r="E796" s="0" t="s">
        <v>5154</v>
      </c>
    </row>
    <row r="797" customFormat="false" ht="28.35" hidden="false" customHeight="false" outlineLevel="0" collapsed="false">
      <c r="A797" s="0" t="s">
        <v>504</v>
      </c>
      <c r="B797" s="0" t="s">
        <v>32</v>
      </c>
      <c r="C797" s="14" t="s">
        <v>5275</v>
      </c>
      <c r="D797" s="0" t="s">
        <v>505</v>
      </c>
      <c r="E797" s="0" t="s">
        <v>5154</v>
      </c>
    </row>
    <row r="798" customFormat="false" ht="202.95" hidden="false" customHeight="false" outlineLevel="0" collapsed="false">
      <c r="A798" s="0" t="s">
        <v>1579</v>
      </c>
      <c r="B798" s="0" t="s">
        <v>32</v>
      </c>
      <c r="C798" s="14" t="s">
        <v>5276</v>
      </c>
      <c r="D798" s="0" t="s">
        <v>1580</v>
      </c>
    </row>
    <row r="799" customFormat="false" ht="15" hidden="false" customHeight="false" outlineLevel="0" collapsed="false">
      <c r="A799" s="0" t="s">
        <v>837</v>
      </c>
      <c r="B799" s="0" t="s">
        <v>32</v>
      </c>
      <c r="C799" s="0" t="s">
        <v>5277</v>
      </c>
    </row>
    <row r="800" customFormat="false" ht="82.05" hidden="false" customHeight="false" outlineLevel="0" collapsed="false">
      <c r="A800" s="0" t="s">
        <v>322</v>
      </c>
      <c r="B800" s="0" t="s">
        <v>32</v>
      </c>
      <c r="C800" s="14" t="s">
        <v>5278</v>
      </c>
      <c r="D800" s="0" t="s">
        <v>323</v>
      </c>
      <c r="E800" s="14" t="s">
        <v>5279</v>
      </c>
    </row>
    <row r="801" customFormat="false" ht="15" hidden="false" customHeight="false" outlineLevel="0" collapsed="false">
      <c r="A801" s="0" t="s">
        <v>803</v>
      </c>
      <c r="B801" s="0" t="s">
        <v>32</v>
      </c>
      <c r="C801" s="0" t="s">
        <v>5280</v>
      </c>
    </row>
    <row r="802" customFormat="false" ht="15" hidden="false" customHeight="false" outlineLevel="0" collapsed="false">
      <c r="A802" s="0" t="s">
        <v>1046</v>
      </c>
      <c r="B802" s="0" t="s">
        <v>32</v>
      </c>
      <c r="C802" s="0" t="s">
        <v>4703</v>
      </c>
    </row>
    <row r="803" customFormat="false" ht="28.35" hidden="false" customHeight="false" outlineLevel="0" collapsed="false">
      <c r="A803" s="0" t="s">
        <v>378</v>
      </c>
      <c r="B803" s="0" t="s">
        <v>32</v>
      </c>
      <c r="C803" s="14" t="s">
        <v>5281</v>
      </c>
      <c r="E803" s="0" t="s">
        <v>5282</v>
      </c>
    </row>
    <row r="804" customFormat="false" ht="55.2" hidden="false" customHeight="false" outlineLevel="0" collapsed="false">
      <c r="A804" s="0" t="s">
        <v>116</v>
      </c>
      <c r="B804" s="0" t="s">
        <v>32</v>
      </c>
      <c r="C804" s="14" t="s">
        <v>5283</v>
      </c>
    </row>
    <row r="805" customFormat="false" ht="28.35" hidden="false" customHeight="false" outlineLevel="0" collapsed="false">
      <c r="A805" s="0" t="s">
        <v>1239</v>
      </c>
      <c r="B805" s="0" t="s">
        <v>32</v>
      </c>
      <c r="C805" s="14" t="s">
        <v>4651</v>
      </c>
    </row>
    <row r="806" customFormat="false" ht="41.75" hidden="false" customHeight="false" outlineLevel="0" collapsed="false">
      <c r="A806" s="0" t="s">
        <v>563</v>
      </c>
      <c r="B806" s="0" t="s">
        <v>32</v>
      </c>
      <c r="C806" s="0" t="s">
        <v>4188</v>
      </c>
      <c r="E806" s="14" t="s">
        <v>5284</v>
      </c>
    </row>
    <row r="807" customFormat="false" ht="28.35" hidden="false" customHeight="false" outlineLevel="0" collapsed="false">
      <c r="A807" s="0" t="s">
        <v>296</v>
      </c>
      <c r="B807" s="0" t="s">
        <v>32</v>
      </c>
      <c r="C807" s="14" t="s">
        <v>5285</v>
      </c>
      <c r="E807" s="15" t="n">
        <v>46085</v>
      </c>
    </row>
    <row r="808" customFormat="false" ht="417.9" hidden="false" customHeight="false" outlineLevel="0" collapsed="false">
      <c r="A808" s="0" t="s">
        <v>358</v>
      </c>
      <c r="B808" s="0" t="s">
        <v>32</v>
      </c>
      <c r="C808" s="14" t="s">
        <v>5286</v>
      </c>
      <c r="D808" s="0" t="s">
        <v>359</v>
      </c>
    </row>
    <row r="809" customFormat="false" ht="15" hidden="false" customHeight="false" outlineLevel="0" collapsed="false">
      <c r="A809" s="0" t="s">
        <v>1360</v>
      </c>
      <c r="B809" s="0" t="s">
        <v>32</v>
      </c>
      <c r="C809" s="0" t="s">
        <v>5287</v>
      </c>
    </row>
    <row r="810" customFormat="false" ht="55.2" hidden="false" customHeight="false" outlineLevel="0" collapsed="false">
      <c r="A810" s="0" t="s">
        <v>1302</v>
      </c>
      <c r="B810" s="0" t="s">
        <v>32</v>
      </c>
      <c r="C810" s="14" t="s">
        <v>5288</v>
      </c>
    </row>
    <row r="811" customFormat="false" ht="28.35" hidden="false" customHeight="false" outlineLevel="0" collapsed="false">
      <c r="A811" s="0" t="s">
        <v>305</v>
      </c>
      <c r="B811" s="0" t="s">
        <v>5289</v>
      </c>
      <c r="C811" s="14" t="s">
        <v>5290</v>
      </c>
      <c r="E811" s="0" t="s">
        <v>5195</v>
      </c>
    </row>
    <row r="812" customFormat="false" ht="41.75" hidden="false" customHeight="false" outlineLevel="0" collapsed="false">
      <c r="A812" s="0" t="s">
        <v>1225</v>
      </c>
      <c r="B812" s="0" t="s">
        <v>32</v>
      </c>
      <c r="C812" s="14" t="s">
        <v>5291</v>
      </c>
      <c r="D812" s="14" t="s">
        <v>5292</v>
      </c>
      <c r="E812" s="14" t="s">
        <v>4972</v>
      </c>
    </row>
    <row r="813" customFormat="false" ht="41.75" hidden="false" customHeight="false" outlineLevel="0" collapsed="false">
      <c r="A813" s="0" t="s">
        <v>1581</v>
      </c>
      <c r="B813" s="0" t="s">
        <v>32</v>
      </c>
      <c r="C813" s="14" t="s">
        <v>5293</v>
      </c>
      <c r="D813" s="14" t="s">
        <v>5294</v>
      </c>
    </row>
    <row r="814" customFormat="false" ht="28.35" hidden="false" customHeight="false" outlineLevel="0" collapsed="false">
      <c r="A814" s="0" t="s">
        <v>870</v>
      </c>
      <c r="B814" s="0" t="s">
        <v>32</v>
      </c>
      <c r="C814" s="14" t="s">
        <v>5295</v>
      </c>
    </row>
    <row r="815" customFormat="false" ht="15" hidden="false" customHeight="false" outlineLevel="0" collapsed="false">
      <c r="A815" s="0" t="s">
        <v>1900</v>
      </c>
      <c r="B815" s="0" t="s">
        <v>32</v>
      </c>
      <c r="C815" s="0" t="s">
        <v>5296</v>
      </c>
      <c r="E815" s="0" t="s">
        <v>5297</v>
      </c>
    </row>
    <row r="816" customFormat="false" ht="41.75" hidden="false" customHeight="false" outlineLevel="0" collapsed="false">
      <c r="A816" s="0" t="s">
        <v>1229</v>
      </c>
      <c r="B816" s="0" t="s">
        <v>32</v>
      </c>
      <c r="C816" s="14" t="s">
        <v>5298</v>
      </c>
      <c r="D816" s="14" t="s">
        <v>5299</v>
      </c>
    </row>
    <row r="817" customFormat="false" ht="28.35" hidden="false" customHeight="false" outlineLevel="0" collapsed="false">
      <c r="A817" s="0" t="s">
        <v>1486</v>
      </c>
      <c r="B817" s="0" t="s">
        <v>32</v>
      </c>
      <c r="C817" s="14" t="s">
        <v>5300</v>
      </c>
    </row>
    <row r="818" customFormat="false" ht="28.35" hidden="false" customHeight="false" outlineLevel="0" collapsed="false">
      <c r="A818" s="0" t="s">
        <v>1379</v>
      </c>
      <c r="B818" s="0" t="s">
        <v>32</v>
      </c>
      <c r="C818" s="14" t="s">
        <v>5301</v>
      </c>
    </row>
    <row r="819" customFormat="false" ht="15" hidden="false" customHeight="false" outlineLevel="0" collapsed="false">
      <c r="A819" s="0" t="s">
        <v>2348</v>
      </c>
      <c r="B819" s="0" t="s">
        <v>32</v>
      </c>
      <c r="C819" s="0" t="s">
        <v>4425</v>
      </c>
    </row>
    <row r="820" customFormat="false" ht="108.95" hidden="false" customHeight="false" outlineLevel="0" collapsed="false">
      <c r="A820" s="0" t="s">
        <v>1785</v>
      </c>
      <c r="B820" s="0" t="s">
        <v>32</v>
      </c>
      <c r="C820" s="14" t="s">
        <v>5302</v>
      </c>
      <c r="D820" s="14" t="s">
        <v>5303</v>
      </c>
      <c r="E820" s="14" t="s">
        <v>5304</v>
      </c>
    </row>
    <row r="821" customFormat="false" ht="41.75" hidden="false" customHeight="false" outlineLevel="0" collapsed="false">
      <c r="A821" s="0" t="s">
        <v>1750</v>
      </c>
      <c r="B821" s="0" t="s">
        <v>5305</v>
      </c>
      <c r="C821" s="14" t="s">
        <v>5306</v>
      </c>
      <c r="D821" s="14" t="s">
        <v>5307</v>
      </c>
      <c r="E821" s="14" t="s">
        <v>5255</v>
      </c>
    </row>
    <row r="822" customFormat="false" ht="41.75" hidden="false" customHeight="false" outlineLevel="0" collapsed="false">
      <c r="A822" s="0" t="s">
        <v>1923</v>
      </c>
      <c r="B822" s="0" t="s">
        <v>32</v>
      </c>
      <c r="C822" s="14" t="s">
        <v>5308</v>
      </c>
    </row>
    <row r="823" customFormat="false" ht="41.75" hidden="false" customHeight="false" outlineLevel="0" collapsed="false">
      <c r="A823" s="0" t="s">
        <v>1472</v>
      </c>
      <c r="B823" s="0" t="s">
        <v>32</v>
      </c>
      <c r="C823" s="14" t="s">
        <v>3859</v>
      </c>
      <c r="D823" s="14" t="s">
        <v>5309</v>
      </c>
      <c r="E823" s="14" t="s">
        <v>5255</v>
      </c>
    </row>
    <row r="824" customFormat="false" ht="15" hidden="false" customHeight="false" outlineLevel="0" collapsed="false">
      <c r="A824" s="0" t="s">
        <v>1859</v>
      </c>
      <c r="B824" s="0" t="s">
        <v>32</v>
      </c>
      <c r="C824" s="0" t="s">
        <v>4730</v>
      </c>
    </row>
    <row r="825" customFormat="false" ht="15" hidden="false" customHeight="false" outlineLevel="0" collapsed="false">
      <c r="A825" s="0" t="s">
        <v>2235</v>
      </c>
      <c r="B825" s="0" t="s">
        <v>32</v>
      </c>
      <c r="C825" s="0" t="s">
        <v>4730</v>
      </c>
    </row>
    <row r="826" customFormat="false" ht="68.65" hidden="false" customHeight="false" outlineLevel="0" collapsed="false">
      <c r="A826" s="0" t="s">
        <v>993</v>
      </c>
      <c r="B826" s="0" t="s">
        <v>32</v>
      </c>
      <c r="C826" s="14" t="s">
        <v>5310</v>
      </c>
    </row>
    <row r="827" customFormat="false" ht="55.2" hidden="false" customHeight="false" outlineLevel="0" collapsed="false">
      <c r="A827" s="0" t="s">
        <v>1346</v>
      </c>
      <c r="B827" s="0" t="s">
        <v>32</v>
      </c>
      <c r="C827" s="14" t="s">
        <v>5311</v>
      </c>
      <c r="D827" s="0" t="s">
        <v>1347</v>
      </c>
      <c r="E827" s="0" t="s">
        <v>5312</v>
      </c>
    </row>
    <row r="828" customFormat="false" ht="68.65" hidden="false" customHeight="false" outlineLevel="0" collapsed="false">
      <c r="A828" s="0" t="s">
        <v>3532</v>
      </c>
      <c r="B828" s="0" t="s">
        <v>32</v>
      </c>
      <c r="C828" s="14" t="s">
        <v>5313</v>
      </c>
      <c r="D828" s="14" t="s">
        <v>5314</v>
      </c>
      <c r="E828" s="14" t="s">
        <v>5315</v>
      </c>
    </row>
    <row r="829" customFormat="false" ht="95.5" hidden="false" customHeight="false" outlineLevel="0" collapsed="false">
      <c r="A829" s="0" t="s">
        <v>3653</v>
      </c>
      <c r="B829" s="0" t="s">
        <v>32</v>
      </c>
      <c r="C829" s="14" t="s">
        <v>5316</v>
      </c>
      <c r="D829" s="14" t="s">
        <v>5317</v>
      </c>
      <c r="E829" s="14" t="s">
        <v>5318</v>
      </c>
    </row>
    <row r="830" customFormat="false" ht="149.25" hidden="false" customHeight="false" outlineLevel="0" collapsed="false">
      <c r="A830" s="0" t="s">
        <v>3111</v>
      </c>
      <c r="B830" s="0" t="s">
        <v>32</v>
      </c>
      <c r="C830" s="14" t="s">
        <v>5319</v>
      </c>
      <c r="D830" s="14" t="s">
        <v>5320</v>
      </c>
    </row>
    <row r="831" customFormat="false" ht="95.5" hidden="false" customHeight="false" outlineLevel="0" collapsed="false">
      <c r="A831" s="0" t="s">
        <v>3608</v>
      </c>
      <c r="B831" s="0" t="s">
        <v>32</v>
      </c>
      <c r="C831" s="14" t="s">
        <v>5321</v>
      </c>
      <c r="D831" s="14" t="s">
        <v>5322</v>
      </c>
    </row>
    <row r="832" customFormat="false" ht="68.65" hidden="false" customHeight="false" outlineLevel="0" collapsed="false">
      <c r="A832" s="0" t="s">
        <v>3619</v>
      </c>
      <c r="B832" s="0" t="s">
        <v>32</v>
      </c>
      <c r="C832" s="14" t="s">
        <v>5323</v>
      </c>
      <c r="D832" s="14" t="s">
        <v>5324</v>
      </c>
      <c r="E832" s="0" t="s">
        <v>5325</v>
      </c>
    </row>
    <row r="833" customFormat="false" ht="377.6" hidden="false" customHeight="false" outlineLevel="0" collapsed="false">
      <c r="A833" s="0" t="s">
        <v>1667</v>
      </c>
      <c r="B833" s="0" t="s">
        <v>32</v>
      </c>
      <c r="C833" s="14" t="s">
        <v>5326</v>
      </c>
      <c r="D833" s="14" t="s">
        <v>5327</v>
      </c>
    </row>
    <row r="834" customFormat="false" ht="41.75" hidden="false" customHeight="false" outlineLevel="0" collapsed="false">
      <c r="A834" s="0" t="s">
        <v>3079</v>
      </c>
      <c r="B834" s="0" t="s">
        <v>32</v>
      </c>
      <c r="C834" s="14" t="s">
        <v>5328</v>
      </c>
      <c r="D834" s="14" t="s">
        <v>5329</v>
      </c>
      <c r="E834" s="0" t="s">
        <v>5330</v>
      </c>
    </row>
    <row r="835" customFormat="false" ht="162.65" hidden="false" customHeight="false" outlineLevel="0" collapsed="false">
      <c r="A835" s="0" t="s">
        <v>3582</v>
      </c>
      <c r="B835" s="0" t="s">
        <v>32</v>
      </c>
      <c r="C835" s="14" t="s">
        <v>5331</v>
      </c>
      <c r="D835" s="14" t="s">
        <v>5332</v>
      </c>
      <c r="E835" s="14" t="s">
        <v>5315</v>
      </c>
    </row>
    <row r="836" customFormat="false" ht="55.2" hidden="false" customHeight="false" outlineLevel="0" collapsed="false">
      <c r="A836" s="0" t="s">
        <v>3359</v>
      </c>
      <c r="B836" s="0" t="s">
        <v>32</v>
      </c>
      <c r="C836" s="0" t="s">
        <v>5333</v>
      </c>
      <c r="D836" s="14" t="s">
        <v>5334</v>
      </c>
      <c r="E836" s="14" t="s">
        <v>5318</v>
      </c>
    </row>
    <row r="837" customFormat="false" ht="712.65" hidden="false" customHeight="false" outlineLevel="0" collapsed="false">
      <c r="A837" s="0" t="s">
        <v>3610</v>
      </c>
      <c r="B837" s="0" t="s">
        <v>32</v>
      </c>
      <c r="C837" s="14" t="s">
        <v>5335</v>
      </c>
      <c r="D837" s="14" t="s">
        <v>5336</v>
      </c>
    </row>
    <row r="838" customFormat="false" ht="122.35" hidden="false" customHeight="false" outlineLevel="0" collapsed="false">
      <c r="A838" s="0" t="s">
        <v>3190</v>
      </c>
      <c r="B838" s="0" t="s">
        <v>32</v>
      </c>
      <c r="C838" s="14" t="s">
        <v>5337</v>
      </c>
      <c r="D838" s="14" t="s">
        <v>5338</v>
      </c>
      <c r="E838" s="14" t="s">
        <v>5339</v>
      </c>
    </row>
    <row r="839" customFormat="false" ht="176.1" hidden="false" customHeight="false" outlineLevel="0" collapsed="false">
      <c r="A839" s="0" t="s">
        <v>2872</v>
      </c>
      <c r="B839" s="0" t="s">
        <v>32</v>
      </c>
      <c r="C839" s="14" t="s">
        <v>5340</v>
      </c>
      <c r="D839" s="14" t="s">
        <v>5341</v>
      </c>
    </row>
    <row r="840" customFormat="false" ht="68.65" hidden="false" customHeight="false" outlineLevel="0" collapsed="false">
      <c r="A840" s="0" t="s">
        <v>3621</v>
      </c>
      <c r="B840" s="0" t="s">
        <v>32</v>
      </c>
      <c r="C840" s="14" t="s">
        <v>5342</v>
      </c>
      <c r="D840" s="14" t="s">
        <v>5343</v>
      </c>
    </row>
    <row r="841" customFormat="false" ht="95.5" hidden="false" customHeight="false" outlineLevel="0" collapsed="false">
      <c r="A841" s="0" t="s">
        <v>3085</v>
      </c>
      <c r="B841" s="0" t="s">
        <v>32</v>
      </c>
      <c r="C841" s="14" t="s">
        <v>5344</v>
      </c>
      <c r="D841" s="14" t="s">
        <v>5345</v>
      </c>
      <c r="E841" s="14" t="s">
        <v>5346</v>
      </c>
    </row>
    <row r="842" customFormat="false" ht="323.85" hidden="false" customHeight="false" outlineLevel="0" collapsed="false">
      <c r="A842" s="0" t="s">
        <v>3580</v>
      </c>
      <c r="B842" s="0" t="s">
        <v>32</v>
      </c>
      <c r="C842" s="14" t="s">
        <v>5347</v>
      </c>
      <c r="D842" s="14" t="s">
        <v>5348</v>
      </c>
    </row>
    <row r="843" customFormat="false" ht="605.95" hidden="false" customHeight="false" outlineLevel="0" collapsed="false">
      <c r="A843" s="0" t="s">
        <v>3664</v>
      </c>
      <c r="B843" s="0" t="s">
        <v>32</v>
      </c>
      <c r="C843" s="14" t="s">
        <v>5349</v>
      </c>
      <c r="D843" s="14" t="s">
        <v>5350</v>
      </c>
    </row>
    <row r="844" customFormat="false" ht="122.35" hidden="false" customHeight="false" outlineLevel="0" collapsed="false">
      <c r="A844" s="0" t="s">
        <v>2718</v>
      </c>
      <c r="B844" s="0" t="s">
        <v>32</v>
      </c>
      <c r="C844" s="14" t="s">
        <v>5351</v>
      </c>
      <c r="D844" s="14" t="s">
        <v>5352</v>
      </c>
    </row>
    <row r="845" customFormat="false" ht="55.2" hidden="false" customHeight="false" outlineLevel="0" collapsed="false">
      <c r="A845" s="0" t="s">
        <v>3585</v>
      </c>
      <c r="B845" s="0" t="s">
        <v>32</v>
      </c>
      <c r="C845" s="14" t="s">
        <v>5353</v>
      </c>
      <c r="D845" s="14" t="s">
        <v>5354</v>
      </c>
      <c r="E845" s="14" t="s">
        <v>5315</v>
      </c>
    </row>
    <row r="846" customFormat="false" ht="15" hidden="false" customHeight="false" outlineLevel="0" collapsed="false">
      <c r="A846" s="0" t="s">
        <v>1222</v>
      </c>
      <c r="B846" s="0" t="s">
        <v>32</v>
      </c>
      <c r="C846" s="0" t="s">
        <v>5355</v>
      </c>
      <c r="D846" s="0" t="s">
        <v>1224</v>
      </c>
    </row>
    <row r="847" customFormat="false" ht="15" hidden="false" customHeight="false" outlineLevel="0" collapsed="false">
      <c r="A847" s="0" t="s">
        <v>619</v>
      </c>
      <c r="B847" s="0" t="s">
        <v>451</v>
      </c>
      <c r="C847" s="0" t="s">
        <v>5356</v>
      </c>
    </row>
    <row r="848" customFormat="false" ht="82.05" hidden="false" customHeight="false" outlineLevel="0" collapsed="false">
      <c r="A848" s="0" t="s">
        <v>449</v>
      </c>
      <c r="B848" s="0" t="s">
        <v>451</v>
      </c>
      <c r="C848" s="14" t="s">
        <v>5357</v>
      </c>
    </row>
    <row r="849" customFormat="false" ht="229.85" hidden="false" customHeight="false" outlineLevel="0" collapsed="false">
      <c r="A849" s="0" t="s">
        <v>484</v>
      </c>
      <c r="B849" s="0" t="s">
        <v>407</v>
      </c>
      <c r="C849" s="14" t="s">
        <v>5358</v>
      </c>
      <c r="D849" s="0" t="s">
        <v>486</v>
      </c>
      <c r="E849" s="14" t="s">
        <v>5359</v>
      </c>
    </row>
    <row r="850" customFormat="false" ht="68.65" hidden="false" customHeight="false" outlineLevel="0" collapsed="false">
      <c r="A850" s="0" t="s">
        <v>405</v>
      </c>
      <c r="B850" s="0" t="s">
        <v>407</v>
      </c>
      <c r="C850" s="14" t="s">
        <v>5360</v>
      </c>
      <c r="D850" s="0" t="s">
        <v>408</v>
      </c>
      <c r="E850" s="14" t="s">
        <v>5361</v>
      </c>
    </row>
    <row r="851" customFormat="false" ht="41.75" hidden="false" customHeight="false" outlineLevel="0" collapsed="false">
      <c r="A851" s="0" t="s">
        <v>1262</v>
      </c>
      <c r="B851" s="0" t="s">
        <v>28</v>
      </c>
      <c r="C851" s="14" t="s">
        <v>5362</v>
      </c>
      <c r="D851" s="14" t="s">
        <v>5363</v>
      </c>
    </row>
    <row r="852" customFormat="false" ht="149.25" hidden="false" customHeight="false" outlineLevel="0" collapsed="false">
      <c r="A852" s="0" t="s">
        <v>268</v>
      </c>
      <c r="B852" s="0" t="s">
        <v>28</v>
      </c>
      <c r="C852" s="14" t="s">
        <v>5364</v>
      </c>
      <c r="D852" s="14" t="s">
        <v>5365</v>
      </c>
      <c r="E852" s="0" t="s">
        <v>5136</v>
      </c>
    </row>
    <row r="853" customFormat="false" ht="122.35" hidden="false" customHeight="false" outlineLevel="0" collapsed="false">
      <c r="A853" s="0" t="s">
        <v>288</v>
      </c>
      <c r="B853" s="0" t="s">
        <v>28</v>
      </c>
      <c r="C853" s="14" t="s">
        <v>5366</v>
      </c>
      <c r="D853" s="14" t="s">
        <v>5367</v>
      </c>
    </row>
    <row r="854" customFormat="false" ht="41.75" hidden="false" customHeight="false" outlineLevel="0" collapsed="false">
      <c r="A854" s="0" t="s">
        <v>5368</v>
      </c>
      <c r="B854" s="0" t="s">
        <v>28</v>
      </c>
      <c r="C854" s="14" t="s">
        <v>5369</v>
      </c>
      <c r="D854" s="14" t="s">
        <v>5370</v>
      </c>
    </row>
    <row r="855" customFormat="false" ht="82.05" hidden="false" customHeight="false" outlineLevel="0" collapsed="false">
      <c r="A855" s="0" t="s">
        <v>218</v>
      </c>
      <c r="B855" s="0" t="s">
        <v>28</v>
      </c>
      <c r="C855" s="14" t="s">
        <v>5155</v>
      </c>
      <c r="D855" s="14" t="s">
        <v>5371</v>
      </c>
      <c r="E855" s="0" t="s">
        <v>5372</v>
      </c>
    </row>
    <row r="856" customFormat="false" ht="41.75" hidden="false" customHeight="false" outlineLevel="0" collapsed="false">
      <c r="A856" s="0" t="s">
        <v>878</v>
      </c>
      <c r="B856" s="0" t="s">
        <v>28</v>
      </c>
      <c r="C856" s="14" t="s">
        <v>5373</v>
      </c>
      <c r="D856" s="0" t="s">
        <v>879</v>
      </c>
      <c r="E856" s="0" t="s">
        <v>5165</v>
      </c>
    </row>
    <row r="857" customFormat="false" ht="216.4" hidden="false" customHeight="false" outlineLevel="0" collapsed="false">
      <c r="A857" s="0" t="s">
        <v>173</v>
      </c>
      <c r="B857" s="0" t="s">
        <v>28</v>
      </c>
      <c r="C857" s="14" t="s">
        <v>5374</v>
      </c>
      <c r="D857" s="14" t="s">
        <v>5375</v>
      </c>
      <c r="E857" s="0" t="s">
        <v>5372</v>
      </c>
    </row>
    <row r="858" customFormat="false" ht="162.65" hidden="false" customHeight="false" outlineLevel="0" collapsed="false">
      <c r="A858" s="0" t="s">
        <v>529</v>
      </c>
      <c r="B858" s="0" t="s">
        <v>28</v>
      </c>
      <c r="C858" s="14" t="s">
        <v>5376</v>
      </c>
      <c r="D858" s="14" t="s">
        <v>5377</v>
      </c>
      <c r="E858" s="0" t="s">
        <v>5229</v>
      </c>
    </row>
    <row r="859" customFormat="false" ht="41.75" hidden="false" customHeight="false" outlineLevel="0" collapsed="false">
      <c r="A859" s="0" t="s">
        <v>1678</v>
      </c>
      <c r="B859" s="0" t="s">
        <v>28</v>
      </c>
      <c r="C859" s="14" t="s">
        <v>5378</v>
      </c>
      <c r="D859" s="14" t="s">
        <v>5379</v>
      </c>
      <c r="E859" s="14" t="s">
        <v>5380</v>
      </c>
    </row>
    <row r="860" customFormat="false" ht="95.5" hidden="false" customHeight="false" outlineLevel="0" collapsed="false">
      <c r="A860" s="0" t="s">
        <v>245</v>
      </c>
      <c r="B860" s="0" t="s">
        <v>28</v>
      </c>
      <c r="C860" s="14" t="s">
        <v>5381</v>
      </c>
      <c r="D860" s="14" t="s">
        <v>5382</v>
      </c>
      <c r="E860" s="0" t="s">
        <v>5136</v>
      </c>
    </row>
    <row r="861" customFormat="false" ht="68.65" hidden="false" customHeight="false" outlineLevel="0" collapsed="false">
      <c r="A861" s="0" t="s">
        <v>506</v>
      </c>
      <c r="B861" s="0" t="s">
        <v>28</v>
      </c>
      <c r="C861" s="14" t="s">
        <v>5383</v>
      </c>
      <c r="D861" s="14" t="s">
        <v>5384</v>
      </c>
      <c r="E861" s="0" t="s">
        <v>5136</v>
      </c>
    </row>
    <row r="862" customFormat="false" ht="350.7" hidden="false" customHeight="false" outlineLevel="0" collapsed="false">
      <c r="A862" s="0" t="s">
        <v>744</v>
      </c>
      <c r="B862" s="0" t="s">
        <v>28</v>
      </c>
      <c r="C862" s="14" t="s">
        <v>5385</v>
      </c>
      <c r="D862" s="14" t="s">
        <v>5386</v>
      </c>
      <c r="E862" s="0" t="s">
        <v>5229</v>
      </c>
    </row>
    <row r="863" customFormat="false" ht="122.35" hidden="false" customHeight="false" outlineLevel="0" collapsed="false">
      <c r="A863" s="0" t="s">
        <v>700</v>
      </c>
      <c r="B863" s="0" t="s">
        <v>28</v>
      </c>
      <c r="C863" s="14" t="s">
        <v>5387</v>
      </c>
      <c r="D863" s="14" t="s">
        <v>5388</v>
      </c>
      <c r="E863" s="0" t="s">
        <v>5372</v>
      </c>
    </row>
    <row r="864" customFormat="false" ht="28.35" hidden="false" customHeight="false" outlineLevel="0" collapsed="false">
      <c r="A864" s="0" t="s">
        <v>1243</v>
      </c>
      <c r="B864" s="0" t="s">
        <v>28</v>
      </c>
      <c r="C864" s="0" t="s">
        <v>5389</v>
      </c>
      <c r="D864" s="14" t="s">
        <v>5390</v>
      </c>
      <c r="E864" s="0" t="s">
        <v>5372</v>
      </c>
    </row>
    <row r="865" customFormat="false" ht="95.5" hidden="false" customHeight="false" outlineLevel="0" collapsed="false">
      <c r="A865" s="0" t="s">
        <v>1404</v>
      </c>
      <c r="B865" s="0" t="s">
        <v>28</v>
      </c>
      <c r="C865" s="14" t="s">
        <v>5391</v>
      </c>
      <c r="D865" s="0" t="s">
        <v>1406</v>
      </c>
      <c r="E865" s="0" t="s">
        <v>5392</v>
      </c>
    </row>
    <row r="866" customFormat="false" ht="55.2" hidden="false" customHeight="false" outlineLevel="0" collapsed="false">
      <c r="A866" s="0" t="s">
        <v>696</v>
      </c>
      <c r="B866" s="0" t="s">
        <v>28</v>
      </c>
      <c r="C866" s="14" t="s">
        <v>3750</v>
      </c>
      <c r="D866" s="14" t="s">
        <v>5393</v>
      </c>
      <c r="E866" s="14" t="s">
        <v>5394</v>
      </c>
    </row>
    <row r="867" customFormat="false" ht="41.75" hidden="false" customHeight="false" outlineLevel="0" collapsed="false">
      <c r="A867" s="0" t="s">
        <v>1180</v>
      </c>
      <c r="B867" s="0" t="s">
        <v>28</v>
      </c>
      <c r="C867" s="14" t="s">
        <v>5395</v>
      </c>
      <c r="D867" s="14" t="s">
        <v>5396</v>
      </c>
    </row>
    <row r="868" customFormat="false" ht="28.35" hidden="false" customHeight="false" outlineLevel="0" collapsed="false">
      <c r="A868" s="0" t="s">
        <v>250</v>
      </c>
      <c r="B868" s="0" t="s">
        <v>28</v>
      </c>
      <c r="C868" s="14" t="s">
        <v>5397</v>
      </c>
      <c r="D868" s="0" t="s">
        <v>252</v>
      </c>
    </row>
    <row r="869" customFormat="false" ht="15" hidden="false" customHeight="false" outlineLevel="0" collapsed="false">
      <c r="A869" s="0" t="s">
        <v>26</v>
      </c>
      <c r="B869" s="0" t="s">
        <v>28</v>
      </c>
      <c r="C869" s="0" t="s">
        <v>5398</v>
      </c>
    </row>
    <row r="870" customFormat="false" ht="108.95" hidden="false" customHeight="false" outlineLevel="0" collapsed="false">
      <c r="A870" s="0" t="s">
        <v>179</v>
      </c>
      <c r="B870" s="0" t="s">
        <v>28</v>
      </c>
      <c r="C870" s="14" t="s">
        <v>5399</v>
      </c>
      <c r="D870" s="14" t="s">
        <v>5400</v>
      </c>
      <c r="E870" s="14" t="s">
        <v>4972</v>
      </c>
    </row>
    <row r="871" customFormat="false" ht="55.2" hidden="false" customHeight="false" outlineLevel="0" collapsed="false">
      <c r="A871" s="0" t="s">
        <v>386</v>
      </c>
      <c r="B871" s="0" t="s">
        <v>28</v>
      </c>
      <c r="C871" s="0" t="s">
        <v>5401</v>
      </c>
      <c r="D871" s="14" t="s">
        <v>5402</v>
      </c>
      <c r="E871" s="14" t="s">
        <v>5403</v>
      </c>
    </row>
    <row r="872" customFormat="false" ht="55.2" hidden="false" customHeight="false" outlineLevel="0" collapsed="false">
      <c r="A872" s="0" t="s">
        <v>965</v>
      </c>
      <c r="B872" s="0" t="s">
        <v>28</v>
      </c>
      <c r="C872" s="14" t="s">
        <v>5404</v>
      </c>
      <c r="D872" s="14" t="s">
        <v>5405</v>
      </c>
      <c r="E872" s="14" t="s">
        <v>5406</v>
      </c>
    </row>
    <row r="873" customFormat="false" ht="41.75" hidden="false" customHeight="false" outlineLevel="0" collapsed="false">
      <c r="A873" s="0" t="s">
        <v>113</v>
      </c>
      <c r="B873" s="0" t="s">
        <v>28</v>
      </c>
      <c r="C873" s="14" t="s">
        <v>4577</v>
      </c>
    </row>
    <row r="874" customFormat="false" ht="28.35" hidden="false" customHeight="false" outlineLevel="0" collapsed="false">
      <c r="A874" s="0" t="s">
        <v>650</v>
      </c>
      <c r="B874" s="0" t="s">
        <v>28</v>
      </c>
      <c r="C874" s="14" t="s">
        <v>5263</v>
      </c>
    </row>
    <row r="875" customFormat="false" ht="28.35" hidden="false" customHeight="false" outlineLevel="0" collapsed="false">
      <c r="A875" s="0" t="s">
        <v>1047</v>
      </c>
      <c r="B875" s="0" t="s">
        <v>28</v>
      </c>
      <c r="C875" s="14" t="s">
        <v>5265</v>
      </c>
    </row>
    <row r="876" customFormat="false" ht="82.05" hidden="false" customHeight="false" outlineLevel="0" collapsed="false">
      <c r="A876" s="0" t="s">
        <v>1098</v>
      </c>
      <c r="B876" s="0" t="s">
        <v>28</v>
      </c>
      <c r="C876" s="14" t="s">
        <v>5407</v>
      </c>
      <c r="D876" s="14" t="s">
        <v>5408</v>
      </c>
    </row>
    <row r="877" customFormat="false" ht="82.05" hidden="false" customHeight="false" outlineLevel="0" collapsed="false">
      <c r="A877" s="0" t="s">
        <v>202</v>
      </c>
      <c r="B877" s="0" t="s">
        <v>28</v>
      </c>
      <c r="C877" s="14" t="s">
        <v>5409</v>
      </c>
      <c r="D877" s="0" t="s">
        <v>203</v>
      </c>
      <c r="E877" s="14" t="s">
        <v>5410</v>
      </c>
    </row>
    <row r="878" customFormat="false" ht="41.75" hidden="false" customHeight="false" outlineLevel="0" collapsed="false">
      <c r="A878" s="0" t="s">
        <v>331</v>
      </c>
      <c r="B878" s="0" t="s">
        <v>28</v>
      </c>
      <c r="C878" s="14" t="s">
        <v>5273</v>
      </c>
    </row>
    <row r="879" customFormat="false" ht="15" hidden="false" customHeight="false" outlineLevel="0" collapsed="false">
      <c r="A879" s="0" t="s">
        <v>623</v>
      </c>
      <c r="B879" s="0" t="s">
        <v>28</v>
      </c>
      <c r="C879" s="0" t="s">
        <v>5277</v>
      </c>
    </row>
    <row r="880" customFormat="false" ht="68.65" hidden="false" customHeight="false" outlineLevel="0" collapsed="false">
      <c r="A880" s="0" t="s">
        <v>653</v>
      </c>
      <c r="B880" s="0" t="s">
        <v>28</v>
      </c>
      <c r="C880" s="14" t="s">
        <v>5411</v>
      </c>
      <c r="D880" s="0" t="s">
        <v>5412</v>
      </c>
    </row>
    <row r="881" customFormat="false" ht="41.75" hidden="false" customHeight="false" outlineLevel="0" collapsed="false">
      <c r="A881" s="0" t="s">
        <v>752</v>
      </c>
      <c r="B881" s="0" t="s">
        <v>28</v>
      </c>
      <c r="C881" s="14" t="s">
        <v>5215</v>
      </c>
      <c r="D881" s="14" t="s">
        <v>5413</v>
      </c>
      <c r="E881" s="0" t="s">
        <v>5414</v>
      </c>
    </row>
    <row r="882" customFormat="false" ht="28.35" hidden="false" customHeight="false" outlineLevel="0" collapsed="false">
      <c r="A882" s="0" t="s">
        <v>144</v>
      </c>
      <c r="B882" s="0" t="s">
        <v>28</v>
      </c>
      <c r="C882" s="14" t="s">
        <v>5281</v>
      </c>
    </row>
    <row r="883" customFormat="false" ht="28.35" hidden="false" customHeight="false" outlineLevel="0" collapsed="false">
      <c r="A883" s="0" t="s">
        <v>717</v>
      </c>
      <c r="B883" s="0" t="s">
        <v>28</v>
      </c>
      <c r="C883" s="0" t="s">
        <v>4188</v>
      </c>
      <c r="D883" s="14" t="s">
        <v>5415</v>
      </c>
      <c r="E883" s="14" t="s">
        <v>5394</v>
      </c>
    </row>
    <row r="884" customFormat="false" ht="41.75" hidden="false" customHeight="false" outlineLevel="0" collapsed="false">
      <c r="A884" s="0" t="s">
        <v>815</v>
      </c>
      <c r="B884" s="0" t="s">
        <v>28</v>
      </c>
      <c r="C884" s="14" t="s">
        <v>5416</v>
      </c>
      <c r="D884" s="14" t="s">
        <v>5417</v>
      </c>
      <c r="E884" s="0" t="s">
        <v>5418</v>
      </c>
    </row>
    <row r="885" customFormat="false" ht="41.75" hidden="false" customHeight="false" outlineLevel="0" collapsed="false">
      <c r="A885" s="0" t="s">
        <v>828</v>
      </c>
      <c r="B885" s="0" t="s">
        <v>28</v>
      </c>
      <c r="C885" s="14" t="s">
        <v>5291</v>
      </c>
      <c r="E885" s="14" t="s">
        <v>5419</v>
      </c>
    </row>
    <row r="886" customFormat="false" ht="55.2" hidden="false" customHeight="false" outlineLevel="0" collapsed="false">
      <c r="A886" s="0" t="s">
        <v>394</v>
      </c>
      <c r="B886" s="0" t="s">
        <v>28</v>
      </c>
      <c r="C886" s="14" t="s">
        <v>5175</v>
      </c>
      <c r="E886" s="15" t="n">
        <v>46085</v>
      </c>
    </row>
    <row r="887" customFormat="false" ht="28.35" hidden="false" customHeight="false" outlineLevel="0" collapsed="false">
      <c r="A887" s="0" t="s">
        <v>559</v>
      </c>
      <c r="B887" s="0" t="s">
        <v>28</v>
      </c>
      <c r="C887" s="14" t="s">
        <v>5420</v>
      </c>
    </row>
    <row r="888" customFormat="false" ht="82.05" hidden="false" customHeight="false" outlineLevel="0" collapsed="false">
      <c r="A888" s="0" t="s">
        <v>1381</v>
      </c>
      <c r="B888" s="0" t="s">
        <v>28</v>
      </c>
      <c r="C888" s="14" t="s">
        <v>5421</v>
      </c>
      <c r="D888" s="0" t="s">
        <v>1383</v>
      </c>
      <c r="E888" s="14" t="s">
        <v>5422</v>
      </c>
    </row>
    <row r="889" customFormat="false" ht="55.2" hidden="false" customHeight="false" outlineLevel="0" collapsed="false">
      <c r="A889" s="0" t="s">
        <v>941</v>
      </c>
      <c r="B889" s="0" t="s">
        <v>28</v>
      </c>
      <c r="C889" s="0" t="s">
        <v>5181</v>
      </c>
      <c r="D889" s="14" t="s">
        <v>5423</v>
      </c>
      <c r="E889" s="14" t="s">
        <v>5394</v>
      </c>
    </row>
    <row r="890" customFormat="false" ht="15" hidden="false" customHeight="false" outlineLevel="0" collapsed="false">
      <c r="A890" s="0" t="s">
        <v>2529</v>
      </c>
      <c r="B890" s="0" t="s">
        <v>28</v>
      </c>
      <c r="C890" s="0" t="s">
        <v>4425</v>
      </c>
    </row>
    <row r="891" customFormat="false" ht="122.35" hidden="false" customHeight="false" outlineLevel="0" collapsed="false">
      <c r="A891" s="0" t="s">
        <v>1612</v>
      </c>
      <c r="B891" s="0" t="s">
        <v>5424</v>
      </c>
      <c r="C891" s="14" t="s">
        <v>5425</v>
      </c>
    </row>
    <row r="892" customFormat="false" ht="41.75" hidden="false" customHeight="false" outlineLevel="0" collapsed="false">
      <c r="A892" s="0" t="s">
        <v>2241</v>
      </c>
      <c r="B892" s="0" t="s">
        <v>28</v>
      </c>
      <c r="C892" s="14" t="s">
        <v>5308</v>
      </c>
    </row>
    <row r="893" customFormat="false" ht="41.75" hidden="false" customHeight="false" outlineLevel="0" collapsed="false">
      <c r="A893" s="0" t="s">
        <v>1484</v>
      </c>
      <c r="B893" s="0" t="s">
        <v>28</v>
      </c>
      <c r="C893" s="14" t="s">
        <v>3859</v>
      </c>
      <c r="D893" s="14" t="s">
        <v>5426</v>
      </c>
      <c r="E893" s="14" t="s">
        <v>5427</v>
      </c>
    </row>
    <row r="894" customFormat="false" ht="15" hidden="false" customHeight="false" outlineLevel="0" collapsed="false">
      <c r="A894" s="0" t="s">
        <v>1474</v>
      </c>
      <c r="B894" s="0" t="s">
        <v>28</v>
      </c>
      <c r="C894" s="0" t="s">
        <v>4730</v>
      </c>
    </row>
    <row r="895" customFormat="false" ht="55.2" hidden="false" customHeight="false" outlineLevel="0" collapsed="false">
      <c r="A895" s="0" t="s">
        <v>1039</v>
      </c>
      <c r="B895" s="0" t="s">
        <v>28</v>
      </c>
      <c r="C895" s="14" t="s">
        <v>5428</v>
      </c>
      <c r="D895" s="0" t="s">
        <v>1040</v>
      </c>
    </row>
    <row r="896" customFormat="false" ht="55.2" hidden="false" customHeight="false" outlineLevel="0" collapsed="false">
      <c r="A896" s="0" t="s">
        <v>3356</v>
      </c>
      <c r="B896" s="0" t="s">
        <v>28</v>
      </c>
      <c r="C896" s="14" t="s">
        <v>5429</v>
      </c>
      <c r="D896" s="14" t="s">
        <v>5430</v>
      </c>
      <c r="E896" s="14" t="s">
        <v>5431</v>
      </c>
    </row>
    <row r="897" customFormat="false" ht="41.75" hidden="false" customHeight="false" outlineLevel="0" collapsed="false">
      <c r="A897" s="0" t="s">
        <v>1807</v>
      </c>
      <c r="B897" s="0" t="s">
        <v>28</v>
      </c>
      <c r="C897" s="14" t="s">
        <v>5432</v>
      </c>
      <c r="D897" s="0" t="s">
        <v>1808</v>
      </c>
    </row>
    <row r="898" customFormat="false" ht="68.65" hidden="false" customHeight="false" outlineLevel="0" collapsed="false">
      <c r="A898" s="0" t="s">
        <v>2757</v>
      </c>
      <c r="B898" s="0" t="s">
        <v>28</v>
      </c>
      <c r="C898" s="14" t="s">
        <v>5433</v>
      </c>
      <c r="D898" s="14" t="s">
        <v>5434</v>
      </c>
    </row>
    <row r="899" customFormat="false" ht="149.25" hidden="false" customHeight="false" outlineLevel="0" collapsed="false">
      <c r="A899" s="0" t="s">
        <v>3578</v>
      </c>
      <c r="B899" s="0" t="s">
        <v>28</v>
      </c>
      <c r="C899" s="14" t="s">
        <v>5435</v>
      </c>
      <c r="D899" s="14" t="s">
        <v>5436</v>
      </c>
    </row>
    <row r="900" customFormat="false" ht="766.4" hidden="false" customHeight="false" outlineLevel="0" collapsed="false">
      <c r="A900" s="0" t="s">
        <v>3624</v>
      </c>
      <c r="B900" s="0" t="s">
        <v>28</v>
      </c>
      <c r="C900" s="14" t="s">
        <v>5437</v>
      </c>
      <c r="D900" s="14" t="s">
        <v>5438</v>
      </c>
      <c r="E900" s="14" t="s">
        <v>5431</v>
      </c>
    </row>
    <row r="901" customFormat="false" ht="162.65" hidden="false" customHeight="false" outlineLevel="0" collapsed="false">
      <c r="A901" s="0" t="s">
        <v>3535</v>
      </c>
      <c r="B901" s="0" t="s">
        <v>28</v>
      </c>
      <c r="C901" s="14" t="s">
        <v>5439</v>
      </c>
      <c r="D901" s="14" t="s">
        <v>5440</v>
      </c>
      <c r="E901" s="14" t="s">
        <v>5441</v>
      </c>
    </row>
    <row r="902" customFormat="false" ht="55.2" hidden="false" customHeight="false" outlineLevel="0" collapsed="false">
      <c r="A902" s="0" t="s">
        <v>3352</v>
      </c>
      <c r="B902" s="0" t="s">
        <v>28</v>
      </c>
      <c r="C902" s="14" t="s">
        <v>5442</v>
      </c>
      <c r="D902" s="0" t="s">
        <v>3353</v>
      </c>
    </row>
    <row r="903" customFormat="false" ht="41.75" hidden="false" customHeight="false" outlineLevel="0" collapsed="false">
      <c r="A903" s="0" t="s">
        <v>3027</v>
      </c>
      <c r="B903" s="0" t="s">
        <v>28</v>
      </c>
      <c r="C903" s="14" t="s">
        <v>5443</v>
      </c>
      <c r="D903" s="14" t="s">
        <v>5444</v>
      </c>
    </row>
    <row r="904" customFormat="false" ht="377.6" hidden="false" customHeight="false" outlineLevel="0" collapsed="false">
      <c r="A904" s="0" t="s">
        <v>3661</v>
      </c>
      <c r="B904" s="0" t="s">
        <v>28</v>
      </c>
      <c r="C904" s="14" t="s">
        <v>5445</v>
      </c>
      <c r="D904" s="14" t="s">
        <v>5446</v>
      </c>
    </row>
    <row r="905" customFormat="false" ht="68.65" hidden="false" customHeight="false" outlineLevel="0" collapsed="false">
      <c r="A905" s="0" t="s">
        <v>3559</v>
      </c>
      <c r="B905" s="0" t="s">
        <v>28</v>
      </c>
      <c r="C905" s="14" t="s">
        <v>5447</v>
      </c>
      <c r="D905" s="0" t="s">
        <v>3560</v>
      </c>
      <c r="E905" s="14" t="s">
        <v>5431</v>
      </c>
    </row>
    <row r="906" customFormat="false" ht="135.8" hidden="false" customHeight="false" outlineLevel="0" collapsed="false">
      <c r="A906" s="0" t="s">
        <v>3322</v>
      </c>
      <c r="B906" s="0" t="s">
        <v>28</v>
      </c>
      <c r="C906" s="14" t="s">
        <v>5448</v>
      </c>
      <c r="D906" s="14" t="s">
        <v>5449</v>
      </c>
      <c r="E906" s="14" t="s">
        <v>5450</v>
      </c>
    </row>
    <row r="907" customFormat="false" ht="41.75" hidden="false" customHeight="false" outlineLevel="0" collapsed="false">
      <c r="A907" s="0" t="s">
        <v>3445</v>
      </c>
      <c r="B907" s="0" t="s">
        <v>28</v>
      </c>
      <c r="C907" s="14" t="s">
        <v>5429</v>
      </c>
      <c r="D907" s="14" t="s">
        <v>5451</v>
      </c>
      <c r="E907" s="14" t="s">
        <v>5431</v>
      </c>
    </row>
    <row r="908" customFormat="false" ht="122.35" hidden="false" customHeight="false" outlineLevel="0" collapsed="false">
      <c r="A908" s="0" t="s">
        <v>2672</v>
      </c>
      <c r="B908" s="0" t="s">
        <v>28</v>
      </c>
      <c r="C908" s="14" t="s">
        <v>5351</v>
      </c>
      <c r="D908" s="14" t="s">
        <v>5452</v>
      </c>
      <c r="E908" s="14" t="s">
        <v>5431</v>
      </c>
    </row>
    <row r="909" customFormat="false" ht="55.2" hidden="false" customHeight="false" outlineLevel="0" collapsed="false">
      <c r="A909" s="0" t="s">
        <v>3655</v>
      </c>
      <c r="B909" s="0" t="s">
        <v>28</v>
      </c>
      <c r="C909" s="14" t="s">
        <v>5453</v>
      </c>
      <c r="D909" s="14" t="s">
        <v>5449</v>
      </c>
      <c r="E909" s="14" t="s">
        <v>5431</v>
      </c>
    </row>
    <row r="910" customFormat="false" ht="68.65" hidden="false" customHeight="false" outlineLevel="0" collapsed="false">
      <c r="A910" s="0" t="s">
        <v>3587</v>
      </c>
      <c r="B910" s="0" t="s">
        <v>28</v>
      </c>
      <c r="C910" s="14" t="s">
        <v>5454</v>
      </c>
      <c r="D910" s="14" t="s">
        <v>5455</v>
      </c>
      <c r="E910" s="14" t="s">
        <v>5441</v>
      </c>
    </row>
    <row r="911" customFormat="false" ht="55.2" hidden="false" customHeight="false" outlineLevel="0" collapsed="false">
      <c r="A911" s="0" t="s">
        <v>3361</v>
      </c>
      <c r="B911" s="0" t="s">
        <v>28</v>
      </c>
      <c r="C911" s="14" t="s">
        <v>5456</v>
      </c>
      <c r="D911" s="14" t="s">
        <v>5457</v>
      </c>
      <c r="E911" s="14" t="s">
        <v>5318</v>
      </c>
    </row>
    <row r="912" customFormat="false" ht="95.5" hidden="false" customHeight="false" outlineLevel="0" collapsed="false">
      <c r="A912" s="0" t="s">
        <v>1779</v>
      </c>
      <c r="B912" s="0" t="s">
        <v>157</v>
      </c>
      <c r="C912" s="14" t="s">
        <v>5458</v>
      </c>
      <c r="D912" s="14" t="s">
        <v>5459</v>
      </c>
      <c r="E912" s="0" t="s">
        <v>5460</v>
      </c>
    </row>
    <row r="913" customFormat="false" ht="55.2" hidden="false" customHeight="false" outlineLevel="0" collapsed="false">
      <c r="A913" s="0" t="s">
        <v>5461</v>
      </c>
      <c r="B913" s="0" t="s">
        <v>157</v>
      </c>
      <c r="C913" s="14" t="s">
        <v>5462</v>
      </c>
      <c r="D913" s="14" t="s">
        <v>5463</v>
      </c>
      <c r="E913" s="0" t="s">
        <v>5464</v>
      </c>
    </row>
    <row r="914" customFormat="false" ht="189.55" hidden="false" customHeight="false" outlineLevel="0" collapsed="false">
      <c r="A914" s="0" t="s">
        <v>228</v>
      </c>
      <c r="B914" s="0" t="s">
        <v>157</v>
      </c>
      <c r="C914" s="14" t="s">
        <v>5465</v>
      </c>
    </row>
    <row r="915" customFormat="false" ht="41.75" hidden="false" customHeight="false" outlineLevel="0" collapsed="false">
      <c r="A915" s="0" t="s">
        <v>3146</v>
      </c>
      <c r="B915" s="0" t="s">
        <v>157</v>
      </c>
      <c r="C915" s="14" t="s">
        <v>5466</v>
      </c>
    </row>
    <row r="916" customFormat="false" ht="41.75" hidden="false" customHeight="false" outlineLevel="0" collapsed="false">
      <c r="A916" s="0" t="s">
        <v>2301</v>
      </c>
      <c r="B916" s="0" t="s">
        <v>157</v>
      </c>
      <c r="C916" s="14" t="s">
        <v>5467</v>
      </c>
      <c r="D916" s="14" t="s">
        <v>5468</v>
      </c>
    </row>
    <row r="917" customFormat="false" ht="55.2" hidden="false" customHeight="false" outlineLevel="0" collapsed="false">
      <c r="A917" s="0" t="s">
        <v>974</v>
      </c>
      <c r="B917" s="0" t="s">
        <v>157</v>
      </c>
      <c r="C917" s="14" t="s">
        <v>5469</v>
      </c>
      <c r="D917" s="14" t="s">
        <v>5470</v>
      </c>
    </row>
    <row r="918" customFormat="false" ht="256.7" hidden="false" customHeight="false" outlineLevel="0" collapsed="false">
      <c r="A918" s="0" t="s">
        <v>963</v>
      </c>
      <c r="B918" s="0" t="s">
        <v>157</v>
      </c>
      <c r="C918" s="14" t="s">
        <v>5471</v>
      </c>
      <c r="D918" s="14" t="s">
        <v>5472</v>
      </c>
    </row>
    <row r="919" customFormat="false" ht="55.2" hidden="false" customHeight="false" outlineLevel="0" collapsed="false">
      <c r="A919" s="0" t="s">
        <v>3095</v>
      </c>
      <c r="B919" s="0" t="s">
        <v>157</v>
      </c>
      <c r="C919" s="14" t="s">
        <v>5473</v>
      </c>
      <c r="D919" s="0" t="s">
        <v>3096</v>
      </c>
    </row>
    <row r="920" customFormat="false" ht="55.2" hidden="false" customHeight="false" outlineLevel="0" collapsed="false">
      <c r="A920" s="0" t="s">
        <v>1961</v>
      </c>
      <c r="B920" s="0" t="s">
        <v>157</v>
      </c>
      <c r="C920" s="0" t="s">
        <v>5474</v>
      </c>
      <c r="D920" s="14" t="s">
        <v>5475</v>
      </c>
      <c r="E920" s="0" t="s">
        <v>5476</v>
      </c>
    </row>
    <row r="921" customFormat="false" ht="15" hidden="false" customHeight="false" outlineLevel="0" collapsed="false">
      <c r="A921" s="0" t="s">
        <v>1644</v>
      </c>
      <c r="B921" s="0" t="s">
        <v>157</v>
      </c>
      <c r="C921" s="0" t="s">
        <v>4658</v>
      </c>
    </row>
    <row r="922" customFormat="false" ht="55.2" hidden="false" customHeight="false" outlineLevel="0" collapsed="false">
      <c r="A922" s="0" t="s">
        <v>5477</v>
      </c>
      <c r="B922" s="0" t="s">
        <v>157</v>
      </c>
      <c r="C922" s="14" t="s">
        <v>5478</v>
      </c>
      <c r="D922" s="14" t="s">
        <v>5479</v>
      </c>
      <c r="E922" s="0" t="s">
        <v>5480</v>
      </c>
    </row>
    <row r="923" customFormat="false" ht="55.2" hidden="false" customHeight="false" outlineLevel="0" collapsed="false">
      <c r="A923" s="0" t="s">
        <v>835</v>
      </c>
      <c r="B923" s="0" t="s">
        <v>157</v>
      </c>
      <c r="C923" s="14" t="s">
        <v>5481</v>
      </c>
      <c r="D923" s="14" t="s">
        <v>5482</v>
      </c>
      <c r="E923" s="0" t="s">
        <v>5483</v>
      </c>
    </row>
    <row r="924" customFormat="false" ht="256.7" hidden="false" customHeight="false" outlineLevel="0" collapsed="false">
      <c r="A924" s="0" t="s">
        <v>447</v>
      </c>
      <c r="B924" s="0" t="s">
        <v>157</v>
      </c>
      <c r="C924" s="14" t="s">
        <v>5484</v>
      </c>
      <c r="D924" s="14" t="s">
        <v>5485</v>
      </c>
      <c r="E924" s="0" t="s">
        <v>5486</v>
      </c>
    </row>
    <row r="925" customFormat="false" ht="41.75" hidden="false" customHeight="false" outlineLevel="0" collapsed="false">
      <c r="A925" s="0" t="s">
        <v>1636</v>
      </c>
      <c r="B925" s="0" t="s">
        <v>157</v>
      </c>
      <c r="C925" s="0" t="s">
        <v>5487</v>
      </c>
      <c r="D925" s="14" t="s">
        <v>5488</v>
      </c>
    </row>
    <row r="926" customFormat="false" ht="15" hidden="false" customHeight="false" outlineLevel="0" collapsed="false">
      <c r="A926" s="0" t="s">
        <v>2790</v>
      </c>
      <c r="B926" s="0" t="s">
        <v>157</v>
      </c>
      <c r="C926" s="0" t="s">
        <v>5489</v>
      </c>
      <c r="D926" s="0" t="s">
        <v>2792</v>
      </c>
    </row>
    <row r="927" customFormat="false" ht="28.35" hidden="false" customHeight="false" outlineLevel="0" collapsed="false">
      <c r="A927" s="0" t="s">
        <v>1868</v>
      </c>
      <c r="B927" s="0" t="s">
        <v>157</v>
      </c>
      <c r="C927" s="14" t="s">
        <v>5490</v>
      </c>
      <c r="D927" s="0" t="s">
        <v>1869</v>
      </c>
    </row>
    <row r="928" customFormat="false" ht="82.05" hidden="false" customHeight="false" outlineLevel="0" collapsed="false">
      <c r="A928" s="0" t="s">
        <v>308</v>
      </c>
      <c r="B928" s="0" t="s">
        <v>157</v>
      </c>
      <c r="C928" s="14" t="s">
        <v>5357</v>
      </c>
    </row>
    <row r="929" customFormat="false" ht="55.2" hidden="false" customHeight="false" outlineLevel="0" collapsed="false">
      <c r="A929" s="0" t="s">
        <v>624</v>
      </c>
      <c r="B929" s="0" t="s">
        <v>157</v>
      </c>
      <c r="C929" s="14" t="s">
        <v>5491</v>
      </c>
      <c r="D929" s="14" t="s">
        <v>5492</v>
      </c>
    </row>
    <row r="930" customFormat="false" ht="28.35" hidden="false" customHeight="false" outlineLevel="0" collapsed="false">
      <c r="A930" s="0" t="s">
        <v>442</v>
      </c>
      <c r="B930" s="0" t="s">
        <v>157</v>
      </c>
      <c r="C930" s="14" t="s">
        <v>5493</v>
      </c>
      <c r="D930" s="14" t="s">
        <v>5494</v>
      </c>
    </row>
    <row r="931" customFormat="false" ht="28.35" hidden="false" customHeight="false" outlineLevel="0" collapsed="false">
      <c r="A931" s="0" t="s">
        <v>392</v>
      </c>
      <c r="B931" s="0" t="s">
        <v>157</v>
      </c>
      <c r="C931" s="14" t="s">
        <v>4944</v>
      </c>
    </row>
    <row r="932" customFormat="false" ht="135.8" hidden="false" customHeight="false" outlineLevel="0" collapsed="false">
      <c r="A932" s="0" t="s">
        <v>915</v>
      </c>
      <c r="B932" s="0" t="s">
        <v>157</v>
      </c>
      <c r="C932" s="14" t="s">
        <v>5495</v>
      </c>
      <c r="D932" s="14" t="s">
        <v>5496</v>
      </c>
    </row>
    <row r="933" customFormat="false" ht="216.4" hidden="false" customHeight="false" outlineLevel="0" collapsed="false">
      <c r="A933" s="0" t="s">
        <v>3148</v>
      </c>
      <c r="B933" s="0" t="s">
        <v>157</v>
      </c>
      <c r="C933" s="14" t="s">
        <v>5497</v>
      </c>
      <c r="D933" s="0" t="s">
        <v>3149</v>
      </c>
      <c r="E933" s="14" t="s">
        <v>5498</v>
      </c>
    </row>
    <row r="934" customFormat="false" ht="135.8" hidden="false" customHeight="false" outlineLevel="0" collapsed="false">
      <c r="A934" s="0" t="s">
        <v>873</v>
      </c>
      <c r="B934" s="0" t="s">
        <v>157</v>
      </c>
      <c r="C934" s="14" t="s">
        <v>5499</v>
      </c>
      <c r="D934" s="14" t="s">
        <v>5500</v>
      </c>
    </row>
    <row r="935" customFormat="false" ht="216.4" hidden="false" customHeight="false" outlineLevel="0" collapsed="false">
      <c r="A935" s="0" t="s">
        <v>3010</v>
      </c>
      <c r="B935" s="0" t="s">
        <v>157</v>
      </c>
      <c r="C935" s="14" t="s">
        <v>5497</v>
      </c>
      <c r="D935" s="14" t="s">
        <v>5501</v>
      </c>
      <c r="E935" s="14" t="s">
        <v>5502</v>
      </c>
    </row>
    <row r="936" customFormat="false" ht="364.15" hidden="false" customHeight="false" outlineLevel="0" collapsed="false">
      <c r="A936" s="0" t="s">
        <v>1304</v>
      </c>
      <c r="B936" s="0" t="s">
        <v>157</v>
      </c>
      <c r="C936" s="14" t="s">
        <v>5503</v>
      </c>
    </row>
    <row r="937" customFormat="false" ht="28.35" hidden="false" customHeight="false" outlineLevel="0" collapsed="false">
      <c r="A937" s="0" t="s">
        <v>1376</v>
      </c>
      <c r="B937" s="0" t="s">
        <v>157</v>
      </c>
      <c r="C937" s="14" t="s">
        <v>5504</v>
      </c>
      <c r="D937" s="0" t="s">
        <v>1378</v>
      </c>
    </row>
    <row r="938" customFormat="false" ht="55.2" hidden="false" customHeight="false" outlineLevel="0" collapsed="false">
      <c r="A938" s="0" t="s">
        <v>917</v>
      </c>
      <c r="B938" s="0" t="s">
        <v>157</v>
      </c>
      <c r="C938" s="14" t="s">
        <v>5505</v>
      </c>
      <c r="D938" s="14" t="s">
        <v>5506</v>
      </c>
    </row>
    <row r="939" customFormat="false" ht="28.35" hidden="false" customHeight="false" outlineLevel="0" collapsed="false">
      <c r="A939" s="0" t="s">
        <v>1247</v>
      </c>
      <c r="B939" s="0" t="s">
        <v>157</v>
      </c>
      <c r="C939" s="14" t="s">
        <v>5507</v>
      </c>
    </row>
    <row r="940" customFormat="false" ht="41.75" hidden="false" customHeight="false" outlineLevel="0" collapsed="false">
      <c r="A940" s="0" t="s">
        <v>454</v>
      </c>
      <c r="B940" s="0" t="s">
        <v>157</v>
      </c>
      <c r="C940" s="14" t="s">
        <v>5508</v>
      </c>
    </row>
    <row r="941" customFormat="false" ht="41.75" hidden="false" customHeight="false" outlineLevel="0" collapsed="false">
      <c r="A941" s="0" t="s">
        <v>547</v>
      </c>
      <c r="B941" s="0" t="s">
        <v>157</v>
      </c>
      <c r="C941" s="14" t="s">
        <v>5509</v>
      </c>
    </row>
    <row r="942" customFormat="false" ht="216.4" hidden="false" customHeight="false" outlineLevel="0" collapsed="false">
      <c r="A942" s="0" t="s">
        <v>155</v>
      </c>
      <c r="B942" s="0" t="s">
        <v>157</v>
      </c>
      <c r="C942" s="14" t="s">
        <v>5510</v>
      </c>
      <c r="D942" s="14" t="s">
        <v>5511</v>
      </c>
    </row>
    <row r="943" customFormat="false" ht="15" hidden="false" customHeight="false" outlineLevel="0" collapsed="false">
      <c r="A943" s="0" t="s">
        <v>838</v>
      </c>
      <c r="B943" s="0" t="s">
        <v>157</v>
      </c>
      <c r="C943" s="0" t="s">
        <v>5512</v>
      </c>
    </row>
    <row r="944" customFormat="false" ht="55.2" hidden="false" customHeight="false" outlineLevel="0" collapsed="false">
      <c r="A944" s="0" t="s">
        <v>970</v>
      </c>
      <c r="B944" s="0" t="s">
        <v>157</v>
      </c>
      <c r="C944" s="14" t="s">
        <v>4596</v>
      </c>
      <c r="D944" s="14" t="s">
        <v>5513</v>
      </c>
    </row>
    <row r="945" customFormat="false" ht="41.75" hidden="false" customHeight="false" outlineLevel="0" collapsed="false">
      <c r="A945" s="0" t="s">
        <v>239</v>
      </c>
      <c r="B945" s="0" t="s">
        <v>157</v>
      </c>
      <c r="C945" s="14" t="s">
        <v>5514</v>
      </c>
      <c r="E945" s="14" t="s">
        <v>5515</v>
      </c>
    </row>
    <row r="946" customFormat="false" ht="15" hidden="false" customHeight="false" outlineLevel="0" collapsed="false">
      <c r="A946" s="0" t="s">
        <v>1372</v>
      </c>
      <c r="B946" s="0" t="s">
        <v>157</v>
      </c>
      <c r="C946" s="0" t="s">
        <v>3905</v>
      </c>
      <c r="D946" s="0" t="s">
        <v>1373</v>
      </c>
    </row>
    <row r="947" customFormat="false" ht="68.65" hidden="false" customHeight="false" outlineLevel="0" collapsed="false">
      <c r="A947" s="0" t="s">
        <v>1591</v>
      </c>
      <c r="B947" s="0" t="s">
        <v>157</v>
      </c>
      <c r="C947" s="14" t="s">
        <v>5516</v>
      </c>
      <c r="D947" s="14" t="s">
        <v>5517</v>
      </c>
    </row>
    <row r="948" customFormat="false" ht="28.35" hidden="false" customHeight="false" outlineLevel="0" collapsed="false">
      <c r="A948" s="0" t="s">
        <v>2203</v>
      </c>
      <c r="B948" s="0" t="s">
        <v>157</v>
      </c>
      <c r="C948" s="14" t="s">
        <v>5518</v>
      </c>
      <c r="D948" s="14" t="s">
        <v>5519</v>
      </c>
    </row>
    <row r="949" customFormat="false" ht="149.25" hidden="false" customHeight="false" outlineLevel="0" collapsed="false">
      <c r="A949" s="0" t="s">
        <v>129</v>
      </c>
      <c r="B949" s="0" t="s">
        <v>131</v>
      </c>
      <c r="C949" s="14" t="s">
        <v>5520</v>
      </c>
      <c r="D949" s="14" t="s">
        <v>5521</v>
      </c>
      <c r="E949" s="14" t="s">
        <v>5522</v>
      </c>
    </row>
    <row r="950" customFormat="false" ht="95.5" hidden="false" customHeight="false" outlineLevel="0" collapsed="false">
      <c r="A950" s="0" t="s">
        <v>163</v>
      </c>
      <c r="B950" s="0" t="s">
        <v>131</v>
      </c>
      <c r="C950" s="14" t="s">
        <v>5523</v>
      </c>
      <c r="D950" s="14" t="s">
        <v>5524</v>
      </c>
      <c r="E950" s="14" t="s">
        <v>5525</v>
      </c>
    </row>
    <row r="951" customFormat="false" ht="95.5" hidden="false" customHeight="false" outlineLevel="0" collapsed="false">
      <c r="A951" s="0" t="s">
        <v>276</v>
      </c>
      <c r="B951" s="0" t="s">
        <v>131</v>
      </c>
      <c r="C951" s="14" t="s">
        <v>5526</v>
      </c>
      <c r="D951" s="14" t="s">
        <v>5527</v>
      </c>
      <c r="E951" s="14" t="s">
        <v>5528</v>
      </c>
    </row>
    <row r="952" customFormat="false" ht="68.65" hidden="false" customHeight="false" outlineLevel="0" collapsed="false">
      <c r="A952" s="0" t="s">
        <v>643</v>
      </c>
      <c r="B952" s="0" t="s">
        <v>131</v>
      </c>
      <c r="C952" s="14" t="s">
        <v>5529</v>
      </c>
      <c r="D952" s="14" t="s">
        <v>5530</v>
      </c>
      <c r="E952" s="14" t="s">
        <v>5531</v>
      </c>
    </row>
    <row r="953" customFormat="false" ht="82.05" hidden="false" customHeight="false" outlineLevel="0" collapsed="false">
      <c r="A953" s="0" t="s">
        <v>1463</v>
      </c>
      <c r="B953" s="0" t="s">
        <v>131</v>
      </c>
      <c r="C953" s="14" t="s">
        <v>5532</v>
      </c>
      <c r="D953" s="14" t="s">
        <v>5533</v>
      </c>
      <c r="E953" s="14" t="s">
        <v>5534</v>
      </c>
    </row>
    <row r="954" customFormat="false" ht="108.95" hidden="false" customHeight="false" outlineLevel="0" collapsed="false">
      <c r="A954" s="0" t="s">
        <v>1020</v>
      </c>
      <c r="B954" s="0" t="s">
        <v>131</v>
      </c>
      <c r="C954" s="14" t="s">
        <v>5535</v>
      </c>
      <c r="D954" s="14" t="s">
        <v>5536</v>
      </c>
      <c r="E954" s="14" t="s">
        <v>5537</v>
      </c>
    </row>
    <row r="955" customFormat="false" ht="82.05" hidden="false" customHeight="false" outlineLevel="0" collapsed="false">
      <c r="A955" s="0" t="s">
        <v>1107</v>
      </c>
      <c r="B955" s="0" t="s">
        <v>131</v>
      </c>
      <c r="C955" s="14" t="s">
        <v>5538</v>
      </c>
      <c r="D955" s="14" t="s">
        <v>5539</v>
      </c>
      <c r="E955" s="14" t="s">
        <v>5540</v>
      </c>
    </row>
    <row r="956" customFormat="false" ht="82.05" hidden="false" customHeight="false" outlineLevel="0" collapsed="false">
      <c r="A956" s="0" t="s">
        <v>186</v>
      </c>
      <c r="B956" s="0" t="s">
        <v>131</v>
      </c>
      <c r="C956" s="14" t="s">
        <v>5541</v>
      </c>
      <c r="D956" s="14" t="s">
        <v>5542</v>
      </c>
      <c r="E956" s="14" t="s">
        <v>5543</v>
      </c>
    </row>
    <row r="957" customFormat="false" ht="135.8" hidden="false" customHeight="false" outlineLevel="0" collapsed="false">
      <c r="A957" s="0" t="s">
        <v>612</v>
      </c>
      <c r="B957" s="0" t="s">
        <v>131</v>
      </c>
      <c r="C957" s="14" t="s">
        <v>5544</v>
      </c>
      <c r="D957" s="14" t="s">
        <v>5545</v>
      </c>
      <c r="E957" s="14" t="s">
        <v>5546</v>
      </c>
    </row>
    <row r="958" customFormat="false" ht="68.65" hidden="false" customHeight="false" outlineLevel="0" collapsed="false">
      <c r="A958" s="0" t="s">
        <v>610</v>
      </c>
      <c r="B958" s="0" t="s">
        <v>131</v>
      </c>
      <c r="C958" s="14" t="s">
        <v>5547</v>
      </c>
      <c r="D958" s="14" t="s">
        <v>5548</v>
      </c>
      <c r="E958" s="14" t="s">
        <v>5549</v>
      </c>
    </row>
    <row r="959" customFormat="false" ht="68.65" hidden="false" customHeight="false" outlineLevel="0" collapsed="false">
      <c r="A959" s="0" t="s">
        <v>698</v>
      </c>
      <c r="B959" s="0" t="s">
        <v>131</v>
      </c>
      <c r="C959" s="14" t="s">
        <v>5550</v>
      </c>
      <c r="D959" s="14" t="s">
        <v>5551</v>
      </c>
      <c r="E959" s="14" t="s">
        <v>5552</v>
      </c>
    </row>
    <row r="960" customFormat="false" ht="41.75" hidden="false" customHeight="false" outlineLevel="0" collapsed="false">
      <c r="A960" s="0" t="s">
        <v>2490</v>
      </c>
      <c r="B960" s="0" t="s">
        <v>845</v>
      </c>
      <c r="C960" s="0" t="s">
        <v>5553</v>
      </c>
      <c r="D960" s="14" t="s">
        <v>5554</v>
      </c>
      <c r="E960" s="14" t="s">
        <v>5555</v>
      </c>
    </row>
    <row r="961" customFormat="false" ht="82.05" hidden="false" customHeight="false" outlineLevel="0" collapsed="false">
      <c r="A961" s="0" t="s">
        <v>1026</v>
      </c>
      <c r="B961" s="0" t="s">
        <v>131</v>
      </c>
      <c r="C961" s="14" t="s">
        <v>5556</v>
      </c>
      <c r="D961" s="14" t="s">
        <v>5557</v>
      </c>
      <c r="E961" s="14" t="s">
        <v>5558</v>
      </c>
    </row>
    <row r="962" customFormat="false" ht="82.05" hidden="false" customHeight="false" outlineLevel="0" collapsed="false">
      <c r="A962" s="0" t="s">
        <v>1716</v>
      </c>
      <c r="B962" s="0" t="s">
        <v>131</v>
      </c>
      <c r="C962" s="14" t="s">
        <v>5559</v>
      </c>
      <c r="D962" s="14" t="s">
        <v>5560</v>
      </c>
      <c r="E962" s="14" t="s">
        <v>5561</v>
      </c>
    </row>
    <row r="963" customFormat="false" ht="135.8" hidden="false" customHeight="false" outlineLevel="0" collapsed="false">
      <c r="A963" s="0" t="s">
        <v>340</v>
      </c>
      <c r="B963" s="0" t="s">
        <v>131</v>
      </c>
      <c r="C963" s="14" t="s">
        <v>5562</v>
      </c>
      <c r="D963" s="14" t="s">
        <v>5563</v>
      </c>
      <c r="E963" s="14" t="s">
        <v>5564</v>
      </c>
    </row>
    <row r="964" customFormat="false" ht="82.05" hidden="false" customHeight="false" outlineLevel="0" collapsed="false">
      <c r="A964" s="0" t="s">
        <v>1656</v>
      </c>
      <c r="B964" s="0" t="s">
        <v>131</v>
      </c>
      <c r="C964" s="14" t="s">
        <v>5565</v>
      </c>
      <c r="D964" s="14" t="s">
        <v>5566</v>
      </c>
      <c r="E964" s="14" t="s">
        <v>5567</v>
      </c>
    </row>
    <row r="965" customFormat="false" ht="82.05" hidden="false" customHeight="false" outlineLevel="0" collapsed="false">
      <c r="A965" s="0" t="s">
        <v>636</v>
      </c>
      <c r="B965" s="0" t="s">
        <v>131</v>
      </c>
      <c r="C965" s="14" t="s">
        <v>5568</v>
      </c>
      <c r="D965" s="14" t="s">
        <v>5569</v>
      </c>
      <c r="E965" s="14" t="s">
        <v>5570</v>
      </c>
    </row>
    <row r="966" customFormat="false" ht="55.2" hidden="false" customHeight="false" outlineLevel="0" collapsed="false">
      <c r="A966" s="0" t="s">
        <v>1016</v>
      </c>
      <c r="B966" s="0" t="s">
        <v>131</v>
      </c>
      <c r="C966" s="14" t="s">
        <v>5571</v>
      </c>
      <c r="D966" s="14" t="s">
        <v>5572</v>
      </c>
      <c r="E966" s="14" t="s">
        <v>5573</v>
      </c>
    </row>
    <row r="967" customFormat="false" ht="55.2" hidden="false" customHeight="false" outlineLevel="0" collapsed="false">
      <c r="A967" s="0" t="s">
        <v>167</v>
      </c>
      <c r="B967" s="0" t="s">
        <v>131</v>
      </c>
      <c r="C967" s="14" t="s">
        <v>5574</v>
      </c>
      <c r="D967" s="14" t="s">
        <v>5575</v>
      </c>
      <c r="E967" s="14" t="s">
        <v>5576</v>
      </c>
    </row>
    <row r="968" customFormat="false" ht="189.55" hidden="false" customHeight="false" outlineLevel="0" collapsed="false">
      <c r="A968" s="0" t="s">
        <v>152</v>
      </c>
      <c r="B968" s="0" t="s">
        <v>131</v>
      </c>
      <c r="C968" s="14" t="s">
        <v>5577</v>
      </c>
      <c r="D968" s="14" t="s">
        <v>5578</v>
      </c>
      <c r="E968" s="14" t="s">
        <v>5579</v>
      </c>
    </row>
    <row r="969" customFormat="false" ht="55.2" hidden="false" customHeight="false" outlineLevel="0" collapsed="false">
      <c r="A969" s="0" t="s">
        <v>1103</v>
      </c>
      <c r="B969" s="0" t="s">
        <v>131</v>
      </c>
      <c r="C969" s="14" t="s">
        <v>5580</v>
      </c>
      <c r="D969" s="14" t="s">
        <v>5581</v>
      </c>
      <c r="E969" s="14" t="s">
        <v>5582</v>
      </c>
    </row>
    <row r="970" customFormat="false" ht="55.2" hidden="false" customHeight="false" outlineLevel="0" collapsed="false">
      <c r="A970" s="0" t="s">
        <v>898</v>
      </c>
      <c r="B970" s="0" t="s">
        <v>131</v>
      </c>
      <c r="C970" s="14" t="s">
        <v>4982</v>
      </c>
      <c r="D970" s="14" t="s">
        <v>5583</v>
      </c>
      <c r="E970" s="14" t="s">
        <v>5584</v>
      </c>
    </row>
    <row r="971" customFormat="false" ht="55.2" hidden="false" customHeight="false" outlineLevel="0" collapsed="false">
      <c r="A971" s="0" t="s">
        <v>779</v>
      </c>
      <c r="B971" s="0" t="s">
        <v>131</v>
      </c>
      <c r="C971" s="14" t="s">
        <v>5585</v>
      </c>
      <c r="D971" s="14" t="s">
        <v>5586</v>
      </c>
      <c r="E971" s="14" t="s">
        <v>5587</v>
      </c>
    </row>
    <row r="972" customFormat="false" ht="55.2" hidden="false" customHeight="false" outlineLevel="0" collapsed="false">
      <c r="A972" s="0" t="s">
        <v>672</v>
      </c>
      <c r="B972" s="0" t="s">
        <v>131</v>
      </c>
      <c r="C972" s="14" t="s">
        <v>5588</v>
      </c>
      <c r="D972" s="14" t="s">
        <v>5589</v>
      </c>
      <c r="E972" s="14" t="s">
        <v>5590</v>
      </c>
    </row>
    <row r="973" customFormat="false" ht="82.05" hidden="false" customHeight="false" outlineLevel="0" collapsed="false">
      <c r="A973" s="0" t="s">
        <v>539</v>
      </c>
      <c r="B973" s="0" t="s">
        <v>131</v>
      </c>
      <c r="C973" s="14" t="s">
        <v>5591</v>
      </c>
      <c r="D973" s="14" t="s">
        <v>5592</v>
      </c>
      <c r="E973" s="14" t="s">
        <v>5593</v>
      </c>
    </row>
    <row r="974" customFormat="false" ht="55.2" hidden="false" customHeight="false" outlineLevel="0" collapsed="false">
      <c r="A974" s="0" t="s">
        <v>1109</v>
      </c>
      <c r="B974" s="0" t="s">
        <v>131</v>
      </c>
      <c r="C974" s="14" t="s">
        <v>5594</v>
      </c>
      <c r="D974" s="14" t="s">
        <v>5595</v>
      </c>
      <c r="E974" s="14" t="s">
        <v>5596</v>
      </c>
    </row>
    <row r="975" customFormat="false" ht="55.2" hidden="false" customHeight="false" outlineLevel="0" collapsed="false">
      <c r="A975" s="0" t="s">
        <v>355</v>
      </c>
      <c r="B975" s="0" t="s">
        <v>131</v>
      </c>
      <c r="C975" s="14" t="s">
        <v>4449</v>
      </c>
      <c r="D975" s="14" t="s">
        <v>5597</v>
      </c>
      <c r="E975" s="14" t="s">
        <v>5598</v>
      </c>
    </row>
    <row r="976" customFormat="false" ht="55.2" hidden="false" customHeight="false" outlineLevel="0" collapsed="false">
      <c r="A976" s="0" t="s">
        <v>338</v>
      </c>
      <c r="B976" s="0" t="s">
        <v>131</v>
      </c>
      <c r="C976" s="14" t="s">
        <v>5599</v>
      </c>
      <c r="D976" s="14" t="s">
        <v>5600</v>
      </c>
      <c r="E976" s="14" t="s">
        <v>5601</v>
      </c>
    </row>
    <row r="977" customFormat="false" ht="68.65" hidden="false" customHeight="false" outlineLevel="0" collapsed="false">
      <c r="A977" s="0" t="s">
        <v>1577</v>
      </c>
      <c r="B977" s="0" t="s">
        <v>131</v>
      </c>
      <c r="C977" s="14" t="s">
        <v>5602</v>
      </c>
      <c r="D977" s="14" t="s">
        <v>5603</v>
      </c>
      <c r="E977" s="14" t="s">
        <v>5604</v>
      </c>
    </row>
    <row r="978" customFormat="false" ht="68.65" hidden="false" customHeight="false" outlineLevel="0" collapsed="false">
      <c r="A978" s="0" t="s">
        <v>1438</v>
      </c>
      <c r="B978" s="0" t="s">
        <v>131</v>
      </c>
      <c r="C978" s="14" t="s">
        <v>5605</v>
      </c>
      <c r="D978" s="14" t="s">
        <v>5606</v>
      </c>
      <c r="E978" s="14" t="s">
        <v>5607</v>
      </c>
    </row>
    <row r="979" customFormat="false" ht="55.2" hidden="false" customHeight="false" outlineLevel="0" collapsed="false">
      <c r="A979" s="0" t="s">
        <v>313</v>
      </c>
      <c r="B979" s="0" t="s">
        <v>131</v>
      </c>
      <c r="C979" s="14" t="s">
        <v>5608</v>
      </c>
      <c r="D979" s="14" t="s">
        <v>5609</v>
      </c>
      <c r="E979" s="14" t="s">
        <v>5610</v>
      </c>
    </row>
    <row r="980" customFormat="false" ht="82.05" hidden="false" customHeight="false" outlineLevel="0" collapsed="false">
      <c r="A980" s="0" t="s">
        <v>346</v>
      </c>
      <c r="B980" s="0" t="s">
        <v>131</v>
      </c>
      <c r="C980" s="14" t="s">
        <v>5611</v>
      </c>
      <c r="D980" s="14" t="s">
        <v>5612</v>
      </c>
      <c r="E980" s="14" t="s">
        <v>5613</v>
      </c>
    </row>
    <row r="981" customFormat="false" ht="41.75" hidden="false" customHeight="false" outlineLevel="0" collapsed="false">
      <c r="A981" s="0" t="s">
        <v>1176</v>
      </c>
      <c r="B981" s="0" t="s">
        <v>131</v>
      </c>
      <c r="C981" s="14" t="s">
        <v>5614</v>
      </c>
      <c r="D981" s="14" t="s">
        <v>5615</v>
      </c>
      <c r="E981" s="14" t="s">
        <v>5616</v>
      </c>
    </row>
    <row r="982" customFormat="false" ht="68.65" hidden="false" customHeight="false" outlineLevel="0" collapsed="false">
      <c r="A982" s="0" t="s">
        <v>431</v>
      </c>
      <c r="B982" s="0" t="s">
        <v>131</v>
      </c>
      <c r="C982" s="14" t="s">
        <v>5617</v>
      </c>
      <c r="D982" s="14" t="s">
        <v>5618</v>
      </c>
      <c r="E982" s="14" t="s">
        <v>5619</v>
      </c>
    </row>
    <row r="983" customFormat="false" ht="95.5" hidden="false" customHeight="false" outlineLevel="0" collapsed="false">
      <c r="A983" s="0" t="s">
        <v>200</v>
      </c>
      <c r="B983" s="0" t="s">
        <v>131</v>
      </c>
      <c r="C983" s="14" t="s">
        <v>5620</v>
      </c>
      <c r="D983" s="14" t="s">
        <v>5621</v>
      </c>
      <c r="E983" s="14" t="s">
        <v>5622</v>
      </c>
    </row>
    <row r="984" customFormat="false" ht="82.05" hidden="false" customHeight="false" outlineLevel="0" collapsed="false">
      <c r="A984" s="0" t="s">
        <v>633</v>
      </c>
      <c r="B984" s="0" t="s">
        <v>131</v>
      </c>
      <c r="C984" s="14" t="s">
        <v>5623</v>
      </c>
      <c r="D984" s="14" t="s">
        <v>5624</v>
      </c>
      <c r="E984" s="14" t="s">
        <v>5625</v>
      </c>
    </row>
    <row r="985" customFormat="false" ht="41.75" hidden="false" customHeight="false" outlineLevel="0" collapsed="false">
      <c r="A985" s="0" t="s">
        <v>1365</v>
      </c>
      <c r="B985" s="0" t="s">
        <v>131</v>
      </c>
      <c r="C985" s="0" t="s">
        <v>4264</v>
      </c>
      <c r="D985" s="14" t="s">
        <v>5626</v>
      </c>
      <c r="E985" s="14" t="s">
        <v>5627</v>
      </c>
    </row>
    <row r="986" customFormat="false" ht="41.75" hidden="false" customHeight="false" outlineLevel="0" collapsed="false">
      <c r="A986" s="0" t="s">
        <v>978</v>
      </c>
      <c r="B986" s="0" t="s">
        <v>131</v>
      </c>
      <c r="C986" s="0" t="s">
        <v>5628</v>
      </c>
      <c r="D986" s="14" t="s">
        <v>5629</v>
      </c>
      <c r="E986" s="14" t="s">
        <v>5630</v>
      </c>
    </row>
    <row r="987" customFormat="false" ht="55.2" hidden="false" customHeight="false" outlineLevel="0" collapsed="false">
      <c r="A987" s="0" t="s">
        <v>1184</v>
      </c>
      <c r="B987" s="0" t="s">
        <v>131</v>
      </c>
      <c r="C987" s="14" t="s">
        <v>5631</v>
      </c>
      <c r="D987" s="14" t="s">
        <v>5632</v>
      </c>
      <c r="E987" s="14" t="s">
        <v>5613</v>
      </c>
    </row>
    <row r="988" customFormat="false" ht="41.75" hidden="false" customHeight="false" outlineLevel="0" collapsed="false">
      <c r="A988" s="0" t="s">
        <v>679</v>
      </c>
      <c r="B988" s="0" t="s">
        <v>131</v>
      </c>
      <c r="C988" s="14" t="s">
        <v>5633</v>
      </c>
      <c r="D988" s="14" t="s">
        <v>5634</v>
      </c>
      <c r="E988" s="14" t="s">
        <v>5635</v>
      </c>
    </row>
    <row r="989" customFormat="false" ht="41.75" hidden="false" customHeight="false" outlineLevel="0" collapsed="false">
      <c r="A989" s="0" t="s">
        <v>689</v>
      </c>
      <c r="B989" s="0" t="s">
        <v>131</v>
      </c>
      <c r="C989" s="14" t="s">
        <v>5636</v>
      </c>
      <c r="D989" s="14" t="s">
        <v>5637</v>
      </c>
      <c r="E989" s="14" t="s">
        <v>5638</v>
      </c>
    </row>
    <row r="990" customFormat="false" ht="55.2" hidden="false" customHeight="false" outlineLevel="0" collapsed="false">
      <c r="A990" s="0" t="s">
        <v>1153</v>
      </c>
      <c r="B990" s="0" t="s">
        <v>131</v>
      </c>
      <c r="C990" s="14" t="s">
        <v>5639</v>
      </c>
      <c r="D990" s="14" t="s">
        <v>5640</v>
      </c>
      <c r="E990" s="14" t="s">
        <v>5641</v>
      </c>
    </row>
    <row r="991" customFormat="false" ht="176.1" hidden="false" customHeight="false" outlineLevel="0" collapsed="false">
      <c r="A991" s="0" t="s">
        <v>3042</v>
      </c>
      <c r="B991" s="0" t="s">
        <v>845</v>
      </c>
      <c r="C991" s="14" t="s">
        <v>5642</v>
      </c>
      <c r="D991" s="14" t="s">
        <v>5643</v>
      </c>
      <c r="E991" s="14" t="s">
        <v>5644</v>
      </c>
    </row>
    <row r="992" customFormat="false" ht="55.2" hidden="false" customHeight="false" outlineLevel="0" collapsed="false">
      <c r="A992" s="0" t="s">
        <v>439</v>
      </c>
      <c r="B992" s="0" t="s">
        <v>131</v>
      </c>
      <c r="C992" s="14" t="s">
        <v>5645</v>
      </c>
      <c r="D992" s="14" t="s">
        <v>5646</v>
      </c>
      <c r="E992" s="14" t="s">
        <v>5647</v>
      </c>
    </row>
    <row r="993" customFormat="false" ht="55.2" hidden="false" customHeight="false" outlineLevel="0" collapsed="false">
      <c r="A993" s="0" t="s">
        <v>585</v>
      </c>
      <c r="B993" s="0" t="s">
        <v>131</v>
      </c>
      <c r="C993" s="14" t="s">
        <v>5648</v>
      </c>
      <c r="D993" s="14" t="s">
        <v>5649</v>
      </c>
      <c r="E993" s="14" t="s">
        <v>5650</v>
      </c>
    </row>
    <row r="994" customFormat="false" ht="55.2" hidden="false" customHeight="false" outlineLevel="0" collapsed="false">
      <c r="A994" s="0" t="s">
        <v>934</v>
      </c>
      <c r="B994" s="0" t="s">
        <v>131</v>
      </c>
      <c r="C994" s="14" t="s">
        <v>5651</v>
      </c>
      <c r="D994" s="14" t="s">
        <v>5652</v>
      </c>
      <c r="E994" s="14" t="s">
        <v>5653</v>
      </c>
    </row>
    <row r="995" customFormat="false" ht="55.2" hidden="false" customHeight="false" outlineLevel="0" collapsed="false">
      <c r="A995" s="0" t="s">
        <v>833</v>
      </c>
      <c r="B995" s="0" t="s">
        <v>131</v>
      </c>
      <c r="C995" s="14" t="s">
        <v>5654</v>
      </c>
      <c r="D995" s="14" t="s">
        <v>5655</v>
      </c>
      <c r="E995" s="14" t="s">
        <v>5656</v>
      </c>
    </row>
    <row r="996" customFormat="false" ht="55.2" hidden="false" customHeight="false" outlineLevel="0" collapsed="false">
      <c r="A996" s="0" t="s">
        <v>1135</v>
      </c>
      <c r="B996" s="0" t="s">
        <v>131</v>
      </c>
      <c r="C996" s="14" t="s">
        <v>3750</v>
      </c>
      <c r="D996" s="14" t="s">
        <v>5657</v>
      </c>
      <c r="E996" s="14" t="s">
        <v>5658</v>
      </c>
    </row>
    <row r="997" customFormat="false" ht="41.75" hidden="false" customHeight="false" outlineLevel="0" collapsed="false">
      <c r="A997" s="0" t="s">
        <v>1350</v>
      </c>
      <c r="B997" s="0" t="s">
        <v>131</v>
      </c>
      <c r="C997" s="14" t="s">
        <v>5659</v>
      </c>
      <c r="D997" s="14" t="s">
        <v>5660</v>
      </c>
      <c r="E997" s="14" t="s">
        <v>5661</v>
      </c>
    </row>
    <row r="998" customFormat="false" ht="41.75" hidden="false" customHeight="false" outlineLevel="0" collapsed="false">
      <c r="A998" s="0" t="s">
        <v>1233</v>
      </c>
      <c r="B998" s="0" t="s">
        <v>131</v>
      </c>
      <c r="C998" s="0" t="s">
        <v>5076</v>
      </c>
      <c r="D998" s="0" t="s">
        <v>1235</v>
      </c>
      <c r="E998" s="14" t="s">
        <v>5662</v>
      </c>
    </row>
    <row r="999" customFormat="false" ht="68.65" hidden="false" customHeight="false" outlineLevel="0" collapsed="false">
      <c r="A999" s="0" t="s">
        <v>639</v>
      </c>
      <c r="B999" s="0" t="s">
        <v>131</v>
      </c>
      <c r="C999" s="14" t="s">
        <v>5663</v>
      </c>
      <c r="D999" s="14" t="s">
        <v>5664</v>
      </c>
      <c r="E999" s="14" t="s">
        <v>5601</v>
      </c>
    </row>
    <row r="1000" customFormat="false" ht="55.2" hidden="false" customHeight="false" outlineLevel="0" collapsed="false">
      <c r="A1000" s="0" t="s">
        <v>1207</v>
      </c>
      <c r="B1000" s="0" t="s">
        <v>131</v>
      </c>
      <c r="C1000" s="14" t="s">
        <v>5665</v>
      </c>
      <c r="D1000" s="14" t="s">
        <v>5666</v>
      </c>
      <c r="E1000" s="14" t="s">
        <v>5667</v>
      </c>
    </row>
    <row r="1001" customFormat="false" ht="55.2" hidden="false" customHeight="false" outlineLevel="0" collapsed="false">
      <c r="A1001" s="0" t="s">
        <v>927</v>
      </c>
      <c r="B1001" s="0" t="s">
        <v>131</v>
      </c>
      <c r="C1001" s="14" t="s">
        <v>5668</v>
      </c>
      <c r="D1001" s="14" t="s">
        <v>5669</v>
      </c>
      <c r="E1001" s="14" t="s">
        <v>5670</v>
      </c>
    </row>
    <row r="1002" customFormat="false" ht="82.05" hidden="false" customHeight="false" outlineLevel="0" collapsed="false">
      <c r="A1002" s="0" t="s">
        <v>1057</v>
      </c>
      <c r="B1002" s="0" t="s">
        <v>845</v>
      </c>
      <c r="C1002" s="14" t="s">
        <v>5671</v>
      </c>
      <c r="D1002" s="14" t="s">
        <v>5672</v>
      </c>
      <c r="E1002" s="14" t="s">
        <v>5673</v>
      </c>
    </row>
    <row r="1003" customFormat="false" ht="68.65" hidden="false" customHeight="false" outlineLevel="0" collapsed="false">
      <c r="A1003" s="0" t="s">
        <v>1033</v>
      </c>
      <c r="B1003" s="0" t="s">
        <v>131</v>
      </c>
      <c r="C1003" s="14" t="s">
        <v>5674</v>
      </c>
      <c r="D1003" s="14" t="s">
        <v>5675</v>
      </c>
      <c r="E1003" s="14" t="s">
        <v>5676</v>
      </c>
    </row>
    <row r="1004" customFormat="false" ht="68.65" hidden="false" customHeight="false" outlineLevel="0" collapsed="false">
      <c r="A1004" s="0" t="s">
        <v>797</v>
      </c>
      <c r="B1004" s="0" t="s">
        <v>131</v>
      </c>
      <c r="C1004" s="14" t="s">
        <v>5677</v>
      </c>
      <c r="D1004" s="14" t="s">
        <v>5678</v>
      </c>
      <c r="E1004" s="14" t="s">
        <v>5679</v>
      </c>
    </row>
    <row r="1005" customFormat="false" ht="95.5" hidden="false" customHeight="false" outlineLevel="0" collapsed="false">
      <c r="A1005" s="0" t="s">
        <v>943</v>
      </c>
      <c r="B1005" s="0" t="s">
        <v>131</v>
      </c>
      <c r="C1005" s="14" t="s">
        <v>5680</v>
      </c>
      <c r="D1005" s="14" t="s">
        <v>5681</v>
      </c>
      <c r="E1005" s="14" t="s">
        <v>5682</v>
      </c>
    </row>
    <row r="1006" customFormat="false" ht="108.95" hidden="false" customHeight="false" outlineLevel="0" collapsed="false">
      <c r="A1006" s="0" t="s">
        <v>2131</v>
      </c>
      <c r="B1006" s="0" t="s">
        <v>131</v>
      </c>
      <c r="C1006" s="14" t="s">
        <v>3964</v>
      </c>
      <c r="D1006" s="14" t="s">
        <v>5683</v>
      </c>
      <c r="E1006" s="14" t="s">
        <v>5684</v>
      </c>
    </row>
    <row r="1007" customFormat="false" ht="28.35" hidden="false" customHeight="false" outlineLevel="0" collapsed="false">
      <c r="A1007" s="0" t="s">
        <v>1256</v>
      </c>
      <c r="B1007" s="0" t="s">
        <v>845</v>
      </c>
      <c r="C1007" s="0" t="s">
        <v>5685</v>
      </c>
      <c r="E1007" s="14" t="s">
        <v>5686</v>
      </c>
    </row>
    <row r="1008" customFormat="false" ht="122.35" hidden="false" customHeight="false" outlineLevel="0" collapsed="false">
      <c r="A1008" s="0" t="s">
        <v>1158</v>
      </c>
      <c r="B1008" s="0" t="s">
        <v>845</v>
      </c>
      <c r="C1008" s="14" t="s">
        <v>5687</v>
      </c>
      <c r="D1008" s="14" t="s">
        <v>5688</v>
      </c>
      <c r="E1008" s="14" t="s">
        <v>5689</v>
      </c>
    </row>
    <row r="1009" customFormat="false" ht="55.2" hidden="false" customHeight="false" outlineLevel="0" collapsed="false">
      <c r="A1009" s="0" t="s">
        <v>900</v>
      </c>
      <c r="B1009" s="0" t="s">
        <v>131</v>
      </c>
      <c r="C1009" s="14" t="s">
        <v>4944</v>
      </c>
      <c r="D1009" s="14" t="s">
        <v>5690</v>
      </c>
      <c r="E1009" s="14" t="s">
        <v>5691</v>
      </c>
    </row>
    <row r="1010" customFormat="false" ht="41.75" hidden="false" customHeight="false" outlineLevel="0" collapsed="false">
      <c r="A1010" s="0" t="s">
        <v>1043</v>
      </c>
      <c r="B1010" s="0" t="s">
        <v>845</v>
      </c>
      <c r="C1010" s="14" t="s">
        <v>5692</v>
      </c>
      <c r="D1010" s="0" t="s">
        <v>1044</v>
      </c>
      <c r="E1010" s="14" t="s">
        <v>5693</v>
      </c>
    </row>
    <row r="1011" customFormat="false" ht="28.35" hidden="false" customHeight="false" outlineLevel="0" collapsed="false">
      <c r="A1011" s="0" t="s">
        <v>1865</v>
      </c>
      <c r="B1011" s="0" t="s">
        <v>131</v>
      </c>
      <c r="C1011" s="0" t="s">
        <v>4273</v>
      </c>
      <c r="D1011" s="14" t="s">
        <v>5694</v>
      </c>
      <c r="E1011" s="14" t="s">
        <v>5695</v>
      </c>
    </row>
    <row r="1012" customFormat="false" ht="310.4" hidden="false" customHeight="false" outlineLevel="0" collapsed="false">
      <c r="A1012" s="0" t="s">
        <v>2188</v>
      </c>
      <c r="B1012" s="0" t="s">
        <v>845</v>
      </c>
      <c r="C1012" s="14" t="s">
        <v>5696</v>
      </c>
      <c r="D1012" s="14" t="s">
        <v>5697</v>
      </c>
      <c r="E1012" s="14" t="s">
        <v>5698</v>
      </c>
    </row>
    <row r="1013" customFormat="false" ht="82.05" hidden="false" customHeight="false" outlineLevel="0" collapsed="false">
      <c r="A1013" s="0" t="s">
        <v>1489</v>
      </c>
      <c r="B1013" s="0" t="s">
        <v>845</v>
      </c>
      <c r="C1013" s="14" t="s">
        <v>5699</v>
      </c>
      <c r="D1013" s="14" t="s">
        <v>5700</v>
      </c>
      <c r="E1013" s="14" t="s">
        <v>5701</v>
      </c>
    </row>
    <row r="1014" customFormat="false" ht="55.2" hidden="false" customHeight="false" outlineLevel="0" collapsed="false">
      <c r="A1014" s="0" t="s">
        <v>1163</v>
      </c>
      <c r="B1014" s="0" t="s">
        <v>131</v>
      </c>
      <c r="C1014" s="14" t="s">
        <v>5702</v>
      </c>
      <c r="D1014" s="14" t="s">
        <v>5703</v>
      </c>
      <c r="E1014" s="14" t="s">
        <v>5613</v>
      </c>
    </row>
    <row r="1015" customFormat="false" ht="68.65" hidden="false" customHeight="false" outlineLevel="0" collapsed="false">
      <c r="A1015" s="0" t="s">
        <v>2294</v>
      </c>
      <c r="B1015" s="0" t="s">
        <v>131</v>
      </c>
      <c r="C1015" s="14" t="s">
        <v>5704</v>
      </c>
      <c r="D1015" s="14" t="s">
        <v>5705</v>
      </c>
      <c r="E1015" s="14" t="s">
        <v>5706</v>
      </c>
    </row>
    <row r="1016" customFormat="false" ht="68.65" hidden="false" customHeight="false" outlineLevel="0" collapsed="false">
      <c r="A1016" s="0" t="s">
        <v>1446</v>
      </c>
      <c r="B1016" s="0" t="s">
        <v>131</v>
      </c>
      <c r="C1016" s="14" t="s">
        <v>5707</v>
      </c>
      <c r="D1016" s="14" t="s">
        <v>5708</v>
      </c>
      <c r="E1016" s="14" t="s">
        <v>5709</v>
      </c>
    </row>
    <row r="1017" customFormat="false" ht="41.75" hidden="false" customHeight="false" outlineLevel="0" collapsed="false">
      <c r="A1017" s="0" t="s">
        <v>1608</v>
      </c>
      <c r="B1017" s="0" t="s">
        <v>845</v>
      </c>
      <c r="C1017" s="14" t="s">
        <v>5710</v>
      </c>
      <c r="D1017" s="0" t="s">
        <v>1609</v>
      </c>
      <c r="E1017" s="14" t="s">
        <v>5711</v>
      </c>
    </row>
    <row r="1018" customFormat="false" ht="55.2" hidden="false" customHeight="false" outlineLevel="0" collapsed="false">
      <c r="A1018" s="0" t="s">
        <v>1482</v>
      </c>
      <c r="B1018" s="0" t="s">
        <v>845</v>
      </c>
      <c r="C1018" s="14" t="s">
        <v>5712</v>
      </c>
      <c r="D1018" s="0" t="s">
        <v>1483</v>
      </c>
      <c r="E1018" s="14" t="s">
        <v>5713</v>
      </c>
    </row>
    <row r="1019" customFormat="false" ht="55.2" hidden="false" customHeight="false" outlineLevel="0" collapsed="false">
      <c r="A1019" s="0" t="s">
        <v>953</v>
      </c>
      <c r="B1019" s="0" t="s">
        <v>845</v>
      </c>
      <c r="C1019" s="14" t="s">
        <v>5714</v>
      </c>
      <c r="D1019" s="14" t="s">
        <v>5715</v>
      </c>
      <c r="E1019" s="14" t="s">
        <v>5716</v>
      </c>
    </row>
    <row r="1020" customFormat="false" ht="55.2" hidden="false" customHeight="false" outlineLevel="0" collapsed="false">
      <c r="A1020" s="0" t="s">
        <v>1407</v>
      </c>
      <c r="B1020" s="0" t="s">
        <v>845</v>
      </c>
      <c r="C1020" s="14" t="s">
        <v>5717</v>
      </c>
      <c r="D1020" s="0" t="s">
        <v>1408</v>
      </c>
      <c r="E1020" s="14" t="s">
        <v>5693</v>
      </c>
    </row>
    <row r="1021" customFormat="false" ht="41.75" hidden="false" customHeight="false" outlineLevel="0" collapsed="false">
      <c r="A1021" s="0" t="s">
        <v>1492</v>
      </c>
      <c r="B1021" s="0" t="s">
        <v>845</v>
      </c>
      <c r="C1021" s="14" t="s">
        <v>5718</v>
      </c>
      <c r="D1021" s="0" t="s">
        <v>1493</v>
      </c>
      <c r="E1021" s="14" t="s">
        <v>5719</v>
      </c>
    </row>
    <row r="1022" customFormat="false" ht="41.75" hidden="false" customHeight="false" outlineLevel="0" collapsed="false">
      <c r="A1022" s="0" t="s">
        <v>1815</v>
      </c>
      <c r="B1022" s="0" t="s">
        <v>845</v>
      </c>
      <c r="C1022" s="14" t="s">
        <v>5720</v>
      </c>
      <c r="D1022" s="14" t="s">
        <v>5721</v>
      </c>
      <c r="E1022" s="14" t="s">
        <v>5673</v>
      </c>
    </row>
    <row r="1023" customFormat="false" ht="41.75" hidden="false" customHeight="false" outlineLevel="0" collapsed="false">
      <c r="A1023" s="0" t="s">
        <v>2191</v>
      </c>
      <c r="B1023" s="0" t="s">
        <v>845</v>
      </c>
      <c r="C1023" s="0" t="s">
        <v>5722</v>
      </c>
      <c r="D1023" s="14" t="s">
        <v>5723</v>
      </c>
      <c r="E1023" s="14" t="s">
        <v>5724</v>
      </c>
    </row>
    <row r="1024" customFormat="false" ht="28.35" hidden="false" customHeight="false" outlineLevel="0" collapsed="false">
      <c r="A1024" s="0" t="s">
        <v>1284</v>
      </c>
      <c r="B1024" s="0" t="s">
        <v>131</v>
      </c>
      <c r="C1024" s="0" t="s">
        <v>5725</v>
      </c>
      <c r="D1024" s="0" t="s">
        <v>1286</v>
      </c>
      <c r="E1024" s="14" t="s">
        <v>5726</v>
      </c>
    </row>
    <row r="1025" customFormat="false" ht="82.05" hidden="false" customHeight="false" outlineLevel="0" collapsed="false">
      <c r="A1025" s="0" t="s">
        <v>1426</v>
      </c>
      <c r="B1025" s="0" t="s">
        <v>845</v>
      </c>
      <c r="C1025" s="14" t="s">
        <v>5727</v>
      </c>
      <c r="D1025" s="14" t="s">
        <v>5728</v>
      </c>
      <c r="E1025" s="14" t="s">
        <v>5729</v>
      </c>
    </row>
    <row r="1026" customFormat="false" ht="95.5" hidden="false" customHeight="false" outlineLevel="0" collapsed="false">
      <c r="A1026" s="0" t="s">
        <v>1710</v>
      </c>
      <c r="B1026" s="0" t="s">
        <v>131</v>
      </c>
      <c r="C1026" s="14" t="s">
        <v>5730</v>
      </c>
      <c r="D1026" s="0" t="s">
        <v>1711</v>
      </c>
      <c r="E1026" s="14" t="s">
        <v>5731</v>
      </c>
    </row>
    <row r="1027" customFormat="false" ht="68.65" hidden="false" customHeight="false" outlineLevel="0" collapsed="false">
      <c r="A1027" s="0" t="s">
        <v>2168</v>
      </c>
      <c r="B1027" s="0" t="s">
        <v>845</v>
      </c>
      <c r="C1027" s="14" t="s">
        <v>5732</v>
      </c>
      <c r="D1027" s="0" t="s">
        <v>2170</v>
      </c>
      <c r="E1027" s="14" t="s">
        <v>5733</v>
      </c>
    </row>
    <row r="1028" customFormat="false" ht="41.75" hidden="false" customHeight="false" outlineLevel="0" collapsed="false">
      <c r="A1028" s="0" t="s">
        <v>535</v>
      </c>
      <c r="B1028" s="0" t="s">
        <v>131</v>
      </c>
      <c r="C1028" s="14" t="s">
        <v>4579</v>
      </c>
      <c r="D1028" s="14" t="s">
        <v>5734</v>
      </c>
      <c r="E1028" s="14" t="s">
        <v>5662</v>
      </c>
    </row>
    <row r="1029" customFormat="false" ht="41.75" hidden="false" customHeight="false" outlineLevel="0" collapsed="false">
      <c r="A1029" s="0" t="s">
        <v>1212</v>
      </c>
      <c r="B1029" s="0" t="s">
        <v>131</v>
      </c>
      <c r="C1029" s="14" t="s">
        <v>4381</v>
      </c>
      <c r="D1029" s="14" t="s">
        <v>5735</v>
      </c>
      <c r="E1029" s="14" t="s">
        <v>5736</v>
      </c>
    </row>
    <row r="1030" customFormat="false" ht="55.2" hidden="false" customHeight="false" outlineLevel="0" collapsed="false">
      <c r="A1030" s="0" t="s">
        <v>1205</v>
      </c>
      <c r="B1030" s="0" t="s">
        <v>131</v>
      </c>
      <c r="C1030" s="14" t="s">
        <v>5737</v>
      </c>
      <c r="D1030" s="14" t="s">
        <v>5738</v>
      </c>
      <c r="E1030" s="14" t="s">
        <v>5739</v>
      </c>
    </row>
    <row r="1031" customFormat="false" ht="41.75" hidden="false" customHeight="false" outlineLevel="0" collapsed="false">
      <c r="A1031" s="0" t="s">
        <v>758</v>
      </c>
      <c r="B1031" s="0" t="s">
        <v>131</v>
      </c>
      <c r="C1031" s="14" t="s">
        <v>5740</v>
      </c>
      <c r="D1031" s="14" t="s">
        <v>5741</v>
      </c>
      <c r="E1031" s="14" t="s">
        <v>5742</v>
      </c>
    </row>
    <row r="1032" customFormat="false" ht="82.05" hidden="false" customHeight="false" outlineLevel="0" collapsed="false">
      <c r="A1032" s="0" t="s">
        <v>1547</v>
      </c>
      <c r="B1032" s="0" t="s">
        <v>845</v>
      </c>
      <c r="C1032" s="14" t="s">
        <v>5743</v>
      </c>
      <c r="D1032" s="0" t="s">
        <v>1549</v>
      </c>
      <c r="E1032" s="14" t="s">
        <v>5744</v>
      </c>
    </row>
    <row r="1033" customFormat="false" ht="41.75" hidden="false" customHeight="false" outlineLevel="0" collapsed="false">
      <c r="A1033" s="0" t="s">
        <v>865</v>
      </c>
      <c r="B1033" s="0" t="s">
        <v>131</v>
      </c>
      <c r="C1033" s="14" t="s">
        <v>5745</v>
      </c>
      <c r="D1033" s="14" t="s">
        <v>5746</v>
      </c>
      <c r="E1033" s="14" t="s">
        <v>5613</v>
      </c>
    </row>
    <row r="1034" customFormat="false" ht="95.5" hidden="false" customHeight="false" outlineLevel="0" collapsed="false">
      <c r="A1034" s="0" t="s">
        <v>527</v>
      </c>
      <c r="B1034" s="0" t="s">
        <v>131</v>
      </c>
      <c r="C1034" s="14" t="s">
        <v>5747</v>
      </c>
      <c r="D1034" s="14" t="s">
        <v>5748</v>
      </c>
      <c r="E1034" s="14" t="s">
        <v>5635</v>
      </c>
    </row>
    <row r="1035" customFormat="false" ht="55.2" hidden="false" customHeight="false" outlineLevel="0" collapsed="false">
      <c r="A1035" s="0" t="s">
        <v>565</v>
      </c>
      <c r="B1035" s="0" t="s">
        <v>131</v>
      </c>
      <c r="C1035" s="0" t="s">
        <v>5749</v>
      </c>
      <c r="D1035" s="14" t="s">
        <v>5750</v>
      </c>
      <c r="E1035" s="14" t="s">
        <v>5751</v>
      </c>
    </row>
    <row r="1036" customFormat="false" ht="41.75" hidden="false" customHeight="false" outlineLevel="0" collapsed="false">
      <c r="A1036" s="0" t="s">
        <v>922</v>
      </c>
      <c r="B1036" s="0" t="s">
        <v>845</v>
      </c>
      <c r="C1036" s="14" t="s">
        <v>5752</v>
      </c>
      <c r="D1036" s="14" t="s">
        <v>5753</v>
      </c>
      <c r="E1036" s="14" t="s">
        <v>5754</v>
      </c>
    </row>
    <row r="1037" customFormat="false" ht="41.75" hidden="false" customHeight="false" outlineLevel="0" collapsed="false">
      <c r="A1037" s="0" t="s">
        <v>659</v>
      </c>
      <c r="B1037" s="0" t="s">
        <v>131</v>
      </c>
      <c r="C1037" s="0" t="s">
        <v>5755</v>
      </c>
      <c r="D1037" s="14" t="s">
        <v>5756</v>
      </c>
      <c r="E1037" s="14" t="s">
        <v>5757</v>
      </c>
    </row>
    <row r="1038" customFormat="false" ht="41.75" hidden="false" customHeight="false" outlineLevel="0" collapsed="false">
      <c r="A1038" s="0" t="s">
        <v>469</v>
      </c>
      <c r="B1038" s="0" t="s">
        <v>131</v>
      </c>
      <c r="C1038" s="14" t="s">
        <v>5758</v>
      </c>
      <c r="D1038" s="0" t="s">
        <v>470</v>
      </c>
      <c r="E1038" s="14" t="s">
        <v>5613</v>
      </c>
    </row>
    <row r="1039" customFormat="false" ht="55.2" hidden="false" customHeight="false" outlineLevel="0" collapsed="false">
      <c r="A1039" s="0" t="s">
        <v>972</v>
      </c>
      <c r="B1039" s="0" t="s">
        <v>131</v>
      </c>
      <c r="C1039" s="14" t="s">
        <v>4227</v>
      </c>
      <c r="D1039" s="0" t="s">
        <v>973</v>
      </c>
      <c r="E1039" s="14" t="s">
        <v>5662</v>
      </c>
    </row>
    <row r="1040" customFormat="false" ht="41.75" hidden="false" customHeight="false" outlineLevel="0" collapsed="false">
      <c r="A1040" s="0" t="s">
        <v>1275</v>
      </c>
      <c r="B1040" s="0" t="s">
        <v>131</v>
      </c>
      <c r="C1040" s="14" t="s">
        <v>5759</v>
      </c>
      <c r="D1040" s="14" t="s">
        <v>5760</v>
      </c>
      <c r="E1040" s="14" t="s">
        <v>5761</v>
      </c>
    </row>
    <row r="1041" customFormat="false" ht="41.75" hidden="false" customHeight="false" outlineLevel="0" collapsed="false">
      <c r="A1041" s="0" t="s">
        <v>1374</v>
      </c>
      <c r="B1041" s="0" t="s">
        <v>845</v>
      </c>
      <c r="C1041" s="14" t="s">
        <v>5762</v>
      </c>
      <c r="D1041" s="0" t="s">
        <v>1375</v>
      </c>
      <c r="E1041" s="14" t="s">
        <v>5763</v>
      </c>
    </row>
    <row r="1042" customFormat="false" ht="41.75" hidden="false" customHeight="false" outlineLevel="0" collapsed="false">
      <c r="A1042" s="0" t="s">
        <v>1186</v>
      </c>
      <c r="B1042" s="0" t="s">
        <v>845</v>
      </c>
      <c r="C1042" s="14" t="s">
        <v>5764</v>
      </c>
      <c r="D1042" s="14" t="s">
        <v>5765</v>
      </c>
      <c r="E1042" s="14" t="s">
        <v>5766</v>
      </c>
    </row>
    <row r="1043" customFormat="false" ht="55.2" hidden="false" customHeight="false" outlineLevel="0" collapsed="false">
      <c r="A1043" s="0" t="s">
        <v>661</v>
      </c>
      <c r="B1043" s="0" t="s">
        <v>131</v>
      </c>
      <c r="C1043" s="14" t="s">
        <v>4689</v>
      </c>
      <c r="D1043" s="14" t="s">
        <v>5767</v>
      </c>
      <c r="E1043" s="14" t="s">
        <v>5596</v>
      </c>
    </row>
    <row r="1044" customFormat="false" ht="41.75" hidden="false" customHeight="false" outlineLevel="0" collapsed="false">
      <c r="A1044" s="0" t="s">
        <v>666</v>
      </c>
      <c r="B1044" s="0" t="s">
        <v>131</v>
      </c>
      <c r="C1044" s="14" t="s">
        <v>5768</v>
      </c>
      <c r="D1044" s="14" t="s">
        <v>5769</v>
      </c>
      <c r="E1044" s="14" t="s">
        <v>5770</v>
      </c>
    </row>
    <row r="1045" customFormat="false" ht="82.05" hidden="false" customHeight="false" outlineLevel="0" collapsed="false">
      <c r="A1045" s="0" t="s">
        <v>3239</v>
      </c>
      <c r="B1045" s="0" t="s">
        <v>845</v>
      </c>
      <c r="C1045" s="14" t="s">
        <v>5771</v>
      </c>
      <c r="D1045" s="14" t="s">
        <v>5772</v>
      </c>
      <c r="E1045" s="14" t="s">
        <v>5689</v>
      </c>
    </row>
    <row r="1046" customFormat="false" ht="189.55" hidden="false" customHeight="false" outlineLevel="0" collapsed="false">
      <c r="A1046" s="0" t="s">
        <v>499</v>
      </c>
      <c r="B1046" s="0" t="s">
        <v>131</v>
      </c>
      <c r="C1046" s="14" t="s">
        <v>5773</v>
      </c>
      <c r="D1046" s="14" t="s">
        <v>5774</v>
      </c>
      <c r="E1046" s="14" t="s">
        <v>5775</v>
      </c>
    </row>
    <row r="1047" customFormat="false" ht="149.25" hidden="false" customHeight="false" outlineLevel="0" collapsed="false">
      <c r="A1047" s="0" t="s">
        <v>895</v>
      </c>
      <c r="B1047" s="0" t="s">
        <v>845</v>
      </c>
      <c r="C1047" s="14" t="s">
        <v>5776</v>
      </c>
      <c r="D1047" s="0" t="s">
        <v>897</v>
      </c>
      <c r="E1047" s="14" t="s">
        <v>5777</v>
      </c>
    </row>
    <row r="1048" customFormat="false" ht="41.75" hidden="false" customHeight="false" outlineLevel="0" collapsed="false">
      <c r="A1048" s="0" t="s">
        <v>844</v>
      </c>
      <c r="B1048" s="0" t="s">
        <v>845</v>
      </c>
      <c r="C1048" s="14" t="s">
        <v>4568</v>
      </c>
      <c r="D1048" s="0" t="s">
        <v>846</v>
      </c>
      <c r="E1048" s="14" t="s">
        <v>5778</v>
      </c>
    </row>
    <row r="1049" customFormat="false" ht="68.65" hidden="false" customHeight="false" outlineLevel="0" collapsed="false">
      <c r="A1049" s="0" t="s">
        <v>795</v>
      </c>
      <c r="B1049" s="0" t="s">
        <v>131</v>
      </c>
      <c r="C1049" s="14" t="s">
        <v>5779</v>
      </c>
      <c r="D1049" s="14" t="s">
        <v>5780</v>
      </c>
      <c r="E1049" s="14" t="s">
        <v>5781</v>
      </c>
    </row>
    <row r="1050" customFormat="false" ht="149.25" hidden="false" customHeight="false" outlineLevel="0" collapsed="false">
      <c r="A1050" s="0" t="s">
        <v>471</v>
      </c>
      <c r="B1050" s="0" t="s">
        <v>131</v>
      </c>
      <c r="C1050" s="14" t="s">
        <v>5782</v>
      </c>
      <c r="D1050" s="14" t="s">
        <v>5783</v>
      </c>
      <c r="E1050" s="14" t="s">
        <v>5784</v>
      </c>
    </row>
    <row r="1051" customFormat="false" ht="55.2" hidden="false" customHeight="false" outlineLevel="0" collapsed="false">
      <c r="A1051" s="0" t="s">
        <v>868</v>
      </c>
      <c r="B1051" s="0" t="s">
        <v>131</v>
      </c>
      <c r="C1051" s="14" t="s">
        <v>5785</v>
      </c>
      <c r="D1051" s="14" t="s">
        <v>5786</v>
      </c>
      <c r="E1051" s="14" t="s">
        <v>5787</v>
      </c>
    </row>
    <row r="1052" customFormat="false" ht="55.2" hidden="false" customHeight="false" outlineLevel="0" collapsed="false">
      <c r="A1052" s="0" t="s">
        <v>1060</v>
      </c>
      <c r="B1052" s="0" t="s">
        <v>131</v>
      </c>
      <c r="C1052" s="14" t="s">
        <v>5788</v>
      </c>
      <c r="D1052" s="0" t="s">
        <v>1061</v>
      </c>
      <c r="E1052" s="14" t="s">
        <v>5789</v>
      </c>
    </row>
    <row r="1053" customFormat="false" ht="108.95" hidden="false" customHeight="false" outlineLevel="0" collapsed="false">
      <c r="A1053" s="0" t="s">
        <v>2713</v>
      </c>
      <c r="B1053" s="0" t="s">
        <v>845</v>
      </c>
      <c r="C1053" s="14" t="s">
        <v>5790</v>
      </c>
      <c r="D1053" s="14" t="s">
        <v>5791</v>
      </c>
      <c r="E1053" s="14" t="s">
        <v>5792</v>
      </c>
    </row>
    <row r="1054" customFormat="false" ht="82.05" hidden="false" customHeight="false" outlineLevel="0" collapsed="false">
      <c r="A1054" s="0" t="s">
        <v>2754</v>
      </c>
      <c r="B1054" s="0" t="s">
        <v>845</v>
      </c>
      <c r="C1054" s="14" t="s">
        <v>5793</v>
      </c>
      <c r="D1054" s="14" t="s">
        <v>5794</v>
      </c>
      <c r="E1054" s="14" t="s">
        <v>5795</v>
      </c>
    </row>
    <row r="1055" customFormat="false" ht="41.75" hidden="false" customHeight="false" outlineLevel="0" collapsed="false">
      <c r="A1055" s="0" t="s">
        <v>2336</v>
      </c>
      <c r="B1055" s="0" t="s">
        <v>845</v>
      </c>
      <c r="C1055" s="14" t="s">
        <v>5796</v>
      </c>
      <c r="D1055" s="14" t="s">
        <v>5797</v>
      </c>
      <c r="E1055" s="14" t="s">
        <v>5798</v>
      </c>
    </row>
    <row r="1056" customFormat="false" ht="41.75" hidden="false" customHeight="false" outlineLevel="0" collapsed="false">
      <c r="A1056" s="0" t="s">
        <v>1774</v>
      </c>
      <c r="B1056" s="0" t="s">
        <v>131</v>
      </c>
      <c r="C1056" s="0" t="s">
        <v>5799</v>
      </c>
      <c r="D1056" s="14" t="s">
        <v>5800</v>
      </c>
      <c r="E1056" s="14" t="s">
        <v>5801</v>
      </c>
    </row>
    <row r="1057" customFormat="false" ht="377.6" hidden="false" customHeight="false" outlineLevel="0" collapsed="false">
      <c r="A1057" s="0" t="s">
        <v>1167</v>
      </c>
      <c r="B1057" s="0" t="s">
        <v>131</v>
      </c>
      <c r="C1057" s="14" t="s">
        <v>5802</v>
      </c>
      <c r="D1057" s="14" t="s">
        <v>5803</v>
      </c>
      <c r="E1057" s="14" t="s">
        <v>5804</v>
      </c>
    </row>
    <row r="1058" customFormat="false" ht="28.35" hidden="false" customHeight="false" outlineLevel="0" collapsed="false">
      <c r="A1058" s="0" t="s">
        <v>2422</v>
      </c>
      <c r="B1058" s="0" t="s">
        <v>131</v>
      </c>
      <c r="C1058" s="0" t="s">
        <v>5805</v>
      </c>
      <c r="D1058" s="14" t="s">
        <v>5806</v>
      </c>
      <c r="E1058" s="14" t="s">
        <v>5807</v>
      </c>
    </row>
    <row r="1059" customFormat="false" ht="68.65" hidden="false" customHeight="false" outlineLevel="0" collapsed="false">
      <c r="A1059" s="0" t="s">
        <v>961</v>
      </c>
      <c r="B1059" s="0" t="s">
        <v>131</v>
      </c>
      <c r="C1059" s="14" t="s">
        <v>5808</v>
      </c>
      <c r="D1059" s="14" t="s">
        <v>5809</v>
      </c>
      <c r="E1059" s="14" t="s">
        <v>5810</v>
      </c>
    </row>
    <row r="1060" customFormat="false" ht="243.25" hidden="false" customHeight="false" outlineLevel="0" collapsed="false">
      <c r="A1060" s="0" t="s">
        <v>1827</v>
      </c>
      <c r="B1060" s="0" t="s">
        <v>131</v>
      </c>
      <c r="C1060" s="14" t="s">
        <v>5811</v>
      </c>
      <c r="D1060" s="14" t="s">
        <v>5812</v>
      </c>
      <c r="E1060" s="14" t="s">
        <v>5813</v>
      </c>
    </row>
    <row r="1061" customFormat="false" ht="55.2" hidden="false" customHeight="false" outlineLevel="0" collapsed="false">
      <c r="A1061" s="0" t="s">
        <v>3109</v>
      </c>
      <c r="B1061" s="0" t="s">
        <v>131</v>
      </c>
      <c r="C1061" s="14" t="s">
        <v>5814</v>
      </c>
      <c r="D1061" s="14" t="s">
        <v>5815</v>
      </c>
      <c r="E1061" s="14" t="s">
        <v>5816</v>
      </c>
    </row>
    <row r="1062" customFormat="false" ht="162.65" hidden="false" customHeight="false" outlineLevel="0" collapsed="false">
      <c r="A1062" s="0" t="s">
        <v>2313</v>
      </c>
      <c r="B1062" s="0" t="s">
        <v>845</v>
      </c>
      <c r="C1062" s="14" t="s">
        <v>5817</v>
      </c>
      <c r="D1062" s="14" t="s">
        <v>5818</v>
      </c>
      <c r="E1062" s="14" t="s">
        <v>5689</v>
      </c>
    </row>
    <row r="1063" customFormat="false" ht="68.65" hidden="false" customHeight="false" outlineLevel="0" collapsed="false">
      <c r="A1063" s="0" t="s">
        <v>2479</v>
      </c>
      <c r="B1063" s="0" t="s">
        <v>845</v>
      </c>
      <c r="C1063" s="14" t="s">
        <v>5819</v>
      </c>
      <c r="D1063" s="14" t="s">
        <v>5820</v>
      </c>
      <c r="E1063" s="14" t="s">
        <v>5821</v>
      </c>
    </row>
    <row r="1064" customFormat="false" ht="55.2" hidden="false" customHeight="false" outlineLevel="0" collapsed="false">
      <c r="A1064" s="0" t="s">
        <v>2246</v>
      </c>
      <c r="B1064" s="0" t="s">
        <v>131</v>
      </c>
      <c r="C1064" s="14" t="s">
        <v>5822</v>
      </c>
      <c r="D1064" s="14" t="s">
        <v>5823</v>
      </c>
      <c r="E1064" s="14" t="s">
        <v>5824</v>
      </c>
    </row>
    <row r="1065" customFormat="false" ht="55.2" hidden="false" customHeight="false" outlineLevel="0" collapsed="false">
      <c r="A1065" s="0" t="s">
        <v>2492</v>
      </c>
      <c r="B1065" s="0" t="s">
        <v>131</v>
      </c>
      <c r="C1065" s="14" t="s">
        <v>5825</v>
      </c>
      <c r="D1065" s="14" t="s">
        <v>5826</v>
      </c>
      <c r="E1065" s="14" t="s">
        <v>5827</v>
      </c>
    </row>
    <row r="1066" customFormat="false" ht="55.2" hidden="false" customHeight="false" outlineLevel="0" collapsed="false">
      <c r="A1066" s="0" t="s">
        <v>2737</v>
      </c>
      <c r="B1066" s="0" t="s">
        <v>845</v>
      </c>
      <c r="C1066" s="14" t="s">
        <v>5828</v>
      </c>
      <c r="D1066" s="14" t="s">
        <v>5829</v>
      </c>
      <c r="E1066" s="14" t="s">
        <v>5830</v>
      </c>
    </row>
    <row r="1067" customFormat="false" ht="270.1" hidden="false" customHeight="false" outlineLevel="0" collapsed="false">
      <c r="A1067" s="0" t="s">
        <v>3417</v>
      </c>
      <c r="B1067" s="0" t="s">
        <v>845</v>
      </c>
      <c r="C1067" s="14" t="s">
        <v>5831</v>
      </c>
      <c r="D1067" s="14" t="s">
        <v>5832</v>
      </c>
      <c r="E1067" s="14" t="s">
        <v>5833</v>
      </c>
    </row>
    <row r="1068" customFormat="false" ht="95.5" hidden="false" customHeight="false" outlineLevel="0" collapsed="false">
      <c r="A1068" s="0" t="s">
        <v>3101</v>
      </c>
      <c r="B1068" s="0" t="s">
        <v>845</v>
      </c>
      <c r="C1068" s="14" t="s">
        <v>5834</v>
      </c>
      <c r="D1068" s="14" t="s">
        <v>5835</v>
      </c>
      <c r="E1068" s="14" t="s">
        <v>5836</v>
      </c>
    </row>
    <row r="1069" customFormat="false" ht="122.35" hidden="false" customHeight="false" outlineLevel="0" collapsed="false">
      <c r="A1069" s="0" t="s">
        <v>2851</v>
      </c>
      <c r="B1069" s="0" t="s">
        <v>131</v>
      </c>
      <c r="C1069" s="14" t="s">
        <v>5837</v>
      </c>
      <c r="D1069" s="14" t="s">
        <v>5838</v>
      </c>
      <c r="E1069" s="14" t="s">
        <v>5839</v>
      </c>
    </row>
    <row r="1070" customFormat="false" ht="41.75" hidden="false" customHeight="false" outlineLevel="0" collapsed="false">
      <c r="A1070" s="0" t="s">
        <v>3063</v>
      </c>
      <c r="B1070" s="0" t="s">
        <v>845</v>
      </c>
      <c r="C1070" s="14" t="s">
        <v>4345</v>
      </c>
      <c r="D1070" s="0" t="s">
        <v>3064</v>
      </c>
      <c r="E1070" s="14" t="s">
        <v>5840</v>
      </c>
    </row>
    <row r="1071" customFormat="false" ht="82.05" hidden="false" customHeight="false" outlineLevel="0" collapsed="false">
      <c r="A1071" s="0" t="s">
        <v>2909</v>
      </c>
      <c r="B1071" s="0" t="s">
        <v>845</v>
      </c>
      <c r="C1071" s="14" t="s">
        <v>5841</v>
      </c>
      <c r="D1071" s="14" t="s">
        <v>5842</v>
      </c>
      <c r="E1071" s="14" t="s">
        <v>5693</v>
      </c>
    </row>
    <row r="1072" customFormat="false" ht="55.2" hidden="false" customHeight="false" outlineLevel="0" collapsed="false">
      <c r="A1072" s="0" t="s">
        <v>2262</v>
      </c>
      <c r="B1072" s="0" t="s">
        <v>845</v>
      </c>
      <c r="C1072" s="14" t="s">
        <v>5843</v>
      </c>
      <c r="D1072" s="14" t="s">
        <v>5844</v>
      </c>
      <c r="E1072" s="14" t="s">
        <v>5845</v>
      </c>
    </row>
    <row r="1073" customFormat="false" ht="68.65" hidden="false" customHeight="false" outlineLevel="0" collapsed="false">
      <c r="A1073" s="0" t="s">
        <v>3287</v>
      </c>
      <c r="B1073" s="0" t="s">
        <v>131</v>
      </c>
      <c r="C1073" s="14" t="s">
        <v>5846</v>
      </c>
      <c r="D1073" s="14" t="s">
        <v>5847</v>
      </c>
      <c r="E1073" s="14" t="s">
        <v>5848</v>
      </c>
    </row>
    <row r="1074" customFormat="false" ht="41.75" hidden="false" customHeight="false" outlineLevel="0" collapsed="false">
      <c r="A1074" s="0" t="s">
        <v>2799</v>
      </c>
      <c r="B1074" s="0" t="s">
        <v>845</v>
      </c>
      <c r="C1074" s="0" t="s">
        <v>5849</v>
      </c>
      <c r="D1074" s="14" t="s">
        <v>5850</v>
      </c>
      <c r="E1074" s="14" t="s">
        <v>5851</v>
      </c>
    </row>
    <row r="1075" customFormat="false" ht="68.65" hidden="false" customHeight="false" outlineLevel="0" collapsed="false">
      <c r="A1075" s="0" t="s">
        <v>2956</v>
      </c>
      <c r="B1075" s="0" t="s">
        <v>845</v>
      </c>
      <c r="C1075" s="14" t="s">
        <v>5852</v>
      </c>
      <c r="D1075" s="14" t="s">
        <v>5853</v>
      </c>
      <c r="E1075" s="14" t="s">
        <v>5854</v>
      </c>
    </row>
    <row r="1076" customFormat="false" ht="189.55" hidden="false" customHeight="false" outlineLevel="0" collapsed="false">
      <c r="A1076" s="0" t="s">
        <v>2177</v>
      </c>
      <c r="B1076" s="0" t="s">
        <v>131</v>
      </c>
      <c r="C1076" s="14" t="s">
        <v>5855</v>
      </c>
      <c r="D1076" s="14" t="s">
        <v>5856</v>
      </c>
      <c r="E1076" s="14" t="s">
        <v>5857</v>
      </c>
    </row>
    <row r="1077" customFormat="false" ht="149.25" hidden="false" customHeight="false" outlineLevel="0" collapsed="false">
      <c r="A1077" s="0" t="s">
        <v>2179</v>
      </c>
      <c r="B1077" s="0" t="s">
        <v>131</v>
      </c>
      <c r="C1077" s="14" t="s">
        <v>5858</v>
      </c>
      <c r="D1077" s="14" t="s">
        <v>5859</v>
      </c>
      <c r="E1077" s="14" t="s">
        <v>5860</v>
      </c>
    </row>
    <row r="1078" customFormat="false" ht="55.2" hidden="false" customHeight="false" outlineLevel="0" collapsed="false">
      <c r="A1078" s="0" t="s">
        <v>1838</v>
      </c>
      <c r="B1078" s="0" t="s">
        <v>131</v>
      </c>
      <c r="C1078" s="14" t="s">
        <v>5861</v>
      </c>
      <c r="D1078" s="0" t="s">
        <v>1839</v>
      </c>
      <c r="E1078" s="14" t="s">
        <v>5613</v>
      </c>
    </row>
    <row r="1079" customFormat="false" ht="28.35" hidden="false" customHeight="false" outlineLevel="0" collapsed="false">
      <c r="A1079" s="0" t="s">
        <v>805</v>
      </c>
      <c r="B1079" s="0" t="s">
        <v>131</v>
      </c>
      <c r="C1079" s="14" t="s">
        <v>5862</v>
      </c>
      <c r="D1079" s="0" t="s">
        <v>806</v>
      </c>
      <c r="E1079" s="14" t="s">
        <v>5863</v>
      </c>
    </row>
    <row r="1080" customFormat="false" ht="41.75" hidden="false" customHeight="false" outlineLevel="0" collapsed="false">
      <c r="A1080" s="0" t="s">
        <v>2571</v>
      </c>
      <c r="B1080" s="0" t="s">
        <v>845</v>
      </c>
      <c r="C1080" s="14" t="s">
        <v>5864</v>
      </c>
      <c r="D1080" s="14" t="s">
        <v>5865</v>
      </c>
      <c r="E1080" s="14" t="s">
        <v>5866</v>
      </c>
    </row>
    <row r="1081" customFormat="false" ht="270.1" hidden="false" customHeight="false" outlineLevel="0" collapsed="false">
      <c r="A1081" s="0" t="s">
        <v>2769</v>
      </c>
      <c r="B1081" s="0" t="s">
        <v>197</v>
      </c>
      <c r="C1081" s="14" t="s">
        <v>5867</v>
      </c>
      <c r="D1081" s="14" t="s">
        <v>5868</v>
      </c>
      <c r="E1081" s="14" t="s">
        <v>5869</v>
      </c>
    </row>
    <row r="1082" customFormat="false" ht="122.35" hidden="false" customHeight="false" outlineLevel="0" collapsed="false">
      <c r="A1082" s="0" t="s">
        <v>1314</v>
      </c>
      <c r="B1082" s="0" t="s">
        <v>197</v>
      </c>
      <c r="C1082" s="14" t="s">
        <v>5870</v>
      </c>
    </row>
    <row r="1083" customFormat="false" ht="28.35" hidden="false" customHeight="false" outlineLevel="0" collapsed="false">
      <c r="A1083" s="0" t="s">
        <v>1692</v>
      </c>
      <c r="B1083" s="0" t="s">
        <v>197</v>
      </c>
      <c r="C1083" s="14" t="s">
        <v>5871</v>
      </c>
      <c r="D1083" s="0" t="s">
        <v>1693</v>
      </c>
    </row>
    <row r="1084" customFormat="false" ht="149.25" hidden="false" customHeight="false" outlineLevel="0" collapsed="false">
      <c r="A1084" s="0" t="s">
        <v>3489</v>
      </c>
      <c r="B1084" s="0" t="s">
        <v>197</v>
      </c>
      <c r="C1084" s="14" t="s">
        <v>5872</v>
      </c>
      <c r="D1084" s="14" t="s">
        <v>5873</v>
      </c>
      <c r="E1084" s="0" t="s">
        <v>5874</v>
      </c>
    </row>
    <row r="1085" customFormat="false" ht="41.75" hidden="false" customHeight="false" outlineLevel="0" collapsed="false">
      <c r="A1085" s="0" t="s">
        <v>3231</v>
      </c>
      <c r="B1085" s="0" t="s">
        <v>197</v>
      </c>
      <c r="C1085" s="14" t="s">
        <v>5875</v>
      </c>
      <c r="D1085" s="0" t="s">
        <v>3232</v>
      </c>
    </row>
    <row r="1086" customFormat="false" ht="68.65" hidden="false" customHeight="false" outlineLevel="0" collapsed="false">
      <c r="A1086" s="0" t="s">
        <v>1409</v>
      </c>
      <c r="B1086" s="0" t="s">
        <v>197</v>
      </c>
      <c r="C1086" s="14" t="s">
        <v>5876</v>
      </c>
      <c r="D1086" s="14" t="s">
        <v>5877</v>
      </c>
    </row>
    <row r="1087" customFormat="false" ht="108.95" hidden="false" customHeight="false" outlineLevel="0" collapsed="false">
      <c r="A1087" s="0" t="s">
        <v>2303</v>
      </c>
      <c r="B1087" s="0" t="s">
        <v>197</v>
      </c>
      <c r="C1087" s="14" t="s">
        <v>5878</v>
      </c>
      <c r="D1087" s="0" t="s">
        <v>2305</v>
      </c>
    </row>
    <row r="1088" customFormat="false" ht="68.65" hidden="false" customHeight="false" outlineLevel="0" collapsed="false">
      <c r="A1088" s="0" t="s">
        <v>1760</v>
      </c>
      <c r="B1088" s="0" t="s">
        <v>197</v>
      </c>
      <c r="C1088" s="14" t="s">
        <v>5879</v>
      </c>
      <c r="D1088" s="0" t="s">
        <v>1762</v>
      </c>
    </row>
    <row r="1089" customFormat="false" ht="55.2" hidden="false" customHeight="false" outlineLevel="0" collapsed="false">
      <c r="A1089" s="0" t="s">
        <v>2688</v>
      </c>
      <c r="B1089" s="0" t="s">
        <v>197</v>
      </c>
      <c r="C1089" s="14" t="s">
        <v>5880</v>
      </c>
      <c r="D1089" s="0" t="s">
        <v>2689</v>
      </c>
    </row>
    <row r="1090" customFormat="false" ht="108.95" hidden="false" customHeight="false" outlineLevel="0" collapsed="false">
      <c r="A1090" s="0" t="s">
        <v>2257</v>
      </c>
      <c r="B1090" s="0" t="s">
        <v>197</v>
      </c>
      <c r="C1090" s="14" t="s">
        <v>5881</v>
      </c>
      <c r="D1090" s="14" t="s">
        <v>5882</v>
      </c>
    </row>
    <row r="1091" customFormat="false" ht="55.2" hidden="false" customHeight="false" outlineLevel="0" collapsed="false">
      <c r="A1091" s="0" t="s">
        <v>3486</v>
      </c>
      <c r="B1091" s="0" t="s">
        <v>197</v>
      </c>
      <c r="C1091" s="14" t="s">
        <v>5883</v>
      </c>
      <c r="D1091" s="14" t="s">
        <v>5884</v>
      </c>
    </row>
    <row r="1092" customFormat="false" ht="135.8" hidden="false" customHeight="false" outlineLevel="0" collapsed="false">
      <c r="A1092" s="0" t="s">
        <v>1913</v>
      </c>
      <c r="B1092" s="0" t="s">
        <v>197</v>
      </c>
      <c r="C1092" s="14" t="s">
        <v>5885</v>
      </c>
      <c r="D1092" s="14" t="s">
        <v>5886</v>
      </c>
      <c r="E1092" s="0" t="s">
        <v>5887</v>
      </c>
    </row>
    <row r="1093" customFormat="false" ht="41.75" hidden="false" customHeight="false" outlineLevel="0" collapsed="false">
      <c r="A1093" s="0" t="s">
        <v>2972</v>
      </c>
      <c r="B1093" s="0" t="s">
        <v>197</v>
      </c>
      <c r="C1093" s="14" t="s">
        <v>5888</v>
      </c>
      <c r="D1093" s="0" t="s">
        <v>2973</v>
      </c>
    </row>
    <row r="1094" customFormat="false" ht="28.35" hidden="false" customHeight="false" outlineLevel="0" collapsed="false">
      <c r="A1094" s="0" t="s">
        <v>2793</v>
      </c>
      <c r="B1094" s="0" t="s">
        <v>197</v>
      </c>
      <c r="C1094" s="14" t="s">
        <v>5889</v>
      </c>
      <c r="D1094" s="14" t="s">
        <v>5890</v>
      </c>
    </row>
    <row r="1095" customFormat="false" ht="122.35" hidden="false" customHeight="false" outlineLevel="0" collapsed="false">
      <c r="A1095" s="0" t="s">
        <v>2102</v>
      </c>
      <c r="B1095" s="0" t="s">
        <v>197</v>
      </c>
      <c r="C1095" s="14" t="s">
        <v>5891</v>
      </c>
      <c r="D1095" s="14" t="s">
        <v>5892</v>
      </c>
    </row>
    <row r="1096" customFormat="false" ht="95.5" hidden="false" customHeight="false" outlineLevel="0" collapsed="false">
      <c r="A1096" s="0" t="s">
        <v>2989</v>
      </c>
      <c r="B1096" s="0" t="s">
        <v>197</v>
      </c>
      <c r="C1096" s="14" t="s">
        <v>5893</v>
      </c>
      <c r="D1096" s="0" t="s">
        <v>2990</v>
      </c>
    </row>
    <row r="1097" customFormat="false" ht="28.35" hidden="false" customHeight="false" outlineLevel="0" collapsed="false">
      <c r="A1097" s="0" t="s">
        <v>2527</v>
      </c>
      <c r="B1097" s="0" t="s">
        <v>197</v>
      </c>
      <c r="C1097" s="14" t="s">
        <v>5894</v>
      </c>
      <c r="D1097" s="0" t="s">
        <v>2528</v>
      </c>
    </row>
    <row r="1098" customFormat="false" ht="55.2" hidden="false" customHeight="false" outlineLevel="0" collapsed="false">
      <c r="A1098" s="0" t="s">
        <v>306</v>
      </c>
      <c r="B1098" s="0" t="s">
        <v>197</v>
      </c>
      <c r="C1098" s="14" t="s">
        <v>5895</v>
      </c>
    </row>
    <row r="1099" customFormat="false" ht="55.2" hidden="false" customHeight="false" outlineLevel="0" collapsed="false">
      <c r="A1099" s="0" t="s">
        <v>2139</v>
      </c>
      <c r="B1099" s="0" t="s">
        <v>197</v>
      </c>
      <c r="C1099" s="14" t="s">
        <v>5896</v>
      </c>
      <c r="D1099" s="14" t="s">
        <v>5897</v>
      </c>
    </row>
    <row r="1100" customFormat="false" ht="82.05" hidden="false" customHeight="false" outlineLevel="0" collapsed="false">
      <c r="A1100" s="0" t="s">
        <v>1394</v>
      </c>
      <c r="B1100" s="0" t="s">
        <v>197</v>
      </c>
      <c r="C1100" s="14" t="s">
        <v>5898</v>
      </c>
      <c r="D1100" s="0" t="s">
        <v>1395</v>
      </c>
    </row>
    <row r="1101" customFormat="false" ht="28.35" hidden="false" customHeight="false" outlineLevel="0" collapsed="false">
      <c r="A1101" s="0" t="s">
        <v>3464</v>
      </c>
      <c r="B1101" s="0" t="s">
        <v>197</v>
      </c>
      <c r="C1101" s="14" t="s">
        <v>5899</v>
      </c>
      <c r="E1101" s="0" t="s">
        <v>5900</v>
      </c>
    </row>
    <row r="1102" customFormat="false" ht="41.75" hidden="false" customHeight="false" outlineLevel="0" collapsed="false">
      <c r="A1102" s="0" t="s">
        <v>778</v>
      </c>
      <c r="B1102" s="0" t="s">
        <v>197</v>
      </c>
      <c r="C1102" s="14" t="s">
        <v>5899</v>
      </c>
      <c r="E1102" s="14" t="s">
        <v>5901</v>
      </c>
    </row>
    <row r="1103" customFormat="false" ht="229.85" hidden="false" customHeight="false" outlineLevel="0" collapsed="false">
      <c r="A1103" s="0" t="s">
        <v>727</v>
      </c>
      <c r="B1103" s="0" t="s">
        <v>197</v>
      </c>
      <c r="C1103" s="14" t="s">
        <v>5902</v>
      </c>
      <c r="D1103" s="0" t="s">
        <v>728</v>
      </c>
      <c r="E1103" s="14" t="s">
        <v>5903</v>
      </c>
    </row>
    <row r="1104" customFormat="false" ht="28.35" hidden="false" customHeight="false" outlineLevel="0" collapsed="false">
      <c r="A1104" s="0" t="s">
        <v>2074</v>
      </c>
      <c r="B1104" s="0" t="s">
        <v>197</v>
      </c>
      <c r="C1104" s="14" t="s">
        <v>5904</v>
      </c>
      <c r="D1104" s="14" t="s">
        <v>5905</v>
      </c>
    </row>
    <row r="1105" customFormat="false" ht="122.35" hidden="false" customHeight="false" outlineLevel="0" collapsed="false">
      <c r="A1105" s="0" t="s">
        <v>2080</v>
      </c>
      <c r="B1105" s="0" t="s">
        <v>197</v>
      </c>
      <c r="C1105" s="14" t="s">
        <v>5906</v>
      </c>
      <c r="D1105" s="14" t="s">
        <v>5907</v>
      </c>
      <c r="E1105" s="14" t="s">
        <v>5908</v>
      </c>
    </row>
    <row r="1106" customFormat="false" ht="82.05" hidden="false" customHeight="false" outlineLevel="0" collapsed="false">
      <c r="A1106" s="0" t="s">
        <v>2554</v>
      </c>
      <c r="B1106" s="0" t="s">
        <v>197</v>
      </c>
      <c r="C1106" s="14" t="s">
        <v>5909</v>
      </c>
      <c r="D1106" s="0" t="s">
        <v>2556</v>
      </c>
    </row>
    <row r="1107" customFormat="false" ht="68.65" hidden="false" customHeight="false" outlineLevel="0" collapsed="false">
      <c r="A1107" s="0" t="s">
        <v>2453</v>
      </c>
      <c r="B1107" s="0" t="s">
        <v>197</v>
      </c>
      <c r="C1107" s="14" t="s">
        <v>5910</v>
      </c>
      <c r="D1107" s="14" t="s">
        <v>5911</v>
      </c>
    </row>
    <row r="1108" customFormat="false" ht="243.25" hidden="false" customHeight="false" outlineLevel="0" collapsed="false">
      <c r="A1108" s="0" t="s">
        <v>1248</v>
      </c>
      <c r="B1108" s="0" t="s">
        <v>197</v>
      </c>
      <c r="C1108" s="14" t="s">
        <v>5912</v>
      </c>
      <c r="D1108" s="14" t="s">
        <v>5913</v>
      </c>
      <c r="E1108" s="0" t="s">
        <v>5874</v>
      </c>
    </row>
    <row r="1109" customFormat="false" ht="68.65" hidden="false" customHeight="false" outlineLevel="0" collapsed="false">
      <c r="A1109" s="0" t="s">
        <v>3060</v>
      </c>
      <c r="B1109" s="0" t="s">
        <v>197</v>
      </c>
      <c r="C1109" s="14" t="s">
        <v>5914</v>
      </c>
      <c r="D1109" s="0" t="s">
        <v>3062</v>
      </c>
      <c r="E1109" s="0" t="s">
        <v>5915</v>
      </c>
    </row>
    <row r="1110" customFormat="false" ht="82.05" hidden="false" customHeight="false" outlineLevel="0" collapsed="false">
      <c r="A1110" s="0" t="s">
        <v>2629</v>
      </c>
      <c r="B1110" s="0" t="s">
        <v>197</v>
      </c>
      <c r="C1110" s="14" t="s">
        <v>5916</v>
      </c>
      <c r="E1110" s="0" t="s">
        <v>5917</v>
      </c>
    </row>
    <row r="1111" customFormat="false" ht="95.5" hidden="false" customHeight="false" outlineLevel="0" collapsed="false">
      <c r="A1111" s="0" t="s">
        <v>2883</v>
      </c>
      <c r="B1111" s="0" t="s">
        <v>197</v>
      </c>
      <c r="C1111" s="14" t="s">
        <v>5918</v>
      </c>
      <c r="D1111" s="0" t="s">
        <v>2884</v>
      </c>
      <c r="E1111" s="0" t="s">
        <v>5919</v>
      </c>
    </row>
    <row r="1112" customFormat="false" ht="135.8" hidden="false" customHeight="false" outlineLevel="0" collapsed="false">
      <c r="A1112" s="0" t="s">
        <v>3219</v>
      </c>
      <c r="B1112" s="0" t="s">
        <v>197</v>
      </c>
      <c r="C1112" s="14" t="s">
        <v>5920</v>
      </c>
      <c r="D1112" s="14" t="s">
        <v>5921</v>
      </c>
    </row>
    <row r="1113" customFormat="false" ht="28.35" hidden="false" customHeight="false" outlineLevel="0" collapsed="false">
      <c r="A1113" s="0" t="s">
        <v>3204</v>
      </c>
      <c r="B1113" s="0" t="s">
        <v>197</v>
      </c>
      <c r="C1113" s="14" t="s">
        <v>5922</v>
      </c>
      <c r="D1113" s="14" t="s">
        <v>5923</v>
      </c>
    </row>
    <row r="1114" customFormat="false" ht="323.85" hidden="false" customHeight="false" outlineLevel="0" collapsed="false">
      <c r="A1114" s="0" t="s">
        <v>2113</v>
      </c>
      <c r="B1114" s="0" t="s">
        <v>197</v>
      </c>
      <c r="C1114" s="14" t="s">
        <v>5924</v>
      </c>
      <c r="D1114" s="14" t="s">
        <v>5925</v>
      </c>
      <c r="E1114" s="0" t="s">
        <v>5926</v>
      </c>
    </row>
    <row r="1115" customFormat="false" ht="149.25" hidden="false" customHeight="false" outlineLevel="0" collapsed="false">
      <c r="A1115" s="0" t="s">
        <v>2052</v>
      </c>
      <c r="B1115" s="0" t="s">
        <v>197</v>
      </c>
      <c r="C1115" s="14" t="s">
        <v>5927</v>
      </c>
      <c r="D1115" s="14" t="s">
        <v>5928</v>
      </c>
      <c r="E1115" s="0" t="s">
        <v>5926</v>
      </c>
    </row>
    <row r="1116" customFormat="false" ht="68.65" hidden="false" customHeight="false" outlineLevel="0" collapsed="false">
      <c r="A1116" s="0" t="s">
        <v>3097</v>
      </c>
      <c r="B1116" s="0" t="s">
        <v>197</v>
      </c>
      <c r="C1116" s="14" t="s">
        <v>5929</v>
      </c>
      <c r="D1116" s="0" t="s">
        <v>3098</v>
      </c>
    </row>
    <row r="1117" customFormat="false" ht="202.95" hidden="false" customHeight="false" outlineLevel="0" collapsed="false">
      <c r="A1117" s="0" t="s">
        <v>3091</v>
      </c>
      <c r="B1117" s="0" t="s">
        <v>197</v>
      </c>
      <c r="C1117" s="14" t="s">
        <v>5930</v>
      </c>
      <c r="D1117" s="14" t="s">
        <v>5931</v>
      </c>
      <c r="E1117" s="0" t="s">
        <v>5932</v>
      </c>
    </row>
    <row r="1118" customFormat="false" ht="162.65" hidden="false" customHeight="false" outlineLevel="0" collapsed="false">
      <c r="A1118" s="0" t="s">
        <v>3493</v>
      </c>
      <c r="B1118" s="0" t="s">
        <v>197</v>
      </c>
      <c r="C1118" s="14" t="s">
        <v>5933</v>
      </c>
      <c r="D1118" s="14" t="s">
        <v>5934</v>
      </c>
      <c r="E1118" s="0" t="s">
        <v>5935</v>
      </c>
    </row>
    <row r="1119" customFormat="false" ht="68.65" hidden="false" customHeight="false" outlineLevel="0" collapsed="false">
      <c r="A1119" s="0" t="s">
        <v>2506</v>
      </c>
      <c r="B1119" s="0" t="s">
        <v>197</v>
      </c>
      <c r="C1119" s="14" t="s">
        <v>5936</v>
      </c>
      <c r="D1119" s="14" t="s">
        <v>5937</v>
      </c>
      <c r="E1119" s="0" t="s">
        <v>5932</v>
      </c>
    </row>
    <row r="1120" customFormat="false" ht="95.5" hidden="false" customHeight="false" outlineLevel="0" collapsed="false">
      <c r="A1120" s="0" t="s">
        <v>2084</v>
      </c>
      <c r="B1120" s="0" t="s">
        <v>197</v>
      </c>
      <c r="C1120" s="14" t="s">
        <v>5938</v>
      </c>
      <c r="D1120" s="14" t="s">
        <v>5939</v>
      </c>
      <c r="E1120" s="0" t="s">
        <v>5940</v>
      </c>
    </row>
    <row r="1121" customFormat="false" ht="108.95" hidden="false" customHeight="false" outlineLevel="0" collapsed="false">
      <c r="A1121" s="0" t="s">
        <v>2242</v>
      </c>
      <c r="B1121" s="0" t="s">
        <v>197</v>
      </c>
      <c r="C1121" s="14" t="s">
        <v>5941</v>
      </c>
      <c r="D1121" s="14" t="s">
        <v>5942</v>
      </c>
      <c r="E1121" s="0" t="s">
        <v>5943</v>
      </c>
    </row>
    <row r="1122" customFormat="false" ht="122.35" hidden="false" customHeight="false" outlineLevel="0" collapsed="false">
      <c r="A1122" s="0" t="s">
        <v>1700</v>
      </c>
      <c r="B1122" s="0" t="s">
        <v>197</v>
      </c>
      <c r="C1122" s="14" t="s">
        <v>5944</v>
      </c>
      <c r="D1122" s="14" t="s">
        <v>5945</v>
      </c>
      <c r="E1122" s="0" t="s">
        <v>5946</v>
      </c>
    </row>
    <row r="1123" customFormat="false" ht="28.35" hidden="false" customHeight="false" outlineLevel="0" collapsed="false">
      <c r="A1123" s="0" t="s">
        <v>1661</v>
      </c>
      <c r="B1123" s="0" t="s">
        <v>197</v>
      </c>
      <c r="C1123" s="14" t="s">
        <v>4944</v>
      </c>
      <c r="D1123" s="14" t="s">
        <v>5947</v>
      </c>
    </row>
    <row r="1124" customFormat="false" ht="41.75" hidden="false" customHeight="false" outlineLevel="0" collapsed="false">
      <c r="A1124" s="0" t="s">
        <v>1478</v>
      </c>
      <c r="B1124" s="0" t="s">
        <v>197</v>
      </c>
      <c r="C1124" s="14" t="s">
        <v>5948</v>
      </c>
      <c r="D1124" s="0" t="s">
        <v>1481</v>
      </c>
    </row>
    <row r="1125" customFormat="false" ht="108.95" hidden="false" customHeight="false" outlineLevel="0" collapsed="false">
      <c r="A1125" s="0" t="s">
        <v>1940</v>
      </c>
      <c r="B1125" s="0" t="s">
        <v>197</v>
      </c>
      <c r="C1125" s="14" t="s">
        <v>5949</v>
      </c>
      <c r="D1125" s="14" t="s">
        <v>5950</v>
      </c>
      <c r="E1125" s="0" t="s">
        <v>5874</v>
      </c>
    </row>
    <row r="1126" customFormat="false" ht="68.65" hidden="false" customHeight="false" outlineLevel="0" collapsed="false">
      <c r="A1126" s="0" t="s">
        <v>1515</v>
      </c>
      <c r="B1126" s="0" t="s">
        <v>197</v>
      </c>
      <c r="C1126" s="14" t="s">
        <v>5951</v>
      </c>
      <c r="D1126" s="14" t="s">
        <v>5952</v>
      </c>
    </row>
    <row r="1127" customFormat="false" ht="68.65" hidden="false" customHeight="false" outlineLevel="0" collapsed="false">
      <c r="A1127" s="0" t="s">
        <v>2160</v>
      </c>
      <c r="B1127" s="0" t="s">
        <v>197</v>
      </c>
      <c r="C1127" s="14" t="s">
        <v>5953</v>
      </c>
      <c r="D1127" s="14" t="s">
        <v>5954</v>
      </c>
    </row>
    <row r="1128" customFormat="false" ht="41.75" hidden="false" customHeight="false" outlineLevel="0" collapsed="false">
      <c r="A1128" s="0" t="s">
        <v>2126</v>
      </c>
      <c r="B1128" s="0" t="s">
        <v>197</v>
      </c>
      <c r="C1128" s="0" t="s">
        <v>4715</v>
      </c>
      <c r="D1128" s="14" t="s">
        <v>5955</v>
      </c>
    </row>
    <row r="1129" customFormat="false" ht="41.75" hidden="false" customHeight="false" outlineLevel="0" collapsed="false">
      <c r="A1129" s="0" t="s">
        <v>3296</v>
      </c>
      <c r="B1129" s="0" t="s">
        <v>197</v>
      </c>
      <c r="C1129" s="0" t="s">
        <v>5956</v>
      </c>
      <c r="D1129" s="14" t="s">
        <v>5957</v>
      </c>
    </row>
    <row r="1130" customFormat="false" ht="122.35" hidden="false" customHeight="false" outlineLevel="0" collapsed="false">
      <c r="A1130" s="0" t="s">
        <v>1369</v>
      </c>
      <c r="B1130" s="0" t="s">
        <v>197</v>
      </c>
      <c r="C1130" s="14" t="s">
        <v>5958</v>
      </c>
      <c r="D1130" s="0" t="s">
        <v>1370</v>
      </c>
      <c r="E1130" s="0" t="s">
        <v>5959</v>
      </c>
    </row>
    <row r="1131" customFormat="false" ht="55.2" hidden="false" customHeight="false" outlineLevel="0" collapsed="false">
      <c r="A1131" s="0" t="s">
        <v>1680</v>
      </c>
      <c r="B1131" s="0" t="s">
        <v>197</v>
      </c>
      <c r="C1131" s="14" t="s">
        <v>5960</v>
      </c>
      <c r="D1131" s="14" t="s">
        <v>5961</v>
      </c>
    </row>
    <row r="1132" customFormat="false" ht="135.8" hidden="false" customHeight="false" outlineLevel="0" collapsed="false">
      <c r="A1132" s="0" t="s">
        <v>3233</v>
      </c>
      <c r="B1132" s="0" t="s">
        <v>197</v>
      </c>
      <c r="C1132" s="14" t="s">
        <v>5962</v>
      </c>
      <c r="D1132" s="14" t="s">
        <v>5963</v>
      </c>
      <c r="E1132" s="0" t="s">
        <v>5964</v>
      </c>
    </row>
    <row r="1133" customFormat="false" ht="176.1" hidden="false" customHeight="false" outlineLevel="0" collapsed="false">
      <c r="A1133" s="0" t="s">
        <v>2837</v>
      </c>
      <c r="B1133" s="0" t="s">
        <v>197</v>
      </c>
      <c r="C1133" s="14" t="s">
        <v>5965</v>
      </c>
      <c r="E1133" s="0" t="s">
        <v>5966</v>
      </c>
    </row>
    <row r="1134" customFormat="false" ht="68.65" hidden="false" customHeight="false" outlineLevel="0" collapsed="false">
      <c r="A1134" s="0" t="s">
        <v>1888</v>
      </c>
      <c r="B1134" s="0" t="s">
        <v>197</v>
      </c>
      <c r="C1134" s="14" t="s">
        <v>5967</v>
      </c>
      <c r="D1134" s="0" t="s">
        <v>1889</v>
      </c>
      <c r="E1134" s="0" t="s">
        <v>5968</v>
      </c>
    </row>
    <row r="1135" customFormat="false" ht="202.95" hidden="false" customHeight="false" outlineLevel="0" collapsed="false">
      <c r="A1135" s="0" t="s">
        <v>3073</v>
      </c>
      <c r="B1135" s="0" t="s">
        <v>197</v>
      </c>
      <c r="C1135" s="14" t="s">
        <v>5969</v>
      </c>
      <c r="D1135" s="14" t="s">
        <v>5970</v>
      </c>
      <c r="E1135" s="14" t="s">
        <v>5971</v>
      </c>
    </row>
    <row r="1136" customFormat="false" ht="149.25" hidden="false" customHeight="false" outlineLevel="0" collapsed="false">
      <c r="A1136" s="0" t="s">
        <v>3058</v>
      </c>
      <c r="B1136" s="0" t="s">
        <v>197</v>
      </c>
      <c r="C1136" s="14" t="s">
        <v>5972</v>
      </c>
      <c r="D1136" s="0" t="s">
        <v>3059</v>
      </c>
    </row>
    <row r="1137" customFormat="false" ht="28.35" hidden="false" customHeight="false" outlineLevel="0" collapsed="false">
      <c r="A1137" s="0" t="s">
        <v>2812</v>
      </c>
      <c r="B1137" s="0" t="s">
        <v>197</v>
      </c>
      <c r="C1137" s="14" t="s">
        <v>5973</v>
      </c>
      <c r="D1137" s="0" t="s">
        <v>2813</v>
      </c>
      <c r="E1137" s="0" t="s">
        <v>5974</v>
      </c>
    </row>
    <row r="1138" customFormat="false" ht="68.65" hidden="false" customHeight="false" outlineLevel="0" collapsed="false">
      <c r="A1138" s="0" t="s">
        <v>2107</v>
      </c>
      <c r="B1138" s="0" t="s">
        <v>197</v>
      </c>
      <c r="C1138" s="14" t="s">
        <v>5975</v>
      </c>
      <c r="D1138" s="14" t="s">
        <v>5976</v>
      </c>
    </row>
    <row r="1139" customFormat="false" ht="55.2" hidden="false" customHeight="false" outlineLevel="0" collapsed="false">
      <c r="A1139" s="0" t="s">
        <v>2663</v>
      </c>
      <c r="B1139" s="0" t="s">
        <v>197</v>
      </c>
      <c r="C1139" s="14" t="s">
        <v>5977</v>
      </c>
      <c r="D1139" s="0" t="s">
        <v>2664</v>
      </c>
    </row>
    <row r="1140" customFormat="false" ht="55.2" hidden="false" customHeight="false" outlineLevel="0" collapsed="false">
      <c r="A1140" s="0" t="s">
        <v>3526</v>
      </c>
      <c r="B1140" s="0" t="s">
        <v>197</v>
      </c>
      <c r="C1140" s="14" t="s">
        <v>5978</v>
      </c>
      <c r="E1140" s="0" t="s">
        <v>5874</v>
      </c>
    </row>
    <row r="1141" customFormat="false" ht="162.65" hidden="false" customHeight="false" outlineLevel="0" collapsed="false">
      <c r="A1141" s="0" t="s">
        <v>1705</v>
      </c>
      <c r="B1141" s="0" t="s">
        <v>197</v>
      </c>
      <c r="C1141" s="14" t="s">
        <v>5979</v>
      </c>
      <c r="D1141" s="14" t="s">
        <v>5980</v>
      </c>
    </row>
    <row r="1142" customFormat="false" ht="229.85" hidden="false" customHeight="false" outlineLevel="0" collapsed="false">
      <c r="A1142" s="0" t="s">
        <v>707</v>
      </c>
      <c r="B1142" s="0" t="s">
        <v>197</v>
      </c>
      <c r="C1142" s="14" t="s">
        <v>5981</v>
      </c>
    </row>
    <row r="1143" customFormat="false" ht="68.65" hidden="false" customHeight="false" outlineLevel="0" collapsed="false">
      <c r="A1143" s="0" t="s">
        <v>2607</v>
      </c>
      <c r="B1143" s="0" t="s">
        <v>197</v>
      </c>
      <c r="C1143" s="14" t="s">
        <v>5982</v>
      </c>
      <c r="D1143" s="14" t="s">
        <v>5983</v>
      </c>
      <c r="E1143" s="0" t="s">
        <v>5984</v>
      </c>
    </row>
    <row r="1144" customFormat="false" ht="15" hidden="false" customHeight="false" outlineLevel="0" collapsed="false">
      <c r="A1144" s="0" t="s">
        <v>3298</v>
      </c>
      <c r="B1144" s="0" t="s">
        <v>197</v>
      </c>
      <c r="C1144" s="0" t="s">
        <v>5985</v>
      </c>
      <c r="D1144" s="0" t="s">
        <v>3299</v>
      </c>
    </row>
    <row r="1145" customFormat="false" ht="41.75" hidden="false" customHeight="false" outlineLevel="0" collapsed="false">
      <c r="A1145" s="0" t="s">
        <v>1075</v>
      </c>
      <c r="B1145" s="0" t="s">
        <v>197</v>
      </c>
      <c r="C1145" s="14" t="s">
        <v>5986</v>
      </c>
      <c r="D1145" s="0" t="s">
        <v>1076</v>
      </c>
      <c r="E1145" s="0" t="s">
        <v>5987</v>
      </c>
    </row>
    <row r="1146" customFormat="false" ht="82.05" hidden="false" customHeight="false" outlineLevel="0" collapsed="false">
      <c r="A1146" s="0" t="s">
        <v>2319</v>
      </c>
      <c r="B1146" s="0" t="s">
        <v>197</v>
      </c>
      <c r="C1146" s="14" t="s">
        <v>5988</v>
      </c>
      <c r="D1146" s="0" t="s">
        <v>2320</v>
      </c>
    </row>
    <row r="1147" customFormat="false" ht="28.35" hidden="false" customHeight="false" outlineLevel="0" collapsed="false">
      <c r="A1147" s="0" t="s">
        <v>1308</v>
      </c>
      <c r="B1147" s="0" t="s">
        <v>197</v>
      </c>
      <c r="C1147" s="14" t="s">
        <v>5989</v>
      </c>
    </row>
    <row r="1148" customFormat="false" ht="28.35" hidden="false" customHeight="false" outlineLevel="0" collapsed="false">
      <c r="A1148" s="0" t="s">
        <v>911</v>
      </c>
      <c r="B1148" s="0" t="s">
        <v>197</v>
      </c>
      <c r="C1148" s="14" t="s">
        <v>5990</v>
      </c>
      <c r="D1148" s="14" t="s">
        <v>5991</v>
      </c>
    </row>
    <row r="1149" customFormat="false" ht="15" hidden="false" customHeight="false" outlineLevel="0" collapsed="false">
      <c r="A1149" s="0" t="s">
        <v>2349</v>
      </c>
      <c r="B1149" s="0" t="s">
        <v>197</v>
      </c>
      <c r="C1149" s="0" t="s">
        <v>5992</v>
      </c>
      <c r="E1149" s="0" t="s">
        <v>5993</v>
      </c>
    </row>
    <row r="1150" customFormat="false" ht="28.35" hidden="false" customHeight="false" outlineLevel="0" collapsed="false">
      <c r="A1150" s="0" t="s">
        <v>2260</v>
      </c>
      <c r="B1150" s="0" t="s">
        <v>197</v>
      </c>
      <c r="C1150" s="14" t="s">
        <v>5994</v>
      </c>
      <c r="D1150" s="14" t="s">
        <v>5995</v>
      </c>
      <c r="E1150" s="0" t="s">
        <v>5996</v>
      </c>
    </row>
    <row r="1151" customFormat="false" ht="68.65" hidden="false" customHeight="false" outlineLevel="0" collapsed="false">
      <c r="A1151" s="0" t="s">
        <v>1789</v>
      </c>
      <c r="B1151" s="0" t="s">
        <v>197</v>
      </c>
      <c r="C1151" s="14" t="s">
        <v>5997</v>
      </c>
      <c r="D1151" s="14" t="s">
        <v>5998</v>
      </c>
    </row>
    <row r="1152" customFormat="false" ht="68.65" hidden="false" customHeight="false" outlineLevel="0" collapsed="false">
      <c r="A1152" s="0" t="s">
        <v>2647</v>
      </c>
      <c r="B1152" s="0" t="s">
        <v>197</v>
      </c>
      <c r="C1152" s="14" t="s">
        <v>5999</v>
      </c>
      <c r="D1152" s="0" t="s">
        <v>2649</v>
      </c>
    </row>
    <row r="1153" customFormat="false" ht="28.35" hidden="false" customHeight="false" outlineLevel="0" collapsed="false">
      <c r="A1153" s="0" t="s">
        <v>2054</v>
      </c>
      <c r="B1153" s="0" t="s">
        <v>197</v>
      </c>
      <c r="C1153" s="14" t="s">
        <v>6000</v>
      </c>
      <c r="D1153" s="0" t="s">
        <v>2055</v>
      </c>
    </row>
    <row r="1154" customFormat="false" ht="82.05" hidden="false" customHeight="false" outlineLevel="0" collapsed="false">
      <c r="A1154" s="0" t="s">
        <v>1495</v>
      </c>
      <c r="B1154" s="0" t="s">
        <v>197</v>
      </c>
      <c r="C1154" s="14" t="s">
        <v>6001</v>
      </c>
      <c r="D1154" s="0" t="s">
        <v>1497</v>
      </c>
    </row>
    <row r="1155" customFormat="false" ht="189.55" hidden="false" customHeight="false" outlineLevel="0" collapsed="false">
      <c r="A1155" s="0" t="s">
        <v>1658</v>
      </c>
      <c r="B1155" s="0" t="s">
        <v>197</v>
      </c>
      <c r="C1155" s="14" t="s">
        <v>6002</v>
      </c>
      <c r="D1155" s="14" t="s">
        <v>6003</v>
      </c>
      <c r="E1155" s="14" t="s">
        <v>6004</v>
      </c>
    </row>
    <row r="1156" customFormat="false" ht="202.95" hidden="false" customHeight="false" outlineLevel="0" collapsed="false">
      <c r="A1156" s="0" t="s">
        <v>2369</v>
      </c>
      <c r="B1156" s="0" t="s">
        <v>197</v>
      </c>
      <c r="C1156" s="14" t="s">
        <v>6005</v>
      </c>
      <c r="D1156" s="14" t="s">
        <v>6006</v>
      </c>
      <c r="E1156" s="14" t="s">
        <v>6007</v>
      </c>
    </row>
    <row r="1157" customFormat="false" ht="28.35" hidden="false" customHeight="false" outlineLevel="0" collapsed="false">
      <c r="A1157" s="0" t="s">
        <v>1787</v>
      </c>
      <c r="B1157" s="0" t="s">
        <v>197</v>
      </c>
      <c r="C1157" s="14" t="s">
        <v>6008</v>
      </c>
      <c r="D1157" s="14" t="s">
        <v>6009</v>
      </c>
    </row>
    <row r="1158" customFormat="false" ht="28.35" hidden="false" customHeight="false" outlineLevel="0" collapsed="false">
      <c r="A1158" s="0" t="s">
        <v>2987</v>
      </c>
      <c r="B1158" s="0" t="s">
        <v>197</v>
      </c>
      <c r="C1158" s="14" t="s">
        <v>6010</v>
      </c>
      <c r="D1158" s="0" t="s">
        <v>2988</v>
      </c>
    </row>
    <row r="1159" customFormat="false" ht="68.65" hidden="false" customHeight="false" outlineLevel="0" collapsed="false">
      <c r="A1159" s="0" t="s">
        <v>2864</v>
      </c>
      <c r="B1159" s="0" t="s">
        <v>197</v>
      </c>
      <c r="C1159" s="14" t="s">
        <v>6011</v>
      </c>
      <c r="D1159" s="14" t="s">
        <v>6012</v>
      </c>
    </row>
    <row r="1160" customFormat="false" ht="28.35" hidden="false" customHeight="false" outlineLevel="0" collapsed="false">
      <c r="A1160" s="0" t="s">
        <v>2017</v>
      </c>
      <c r="B1160" s="0" t="s">
        <v>197</v>
      </c>
      <c r="C1160" s="14" t="s">
        <v>6013</v>
      </c>
      <c r="D1160" s="0" t="s">
        <v>2018</v>
      </c>
    </row>
    <row r="1161" customFormat="false" ht="41.75" hidden="false" customHeight="false" outlineLevel="0" collapsed="false">
      <c r="A1161" s="0" t="s">
        <v>2984</v>
      </c>
      <c r="B1161" s="0" t="s">
        <v>197</v>
      </c>
      <c r="C1161" s="14" t="s">
        <v>6014</v>
      </c>
    </row>
    <row r="1162" customFormat="false" ht="41.75" hidden="false" customHeight="false" outlineLevel="0" collapsed="false">
      <c r="A1162" s="0" t="s">
        <v>3099</v>
      </c>
      <c r="B1162" s="0" t="s">
        <v>197</v>
      </c>
      <c r="C1162" s="14" t="s">
        <v>6015</v>
      </c>
      <c r="D1162" s="0" t="s">
        <v>3100</v>
      </c>
    </row>
    <row r="1163" customFormat="false" ht="68.65" hidden="false" customHeight="false" outlineLevel="0" collapsed="false">
      <c r="A1163" s="0" t="s">
        <v>1563</v>
      </c>
      <c r="B1163" s="0" t="s">
        <v>197</v>
      </c>
      <c r="C1163" s="14" t="s">
        <v>6016</v>
      </c>
      <c r="D1163" s="0" t="s">
        <v>1565</v>
      </c>
      <c r="E1163" s="0" t="s">
        <v>6017</v>
      </c>
    </row>
    <row r="1164" customFormat="false" ht="68.65" hidden="false" customHeight="false" outlineLevel="0" collapsed="false">
      <c r="A1164" s="0" t="s">
        <v>3143</v>
      </c>
      <c r="B1164" s="0" t="s">
        <v>197</v>
      </c>
      <c r="C1164" s="0" t="s">
        <v>6018</v>
      </c>
      <c r="D1164" s="14" t="s">
        <v>6019</v>
      </c>
    </row>
    <row r="1165" customFormat="false" ht="28.35" hidden="false" customHeight="false" outlineLevel="0" collapsed="false">
      <c r="A1165" s="0" t="s">
        <v>2367</v>
      </c>
      <c r="B1165" s="0" t="s">
        <v>197</v>
      </c>
      <c r="C1165" s="0" t="s">
        <v>6020</v>
      </c>
      <c r="D1165" s="14" t="s">
        <v>6021</v>
      </c>
    </row>
    <row r="1166" customFormat="false" ht="149.25" hidden="false" customHeight="false" outlineLevel="0" collapsed="false">
      <c r="A1166" s="0" t="s">
        <v>1529</v>
      </c>
      <c r="B1166" s="0" t="s">
        <v>197</v>
      </c>
      <c r="C1166" s="14" t="s">
        <v>6022</v>
      </c>
      <c r="D1166" s="14" t="s">
        <v>6023</v>
      </c>
    </row>
    <row r="1167" customFormat="false" ht="28.35" hidden="false" customHeight="false" outlineLevel="0" collapsed="false">
      <c r="A1167" s="0" t="s">
        <v>2985</v>
      </c>
      <c r="B1167" s="0" t="s">
        <v>197</v>
      </c>
      <c r="C1167" s="0" t="s">
        <v>6024</v>
      </c>
      <c r="D1167" s="14" t="s">
        <v>6025</v>
      </c>
    </row>
    <row r="1168" customFormat="false" ht="122.35" hidden="false" customHeight="false" outlineLevel="0" collapsed="false">
      <c r="A1168" s="0" t="s">
        <v>3597</v>
      </c>
      <c r="B1168" s="0" t="s">
        <v>197</v>
      </c>
      <c r="C1168" s="14" t="s">
        <v>6026</v>
      </c>
      <c r="D1168" s="14" t="s">
        <v>6027</v>
      </c>
      <c r="E1168" s="0" t="s">
        <v>6028</v>
      </c>
    </row>
    <row r="1169" customFormat="false" ht="82.05" hidden="false" customHeight="false" outlineLevel="0" collapsed="false">
      <c r="A1169" s="0" t="s">
        <v>1863</v>
      </c>
      <c r="B1169" s="0" t="s">
        <v>197</v>
      </c>
      <c r="C1169" s="14" t="s">
        <v>6029</v>
      </c>
      <c r="D1169" s="14" t="s">
        <v>6030</v>
      </c>
    </row>
    <row r="1170" customFormat="false" ht="68.65" hidden="false" customHeight="false" outlineLevel="0" collapsed="false">
      <c r="A1170" s="0" t="s">
        <v>861</v>
      </c>
      <c r="B1170" s="0" t="s">
        <v>197</v>
      </c>
      <c r="C1170" s="14" t="s">
        <v>6031</v>
      </c>
      <c r="D1170" s="14" t="s">
        <v>6032</v>
      </c>
    </row>
    <row r="1171" customFormat="false" ht="176.1" hidden="false" customHeight="false" outlineLevel="0" collapsed="false">
      <c r="A1171" s="0" t="s">
        <v>2961</v>
      </c>
      <c r="B1171" s="0" t="s">
        <v>197</v>
      </c>
      <c r="C1171" s="14" t="s">
        <v>6033</v>
      </c>
      <c r="D1171" s="14" t="s">
        <v>6034</v>
      </c>
      <c r="E1171" s="0" t="s">
        <v>6035</v>
      </c>
    </row>
    <row r="1172" customFormat="false" ht="189.55" hidden="false" customHeight="false" outlineLevel="0" collapsed="false">
      <c r="A1172" s="0" t="s">
        <v>1721</v>
      </c>
      <c r="B1172" s="0" t="s">
        <v>197</v>
      </c>
      <c r="C1172" s="14" t="s">
        <v>6036</v>
      </c>
      <c r="D1172" s="0" t="s">
        <v>1724</v>
      </c>
    </row>
    <row r="1173" customFormat="false" ht="41.75" hidden="false" customHeight="false" outlineLevel="0" collapsed="false">
      <c r="A1173" s="0" t="s">
        <v>1593</v>
      </c>
      <c r="B1173" s="0" t="s">
        <v>197</v>
      </c>
      <c r="C1173" s="0" t="s">
        <v>6037</v>
      </c>
      <c r="D1173" s="14" t="s">
        <v>6038</v>
      </c>
    </row>
    <row r="1174" customFormat="false" ht="55.2" hidden="false" customHeight="false" outlineLevel="0" collapsed="false">
      <c r="A1174" s="0" t="s">
        <v>3075</v>
      </c>
      <c r="B1174" s="0" t="s">
        <v>197</v>
      </c>
      <c r="C1174" s="14" t="s">
        <v>6039</v>
      </c>
      <c r="D1174" s="14" t="s">
        <v>6040</v>
      </c>
    </row>
    <row r="1175" customFormat="false" ht="28.35" hidden="false" customHeight="false" outlineLevel="0" collapsed="false">
      <c r="A1175" s="0" t="s">
        <v>2136</v>
      </c>
      <c r="B1175" s="0" t="s">
        <v>197</v>
      </c>
      <c r="C1175" s="14" t="s">
        <v>6041</v>
      </c>
      <c r="D1175" s="14" t="s">
        <v>6042</v>
      </c>
    </row>
    <row r="1176" customFormat="false" ht="108.95" hidden="false" customHeight="false" outlineLevel="0" collapsed="false">
      <c r="A1176" s="0" t="s">
        <v>3601</v>
      </c>
      <c r="B1176" s="0" t="s">
        <v>197</v>
      </c>
      <c r="C1176" s="14" t="s">
        <v>6043</v>
      </c>
      <c r="D1176" s="14" t="s">
        <v>6044</v>
      </c>
      <c r="E1176" s="0" t="s">
        <v>6045</v>
      </c>
    </row>
    <row r="1177" customFormat="false" ht="41.75" hidden="false" customHeight="false" outlineLevel="0" collapsed="false">
      <c r="A1177" s="0" t="s">
        <v>1758</v>
      </c>
      <c r="B1177" s="0" t="s">
        <v>197</v>
      </c>
      <c r="C1177" s="14" t="s">
        <v>6046</v>
      </c>
      <c r="D1177" s="14" t="s">
        <v>6047</v>
      </c>
    </row>
    <row r="1178" customFormat="false" ht="41.75" hidden="false" customHeight="false" outlineLevel="0" collapsed="false">
      <c r="A1178" s="0" t="s">
        <v>1545</v>
      </c>
      <c r="B1178" s="0" t="s">
        <v>197</v>
      </c>
      <c r="C1178" s="14" t="s">
        <v>6048</v>
      </c>
      <c r="D1178" s="14" t="s">
        <v>6049</v>
      </c>
    </row>
    <row r="1179" customFormat="false" ht="68.65" hidden="false" customHeight="false" outlineLevel="0" collapsed="false">
      <c r="A1179" s="0" t="s">
        <v>1573</v>
      </c>
      <c r="B1179" s="0" t="s">
        <v>197</v>
      </c>
      <c r="C1179" s="14" t="s">
        <v>6050</v>
      </c>
      <c r="D1179" s="14" t="s">
        <v>6051</v>
      </c>
      <c r="E1179" s="14" t="s">
        <v>6052</v>
      </c>
    </row>
    <row r="1180" customFormat="false" ht="55.2" hidden="false" customHeight="false" outlineLevel="0" collapsed="false">
      <c r="A1180" s="0" t="s">
        <v>1991</v>
      </c>
      <c r="B1180" s="0" t="s">
        <v>197</v>
      </c>
      <c r="C1180" s="14" t="s">
        <v>6053</v>
      </c>
      <c r="D1180" s="14" t="s">
        <v>6054</v>
      </c>
    </row>
    <row r="1181" customFormat="false" ht="41.75" hidden="false" customHeight="false" outlineLevel="0" collapsed="false">
      <c r="A1181" s="0" t="s">
        <v>3514</v>
      </c>
      <c r="B1181" s="0" t="s">
        <v>197</v>
      </c>
      <c r="C1181" s="14" t="s">
        <v>6055</v>
      </c>
      <c r="D1181" s="14" t="s">
        <v>6056</v>
      </c>
    </row>
    <row r="1182" customFormat="false" ht="82.05" hidden="false" customHeight="false" outlineLevel="0" collapsed="false">
      <c r="A1182" s="0" t="s">
        <v>955</v>
      </c>
      <c r="B1182" s="0" t="s">
        <v>197</v>
      </c>
      <c r="C1182" s="14" t="s">
        <v>6057</v>
      </c>
      <c r="D1182" s="0" t="s">
        <v>956</v>
      </c>
    </row>
    <row r="1183" customFormat="false" ht="485.05" hidden="false" customHeight="false" outlineLevel="0" collapsed="false">
      <c r="A1183" s="0" t="s">
        <v>508</v>
      </c>
      <c r="B1183" s="0" t="s">
        <v>197</v>
      </c>
      <c r="C1183" s="14" t="s">
        <v>6058</v>
      </c>
      <c r="D1183" s="0" t="s">
        <v>511</v>
      </c>
      <c r="E1183" s="0" t="s">
        <v>6059</v>
      </c>
    </row>
    <row r="1184" customFormat="false" ht="68.65" hidden="false" customHeight="false" outlineLevel="0" collapsed="false">
      <c r="A1184" s="0" t="s">
        <v>2196</v>
      </c>
      <c r="B1184" s="0" t="s">
        <v>197</v>
      </c>
      <c r="C1184" s="14" t="s">
        <v>5967</v>
      </c>
      <c r="E1184" s="0" t="s">
        <v>6060</v>
      </c>
    </row>
    <row r="1185" customFormat="false" ht="95.5" hidden="false" customHeight="false" outlineLevel="0" collapsed="false">
      <c r="A1185" s="0" t="s">
        <v>1633</v>
      </c>
      <c r="B1185" s="0" t="s">
        <v>197</v>
      </c>
      <c r="C1185" s="14" t="s">
        <v>6061</v>
      </c>
      <c r="D1185" s="0" t="s">
        <v>1634</v>
      </c>
    </row>
    <row r="1186" customFormat="false" ht="28.35" hidden="false" customHeight="false" outlineLevel="0" collapsed="false">
      <c r="A1186" s="0" t="s">
        <v>1820</v>
      </c>
      <c r="B1186" s="0" t="s">
        <v>197</v>
      </c>
      <c r="C1186" s="14" t="s">
        <v>6062</v>
      </c>
      <c r="D1186" s="14" t="s">
        <v>6063</v>
      </c>
    </row>
    <row r="1187" customFormat="false" ht="68.65" hidden="false" customHeight="false" outlineLevel="0" collapsed="false">
      <c r="A1187" s="0" t="s">
        <v>1646</v>
      </c>
      <c r="B1187" s="0" t="s">
        <v>197</v>
      </c>
      <c r="C1187" s="14" t="s">
        <v>6064</v>
      </c>
      <c r="D1187" s="14" t="s">
        <v>6065</v>
      </c>
    </row>
    <row r="1188" customFormat="false" ht="122.35" hidden="false" customHeight="false" outlineLevel="0" collapsed="false">
      <c r="A1188" s="0" t="s">
        <v>1363</v>
      </c>
      <c r="B1188" s="0" t="s">
        <v>197</v>
      </c>
      <c r="C1188" s="14" t="s">
        <v>6066</v>
      </c>
      <c r="D1188" s="14" t="s">
        <v>6067</v>
      </c>
    </row>
    <row r="1189" customFormat="false" ht="189.55" hidden="false" customHeight="false" outlineLevel="0" collapsed="false">
      <c r="A1189" s="0" t="s">
        <v>2086</v>
      </c>
      <c r="B1189" s="0" t="s">
        <v>197</v>
      </c>
      <c r="C1189" s="14" t="s">
        <v>6068</v>
      </c>
      <c r="D1189" s="0" t="s">
        <v>2089</v>
      </c>
    </row>
    <row r="1190" customFormat="false" ht="337.3" hidden="false" customHeight="false" outlineLevel="0" collapsed="false">
      <c r="A1190" s="0" t="s">
        <v>2056</v>
      </c>
      <c r="B1190" s="0" t="s">
        <v>197</v>
      </c>
      <c r="C1190" s="14" t="s">
        <v>6069</v>
      </c>
      <c r="D1190" s="0" t="s">
        <v>2057</v>
      </c>
    </row>
    <row r="1191" customFormat="false" ht="135.8" hidden="false" customHeight="false" outlineLevel="0" collapsed="false">
      <c r="A1191" s="0" t="s">
        <v>1367</v>
      </c>
      <c r="B1191" s="0" t="s">
        <v>197</v>
      </c>
      <c r="C1191" s="14" t="s">
        <v>6070</v>
      </c>
      <c r="D1191" s="14" t="s">
        <v>6071</v>
      </c>
      <c r="E1191" s="0" t="s">
        <v>6072</v>
      </c>
    </row>
    <row r="1192" customFormat="false" ht="82.05" hidden="false" customHeight="false" outlineLevel="0" collapsed="false">
      <c r="A1192" s="0" t="s">
        <v>1331</v>
      </c>
      <c r="B1192" s="0" t="s">
        <v>197</v>
      </c>
      <c r="C1192" s="14" t="s">
        <v>5898</v>
      </c>
      <c r="E1192" s="0" t="s">
        <v>6073</v>
      </c>
    </row>
    <row r="1193" customFormat="false" ht="82.05" hidden="false" customHeight="false" outlineLevel="0" collapsed="false">
      <c r="A1193" s="0" t="s">
        <v>1325</v>
      </c>
      <c r="B1193" s="0" t="s">
        <v>197</v>
      </c>
      <c r="C1193" s="14" t="s">
        <v>6074</v>
      </c>
      <c r="D1193" s="14" t="s">
        <v>6075</v>
      </c>
    </row>
    <row r="1194" customFormat="false" ht="41.75" hidden="false" customHeight="false" outlineLevel="0" collapsed="false">
      <c r="A1194" s="0" t="s">
        <v>1095</v>
      </c>
      <c r="B1194" s="0" t="s">
        <v>197</v>
      </c>
      <c r="C1194" s="14" t="s">
        <v>6076</v>
      </c>
      <c r="D1194" s="14" t="s">
        <v>6077</v>
      </c>
    </row>
    <row r="1195" customFormat="false" ht="55.2" hidden="false" customHeight="false" outlineLevel="0" collapsed="false">
      <c r="A1195" s="0" t="s">
        <v>1857</v>
      </c>
      <c r="B1195" s="0" t="s">
        <v>197</v>
      </c>
      <c r="C1195" s="14" t="s">
        <v>6078</v>
      </c>
      <c r="D1195" s="14" t="s">
        <v>6079</v>
      </c>
    </row>
    <row r="1196" customFormat="false" ht="108.95" hidden="false" customHeight="false" outlineLevel="0" collapsed="false">
      <c r="A1196" s="0" t="s">
        <v>3128</v>
      </c>
      <c r="B1196" s="0" t="s">
        <v>197</v>
      </c>
      <c r="C1196" s="14" t="s">
        <v>6080</v>
      </c>
      <c r="D1196" s="0" t="s">
        <v>3129</v>
      </c>
    </row>
    <row r="1197" customFormat="false" ht="82.05" hidden="false" customHeight="false" outlineLevel="0" collapsed="false">
      <c r="A1197" s="0" t="s">
        <v>3147</v>
      </c>
      <c r="B1197" s="0" t="s">
        <v>197</v>
      </c>
      <c r="C1197" s="14" t="s">
        <v>6081</v>
      </c>
    </row>
    <row r="1198" customFormat="false" ht="135.8" hidden="false" customHeight="false" outlineLevel="0" collapsed="false">
      <c r="A1198" s="0" t="s">
        <v>2296</v>
      </c>
      <c r="B1198" s="0" t="s">
        <v>197</v>
      </c>
      <c r="C1198" s="14" t="s">
        <v>6082</v>
      </c>
    </row>
    <row r="1199" customFormat="false" ht="15" hidden="false" customHeight="false" outlineLevel="0" collapsed="false">
      <c r="A1199" s="0" t="s">
        <v>1763</v>
      </c>
      <c r="B1199" s="0" t="s">
        <v>197</v>
      </c>
      <c r="C1199" s="0" t="s">
        <v>6083</v>
      </c>
    </row>
    <row r="1200" customFormat="false" ht="15" hidden="false" customHeight="false" outlineLevel="0" collapsed="false">
      <c r="A1200" s="0" t="s">
        <v>1719</v>
      </c>
      <c r="B1200" s="0" t="s">
        <v>197</v>
      </c>
      <c r="C1200" s="0" t="s">
        <v>6084</v>
      </c>
      <c r="D1200" s="0" t="s">
        <v>1720</v>
      </c>
    </row>
    <row r="1201" customFormat="false" ht="135.8" hidden="false" customHeight="false" outlineLevel="0" collapsed="false">
      <c r="A1201" s="0" t="s">
        <v>1610</v>
      </c>
      <c r="B1201" s="0" t="s">
        <v>197</v>
      </c>
      <c r="C1201" s="14" t="s">
        <v>6085</v>
      </c>
      <c r="D1201" s="14" t="s">
        <v>6086</v>
      </c>
    </row>
    <row r="1202" customFormat="false" ht="162.65" hidden="false" customHeight="false" outlineLevel="0" collapsed="false">
      <c r="A1202" s="0" t="s">
        <v>1535</v>
      </c>
      <c r="B1202" s="0" t="s">
        <v>197</v>
      </c>
      <c r="C1202" s="14" t="s">
        <v>6087</v>
      </c>
      <c r="D1202" s="0" t="s">
        <v>1537</v>
      </c>
      <c r="E1202" s="0" t="s">
        <v>6088</v>
      </c>
    </row>
    <row r="1203" customFormat="false" ht="162.65" hidden="false" customHeight="false" outlineLevel="0" collapsed="false">
      <c r="A1203" s="0" t="s">
        <v>2082</v>
      </c>
      <c r="B1203" s="0" t="s">
        <v>197</v>
      </c>
      <c r="C1203" s="14" t="s">
        <v>6087</v>
      </c>
      <c r="D1203" s="0" t="s">
        <v>2083</v>
      </c>
      <c r="E1203" s="0" t="s">
        <v>6089</v>
      </c>
    </row>
    <row r="1204" customFormat="false" ht="122.35" hidden="false" customHeight="false" outlineLevel="0" collapsed="false">
      <c r="A1204" s="0" t="s">
        <v>2645</v>
      </c>
      <c r="B1204" s="0" t="s">
        <v>197</v>
      </c>
      <c r="C1204" s="14" t="s">
        <v>6090</v>
      </c>
      <c r="D1204" s="0" t="s">
        <v>2646</v>
      </c>
    </row>
    <row r="1205" customFormat="false" ht="68.65" hidden="false" customHeight="false" outlineLevel="0" collapsed="false">
      <c r="A1205" s="0" t="s">
        <v>2504</v>
      </c>
      <c r="B1205" s="0" t="s">
        <v>197</v>
      </c>
      <c r="C1205" s="14" t="s">
        <v>6091</v>
      </c>
      <c r="D1205" s="14" t="s">
        <v>6092</v>
      </c>
    </row>
    <row r="1206" customFormat="false" ht="68.65" hidden="false" customHeight="false" outlineLevel="0" collapsed="false">
      <c r="A1206" s="0" t="s">
        <v>724</v>
      </c>
      <c r="B1206" s="0" t="s">
        <v>197</v>
      </c>
      <c r="C1206" s="14" t="s">
        <v>6093</v>
      </c>
      <c r="D1206" s="0" t="s">
        <v>726</v>
      </c>
    </row>
    <row r="1207" customFormat="false" ht="55.2" hidden="false" customHeight="false" outlineLevel="0" collapsed="false">
      <c r="A1207" s="0" t="s">
        <v>3037</v>
      </c>
      <c r="B1207" s="0" t="s">
        <v>197</v>
      </c>
      <c r="C1207" s="14" t="s">
        <v>6094</v>
      </c>
      <c r="D1207" s="0" t="s">
        <v>3038</v>
      </c>
      <c r="E1207" s="0" t="s">
        <v>5874</v>
      </c>
    </row>
    <row r="1208" customFormat="false" ht="28.35" hidden="false" customHeight="false" outlineLevel="0" collapsed="false">
      <c r="A1208" s="0" t="s">
        <v>2771</v>
      </c>
      <c r="B1208" s="0" t="s">
        <v>197</v>
      </c>
      <c r="C1208" s="14" t="s">
        <v>6095</v>
      </c>
      <c r="D1208" s="0" t="s">
        <v>2772</v>
      </c>
    </row>
    <row r="1209" customFormat="false" ht="15" hidden="false" customHeight="false" outlineLevel="0" collapsed="false">
      <c r="A1209" s="0" t="s">
        <v>3307</v>
      </c>
      <c r="B1209" s="0" t="s">
        <v>197</v>
      </c>
      <c r="C1209" s="0" t="s">
        <v>6096</v>
      </c>
      <c r="D1209" s="0" t="s">
        <v>3308</v>
      </c>
    </row>
    <row r="1210" customFormat="false" ht="216.4" hidden="false" customHeight="false" outlineLevel="0" collapsed="false">
      <c r="A1210" s="0" t="s">
        <v>3344</v>
      </c>
      <c r="B1210" s="0" t="s">
        <v>197</v>
      </c>
      <c r="C1210" s="14" t="s">
        <v>6097</v>
      </c>
      <c r="D1210" s="0" t="s">
        <v>3346</v>
      </c>
      <c r="E1210" s="0" t="s">
        <v>6098</v>
      </c>
    </row>
    <row r="1211" customFormat="false" ht="122.35" hidden="false" customHeight="false" outlineLevel="0" collapsed="false">
      <c r="A1211" s="0" t="s">
        <v>1494</v>
      </c>
      <c r="B1211" s="0" t="s">
        <v>197</v>
      </c>
      <c r="C1211" s="14" t="s">
        <v>6099</v>
      </c>
    </row>
    <row r="1212" customFormat="false" ht="28.35" hidden="false" customHeight="false" outlineLevel="0" collapsed="false">
      <c r="A1212" s="0" t="s">
        <v>840</v>
      </c>
      <c r="B1212" s="0" t="s">
        <v>197</v>
      </c>
      <c r="C1212" s="14" t="s">
        <v>6100</v>
      </c>
      <c r="D1212" s="14" t="s">
        <v>6101</v>
      </c>
    </row>
    <row r="1213" customFormat="false" ht="55.2" hidden="false" customHeight="false" outlineLevel="0" collapsed="false">
      <c r="A1213" s="0" t="s">
        <v>2221</v>
      </c>
      <c r="B1213" s="0" t="s">
        <v>197</v>
      </c>
      <c r="C1213" s="14" t="s">
        <v>6102</v>
      </c>
      <c r="D1213" s="14" t="s">
        <v>6103</v>
      </c>
    </row>
    <row r="1214" customFormat="false" ht="68.65" hidden="false" customHeight="false" outlineLevel="0" collapsed="false">
      <c r="A1214" s="0" t="s">
        <v>2945</v>
      </c>
      <c r="B1214" s="0" t="s">
        <v>197</v>
      </c>
      <c r="C1214" s="14" t="s">
        <v>6104</v>
      </c>
      <c r="D1214" s="0" t="s">
        <v>2946</v>
      </c>
    </row>
    <row r="1215" customFormat="false" ht="55.2" hidden="false" customHeight="false" outlineLevel="0" collapsed="false">
      <c r="A1215" s="0" t="s">
        <v>2665</v>
      </c>
      <c r="B1215" s="0" t="s">
        <v>197</v>
      </c>
      <c r="C1215" s="14" t="s">
        <v>6105</v>
      </c>
      <c r="D1215" s="14" t="s">
        <v>6106</v>
      </c>
      <c r="E1215" s="0" t="s">
        <v>6107</v>
      </c>
    </row>
    <row r="1216" customFormat="false" ht="847" hidden="false" customHeight="false" outlineLevel="0" collapsed="false">
      <c r="A1216" s="0" t="s">
        <v>1458</v>
      </c>
      <c r="B1216" s="0" t="s">
        <v>197</v>
      </c>
      <c r="C1216" s="14" t="s">
        <v>6108</v>
      </c>
      <c r="D1216" s="0" t="s">
        <v>1459</v>
      </c>
    </row>
    <row r="1217" customFormat="false" ht="28.35" hidden="false" customHeight="false" outlineLevel="0" collapsed="false">
      <c r="A1217" s="0" t="s">
        <v>2993</v>
      </c>
      <c r="B1217" s="0" t="s">
        <v>197</v>
      </c>
      <c r="C1217" s="14" t="s">
        <v>6109</v>
      </c>
      <c r="D1217" s="0" t="s">
        <v>2994</v>
      </c>
    </row>
    <row r="1218" customFormat="false" ht="135.8" hidden="false" customHeight="false" outlineLevel="0" collapsed="false">
      <c r="A1218" s="0" t="s">
        <v>1203</v>
      </c>
      <c r="B1218" s="0" t="s">
        <v>197</v>
      </c>
      <c r="C1218" s="14" t="s">
        <v>6110</v>
      </c>
      <c r="D1218" s="14" t="s">
        <v>6111</v>
      </c>
    </row>
    <row r="1219" customFormat="false" ht="28.35" hidden="false" customHeight="false" outlineLevel="0" collapsed="false">
      <c r="A1219" s="0" t="s">
        <v>3093</v>
      </c>
      <c r="B1219" s="0" t="s">
        <v>197</v>
      </c>
      <c r="C1219" s="14" t="s">
        <v>6112</v>
      </c>
      <c r="D1219" s="14" t="s">
        <v>6113</v>
      </c>
    </row>
    <row r="1220" customFormat="false" ht="873.85" hidden="false" customHeight="false" outlineLevel="0" collapsed="false">
      <c r="A1220" s="0" t="s">
        <v>1258</v>
      </c>
      <c r="B1220" s="0" t="s">
        <v>197</v>
      </c>
      <c r="C1220" s="14" t="s">
        <v>6114</v>
      </c>
      <c r="D1220" s="14" t="s">
        <v>6115</v>
      </c>
    </row>
    <row r="1221" customFormat="false" ht="122.35" hidden="false" customHeight="false" outlineLevel="0" collapsed="false">
      <c r="A1221" s="0" t="s">
        <v>867</v>
      </c>
      <c r="B1221" s="0" t="s">
        <v>197</v>
      </c>
      <c r="C1221" s="14" t="s">
        <v>6116</v>
      </c>
    </row>
    <row r="1222" customFormat="false" ht="68.65" hidden="false" customHeight="false" outlineLevel="0" collapsed="false">
      <c r="A1222" s="0" t="s">
        <v>2497</v>
      </c>
      <c r="B1222" s="0" t="s">
        <v>197</v>
      </c>
      <c r="C1222" s="14" t="s">
        <v>6117</v>
      </c>
    </row>
    <row r="1223" customFormat="false" ht="41.75" hidden="false" customHeight="false" outlineLevel="0" collapsed="false">
      <c r="A1223" s="0" t="s">
        <v>1119</v>
      </c>
      <c r="B1223" s="0" t="s">
        <v>197</v>
      </c>
      <c r="C1223" s="14" t="s">
        <v>6118</v>
      </c>
      <c r="D1223" s="14" t="s">
        <v>6119</v>
      </c>
    </row>
    <row r="1224" customFormat="false" ht="162.65" hidden="false" customHeight="false" outlineLevel="0" collapsed="false">
      <c r="A1224" s="0" t="s">
        <v>3261</v>
      </c>
      <c r="B1224" s="0" t="s">
        <v>197</v>
      </c>
      <c r="C1224" s="14" t="s">
        <v>6120</v>
      </c>
      <c r="D1224" s="0" t="s">
        <v>3262</v>
      </c>
    </row>
    <row r="1225" customFormat="false" ht="28.35" hidden="false" customHeight="false" outlineLevel="0" collapsed="false">
      <c r="A1225" s="0" t="s">
        <v>3258</v>
      </c>
      <c r="B1225" s="0" t="s">
        <v>197</v>
      </c>
      <c r="C1225" s="14" t="s">
        <v>6121</v>
      </c>
      <c r="E1225" s="0" t="s">
        <v>6122</v>
      </c>
    </row>
    <row r="1226" customFormat="false" ht="15" hidden="false" customHeight="false" outlineLevel="0" collapsed="false">
      <c r="A1226" s="0" t="s">
        <v>1870</v>
      </c>
      <c r="B1226" s="0" t="s">
        <v>197</v>
      </c>
      <c r="C1226" s="0" t="s">
        <v>6123</v>
      </c>
      <c r="D1226" s="0" t="s">
        <v>1871</v>
      </c>
      <c r="E1226" s="0" t="s">
        <v>6124</v>
      </c>
    </row>
    <row r="1227" customFormat="false" ht="15" hidden="false" customHeight="false" outlineLevel="0" collapsed="false">
      <c r="A1227" s="0" t="s">
        <v>2966</v>
      </c>
      <c r="B1227" s="0" t="s">
        <v>197</v>
      </c>
      <c r="C1227" s="0" t="s">
        <v>6125</v>
      </c>
      <c r="D1227" s="0" t="s">
        <v>2967</v>
      </c>
    </row>
    <row r="1228" customFormat="false" ht="108.95" hidden="false" customHeight="false" outlineLevel="0" collapsed="false">
      <c r="A1228" s="0" t="s">
        <v>2609</v>
      </c>
      <c r="B1228" s="0" t="s">
        <v>197</v>
      </c>
      <c r="C1228" s="14" t="s">
        <v>6126</v>
      </c>
      <c r="D1228" s="0" t="s">
        <v>2611</v>
      </c>
    </row>
    <row r="1229" customFormat="false" ht="149.25" hidden="false" customHeight="false" outlineLevel="0" collapsed="false">
      <c r="A1229" s="0" t="s">
        <v>2708</v>
      </c>
      <c r="B1229" s="0" t="s">
        <v>197</v>
      </c>
      <c r="C1229" s="14" t="s">
        <v>6127</v>
      </c>
      <c r="D1229" s="0" t="s">
        <v>2709</v>
      </c>
    </row>
    <row r="1230" customFormat="false" ht="579.1" hidden="false" customHeight="false" outlineLevel="0" collapsed="false">
      <c r="A1230" s="0" t="s">
        <v>2104</v>
      </c>
      <c r="B1230" s="0" t="s">
        <v>197</v>
      </c>
      <c r="C1230" s="14" t="s">
        <v>6128</v>
      </c>
      <c r="D1230" s="0" t="s">
        <v>2105</v>
      </c>
    </row>
    <row r="1231" customFormat="false" ht="82.05" hidden="false" customHeight="false" outlineLevel="0" collapsed="false">
      <c r="A1231" s="0" t="s">
        <v>1477</v>
      </c>
      <c r="B1231" s="0" t="s">
        <v>197</v>
      </c>
      <c r="C1231" s="0" t="s">
        <v>4549</v>
      </c>
      <c r="D1231" s="14" t="s">
        <v>6129</v>
      </c>
    </row>
    <row r="1232" customFormat="false" ht="28.35" hidden="false" customHeight="false" outlineLevel="0" collapsed="false">
      <c r="A1232" s="0" t="s">
        <v>2686</v>
      </c>
      <c r="B1232" s="0" t="s">
        <v>197</v>
      </c>
      <c r="C1232" s="14" t="s">
        <v>6130</v>
      </c>
      <c r="D1232" s="14" t="s">
        <v>6131</v>
      </c>
    </row>
    <row r="1233" customFormat="false" ht="68.65" hidden="false" customHeight="false" outlineLevel="0" collapsed="false">
      <c r="A1233" s="0" t="s">
        <v>813</v>
      </c>
      <c r="B1233" s="0" t="s">
        <v>197</v>
      </c>
      <c r="C1233" s="14" t="s">
        <v>6132</v>
      </c>
      <c r="D1233" s="14" t="s">
        <v>6133</v>
      </c>
      <c r="E1233" s="0" t="s">
        <v>6134</v>
      </c>
    </row>
    <row r="1234" customFormat="false" ht="41.75" hidden="false" customHeight="false" outlineLevel="0" collapsed="false">
      <c r="A1234" s="0" t="s">
        <v>1460</v>
      </c>
      <c r="B1234" s="0" t="s">
        <v>197</v>
      </c>
      <c r="C1234" s="14" t="s">
        <v>6135</v>
      </c>
    </row>
    <row r="1235" customFormat="false" ht="41.75" hidden="false" customHeight="false" outlineLevel="0" collapsed="false">
      <c r="A1235" s="0" t="s">
        <v>2044</v>
      </c>
      <c r="B1235" s="0" t="s">
        <v>197</v>
      </c>
      <c r="C1235" s="14" t="s">
        <v>6136</v>
      </c>
      <c r="D1235" s="0" t="s">
        <v>2045</v>
      </c>
    </row>
    <row r="1236" customFormat="false" ht="41.75" hidden="false" customHeight="false" outlineLevel="0" collapsed="false">
      <c r="A1236" s="0" t="s">
        <v>2750</v>
      </c>
      <c r="B1236" s="0" t="s">
        <v>197</v>
      </c>
      <c r="C1236" s="14" t="s">
        <v>4723</v>
      </c>
      <c r="D1236" s="0" t="s">
        <v>2751</v>
      </c>
    </row>
    <row r="1237" customFormat="false" ht="176.1" hidden="false" customHeight="false" outlineLevel="0" collapsed="false">
      <c r="A1237" s="0" t="s">
        <v>3377</v>
      </c>
      <c r="B1237" s="0" t="s">
        <v>197</v>
      </c>
      <c r="C1237" s="14" t="s">
        <v>6137</v>
      </c>
      <c r="D1237" s="14" t="s">
        <v>6138</v>
      </c>
      <c r="E1237" s="0" t="s">
        <v>6139</v>
      </c>
    </row>
    <row r="1238" customFormat="false" ht="68.65" hidden="false" customHeight="false" outlineLevel="0" collapsed="false">
      <c r="A1238" s="0" t="s">
        <v>1053</v>
      </c>
      <c r="B1238" s="0" t="s">
        <v>197</v>
      </c>
      <c r="C1238" s="14" t="s">
        <v>6140</v>
      </c>
      <c r="D1238" s="14" t="s">
        <v>6141</v>
      </c>
    </row>
    <row r="1239" customFormat="false" ht="95.5" hidden="false" customHeight="false" outlineLevel="0" collapsed="false">
      <c r="A1239" s="0" t="s">
        <v>1341</v>
      </c>
      <c r="B1239" s="0" t="s">
        <v>197</v>
      </c>
      <c r="C1239" s="14" t="s">
        <v>6142</v>
      </c>
      <c r="D1239" s="14" t="s">
        <v>6143</v>
      </c>
    </row>
    <row r="1240" customFormat="false" ht="15" hidden="false" customHeight="false" outlineLevel="0" collapsed="false">
      <c r="A1240" s="0" t="s">
        <v>1440</v>
      </c>
      <c r="B1240" s="0" t="s">
        <v>197</v>
      </c>
      <c r="C1240" s="0" t="s">
        <v>6144</v>
      </c>
    </row>
    <row r="1241" customFormat="false" ht="55.2" hidden="false" customHeight="false" outlineLevel="0" collapsed="false">
      <c r="A1241" s="0" t="s">
        <v>2795</v>
      </c>
      <c r="B1241" s="0" t="s">
        <v>197</v>
      </c>
      <c r="C1241" s="14" t="s">
        <v>6145</v>
      </c>
      <c r="D1241" s="0" t="s">
        <v>2796</v>
      </c>
      <c r="E1241" s="0" t="s">
        <v>6146</v>
      </c>
    </row>
    <row r="1242" customFormat="false" ht="55.2" hidden="false" customHeight="false" outlineLevel="0" collapsed="false">
      <c r="A1242" s="0" t="s">
        <v>2518</v>
      </c>
      <c r="B1242" s="0" t="s">
        <v>197</v>
      </c>
      <c r="C1242" s="14" t="s">
        <v>6145</v>
      </c>
      <c r="E1242" s="14" t="s">
        <v>6147</v>
      </c>
    </row>
    <row r="1243" customFormat="false" ht="41.75" hidden="false" customHeight="false" outlineLevel="0" collapsed="false">
      <c r="A1243" s="0" t="s">
        <v>2441</v>
      </c>
      <c r="B1243" s="0" t="s">
        <v>197</v>
      </c>
      <c r="C1243" s="14" t="s">
        <v>6148</v>
      </c>
      <c r="D1243" s="0" t="s">
        <v>2442</v>
      </c>
    </row>
    <row r="1244" customFormat="false" ht="28.35" hidden="false" customHeight="false" outlineLevel="0" collapsed="false">
      <c r="A1244" s="0" t="s">
        <v>3577</v>
      </c>
      <c r="B1244" s="0" t="s">
        <v>197</v>
      </c>
      <c r="C1244" s="14" t="s">
        <v>6149</v>
      </c>
    </row>
    <row r="1245" customFormat="false" ht="28.35" hidden="false" customHeight="false" outlineLevel="0" collapsed="false">
      <c r="A1245" s="0" t="s">
        <v>3039</v>
      </c>
      <c r="B1245" s="0" t="s">
        <v>197</v>
      </c>
      <c r="C1245" s="14" t="s">
        <v>6150</v>
      </c>
      <c r="D1245" s="0" t="s">
        <v>3040</v>
      </c>
    </row>
    <row r="1246" customFormat="false" ht="55.2" hidden="false" customHeight="false" outlineLevel="0" collapsed="false">
      <c r="A1246" s="0" t="s">
        <v>1911</v>
      </c>
      <c r="B1246" s="0" t="s">
        <v>197</v>
      </c>
      <c r="C1246" s="14" t="s">
        <v>6151</v>
      </c>
      <c r="D1246" s="14" t="s">
        <v>6152</v>
      </c>
    </row>
    <row r="1247" customFormat="false" ht="189.55" hidden="false" customHeight="false" outlineLevel="0" collapsed="false">
      <c r="A1247" s="0" t="s">
        <v>2662</v>
      </c>
      <c r="B1247" s="0" t="s">
        <v>197</v>
      </c>
      <c r="C1247" s="14" t="s">
        <v>6153</v>
      </c>
    </row>
    <row r="1248" customFormat="false" ht="55.2" hidden="false" customHeight="false" outlineLevel="0" collapsed="false">
      <c r="A1248" s="0" t="s">
        <v>1989</v>
      </c>
      <c r="B1248" s="0" t="s">
        <v>197</v>
      </c>
      <c r="C1248" s="14" t="s">
        <v>6154</v>
      </c>
      <c r="D1248" s="0" t="s">
        <v>1990</v>
      </c>
    </row>
    <row r="1249" customFormat="false" ht="15" hidden="false" customHeight="false" outlineLevel="0" collapsed="false">
      <c r="A1249" s="0" t="s">
        <v>2921</v>
      </c>
      <c r="B1249" s="0" t="s">
        <v>197</v>
      </c>
      <c r="C1249" s="0" t="s">
        <v>6155</v>
      </c>
      <c r="D1249" s="0" t="s">
        <v>2922</v>
      </c>
    </row>
    <row r="1250" customFormat="false" ht="189.55" hidden="false" customHeight="false" outlineLevel="0" collapsed="false">
      <c r="A1250" s="0" t="s">
        <v>719</v>
      </c>
      <c r="B1250" s="0" t="s">
        <v>197</v>
      </c>
      <c r="C1250" s="14" t="s">
        <v>6156</v>
      </c>
    </row>
    <row r="1251" customFormat="false" ht="122.35" hidden="false" customHeight="false" outlineLevel="0" collapsed="false">
      <c r="A1251" s="0" t="s">
        <v>3488</v>
      </c>
      <c r="B1251" s="0" t="s">
        <v>197</v>
      </c>
      <c r="C1251" s="14" t="s">
        <v>6157</v>
      </c>
      <c r="E1251" s="0" t="s">
        <v>6158</v>
      </c>
    </row>
    <row r="1252" customFormat="false" ht="15" hidden="false" customHeight="false" outlineLevel="0" collapsed="false">
      <c r="A1252" s="0" t="s">
        <v>2127</v>
      </c>
      <c r="B1252" s="0" t="s">
        <v>197</v>
      </c>
      <c r="C1252" s="0" t="s">
        <v>5512</v>
      </c>
      <c r="D1252" s="0" t="s">
        <v>2128</v>
      </c>
      <c r="E1252" s="0" t="s">
        <v>6072</v>
      </c>
    </row>
    <row r="1253" customFormat="false" ht="28.35" hidden="false" customHeight="false" outlineLevel="0" collapsed="false">
      <c r="A1253" s="0" t="s">
        <v>2667</v>
      </c>
      <c r="B1253" s="0" t="s">
        <v>197</v>
      </c>
      <c r="C1253" s="14" t="s">
        <v>6159</v>
      </c>
      <c r="D1253" s="0" t="s">
        <v>2668</v>
      </c>
    </row>
    <row r="1254" customFormat="false" ht="68.65" hidden="false" customHeight="false" outlineLevel="0" collapsed="false">
      <c r="A1254" s="0" t="s">
        <v>1250</v>
      </c>
      <c r="B1254" s="0" t="s">
        <v>197</v>
      </c>
      <c r="C1254" s="14" t="s">
        <v>6160</v>
      </c>
    </row>
    <row r="1255" customFormat="false" ht="135.8" hidden="false" customHeight="false" outlineLevel="0" collapsed="false">
      <c r="A1255" s="0" t="s">
        <v>2477</v>
      </c>
      <c r="B1255" s="0" t="s">
        <v>197</v>
      </c>
      <c r="C1255" s="14" t="s">
        <v>6161</v>
      </c>
      <c r="D1255" s="0" t="s">
        <v>2478</v>
      </c>
      <c r="E1255" s="0" t="s">
        <v>6162</v>
      </c>
    </row>
    <row r="1256" customFormat="false" ht="28.35" hidden="false" customHeight="false" outlineLevel="0" collapsed="false">
      <c r="A1256" s="0" t="s">
        <v>2271</v>
      </c>
      <c r="B1256" s="0" t="s">
        <v>197</v>
      </c>
      <c r="C1256" s="14" t="s">
        <v>6163</v>
      </c>
      <c r="D1256" s="0" t="s">
        <v>2272</v>
      </c>
    </row>
    <row r="1257" customFormat="false" ht="28.35" hidden="false" customHeight="false" outlineLevel="0" collapsed="false">
      <c r="A1257" s="0" t="s">
        <v>1916</v>
      </c>
      <c r="B1257" s="0" t="s">
        <v>197</v>
      </c>
      <c r="C1257" s="14" t="s">
        <v>6164</v>
      </c>
      <c r="D1257" s="14" t="s">
        <v>6165</v>
      </c>
    </row>
    <row r="1258" customFormat="false" ht="28.35" hidden="false" customHeight="false" outlineLevel="0" collapsed="false">
      <c r="A1258" s="0" t="s">
        <v>2773</v>
      </c>
      <c r="B1258" s="0" t="s">
        <v>197</v>
      </c>
      <c r="C1258" s="14" t="s">
        <v>6166</v>
      </c>
      <c r="D1258" s="0" t="s">
        <v>2774</v>
      </c>
    </row>
    <row r="1259" customFormat="false" ht="270.1" hidden="false" customHeight="false" outlineLevel="0" collapsed="false">
      <c r="A1259" s="0" t="s">
        <v>2364</v>
      </c>
      <c r="B1259" s="0" t="s">
        <v>197</v>
      </c>
      <c r="C1259" s="14" t="s">
        <v>6167</v>
      </c>
      <c r="D1259" s="14" t="s">
        <v>6168</v>
      </c>
    </row>
    <row r="1260" customFormat="false" ht="15" hidden="false" customHeight="false" outlineLevel="0" collapsed="false">
      <c r="A1260" s="0" t="s">
        <v>3072</v>
      </c>
      <c r="B1260" s="0" t="s">
        <v>197</v>
      </c>
      <c r="C1260" s="0" t="s">
        <v>6169</v>
      </c>
    </row>
    <row r="1261" customFormat="false" ht="15" hidden="false" customHeight="false" outlineLevel="0" collapsed="false">
      <c r="A1261" s="0" t="s">
        <v>3057</v>
      </c>
      <c r="B1261" s="0" t="s">
        <v>197</v>
      </c>
      <c r="C1261" s="0" t="s">
        <v>6169</v>
      </c>
      <c r="E1261" s="0" t="s">
        <v>6170</v>
      </c>
    </row>
    <row r="1262" customFormat="false" ht="122.35" hidden="false" customHeight="false" outlineLevel="0" collapsed="false">
      <c r="A1262" s="0" t="s">
        <v>195</v>
      </c>
      <c r="B1262" s="0" t="s">
        <v>197</v>
      </c>
      <c r="C1262" s="14" t="s">
        <v>6171</v>
      </c>
      <c r="D1262" s="0" t="s">
        <v>199</v>
      </c>
      <c r="E1262" s="14" t="s">
        <v>6172</v>
      </c>
    </row>
    <row r="1263" customFormat="false" ht="122.35" hidden="false" customHeight="false" outlineLevel="0" collapsed="false">
      <c r="A1263" s="0" t="s">
        <v>2321</v>
      </c>
      <c r="B1263" s="0" t="s">
        <v>197</v>
      </c>
      <c r="C1263" s="14" t="s">
        <v>6173</v>
      </c>
      <c r="D1263" s="0" t="s">
        <v>2322</v>
      </c>
    </row>
    <row r="1264" customFormat="false" ht="55.2" hidden="false" customHeight="false" outlineLevel="0" collapsed="false">
      <c r="A1264" s="0" t="s">
        <v>2065</v>
      </c>
      <c r="B1264" s="0" t="s">
        <v>197</v>
      </c>
      <c r="C1264" s="14" t="s">
        <v>6174</v>
      </c>
    </row>
    <row r="1265" customFormat="false" ht="15" hidden="false" customHeight="false" outlineLevel="0" collapsed="false">
      <c r="A1265" s="0" t="s">
        <v>3041</v>
      </c>
      <c r="B1265" s="0" t="s">
        <v>197</v>
      </c>
      <c r="C1265" s="0" t="s">
        <v>6175</v>
      </c>
    </row>
    <row r="1266" customFormat="false" ht="41.75" hidden="false" customHeight="false" outlineLevel="0" collapsed="false">
      <c r="A1266" s="0" t="s">
        <v>2624</v>
      </c>
      <c r="B1266" s="0" t="s">
        <v>197</v>
      </c>
      <c r="C1266" s="14" t="s">
        <v>6176</v>
      </c>
      <c r="D1266" s="0" t="s">
        <v>2625</v>
      </c>
    </row>
    <row r="1267" customFormat="false" ht="122.35" hidden="false" customHeight="false" outlineLevel="0" collapsed="false">
      <c r="A1267" s="0" t="s">
        <v>2399</v>
      </c>
      <c r="B1267" s="0" t="s">
        <v>197</v>
      </c>
      <c r="C1267" s="14" t="s">
        <v>6177</v>
      </c>
    </row>
    <row r="1268" customFormat="false" ht="122.35" hidden="false" customHeight="false" outlineLevel="0" collapsed="false">
      <c r="A1268" s="0" t="s">
        <v>3008</v>
      </c>
      <c r="B1268" s="0" t="s">
        <v>197</v>
      </c>
      <c r="C1268" s="14" t="s">
        <v>6177</v>
      </c>
      <c r="E1268" s="0" t="s">
        <v>6073</v>
      </c>
    </row>
    <row r="1269" customFormat="false" ht="68.65" hidden="false" customHeight="false" outlineLevel="0" collapsed="false">
      <c r="A1269" s="0" t="s">
        <v>694</v>
      </c>
      <c r="B1269" s="0" t="s">
        <v>197</v>
      </c>
      <c r="C1269" s="14" t="s">
        <v>6178</v>
      </c>
    </row>
    <row r="1270" customFormat="false" ht="55.2" hidden="false" customHeight="false" outlineLevel="0" collapsed="false">
      <c r="A1270" s="0" t="s">
        <v>1240</v>
      </c>
      <c r="B1270" s="0" t="s">
        <v>197</v>
      </c>
      <c r="C1270" s="14" t="s">
        <v>6179</v>
      </c>
    </row>
    <row r="1271" customFormat="false" ht="55.2" hidden="false" customHeight="false" outlineLevel="0" collapsed="false">
      <c r="A1271" s="0" t="s">
        <v>1065</v>
      </c>
      <c r="B1271" s="0" t="s">
        <v>197</v>
      </c>
      <c r="C1271" s="14" t="s">
        <v>6179</v>
      </c>
      <c r="E1271" s="0" t="s">
        <v>6170</v>
      </c>
    </row>
    <row r="1272" customFormat="false" ht="15" hidden="false" customHeight="false" outlineLevel="0" collapsed="false">
      <c r="A1272" s="0" t="s">
        <v>2106</v>
      </c>
      <c r="B1272" s="0" t="s">
        <v>197</v>
      </c>
      <c r="C1272" s="0" t="s">
        <v>6180</v>
      </c>
      <c r="E1272" s="0" t="s">
        <v>6181</v>
      </c>
    </row>
    <row r="1273" customFormat="false" ht="15" hidden="false" customHeight="false" outlineLevel="0" collapsed="false">
      <c r="A1273" s="0" t="s">
        <v>376</v>
      </c>
      <c r="B1273" s="0" t="s">
        <v>197</v>
      </c>
      <c r="C1273" s="0" t="s">
        <v>6182</v>
      </c>
      <c r="E1273" s="0" t="s">
        <v>6183</v>
      </c>
    </row>
    <row r="1274" customFormat="false" ht="15" hidden="false" customHeight="false" outlineLevel="0" collapsed="false">
      <c r="A1274" s="0" t="s">
        <v>2685</v>
      </c>
      <c r="B1274" s="0" t="s">
        <v>197</v>
      </c>
      <c r="C1274" s="0" t="s">
        <v>6184</v>
      </c>
    </row>
    <row r="1275" customFormat="false" ht="15" hidden="false" customHeight="false" outlineLevel="0" collapsed="false">
      <c r="A1275" s="0" t="s">
        <v>2814</v>
      </c>
      <c r="B1275" s="0" t="s">
        <v>197</v>
      </c>
      <c r="C1275" s="0" t="s">
        <v>6185</v>
      </c>
      <c r="E1275" s="0" t="s">
        <v>6170</v>
      </c>
    </row>
    <row r="1276" customFormat="false" ht="15" hidden="false" customHeight="false" outlineLevel="0" collapsed="false">
      <c r="A1276" s="0" t="s">
        <v>2167</v>
      </c>
      <c r="B1276" s="0" t="s">
        <v>197</v>
      </c>
      <c r="C1276" s="0" t="s">
        <v>6184</v>
      </c>
      <c r="E1276" s="0" t="s">
        <v>6186</v>
      </c>
    </row>
    <row r="1277" customFormat="false" ht="216.4" hidden="false" customHeight="false" outlineLevel="0" collapsed="false">
      <c r="A1277" s="0" t="s">
        <v>3527</v>
      </c>
      <c r="B1277" s="0" t="s">
        <v>197</v>
      </c>
      <c r="C1277" s="14" t="s">
        <v>6187</v>
      </c>
      <c r="E1277" s="0" t="s">
        <v>5900</v>
      </c>
    </row>
    <row r="1278" customFormat="false" ht="350.7" hidden="false" customHeight="false" outlineLevel="0" collapsed="false">
      <c r="A1278" s="0" t="s">
        <v>1844</v>
      </c>
      <c r="B1278" s="0" t="s">
        <v>197</v>
      </c>
      <c r="C1278" s="14" t="s">
        <v>6188</v>
      </c>
      <c r="E1278" s="14" t="s">
        <v>6189</v>
      </c>
    </row>
    <row r="1279" customFormat="false" ht="350.7" hidden="false" customHeight="false" outlineLevel="0" collapsed="false">
      <c r="A1279" s="0" t="s">
        <v>994</v>
      </c>
      <c r="B1279" s="0" t="s">
        <v>197</v>
      </c>
      <c r="C1279" s="14" t="s">
        <v>6188</v>
      </c>
      <c r="D1279" s="0" t="s">
        <v>995</v>
      </c>
      <c r="E1279" s="14" t="s">
        <v>6190</v>
      </c>
    </row>
    <row r="1280" customFormat="false" ht="28.35" hidden="false" customHeight="false" outlineLevel="0" collapsed="false">
      <c r="A1280" s="0" t="s">
        <v>2346</v>
      </c>
      <c r="B1280" s="0" t="s">
        <v>197</v>
      </c>
      <c r="C1280" s="14" t="s">
        <v>6191</v>
      </c>
    </row>
    <row r="1281" customFormat="false" ht="28.35" hidden="false" customHeight="false" outlineLevel="0" collapsed="false">
      <c r="A1281" s="0" t="s">
        <v>1198</v>
      </c>
      <c r="B1281" s="0" t="s">
        <v>197</v>
      </c>
      <c r="C1281" s="14" t="s">
        <v>6192</v>
      </c>
    </row>
    <row r="1282" customFormat="false" ht="28.35" hidden="false" customHeight="false" outlineLevel="0" collapsed="false">
      <c r="A1282" s="0" t="s">
        <v>1964</v>
      </c>
      <c r="B1282" s="0" t="s">
        <v>197</v>
      </c>
      <c r="C1282" s="14" t="s">
        <v>6193</v>
      </c>
      <c r="E1282" s="0" t="s">
        <v>6170</v>
      </c>
    </row>
    <row r="1283" customFormat="false" ht="28.35" hidden="false" customHeight="false" outlineLevel="0" collapsed="false">
      <c r="A1283" s="0" t="s">
        <v>1087</v>
      </c>
      <c r="B1283" s="0" t="s">
        <v>197</v>
      </c>
      <c r="C1283" s="14" t="s">
        <v>6192</v>
      </c>
      <c r="E1283" s="0" t="s">
        <v>6186</v>
      </c>
    </row>
    <row r="1284" customFormat="false" ht="162.65" hidden="false" customHeight="false" outlineLevel="0" collapsed="false">
      <c r="A1284" s="0" t="s">
        <v>551</v>
      </c>
      <c r="B1284" s="0" t="s">
        <v>197</v>
      </c>
      <c r="C1284" s="14" t="s">
        <v>6194</v>
      </c>
      <c r="D1284" s="0" t="s">
        <v>553</v>
      </c>
    </row>
    <row r="1285" customFormat="false" ht="41.75" hidden="false" customHeight="false" outlineLevel="0" collapsed="false">
      <c r="A1285" s="0" t="s">
        <v>2220</v>
      </c>
      <c r="B1285" s="0" t="s">
        <v>197</v>
      </c>
      <c r="C1285" s="14" t="s">
        <v>6195</v>
      </c>
    </row>
    <row r="1286" customFormat="false" ht="82.05" hidden="false" customHeight="false" outlineLevel="0" collapsed="false">
      <c r="A1286" s="0" t="s">
        <v>1133</v>
      </c>
      <c r="B1286" s="0" t="s">
        <v>197</v>
      </c>
      <c r="C1286" s="14" t="s">
        <v>6196</v>
      </c>
      <c r="D1286" s="14" t="s">
        <v>6197</v>
      </c>
    </row>
    <row r="1287" customFormat="false" ht="41.75" hidden="false" customHeight="false" outlineLevel="0" collapsed="false">
      <c r="A1287" s="0" t="s">
        <v>734</v>
      </c>
      <c r="B1287" s="0" t="s">
        <v>197</v>
      </c>
      <c r="C1287" s="14" t="s">
        <v>6198</v>
      </c>
      <c r="D1287" s="14" t="s">
        <v>6199</v>
      </c>
    </row>
    <row r="1288" customFormat="false" ht="15" hidden="false" customHeight="false" outlineLevel="0" collapsed="false">
      <c r="A1288" s="0" t="s">
        <v>2925</v>
      </c>
      <c r="B1288" s="0" t="s">
        <v>197</v>
      </c>
      <c r="C1288" s="0" t="s">
        <v>6200</v>
      </c>
    </row>
    <row r="1289" customFormat="false" ht="41.75" hidden="false" customHeight="false" outlineLevel="0" collapsed="false">
      <c r="A1289" s="0" t="s">
        <v>2650</v>
      </c>
      <c r="B1289" s="0" t="s">
        <v>197</v>
      </c>
      <c r="C1289" s="14" t="s">
        <v>6195</v>
      </c>
      <c r="E1289" s="0" t="s">
        <v>6201</v>
      </c>
    </row>
    <row r="1290" customFormat="false" ht="41.75" hidden="false" customHeight="false" outlineLevel="0" collapsed="false">
      <c r="A1290" s="0" t="s">
        <v>3398</v>
      </c>
      <c r="B1290" s="0" t="s">
        <v>197</v>
      </c>
      <c r="C1290" s="14" t="s">
        <v>6195</v>
      </c>
      <c r="E1290" s="0" t="s">
        <v>6202</v>
      </c>
    </row>
    <row r="1291" customFormat="false" ht="55.2" hidden="false" customHeight="false" outlineLevel="0" collapsed="false">
      <c r="A1291" s="0" t="s">
        <v>2334</v>
      </c>
      <c r="B1291" s="0" t="s">
        <v>197</v>
      </c>
      <c r="C1291" s="14" t="s">
        <v>6203</v>
      </c>
      <c r="D1291" s="14" t="s">
        <v>6204</v>
      </c>
    </row>
    <row r="1292" customFormat="false" ht="55.2" hidden="false" customHeight="false" outlineLevel="0" collapsed="false">
      <c r="A1292" s="0" t="s">
        <v>2767</v>
      </c>
      <c r="B1292" s="0" t="s">
        <v>197</v>
      </c>
      <c r="C1292" s="14" t="s">
        <v>6205</v>
      </c>
      <c r="D1292" s="14" t="s">
        <v>6206</v>
      </c>
      <c r="E1292" s="0" t="s">
        <v>6207</v>
      </c>
    </row>
    <row r="1293" customFormat="false" ht="15" hidden="false" customHeight="false" outlineLevel="0" collapsed="false">
      <c r="A1293" s="0" t="s">
        <v>1514</v>
      </c>
      <c r="B1293" s="0" t="s">
        <v>197</v>
      </c>
      <c r="C1293" s="0" t="s">
        <v>3983</v>
      </c>
    </row>
    <row r="1294" customFormat="false" ht="41.75" hidden="false" customHeight="false" outlineLevel="0" collapsed="false">
      <c r="A1294" s="0" t="s">
        <v>1585</v>
      </c>
      <c r="B1294" s="0" t="s">
        <v>197</v>
      </c>
      <c r="C1294" s="14" t="s">
        <v>3981</v>
      </c>
    </row>
    <row r="1295" customFormat="false" ht="95.5" hidden="false" customHeight="false" outlineLevel="0" collapsed="false">
      <c r="A1295" s="0" t="s">
        <v>1192</v>
      </c>
      <c r="B1295" s="0" t="s">
        <v>197</v>
      </c>
      <c r="C1295" s="14" t="s">
        <v>6208</v>
      </c>
    </row>
    <row r="1296" customFormat="false" ht="41.75" hidden="false" customHeight="false" outlineLevel="0" collapsed="false">
      <c r="A1296" s="0" t="s">
        <v>1765</v>
      </c>
      <c r="B1296" s="0" t="s">
        <v>197</v>
      </c>
      <c r="C1296" s="14" t="s">
        <v>6209</v>
      </c>
    </row>
    <row r="1297" customFormat="false" ht="41.75" hidden="false" customHeight="false" outlineLevel="0" collapsed="false">
      <c r="A1297" s="0" t="s">
        <v>1635</v>
      </c>
      <c r="B1297" s="0" t="s">
        <v>197</v>
      </c>
      <c r="C1297" s="14" t="s">
        <v>6210</v>
      </c>
    </row>
    <row r="1298" customFormat="false" ht="189.55" hidden="false" customHeight="false" outlineLevel="0" collapsed="false">
      <c r="A1298" s="0" t="s">
        <v>1277</v>
      </c>
      <c r="B1298" s="0" t="s">
        <v>197</v>
      </c>
      <c r="C1298" s="14" t="s">
        <v>6211</v>
      </c>
    </row>
    <row r="1299" customFormat="false" ht="41.75" hidden="false" customHeight="false" outlineLevel="0" collapsed="false">
      <c r="A1299" s="0" t="s">
        <v>2775</v>
      </c>
      <c r="B1299" s="0" t="s">
        <v>197</v>
      </c>
      <c r="C1299" s="14" t="s">
        <v>6212</v>
      </c>
    </row>
    <row r="1300" customFormat="false" ht="135.8" hidden="false" customHeight="false" outlineLevel="0" collapsed="false">
      <c r="A1300" s="0" t="s">
        <v>1738</v>
      </c>
      <c r="B1300" s="0" t="s">
        <v>790</v>
      </c>
      <c r="C1300" s="14" t="s">
        <v>6213</v>
      </c>
      <c r="E1300" s="0" t="s">
        <v>6214</v>
      </c>
    </row>
    <row r="1301" customFormat="false" ht="229.85" hidden="false" customHeight="false" outlineLevel="0" collapsed="false">
      <c r="A1301" s="0" t="s">
        <v>2704</v>
      </c>
      <c r="B1301" s="0" t="s">
        <v>790</v>
      </c>
      <c r="C1301" s="14" t="s">
        <v>6215</v>
      </c>
      <c r="D1301" s="0" t="s">
        <v>2705</v>
      </c>
      <c r="E1301" s="14" t="s">
        <v>6216</v>
      </c>
    </row>
    <row r="1302" customFormat="false" ht="82.05" hidden="false" customHeight="false" outlineLevel="0" collapsed="false">
      <c r="A1302" s="0" t="s">
        <v>3189</v>
      </c>
      <c r="B1302" s="0" t="s">
        <v>790</v>
      </c>
      <c r="C1302" s="14" t="s">
        <v>6217</v>
      </c>
      <c r="E1302" s="0" t="s">
        <v>6218</v>
      </c>
    </row>
    <row r="1303" customFormat="false" ht="28.35" hidden="false" customHeight="false" outlineLevel="0" collapsed="false">
      <c r="A1303" s="0" t="s">
        <v>1766</v>
      </c>
      <c r="B1303" s="0" t="s">
        <v>197</v>
      </c>
      <c r="C1303" s="14" t="s">
        <v>6219</v>
      </c>
    </row>
    <row r="1304" customFormat="false" ht="162.65" hidden="false" customHeight="false" outlineLevel="0" collapsed="false">
      <c r="A1304" s="0" t="s">
        <v>1965</v>
      </c>
      <c r="B1304" s="0" t="s">
        <v>197</v>
      </c>
      <c r="C1304" s="14" t="s">
        <v>6220</v>
      </c>
    </row>
    <row r="1305" customFormat="false" ht="431.3" hidden="false" customHeight="false" outlineLevel="0" collapsed="false">
      <c r="A1305" s="0" t="s">
        <v>615</v>
      </c>
      <c r="B1305" s="0" t="s">
        <v>197</v>
      </c>
      <c r="C1305" s="14" t="s">
        <v>6221</v>
      </c>
      <c r="E1305" s="0" t="s">
        <v>6222</v>
      </c>
    </row>
    <row r="1306" customFormat="false" ht="162.65" hidden="false" customHeight="false" outlineLevel="0" collapsed="false">
      <c r="A1306" s="0" t="s">
        <v>3600</v>
      </c>
      <c r="B1306" s="0" t="s">
        <v>197</v>
      </c>
      <c r="C1306" s="14" t="s">
        <v>6220</v>
      </c>
      <c r="E1306" s="0" t="s">
        <v>6223</v>
      </c>
    </row>
    <row r="1307" customFormat="false" ht="15" hidden="false" customHeight="false" outlineLevel="0" collapsed="false">
      <c r="A1307" s="0" t="s">
        <v>2245</v>
      </c>
      <c r="B1307" s="0" t="s">
        <v>197</v>
      </c>
      <c r="C1307" s="0" t="s">
        <v>6224</v>
      </c>
    </row>
    <row r="1308" customFormat="false" ht="229.85" hidden="false" customHeight="false" outlineLevel="0" collapsed="false">
      <c r="A1308" s="0" t="s">
        <v>762</v>
      </c>
      <c r="B1308" s="0" t="s">
        <v>197</v>
      </c>
      <c r="C1308" s="14" t="s">
        <v>6225</v>
      </c>
      <c r="E1308" s="0" t="s">
        <v>6226</v>
      </c>
    </row>
    <row r="1309" customFormat="false" ht="41.75" hidden="false" customHeight="false" outlineLevel="0" collapsed="false">
      <c r="A1309" s="0" t="s">
        <v>983</v>
      </c>
      <c r="B1309" s="0" t="s">
        <v>197</v>
      </c>
      <c r="C1309" s="14" t="s">
        <v>4577</v>
      </c>
      <c r="D1309" s="14" t="s">
        <v>6227</v>
      </c>
    </row>
    <row r="1310" customFormat="false" ht="68.65" hidden="false" customHeight="false" outlineLevel="0" collapsed="false">
      <c r="A1310" s="0" t="s">
        <v>1966</v>
      </c>
      <c r="B1310" s="0" t="s">
        <v>197</v>
      </c>
      <c r="C1310" s="14" t="s">
        <v>6228</v>
      </c>
    </row>
    <row r="1311" customFormat="false" ht="216.4" hidden="false" customHeight="false" outlineLevel="0" collapsed="false">
      <c r="A1311" s="0" t="s">
        <v>825</v>
      </c>
      <c r="B1311" s="0" t="s">
        <v>197</v>
      </c>
      <c r="C1311" s="14" t="s">
        <v>6229</v>
      </c>
      <c r="D1311" s="14" t="s">
        <v>6230</v>
      </c>
    </row>
    <row r="1312" customFormat="false" ht="15" hidden="false" customHeight="false" outlineLevel="0" collapsed="false">
      <c r="A1312" s="0" t="s">
        <v>2229</v>
      </c>
      <c r="B1312" s="0" t="s">
        <v>197</v>
      </c>
      <c r="C1312" s="0" t="s">
        <v>3905</v>
      </c>
    </row>
    <row r="1313" customFormat="false" ht="15" hidden="false" customHeight="false" outlineLevel="0" collapsed="false">
      <c r="A1313" s="0" t="s">
        <v>2259</v>
      </c>
      <c r="B1313" s="0" t="s">
        <v>197</v>
      </c>
      <c r="C1313" s="0" t="s">
        <v>3905</v>
      </c>
      <c r="E1313" s="0" t="s">
        <v>6170</v>
      </c>
    </row>
    <row r="1314" customFormat="false" ht="28.35" hidden="false" customHeight="false" outlineLevel="0" collapsed="false">
      <c r="A1314" s="0" t="s">
        <v>2409</v>
      </c>
      <c r="B1314" s="0" t="s">
        <v>197</v>
      </c>
      <c r="C1314" s="14" t="s">
        <v>3937</v>
      </c>
      <c r="D1314" s="0" t="s">
        <v>2410</v>
      </c>
    </row>
    <row r="1315" customFormat="false" ht="28.35" hidden="false" customHeight="false" outlineLevel="0" collapsed="false">
      <c r="A1315" s="0" t="s">
        <v>3169</v>
      </c>
      <c r="B1315" s="0" t="s">
        <v>197</v>
      </c>
      <c r="C1315" s="0" t="s">
        <v>6231</v>
      </c>
      <c r="E1315" s="14" t="s">
        <v>6232</v>
      </c>
    </row>
    <row r="1316" customFormat="false" ht="28.35" hidden="false" customHeight="false" outlineLevel="0" collapsed="false">
      <c r="A1316" s="0" t="s">
        <v>3436</v>
      </c>
      <c r="B1316" s="0" t="s">
        <v>197</v>
      </c>
      <c r="C1316" s="0" t="s">
        <v>6231</v>
      </c>
      <c r="E1316" s="14" t="s">
        <v>6233</v>
      </c>
    </row>
    <row r="1317" customFormat="false" ht="15" hidden="false" customHeight="false" outlineLevel="0" collapsed="false">
      <c r="A1317" s="0" t="s">
        <v>2628</v>
      </c>
      <c r="B1317" s="0" t="s">
        <v>197</v>
      </c>
      <c r="C1317" s="0" t="s">
        <v>6234</v>
      </c>
    </row>
    <row r="1318" customFormat="false" ht="122.35" hidden="false" customHeight="false" outlineLevel="0" collapsed="false">
      <c r="A1318" s="0" t="s">
        <v>1840</v>
      </c>
      <c r="B1318" s="0" t="s">
        <v>197</v>
      </c>
      <c r="C1318" s="14" t="s">
        <v>6235</v>
      </c>
      <c r="D1318" s="14" t="s">
        <v>6236</v>
      </c>
    </row>
    <row r="1319" customFormat="false" ht="41.75" hidden="false" customHeight="false" outlineLevel="0" collapsed="false">
      <c r="A1319" s="0" t="s">
        <v>3170</v>
      </c>
      <c r="B1319" s="0" t="s">
        <v>6237</v>
      </c>
      <c r="C1319" s="14" t="s">
        <v>6238</v>
      </c>
      <c r="D1319" s="0" t="s">
        <v>3171</v>
      </c>
      <c r="E1319" s="0" t="s">
        <v>5964</v>
      </c>
    </row>
    <row r="1320" customFormat="false" ht="41.75" hidden="false" customHeight="false" outlineLevel="0" collapsed="false">
      <c r="A1320" s="0" t="s">
        <v>2963</v>
      </c>
      <c r="B1320" s="0" t="s">
        <v>6237</v>
      </c>
      <c r="C1320" s="14" t="s">
        <v>6239</v>
      </c>
      <c r="D1320" s="0" t="s">
        <v>2965</v>
      </c>
    </row>
    <row r="1321" customFormat="false" ht="108.95" hidden="false" customHeight="false" outlineLevel="0" collapsed="false">
      <c r="A1321" s="0" t="s">
        <v>2815</v>
      </c>
      <c r="B1321" s="0" t="s">
        <v>6237</v>
      </c>
      <c r="C1321" s="14" t="s">
        <v>6240</v>
      </c>
      <c r="D1321" s="14" t="s">
        <v>6241</v>
      </c>
    </row>
    <row r="1322" customFormat="false" ht="82.05" hidden="false" customHeight="false" outlineLevel="0" collapsed="false">
      <c r="A1322" s="0" t="s">
        <v>1003</v>
      </c>
      <c r="B1322" s="0" t="s">
        <v>6237</v>
      </c>
      <c r="C1322" s="14" t="s">
        <v>6242</v>
      </c>
    </row>
    <row r="1323" customFormat="false" ht="15" hidden="false" customHeight="false" outlineLevel="0" collapsed="false">
      <c r="A1323" s="0" t="s">
        <v>3640</v>
      </c>
      <c r="B1323" s="0" t="s">
        <v>6237</v>
      </c>
      <c r="C1323" s="0" t="s">
        <v>6243</v>
      </c>
    </row>
    <row r="1324" customFormat="false" ht="15" hidden="false" customHeight="false" outlineLevel="0" collapsed="false">
      <c r="A1324" s="0" t="s">
        <v>6244</v>
      </c>
      <c r="B1324" s="0" t="s">
        <v>6237</v>
      </c>
      <c r="C1324" s="0" t="s">
        <v>6245</v>
      </c>
    </row>
    <row r="1325" customFormat="false" ht="135.8" hidden="false" customHeight="false" outlineLevel="0" collapsed="false">
      <c r="A1325" s="0" t="s">
        <v>1538</v>
      </c>
      <c r="B1325" s="0" t="s">
        <v>6237</v>
      </c>
      <c r="C1325" s="14" t="s">
        <v>6246</v>
      </c>
      <c r="E1325" s="0" t="s">
        <v>5966</v>
      </c>
    </row>
    <row r="1326" customFormat="false" ht="82.05" hidden="false" customHeight="false" outlineLevel="0" collapsed="false">
      <c r="A1326" s="0" t="s">
        <v>206</v>
      </c>
      <c r="B1326" s="0" t="s">
        <v>6237</v>
      </c>
      <c r="C1326" s="14" t="s">
        <v>6247</v>
      </c>
      <c r="D1326" s="14" t="s">
        <v>6248</v>
      </c>
    </row>
    <row r="1327" customFormat="false" ht="68.65" hidden="false" customHeight="false" outlineLevel="0" collapsed="false">
      <c r="A1327" s="0" t="s">
        <v>843</v>
      </c>
      <c r="B1327" s="0" t="s">
        <v>197</v>
      </c>
      <c r="C1327" s="14" t="s">
        <v>6249</v>
      </c>
      <c r="D1327" s="14" t="s">
        <v>6250</v>
      </c>
    </row>
    <row r="1328" customFormat="false" ht="68.65" hidden="false" customHeight="false" outlineLevel="0" collapsed="false">
      <c r="A1328" s="0" t="s">
        <v>1753</v>
      </c>
      <c r="B1328" s="0" t="s">
        <v>197</v>
      </c>
      <c r="C1328" s="14" t="s">
        <v>6251</v>
      </c>
    </row>
    <row r="1329" customFormat="false" ht="15" hidden="false" customHeight="false" outlineLevel="0" collapsed="false">
      <c r="A1329" s="0" t="s">
        <v>1450</v>
      </c>
      <c r="B1329" s="0" t="s">
        <v>197</v>
      </c>
      <c r="C1329" s="0" t="s">
        <v>6252</v>
      </c>
      <c r="D1329" s="0" t="s">
        <v>1451</v>
      </c>
    </row>
    <row r="1330" customFormat="false" ht="28.35" hidden="false" customHeight="false" outlineLevel="0" collapsed="false">
      <c r="A1330" s="0" t="s">
        <v>1174</v>
      </c>
      <c r="B1330" s="0" t="s">
        <v>197</v>
      </c>
      <c r="C1330" s="14" t="s">
        <v>6253</v>
      </c>
      <c r="E1330" s="0" t="s">
        <v>6254</v>
      </c>
    </row>
    <row r="1331" customFormat="false" ht="135.8" hidden="false" customHeight="false" outlineLevel="0" collapsed="false">
      <c r="A1331" s="0" t="s">
        <v>2046</v>
      </c>
      <c r="B1331" s="0" t="s">
        <v>197</v>
      </c>
      <c r="C1331" s="14" t="s">
        <v>6255</v>
      </c>
      <c r="D1331" s="0" t="s">
        <v>2047</v>
      </c>
      <c r="E1331" s="0" t="s">
        <v>5987</v>
      </c>
    </row>
    <row r="1332" customFormat="false" ht="108.95" hidden="false" customHeight="false" outlineLevel="0" collapsed="false">
      <c r="A1332" s="0" t="s">
        <v>1729</v>
      </c>
      <c r="B1332" s="0" t="s">
        <v>197</v>
      </c>
      <c r="C1332" s="14" t="s">
        <v>6256</v>
      </c>
      <c r="E1332" s="0" t="s">
        <v>6257</v>
      </c>
    </row>
    <row r="1333" customFormat="false" ht="82.05" hidden="false" customHeight="false" outlineLevel="0" collapsed="false">
      <c r="A1333" s="0" t="s">
        <v>2970</v>
      </c>
      <c r="B1333" s="0" t="s">
        <v>197</v>
      </c>
      <c r="C1333" s="14" t="s">
        <v>6258</v>
      </c>
      <c r="D1333" s="0" t="s">
        <v>2971</v>
      </c>
    </row>
    <row r="1334" customFormat="false" ht="122.35" hidden="false" customHeight="false" outlineLevel="0" collapsed="false">
      <c r="A1334" s="0" t="s">
        <v>1730</v>
      </c>
      <c r="B1334" s="0" t="s">
        <v>197</v>
      </c>
      <c r="C1334" s="14" t="s">
        <v>6259</v>
      </c>
      <c r="D1334" s="14" t="s">
        <v>6260</v>
      </c>
    </row>
    <row r="1335" customFormat="false" ht="41.75" hidden="false" customHeight="false" outlineLevel="0" collapsed="false">
      <c r="A1335" s="0" t="s">
        <v>482</v>
      </c>
      <c r="B1335" s="0" t="s">
        <v>197</v>
      </c>
      <c r="C1335" s="0" t="s">
        <v>6261</v>
      </c>
      <c r="D1335" s="14" t="s">
        <v>6262</v>
      </c>
    </row>
    <row r="1336" customFormat="false" ht="28.35" hidden="false" customHeight="false" outlineLevel="0" collapsed="false">
      <c r="A1336" s="0" t="s">
        <v>883</v>
      </c>
      <c r="B1336" s="0" t="s">
        <v>197</v>
      </c>
      <c r="C1336" s="14" t="s">
        <v>6263</v>
      </c>
    </row>
    <row r="1337" customFormat="false" ht="28.35" hidden="false" customHeight="false" outlineLevel="0" collapsed="false">
      <c r="A1337" s="0" t="s">
        <v>1853</v>
      </c>
      <c r="B1337" s="0" t="s">
        <v>197</v>
      </c>
      <c r="C1337" s="14" t="s">
        <v>6263</v>
      </c>
      <c r="E1337" s="0" t="s">
        <v>5966</v>
      </c>
    </row>
    <row r="1338" customFormat="false" ht="28.35" hidden="false" customHeight="false" outlineLevel="0" collapsed="false">
      <c r="A1338" s="0" t="s">
        <v>2290</v>
      </c>
      <c r="B1338" s="0" t="s">
        <v>197</v>
      </c>
      <c r="C1338" s="14" t="s">
        <v>6264</v>
      </c>
      <c r="D1338" s="14" t="s">
        <v>6265</v>
      </c>
    </row>
    <row r="1339" customFormat="false" ht="15" hidden="false" customHeight="false" outlineLevel="0" collapsed="false">
      <c r="A1339" s="0" t="s">
        <v>2902</v>
      </c>
      <c r="B1339" s="0" t="s">
        <v>197</v>
      </c>
      <c r="C1339" s="0" t="s">
        <v>6266</v>
      </c>
    </row>
    <row r="1340" customFormat="false" ht="15" hidden="false" customHeight="false" outlineLevel="0" collapsed="false">
      <c r="A1340" s="0" t="s">
        <v>487</v>
      </c>
      <c r="B1340" s="0" t="s">
        <v>197</v>
      </c>
      <c r="C1340" s="0" t="s">
        <v>6267</v>
      </c>
      <c r="E1340" s="0" t="s">
        <v>6268</v>
      </c>
    </row>
    <row r="1341" customFormat="false" ht="55.2" hidden="false" customHeight="false" outlineLevel="0" collapsed="false">
      <c r="A1341" s="0" t="s">
        <v>348</v>
      </c>
      <c r="B1341" s="0" t="s">
        <v>197</v>
      </c>
      <c r="C1341" s="14" t="s">
        <v>6269</v>
      </c>
      <c r="D1341" s="14" t="s">
        <v>6270</v>
      </c>
    </row>
    <row r="1342" customFormat="false" ht="68.65" hidden="false" customHeight="false" outlineLevel="0" collapsed="false">
      <c r="A1342" s="0" t="s">
        <v>608</v>
      </c>
      <c r="B1342" s="0" t="s">
        <v>197</v>
      </c>
      <c r="C1342" s="14" t="s">
        <v>6271</v>
      </c>
      <c r="D1342" s="14" t="s">
        <v>6272</v>
      </c>
    </row>
    <row r="1343" customFormat="false" ht="15" hidden="false" customHeight="false" outlineLevel="0" collapsed="false">
      <c r="A1343" s="0" t="s">
        <v>2051</v>
      </c>
      <c r="B1343" s="0" t="s">
        <v>197</v>
      </c>
      <c r="C1343" s="0" t="s">
        <v>3906</v>
      </c>
    </row>
    <row r="1344" customFormat="false" ht="28.35" hidden="false" customHeight="false" outlineLevel="0" collapsed="false">
      <c r="A1344" s="0" t="s">
        <v>1834</v>
      </c>
      <c r="B1344" s="0" t="s">
        <v>790</v>
      </c>
      <c r="C1344" s="14" t="s">
        <v>6273</v>
      </c>
      <c r="D1344" s="14" t="s">
        <v>6274</v>
      </c>
    </row>
    <row r="1345" customFormat="false" ht="55.2" hidden="false" customHeight="false" outlineLevel="0" collapsed="false">
      <c r="A1345" s="0" t="s">
        <v>1663</v>
      </c>
      <c r="B1345" s="0" t="s">
        <v>197</v>
      </c>
      <c r="C1345" s="14" t="s">
        <v>6275</v>
      </c>
      <c r="E1345" s="0" t="s">
        <v>6276</v>
      </c>
    </row>
    <row r="1346" customFormat="false" ht="15" hidden="false" customHeight="false" outlineLevel="0" collapsed="false">
      <c r="A1346" s="0" t="s">
        <v>746</v>
      </c>
      <c r="B1346" s="0" t="s">
        <v>197</v>
      </c>
      <c r="C1346" s="0" t="s">
        <v>6277</v>
      </c>
    </row>
    <row r="1347" customFormat="false" ht="28.35" hidden="false" customHeight="false" outlineLevel="0" collapsed="false">
      <c r="A1347" s="0" t="s">
        <v>1005</v>
      </c>
      <c r="B1347" s="0" t="s">
        <v>197</v>
      </c>
      <c r="C1347" s="14" t="s">
        <v>6278</v>
      </c>
      <c r="D1347" s="0" t="s">
        <v>6279</v>
      </c>
    </row>
    <row r="1348" customFormat="false" ht="28.35" hidden="false" customHeight="false" outlineLevel="0" collapsed="false">
      <c r="A1348" s="0" t="s">
        <v>6280</v>
      </c>
      <c r="B1348" s="0" t="s">
        <v>6237</v>
      </c>
      <c r="C1348" s="14" t="s">
        <v>6278</v>
      </c>
      <c r="D1348" s="0" t="s">
        <v>6279</v>
      </c>
      <c r="E1348" s="14" t="s">
        <v>6281</v>
      </c>
    </row>
    <row r="1349" customFormat="false" ht="28.35" hidden="false" customHeight="false" outlineLevel="0" collapsed="false">
      <c r="A1349" s="0" t="s">
        <v>2389</v>
      </c>
      <c r="B1349" s="0" t="s">
        <v>197</v>
      </c>
      <c r="C1349" s="14" t="s">
        <v>6282</v>
      </c>
    </row>
    <row r="1350" customFormat="false" ht="41.75" hidden="false" customHeight="false" outlineLevel="0" collapsed="false">
      <c r="A1350" s="0" t="s">
        <v>2043</v>
      </c>
      <c r="B1350" s="0" t="s">
        <v>197</v>
      </c>
      <c r="C1350" s="14" t="s">
        <v>6283</v>
      </c>
    </row>
    <row r="1351" customFormat="false" ht="176.1" hidden="false" customHeight="false" outlineLevel="0" collapsed="false">
      <c r="A1351" s="0" t="s">
        <v>1036</v>
      </c>
      <c r="B1351" s="0" t="s">
        <v>197</v>
      </c>
      <c r="C1351" s="14" t="s">
        <v>6284</v>
      </c>
    </row>
    <row r="1352" customFormat="false" ht="28.35" hidden="false" customHeight="false" outlineLevel="0" collapsed="false">
      <c r="A1352" s="0" t="s">
        <v>787</v>
      </c>
      <c r="B1352" s="0" t="s">
        <v>197</v>
      </c>
      <c r="C1352" s="14" t="s">
        <v>4651</v>
      </c>
      <c r="D1352" s="14" t="s">
        <v>6285</v>
      </c>
    </row>
    <row r="1353" customFormat="false" ht="256.7" hidden="false" customHeight="false" outlineLevel="0" collapsed="false">
      <c r="A1353" s="0" t="s">
        <v>2255</v>
      </c>
      <c r="B1353" s="0" t="s">
        <v>197</v>
      </c>
      <c r="C1353" s="14" t="s">
        <v>6286</v>
      </c>
      <c r="D1353" s="0" t="s">
        <v>6287</v>
      </c>
    </row>
    <row r="1354" customFormat="false" ht="82.05" hidden="false" customHeight="false" outlineLevel="0" collapsed="false">
      <c r="A1354" s="0" t="s">
        <v>668</v>
      </c>
      <c r="B1354" s="0" t="s">
        <v>197</v>
      </c>
      <c r="C1354" s="14" t="s">
        <v>3908</v>
      </c>
    </row>
    <row r="1355" customFormat="false" ht="15" hidden="false" customHeight="false" outlineLevel="0" collapsed="false">
      <c r="A1355" s="0" t="s">
        <v>1833</v>
      </c>
      <c r="B1355" s="0" t="s">
        <v>197</v>
      </c>
      <c r="C1355" s="0" t="s">
        <v>6288</v>
      </c>
    </row>
    <row r="1356" customFormat="false" ht="15" hidden="false" customHeight="false" outlineLevel="0" collapsed="false">
      <c r="A1356" s="0" t="s">
        <v>2331</v>
      </c>
      <c r="B1356" s="0" t="s">
        <v>197</v>
      </c>
      <c r="C1356" s="0" t="s">
        <v>6288</v>
      </c>
      <c r="E1356" s="0" t="s">
        <v>5966</v>
      </c>
    </row>
    <row r="1357" customFormat="false" ht="95.5" hidden="false" customHeight="false" outlineLevel="0" collapsed="false">
      <c r="A1357" s="0" t="s">
        <v>981</v>
      </c>
      <c r="B1357" s="0" t="s">
        <v>790</v>
      </c>
      <c r="C1357" s="14" t="s">
        <v>6289</v>
      </c>
      <c r="D1357" s="0" t="s">
        <v>6290</v>
      </c>
    </row>
    <row r="1358" customFormat="false" ht="229.85" hidden="false" customHeight="false" outlineLevel="0" collapsed="false">
      <c r="A1358" s="0" t="s">
        <v>1156</v>
      </c>
      <c r="B1358" s="0" t="s">
        <v>790</v>
      </c>
      <c r="C1358" s="14" t="s">
        <v>6291</v>
      </c>
      <c r="D1358" s="0" t="s">
        <v>6292</v>
      </c>
      <c r="E1358" s="14" t="s">
        <v>6293</v>
      </c>
    </row>
    <row r="1359" customFormat="false" ht="404.45" hidden="false" customHeight="false" outlineLevel="0" collapsed="false">
      <c r="A1359" s="0" t="s">
        <v>788</v>
      </c>
      <c r="B1359" s="0" t="s">
        <v>790</v>
      </c>
      <c r="C1359" s="14" t="s">
        <v>6294</v>
      </c>
      <c r="D1359" s="14" t="s">
        <v>6295</v>
      </c>
      <c r="E1359" s="14" t="s">
        <v>6296</v>
      </c>
    </row>
    <row r="1360" customFormat="false" ht="270.1" hidden="false" customHeight="false" outlineLevel="0" collapsed="false">
      <c r="A1360" s="0" t="s">
        <v>1921</v>
      </c>
      <c r="B1360" s="0" t="s">
        <v>790</v>
      </c>
      <c r="C1360" s="14" t="s">
        <v>6297</v>
      </c>
      <c r="E1360" s="14" t="s">
        <v>6298</v>
      </c>
    </row>
    <row r="1361" customFormat="false" ht="28.35" hidden="false" customHeight="false" outlineLevel="0" collapsed="false">
      <c r="A1361" s="0" t="s">
        <v>2124</v>
      </c>
      <c r="B1361" s="0" t="s">
        <v>790</v>
      </c>
      <c r="C1361" s="14" t="s">
        <v>6299</v>
      </c>
      <c r="D1361" s="0" t="s">
        <v>6300</v>
      </c>
    </row>
    <row r="1362" customFormat="false" ht="28.35" hidden="false" customHeight="false" outlineLevel="0" collapsed="false">
      <c r="A1362" s="0" t="s">
        <v>1629</v>
      </c>
      <c r="B1362" s="0" t="s">
        <v>197</v>
      </c>
      <c r="C1362" s="14" t="s">
        <v>6301</v>
      </c>
      <c r="D1362" s="14" t="s">
        <v>6302</v>
      </c>
      <c r="E1362" s="14" t="s">
        <v>6303</v>
      </c>
    </row>
    <row r="1363" customFormat="false" ht="28.35" hidden="false" customHeight="false" outlineLevel="0" collapsed="false">
      <c r="A1363" s="0" t="s">
        <v>532</v>
      </c>
      <c r="B1363" s="0" t="s">
        <v>197</v>
      </c>
      <c r="C1363" s="14" t="s">
        <v>6304</v>
      </c>
      <c r="D1363" s="14" t="s">
        <v>6305</v>
      </c>
    </row>
    <row r="1364" customFormat="false" ht="15" hidden="false" customHeight="false" outlineLevel="0" collapsed="false">
      <c r="A1364" s="0" t="s">
        <v>3284</v>
      </c>
      <c r="B1364" s="0" t="s">
        <v>197</v>
      </c>
      <c r="C1364" s="0" t="s">
        <v>6306</v>
      </c>
    </row>
    <row r="1365" customFormat="false" ht="350.7" hidden="false" customHeight="false" outlineLevel="0" collapsed="false">
      <c r="A1365" s="0" t="s">
        <v>1430</v>
      </c>
      <c r="B1365" s="0" t="s">
        <v>6307</v>
      </c>
      <c r="C1365" s="14" t="s">
        <v>6308</v>
      </c>
      <c r="D1365" s="0" t="s">
        <v>1432</v>
      </c>
    </row>
    <row r="1366" customFormat="false" ht="95.5" hidden="false" customHeight="false" outlineLevel="0" collapsed="false">
      <c r="A1366" s="0" t="s">
        <v>1392</v>
      </c>
      <c r="B1366" s="0" t="s">
        <v>790</v>
      </c>
      <c r="C1366" s="14" t="s">
        <v>6309</v>
      </c>
      <c r="D1366" s="0" t="s">
        <v>1393</v>
      </c>
    </row>
    <row r="1367" customFormat="false" ht="68.65" hidden="false" customHeight="false" outlineLevel="0" collapsed="false">
      <c r="A1367" s="0" t="s">
        <v>2980</v>
      </c>
      <c r="B1367" s="0" t="s">
        <v>906</v>
      </c>
      <c r="C1367" s="14" t="s">
        <v>6310</v>
      </c>
      <c r="D1367" s="14" t="s">
        <v>6311</v>
      </c>
      <c r="E1367" s="0" t="s">
        <v>6312</v>
      </c>
    </row>
    <row r="1368" customFormat="false" ht="82.05" hidden="false" customHeight="false" outlineLevel="0" collapsed="false">
      <c r="A1368" s="0" t="s">
        <v>2451</v>
      </c>
      <c r="B1368" s="0" t="s">
        <v>6313</v>
      </c>
      <c r="C1368" s="14" t="s">
        <v>6314</v>
      </c>
      <c r="D1368" s="14" t="s">
        <v>6315</v>
      </c>
      <c r="E1368" s="0" t="s">
        <v>6312</v>
      </c>
    </row>
    <row r="1369" customFormat="false" ht="41.75" hidden="false" customHeight="false" outlineLevel="0" collapsed="false">
      <c r="A1369" s="0" t="s">
        <v>3375</v>
      </c>
      <c r="B1369" s="0" t="s">
        <v>6316</v>
      </c>
      <c r="C1369" s="14" t="s">
        <v>6317</v>
      </c>
      <c r="D1369" s="14" t="s">
        <v>6318</v>
      </c>
      <c r="E1369" s="0" t="s">
        <v>6319</v>
      </c>
    </row>
    <row r="1370" customFormat="false" ht="122.35" hidden="false" customHeight="false" outlineLevel="0" collapsed="false">
      <c r="A1370" s="0" t="s">
        <v>2982</v>
      </c>
      <c r="B1370" s="0" t="s">
        <v>6320</v>
      </c>
      <c r="C1370" s="14" t="s">
        <v>6321</v>
      </c>
      <c r="D1370" s="0" t="s">
        <v>2983</v>
      </c>
    </row>
    <row r="1371" customFormat="false" ht="55.2" hidden="false" customHeight="false" outlineLevel="0" collapsed="false">
      <c r="A1371" s="0" t="s">
        <v>1676</v>
      </c>
      <c r="B1371" s="0" t="s">
        <v>6322</v>
      </c>
      <c r="C1371" s="0" t="s">
        <v>5512</v>
      </c>
      <c r="D1371" s="14" t="s">
        <v>6323</v>
      </c>
      <c r="E1371" s="0" t="s">
        <v>6312</v>
      </c>
    </row>
    <row r="1372" customFormat="false" ht="68.65" hidden="false" customHeight="false" outlineLevel="0" collapsed="false">
      <c r="A1372" s="0" t="s">
        <v>3235</v>
      </c>
      <c r="B1372" s="0" t="s">
        <v>906</v>
      </c>
      <c r="C1372" s="14" t="s">
        <v>6324</v>
      </c>
      <c r="D1372" s="14" t="s">
        <v>6325</v>
      </c>
      <c r="E1372" s="0" t="s">
        <v>6319</v>
      </c>
    </row>
    <row r="1373" customFormat="false" ht="95.5" hidden="false" customHeight="false" outlineLevel="0" collapsed="false">
      <c r="A1373" s="0" t="s">
        <v>1885</v>
      </c>
      <c r="B1373" s="0" t="s">
        <v>906</v>
      </c>
      <c r="C1373" s="14" t="s">
        <v>6326</v>
      </c>
      <c r="D1373" s="14" t="s">
        <v>6327</v>
      </c>
      <c r="E1373" s="0" t="s">
        <v>6319</v>
      </c>
    </row>
    <row r="1374" customFormat="false" ht="229.85" hidden="false" customHeight="false" outlineLevel="0" collapsed="false">
      <c r="A1374" s="0" t="s">
        <v>2923</v>
      </c>
      <c r="B1374" s="0" t="s">
        <v>906</v>
      </c>
      <c r="C1374" s="14" t="s">
        <v>6328</v>
      </c>
      <c r="D1374" s="0" t="s">
        <v>2924</v>
      </c>
      <c r="E1374" s="0" t="s">
        <v>6312</v>
      </c>
    </row>
    <row r="1375" customFormat="false" ht="229.85" hidden="false" customHeight="false" outlineLevel="0" collapsed="false">
      <c r="A1375" s="0" t="s">
        <v>2900</v>
      </c>
      <c r="B1375" s="0" t="s">
        <v>906</v>
      </c>
      <c r="C1375" s="14" t="s">
        <v>6328</v>
      </c>
      <c r="D1375" s="14" t="s">
        <v>6329</v>
      </c>
      <c r="E1375" s="14" t="s">
        <v>6330</v>
      </c>
    </row>
    <row r="1376" customFormat="false" ht="15" hidden="false" customHeight="false" outlineLevel="0" collapsed="false">
      <c r="A1376" s="0" t="s">
        <v>1055</v>
      </c>
      <c r="B1376" s="0" t="s">
        <v>906</v>
      </c>
      <c r="C1376" s="0" t="s">
        <v>5512</v>
      </c>
      <c r="D1376" s="0" t="s">
        <v>1056</v>
      </c>
      <c r="E1376" s="0" t="s">
        <v>6319</v>
      </c>
    </row>
    <row r="1377" customFormat="false" ht="55.2" hidden="false" customHeight="false" outlineLevel="0" collapsed="false">
      <c r="A1377" s="0" t="s">
        <v>1505</v>
      </c>
      <c r="B1377" s="0" t="s">
        <v>790</v>
      </c>
      <c r="C1377" s="14" t="s">
        <v>6331</v>
      </c>
      <c r="D1377" s="14" t="s">
        <v>6332</v>
      </c>
      <c r="E1377" s="0" t="s">
        <v>6333</v>
      </c>
    </row>
    <row r="1378" customFormat="false" ht="216.4" hidden="false" customHeight="false" outlineLevel="0" collapsed="false">
      <c r="A1378" s="0" t="s">
        <v>936</v>
      </c>
      <c r="B1378" s="0" t="s">
        <v>790</v>
      </c>
      <c r="C1378" s="14" t="s">
        <v>6334</v>
      </c>
      <c r="D1378" s="14" t="s">
        <v>6335</v>
      </c>
      <c r="E1378" s="0" t="s">
        <v>6333</v>
      </c>
    </row>
    <row r="1379" customFormat="false" ht="243.25" hidden="false" customHeight="false" outlineLevel="0" collapsed="false">
      <c r="A1379" s="0" t="s">
        <v>2811</v>
      </c>
      <c r="B1379" s="0" t="s">
        <v>197</v>
      </c>
      <c r="C1379" s="14" t="s">
        <v>6336</v>
      </c>
    </row>
    <row r="1380" customFormat="false" ht="28.35" hidden="false" customHeight="false" outlineLevel="0" collapsed="false">
      <c r="A1380" s="0" t="s">
        <v>1142</v>
      </c>
      <c r="B1380" s="0" t="s">
        <v>197</v>
      </c>
      <c r="C1380" s="14" t="s">
        <v>6337</v>
      </c>
      <c r="D1380" s="14" t="s">
        <v>6338</v>
      </c>
    </row>
    <row r="1381" customFormat="false" ht="176.1" hidden="false" customHeight="false" outlineLevel="0" collapsed="false">
      <c r="A1381" s="0" t="s">
        <v>1622</v>
      </c>
      <c r="B1381" s="0" t="s">
        <v>197</v>
      </c>
      <c r="C1381" s="14" t="s">
        <v>6339</v>
      </c>
      <c r="D1381" s="14" t="s">
        <v>6340</v>
      </c>
    </row>
    <row r="1382" customFormat="false" ht="149.25" hidden="false" customHeight="false" outlineLevel="0" collapsed="false">
      <c r="A1382" s="0" t="s">
        <v>1890</v>
      </c>
      <c r="B1382" s="0" t="s">
        <v>790</v>
      </c>
      <c r="C1382" s="14" t="s">
        <v>6341</v>
      </c>
      <c r="D1382" s="14" t="s">
        <v>6342</v>
      </c>
    </row>
    <row r="1383" customFormat="false" ht="28.35" hidden="false" customHeight="false" outlineLevel="0" collapsed="false">
      <c r="A1383" s="0" t="s">
        <v>1875</v>
      </c>
      <c r="B1383" s="0" t="s">
        <v>197</v>
      </c>
      <c r="C1383" s="0" t="s">
        <v>6343</v>
      </c>
      <c r="D1383" s="14" t="s">
        <v>6344</v>
      </c>
    </row>
    <row r="1384" customFormat="false" ht="41.75" hidden="false" customHeight="false" outlineLevel="0" collapsed="false">
      <c r="A1384" s="0" t="s">
        <v>880</v>
      </c>
      <c r="B1384" s="0" t="s">
        <v>197</v>
      </c>
      <c r="C1384" s="14" t="s">
        <v>6345</v>
      </c>
      <c r="D1384" s="14" t="s">
        <v>6346</v>
      </c>
    </row>
    <row r="1385" customFormat="false" ht="41.75" hidden="false" customHeight="false" outlineLevel="0" collapsed="false">
      <c r="A1385" s="0" t="s">
        <v>2118</v>
      </c>
      <c r="B1385" s="0" t="s">
        <v>197</v>
      </c>
      <c r="C1385" s="14" t="s">
        <v>6345</v>
      </c>
      <c r="D1385" s="0" t="s">
        <v>2119</v>
      </c>
      <c r="E1385" s="0" t="s">
        <v>5966</v>
      </c>
    </row>
    <row r="1386" customFormat="false" ht="15" hidden="false" customHeight="false" outlineLevel="0" collapsed="false">
      <c r="A1386" s="0" t="s">
        <v>1566</v>
      </c>
      <c r="B1386" s="0" t="s">
        <v>197</v>
      </c>
      <c r="C1386" s="0" t="s">
        <v>6347</v>
      </c>
      <c r="D1386" s="0" t="s">
        <v>1569</v>
      </c>
    </row>
    <row r="1387" customFormat="false" ht="229.85" hidden="false" customHeight="false" outlineLevel="0" collapsed="false">
      <c r="A1387" s="0" t="s">
        <v>2530</v>
      </c>
      <c r="B1387" s="0" t="s">
        <v>197</v>
      </c>
      <c r="C1387" s="14" t="s">
        <v>6348</v>
      </c>
      <c r="D1387" s="14" t="s">
        <v>6349</v>
      </c>
    </row>
    <row r="1388" customFormat="false" ht="162.65" hidden="false" customHeight="false" outlineLevel="0" collapsed="false">
      <c r="A1388" s="0" t="s">
        <v>2402</v>
      </c>
      <c r="B1388" s="0" t="s">
        <v>197</v>
      </c>
      <c r="C1388" s="14" t="s">
        <v>6350</v>
      </c>
      <c r="D1388" s="0" t="s">
        <v>2403</v>
      </c>
    </row>
    <row r="1389" customFormat="false" ht="55.2" hidden="false" customHeight="false" outlineLevel="0" collapsed="false">
      <c r="A1389" s="0" t="s">
        <v>3528</v>
      </c>
      <c r="B1389" s="0" t="s">
        <v>197</v>
      </c>
      <c r="C1389" s="14" t="s">
        <v>6351</v>
      </c>
      <c r="D1389" s="14" t="s">
        <v>6352</v>
      </c>
      <c r="E1389" s="14" t="s">
        <v>6353</v>
      </c>
    </row>
    <row r="1390" customFormat="false" ht="28.35" hidden="false" customHeight="false" outlineLevel="0" collapsed="false">
      <c r="A1390" s="0" t="s">
        <v>3309</v>
      </c>
      <c r="B1390" s="0" t="s">
        <v>197</v>
      </c>
      <c r="C1390" s="14" t="s">
        <v>6354</v>
      </c>
      <c r="D1390" s="14" t="s">
        <v>6355</v>
      </c>
    </row>
    <row r="1391" customFormat="false" ht="122.35" hidden="false" customHeight="false" outlineLevel="0" collapsed="false">
      <c r="A1391" s="0" t="s">
        <v>3264</v>
      </c>
      <c r="B1391" s="0" t="s">
        <v>197</v>
      </c>
      <c r="C1391" s="14" t="s">
        <v>6356</v>
      </c>
      <c r="D1391" s="14" t="s">
        <v>6357</v>
      </c>
    </row>
    <row r="1392" customFormat="false" ht="68.65" hidden="false" customHeight="false" outlineLevel="0" collapsed="false">
      <c r="A1392" s="0" t="s">
        <v>6358</v>
      </c>
      <c r="B1392" s="0" t="s">
        <v>197</v>
      </c>
      <c r="C1392" s="14" t="s">
        <v>6359</v>
      </c>
      <c r="D1392" s="0" t="s">
        <v>6360</v>
      </c>
    </row>
    <row r="1393" customFormat="false" ht="28.35" hidden="false" customHeight="false" outlineLevel="0" collapsed="false">
      <c r="A1393" s="0" t="s">
        <v>1969</v>
      </c>
      <c r="B1393" s="0" t="s">
        <v>197</v>
      </c>
      <c r="C1393" s="14" t="s">
        <v>6361</v>
      </c>
      <c r="D1393" s="0" t="s">
        <v>1971</v>
      </c>
    </row>
    <row r="1394" customFormat="false" ht="189.55" hidden="false" customHeight="false" outlineLevel="0" collapsed="false">
      <c r="A1394" s="0" t="s">
        <v>1972</v>
      </c>
      <c r="B1394" s="0" t="s">
        <v>197</v>
      </c>
      <c r="C1394" s="14" t="s">
        <v>6362</v>
      </c>
      <c r="D1394" s="14" t="s">
        <v>6363</v>
      </c>
    </row>
    <row r="1395" customFormat="false" ht="122.35" hidden="false" customHeight="false" outlineLevel="0" collapsed="false">
      <c r="A1395" s="0" t="s">
        <v>3419</v>
      </c>
      <c r="B1395" s="0" t="s">
        <v>197</v>
      </c>
      <c r="C1395" s="14" t="s">
        <v>6364</v>
      </c>
      <c r="D1395" s="14" t="s">
        <v>6365</v>
      </c>
    </row>
    <row r="1396" customFormat="false" ht="68.65" hidden="false" customHeight="false" outlineLevel="0" collapsed="false">
      <c r="A1396" s="0" t="s">
        <v>3496</v>
      </c>
      <c r="B1396" s="0" t="s">
        <v>197</v>
      </c>
      <c r="C1396" s="14" t="s">
        <v>6366</v>
      </c>
      <c r="D1396" s="14" t="s">
        <v>6367</v>
      </c>
    </row>
    <row r="1397" customFormat="false" ht="149.25" hidden="false" customHeight="false" outlineLevel="0" collapsed="false">
      <c r="A1397" s="0" t="s">
        <v>3643</v>
      </c>
      <c r="B1397" s="0" t="s">
        <v>197</v>
      </c>
      <c r="C1397" s="14" t="s">
        <v>6368</v>
      </c>
      <c r="D1397" s="14" t="s">
        <v>6369</v>
      </c>
    </row>
    <row r="1398" customFormat="false" ht="82.05" hidden="false" customHeight="false" outlineLevel="0" collapsed="false">
      <c r="A1398" s="0" t="s">
        <v>3613</v>
      </c>
      <c r="B1398" s="0" t="s">
        <v>197</v>
      </c>
      <c r="C1398" s="14" t="s">
        <v>6370</v>
      </c>
      <c r="D1398" s="14" t="s">
        <v>6371</v>
      </c>
      <c r="E1398" s="0" t="s">
        <v>6372</v>
      </c>
    </row>
    <row r="1399" customFormat="false" ht="122.35" hidden="false" customHeight="false" outlineLevel="0" collapsed="false">
      <c r="A1399" s="0" t="s">
        <v>3615</v>
      </c>
      <c r="B1399" s="0" t="s">
        <v>197</v>
      </c>
      <c r="C1399" s="14" t="s">
        <v>6373</v>
      </c>
      <c r="D1399" s="14" t="s">
        <v>6374</v>
      </c>
    </row>
    <row r="1400" customFormat="false" ht="68.65" hidden="false" customHeight="false" outlineLevel="0" collapsed="false">
      <c r="A1400" s="0" t="s">
        <v>3646</v>
      </c>
      <c r="B1400" s="0" t="s">
        <v>197</v>
      </c>
      <c r="C1400" s="14" t="s">
        <v>6375</v>
      </c>
      <c r="D1400" s="14" t="s">
        <v>6376</v>
      </c>
    </row>
    <row r="1401" customFormat="false" ht="95.5" hidden="false" customHeight="false" outlineLevel="0" collapsed="false">
      <c r="A1401" s="0" t="s">
        <v>3603</v>
      </c>
      <c r="B1401" s="0" t="s">
        <v>197</v>
      </c>
      <c r="C1401" s="14" t="s">
        <v>6377</v>
      </c>
      <c r="D1401" s="14" t="s">
        <v>6378</v>
      </c>
    </row>
    <row r="1402" customFormat="false" ht="216.4" hidden="false" customHeight="false" outlineLevel="0" collapsed="false">
      <c r="A1402" s="0" t="s">
        <v>3617</v>
      </c>
      <c r="B1402" s="0" t="s">
        <v>197</v>
      </c>
      <c r="C1402" s="14" t="s">
        <v>6379</v>
      </c>
      <c r="D1402" s="14" t="s">
        <v>6380</v>
      </c>
      <c r="E1402" s="14" t="s">
        <v>6381</v>
      </c>
    </row>
    <row r="1403" customFormat="false" ht="82.05" hidden="false" customHeight="false" outlineLevel="0" collapsed="false">
      <c r="A1403" s="0" t="s">
        <v>3606</v>
      </c>
      <c r="B1403" s="0" t="s">
        <v>197</v>
      </c>
      <c r="C1403" s="14" t="s">
        <v>6382</v>
      </c>
      <c r="D1403" s="14" t="s">
        <v>6383</v>
      </c>
    </row>
    <row r="1404" customFormat="false" ht="55.2" hidden="false" customHeight="false" outlineLevel="0" collapsed="false">
      <c r="A1404" s="0" t="s">
        <v>2394</v>
      </c>
      <c r="B1404" s="0" t="s">
        <v>197</v>
      </c>
      <c r="C1404" s="14" t="s">
        <v>6384</v>
      </c>
      <c r="D1404" s="14" t="s">
        <v>6385</v>
      </c>
    </row>
    <row r="1405" customFormat="false" ht="15" hidden="false" customHeight="false" outlineLevel="0" collapsed="false">
      <c r="A1405" s="0" t="s">
        <v>2145</v>
      </c>
      <c r="B1405" s="0" t="s">
        <v>197</v>
      </c>
      <c r="C1405" s="0" t="s">
        <v>6386</v>
      </c>
      <c r="D1405" s="0" t="s">
        <v>2146</v>
      </c>
    </row>
    <row r="1406" customFormat="false" ht="189.55" hidden="false" customHeight="false" outlineLevel="0" collapsed="false">
      <c r="A1406" s="0" t="s">
        <v>1842</v>
      </c>
      <c r="B1406" s="0" t="s">
        <v>197</v>
      </c>
      <c r="C1406" s="14" t="s">
        <v>6002</v>
      </c>
      <c r="D1406" s="14" t="s">
        <v>6387</v>
      </c>
      <c r="E1406" s="14" t="s">
        <v>6388</v>
      </c>
    </row>
    <row r="1407" customFormat="false" ht="41.75" hidden="false" customHeight="false" outlineLevel="0" collapsed="false">
      <c r="A1407" s="0" t="s">
        <v>2147</v>
      </c>
      <c r="B1407" s="0" t="s">
        <v>197</v>
      </c>
      <c r="C1407" s="14" t="s">
        <v>6389</v>
      </c>
    </row>
    <row r="1408" customFormat="false" ht="28.35" hidden="false" customHeight="false" outlineLevel="0" collapsed="false">
      <c r="A1408" s="0" t="s">
        <v>2509</v>
      </c>
      <c r="B1408" s="0" t="s">
        <v>197</v>
      </c>
      <c r="C1408" s="14" t="s">
        <v>6390</v>
      </c>
    </row>
    <row r="1409" customFormat="false" ht="108.95" hidden="false" customHeight="false" outlineLevel="0" collapsed="false">
      <c r="A1409" s="0" t="s">
        <v>3266</v>
      </c>
      <c r="B1409" s="0" t="s">
        <v>197</v>
      </c>
      <c r="C1409" s="14" t="s">
        <v>6391</v>
      </c>
      <c r="D1409" s="14" t="s">
        <v>6392</v>
      </c>
    </row>
    <row r="1410" customFormat="false" ht="28.35" hidden="false" customHeight="false" outlineLevel="0" collapsed="false">
      <c r="A1410" s="0" t="s">
        <v>3077</v>
      </c>
      <c r="B1410" s="0" t="s">
        <v>906</v>
      </c>
      <c r="C1410" s="0" t="s">
        <v>6393</v>
      </c>
      <c r="D1410" s="14" t="s">
        <v>6394</v>
      </c>
      <c r="E1410" s="0" t="s">
        <v>6395</v>
      </c>
    </row>
    <row r="1411" customFormat="false" ht="28.35" hidden="false" customHeight="false" outlineLevel="0" collapsed="false">
      <c r="A1411" s="0" t="s">
        <v>1501</v>
      </c>
      <c r="B1411" s="0" t="s">
        <v>906</v>
      </c>
      <c r="C1411" s="0" t="s">
        <v>6396</v>
      </c>
      <c r="D1411" s="0" t="s">
        <v>1502</v>
      </c>
      <c r="E1411" s="14" t="s">
        <v>6397</v>
      </c>
    </row>
    <row r="1412" customFormat="false" ht="28.35" hidden="false" customHeight="false" outlineLevel="0" collapsed="false">
      <c r="A1412" s="0" t="s">
        <v>2248</v>
      </c>
      <c r="B1412" s="0" t="s">
        <v>906</v>
      </c>
      <c r="C1412" s="14" t="s">
        <v>6398</v>
      </c>
      <c r="D1412" s="0" t="s">
        <v>2249</v>
      </c>
      <c r="E1412" s="0" t="s">
        <v>6395</v>
      </c>
    </row>
    <row r="1413" customFormat="false" ht="82.05" hidden="false" customHeight="false" outlineLevel="0" collapsed="false">
      <c r="A1413" s="0" t="s">
        <v>905</v>
      </c>
      <c r="B1413" s="0" t="s">
        <v>906</v>
      </c>
      <c r="C1413" s="14" t="s">
        <v>3908</v>
      </c>
      <c r="D1413" s="0" t="s">
        <v>907</v>
      </c>
      <c r="E1413" s="0" t="s">
        <v>6395</v>
      </c>
    </row>
    <row r="1414" customFormat="false" ht="283.55" hidden="false" customHeight="false" outlineLevel="0" collapsed="false">
      <c r="A1414" s="0" t="s">
        <v>2500</v>
      </c>
      <c r="B1414" s="0" t="s">
        <v>906</v>
      </c>
      <c r="C1414" s="14" t="s">
        <v>6399</v>
      </c>
      <c r="D1414" s="14" t="s">
        <v>6400</v>
      </c>
      <c r="E1414" s="0" t="s">
        <v>6395</v>
      </c>
    </row>
    <row r="1415" customFormat="false" ht="95.5" hidden="false" customHeight="false" outlineLevel="0" collapsed="false">
      <c r="A1415" s="0" t="s">
        <v>3237</v>
      </c>
      <c r="B1415" s="0" t="s">
        <v>906</v>
      </c>
      <c r="C1415" s="14" t="s">
        <v>6401</v>
      </c>
      <c r="D1415" s="0" t="s">
        <v>3238</v>
      </c>
      <c r="E1415" s="0" t="s">
        <v>6395</v>
      </c>
    </row>
    <row r="1416" customFormat="false" ht="82.05" hidden="false" customHeight="false" outlineLevel="0" collapsed="false">
      <c r="A1416" s="0" t="s">
        <v>3399</v>
      </c>
      <c r="B1416" s="0" t="s">
        <v>906</v>
      </c>
      <c r="C1416" s="14" t="s">
        <v>6402</v>
      </c>
      <c r="D1416" s="14" t="s">
        <v>6403</v>
      </c>
      <c r="E1416" s="0" t="s">
        <v>6395</v>
      </c>
    </row>
    <row r="1417" customFormat="false" ht="55.2" hidden="false" customHeight="false" outlineLevel="0" collapsed="false">
      <c r="A1417" s="0" t="s">
        <v>3207</v>
      </c>
      <c r="B1417" s="0" t="s">
        <v>790</v>
      </c>
      <c r="C1417" s="0" t="s">
        <v>6404</v>
      </c>
      <c r="D1417" s="14" t="s">
        <v>6405</v>
      </c>
      <c r="E1417" s="0" t="s">
        <v>6319</v>
      </c>
    </row>
    <row r="1418" customFormat="false" ht="216.4" hidden="false" customHeight="false" outlineLevel="0" collapsed="false">
      <c r="A1418" s="0" t="s">
        <v>3104</v>
      </c>
      <c r="B1418" s="0" t="s">
        <v>790</v>
      </c>
      <c r="C1418" s="14" t="s">
        <v>6406</v>
      </c>
      <c r="D1418" s="14" t="s">
        <v>6407</v>
      </c>
    </row>
    <row r="1419" customFormat="false" ht="55.2" hidden="false" customHeight="false" outlineLevel="0" collapsed="false">
      <c r="A1419" s="0" t="s">
        <v>2953</v>
      </c>
      <c r="B1419" s="0" t="s">
        <v>790</v>
      </c>
      <c r="C1419" s="14" t="s">
        <v>6408</v>
      </c>
      <c r="D1419" s="14" t="s">
        <v>6409</v>
      </c>
    </row>
    <row r="1420" customFormat="false" ht="68.65" hidden="false" customHeight="false" outlineLevel="0" collapsed="false">
      <c r="A1420" s="0" t="s">
        <v>6410</v>
      </c>
      <c r="B1420" s="0" t="s">
        <v>6237</v>
      </c>
      <c r="C1420" s="14" t="s">
        <v>6411</v>
      </c>
      <c r="D1420" s="14" t="s">
        <v>6412</v>
      </c>
      <c r="E1420" s="14" t="s">
        <v>6413</v>
      </c>
    </row>
    <row r="1421" customFormat="false" ht="28.35" hidden="false" customHeight="false" outlineLevel="0" collapsed="false">
      <c r="A1421" s="0" t="s">
        <v>3106</v>
      </c>
      <c r="B1421" s="0" t="s">
        <v>790</v>
      </c>
      <c r="C1421" s="14" t="s">
        <v>6414</v>
      </c>
      <c r="D1421" s="0" t="s">
        <v>3108</v>
      </c>
    </row>
    <row r="1422" customFormat="false" ht="149.25" hidden="false" customHeight="false" outlineLevel="0" collapsed="false">
      <c r="A1422" s="0" t="s">
        <v>3012</v>
      </c>
      <c r="B1422" s="0" t="s">
        <v>790</v>
      </c>
      <c r="C1422" s="14" t="s">
        <v>6415</v>
      </c>
      <c r="D1422" s="0" t="s">
        <v>3013</v>
      </c>
    </row>
    <row r="1423" customFormat="false" ht="68.65" hidden="false" customHeight="false" outlineLevel="0" collapsed="false">
      <c r="A1423" s="0" t="s">
        <v>2716</v>
      </c>
      <c r="B1423" s="0" t="s">
        <v>197</v>
      </c>
      <c r="C1423" s="14" t="s">
        <v>6416</v>
      </c>
      <c r="D1423" s="14" t="s">
        <v>6417</v>
      </c>
    </row>
    <row r="1424" customFormat="false" ht="135.8" hidden="false" customHeight="false" outlineLevel="0" collapsed="false">
      <c r="A1424" s="0" t="s">
        <v>3209</v>
      </c>
      <c r="B1424" s="0" t="s">
        <v>197</v>
      </c>
      <c r="C1424" s="14" t="s">
        <v>6418</v>
      </c>
      <c r="D1424" s="14" t="s">
        <v>6419</v>
      </c>
    </row>
    <row r="1425" customFormat="false" ht="55.2" hidden="false" customHeight="false" outlineLevel="0" collapsed="false">
      <c r="A1425" s="0" t="s">
        <v>1077</v>
      </c>
      <c r="B1425" s="0" t="s">
        <v>906</v>
      </c>
      <c r="C1425" s="14" t="s">
        <v>5895</v>
      </c>
      <c r="D1425" s="14" t="s">
        <v>6420</v>
      </c>
    </row>
    <row r="1426" customFormat="false" ht="55.2" hidden="false" customHeight="false" outlineLevel="0" collapsed="false">
      <c r="A1426" s="0" t="s">
        <v>2273</v>
      </c>
      <c r="B1426" s="0" t="s">
        <v>906</v>
      </c>
      <c r="C1426" s="14" t="s">
        <v>6421</v>
      </c>
      <c r="D1426" s="0" t="s">
        <v>2274</v>
      </c>
      <c r="E1426" s="0" t="s">
        <v>6422</v>
      </c>
    </row>
    <row r="1427" customFormat="false" ht="28.35" hidden="false" customHeight="false" outlineLevel="0" collapsed="false">
      <c r="A1427" s="0" t="s">
        <v>2525</v>
      </c>
      <c r="B1427" s="0" t="s">
        <v>906</v>
      </c>
      <c r="C1427" s="14" t="s">
        <v>6423</v>
      </c>
      <c r="D1427" s="0" t="s">
        <v>2526</v>
      </c>
      <c r="E1427" s="0" t="s">
        <v>6422</v>
      </c>
    </row>
    <row r="1428" customFormat="false" ht="149.25" hidden="false" customHeight="false" outlineLevel="0" collapsed="false">
      <c r="A1428" s="0" t="s">
        <v>2976</v>
      </c>
      <c r="B1428" s="0" t="s">
        <v>906</v>
      </c>
      <c r="C1428" s="14" t="s">
        <v>6424</v>
      </c>
      <c r="D1428" s="14" t="s">
        <v>6425</v>
      </c>
      <c r="E1428" s="0" t="s">
        <v>6395</v>
      </c>
    </row>
    <row r="1429" customFormat="false" ht="149.25" hidden="false" customHeight="false" outlineLevel="0" collapsed="false">
      <c r="A1429" s="0" t="s">
        <v>2633</v>
      </c>
      <c r="B1429" s="0" t="s">
        <v>906</v>
      </c>
      <c r="C1429" s="14" t="s">
        <v>6426</v>
      </c>
      <c r="D1429" s="0" t="s">
        <v>2634</v>
      </c>
      <c r="E1429" s="0" t="s">
        <v>6395</v>
      </c>
    </row>
    <row r="1430" customFormat="false" ht="283.55" hidden="false" customHeight="false" outlineLevel="0" collapsed="false">
      <c r="A1430" s="0" t="s">
        <v>2998</v>
      </c>
      <c r="B1430" s="0" t="s">
        <v>906</v>
      </c>
      <c r="C1430" s="14" t="s">
        <v>6427</v>
      </c>
      <c r="D1430" s="0" t="s">
        <v>2999</v>
      </c>
      <c r="E1430" s="0" t="s">
        <v>6395</v>
      </c>
    </row>
    <row r="1431" customFormat="false" ht="41.75" hidden="false" customHeight="false" outlineLevel="0" collapsed="false">
      <c r="A1431" s="0" t="s">
        <v>3313</v>
      </c>
      <c r="B1431" s="0" t="s">
        <v>790</v>
      </c>
      <c r="C1431" s="14" t="s">
        <v>6428</v>
      </c>
      <c r="D1431" s="14" t="s">
        <v>6429</v>
      </c>
    </row>
    <row r="1432" customFormat="false" ht="41.75" hidden="false" customHeight="false" outlineLevel="0" collapsed="false">
      <c r="A1432" s="0" t="s">
        <v>2635</v>
      </c>
      <c r="B1432" s="0" t="s">
        <v>790</v>
      </c>
      <c r="C1432" s="14" t="s">
        <v>6430</v>
      </c>
      <c r="D1432" s="0" t="s">
        <v>2636</v>
      </c>
    </row>
    <row r="1433" customFormat="false" ht="162.65" hidden="false" customHeight="false" outlineLevel="0" collapsed="false">
      <c r="A1433" s="0" t="s">
        <v>2156</v>
      </c>
      <c r="B1433" s="0" t="s">
        <v>197</v>
      </c>
      <c r="C1433" s="14" t="s">
        <v>6431</v>
      </c>
      <c r="D1433" s="14" t="s">
        <v>6432</v>
      </c>
      <c r="E1433" s="14" t="s">
        <v>6433</v>
      </c>
    </row>
    <row r="1434" customFormat="false" ht="68.65" hidden="false" customHeight="false" outlineLevel="0" collapsed="false">
      <c r="A1434" s="0" t="s">
        <v>6434</v>
      </c>
      <c r="B1434" s="0" t="s">
        <v>6435</v>
      </c>
      <c r="C1434" s="14" t="s">
        <v>6436</v>
      </c>
      <c r="D1434" s="14" t="s">
        <v>6437</v>
      </c>
    </row>
    <row r="1435" customFormat="false" ht="176.1" hidden="false" customHeight="false" outlineLevel="0" collapsed="false">
      <c r="A1435" s="0" t="s">
        <v>6438</v>
      </c>
      <c r="B1435" s="0" t="s">
        <v>6313</v>
      </c>
      <c r="C1435" s="14" t="s">
        <v>6439</v>
      </c>
      <c r="D1435" s="14" t="s">
        <v>6440</v>
      </c>
      <c r="E1435" s="0" t="s">
        <v>6395</v>
      </c>
    </row>
    <row r="1436" customFormat="false" ht="28.35" hidden="false" customHeight="false" outlineLevel="0" collapsed="false">
      <c r="A1436" s="0" t="s">
        <v>6441</v>
      </c>
      <c r="B1436" s="0" t="s">
        <v>6313</v>
      </c>
      <c r="C1436" s="14" t="s">
        <v>6278</v>
      </c>
      <c r="D1436" s="0" t="s">
        <v>6442</v>
      </c>
      <c r="E1436" s="0" t="s">
        <v>6312</v>
      </c>
    </row>
    <row r="1437" customFormat="false" ht="310.4" hidden="false" customHeight="false" outlineLevel="0" collapsed="false">
      <c r="A1437" s="0" t="s">
        <v>6443</v>
      </c>
      <c r="B1437" s="0" t="s">
        <v>6313</v>
      </c>
      <c r="C1437" s="14" t="s">
        <v>6444</v>
      </c>
      <c r="D1437" s="14" t="s">
        <v>6445</v>
      </c>
      <c r="E1437" s="0" t="s">
        <v>6319</v>
      </c>
    </row>
    <row r="1438" customFormat="false" ht="15" hidden="false" customHeight="false" outlineLevel="0" collapsed="false">
      <c r="A1438" s="0" t="s">
        <v>6446</v>
      </c>
      <c r="B1438" s="0" t="s">
        <v>6313</v>
      </c>
      <c r="C1438" s="0" t="s">
        <v>4233</v>
      </c>
      <c r="D1438" s="0" t="s">
        <v>6447</v>
      </c>
    </row>
    <row r="1439" customFormat="false" ht="15" hidden="false" customHeight="false" outlineLevel="0" collapsed="false">
      <c r="A1439" s="0" t="s">
        <v>6448</v>
      </c>
      <c r="B1439" s="0" t="s">
        <v>6313</v>
      </c>
      <c r="C1439" s="0" t="s">
        <v>6449</v>
      </c>
      <c r="D1439" s="0" t="s">
        <v>6450</v>
      </c>
    </row>
    <row r="1440" customFormat="false" ht="28.35" hidden="false" customHeight="false" outlineLevel="0" collapsed="false">
      <c r="A1440" s="0" t="s">
        <v>6451</v>
      </c>
      <c r="B1440" s="0" t="s">
        <v>6313</v>
      </c>
      <c r="C1440" s="14" t="s">
        <v>6390</v>
      </c>
      <c r="D1440" s="0" t="s">
        <v>6452</v>
      </c>
    </row>
    <row r="1441" customFormat="false" ht="41.75" hidden="false" customHeight="false" outlineLevel="0" collapsed="false">
      <c r="A1441" s="0" t="s">
        <v>6453</v>
      </c>
      <c r="B1441" s="0" t="s">
        <v>6313</v>
      </c>
      <c r="C1441" s="14" t="s">
        <v>6454</v>
      </c>
      <c r="D1441" s="0" t="s">
        <v>6455</v>
      </c>
    </row>
    <row r="1442" customFormat="false" ht="162.65" hidden="false" customHeight="false" outlineLevel="0" collapsed="false">
      <c r="A1442" s="0" t="s">
        <v>6456</v>
      </c>
      <c r="B1442" s="0" t="s">
        <v>6237</v>
      </c>
      <c r="C1442" s="14" t="s">
        <v>6457</v>
      </c>
      <c r="D1442" s="14" t="s">
        <v>6458</v>
      </c>
    </row>
    <row r="1443" customFormat="false" ht="41.75" hidden="false" customHeight="false" outlineLevel="0" collapsed="false">
      <c r="A1443" s="0" t="s">
        <v>6459</v>
      </c>
      <c r="B1443" s="0" t="s">
        <v>6237</v>
      </c>
      <c r="C1443" s="14" t="s">
        <v>6460</v>
      </c>
      <c r="D1443" s="0" t="s">
        <v>6461</v>
      </c>
      <c r="E1443" s="0" t="s">
        <v>6462</v>
      </c>
    </row>
    <row r="1444" customFormat="false" ht="95.5" hidden="false" customHeight="false" outlineLevel="0" collapsed="false">
      <c r="A1444" s="0" t="s">
        <v>6463</v>
      </c>
      <c r="B1444" s="0" t="s">
        <v>6435</v>
      </c>
      <c r="C1444" s="14" t="s">
        <v>6464</v>
      </c>
      <c r="D1444" s="14" t="s">
        <v>6465</v>
      </c>
    </row>
    <row r="1445" customFormat="false" ht="122.35" hidden="false" customHeight="false" outlineLevel="0" collapsed="false">
      <c r="A1445" s="0" t="s">
        <v>6466</v>
      </c>
      <c r="B1445" s="0" t="s">
        <v>6237</v>
      </c>
      <c r="C1445" s="14" t="s">
        <v>6467</v>
      </c>
      <c r="D1445" s="0" t="s">
        <v>6468</v>
      </c>
    </row>
    <row r="1446" customFormat="false" ht="28.35" hidden="false" customHeight="false" outlineLevel="0" collapsed="false">
      <c r="A1446" s="0" t="s">
        <v>781</v>
      </c>
      <c r="B1446" s="0" t="s">
        <v>600</v>
      </c>
      <c r="C1446" s="14" t="s">
        <v>4982</v>
      </c>
      <c r="D1446" s="0" t="s">
        <v>783</v>
      </c>
    </row>
    <row r="1447" customFormat="false" ht="95.5" hidden="false" customHeight="false" outlineLevel="0" collapsed="false">
      <c r="A1447" s="0" t="s">
        <v>1448</v>
      </c>
      <c r="B1447" s="0" t="s">
        <v>600</v>
      </c>
      <c r="C1447" s="14" t="s">
        <v>6469</v>
      </c>
      <c r="D1447" s="0" t="s">
        <v>1449</v>
      </c>
    </row>
    <row r="1448" customFormat="false" ht="95.5" hidden="false" customHeight="false" outlineLevel="0" collapsed="false">
      <c r="A1448" s="0" t="s">
        <v>2545</v>
      </c>
      <c r="B1448" s="0" t="s">
        <v>600</v>
      </c>
      <c r="C1448" s="14" t="s">
        <v>6470</v>
      </c>
      <c r="D1448" s="0" t="s">
        <v>2546</v>
      </c>
    </row>
    <row r="1449" customFormat="false" ht="108.95" hidden="false" customHeight="false" outlineLevel="0" collapsed="false">
      <c r="A1449" s="0" t="s">
        <v>655</v>
      </c>
      <c r="B1449" s="0" t="s">
        <v>600</v>
      </c>
      <c r="C1449" s="14" t="s">
        <v>6471</v>
      </c>
      <c r="D1449" s="0" t="s">
        <v>658</v>
      </c>
    </row>
    <row r="1450" customFormat="false" ht="41.75" hidden="false" customHeight="false" outlineLevel="0" collapsed="false">
      <c r="A1450" s="0" t="s">
        <v>1821</v>
      </c>
      <c r="B1450" s="0" t="s">
        <v>600</v>
      </c>
      <c r="C1450" s="14" t="s">
        <v>6472</v>
      </c>
      <c r="D1450" s="0" t="s">
        <v>1824</v>
      </c>
    </row>
    <row r="1451" customFormat="false" ht="162.65" hidden="false" customHeight="false" outlineLevel="0" collapsed="false">
      <c r="A1451" s="0" t="s">
        <v>1736</v>
      </c>
      <c r="B1451" s="0" t="s">
        <v>600</v>
      </c>
      <c r="C1451" s="14" t="s">
        <v>6473</v>
      </c>
      <c r="D1451" s="0" t="s">
        <v>1737</v>
      </c>
    </row>
    <row r="1452" customFormat="false" ht="122.35" hidden="false" customHeight="false" outlineLevel="0" collapsed="false">
      <c r="A1452" s="0" t="s">
        <v>2129</v>
      </c>
      <c r="B1452" s="0" t="s">
        <v>600</v>
      </c>
      <c r="C1452" s="14" t="s">
        <v>6474</v>
      </c>
      <c r="D1452" s="0" t="s">
        <v>2130</v>
      </c>
    </row>
    <row r="1453" customFormat="false" ht="41.75" hidden="false" customHeight="false" outlineLevel="0" collapsed="false">
      <c r="A1453" s="0" t="s">
        <v>875</v>
      </c>
      <c r="B1453" s="0" t="s">
        <v>600</v>
      </c>
      <c r="C1453" s="14" t="s">
        <v>6475</v>
      </c>
      <c r="D1453" s="0" t="s">
        <v>877</v>
      </c>
      <c r="E1453" s="14" t="s">
        <v>6476</v>
      </c>
    </row>
    <row r="1454" customFormat="false" ht="15" hidden="false" customHeight="false" outlineLevel="0" collapsed="false">
      <c r="A1454" s="0" t="s">
        <v>1214</v>
      </c>
      <c r="B1454" s="0" t="s">
        <v>600</v>
      </c>
      <c r="C1454" s="0" t="s">
        <v>6477</v>
      </c>
      <c r="D1454" s="0" t="s">
        <v>1216</v>
      </c>
    </row>
    <row r="1455" customFormat="false" ht="28.35" hidden="false" customHeight="false" outlineLevel="0" collapsed="false">
      <c r="A1455" s="0" t="s">
        <v>1297</v>
      </c>
      <c r="B1455" s="0" t="s">
        <v>600</v>
      </c>
      <c r="C1455" s="14" t="s">
        <v>6166</v>
      </c>
      <c r="D1455" s="0" t="s">
        <v>1298</v>
      </c>
    </row>
    <row r="1456" customFormat="false" ht="28.35" hidden="false" customHeight="false" outlineLevel="0" collapsed="false">
      <c r="A1456" s="0" t="s">
        <v>1018</v>
      </c>
      <c r="B1456" s="0" t="s">
        <v>600</v>
      </c>
      <c r="C1456" s="14" t="s">
        <v>5244</v>
      </c>
    </row>
    <row r="1457" customFormat="false" ht="149.25" hidden="false" customHeight="false" outlineLevel="0" collapsed="false">
      <c r="A1457" s="0" t="s">
        <v>324</v>
      </c>
      <c r="B1457" s="0" t="s">
        <v>326</v>
      </c>
      <c r="C1457" s="14" t="s">
        <v>6022</v>
      </c>
    </row>
    <row r="1458" customFormat="false" ht="55.2" hidden="false" customHeight="false" outlineLevel="0" collapsed="false">
      <c r="A1458" s="0" t="s">
        <v>1528</v>
      </c>
      <c r="B1458" s="0" t="s">
        <v>600</v>
      </c>
      <c r="C1458" s="14" t="s">
        <v>6478</v>
      </c>
      <c r="E1458" s="0" t="s">
        <v>6479</v>
      </c>
    </row>
    <row r="1459" customFormat="false" ht="28.35" hidden="false" customHeight="false" outlineLevel="0" collapsed="false">
      <c r="A1459" s="0" t="s">
        <v>1303</v>
      </c>
      <c r="B1459" s="0" t="s">
        <v>600</v>
      </c>
      <c r="C1459" s="14" t="s">
        <v>6480</v>
      </c>
      <c r="E1459" s="0" t="s">
        <v>6481</v>
      </c>
    </row>
    <row r="1460" customFormat="false" ht="41.75" hidden="false" customHeight="false" outlineLevel="0" collapsed="false">
      <c r="A1460" s="0" t="s">
        <v>1116</v>
      </c>
      <c r="B1460" s="0" t="s">
        <v>600</v>
      </c>
      <c r="C1460" s="14" t="s">
        <v>6482</v>
      </c>
    </row>
    <row r="1461" customFormat="false" ht="15" hidden="false" customHeight="false" outlineLevel="0" collapsed="false">
      <c r="A1461" s="0" t="s">
        <v>1333</v>
      </c>
      <c r="B1461" s="0" t="s">
        <v>600</v>
      </c>
      <c r="C1461" s="0" t="s">
        <v>6483</v>
      </c>
    </row>
    <row r="1462" customFormat="false" ht="41.75" hidden="false" customHeight="false" outlineLevel="0" collapsed="false">
      <c r="A1462" s="0" t="s">
        <v>692</v>
      </c>
      <c r="B1462" s="0" t="s">
        <v>600</v>
      </c>
      <c r="C1462" s="14" t="s">
        <v>6484</v>
      </c>
      <c r="D1462" s="0" t="s">
        <v>693</v>
      </c>
    </row>
    <row r="1463" customFormat="false" ht="417.9" hidden="false" customHeight="false" outlineLevel="0" collapsed="false">
      <c r="A1463" s="0" t="s">
        <v>747</v>
      </c>
      <c r="B1463" s="0" t="s">
        <v>600</v>
      </c>
      <c r="C1463" s="14" t="s">
        <v>6485</v>
      </c>
      <c r="D1463" s="0" t="s">
        <v>749</v>
      </c>
    </row>
    <row r="1464" customFormat="false" ht="68.65" hidden="false" customHeight="false" outlineLevel="0" collapsed="false">
      <c r="A1464" s="0" t="s">
        <v>605</v>
      </c>
      <c r="B1464" s="0" t="s">
        <v>600</v>
      </c>
      <c r="C1464" s="14" t="s">
        <v>6486</v>
      </c>
      <c r="D1464" s="14" t="s">
        <v>6487</v>
      </c>
      <c r="E1464" s="0" t="s">
        <v>6488</v>
      </c>
    </row>
    <row r="1465" customFormat="false" ht="68.65" hidden="false" customHeight="false" outlineLevel="0" collapsed="false">
      <c r="A1465" s="0" t="s">
        <v>2842</v>
      </c>
      <c r="B1465" s="0" t="s">
        <v>600</v>
      </c>
      <c r="C1465" s="14" t="s">
        <v>6486</v>
      </c>
      <c r="D1465" s="14" t="s">
        <v>6487</v>
      </c>
      <c r="E1465" s="0" t="s">
        <v>5249</v>
      </c>
    </row>
    <row r="1466" customFormat="false" ht="82.05" hidden="false" customHeight="false" outlineLevel="0" collapsed="false">
      <c r="A1466" s="0" t="s">
        <v>1329</v>
      </c>
      <c r="B1466" s="0" t="s">
        <v>600</v>
      </c>
      <c r="C1466" s="14" t="s">
        <v>6489</v>
      </c>
    </row>
    <row r="1467" customFormat="false" ht="55.2" hidden="false" customHeight="false" outlineLevel="0" collapsed="false">
      <c r="A1467" s="0" t="s">
        <v>1384</v>
      </c>
      <c r="B1467" s="0" t="s">
        <v>600</v>
      </c>
      <c r="C1467" s="14" t="s">
        <v>6490</v>
      </c>
    </row>
    <row r="1468" customFormat="false" ht="28.35" hidden="false" customHeight="false" outlineLevel="0" collapsed="false">
      <c r="A1468" s="0" t="s">
        <v>599</v>
      </c>
      <c r="B1468" s="0" t="s">
        <v>600</v>
      </c>
      <c r="C1468" s="14" t="s">
        <v>6076</v>
      </c>
    </row>
    <row r="1469" customFormat="false" ht="41.75" hidden="false" customHeight="false" outlineLevel="0" collapsed="false">
      <c r="A1469" s="0" t="s">
        <v>791</v>
      </c>
      <c r="B1469" s="0" t="s">
        <v>96</v>
      </c>
      <c r="C1469" s="14" t="s">
        <v>6491</v>
      </c>
    </row>
    <row r="1470" customFormat="false" ht="28.35" hidden="false" customHeight="false" outlineLevel="0" collapsed="false">
      <c r="A1470" s="0" t="s">
        <v>414</v>
      </c>
      <c r="B1470" s="0" t="s">
        <v>96</v>
      </c>
      <c r="C1470" s="14" t="s">
        <v>6492</v>
      </c>
    </row>
    <row r="1471" customFormat="false" ht="55.2" hidden="false" customHeight="false" outlineLevel="0" collapsed="false">
      <c r="A1471" s="0" t="s">
        <v>1525</v>
      </c>
      <c r="B1471" s="0" t="s">
        <v>96</v>
      </c>
      <c r="C1471" s="14" t="s">
        <v>6493</v>
      </c>
      <c r="D1471" s="0" t="s">
        <v>1527</v>
      </c>
    </row>
    <row r="1472" customFormat="false" ht="243.25" hidden="false" customHeight="false" outlineLevel="0" collapsed="false">
      <c r="A1472" s="0" t="s">
        <v>2498</v>
      </c>
      <c r="B1472" s="0" t="s">
        <v>96</v>
      </c>
      <c r="C1472" s="14" t="s">
        <v>6494</v>
      </c>
    </row>
    <row r="1473" customFormat="false" ht="28.35" hidden="false" customHeight="false" outlineLevel="0" collapsed="false">
      <c r="A1473" s="0" t="s">
        <v>2162</v>
      </c>
      <c r="B1473" s="0" t="s">
        <v>96</v>
      </c>
      <c r="C1473" s="14" t="s">
        <v>6495</v>
      </c>
      <c r="D1473" s="0" t="s">
        <v>1824</v>
      </c>
    </row>
    <row r="1474" customFormat="false" ht="15" hidden="false" customHeight="false" outlineLevel="0" collapsed="false">
      <c r="A1474" s="0" t="s">
        <v>1963</v>
      </c>
      <c r="B1474" s="0" t="s">
        <v>96</v>
      </c>
      <c r="C1474" s="0" t="s">
        <v>6496</v>
      </c>
    </row>
    <row r="1475" customFormat="false" ht="28.35" hidden="false" customHeight="false" outlineLevel="0" collapsed="false">
      <c r="A1475" s="0" t="s">
        <v>154</v>
      </c>
      <c r="B1475" s="0" t="s">
        <v>96</v>
      </c>
      <c r="C1475" s="14" t="s">
        <v>6269</v>
      </c>
    </row>
    <row r="1476" customFormat="false" ht="68.65" hidden="false" customHeight="false" outlineLevel="0" collapsed="false">
      <c r="A1476" s="0" t="s">
        <v>146</v>
      </c>
      <c r="B1476" s="0" t="s">
        <v>96</v>
      </c>
      <c r="C1476" s="14" t="s">
        <v>6271</v>
      </c>
    </row>
    <row r="1477" customFormat="false" ht="28.35" hidden="false" customHeight="false" outlineLevel="0" collapsed="false">
      <c r="A1477" s="0" t="s">
        <v>1035</v>
      </c>
      <c r="B1477" s="0" t="s">
        <v>96</v>
      </c>
      <c r="C1477" s="14" t="s">
        <v>6497</v>
      </c>
    </row>
    <row r="1478" customFormat="false" ht="55.2" hidden="false" customHeight="false" outlineLevel="0" collapsed="false">
      <c r="A1478" s="0" t="s">
        <v>94</v>
      </c>
      <c r="B1478" s="0" t="s">
        <v>96</v>
      </c>
      <c r="C1478" s="14" t="s">
        <v>5895</v>
      </c>
    </row>
    <row r="1479" customFormat="false" ht="82.05" hidden="false" customHeight="false" outlineLevel="0" collapsed="false">
      <c r="A1479" s="0" t="s">
        <v>889</v>
      </c>
      <c r="B1479" s="0" t="s">
        <v>96</v>
      </c>
      <c r="C1479" s="14" t="s">
        <v>3908</v>
      </c>
    </row>
    <row r="1480" customFormat="false" ht="28.35" hidden="false" customHeight="false" outlineLevel="0" collapsed="false">
      <c r="A1480" s="0" t="s">
        <v>1588</v>
      </c>
      <c r="B1480" s="0" t="s">
        <v>96</v>
      </c>
      <c r="C1480" s="14" t="s">
        <v>6498</v>
      </c>
    </row>
    <row r="1481" customFormat="false" ht="41.75" hidden="false" customHeight="false" outlineLevel="0" collapsed="false">
      <c r="A1481" s="0" t="s">
        <v>1155</v>
      </c>
      <c r="B1481" s="0" t="s">
        <v>96</v>
      </c>
      <c r="C1481" s="14" t="s">
        <v>6499</v>
      </c>
    </row>
    <row r="1482" customFormat="false" ht="28.35" hidden="false" customHeight="false" outlineLevel="0" collapsed="false">
      <c r="A1482" s="0" t="s">
        <v>1605</v>
      </c>
      <c r="B1482" s="0" t="s">
        <v>96</v>
      </c>
      <c r="C1482" s="14" t="s">
        <v>6500</v>
      </c>
    </row>
    <row r="1483" customFormat="false" ht="55.2" hidden="false" customHeight="false" outlineLevel="0" collapsed="false">
      <c r="A1483" s="0" t="s">
        <v>1586</v>
      </c>
      <c r="B1483" s="0" t="s">
        <v>326</v>
      </c>
      <c r="C1483" s="14" t="s">
        <v>6501</v>
      </c>
    </row>
    <row r="1484" customFormat="false" ht="28.35" hidden="false" customHeight="false" outlineLevel="0" collapsed="false">
      <c r="A1484" s="0" t="s">
        <v>2936</v>
      </c>
      <c r="B1484" s="0" t="s">
        <v>326</v>
      </c>
      <c r="C1484" s="14" t="s">
        <v>6502</v>
      </c>
    </row>
    <row r="1485" customFormat="false" ht="28.35" hidden="false" customHeight="false" outlineLevel="0" collapsed="false">
      <c r="A1485" s="0" t="s">
        <v>1764</v>
      </c>
      <c r="B1485" s="0" t="s">
        <v>96</v>
      </c>
      <c r="C1485" s="14" t="s">
        <v>6503</v>
      </c>
    </row>
    <row r="1486" customFormat="false" ht="28.35" hidden="false" customHeight="false" outlineLevel="0" collapsed="false">
      <c r="A1486" s="0" t="s">
        <v>1776</v>
      </c>
      <c r="B1486" s="0" t="s">
        <v>96</v>
      </c>
      <c r="C1486" s="14" t="s">
        <v>6504</v>
      </c>
      <c r="D1486" s="0" t="s">
        <v>6505</v>
      </c>
    </row>
    <row r="1487" customFormat="false" ht="41.75" hidden="false" customHeight="false" outlineLevel="0" collapsed="false">
      <c r="A1487" s="0" t="s">
        <v>2014</v>
      </c>
      <c r="B1487" s="0" t="s">
        <v>96</v>
      </c>
      <c r="C1487" s="14" t="s">
        <v>6506</v>
      </c>
    </row>
    <row r="1488" customFormat="false" ht="28.35" hidden="false" customHeight="false" outlineLevel="0" collapsed="false">
      <c r="A1488" s="0" t="s">
        <v>1748</v>
      </c>
      <c r="B1488" s="0" t="s">
        <v>96</v>
      </c>
      <c r="C1488" s="14" t="s">
        <v>6263</v>
      </c>
    </row>
    <row r="1489" customFormat="false" ht="28.35" hidden="false" customHeight="false" outlineLevel="0" collapsed="false">
      <c r="A1489" s="0" t="s">
        <v>957</v>
      </c>
      <c r="B1489" s="0" t="s">
        <v>96</v>
      </c>
      <c r="C1489" s="14" t="s">
        <v>6507</v>
      </c>
      <c r="D1489" s="0" t="s">
        <v>6508</v>
      </c>
    </row>
    <row r="1490" customFormat="false" ht="28.35" hidden="false" customHeight="false" outlineLevel="0" collapsed="false">
      <c r="A1490" s="0" t="s">
        <v>1589</v>
      </c>
      <c r="B1490" s="0" t="s">
        <v>96</v>
      </c>
      <c r="C1490" s="14" t="s">
        <v>4651</v>
      </c>
    </row>
    <row r="1491" customFormat="false" ht="28.35" hidden="false" customHeight="false" outlineLevel="0" collapsed="false">
      <c r="A1491" s="0" t="s">
        <v>2508</v>
      </c>
      <c r="B1491" s="0" t="s">
        <v>600</v>
      </c>
      <c r="C1491" s="14" t="s">
        <v>6509</v>
      </c>
    </row>
    <row r="1492" customFormat="false" ht="202.95" hidden="false" customHeight="false" outlineLevel="0" collapsed="false">
      <c r="A1492" s="0" t="s">
        <v>2928</v>
      </c>
      <c r="B1492" s="0" t="s">
        <v>600</v>
      </c>
      <c r="C1492" s="14" t="s">
        <v>6510</v>
      </c>
      <c r="D1492" s="14" t="s">
        <v>6511</v>
      </c>
    </row>
    <row r="1493" customFormat="false" ht="243.25" hidden="false" customHeight="false" outlineLevel="0" collapsed="false">
      <c r="A1493" s="0" t="s">
        <v>2150</v>
      </c>
      <c r="B1493" s="0" t="s">
        <v>600</v>
      </c>
      <c r="C1493" s="14" t="s">
        <v>6512</v>
      </c>
      <c r="D1493" s="14" t="s">
        <v>6513</v>
      </c>
    </row>
    <row r="1494" customFormat="false" ht="95.5" hidden="false" customHeight="false" outlineLevel="0" collapsed="false">
      <c r="A1494" s="0" t="s">
        <v>2903</v>
      </c>
      <c r="B1494" s="0" t="s">
        <v>600</v>
      </c>
      <c r="C1494" s="14" t="s">
        <v>6514</v>
      </c>
      <c r="D1494" s="14" t="s">
        <v>6515</v>
      </c>
    </row>
    <row r="1495" customFormat="false" ht="176.1" hidden="false" customHeight="false" outlineLevel="0" collapsed="false">
      <c r="A1495" s="0" t="s">
        <v>2995</v>
      </c>
      <c r="B1495" s="0" t="s">
        <v>600</v>
      </c>
      <c r="C1495" s="14" t="s">
        <v>6516</v>
      </c>
      <c r="D1495" s="14" t="s">
        <v>6517</v>
      </c>
    </row>
    <row r="1496" customFormat="false" ht="108.95" hidden="false" customHeight="false" outlineLevel="0" collapsed="false">
      <c r="A1496" s="0" t="s">
        <v>2735</v>
      </c>
      <c r="B1496" s="0" t="s">
        <v>600</v>
      </c>
      <c r="C1496" s="14" t="s">
        <v>6518</v>
      </c>
      <c r="D1496" s="14" t="s">
        <v>6519</v>
      </c>
    </row>
    <row r="1497" customFormat="false" ht="41.75" hidden="false" customHeight="false" outlineLevel="0" collapsed="false">
      <c r="A1497" s="0" t="s">
        <v>3285</v>
      </c>
      <c r="B1497" s="0" t="s">
        <v>96</v>
      </c>
      <c r="C1497" s="14" t="s">
        <v>6520</v>
      </c>
      <c r="D1497" s="14" t="s">
        <v>6521</v>
      </c>
    </row>
    <row r="1498" customFormat="false" ht="55.2" hidden="false" customHeight="false" outlineLevel="0" collapsed="false">
      <c r="A1498" s="0" t="s">
        <v>2974</v>
      </c>
      <c r="B1498" s="0" t="s">
        <v>96</v>
      </c>
      <c r="C1498" s="0" t="s">
        <v>6522</v>
      </c>
      <c r="D1498" s="14" t="s">
        <v>6523</v>
      </c>
    </row>
    <row r="1499" customFormat="false" ht="55.2" hidden="false" customHeight="false" outlineLevel="0" collapsed="false">
      <c r="A1499" s="0" t="s">
        <v>3467</v>
      </c>
      <c r="B1499" s="0" t="s">
        <v>96</v>
      </c>
      <c r="C1499" s="14" t="s">
        <v>6524</v>
      </c>
      <c r="D1499" s="14" t="s">
        <v>6525</v>
      </c>
    </row>
    <row r="1500" customFormat="false" ht="135.8" hidden="false" customHeight="false" outlineLevel="0" collapsed="false">
      <c r="A1500" s="0" t="s">
        <v>3347</v>
      </c>
      <c r="B1500" s="0" t="s">
        <v>96</v>
      </c>
      <c r="C1500" s="14" t="s">
        <v>6526</v>
      </c>
      <c r="D1500" s="14" t="s">
        <v>6527</v>
      </c>
    </row>
    <row r="1501" customFormat="false" ht="162.65" hidden="false" customHeight="false" outlineLevel="0" collapsed="false">
      <c r="A1501" s="0" t="s">
        <v>3349</v>
      </c>
      <c r="B1501" s="0" t="s">
        <v>96</v>
      </c>
      <c r="C1501" s="14" t="s">
        <v>6528</v>
      </c>
      <c r="D1501" s="14" t="s">
        <v>6529</v>
      </c>
    </row>
    <row r="1502" customFormat="false" ht="28.35" hidden="false" customHeight="false" outlineLevel="0" collapsed="false">
      <c r="A1502" s="0" t="s">
        <v>2436</v>
      </c>
      <c r="B1502" s="0" t="s">
        <v>96</v>
      </c>
      <c r="C1502" s="0" t="s">
        <v>6343</v>
      </c>
      <c r="D1502" s="14" t="s">
        <v>6530</v>
      </c>
    </row>
    <row r="1503" customFormat="false" ht="15" hidden="false" customHeight="false" outlineLevel="0" collapsed="false">
      <c r="A1503" s="0" t="s">
        <v>2776</v>
      </c>
      <c r="B1503" s="0" t="s">
        <v>96</v>
      </c>
      <c r="C1503" s="0" t="s">
        <v>6531</v>
      </c>
      <c r="D1503" s="0" t="s">
        <v>2777</v>
      </c>
    </row>
    <row r="1504" customFormat="false" ht="55.2" hidden="false" customHeight="false" outlineLevel="0" collapsed="false">
      <c r="A1504" s="0" t="s">
        <v>2589</v>
      </c>
      <c r="B1504" s="0" t="s">
        <v>1714</v>
      </c>
      <c r="C1504" s="14" t="s">
        <v>6532</v>
      </c>
      <c r="D1504" s="0" t="s">
        <v>2591</v>
      </c>
    </row>
    <row r="1505" customFormat="false" ht="68.65" hidden="false" customHeight="false" outlineLevel="0" collapsed="false">
      <c r="A1505" s="0" t="s">
        <v>2171</v>
      </c>
      <c r="B1505" s="0" t="s">
        <v>1714</v>
      </c>
      <c r="C1505" s="14" t="s">
        <v>6486</v>
      </c>
      <c r="D1505" s="0" t="s">
        <v>2173</v>
      </c>
    </row>
    <row r="1506" customFormat="false" ht="55.2" hidden="false" customHeight="false" outlineLevel="0" collapsed="false">
      <c r="A1506" s="0" t="s">
        <v>3187</v>
      </c>
      <c r="B1506" s="0" t="s">
        <v>1714</v>
      </c>
      <c r="C1506" s="14" t="s">
        <v>6533</v>
      </c>
      <c r="D1506" s="0" t="s">
        <v>3188</v>
      </c>
    </row>
    <row r="1507" customFormat="false" ht="55.2" hidden="false" customHeight="false" outlineLevel="0" collapsed="false">
      <c r="A1507" s="0" t="s">
        <v>3150</v>
      </c>
      <c r="B1507" s="0" t="s">
        <v>1714</v>
      </c>
      <c r="C1507" s="14" t="s">
        <v>6534</v>
      </c>
      <c r="D1507" s="0" t="s">
        <v>3152</v>
      </c>
    </row>
    <row r="1508" customFormat="false" ht="95.5" hidden="false" customHeight="false" outlineLevel="0" collapsed="false">
      <c r="A1508" s="0" t="s">
        <v>2710</v>
      </c>
      <c r="B1508" s="0" t="s">
        <v>1714</v>
      </c>
      <c r="C1508" s="14" t="s">
        <v>6535</v>
      </c>
      <c r="D1508" s="0" t="s">
        <v>2712</v>
      </c>
    </row>
    <row r="1509" customFormat="false" ht="28.35" hidden="false" customHeight="false" outlineLevel="0" collapsed="false">
      <c r="A1509" s="0" t="s">
        <v>2487</v>
      </c>
      <c r="B1509" s="0" t="s">
        <v>1714</v>
      </c>
      <c r="C1509" s="14" t="s">
        <v>6536</v>
      </c>
      <c r="D1509" s="0" t="s">
        <v>2489</v>
      </c>
    </row>
    <row r="1510" customFormat="false" ht="41.75" hidden="false" customHeight="false" outlineLevel="0" collapsed="false">
      <c r="A1510" s="0" t="s">
        <v>2291</v>
      </c>
      <c r="B1510" s="0" t="s">
        <v>1714</v>
      </c>
      <c r="C1510" s="14" t="s">
        <v>6484</v>
      </c>
      <c r="D1510" s="0" t="s">
        <v>2293</v>
      </c>
    </row>
    <row r="1511" customFormat="false" ht="28.35" hidden="false" customHeight="false" outlineLevel="0" collapsed="false">
      <c r="A1511" s="0" t="s">
        <v>2819</v>
      </c>
      <c r="B1511" s="0" t="s">
        <v>1714</v>
      </c>
      <c r="C1511" s="14" t="s">
        <v>5876</v>
      </c>
      <c r="D1511" s="0" t="s">
        <v>2820</v>
      </c>
    </row>
    <row r="1512" customFormat="false" ht="149.25" hidden="false" customHeight="false" outlineLevel="0" collapsed="false">
      <c r="A1512" s="0" t="s">
        <v>2948</v>
      </c>
      <c r="B1512" s="0" t="s">
        <v>1714</v>
      </c>
      <c r="C1512" s="14" t="s">
        <v>6022</v>
      </c>
      <c r="D1512" s="0" t="s">
        <v>2950</v>
      </c>
      <c r="E1512" s="0" t="s">
        <v>6537</v>
      </c>
    </row>
    <row r="1513" customFormat="false" ht="28.35" hidden="false" customHeight="false" outlineLevel="0" collapsed="false">
      <c r="A1513" s="0" t="s">
        <v>3465</v>
      </c>
      <c r="B1513" s="0" t="s">
        <v>1714</v>
      </c>
      <c r="C1513" s="14" t="s">
        <v>6076</v>
      </c>
      <c r="D1513" s="0" t="s">
        <v>3466</v>
      </c>
      <c r="E1513" s="0" t="s">
        <v>6537</v>
      </c>
    </row>
    <row r="1514" customFormat="false" ht="55.2" hidden="false" customHeight="false" outlineLevel="0" collapsed="false">
      <c r="A1514" s="0" t="s">
        <v>2521</v>
      </c>
      <c r="B1514" s="0" t="s">
        <v>1714</v>
      </c>
      <c r="C1514" s="14" t="s">
        <v>6538</v>
      </c>
      <c r="D1514" s="0" t="s">
        <v>2523</v>
      </c>
      <c r="E1514" s="14" t="s">
        <v>6539</v>
      </c>
    </row>
    <row r="1515" customFormat="false" ht="68.65" hidden="false" customHeight="false" outlineLevel="0" collapsed="false">
      <c r="A1515" s="0" t="s">
        <v>2991</v>
      </c>
      <c r="B1515" s="0" t="s">
        <v>1714</v>
      </c>
      <c r="C1515" s="14" t="s">
        <v>6540</v>
      </c>
      <c r="D1515" s="0" t="s">
        <v>2992</v>
      </c>
      <c r="E1515" s="0" t="s">
        <v>6541</v>
      </c>
    </row>
    <row r="1516" customFormat="false" ht="28.35" hidden="false" customHeight="false" outlineLevel="0" collapsed="false">
      <c r="A1516" s="0" t="s">
        <v>2631</v>
      </c>
      <c r="B1516" s="0" t="s">
        <v>1714</v>
      </c>
      <c r="C1516" s="14" t="s">
        <v>6542</v>
      </c>
    </row>
    <row r="1517" customFormat="false" ht="162.65" hidden="false" customHeight="false" outlineLevel="0" collapsed="false">
      <c r="A1517" s="0" t="s">
        <v>2626</v>
      </c>
      <c r="B1517" s="0" t="s">
        <v>1714</v>
      </c>
      <c r="C1517" s="14" t="s">
        <v>5979</v>
      </c>
      <c r="D1517" s="0" t="s">
        <v>2627</v>
      </c>
      <c r="E1517" s="0" t="s">
        <v>6543</v>
      </c>
    </row>
    <row r="1518" customFormat="false" ht="41.75" hidden="false" customHeight="false" outlineLevel="0" collapsed="false">
      <c r="A1518" s="0" t="s">
        <v>2033</v>
      </c>
      <c r="B1518" s="0" t="s">
        <v>1714</v>
      </c>
      <c r="C1518" s="14" t="s">
        <v>6176</v>
      </c>
      <c r="D1518" s="0" t="s">
        <v>2035</v>
      </c>
      <c r="E1518" s="0" t="s">
        <v>6543</v>
      </c>
    </row>
    <row r="1519" customFormat="false" ht="15" hidden="false" customHeight="false" outlineLevel="0" collapsed="false">
      <c r="A1519" s="0" t="s">
        <v>2951</v>
      </c>
      <c r="B1519" s="0" t="s">
        <v>1714</v>
      </c>
      <c r="C1519" s="0" t="s">
        <v>6544</v>
      </c>
      <c r="D1519" s="0" t="s">
        <v>2952</v>
      </c>
      <c r="E1519" s="0" t="s">
        <v>6543</v>
      </c>
    </row>
    <row r="1520" customFormat="false" ht="95.5" hidden="false" customHeight="false" outlineLevel="0" collapsed="false">
      <c r="A1520" s="0" t="s">
        <v>2731</v>
      </c>
      <c r="B1520" s="0" t="s">
        <v>1714</v>
      </c>
      <c r="C1520" s="14" t="s">
        <v>6545</v>
      </c>
      <c r="D1520" s="0" t="s">
        <v>2733</v>
      </c>
      <c r="E1520" s="0" t="s">
        <v>6543</v>
      </c>
    </row>
    <row r="1521" customFormat="false" ht="28.35" hidden="false" customHeight="false" outlineLevel="0" collapsed="false">
      <c r="A1521" s="0" t="s">
        <v>2841</v>
      </c>
      <c r="B1521" s="0" t="s">
        <v>1714</v>
      </c>
      <c r="C1521" s="14" t="s">
        <v>6546</v>
      </c>
    </row>
    <row r="1522" customFormat="false" ht="28.35" hidden="false" customHeight="false" outlineLevel="0" collapsed="false">
      <c r="A1522" s="0" t="s">
        <v>2729</v>
      </c>
      <c r="B1522" s="0" t="s">
        <v>2730</v>
      </c>
      <c r="C1522" s="0" t="s">
        <v>6547</v>
      </c>
      <c r="D1522" s="0" t="s">
        <v>6548</v>
      </c>
      <c r="E1522" s="14" t="s">
        <v>6549</v>
      </c>
    </row>
    <row r="1523" customFormat="false" ht="41.75" hidden="false" customHeight="false" outlineLevel="0" collapsed="false">
      <c r="A1523" s="0" t="s">
        <v>2797</v>
      </c>
      <c r="B1523" s="0" t="s">
        <v>1714</v>
      </c>
      <c r="C1523" s="14" t="s">
        <v>6136</v>
      </c>
      <c r="D1523" s="0" t="s">
        <v>2798</v>
      </c>
    </row>
    <row r="1524" customFormat="false" ht="15" hidden="false" customHeight="false" outlineLevel="0" collapsed="false">
      <c r="A1524" s="0" t="s">
        <v>1712</v>
      </c>
      <c r="B1524" s="0" t="s">
        <v>1714</v>
      </c>
      <c r="C1524" s="0" t="s">
        <v>6144</v>
      </c>
      <c r="D1524" s="0" t="s">
        <v>1715</v>
      </c>
    </row>
    <row r="1525" customFormat="false" ht="28.35" hidden="false" customHeight="false" outlineLevel="0" collapsed="false">
      <c r="A1525" s="0" t="s">
        <v>3550</v>
      </c>
      <c r="B1525" s="0" t="s">
        <v>1714</v>
      </c>
      <c r="C1525" s="0" t="s">
        <v>6550</v>
      </c>
      <c r="D1525" s="14" t="s">
        <v>6551</v>
      </c>
    </row>
    <row r="1526" customFormat="false" ht="41.75" hidden="false" customHeight="false" outlineLevel="0" collapsed="false">
      <c r="A1526" s="0" t="s">
        <v>6552</v>
      </c>
      <c r="B1526" s="0" t="s">
        <v>1714</v>
      </c>
      <c r="C1526" s="0" t="s">
        <v>6553</v>
      </c>
      <c r="D1526" s="14" t="s">
        <v>6554</v>
      </c>
    </row>
    <row r="1527" customFormat="false" ht="41.75" hidden="false" customHeight="false" outlineLevel="0" collapsed="false">
      <c r="A1527" s="0" t="s">
        <v>3324</v>
      </c>
      <c r="B1527" s="0" t="s">
        <v>1714</v>
      </c>
      <c r="C1527" s="14" t="s">
        <v>6555</v>
      </c>
      <c r="D1527" s="14" t="s">
        <v>6556</v>
      </c>
      <c r="E1527" s="14" t="s">
        <v>6557</v>
      </c>
    </row>
    <row r="1528" customFormat="false" ht="55.2" hidden="false" customHeight="false" outlineLevel="0" collapsed="false">
      <c r="A1528" s="0" t="s">
        <v>3666</v>
      </c>
      <c r="B1528" s="0" t="s">
        <v>1714</v>
      </c>
      <c r="C1528" s="14" t="s">
        <v>6558</v>
      </c>
      <c r="D1528" s="14" t="s">
        <v>6559</v>
      </c>
      <c r="E1528" s="14" t="s">
        <v>6557</v>
      </c>
    </row>
    <row r="1529" customFormat="false" ht="41.75" hidden="false" customHeight="false" outlineLevel="0" collapsed="false">
      <c r="A1529" s="0" t="s">
        <v>3627</v>
      </c>
      <c r="B1529" s="0" t="s">
        <v>1714</v>
      </c>
      <c r="C1529" s="14" t="s">
        <v>6560</v>
      </c>
      <c r="D1529" s="0" t="s">
        <v>3628</v>
      </c>
      <c r="E1529" s="14" t="s">
        <v>6557</v>
      </c>
    </row>
    <row r="1530" customFormat="false" ht="41.75" hidden="false" customHeight="false" outlineLevel="0" collapsed="false">
      <c r="A1530" s="0" t="s">
        <v>3629</v>
      </c>
      <c r="B1530" s="0" t="s">
        <v>1714</v>
      </c>
      <c r="C1530" s="14" t="s">
        <v>6561</v>
      </c>
      <c r="D1530" s="0" t="s">
        <v>3630</v>
      </c>
      <c r="E1530" s="14" t="s">
        <v>6557</v>
      </c>
    </row>
    <row r="1531" customFormat="false" ht="887.3" hidden="false" customHeight="false" outlineLevel="0" collapsed="false">
      <c r="A1531" s="0" t="s">
        <v>3668</v>
      </c>
      <c r="B1531" s="0" t="s">
        <v>1714</v>
      </c>
      <c r="C1531" s="14" t="s">
        <v>6562</v>
      </c>
      <c r="D1531" s="14" t="s">
        <v>6563</v>
      </c>
      <c r="E1531" s="14" t="s">
        <v>6557</v>
      </c>
    </row>
    <row r="1532" customFormat="false" ht="391" hidden="false" customHeight="false" outlineLevel="0" collapsed="false">
      <c r="A1532" s="0" t="s">
        <v>3631</v>
      </c>
      <c r="B1532" s="0" t="s">
        <v>1714</v>
      </c>
      <c r="C1532" s="14" t="s">
        <v>6564</v>
      </c>
      <c r="D1532" s="14" t="s">
        <v>6565</v>
      </c>
      <c r="E1532" s="14" t="s">
        <v>6566</v>
      </c>
    </row>
    <row r="1533" customFormat="false" ht="41.75" hidden="false" customHeight="false" outlineLevel="0" collapsed="false">
      <c r="A1533" s="0" t="s">
        <v>3561</v>
      </c>
      <c r="B1533" s="0" t="s">
        <v>1714</v>
      </c>
      <c r="C1533" s="14" t="s">
        <v>6567</v>
      </c>
      <c r="D1533" s="0" t="s">
        <v>3562</v>
      </c>
      <c r="E1533" s="14" t="s">
        <v>6557</v>
      </c>
    </row>
    <row r="1534" customFormat="false" ht="41.75" hidden="false" customHeight="false" outlineLevel="0" collapsed="false">
      <c r="A1534" s="0" t="s">
        <v>3656</v>
      </c>
      <c r="B1534" s="0" t="s">
        <v>1714</v>
      </c>
      <c r="C1534" s="14" t="s">
        <v>6568</v>
      </c>
      <c r="D1534" s="14" t="s">
        <v>6569</v>
      </c>
      <c r="E1534" s="14" t="s">
        <v>6570</v>
      </c>
    </row>
    <row r="1535" customFormat="false" ht="41.75" hidden="false" customHeight="false" outlineLevel="0" collapsed="false">
      <c r="A1535" s="0" t="s">
        <v>3671</v>
      </c>
      <c r="B1535" s="0" t="s">
        <v>1714</v>
      </c>
      <c r="C1535" s="14" t="s">
        <v>6571</v>
      </c>
      <c r="D1535" s="0" t="s">
        <v>3673</v>
      </c>
      <c r="E1535" s="14" t="s">
        <v>6570</v>
      </c>
    </row>
    <row r="1536" customFormat="false" ht="41.75" hidden="false" customHeight="false" outlineLevel="0" collapsed="false">
      <c r="A1536" s="0" t="s">
        <v>3674</v>
      </c>
      <c r="B1536" s="0" t="s">
        <v>1714</v>
      </c>
      <c r="C1536" s="14" t="s">
        <v>6572</v>
      </c>
      <c r="D1536" s="0" t="s">
        <v>3676</v>
      </c>
      <c r="E1536" s="14" t="s">
        <v>6570</v>
      </c>
    </row>
    <row r="1537" customFormat="false" ht="68.65" hidden="false" customHeight="false" outlineLevel="0" collapsed="false">
      <c r="A1537" s="0" t="s">
        <v>3635</v>
      </c>
      <c r="B1537" s="0" t="s">
        <v>1714</v>
      </c>
      <c r="C1537" s="14" t="s">
        <v>6573</v>
      </c>
      <c r="D1537" s="0" t="s">
        <v>3638</v>
      </c>
      <c r="E1537" s="14" t="s">
        <v>6557</v>
      </c>
    </row>
    <row r="1538" customFormat="false" ht="283.55" hidden="false" customHeight="false" outlineLevel="0" collapsed="false">
      <c r="A1538" s="0" t="s">
        <v>124</v>
      </c>
      <c r="B1538" s="0" t="s">
        <v>126</v>
      </c>
      <c r="C1538" s="14" t="s">
        <v>6574</v>
      </c>
      <c r="D1538" s="0" t="s">
        <v>128</v>
      </c>
      <c r="E1538" s="0" t="s">
        <v>6575</v>
      </c>
    </row>
    <row r="1539" customFormat="false" ht="41.75" hidden="false" customHeight="false" outlineLevel="0" collapsed="false">
      <c r="A1539" s="0" t="s">
        <v>434</v>
      </c>
      <c r="B1539" s="0" t="s">
        <v>235</v>
      </c>
      <c r="C1539" s="14" t="s">
        <v>6151</v>
      </c>
      <c r="D1539" s="14" t="s">
        <v>6576</v>
      </c>
      <c r="E1539" s="0" t="s">
        <v>6577</v>
      </c>
    </row>
    <row r="1540" customFormat="false" ht="55.2" hidden="false" customHeight="false" outlineLevel="0" collapsed="false">
      <c r="A1540" s="0" t="s">
        <v>1029</v>
      </c>
      <c r="B1540" s="0" t="s">
        <v>235</v>
      </c>
      <c r="C1540" s="14" t="s">
        <v>6578</v>
      </c>
      <c r="D1540" s="14" t="s">
        <v>6579</v>
      </c>
      <c r="E1540" s="0" t="s">
        <v>6580</v>
      </c>
    </row>
    <row r="1541" customFormat="false" ht="41.75" hidden="false" customHeight="false" outlineLevel="0" collapsed="false">
      <c r="A1541" s="0" t="s">
        <v>343</v>
      </c>
      <c r="B1541" s="0" t="s">
        <v>235</v>
      </c>
      <c r="C1541" s="0" t="s">
        <v>5512</v>
      </c>
      <c r="D1541" s="14" t="s">
        <v>6581</v>
      </c>
      <c r="E1541" s="0" t="s">
        <v>6577</v>
      </c>
    </row>
    <row r="1542" customFormat="false" ht="41.75" hidden="false" customHeight="false" outlineLevel="0" collapsed="false">
      <c r="A1542" s="0" t="s">
        <v>6582</v>
      </c>
      <c r="B1542" s="0" t="s">
        <v>235</v>
      </c>
      <c r="C1542" s="0" t="s">
        <v>5512</v>
      </c>
      <c r="D1542" s="14" t="s">
        <v>6581</v>
      </c>
      <c r="E1542" s="0" t="s">
        <v>6583</v>
      </c>
    </row>
    <row r="1543" customFormat="false" ht="28.35" hidden="false" customHeight="false" outlineLevel="0" collapsed="false">
      <c r="A1543" s="0" t="s">
        <v>1137</v>
      </c>
      <c r="B1543" s="0" t="s">
        <v>126</v>
      </c>
      <c r="C1543" s="14" t="s">
        <v>6584</v>
      </c>
      <c r="D1543" s="0" t="s">
        <v>1138</v>
      </c>
      <c r="E1543" s="14" t="s">
        <v>6585</v>
      </c>
    </row>
    <row r="1544" customFormat="false" ht="108.95" hidden="false" customHeight="false" outlineLevel="0" collapsed="false">
      <c r="A1544" s="0" t="s">
        <v>784</v>
      </c>
      <c r="B1544" s="0" t="s">
        <v>235</v>
      </c>
      <c r="C1544" s="14" t="s">
        <v>6586</v>
      </c>
      <c r="D1544" s="14" t="s">
        <v>6587</v>
      </c>
    </row>
    <row r="1545" customFormat="false" ht="216.4" hidden="false" customHeight="false" outlineLevel="0" collapsed="false">
      <c r="A1545" s="0" t="s">
        <v>1089</v>
      </c>
      <c r="B1545" s="0" t="s">
        <v>235</v>
      </c>
      <c r="C1545" s="14" t="s">
        <v>6187</v>
      </c>
      <c r="D1545" s="14" t="s">
        <v>6588</v>
      </c>
      <c r="E1545" s="0" t="s">
        <v>6589</v>
      </c>
    </row>
    <row r="1546" customFormat="false" ht="229.85" hidden="false" customHeight="false" outlineLevel="0" collapsed="false">
      <c r="A1546" s="0" t="s">
        <v>1080</v>
      </c>
      <c r="B1546" s="0" t="s">
        <v>235</v>
      </c>
      <c r="C1546" s="14" t="s">
        <v>6590</v>
      </c>
      <c r="D1546" s="14" t="s">
        <v>6591</v>
      </c>
      <c r="E1546" s="0" t="s">
        <v>6592</v>
      </c>
    </row>
    <row r="1547" customFormat="false" ht="873.85" hidden="false" customHeight="false" outlineLevel="0" collapsed="false">
      <c r="A1547" s="0" t="s">
        <v>863</v>
      </c>
      <c r="B1547" s="0" t="s">
        <v>235</v>
      </c>
      <c r="C1547" s="14" t="s">
        <v>6114</v>
      </c>
      <c r="D1547" s="0" t="s">
        <v>864</v>
      </c>
      <c r="E1547" s="0" t="s">
        <v>6577</v>
      </c>
    </row>
    <row r="1548" customFormat="false" ht="498.5" hidden="false" customHeight="false" outlineLevel="0" collapsed="false">
      <c r="A1548" s="0" t="s">
        <v>587</v>
      </c>
      <c r="B1548" s="0" t="s">
        <v>235</v>
      </c>
      <c r="C1548" s="14" t="s">
        <v>6593</v>
      </c>
      <c r="D1548" s="14" t="s">
        <v>6594</v>
      </c>
      <c r="E1548" s="0" t="s">
        <v>6595</v>
      </c>
    </row>
    <row r="1549" customFormat="false" ht="68.65" hidden="false" customHeight="false" outlineLevel="0" collapsed="false">
      <c r="A1549" s="0" t="s">
        <v>948</v>
      </c>
      <c r="B1549" s="0" t="s">
        <v>126</v>
      </c>
      <c r="C1549" s="14" t="s">
        <v>6596</v>
      </c>
      <c r="D1549" s="14" t="s">
        <v>6597</v>
      </c>
      <c r="E1549" s="0" t="s">
        <v>6598</v>
      </c>
    </row>
    <row r="1550" customFormat="false" ht="82.05" hidden="false" customHeight="false" outlineLevel="0" collapsed="false">
      <c r="A1550" s="0" t="s">
        <v>444</v>
      </c>
      <c r="B1550" s="0" t="s">
        <v>235</v>
      </c>
      <c r="C1550" s="14" t="s">
        <v>6599</v>
      </c>
      <c r="D1550" s="14" t="s">
        <v>6600</v>
      </c>
      <c r="E1550" s="0" t="s">
        <v>6595</v>
      </c>
    </row>
    <row r="1551" customFormat="false" ht="216.4" hidden="false" customHeight="false" outlineLevel="0" collapsed="false">
      <c r="A1551" s="0" t="s">
        <v>1433</v>
      </c>
      <c r="B1551" s="0" t="s">
        <v>126</v>
      </c>
      <c r="C1551" s="14" t="s">
        <v>6187</v>
      </c>
      <c r="D1551" s="0" t="s">
        <v>1434</v>
      </c>
      <c r="E1551" s="14" t="s">
        <v>6601</v>
      </c>
    </row>
    <row r="1552" customFormat="false" ht="243.25" hidden="false" customHeight="false" outlineLevel="0" collapsed="false">
      <c r="A1552" s="0" t="s">
        <v>1121</v>
      </c>
      <c r="B1552" s="0" t="s">
        <v>126</v>
      </c>
      <c r="C1552" s="14" t="s">
        <v>6602</v>
      </c>
      <c r="D1552" s="14" t="s">
        <v>6603</v>
      </c>
    </row>
    <row r="1553" customFormat="false" ht="68.65" hidden="false" customHeight="false" outlineLevel="0" collapsed="false">
      <c r="A1553" s="0" t="s">
        <v>233</v>
      </c>
      <c r="B1553" s="0" t="s">
        <v>235</v>
      </c>
      <c r="C1553" s="14" t="s">
        <v>6604</v>
      </c>
      <c r="D1553" s="0" t="s">
        <v>236</v>
      </c>
      <c r="E1553" s="0" t="s">
        <v>6605</v>
      </c>
    </row>
    <row r="1554" customFormat="false" ht="270.1" hidden="false" customHeight="false" outlineLevel="0" collapsed="false">
      <c r="A1554" s="0" t="s">
        <v>676</v>
      </c>
      <c r="B1554" s="0" t="s">
        <v>235</v>
      </c>
      <c r="C1554" s="14" t="s">
        <v>6167</v>
      </c>
      <c r="D1554" s="14" t="s">
        <v>6606</v>
      </c>
      <c r="E1554" s="0" t="s">
        <v>6607</v>
      </c>
    </row>
    <row r="1555" customFormat="false" ht="149.25" hidden="false" customHeight="false" outlineLevel="0" collapsed="false">
      <c r="A1555" s="0" t="s">
        <v>945</v>
      </c>
      <c r="B1555" s="0" t="s">
        <v>235</v>
      </c>
      <c r="C1555" s="14" t="s">
        <v>6608</v>
      </c>
      <c r="D1555" s="14" t="s">
        <v>6609</v>
      </c>
      <c r="E1555" s="0" t="s">
        <v>6577</v>
      </c>
    </row>
    <row r="1556" customFormat="false" ht="243.25" hidden="false" customHeight="false" outlineLevel="0" collapsed="false">
      <c r="A1556" s="0" t="s">
        <v>989</v>
      </c>
      <c r="B1556" s="0" t="s">
        <v>126</v>
      </c>
      <c r="C1556" s="14" t="s">
        <v>6610</v>
      </c>
      <c r="D1556" s="0" t="s">
        <v>990</v>
      </c>
      <c r="E1556" s="0" t="s">
        <v>6575</v>
      </c>
    </row>
    <row r="1557" customFormat="false" ht="41.75" hidden="false" customHeight="false" outlineLevel="0" collapsed="false">
      <c r="A1557" s="0" t="s">
        <v>1195</v>
      </c>
      <c r="B1557" s="0" t="s">
        <v>235</v>
      </c>
      <c r="C1557" s="14" t="s">
        <v>6176</v>
      </c>
      <c r="D1557" s="0" t="s">
        <v>1197</v>
      </c>
      <c r="E1557" s="0" t="s">
        <v>6575</v>
      </c>
    </row>
    <row r="1558" customFormat="false" ht="28.35" hidden="false" customHeight="false" outlineLevel="0" collapsed="false">
      <c r="A1558" s="0" t="s">
        <v>760</v>
      </c>
      <c r="B1558" s="0" t="s">
        <v>235</v>
      </c>
      <c r="C1558" s="14" t="s">
        <v>6611</v>
      </c>
      <c r="D1558" s="0" t="s">
        <v>6612</v>
      </c>
      <c r="E1558" s="0" t="s">
        <v>6613</v>
      </c>
    </row>
    <row r="1559" customFormat="false" ht="55.2" hidden="false" customHeight="false" outlineLevel="0" collapsed="false">
      <c r="A1559" s="0" t="s">
        <v>1217</v>
      </c>
      <c r="B1559" s="0" t="s">
        <v>235</v>
      </c>
      <c r="C1559" s="14" t="s">
        <v>5895</v>
      </c>
      <c r="D1559" s="0" t="s">
        <v>1218</v>
      </c>
      <c r="E1559" s="14" t="s">
        <v>6614</v>
      </c>
    </row>
    <row r="1560" customFormat="false" ht="55.2" hidden="false" customHeight="false" outlineLevel="0" collapsed="false">
      <c r="A1560" s="0" t="s">
        <v>626</v>
      </c>
      <c r="B1560" s="0" t="s">
        <v>235</v>
      </c>
      <c r="C1560" s="14" t="s">
        <v>5895</v>
      </c>
      <c r="D1560" s="0" t="s">
        <v>628</v>
      </c>
    </row>
    <row r="1561" customFormat="false" ht="377.6" hidden="false" customHeight="false" outlineLevel="0" collapsed="false">
      <c r="A1561" s="0" t="s">
        <v>1139</v>
      </c>
      <c r="B1561" s="0" t="s">
        <v>235</v>
      </c>
      <c r="C1561" s="14" t="s">
        <v>6615</v>
      </c>
      <c r="D1561" s="14" t="s">
        <v>6616</v>
      </c>
      <c r="E1561" s="0" t="s">
        <v>6617</v>
      </c>
    </row>
    <row r="1562" customFormat="false" ht="41.75" hidden="false" customHeight="false" outlineLevel="0" collapsed="false">
      <c r="A1562" s="0" t="s">
        <v>577</v>
      </c>
      <c r="B1562" s="0" t="s">
        <v>235</v>
      </c>
      <c r="C1562" s="14" t="s">
        <v>6618</v>
      </c>
      <c r="D1562" s="14" t="s">
        <v>6619</v>
      </c>
      <c r="E1562" s="0" t="s">
        <v>6577</v>
      </c>
    </row>
    <row r="1563" customFormat="false" ht="41.75" hidden="false" customHeight="false" outlineLevel="0" collapsed="false">
      <c r="A1563" s="0" t="s">
        <v>820</v>
      </c>
      <c r="B1563" s="0" t="s">
        <v>235</v>
      </c>
      <c r="C1563" s="0" t="s">
        <v>6477</v>
      </c>
      <c r="D1563" s="14" t="s">
        <v>6620</v>
      </c>
      <c r="E1563" s="0" t="s">
        <v>6577</v>
      </c>
    </row>
    <row r="1564" customFormat="false" ht="41.75" hidden="false" customHeight="false" outlineLevel="0" collapsed="false">
      <c r="A1564" s="0" t="s">
        <v>1595</v>
      </c>
      <c r="B1564" s="0" t="s">
        <v>235</v>
      </c>
      <c r="C1564" s="0" t="s">
        <v>6144</v>
      </c>
      <c r="D1564" s="0" t="s">
        <v>1596</v>
      </c>
      <c r="E1564" s="14" t="s">
        <v>6621</v>
      </c>
    </row>
    <row r="1565" customFormat="false" ht="15" hidden="false" customHeight="false" outlineLevel="0" collapsed="false">
      <c r="A1565" s="0" t="s">
        <v>1299</v>
      </c>
      <c r="B1565" s="0" t="s">
        <v>235</v>
      </c>
      <c r="C1565" s="0" t="s">
        <v>6622</v>
      </c>
      <c r="D1565" s="0" t="s">
        <v>1301</v>
      </c>
      <c r="E1565" s="0" t="s">
        <v>6577</v>
      </c>
    </row>
    <row r="1566" customFormat="false" ht="41.75" hidden="false" customHeight="false" outlineLevel="0" collapsed="false">
      <c r="A1566" s="0" t="s">
        <v>501</v>
      </c>
      <c r="B1566" s="0" t="s">
        <v>235</v>
      </c>
      <c r="C1566" s="14" t="s">
        <v>6623</v>
      </c>
      <c r="D1566" s="0" t="s">
        <v>503</v>
      </c>
      <c r="E1566" s="0" t="s">
        <v>6575</v>
      </c>
    </row>
    <row r="1567" customFormat="false" ht="82.05" hidden="false" customHeight="false" outlineLevel="0" collapsed="false">
      <c r="A1567" s="0" t="s">
        <v>579</v>
      </c>
      <c r="B1567" s="0" t="s">
        <v>235</v>
      </c>
      <c r="C1567" s="14" t="s">
        <v>6624</v>
      </c>
      <c r="D1567" s="14" t="s">
        <v>6625</v>
      </c>
      <c r="E1567" s="0" t="s">
        <v>6607</v>
      </c>
    </row>
    <row r="1568" customFormat="false" ht="283.55" hidden="false" customHeight="false" outlineLevel="0" collapsed="false">
      <c r="A1568" s="0" t="s">
        <v>959</v>
      </c>
      <c r="B1568" s="0" t="s">
        <v>126</v>
      </c>
      <c r="C1568" s="14" t="s">
        <v>6626</v>
      </c>
      <c r="D1568" s="0" t="s">
        <v>960</v>
      </c>
      <c r="E1568" s="0" t="s">
        <v>6627</v>
      </c>
    </row>
    <row r="1569" customFormat="false" ht="41.75" hidden="false" customHeight="false" outlineLevel="0" collapsed="false">
      <c r="A1569" s="0" t="s">
        <v>710</v>
      </c>
      <c r="B1569" s="0" t="s">
        <v>126</v>
      </c>
      <c r="C1569" s="14" t="s">
        <v>6628</v>
      </c>
      <c r="D1569" s="0" t="s">
        <v>712</v>
      </c>
    </row>
    <row r="1570" customFormat="false" ht="68.65" hidden="false" customHeight="false" outlineLevel="0" collapsed="false">
      <c r="A1570" s="0" t="s">
        <v>920</v>
      </c>
      <c r="B1570" s="0" t="s">
        <v>126</v>
      </c>
      <c r="C1570" s="14" t="s">
        <v>6629</v>
      </c>
      <c r="D1570" s="0" t="s">
        <v>921</v>
      </c>
      <c r="E1570" s="14" t="s">
        <v>6630</v>
      </c>
    </row>
    <row r="1571" customFormat="false" ht="15" hidden="false" customHeight="false" outlineLevel="0" collapsed="false">
      <c r="A1571" s="0" t="s">
        <v>2109</v>
      </c>
      <c r="B1571" s="0" t="s">
        <v>235</v>
      </c>
      <c r="C1571" s="0" t="s">
        <v>6631</v>
      </c>
      <c r="D1571" s="0" t="s">
        <v>2111</v>
      </c>
      <c r="E1571" s="0" t="s">
        <v>6632</v>
      </c>
    </row>
    <row r="1572" customFormat="false" ht="15" hidden="false" customHeight="false" outlineLevel="0" collapsed="false">
      <c r="A1572" s="0" t="s">
        <v>1068</v>
      </c>
      <c r="B1572" s="0" t="s">
        <v>235</v>
      </c>
      <c r="C1572" s="0" t="s">
        <v>6261</v>
      </c>
      <c r="D1572" s="0" t="s">
        <v>1070</v>
      </c>
      <c r="E1572" s="0" t="s">
        <v>6633</v>
      </c>
    </row>
    <row r="1573" customFormat="false" ht="68.65" hidden="false" customHeight="false" outlineLevel="0" collapsed="false">
      <c r="A1573" s="0" t="s">
        <v>1522</v>
      </c>
      <c r="B1573" s="0" t="s">
        <v>1523</v>
      </c>
      <c r="C1573" s="14" t="s">
        <v>6634</v>
      </c>
      <c r="D1573" s="0" t="s">
        <v>1524</v>
      </c>
      <c r="E1573" s="0" t="s">
        <v>6635</v>
      </c>
    </row>
    <row r="1574" customFormat="false" ht="162.65" hidden="false" customHeight="false" outlineLevel="0" collapsed="false">
      <c r="A1574" s="0" t="s">
        <v>2068</v>
      </c>
      <c r="B1574" s="0" t="s">
        <v>126</v>
      </c>
      <c r="C1574" s="14" t="s">
        <v>6636</v>
      </c>
      <c r="D1574" s="14" t="s">
        <v>6637</v>
      </c>
      <c r="E1574" s="0" t="s">
        <v>6638</v>
      </c>
    </row>
    <row r="1575" customFormat="false" ht="364.15" hidden="false" customHeight="false" outlineLevel="0" collapsed="false">
      <c r="A1575" s="0" t="s">
        <v>1648</v>
      </c>
      <c r="B1575" s="0" t="s">
        <v>235</v>
      </c>
      <c r="C1575" s="14" t="s">
        <v>6639</v>
      </c>
      <c r="D1575" s="0" t="s">
        <v>1650</v>
      </c>
      <c r="E1575" s="0" t="s">
        <v>6613</v>
      </c>
    </row>
    <row r="1576" customFormat="false" ht="149.25" hidden="false" customHeight="false" outlineLevel="0" collapsed="false">
      <c r="A1576" s="0" t="s">
        <v>1599</v>
      </c>
      <c r="B1576" s="0" t="s">
        <v>126</v>
      </c>
      <c r="C1576" s="14" t="s">
        <v>6640</v>
      </c>
      <c r="D1576" s="0" t="s">
        <v>1601</v>
      </c>
    </row>
    <row r="1577" customFormat="false" ht="68.65" hidden="false" customHeight="false" outlineLevel="0" collapsed="false">
      <c r="A1577" s="0" t="s">
        <v>1942</v>
      </c>
      <c r="B1577" s="0" t="s">
        <v>235</v>
      </c>
      <c r="C1577" s="14" t="s">
        <v>6641</v>
      </c>
      <c r="D1577" s="0" t="s">
        <v>1943</v>
      </c>
      <c r="E1577" s="0" t="s">
        <v>6577</v>
      </c>
    </row>
    <row r="1578" customFormat="false" ht="122.35" hidden="false" customHeight="false" outlineLevel="0" collapsed="false">
      <c r="A1578" s="0" t="s">
        <v>1694</v>
      </c>
      <c r="B1578" s="0" t="s">
        <v>235</v>
      </c>
      <c r="C1578" s="14" t="s">
        <v>6642</v>
      </c>
      <c r="D1578" s="14" t="s">
        <v>6643</v>
      </c>
      <c r="E1578" s="0" t="s">
        <v>6613</v>
      </c>
    </row>
    <row r="1579" customFormat="false" ht="55.2" hidden="false" customHeight="false" outlineLevel="0" collapsed="false">
      <c r="A1579" s="0" t="s">
        <v>1767</v>
      </c>
      <c r="B1579" s="0" t="s">
        <v>235</v>
      </c>
      <c r="C1579" s="14" t="s">
        <v>6644</v>
      </c>
      <c r="D1579" s="14" t="s">
        <v>6645</v>
      </c>
      <c r="E1579" s="0" t="s">
        <v>6577</v>
      </c>
    </row>
    <row r="1580" customFormat="false" ht="41.75" hidden="false" customHeight="false" outlineLevel="0" collapsed="false">
      <c r="A1580" s="0" t="s">
        <v>1797</v>
      </c>
      <c r="B1580" s="0" t="s">
        <v>235</v>
      </c>
      <c r="C1580" s="14" t="s">
        <v>6646</v>
      </c>
      <c r="D1580" s="14" t="s">
        <v>6647</v>
      </c>
      <c r="E1580" s="0" t="s">
        <v>6648</v>
      </c>
    </row>
    <row r="1581" customFormat="false" ht="41.75" hidden="false" customHeight="false" outlineLevel="0" collapsed="false">
      <c r="A1581" s="0" t="s">
        <v>2390</v>
      </c>
      <c r="B1581" s="0" t="s">
        <v>235</v>
      </c>
      <c r="C1581" s="14" t="s">
        <v>6210</v>
      </c>
      <c r="D1581" s="14" t="s">
        <v>6649</v>
      </c>
      <c r="E1581" s="0" t="s">
        <v>6577</v>
      </c>
    </row>
    <row r="1582" customFormat="false" ht="95.5" hidden="false" customHeight="false" outlineLevel="0" collapsed="false">
      <c r="A1582" s="0" t="s">
        <v>1825</v>
      </c>
      <c r="B1582" s="0" t="s">
        <v>235</v>
      </c>
      <c r="C1582" s="14" t="s">
        <v>6650</v>
      </c>
      <c r="D1582" s="14" t="s">
        <v>6651</v>
      </c>
      <c r="E1582" s="0" t="s">
        <v>6595</v>
      </c>
    </row>
    <row r="1583" customFormat="false" ht="28.35" hidden="false" customHeight="false" outlineLevel="0" collapsed="false">
      <c r="A1583" s="0" t="s">
        <v>2306</v>
      </c>
      <c r="B1583" s="0" t="s">
        <v>126</v>
      </c>
      <c r="C1583" s="0" t="s">
        <v>6652</v>
      </c>
      <c r="D1583" s="14" t="s">
        <v>6653</v>
      </c>
    </row>
    <row r="1584" customFormat="false" ht="28.35" hidden="false" customHeight="false" outlineLevel="0" collapsed="false">
      <c r="A1584" s="0" t="s">
        <v>2371</v>
      </c>
      <c r="B1584" s="0" t="s">
        <v>235</v>
      </c>
      <c r="C1584" s="0" t="s">
        <v>6654</v>
      </c>
      <c r="D1584" s="14" t="s">
        <v>6655</v>
      </c>
    </row>
    <row r="1585" customFormat="false" ht="41.75" hidden="false" customHeight="false" outlineLevel="0" collapsed="false">
      <c r="A1585" s="0" t="s">
        <v>2373</v>
      </c>
      <c r="B1585" s="0" t="s">
        <v>235</v>
      </c>
      <c r="C1585" s="14" t="s">
        <v>6656</v>
      </c>
      <c r="D1585" s="14" t="s">
        <v>6657</v>
      </c>
      <c r="E1585" s="0" t="s">
        <v>6577</v>
      </c>
    </row>
    <row r="1586" customFormat="false" ht="41.75" hidden="false" customHeight="false" outlineLevel="0" collapsed="false">
      <c r="A1586" s="0" t="s">
        <v>1396</v>
      </c>
      <c r="B1586" s="0" t="s">
        <v>235</v>
      </c>
      <c r="C1586" s="14" t="s">
        <v>6484</v>
      </c>
      <c r="D1586" s="0" t="s">
        <v>1398</v>
      </c>
      <c r="E1586" s="0" t="s">
        <v>6577</v>
      </c>
    </row>
    <row r="1587" customFormat="false" ht="82.05" hidden="false" customHeight="false" outlineLevel="0" collapsed="false">
      <c r="A1587" s="0" t="s">
        <v>817</v>
      </c>
      <c r="B1587" s="0" t="s">
        <v>6658</v>
      </c>
      <c r="C1587" s="14" t="s">
        <v>3908</v>
      </c>
      <c r="D1587" s="0" t="s">
        <v>818</v>
      </c>
      <c r="E1587" s="0" t="s">
        <v>6659</v>
      </c>
    </row>
    <row r="1588" customFormat="false" ht="176.1" hidden="false" customHeight="false" outlineLevel="0" collapsed="false">
      <c r="A1588" s="0" t="s">
        <v>1171</v>
      </c>
      <c r="B1588" s="0" t="s">
        <v>235</v>
      </c>
      <c r="C1588" s="14" t="s">
        <v>6660</v>
      </c>
      <c r="D1588" s="0" t="s">
        <v>1173</v>
      </c>
      <c r="E1588" s="0" t="s">
        <v>6595</v>
      </c>
    </row>
    <row r="1589" customFormat="false" ht="297" hidden="false" customHeight="false" outlineLevel="0" collapsed="false">
      <c r="A1589" s="0" t="s">
        <v>1323</v>
      </c>
      <c r="B1589" s="0" t="s">
        <v>235</v>
      </c>
      <c r="C1589" s="14" t="s">
        <v>6661</v>
      </c>
      <c r="D1589" s="14" t="s">
        <v>6662</v>
      </c>
      <c r="E1589" s="0" t="s">
        <v>6589</v>
      </c>
    </row>
    <row r="1590" customFormat="false" ht="108.95" hidden="false" customHeight="false" outlineLevel="0" collapsed="false">
      <c r="A1590" s="0" t="s">
        <v>799</v>
      </c>
      <c r="B1590" s="0" t="s">
        <v>126</v>
      </c>
      <c r="C1590" s="14" t="s">
        <v>6663</v>
      </c>
      <c r="D1590" s="0" t="s">
        <v>801</v>
      </c>
      <c r="E1590" s="14" t="s">
        <v>6664</v>
      </c>
    </row>
    <row r="1591" customFormat="false" ht="28.35" hidden="false" customHeight="false" outlineLevel="0" collapsed="false">
      <c r="A1591" s="0" t="s">
        <v>1944</v>
      </c>
      <c r="B1591" s="0" t="s">
        <v>126</v>
      </c>
      <c r="C1591" s="0" t="s">
        <v>5280</v>
      </c>
      <c r="D1591" s="0" t="s">
        <v>1945</v>
      </c>
      <c r="E1591" s="14" t="s">
        <v>6665</v>
      </c>
    </row>
    <row r="1592" customFormat="false" ht="55.2" hidden="false" customHeight="false" outlineLevel="0" collapsed="false">
      <c r="A1592" s="0" t="s">
        <v>999</v>
      </c>
      <c r="B1592" s="0" t="s">
        <v>126</v>
      </c>
      <c r="C1592" s="14" t="s">
        <v>6666</v>
      </c>
      <c r="D1592" s="0" t="s">
        <v>1001</v>
      </c>
      <c r="E1592" s="0" t="s">
        <v>6595</v>
      </c>
    </row>
    <row r="1593" customFormat="false" ht="15" hidden="false" customHeight="false" outlineLevel="0" collapsed="false">
      <c r="A1593" s="0" t="s">
        <v>1519</v>
      </c>
      <c r="B1593" s="0" t="s">
        <v>126</v>
      </c>
      <c r="C1593" s="0" t="s">
        <v>6667</v>
      </c>
      <c r="D1593" s="0" t="s">
        <v>1521</v>
      </c>
    </row>
    <row r="1594" customFormat="false" ht="55.2" hidden="false" customHeight="false" outlineLevel="0" collapsed="false">
      <c r="A1594" s="0" t="s">
        <v>1291</v>
      </c>
      <c r="B1594" s="0" t="s">
        <v>126</v>
      </c>
      <c r="C1594" s="14" t="s">
        <v>6668</v>
      </c>
      <c r="D1594" s="0" t="s">
        <v>1292</v>
      </c>
      <c r="E1594" s="0" t="s">
        <v>6669</v>
      </c>
    </row>
    <row r="1595" customFormat="false" ht="162.65" hidden="false" customHeight="false" outlineLevel="0" collapsed="false">
      <c r="A1595" s="0" t="s">
        <v>1287</v>
      </c>
      <c r="B1595" s="0" t="s">
        <v>235</v>
      </c>
      <c r="C1595" s="14" t="s">
        <v>6670</v>
      </c>
      <c r="D1595" s="14" t="s">
        <v>6671</v>
      </c>
      <c r="E1595" s="0" t="s">
        <v>6595</v>
      </c>
    </row>
    <row r="1596" customFormat="false" ht="15" hidden="false" customHeight="false" outlineLevel="0" collapsed="false">
      <c r="A1596" s="0" t="s">
        <v>1847</v>
      </c>
      <c r="B1596" s="0" t="s">
        <v>235</v>
      </c>
      <c r="C1596" s="0" t="s">
        <v>6672</v>
      </c>
      <c r="D1596" s="0" t="s">
        <v>1848</v>
      </c>
      <c r="E1596" s="0" t="s">
        <v>6595</v>
      </c>
    </row>
    <row r="1597" customFormat="false" ht="149.25" hidden="false" customHeight="false" outlineLevel="0" collapsed="false">
      <c r="A1597" s="0" t="s">
        <v>1343</v>
      </c>
      <c r="B1597" s="0" t="s">
        <v>126</v>
      </c>
      <c r="C1597" s="14" t="s">
        <v>6673</v>
      </c>
      <c r="D1597" s="0" t="s">
        <v>1345</v>
      </c>
      <c r="E1597" s="14" t="s">
        <v>6674</v>
      </c>
    </row>
    <row r="1598" customFormat="false" ht="28.35" hidden="false" customHeight="false" outlineLevel="0" collapsed="false">
      <c r="A1598" s="0" t="s">
        <v>1160</v>
      </c>
      <c r="B1598" s="0" t="s">
        <v>235</v>
      </c>
      <c r="C1598" s="0" t="s">
        <v>6675</v>
      </c>
      <c r="D1598" s="0" t="s">
        <v>1162</v>
      </c>
      <c r="E1598" s="14" t="s">
        <v>6676</v>
      </c>
    </row>
    <row r="1599" customFormat="false" ht="873.85" hidden="false" customHeight="false" outlineLevel="0" collapsed="false">
      <c r="A1599" s="0" t="s">
        <v>2297</v>
      </c>
      <c r="B1599" s="0" t="s">
        <v>235</v>
      </c>
      <c r="C1599" s="14" t="s">
        <v>6114</v>
      </c>
      <c r="D1599" s="0" t="s">
        <v>2298</v>
      </c>
      <c r="E1599" s="0" t="s">
        <v>6638</v>
      </c>
    </row>
    <row r="1600" customFormat="false" ht="41.75" hidden="false" customHeight="false" outlineLevel="0" collapsed="false">
      <c r="A1600" s="0" t="s">
        <v>1452</v>
      </c>
      <c r="B1600" s="0" t="s">
        <v>126</v>
      </c>
      <c r="C1600" s="14" t="s">
        <v>6677</v>
      </c>
      <c r="D1600" s="14" t="s">
        <v>6678</v>
      </c>
    </row>
    <row r="1601" customFormat="false" ht="15" hidden="false" customHeight="false" outlineLevel="0" collapsed="false">
      <c r="A1601" s="0" t="s">
        <v>2350</v>
      </c>
      <c r="B1601" s="0" t="s">
        <v>235</v>
      </c>
      <c r="C1601" s="0" t="s">
        <v>6679</v>
      </c>
      <c r="D1601" s="0" t="s">
        <v>2351</v>
      </c>
    </row>
    <row r="1602" customFormat="false" ht="122.35" hidden="false" customHeight="false" outlineLevel="0" collapsed="false">
      <c r="A1602" s="0" t="s">
        <v>2134</v>
      </c>
      <c r="B1602" s="0" t="s">
        <v>235</v>
      </c>
      <c r="C1602" s="14" t="s">
        <v>6680</v>
      </c>
      <c r="D1602" s="0" t="s">
        <v>2135</v>
      </c>
      <c r="E1602" s="0" t="s">
        <v>6659</v>
      </c>
    </row>
    <row r="1603" customFormat="false" ht="82.05" hidden="false" customHeight="false" outlineLevel="0" collapsed="false">
      <c r="A1603" s="0" t="s">
        <v>2392</v>
      </c>
      <c r="B1603" s="0" t="s">
        <v>126</v>
      </c>
      <c r="C1603" s="14" t="s">
        <v>6681</v>
      </c>
      <c r="D1603" s="0" t="s">
        <v>2393</v>
      </c>
      <c r="E1603" s="0" t="s">
        <v>6682</v>
      </c>
    </row>
    <row r="1604" customFormat="false" ht="229.85" hidden="false" customHeight="false" outlineLevel="0" collapsed="false">
      <c r="A1604" s="0" t="s">
        <v>2443</v>
      </c>
      <c r="B1604" s="0" t="s">
        <v>126</v>
      </c>
      <c r="C1604" s="14" t="s">
        <v>6291</v>
      </c>
      <c r="D1604" s="0" t="s">
        <v>2444</v>
      </c>
      <c r="E1604" s="0" t="s">
        <v>6682</v>
      </c>
    </row>
    <row r="1605" customFormat="false" ht="229.85" hidden="false" customHeight="false" outlineLevel="0" collapsed="false">
      <c r="A1605" s="0" t="s">
        <v>1550</v>
      </c>
      <c r="B1605" s="0" t="s">
        <v>235</v>
      </c>
      <c r="C1605" s="14" t="s">
        <v>6683</v>
      </c>
      <c r="D1605" s="14" t="s">
        <v>6684</v>
      </c>
      <c r="E1605" s="0" t="s">
        <v>6638</v>
      </c>
    </row>
    <row r="1606" customFormat="false" ht="350.7" hidden="false" customHeight="false" outlineLevel="0" collapsed="false">
      <c r="A1606" s="0" t="s">
        <v>1638</v>
      </c>
      <c r="B1606" s="0" t="s">
        <v>235</v>
      </c>
      <c r="C1606" s="14" t="s">
        <v>6188</v>
      </c>
      <c r="D1606" s="0" t="s">
        <v>1639</v>
      </c>
      <c r="E1606" s="0" t="s">
        <v>6638</v>
      </c>
    </row>
    <row r="1607" customFormat="false" ht="28.35" hidden="false" customHeight="false" outlineLevel="0" collapsed="false">
      <c r="A1607" s="0" t="s">
        <v>1849</v>
      </c>
      <c r="B1607" s="0" t="s">
        <v>235</v>
      </c>
      <c r="C1607" s="14" t="s">
        <v>4651</v>
      </c>
      <c r="D1607" s="0" t="s">
        <v>1850</v>
      </c>
      <c r="E1607" s="0" t="s">
        <v>6685</v>
      </c>
    </row>
    <row r="1608" customFormat="false" ht="15" hidden="false" customHeight="false" outlineLevel="0" collapsed="false">
      <c r="A1608" s="0" t="s">
        <v>1435</v>
      </c>
      <c r="B1608" s="0" t="s">
        <v>235</v>
      </c>
      <c r="C1608" s="0" t="s">
        <v>6686</v>
      </c>
      <c r="D1608" s="0" t="s">
        <v>1437</v>
      </c>
      <c r="E1608" s="0" t="s">
        <v>6687</v>
      </c>
    </row>
    <row r="1609" customFormat="false" ht="55.2" hidden="false" customHeight="false" outlineLevel="0" collapsed="false">
      <c r="A1609" s="0" t="s">
        <v>2352</v>
      </c>
      <c r="B1609" s="0" t="s">
        <v>126</v>
      </c>
      <c r="C1609" s="14" t="s">
        <v>6688</v>
      </c>
      <c r="D1609" s="14" t="s">
        <v>6689</v>
      </c>
    </row>
    <row r="1610" customFormat="false" ht="41.75" hidden="false" customHeight="false" outlineLevel="0" collapsed="false">
      <c r="A1610" s="0" t="s">
        <v>1836</v>
      </c>
      <c r="B1610" s="0" t="s">
        <v>235</v>
      </c>
      <c r="C1610" s="14" t="s">
        <v>6690</v>
      </c>
      <c r="D1610" s="0" t="s">
        <v>1837</v>
      </c>
      <c r="E1610" s="0" t="s">
        <v>6691</v>
      </c>
    </row>
    <row r="1611" customFormat="false" ht="41.75" hidden="false" customHeight="false" outlineLevel="0" collapsed="false">
      <c r="A1611" s="0" t="s">
        <v>1872</v>
      </c>
      <c r="B1611" s="0" t="s">
        <v>126</v>
      </c>
      <c r="C1611" s="14" t="s">
        <v>6484</v>
      </c>
      <c r="D1611" s="0" t="s">
        <v>1874</v>
      </c>
      <c r="E1611" s="0" t="s">
        <v>6595</v>
      </c>
    </row>
    <row r="1612" customFormat="false" ht="55.2" hidden="false" customHeight="false" outlineLevel="0" collapsed="false">
      <c r="A1612" s="0" t="s">
        <v>2377</v>
      </c>
      <c r="B1612" s="0" t="s">
        <v>126</v>
      </c>
      <c r="C1612" s="14" t="s">
        <v>6692</v>
      </c>
      <c r="D1612" s="0" t="s">
        <v>2379</v>
      </c>
      <c r="E1612" s="0" t="s">
        <v>6693</v>
      </c>
    </row>
    <row r="1613" customFormat="false" ht="41.75" hidden="false" customHeight="false" outlineLevel="0" collapsed="false">
      <c r="A1613" s="0" t="s">
        <v>2651</v>
      </c>
      <c r="B1613" s="0" t="s">
        <v>235</v>
      </c>
      <c r="C1613" s="14" t="s">
        <v>6694</v>
      </c>
      <c r="D1613" s="14" t="s">
        <v>6695</v>
      </c>
      <c r="E1613" s="0" t="s">
        <v>6696</v>
      </c>
    </row>
    <row r="1614" customFormat="false" ht="41.75" hidden="false" customHeight="false" outlineLevel="0" collapsed="false">
      <c r="A1614" s="0" t="s">
        <v>2310</v>
      </c>
      <c r="B1614" s="0" t="s">
        <v>235</v>
      </c>
      <c r="C1614" s="14" t="s">
        <v>6697</v>
      </c>
      <c r="D1614" s="14" t="s">
        <v>6698</v>
      </c>
    </row>
    <row r="1615" customFormat="false" ht="28.35" hidden="false" customHeight="false" outlineLevel="0" collapsed="false">
      <c r="A1615" s="0" t="s">
        <v>1209</v>
      </c>
      <c r="B1615" s="0" t="s">
        <v>126</v>
      </c>
      <c r="C1615" s="14" t="s">
        <v>6304</v>
      </c>
      <c r="D1615" s="14" t="s">
        <v>6699</v>
      </c>
    </row>
    <row r="1616" customFormat="false" ht="95.5" hidden="false" customHeight="false" outlineLevel="0" collapsed="false">
      <c r="A1616" s="0" t="s">
        <v>3130</v>
      </c>
      <c r="B1616" s="0" t="s">
        <v>126</v>
      </c>
      <c r="C1616" s="14" t="s">
        <v>6700</v>
      </c>
      <c r="D1616" s="0" t="s">
        <v>3132</v>
      </c>
    </row>
    <row r="1617" customFormat="false" ht="41.75" hidden="false" customHeight="false" outlineLevel="0" collapsed="false">
      <c r="A1617" s="0" t="s">
        <v>3500</v>
      </c>
      <c r="B1617" s="0" t="s">
        <v>235</v>
      </c>
      <c r="C1617" s="14" t="s">
        <v>6701</v>
      </c>
      <c r="D1617" s="0" t="s">
        <v>3502</v>
      </c>
    </row>
    <row r="1618" customFormat="false" ht="41.75" hidden="false" customHeight="false" outlineLevel="0" collapsed="false">
      <c r="A1618" s="0" t="s">
        <v>2236</v>
      </c>
      <c r="B1618" s="0" t="s">
        <v>235</v>
      </c>
      <c r="C1618" s="14" t="s">
        <v>6702</v>
      </c>
      <c r="D1618" s="0" t="s">
        <v>2238</v>
      </c>
    </row>
    <row r="1619" customFormat="false" ht="41.75" hidden="false" customHeight="false" outlineLevel="0" collapsed="false">
      <c r="A1619" s="0" t="s">
        <v>2911</v>
      </c>
      <c r="B1619" s="0" t="s">
        <v>235</v>
      </c>
      <c r="C1619" s="14" t="s">
        <v>6703</v>
      </c>
      <c r="D1619" s="14" t="s">
        <v>6704</v>
      </c>
      <c r="E1619" s="14" t="s">
        <v>6705</v>
      </c>
    </row>
    <row r="1620" customFormat="false" ht="55.2" hidden="false" customHeight="false" outlineLevel="0" collapsed="false">
      <c r="A1620" s="0" t="s">
        <v>3174</v>
      </c>
      <c r="B1620" s="0" t="s">
        <v>126</v>
      </c>
      <c r="C1620" s="14" t="s">
        <v>6706</v>
      </c>
      <c r="D1620" s="14" t="s">
        <v>6707</v>
      </c>
    </row>
    <row r="1621" customFormat="false" ht="243.25" hidden="false" customHeight="false" outlineLevel="0" collapsed="false">
      <c r="A1621" s="0" t="s">
        <v>2868</v>
      </c>
      <c r="B1621" s="0" t="s">
        <v>235</v>
      </c>
      <c r="C1621" s="14" t="s">
        <v>6512</v>
      </c>
      <c r="D1621" s="0" t="s">
        <v>2869</v>
      </c>
    </row>
    <row r="1622" customFormat="false" ht="41.75" hidden="false" customHeight="false" outlineLevel="0" collapsed="false">
      <c r="A1622" s="0" t="s">
        <v>2200</v>
      </c>
      <c r="B1622" s="0" t="s">
        <v>126</v>
      </c>
      <c r="C1622" s="14" t="s">
        <v>6708</v>
      </c>
      <c r="D1622" s="0" t="s">
        <v>2202</v>
      </c>
    </row>
    <row r="1623" customFormat="false" ht="28.35" hidden="false" customHeight="false" outlineLevel="0" collapsed="false">
      <c r="A1623" s="0" t="s">
        <v>3438</v>
      </c>
      <c r="B1623" s="0" t="s">
        <v>235</v>
      </c>
      <c r="C1623" s="0" t="s">
        <v>6709</v>
      </c>
      <c r="D1623" s="14" t="s">
        <v>6710</v>
      </c>
    </row>
    <row r="1624" customFormat="false" ht="82.05" hidden="false" customHeight="false" outlineLevel="0" collapsed="false">
      <c r="A1624" s="0" t="s">
        <v>3503</v>
      </c>
      <c r="B1624" s="0" t="s">
        <v>235</v>
      </c>
      <c r="C1624" s="14" t="s">
        <v>6711</v>
      </c>
      <c r="D1624" s="14" t="s">
        <v>6712</v>
      </c>
    </row>
    <row r="1625" customFormat="false" ht="28.35" hidden="false" customHeight="false" outlineLevel="0" collapsed="false">
      <c r="A1625" s="0" t="s">
        <v>2380</v>
      </c>
      <c r="B1625" s="0" t="s">
        <v>235</v>
      </c>
      <c r="C1625" s="14" t="s">
        <v>6713</v>
      </c>
      <c r="D1625" s="14" t="s">
        <v>6714</v>
      </c>
    </row>
    <row r="1626" customFormat="false" ht="82.05" hidden="false" customHeight="false" outlineLevel="0" collapsed="false">
      <c r="A1626" s="0" t="s">
        <v>3289</v>
      </c>
      <c r="B1626" s="0" t="s">
        <v>235</v>
      </c>
      <c r="C1626" s="14" t="s">
        <v>6715</v>
      </c>
      <c r="D1626" s="0" t="s">
        <v>3290</v>
      </c>
    </row>
    <row r="1627" customFormat="false" ht="202.95" hidden="false" customHeight="false" outlineLevel="0" collapsed="false">
      <c r="A1627" s="0" t="s">
        <v>2870</v>
      </c>
      <c r="B1627" s="0" t="s">
        <v>235</v>
      </c>
      <c r="C1627" s="14" t="s">
        <v>6716</v>
      </c>
      <c r="D1627" s="14" t="s">
        <v>6717</v>
      </c>
    </row>
    <row r="1628" customFormat="false" ht="95.5" hidden="false" customHeight="false" outlineLevel="0" collapsed="false">
      <c r="A1628" s="0" t="s">
        <v>1511</v>
      </c>
      <c r="B1628" s="0" t="s">
        <v>235</v>
      </c>
      <c r="C1628" s="14" t="s">
        <v>6718</v>
      </c>
      <c r="D1628" s="0" t="s">
        <v>1513</v>
      </c>
    </row>
    <row r="1629" customFormat="false" ht="41.75" hidden="false" customHeight="false" outlineLevel="0" collapsed="false">
      <c r="A1629" s="0" t="s">
        <v>3270</v>
      </c>
      <c r="B1629" s="0" t="s">
        <v>235</v>
      </c>
      <c r="C1629" s="14" t="s">
        <v>6345</v>
      </c>
      <c r="D1629" s="0" t="s">
        <v>3272</v>
      </c>
      <c r="E1629" s="0" t="s">
        <v>6719</v>
      </c>
    </row>
    <row r="1630" customFormat="false" ht="55.2" hidden="false" customHeight="false" outlineLevel="0" collapsed="false">
      <c r="A1630" s="0" t="s">
        <v>2275</v>
      </c>
      <c r="B1630" s="0" t="s">
        <v>235</v>
      </c>
      <c r="C1630" s="14" t="s">
        <v>6720</v>
      </c>
      <c r="D1630" s="14" t="s">
        <v>6721</v>
      </c>
    </row>
    <row r="1631" customFormat="false" ht="68.65" hidden="false" customHeight="false" outlineLevel="0" collapsed="false">
      <c r="A1631" s="0" t="s">
        <v>1386</v>
      </c>
      <c r="B1631" s="0" t="s">
        <v>235</v>
      </c>
      <c r="C1631" s="14" t="s">
        <v>6722</v>
      </c>
      <c r="D1631" s="14" t="s">
        <v>6723</v>
      </c>
      <c r="E1631" s="0" t="s">
        <v>6724</v>
      </c>
    </row>
    <row r="1632" customFormat="false" ht="122.35" hidden="false" customHeight="false" outlineLevel="0" collapsed="false">
      <c r="A1632" s="0" t="s">
        <v>6725</v>
      </c>
      <c r="B1632" s="0" t="s">
        <v>126</v>
      </c>
      <c r="C1632" s="14" t="s">
        <v>6680</v>
      </c>
      <c r="D1632" s="0" t="s">
        <v>6726</v>
      </c>
    </row>
    <row r="1633" customFormat="false" ht="189.55" hidden="false" customHeight="false" outlineLevel="0" collapsed="false">
      <c r="A1633" s="0" t="s">
        <v>2445</v>
      </c>
      <c r="B1633" s="0" t="s">
        <v>1073</v>
      </c>
      <c r="C1633" s="14" t="s">
        <v>6727</v>
      </c>
      <c r="D1633" s="0" t="s">
        <v>2446</v>
      </c>
      <c r="E1633" s="14" t="s">
        <v>6728</v>
      </c>
    </row>
    <row r="1634" customFormat="false" ht="176.1" hidden="false" customHeight="false" outlineLevel="0" collapsed="false">
      <c r="A1634" s="0" t="s">
        <v>2025</v>
      </c>
      <c r="B1634" s="0" t="s">
        <v>1073</v>
      </c>
      <c r="C1634" s="14" t="s">
        <v>6729</v>
      </c>
      <c r="D1634" s="0" t="s">
        <v>2027</v>
      </c>
      <c r="E1634" s="0" t="s">
        <v>6730</v>
      </c>
    </row>
    <row r="1635" customFormat="false" ht="162.65" hidden="false" customHeight="false" outlineLevel="0" collapsed="false">
      <c r="A1635" s="0" t="s">
        <v>2637</v>
      </c>
      <c r="B1635" s="0" t="s">
        <v>1073</v>
      </c>
      <c r="C1635" s="14" t="s">
        <v>6731</v>
      </c>
      <c r="D1635" s="14" t="s">
        <v>6732</v>
      </c>
      <c r="E1635" s="14" t="s">
        <v>6733</v>
      </c>
    </row>
    <row r="1636" customFormat="false" ht="41.75" hidden="false" customHeight="false" outlineLevel="0" collapsed="false">
      <c r="A1636" s="0" t="s">
        <v>2930</v>
      </c>
      <c r="B1636" s="0" t="s">
        <v>1073</v>
      </c>
      <c r="C1636" s="14" t="s">
        <v>6734</v>
      </c>
      <c r="D1636" s="0" t="s">
        <v>2931</v>
      </c>
    </row>
    <row r="1637" customFormat="false" ht="202.95" hidden="false" customHeight="false" outlineLevel="0" collapsed="false">
      <c r="A1637" s="0" t="s">
        <v>6735</v>
      </c>
      <c r="B1637" s="0" t="s">
        <v>1073</v>
      </c>
      <c r="C1637" s="14" t="s">
        <v>6736</v>
      </c>
      <c r="D1637" s="14" t="s">
        <v>6737</v>
      </c>
      <c r="E1637" s="0" t="s">
        <v>6730</v>
      </c>
    </row>
    <row r="1638" customFormat="false" ht="122.35" hidden="false" customHeight="false" outlineLevel="0" collapsed="false">
      <c r="A1638" s="0" t="s">
        <v>6738</v>
      </c>
      <c r="B1638" s="0" t="s">
        <v>1073</v>
      </c>
      <c r="C1638" s="14" t="s">
        <v>6739</v>
      </c>
      <c r="D1638" s="14" t="s">
        <v>6740</v>
      </c>
      <c r="E1638" s="0" t="s">
        <v>6730</v>
      </c>
    </row>
    <row r="1639" customFormat="false" ht="28.35" hidden="false" customHeight="false" outlineLevel="0" collapsed="false">
      <c r="A1639" s="0" t="s">
        <v>1418</v>
      </c>
      <c r="B1639" s="0" t="s">
        <v>1073</v>
      </c>
      <c r="C1639" s="14" t="s">
        <v>4651</v>
      </c>
      <c r="D1639" s="14" t="s">
        <v>6741</v>
      </c>
      <c r="E1639" s="14" t="s">
        <v>6742</v>
      </c>
    </row>
    <row r="1640" customFormat="false" ht="28.35" hidden="false" customHeight="false" outlineLevel="0" collapsed="false">
      <c r="A1640" s="0" t="s">
        <v>2090</v>
      </c>
      <c r="B1640" s="0" t="s">
        <v>1073</v>
      </c>
      <c r="C1640" s="14" t="s">
        <v>6743</v>
      </c>
      <c r="D1640" s="0" t="s">
        <v>2091</v>
      </c>
      <c r="E1640" s="0" t="s">
        <v>6744</v>
      </c>
    </row>
    <row r="1641" customFormat="false" ht="55.2" hidden="false" customHeight="false" outlineLevel="0" collapsed="false">
      <c r="A1641" s="0" t="s">
        <v>3315</v>
      </c>
      <c r="B1641" s="0" t="s">
        <v>1073</v>
      </c>
      <c r="C1641" s="14" t="s">
        <v>6745</v>
      </c>
      <c r="D1641" s="0" t="s">
        <v>3316</v>
      </c>
      <c r="E1641" s="14" t="s">
        <v>6746</v>
      </c>
    </row>
    <row r="1642" customFormat="false" ht="82.05" hidden="false" customHeight="false" outlineLevel="0" collapsed="false">
      <c r="A1642" s="0" t="s">
        <v>3153</v>
      </c>
      <c r="B1642" s="0" t="s">
        <v>1073</v>
      </c>
      <c r="C1642" s="14" t="s">
        <v>6747</v>
      </c>
      <c r="D1642" s="14" t="s">
        <v>6748</v>
      </c>
      <c r="E1642" s="14" t="s">
        <v>6746</v>
      </c>
    </row>
    <row r="1643" customFormat="false" ht="68.65" hidden="false" customHeight="false" outlineLevel="0" collapsed="false">
      <c r="A1643" s="0" t="s">
        <v>3268</v>
      </c>
      <c r="B1643" s="0" t="s">
        <v>1073</v>
      </c>
      <c r="C1643" s="14" t="s">
        <v>6749</v>
      </c>
      <c r="D1643" s="0" t="s">
        <v>3269</v>
      </c>
      <c r="E1643" s="14" t="s">
        <v>6750</v>
      </c>
    </row>
    <row r="1644" customFormat="false" ht="229.85" hidden="false" customHeight="false" outlineLevel="0" collapsed="false">
      <c r="A1644" s="0" t="s">
        <v>1782</v>
      </c>
      <c r="B1644" s="0" t="s">
        <v>1073</v>
      </c>
      <c r="C1644" s="14" t="s">
        <v>3915</v>
      </c>
      <c r="D1644" s="14" t="s">
        <v>6751</v>
      </c>
      <c r="E1644" s="14" t="s">
        <v>6752</v>
      </c>
    </row>
    <row r="1645" customFormat="false" ht="41.75" hidden="false" customHeight="false" outlineLevel="0" collapsed="false">
      <c r="A1645" s="0" t="s">
        <v>2120</v>
      </c>
      <c r="B1645" s="0" t="s">
        <v>1073</v>
      </c>
      <c r="C1645" s="14" t="s">
        <v>6753</v>
      </c>
      <c r="D1645" s="14" t="s">
        <v>6754</v>
      </c>
      <c r="E1645" s="14" t="s">
        <v>6755</v>
      </c>
    </row>
    <row r="1646" customFormat="false" ht="68.65" hidden="false" customHeight="false" outlineLevel="0" collapsed="false">
      <c r="A1646" s="0" t="s">
        <v>2821</v>
      </c>
      <c r="B1646" s="0" t="s">
        <v>1073</v>
      </c>
      <c r="C1646" s="14" t="s">
        <v>6756</v>
      </c>
      <c r="D1646" s="14" t="s">
        <v>6757</v>
      </c>
      <c r="E1646" s="14" t="s">
        <v>6758</v>
      </c>
    </row>
    <row r="1647" customFormat="false" ht="28.35" hidden="false" customHeight="false" outlineLevel="0" collapsed="false">
      <c r="A1647" s="0" t="s">
        <v>1812</v>
      </c>
      <c r="B1647" s="0" t="s">
        <v>1073</v>
      </c>
      <c r="C1647" s="0" t="s">
        <v>6261</v>
      </c>
      <c r="D1647" s="14" t="s">
        <v>6759</v>
      </c>
      <c r="E1647" s="0" t="s">
        <v>6760</v>
      </c>
    </row>
    <row r="1648" customFormat="false" ht="82.05" hidden="false" customHeight="false" outlineLevel="0" collapsed="false">
      <c r="A1648" s="0" t="s">
        <v>1975</v>
      </c>
      <c r="B1648" s="0" t="s">
        <v>1073</v>
      </c>
      <c r="C1648" s="14" t="s">
        <v>6761</v>
      </c>
      <c r="D1648" s="14" t="s">
        <v>6762</v>
      </c>
      <c r="E1648" s="14" t="s">
        <v>6763</v>
      </c>
    </row>
    <row r="1649" customFormat="false" ht="176.1" hidden="false" customHeight="false" outlineLevel="0" collapsed="false">
      <c r="A1649" s="0" t="s">
        <v>2866</v>
      </c>
      <c r="B1649" s="0" t="s">
        <v>1073</v>
      </c>
      <c r="C1649" s="14" t="s">
        <v>6764</v>
      </c>
      <c r="D1649" s="0" t="s">
        <v>2867</v>
      </c>
      <c r="E1649" s="14" t="s">
        <v>6765</v>
      </c>
    </row>
    <row r="1650" customFormat="false" ht="55.2" hidden="false" customHeight="false" outlineLevel="0" collapsed="false">
      <c r="A1650" s="0" t="s">
        <v>3172</v>
      </c>
      <c r="B1650" s="0" t="s">
        <v>1073</v>
      </c>
      <c r="C1650" s="14" t="s">
        <v>6766</v>
      </c>
      <c r="D1650" s="14" t="s">
        <v>6767</v>
      </c>
      <c r="E1650" s="14" t="s">
        <v>6752</v>
      </c>
    </row>
    <row r="1651" customFormat="false" ht="202.95" hidden="false" customHeight="false" outlineLevel="0" collapsed="false">
      <c r="A1651" s="0" t="s">
        <v>2455</v>
      </c>
      <c r="B1651" s="0" t="s">
        <v>1073</v>
      </c>
      <c r="C1651" s="14" t="s">
        <v>6768</v>
      </c>
      <c r="D1651" s="14" t="s">
        <v>6769</v>
      </c>
      <c r="E1651" s="14" t="s">
        <v>6770</v>
      </c>
    </row>
    <row r="1652" customFormat="false" ht="41.75" hidden="false" customHeight="false" outlineLevel="0" collapsed="false">
      <c r="A1652" s="0" t="s">
        <v>1399</v>
      </c>
      <c r="B1652" s="0" t="s">
        <v>1073</v>
      </c>
      <c r="C1652" s="14" t="s">
        <v>5508</v>
      </c>
      <c r="D1652" s="14" t="s">
        <v>6771</v>
      </c>
    </row>
    <row r="1653" customFormat="false" ht="404.45" hidden="false" customHeight="false" outlineLevel="0" collapsed="false">
      <c r="A1653" s="0" t="s">
        <v>2286</v>
      </c>
      <c r="B1653" s="0" t="s">
        <v>1073</v>
      </c>
      <c r="C1653" s="14" t="s">
        <v>6294</v>
      </c>
      <c r="D1653" s="0" t="s">
        <v>2287</v>
      </c>
      <c r="E1653" s="14" t="s">
        <v>6772</v>
      </c>
    </row>
    <row r="1654" customFormat="false" ht="404.45" hidden="false" customHeight="false" outlineLevel="0" collapsed="false">
      <c r="A1654" s="0" t="s">
        <v>2885</v>
      </c>
      <c r="B1654" s="0" t="s">
        <v>1073</v>
      </c>
      <c r="C1654" s="14" t="s">
        <v>6294</v>
      </c>
      <c r="D1654" s="14" t="s">
        <v>6773</v>
      </c>
      <c r="E1654" s="14" t="s">
        <v>6774</v>
      </c>
    </row>
    <row r="1655" customFormat="false" ht="404.45" hidden="false" customHeight="false" outlineLevel="0" collapsed="false">
      <c r="A1655" s="0" t="s">
        <v>2532</v>
      </c>
      <c r="B1655" s="0" t="s">
        <v>1073</v>
      </c>
      <c r="C1655" s="14" t="s">
        <v>6294</v>
      </c>
      <c r="D1655" s="14" t="s">
        <v>6775</v>
      </c>
      <c r="E1655" s="14" t="s">
        <v>6776</v>
      </c>
    </row>
    <row r="1656" customFormat="false" ht="55.2" hidden="false" customHeight="false" outlineLevel="0" collapsed="false">
      <c r="A1656" s="0" t="s">
        <v>1799</v>
      </c>
      <c r="B1656" s="0" t="s">
        <v>1073</v>
      </c>
      <c r="C1656" s="14" t="s">
        <v>6720</v>
      </c>
      <c r="D1656" s="0" t="s">
        <v>1800</v>
      </c>
    </row>
    <row r="1657" customFormat="false" ht="15" hidden="false" customHeight="false" outlineLevel="0" collapsed="false">
      <c r="A1657" s="0" t="s">
        <v>1829</v>
      </c>
      <c r="B1657" s="0" t="s">
        <v>1073</v>
      </c>
      <c r="C1657" s="0" t="s">
        <v>6277</v>
      </c>
      <c r="D1657" s="0" t="s">
        <v>1830</v>
      </c>
    </row>
    <row r="1658" customFormat="false" ht="41.75" hidden="false" customHeight="false" outlineLevel="0" collapsed="false">
      <c r="A1658" s="0" t="s">
        <v>2028</v>
      </c>
      <c r="B1658" s="0" t="s">
        <v>1073</v>
      </c>
      <c r="C1658" s="0" t="s">
        <v>4549</v>
      </c>
      <c r="D1658" s="14" t="s">
        <v>6777</v>
      </c>
      <c r="E1658" s="14" t="s">
        <v>6778</v>
      </c>
    </row>
    <row r="1659" customFormat="false" ht="350.7" hidden="false" customHeight="false" outlineLevel="0" collapsed="false">
      <c r="A1659" s="0" t="s">
        <v>2534</v>
      </c>
      <c r="B1659" s="0" t="s">
        <v>1073</v>
      </c>
      <c r="C1659" s="14" t="s">
        <v>6308</v>
      </c>
      <c r="D1659" s="14" t="s">
        <v>6779</v>
      </c>
      <c r="E1659" s="14" t="s">
        <v>6780</v>
      </c>
    </row>
    <row r="1660" customFormat="false" ht="270.1" hidden="false" customHeight="false" outlineLevel="0" collapsed="false">
      <c r="A1660" s="0" t="s">
        <v>2752</v>
      </c>
      <c r="B1660" s="0" t="s">
        <v>1073</v>
      </c>
      <c r="C1660" s="14" t="s">
        <v>6781</v>
      </c>
      <c r="D1660" s="14" t="s">
        <v>6782</v>
      </c>
      <c r="E1660" s="14" t="s">
        <v>6783</v>
      </c>
    </row>
    <row r="1661" customFormat="false" ht="95.5" hidden="false" customHeight="false" outlineLevel="0" collapsed="false">
      <c r="A1661" s="0" t="s">
        <v>1977</v>
      </c>
      <c r="B1661" s="0" t="s">
        <v>1073</v>
      </c>
      <c r="C1661" s="14" t="s">
        <v>6784</v>
      </c>
      <c r="D1661" s="14" t="s">
        <v>6785</v>
      </c>
      <c r="E1661" s="14" t="s">
        <v>6786</v>
      </c>
    </row>
    <row r="1662" customFormat="false" ht="41.75" hidden="false" customHeight="false" outlineLevel="0" collapsed="false">
      <c r="A1662" s="0" t="s">
        <v>1801</v>
      </c>
      <c r="B1662" s="0" t="s">
        <v>1073</v>
      </c>
      <c r="C1662" s="14" t="s">
        <v>5986</v>
      </c>
      <c r="D1662" s="14" t="s">
        <v>6787</v>
      </c>
      <c r="E1662" s="14" t="s">
        <v>6755</v>
      </c>
    </row>
    <row r="1663" customFormat="false" ht="135.8" hidden="false" customHeight="false" outlineLevel="0" collapsed="false">
      <c r="A1663" s="0" t="s">
        <v>1831</v>
      </c>
      <c r="B1663" s="0" t="s">
        <v>1073</v>
      </c>
      <c r="C1663" s="14" t="s">
        <v>6070</v>
      </c>
      <c r="D1663" s="14" t="s">
        <v>6788</v>
      </c>
      <c r="E1663" s="14" t="s">
        <v>6789</v>
      </c>
    </row>
    <row r="1664" customFormat="false" ht="55.2" hidden="false" customHeight="false" outlineLevel="0" collapsed="false">
      <c r="A1664" s="0" t="s">
        <v>2457</v>
      </c>
      <c r="B1664" s="0" t="s">
        <v>1073</v>
      </c>
      <c r="C1664" s="14" t="s">
        <v>6790</v>
      </c>
      <c r="D1664" s="14" t="s">
        <v>6791</v>
      </c>
      <c r="E1664" s="14" t="s">
        <v>6792</v>
      </c>
    </row>
    <row r="1665" customFormat="false" ht="68.65" hidden="false" customHeight="false" outlineLevel="0" collapsed="false">
      <c r="A1665" s="0" t="s">
        <v>2932</v>
      </c>
      <c r="B1665" s="0" t="s">
        <v>1073</v>
      </c>
      <c r="C1665" s="14" t="s">
        <v>6793</v>
      </c>
      <c r="D1665" s="14" t="s">
        <v>6794</v>
      </c>
      <c r="E1665" s="14" t="s">
        <v>6795</v>
      </c>
    </row>
    <row r="1666" customFormat="false" ht="82.05" hidden="false" customHeight="false" outlineLevel="0" collapsed="false">
      <c r="A1666" s="0" t="s">
        <v>2547</v>
      </c>
      <c r="B1666" s="0" t="s">
        <v>1073</v>
      </c>
      <c r="C1666" s="14" t="s">
        <v>6796</v>
      </c>
      <c r="D1666" s="14" t="s">
        <v>6797</v>
      </c>
      <c r="E1666" s="14" t="s">
        <v>6798</v>
      </c>
    </row>
    <row r="1667" customFormat="false" ht="41.75" hidden="false" customHeight="false" outlineLevel="0" collapsed="false">
      <c r="A1667" s="0" t="s">
        <v>2512</v>
      </c>
      <c r="B1667" s="0" t="s">
        <v>1073</v>
      </c>
      <c r="C1667" s="14" t="s">
        <v>6210</v>
      </c>
      <c r="D1667" s="0" t="s">
        <v>2513</v>
      </c>
      <c r="E1667" s="14" t="s">
        <v>6799</v>
      </c>
    </row>
    <row r="1668" customFormat="false" ht="68.65" hidden="false" customHeight="false" outlineLevel="0" collapsed="false">
      <c r="A1668" s="0" t="s">
        <v>2460</v>
      </c>
      <c r="B1668" s="0" t="s">
        <v>1073</v>
      </c>
      <c r="C1668" s="14" t="s">
        <v>6800</v>
      </c>
      <c r="D1668" s="0" t="s">
        <v>2461</v>
      </c>
      <c r="E1668" s="14" t="s">
        <v>6801</v>
      </c>
    </row>
    <row r="1669" customFormat="false" ht="176.1" hidden="false" customHeight="false" outlineLevel="0" collapsed="false">
      <c r="A1669" s="0" t="s">
        <v>2843</v>
      </c>
      <c r="B1669" s="0" t="s">
        <v>1073</v>
      </c>
      <c r="C1669" s="14" t="s">
        <v>6802</v>
      </c>
      <c r="D1669" s="14" t="s">
        <v>6803</v>
      </c>
      <c r="E1669" s="14" t="s">
        <v>6804</v>
      </c>
    </row>
    <row r="1670" customFormat="false" ht="108.95" hidden="false" customHeight="false" outlineLevel="0" collapsed="false">
      <c r="A1670" s="0" t="s">
        <v>3155</v>
      </c>
      <c r="B1670" s="0" t="s">
        <v>1073</v>
      </c>
      <c r="C1670" s="14" t="s">
        <v>6805</v>
      </c>
      <c r="D1670" s="14" t="s">
        <v>6806</v>
      </c>
      <c r="E1670" s="14" t="s">
        <v>6807</v>
      </c>
    </row>
    <row r="1671" customFormat="false" ht="82.05" hidden="false" customHeight="false" outlineLevel="0" collapsed="false">
      <c r="A1671" s="0" t="s">
        <v>2846</v>
      </c>
      <c r="B1671" s="0" t="s">
        <v>1073</v>
      </c>
      <c r="C1671" s="14" t="s">
        <v>6808</v>
      </c>
      <c r="D1671" s="0" t="s">
        <v>2848</v>
      </c>
      <c r="E1671" s="14" t="s">
        <v>6809</v>
      </c>
    </row>
    <row r="1672" customFormat="false" ht="55.2" hidden="false" customHeight="false" outlineLevel="0" collapsed="false">
      <c r="A1672" s="0" t="s">
        <v>2849</v>
      </c>
      <c r="B1672" s="0" t="s">
        <v>1073</v>
      </c>
      <c r="C1672" s="14" t="s">
        <v>3901</v>
      </c>
      <c r="D1672" s="14" t="s">
        <v>6810</v>
      </c>
      <c r="E1672" s="0" t="s">
        <v>6811</v>
      </c>
    </row>
    <row r="1673" customFormat="false" ht="28.35" hidden="false" customHeight="false" outlineLevel="0" collapsed="false">
      <c r="A1673" s="0" t="s">
        <v>1617</v>
      </c>
      <c r="B1673" s="0" t="s">
        <v>1073</v>
      </c>
      <c r="C1673" s="0" t="s">
        <v>6812</v>
      </c>
      <c r="D1673" s="14" t="s">
        <v>6813</v>
      </c>
      <c r="E1673" s="14" t="s">
        <v>6814</v>
      </c>
    </row>
    <row r="1674" customFormat="false" ht="82.05" hidden="false" customHeight="false" outlineLevel="0" collapsed="false">
      <c r="A1674" s="0" t="s">
        <v>1412</v>
      </c>
      <c r="B1674" s="0" t="s">
        <v>1073</v>
      </c>
      <c r="C1674" s="14" t="s">
        <v>3908</v>
      </c>
      <c r="D1674" s="0" t="s">
        <v>1413</v>
      </c>
      <c r="E1674" s="14" t="s">
        <v>6815</v>
      </c>
    </row>
    <row r="1675" customFormat="false" ht="28.35" hidden="false" customHeight="false" outlineLevel="0" collapsed="false">
      <c r="A1675" s="0" t="s">
        <v>2036</v>
      </c>
      <c r="B1675" s="0" t="s">
        <v>1073</v>
      </c>
      <c r="C1675" s="0" t="s">
        <v>6686</v>
      </c>
      <c r="D1675" s="14" t="s">
        <v>6816</v>
      </c>
      <c r="E1675" s="14" t="s">
        <v>6799</v>
      </c>
    </row>
    <row r="1676" customFormat="false" ht="28.35" hidden="false" customHeight="false" outlineLevel="0" collapsed="false">
      <c r="A1676" s="0" t="s">
        <v>2823</v>
      </c>
      <c r="B1676" s="0" t="s">
        <v>1073</v>
      </c>
      <c r="C1676" s="0" t="s">
        <v>4549</v>
      </c>
      <c r="D1676" s="14" t="s">
        <v>6817</v>
      </c>
      <c r="E1676" s="14" t="s">
        <v>6818</v>
      </c>
    </row>
    <row r="1677" customFormat="false" ht="55.2" hidden="false" customHeight="false" outlineLevel="0" collapsed="false">
      <c r="A1677" s="0" t="s">
        <v>1401</v>
      </c>
      <c r="B1677" s="0" t="s">
        <v>1073</v>
      </c>
      <c r="C1677" s="0" t="s">
        <v>6819</v>
      </c>
      <c r="D1677" s="14" t="s">
        <v>6820</v>
      </c>
      <c r="E1677" s="14" t="s">
        <v>6821</v>
      </c>
    </row>
    <row r="1678" customFormat="false" ht="68.65" hidden="false" customHeight="false" outlineLevel="0" collapsed="false">
      <c r="A1678" s="0" t="s">
        <v>1983</v>
      </c>
      <c r="B1678" s="0" t="s">
        <v>1073</v>
      </c>
      <c r="C1678" s="14" t="s">
        <v>6249</v>
      </c>
      <c r="D1678" s="14" t="s">
        <v>6822</v>
      </c>
      <c r="E1678" s="14" t="s">
        <v>6823</v>
      </c>
    </row>
    <row r="1679" customFormat="false" ht="68.65" hidden="false" customHeight="false" outlineLevel="0" collapsed="false">
      <c r="A1679" s="0" t="s">
        <v>2323</v>
      </c>
      <c r="B1679" s="0" t="s">
        <v>1073</v>
      </c>
      <c r="C1679" s="14" t="s">
        <v>6251</v>
      </c>
      <c r="D1679" s="0" t="s">
        <v>2324</v>
      </c>
      <c r="E1679" s="14" t="s">
        <v>6746</v>
      </c>
    </row>
    <row r="1680" customFormat="false" ht="41.75" hidden="false" customHeight="false" outlineLevel="0" collapsed="false">
      <c r="A1680" s="0" t="s">
        <v>2654</v>
      </c>
      <c r="B1680" s="0" t="s">
        <v>1073</v>
      </c>
      <c r="C1680" s="14" t="s">
        <v>6345</v>
      </c>
      <c r="D1680" s="0" t="s">
        <v>2655</v>
      </c>
      <c r="E1680" s="14" t="s">
        <v>6821</v>
      </c>
    </row>
    <row r="1681" customFormat="false" ht="41.75" hidden="false" customHeight="false" outlineLevel="0" collapsed="false">
      <c r="A1681" s="0" t="s">
        <v>2906</v>
      </c>
      <c r="B1681" s="0" t="s">
        <v>1073</v>
      </c>
      <c r="C1681" s="0" t="s">
        <v>6824</v>
      </c>
      <c r="D1681" s="14" t="s">
        <v>6825</v>
      </c>
      <c r="E1681" s="14" t="s">
        <v>6826</v>
      </c>
    </row>
    <row r="1682" customFormat="false" ht="323.85" hidden="false" customHeight="false" outlineLevel="0" collapsed="false">
      <c r="A1682" s="0" t="s">
        <v>1997</v>
      </c>
      <c r="B1682" s="0" t="s">
        <v>1073</v>
      </c>
      <c r="C1682" s="14" t="s">
        <v>6827</v>
      </c>
      <c r="D1682" s="14" t="s">
        <v>6828</v>
      </c>
      <c r="E1682" s="0" t="s">
        <v>6829</v>
      </c>
    </row>
    <row r="1683" customFormat="false" ht="15" hidden="false" customHeight="false" outlineLevel="0" collapsed="false">
      <c r="A1683" s="0" t="s">
        <v>1999</v>
      </c>
      <c r="B1683" s="0" t="s">
        <v>1073</v>
      </c>
      <c r="C1683" s="0" t="s">
        <v>6830</v>
      </c>
      <c r="D1683" s="0" t="s">
        <v>2000</v>
      </c>
      <c r="E1683" s="0" t="s">
        <v>6829</v>
      </c>
    </row>
    <row r="1684" customFormat="false" ht="55.2" hidden="false" customHeight="false" outlineLevel="0" collapsed="false">
      <c r="A1684" s="0" t="s">
        <v>2197</v>
      </c>
      <c r="B1684" s="0" t="s">
        <v>1073</v>
      </c>
      <c r="C1684" s="14" t="s">
        <v>6203</v>
      </c>
      <c r="D1684" s="14" t="s">
        <v>6831</v>
      </c>
      <c r="E1684" s="0" t="s">
        <v>6832</v>
      </c>
    </row>
    <row r="1685" customFormat="false" ht="41.75" hidden="false" customHeight="false" outlineLevel="0" collapsed="false">
      <c r="A1685" s="0" t="s">
        <v>2058</v>
      </c>
      <c r="B1685" s="0" t="s">
        <v>1073</v>
      </c>
      <c r="C1685" s="14" t="s">
        <v>6833</v>
      </c>
      <c r="D1685" s="14" t="s">
        <v>6834</v>
      </c>
      <c r="E1685" s="14" t="s">
        <v>6835</v>
      </c>
    </row>
    <row r="1686" customFormat="false" ht="202.95" hidden="false" customHeight="false" outlineLevel="0" collapsed="false">
      <c r="A1686" s="0" t="s">
        <v>2250</v>
      </c>
      <c r="B1686" s="0" t="s">
        <v>1073</v>
      </c>
      <c r="C1686" s="14" t="s">
        <v>6836</v>
      </c>
      <c r="D1686" s="14" t="s">
        <v>6837</v>
      </c>
      <c r="E1686" s="0" t="s">
        <v>6838</v>
      </c>
    </row>
    <row r="1687" customFormat="false" ht="68.65" hidden="false" customHeight="false" outlineLevel="0" collapsed="false">
      <c r="A1687" s="0" t="s">
        <v>1071</v>
      </c>
      <c r="B1687" s="0" t="s">
        <v>1073</v>
      </c>
      <c r="C1687" s="14" t="s">
        <v>6839</v>
      </c>
      <c r="D1687" s="14" t="s">
        <v>6840</v>
      </c>
      <c r="E1687" s="0" t="s">
        <v>6838</v>
      </c>
    </row>
    <row r="1688" customFormat="false" ht="28.35" hidden="false" customHeight="false" outlineLevel="0" collapsed="false">
      <c r="A1688" s="0" t="s">
        <v>1414</v>
      </c>
      <c r="B1688" s="0" t="s">
        <v>1073</v>
      </c>
      <c r="C1688" s="14" t="s">
        <v>6304</v>
      </c>
      <c r="D1688" s="0" t="s">
        <v>1415</v>
      </c>
      <c r="E1688" s="0" t="s">
        <v>6841</v>
      </c>
    </row>
    <row r="1689" customFormat="false" ht="68.65" hidden="false" customHeight="false" outlineLevel="0" collapsed="false">
      <c r="A1689" s="0" t="s">
        <v>2092</v>
      </c>
      <c r="B1689" s="0" t="s">
        <v>1073</v>
      </c>
      <c r="C1689" s="14" t="s">
        <v>6842</v>
      </c>
      <c r="D1689" s="14" t="s">
        <v>6843</v>
      </c>
      <c r="E1689" s="14" t="s">
        <v>6844</v>
      </c>
    </row>
    <row r="1690" customFormat="false" ht="41.75" hidden="false" customHeight="false" outlineLevel="0" collapsed="false">
      <c r="A1690" s="0" t="s">
        <v>2670</v>
      </c>
      <c r="B1690" s="0" t="s">
        <v>1073</v>
      </c>
      <c r="C1690" s="14" t="s">
        <v>6151</v>
      </c>
      <c r="D1690" s="14" t="s">
        <v>6845</v>
      </c>
      <c r="E1690" s="0" t="s">
        <v>6846</v>
      </c>
    </row>
    <row r="1691" customFormat="false" ht="55.2" hidden="false" customHeight="false" outlineLevel="0" collapsed="false">
      <c r="A1691" s="0" t="s">
        <v>2001</v>
      </c>
      <c r="B1691" s="0" t="s">
        <v>1073</v>
      </c>
      <c r="C1691" s="14" t="s">
        <v>6847</v>
      </c>
      <c r="D1691" s="14" t="s">
        <v>6848</v>
      </c>
      <c r="E1691" s="14" t="s">
        <v>6849</v>
      </c>
    </row>
    <row r="1692" customFormat="false" ht="41.75" hidden="false" customHeight="false" outlineLevel="0" collapsed="false">
      <c r="A1692" s="0" t="s">
        <v>1320</v>
      </c>
      <c r="B1692" s="0" t="s">
        <v>1073</v>
      </c>
      <c r="C1692" s="14" t="s">
        <v>6850</v>
      </c>
      <c r="D1692" s="14" t="s">
        <v>6851</v>
      </c>
      <c r="E1692" s="14" t="s">
        <v>6852</v>
      </c>
    </row>
    <row r="1693" customFormat="false" ht="41.75" hidden="false" customHeight="false" outlineLevel="0" collapsed="false">
      <c r="A1693" s="0" t="s">
        <v>2740</v>
      </c>
      <c r="B1693" s="0" t="s">
        <v>1073</v>
      </c>
      <c r="C1693" s="14" t="s">
        <v>6151</v>
      </c>
      <c r="D1693" s="14" t="s">
        <v>6853</v>
      </c>
      <c r="E1693" s="14" t="s">
        <v>6821</v>
      </c>
    </row>
    <row r="1694" customFormat="false" ht="68.65" hidden="false" customHeight="false" outlineLevel="0" collapsed="false">
      <c r="A1694" s="0" t="s">
        <v>2003</v>
      </c>
      <c r="B1694" s="0" t="s">
        <v>1073</v>
      </c>
      <c r="C1694" s="14" t="s">
        <v>6854</v>
      </c>
      <c r="D1694" s="0" t="s">
        <v>2005</v>
      </c>
      <c r="E1694" s="0" t="s">
        <v>6855</v>
      </c>
    </row>
    <row r="1695" customFormat="false" ht="41.75" hidden="false" customHeight="false" outlineLevel="0" collapsed="false">
      <c r="A1695" s="0" t="s">
        <v>2006</v>
      </c>
      <c r="B1695" s="0" t="s">
        <v>1073</v>
      </c>
      <c r="C1695" s="14" t="s">
        <v>6856</v>
      </c>
      <c r="D1695" s="14" t="s">
        <v>6857</v>
      </c>
      <c r="E1695" s="14" t="s">
        <v>6765</v>
      </c>
    </row>
    <row r="1696" customFormat="false" ht="229.85" hidden="false" customHeight="false" outlineLevel="0" collapsed="false">
      <c r="A1696" s="0" t="s">
        <v>2438</v>
      </c>
      <c r="B1696" s="0" t="s">
        <v>1073</v>
      </c>
      <c r="C1696" s="14" t="s">
        <v>5981</v>
      </c>
      <c r="D1696" s="0" t="s">
        <v>2440</v>
      </c>
      <c r="E1696" s="0" t="s">
        <v>6841</v>
      </c>
    </row>
    <row r="1697" customFormat="false" ht="82.05" hidden="false" customHeight="false" outlineLevel="0" collapsed="false">
      <c r="A1697" s="0" t="s">
        <v>1803</v>
      </c>
      <c r="B1697" s="0" t="s">
        <v>1073</v>
      </c>
      <c r="C1697" s="14" t="s">
        <v>6858</v>
      </c>
      <c r="D1697" s="14" t="s">
        <v>6859</v>
      </c>
      <c r="E1697" s="14" t="s">
        <v>6849</v>
      </c>
    </row>
    <row r="1698" customFormat="false" ht="41.75" hidden="false" customHeight="false" outlineLevel="0" collapsed="false">
      <c r="A1698" s="0" t="s">
        <v>2225</v>
      </c>
      <c r="B1698" s="0" t="s">
        <v>1073</v>
      </c>
      <c r="C1698" s="0" t="s">
        <v>5512</v>
      </c>
      <c r="D1698" s="14" t="s">
        <v>6860</v>
      </c>
      <c r="E1698" s="0" t="s">
        <v>6861</v>
      </c>
    </row>
    <row r="1699" customFormat="false" ht="55.2" hidden="false" customHeight="false" outlineLevel="0" collapsed="false">
      <c r="A1699" s="0" t="s">
        <v>1673</v>
      </c>
      <c r="B1699" s="0" t="s">
        <v>1073</v>
      </c>
      <c r="C1699" s="14" t="s">
        <v>6862</v>
      </c>
      <c r="E1699" s="14" t="s">
        <v>6863</v>
      </c>
    </row>
    <row r="1700" customFormat="false" ht="95.5" hidden="false" customHeight="false" outlineLevel="0" collapsed="false">
      <c r="A1700" s="0" t="s">
        <v>1339</v>
      </c>
      <c r="B1700" s="0" t="s">
        <v>1073</v>
      </c>
      <c r="C1700" s="14" t="s">
        <v>6864</v>
      </c>
      <c r="D1700" s="14" t="s">
        <v>6865</v>
      </c>
      <c r="E1700" s="0" t="s">
        <v>6829</v>
      </c>
    </row>
    <row r="1701" customFormat="false" ht="28.35" hidden="false" customHeight="false" outlineLevel="0" collapsed="false">
      <c r="A1701" s="0" t="s">
        <v>2412</v>
      </c>
      <c r="B1701" s="0" t="s">
        <v>1073</v>
      </c>
      <c r="C1701" s="14" t="s">
        <v>6694</v>
      </c>
      <c r="D1701" s="14" t="s">
        <v>6866</v>
      </c>
      <c r="E1701" s="14" t="s">
        <v>6867</v>
      </c>
    </row>
    <row r="1702" customFormat="false" ht="28.35" hidden="false" customHeight="false" outlineLevel="0" collapsed="false">
      <c r="A1702" s="0" t="s">
        <v>1540</v>
      </c>
      <c r="B1702" s="0" t="s">
        <v>1073</v>
      </c>
      <c r="C1702" s="14" t="s">
        <v>6163</v>
      </c>
      <c r="D1702" s="0" t="s">
        <v>1542</v>
      </c>
      <c r="E1702" s="14" t="s">
        <v>6867</v>
      </c>
    </row>
    <row r="1703" customFormat="false" ht="122.35" hidden="false" customHeight="false" outlineLevel="0" collapsed="false">
      <c r="A1703" s="0" t="s">
        <v>1602</v>
      </c>
      <c r="B1703" s="0" t="s">
        <v>1073</v>
      </c>
      <c r="C1703" s="14" t="s">
        <v>6868</v>
      </c>
      <c r="D1703" s="14" t="s">
        <v>6869</v>
      </c>
      <c r="E1703" s="14" t="s">
        <v>6867</v>
      </c>
    </row>
    <row r="1704" customFormat="false" ht="122.35" hidden="false" customHeight="false" outlineLevel="0" collapsed="false">
      <c r="A1704" s="0" t="s">
        <v>2174</v>
      </c>
      <c r="B1704" s="0" t="s">
        <v>1073</v>
      </c>
      <c r="C1704" s="14" t="s">
        <v>6870</v>
      </c>
      <c r="D1704" s="14" t="s">
        <v>6871</v>
      </c>
      <c r="E1704" s="14" t="s">
        <v>6867</v>
      </c>
    </row>
    <row r="1705" customFormat="false" ht="122.35" hidden="false" customHeight="false" outlineLevel="0" collapsed="false">
      <c r="A1705" s="0" t="s">
        <v>1770</v>
      </c>
      <c r="B1705" s="0" t="s">
        <v>1073</v>
      </c>
      <c r="C1705" s="14" t="s">
        <v>6872</v>
      </c>
      <c r="D1705" s="14" t="s">
        <v>6873</v>
      </c>
      <c r="E1705" s="14" t="s">
        <v>6874</v>
      </c>
    </row>
    <row r="1706" customFormat="false" ht="41.75" hidden="false" customHeight="false" outlineLevel="0" collapsed="false">
      <c r="A1706" s="0" t="s">
        <v>1665</v>
      </c>
      <c r="B1706" s="0" t="s">
        <v>1073</v>
      </c>
      <c r="C1706" s="14" t="s">
        <v>6484</v>
      </c>
      <c r="D1706" s="14" t="s">
        <v>6875</v>
      </c>
      <c r="E1706" s="14" t="s">
        <v>6874</v>
      </c>
    </row>
    <row r="1707" customFormat="false" ht="41.75" hidden="false" customHeight="false" outlineLevel="0" collapsed="false">
      <c r="A1707" s="0" t="s">
        <v>1570</v>
      </c>
      <c r="B1707" s="0" t="s">
        <v>1073</v>
      </c>
      <c r="C1707" s="14" t="s">
        <v>6876</v>
      </c>
      <c r="D1707" s="14" t="s">
        <v>6877</v>
      </c>
      <c r="E1707" s="14" t="s">
        <v>6823</v>
      </c>
    </row>
    <row r="1708" customFormat="false" ht="162.65" hidden="false" customHeight="false" outlineLevel="0" collapsed="false">
      <c r="A1708" s="0" t="s">
        <v>1219</v>
      </c>
      <c r="B1708" s="0" t="s">
        <v>1073</v>
      </c>
      <c r="C1708" s="14" t="s">
        <v>6878</v>
      </c>
      <c r="D1708" s="14" t="s">
        <v>6879</v>
      </c>
      <c r="E1708" s="14" t="s">
        <v>6849</v>
      </c>
    </row>
    <row r="1709" customFormat="false" ht="149.25" hidden="false" customHeight="false" outlineLevel="0" collapsed="false">
      <c r="A1709" s="0" t="s">
        <v>6880</v>
      </c>
      <c r="B1709" s="0" t="s">
        <v>6881</v>
      </c>
      <c r="C1709" s="14" t="s">
        <v>6882</v>
      </c>
      <c r="D1709" s="14" t="s">
        <v>6883</v>
      </c>
      <c r="E1709" s="0" t="s">
        <v>6861</v>
      </c>
    </row>
    <row r="1710" customFormat="false" ht="55.2" hidden="false" customHeight="false" outlineLevel="0" collapsed="false">
      <c r="A1710" s="0" t="s">
        <v>6884</v>
      </c>
      <c r="B1710" s="0" t="s">
        <v>6881</v>
      </c>
      <c r="C1710" s="14" t="s">
        <v>6885</v>
      </c>
      <c r="D1710" s="14" t="s">
        <v>6886</v>
      </c>
      <c r="E1710" s="14" t="s">
        <v>6887</v>
      </c>
    </row>
    <row r="1711" customFormat="false" ht="55.2" hidden="false" customHeight="false" outlineLevel="0" collapsed="false">
      <c r="A1711" s="0" t="s">
        <v>6888</v>
      </c>
      <c r="B1711" s="0" t="s">
        <v>6881</v>
      </c>
      <c r="C1711" s="14" t="s">
        <v>6889</v>
      </c>
      <c r="D1711" s="14" t="s">
        <v>6890</v>
      </c>
      <c r="E1711" s="0" t="s">
        <v>6891</v>
      </c>
    </row>
    <row r="1712" customFormat="false" ht="82.05" hidden="false" customHeight="false" outlineLevel="0" collapsed="false">
      <c r="A1712" s="0" t="s">
        <v>6892</v>
      </c>
      <c r="B1712" s="0" t="s">
        <v>6881</v>
      </c>
      <c r="C1712" s="14" t="s">
        <v>6893</v>
      </c>
      <c r="D1712" s="14" t="s">
        <v>6894</v>
      </c>
      <c r="E1712" s="0" t="s">
        <v>6895</v>
      </c>
    </row>
    <row r="1713" customFormat="false" ht="162.65" hidden="false" customHeight="false" outlineLevel="0" collapsed="false">
      <c r="A1713" s="0" t="s">
        <v>6896</v>
      </c>
      <c r="B1713" s="0" t="s">
        <v>6881</v>
      </c>
      <c r="C1713" s="14" t="s">
        <v>6087</v>
      </c>
      <c r="D1713" s="14" t="s">
        <v>6897</v>
      </c>
      <c r="E1713" s="14" t="s">
        <v>6898</v>
      </c>
    </row>
    <row r="1714" customFormat="false" ht="377.6" hidden="false" customHeight="false" outlineLevel="0" collapsed="false">
      <c r="A1714" s="0" t="s">
        <v>6899</v>
      </c>
      <c r="B1714" s="0" t="s">
        <v>1073</v>
      </c>
      <c r="C1714" s="14" t="s">
        <v>6900</v>
      </c>
      <c r="D1714" s="0" t="s">
        <v>6901</v>
      </c>
      <c r="E1714" s="14" t="s">
        <v>6902</v>
      </c>
    </row>
    <row r="1715" customFormat="false" ht="82.05" hidden="false" customHeight="false" outlineLevel="0" collapsed="false">
      <c r="A1715" s="0" t="s">
        <v>6903</v>
      </c>
      <c r="B1715" s="0" t="s">
        <v>6881</v>
      </c>
      <c r="C1715" s="14" t="s">
        <v>5988</v>
      </c>
      <c r="D1715" s="14" t="s">
        <v>6904</v>
      </c>
      <c r="E1715" s="0" t="s">
        <v>6905</v>
      </c>
    </row>
    <row r="1716" customFormat="false" ht="41.75" hidden="false" customHeight="false" outlineLevel="0" collapsed="false">
      <c r="A1716" s="0" t="s">
        <v>6906</v>
      </c>
      <c r="B1716" s="0" t="s">
        <v>1073</v>
      </c>
      <c r="C1716" s="14" t="s">
        <v>6907</v>
      </c>
      <c r="D1716" s="14" t="s">
        <v>6908</v>
      </c>
      <c r="E1716" s="0" t="s">
        <v>6909</v>
      </c>
    </row>
    <row r="1717" customFormat="false" ht="41.75" hidden="false" customHeight="false" outlineLevel="0" collapsed="false">
      <c r="A1717" s="0" t="s">
        <v>6910</v>
      </c>
      <c r="B1717" s="0" t="s">
        <v>1073</v>
      </c>
      <c r="C1717" s="0" t="s">
        <v>5749</v>
      </c>
      <c r="D1717" s="14" t="s">
        <v>6911</v>
      </c>
      <c r="E1717" s="14" t="s">
        <v>6912</v>
      </c>
    </row>
    <row r="1718" customFormat="false" ht="68.65" hidden="false" customHeight="false" outlineLevel="0" collapsed="false">
      <c r="A1718" s="0" t="s">
        <v>6913</v>
      </c>
      <c r="B1718" s="0" t="s">
        <v>1073</v>
      </c>
      <c r="C1718" s="14" t="s">
        <v>6140</v>
      </c>
      <c r="D1718" s="14" t="s">
        <v>6914</v>
      </c>
      <c r="E1718" s="14" t="s">
        <v>6915</v>
      </c>
    </row>
    <row r="1719" customFormat="false" ht="28.35" hidden="false" customHeight="false" outlineLevel="0" collapsed="false">
      <c r="A1719" s="0" t="s">
        <v>6916</v>
      </c>
      <c r="B1719" s="0" t="s">
        <v>1073</v>
      </c>
      <c r="C1719" s="14" t="s">
        <v>6164</v>
      </c>
      <c r="D1719" s="0" t="s">
        <v>6917</v>
      </c>
      <c r="E1719" s="14" t="s">
        <v>6918</v>
      </c>
    </row>
    <row r="1720" customFormat="false" ht="243.25" hidden="false" customHeight="false" outlineLevel="0" collapsed="false">
      <c r="A1720" s="0" t="s">
        <v>6919</v>
      </c>
      <c r="B1720" s="0" t="s">
        <v>1073</v>
      </c>
      <c r="C1720" s="14" t="s">
        <v>6920</v>
      </c>
      <c r="D1720" s="14" t="s">
        <v>6921</v>
      </c>
      <c r="E1720" s="0" t="s">
        <v>6922</v>
      </c>
    </row>
    <row r="1721" customFormat="false" ht="68.65" hidden="false" customHeight="false" outlineLevel="0" collapsed="false">
      <c r="A1721" s="0" t="s">
        <v>6923</v>
      </c>
      <c r="B1721" s="0" t="s">
        <v>1073</v>
      </c>
      <c r="C1721" s="14" t="s">
        <v>6271</v>
      </c>
      <c r="D1721" s="14" t="s">
        <v>6924</v>
      </c>
      <c r="E1721" s="14" t="s">
        <v>6925</v>
      </c>
    </row>
    <row r="1722" customFormat="false" ht="41.75" hidden="false" customHeight="false" outlineLevel="0" collapsed="false">
      <c r="A1722" s="0" t="s">
        <v>6926</v>
      </c>
      <c r="B1722" s="0" t="s">
        <v>1073</v>
      </c>
      <c r="C1722" s="14" t="s">
        <v>6484</v>
      </c>
      <c r="D1722" s="14" t="s">
        <v>6927</v>
      </c>
      <c r="E1722" s="14" t="s">
        <v>6928</v>
      </c>
    </row>
    <row r="1723" customFormat="false" ht="55.2" hidden="false" customHeight="false" outlineLevel="0" collapsed="false">
      <c r="A1723" s="0" t="s">
        <v>6929</v>
      </c>
      <c r="B1723" s="0" t="s">
        <v>1073</v>
      </c>
      <c r="C1723" s="14" t="s">
        <v>5953</v>
      </c>
      <c r="D1723" s="14" t="s">
        <v>6930</v>
      </c>
      <c r="E1723" s="14" t="s">
        <v>6931</v>
      </c>
    </row>
    <row r="1724" customFormat="false" ht="28.35" hidden="false" customHeight="false" outlineLevel="0" collapsed="false">
      <c r="A1724" s="0" t="s">
        <v>6932</v>
      </c>
      <c r="B1724" s="0" t="s">
        <v>1073</v>
      </c>
      <c r="C1724" s="0" t="s">
        <v>6933</v>
      </c>
      <c r="D1724" s="14" t="s">
        <v>6934</v>
      </c>
      <c r="E1724" s="14" t="s">
        <v>6935</v>
      </c>
    </row>
    <row r="1725" customFormat="false" ht="55.2" hidden="false" customHeight="false" outlineLevel="0" collapsed="false">
      <c r="A1725" s="0" t="s">
        <v>6936</v>
      </c>
      <c r="B1725" s="0" t="s">
        <v>1073</v>
      </c>
      <c r="C1725" s="14" t="s">
        <v>6937</v>
      </c>
      <c r="D1725" s="14" t="s">
        <v>6938</v>
      </c>
      <c r="E1725" s="14" t="s">
        <v>6939</v>
      </c>
    </row>
    <row r="1726" customFormat="false" ht="122.35" hidden="false" customHeight="false" outlineLevel="0" collapsed="false">
      <c r="A1726" s="0" t="s">
        <v>6940</v>
      </c>
      <c r="B1726" s="0" t="s">
        <v>1073</v>
      </c>
      <c r="C1726" s="14" t="s">
        <v>6941</v>
      </c>
      <c r="D1726" s="14" t="s">
        <v>6942</v>
      </c>
      <c r="E1726" s="14" t="s">
        <v>6943</v>
      </c>
    </row>
    <row r="1727" customFormat="false" ht="55.2" hidden="false" customHeight="false" outlineLevel="0" collapsed="false">
      <c r="A1727" s="0" t="s">
        <v>6944</v>
      </c>
      <c r="B1727" s="0" t="s">
        <v>1073</v>
      </c>
      <c r="C1727" s="14" t="s">
        <v>6945</v>
      </c>
      <c r="D1727" s="14" t="s">
        <v>6946</v>
      </c>
      <c r="E1727" s="0" t="s">
        <v>6909</v>
      </c>
    </row>
    <row r="1728" customFormat="false" ht="28.35" hidden="false" customHeight="false" outlineLevel="0" collapsed="false">
      <c r="A1728" s="0" t="s">
        <v>6947</v>
      </c>
      <c r="B1728" s="0" t="s">
        <v>6881</v>
      </c>
      <c r="C1728" s="0" t="s">
        <v>6948</v>
      </c>
      <c r="D1728" s="14" t="s">
        <v>6949</v>
      </c>
      <c r="E1728" s="0" t="s">
        <v>6950</v>
      </c>
    </row>
    <row r="1729" customFormat="false" ht="41.75" hidden="false" customHeight="false" outlineLevel="0" collapsed="false">
      <c r="A1729" s="0" t="s">
        <v>6951</v>
      </c>
      <c r="B1729" s="0" t="s">
        <v>6881</v>
      </c>
      <c r="C1729" s="14" t="s">
        <v>6952</v>
      </c>
      <c r="D1729" s="14" t="s">
        <v>6953</v>
      </c>
    </row>
    <row r="1730" customFormat="false" ht="41.75" hidden="false" customHeight="false" outlineLevel="0" collapsed="false">
      <c r="A1730" s="0" t="s">
        <v>6954</v>
      </c>
      <c r="B1730" s="0" t="s">
        <v>1073</v>
      </c>
      <c r="C1730" s="0" t="s">
        <v>6955</v>
      </c>
      <c r="D1730" s="14" t="s">
        <v>6956</v>
      </c>
      <c r="E1730" s="14" t="s">
        <v>6915</v>
      </c>
    </row>
    <row r="1731" customFormat="false" ht="216.4" hidden="false" customHeight="false" outlineLevel="0" collapsed="false">
      <c r="A1731" s="0" t="s">
        <v>6957</v>
      </c>
      <c r="B1731" s="0" t="s">
        <v>1073</v>
      </c>
      <c r="C1731" s="14" t="s">
        <v>6229</v>
      </c>
      <c r="D1731" s="14" t="s">
        <v>6958</v>
      </c>
      <c r="E1731" s="0" t="s">
        <v>6959</v>
      </c>
    </row>
    <row r="1732" customFormat="false" ht="122.35" hidden="false" customHeight="false" outlineLevel="0" collapsed="false">
      <c r="A1732" s="0" t="s">
        <v>6960</v>
      </c>
      <c r="B1732" s="0" t="s">
        <v>1073</v>
      </c>
      <c r="C1732" s="14" t="s">
        <v>6235</v>
      </c>
      <c r="D1732" s="14" t="s">
        <v>6961</v>
      </c>
      <c r="E1732" s="0" t="s">
        <v>6962</v>
      </c>
    </row>
    <row r="1733" customFormat="false" ht="176.1" hidden="false" customHeight="false" outlineLevel="0" collapsed="false">
      <c r="A1733" s="0" t="s">
        <v>6963</v>
      </c>
      <c r="B1733" s="0" t="s">
        <v>6964</v>
      </c>
      <c r="C1733" s="14" t="s">
        <v>6439</v>
      </c>
      <c r="D1733" s="14" t="s">
        <v>6965</v>
      </c>
    </row>
    <row r="1734" customFormat="false" ht="431.3" hidden="false" customHeight="false" outlineLevel="0" collapsed="false">
      <c r="A1734" s="0" t="s">
        <v>6966</v>
      </c>
      <c r="B1734" s="0" t="s">
        <v>1073</v>
      </c>
      <c r="C1734" s="14" t="s">
        <v>6967</v>
      </c>
      <c r="D1734" s="14" t="s">
        <v>6968</v>
      </c>
      <c r="E1734" s="0" t="s">
        <v>6969</v>
      </c>
    </row>
    <row r="1735" customFormat="false" ht="28.35" hidden="false" customHeight="false" outlineLevel="0" collapsed="false">
      <c r="A1735" s="0" t="s">
        <v>6970</v>
      </c>
      <c r="B1735" s="0" t="s">
        <v>1073</v>
      </c>
      <c r="C1735" s="14" t="s">
        <v>6414</v>
      </c>
      <c r="D1735" s="14" t="s">
        <v>6971</v>
      </c>
      <c r="E1735" s="0" t="s">
        <v>6972</v>
      </c>
    </row>
    <row r="1736" customFormat="false" ht="108.95" hidden="false" customHeight="false" outlineLevel="0" collapsed="false">
      <c r="A1736" s="0" t="s">
        <v>6973</v>
      </c>
      <c r="B1736" s="0" t="s">
        <v>1073</v>
      </c>
      <c r="C1736" s="0" t="s">
        <v>6974</v>
      </c>
      <c r="D1736" s="14" t="s">
        <v>6975</v>
      </c>
      <c r="E1736" s="0" t="s">
        <v>6976</v>
      </c>
    </row>
    <row r="1737" customFormat="false" ht="350.7" hidden="false" customHeight="false" outlineLevel="0" collapsed="false">
      <c r="A1737" s="0" t="s">
        <v>6977</v>
      </c>
      <c r="B1737" s="0" t="s">
        <v>1073</v>
      </c>
      <c r="C1737" s="14" t="s">
        <v>6188</v>
      </c>
      <c r="D1737" s="14" t="s">
        <v>6978</v>
      </c>
      <c r="E1737" s="0" t="s">
        <v>6979</v>
      </c>
    </row>
    <row r="1738" customFormat="false" ht="82.05" hidden="false" customHeight="false" outlineLevel="0" collapsed="false">
      <c r="A1738" s="0" t="s">
        <v>6980</v>
      </c>
      <c r="B1738" s="0" t="s">
        <v>1073</v>
      </c>
      <c r="C1738" s="14" t="s">
        <v>6981</v>
      </c>
      <c r="D1738" s="14" t="s">
        <v>6982</v>
      </c>
      <c r="E1738" s="0" t="s">
        <v>6983</v>
      </c>
    </row>
    <row r="1739" customFormat="false" ht="28.35" hidden="false" customHeight="false" outlineLevel="0" collapsed="false">
      <c r="A1739" s="0" t="s">
        <v>6984</v>
      </c>
      <c r="B1739" s="0" t="s">
        <v>1073</v>
      </c>
      <c r="C1739" s="14" t="s">
        <v>6253</v>
      </c>
      <c r="D1739" s="14" t="s">
        <v>6985</v>
      </c>
      <c r="E1739" s="0" t="s">
        <v>6972</v>
      </c>
    </row>
    <row r="1740" customFormat="false" ht="82.05" hidden="false" customHeight="false" outlineLevel="0" collapsed="false">
      <c r="A1740" s="0" t="s">
        <v>6986</v>
      </c>
      <c r="B1740" s="0" t="s">
        <v>1073</v>
      </c>
      <c r="C1740" s="14" t="s">
        <v>6987</v>
      </c>
      <c r="D1740" s="0" t="s">
        <v>6988</v>
      </c>
      <c r="E1740" s="0" t="s">
        <v>6909</v>
      </c>
    </row>
    <row r="1741" customFormat="false" ht="444.75" hidden="false" customHeight="false" outlineLevel="0" collapsed="false">
      <c r="A1741" s="0" t="s">
        <v>6989</v>
      </c>
      <c r="B1741" s="0" t="s">
        <v>1073</v>
      </c>
      <c r="C1741" s="14" t="s">
        <v>6990</v>
      </c>
      <c r="D1741" s="14" t="s">
        <v>6991</v>
      </c>
      <c r="E1741" s="14" t="s">
        <v>6992</v>
      </c>
    </row>
    <row r="1742" customFormat="false" ht="28.35" hidden="false" customHeight="false" outlineLevel="0" collapsed="false">
      <c r="A1742" s="0" t="s">
        <v>6993</v>
      </c>
      <c r="B1742" s="0" t="s">
        <v>1073</v>
      </c>
      <c r="C1742" s="0" t="s">
        <v>6994</v>
      </c>
      <c r="D1742" s="14" t="s">
        <v>6995</v>
      </c>
      <c r="E1742" s="0" t="s">
        <v>6996</v>
      </c>
    </row>
    <row r="1743" customFormat="false" ht="431.3" hidden="false" customHeight="false" outlineLevel="0" collapsed="false">
      <c r="A1743" s="0" t="s">
        <v>6997</v>
      </c>
      <c r="B1743" s="0" t="s">
        <v>1073</v>
      </c>
      <c r="C1743" s="14" t="s">
        <v>6221</v>
      </c>
      <c r="D1743" s="14" t="s">
        <v>6998</v>
      </c>
      <c r="E1743" s="14" t="s">
        <v>6999</v>
      </c>
    </row>
    <row r="1744" customFormat="false" ht="55.2" hidden="false" customHeight="false" outlineLevel="0" collapsed="false">
      <c r="A1744" s="0" t="s">
        <v>7000</v>
      </c>
      <c r="B1744" s="0" t="s">
        <v>1073</v>
      </c>
      <c r="C1744" s="14" t="s">
        <v>6166</v>
      </c>
      <c r="D1744" s="14" t="s">
        <v>7001</v>
      </c>
      <c r="E1744" s="0" t="s">
        <v>7002</v>
      </c>
    </row>
    <row r="1745" customFormat="false" ht="28.35" hidden="false" customHeight="false" outlineLevel="0" collapsed="false">
      <c r="A1745" s="0" t="s">
        <v>7003</v>
      </c>
      <c r="B1745" s="0" t="s">
        <v>1073</v>
      </c>
      <c r="C1745" s="14" t="s">
        <v>7004</v>
      </c>
      <c r="D1745" s="14" t="s">
        <v>7005</v>
      </c>
      <c r="E1745" s="0" t="s">
        <v>7006</v>
      </c>
    </row>
    <row r="1746" customFormat="false" ht="28.35" hidden="false" customHeight="false" outlineLevel="0" collapsed="false">
      <c r="A1746" s="0" t="s">
        <v>7007</v>
      </c>
      <c r="B1746" s="0" t="s">
        <v>6881</v>
      </c>
      <c r="C1746" s="14" t="s">
        <v>7008</v>
      </c>
      <c r="D1746" s="14" t="s">
        <v>7009</v>
      </c>
      <c r="E1746" s="0" t="s">
        <v>7010</v>
      </c>
    </row>
    <row r="1747" customFormat="false" ht="55.2" hidden="false" customHeight="false" outlineLevel="0" collapsed="false">
      <c r="A1747" s="0" t="s">
        <v>7011</v>
      </c>
      <c r="B1747" s="0" t="s">
        <v>1073</v>
      </c>
      <c r="C1747" s="0" t="s">
        <v>7012</v>
      </c>
      <c r="D1747" s="14" t="s">
        <v>7013</v>
      </c>
      <c r="E1747" s="0" t="s">
        <v>6909</v>
      </c>
    </row>
    <row r="1748" customFormat="false" ht="135.8" hidden="false" customHeight="false" outlineLevel="0" collapsed="false">
      <c r="A1748" s="0" t="s">
        <v>7014</v>
      </c>
      <c r="B1748" s="0" t="s">
        <v>6881</v>
      </c>
      <c r="C1748" s="14" t="s">
        <v>6085</v>
      </c>
      <c r="D1748" s="14" t="s">
        <v>7015</v>
      </c>
    </row>
    <row r="1749" customFormat="false" ht="82.05" hidden="false" customHeight="false" outlineLevel="0" collapsed="false">
      <c r="A1749" s="0" t="s">
        <v>7016</v>
      </c>
      <c r="B1749" s="0" t="s">
        <v>1073</v>
      </c>
      <c r="C1749" s="14" t="s">
        <v>7017</v>
      </c>
      <c r="D1749" s="14" t="s">
        <v>7018</v>
      </c>
      <c r="E1749" s="14" t="s">
        <v>7019</v>
      </c>
    </row>
    <row r="1750" customFormat="false" ht="95.5" hidden="false" customHeight="false" outlineLevel="0" collapsed="false">
      <c r="A1750" s="0" t="s">
        <v>7020</v>
      </c>
      <c r="B1750" s="0" t="s">
        <v>1073</v>
      </c>
      <c r="C1750" s="14" t="s">
        <v>7021</v>
      </c>
      <c r="D1750" s="14" t="s">
        <v>7022</v>
      </c>
      <c r="E1750" s="0" t="s">
        <v>6909</v>
      </c>
    </row>
    <row r="1751" customFormat="false" ht="68.65" hidden="false" customHeight="false" outlineLevel="0" collapsed="false">
      <c r="A1751" s="0" t="s">
        <v>7023</v>
      </c>
      <c r="B1751" s="0" t="s">
        <v>6881</v>
      </c>
      <c r="C1751" s="14" t="s">
        <v>6271</v>
      </c>
      <c r="D1751" s="14" t="s">
        <v>7024</v>
      </c>
    </row>
    <row r="1752" customFormat="false" ht="135.8" hidden="false" customHeight="false" outlineLevel="0" collapsed="false">
      <c r="A1752" s="0" t="s">
        <v>7025</v>
      </c>
      <c r="B1752" s="0" t="s">
        <v>1073</v>
      </c>
      <c r="C1752" s="14" t="s">
        <v>7026</v>
      </c>
      <c r="D1752" s="14" t="s">
        <v>7027</v>
      </c>
      <c r="E1752" s="14" t="s">
        <v>7028</v>
      </c>
    </row>
    <row r="1753" customFormat="false" ht="28.35" hidden="false" customHeight="false" outlineLevel="0" collapsed="false">
      <c r="A1753" s="0" t="s">
        <v>7029</v>
      </c>
      <c r="B1753" s="0" t="s">
        <v>1073</v>
      </c>
      <c r="C1753" s="14" t="s">
        <v>7030</v>
      </c>
      <c r="D1753" s="14" t="s">
        <v>7031</v>
      </c>
      <c r="E1753" s="14" t="s">
        <v>7032</v>
      </c>
    </row>
    <row r="1754" customFormat="false" ht="68.65" hidden="false" customHeight="false" outlineLevel="0" collapsed="false">
      <c r="A1754" s="0" t="s">
        <v>7033</v>
      </c>
      <c r="B1754" s="0" t="s">
        <v>1073</v>
      </c>
      <c r="C1754" s="14" t="s">
        <v>6136</v>
      </c>
      <c r="D1754" s="14" t="s">
        <v>7034</v>
      </c>
      <c r="E1754" s="0" t="s">
        <v>7035</v>
      </c>
    </row>
    <row r="1755" customFormat="false" ht="55.2" hidden="false" customHeight="false" outlineLevel="0" collapsed="false">
      <c r="A1755" s="0" t="s">
        <v>7036</v>
      </c>
      <c r="B1755" s="0" t="s">
        <v>1073</v>
      </c>
      <c r="C1755" s="14" t="s">
        <v>5997</v>
      </c>
      <c r="D1755" s="14" t="s">
        <v>7037</v>
      </c>
      <c r="E1755" s="14" t="s">
        <v>7032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2026-10-28T15:59:32Z</dcterms:created>
  <dc:creator>openpyxl</dc:creator>
  <dc:description/>
  <dc:language>en-US</dc:language>
  <cp:lastModifiedBy/>
  <dcterms:modified xsi:type="dcterms:W3CDTF">2026-10-28T16:41:04Z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